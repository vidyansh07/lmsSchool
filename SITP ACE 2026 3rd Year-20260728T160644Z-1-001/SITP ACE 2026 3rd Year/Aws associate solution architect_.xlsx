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DSR" sheetId="2" r:id="rId6"/>
    <sheet state="visible" name="Course Timeline" sheetId="3" r:id="rId7"/>
    <sheet state="visible" name="Assessment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<sst xmlns="http://schemas.openxmlformats.org/spreadsheetml/2006/main" count="5595" uniqueCount="830">
  <si>
    <t>Lecture No.</t>
  </si>
  <si>
    <t>DAILY STATUS REPORT  |  SITP 2026  |  AWS Solutions Architect Associate  |  ACE 3rd Year</t>
  </si>
  <si>
    <t>S NO</t>
  </si>
  <si>
    <t>BLOWN UP TOPICS</t>
  </si>
  <si>
    <t>Status</t>
  </si>
  <si>
    <t>Student Name</t>
  </si>
  <si>
    <t>RTU Roll No.</t>
  </si>
  <si>
    <t>UNIT 1: CLOUD FUNDAMENTALS &amp; AWS BASICS</t>
  </si>
  <si>
    <t xml:space="preserve">Total Present </t>
  </si>
  <si>
    <t xml:space="preserve">Total Absent </t>
  </si>
  <si>
    <t xml:space="preserve">Total Class </t>
  </si>
  <si>
    <t>Attendance Percent</t>
  </si>
  <si>
    <t>Done</t>
  </si>
  <si>
    <t>1. Introduction to Cloud Computing &amp; AWS</t>
  </si>
  <si>
    <t>1.1 What is Cloud Computing</t>
  </si>
  <si>
    <t>1.1.1 IaaS, PaaS, SaaS Models</t>
  </si>
  <si>
    <t>Arya College of Engineering , Kukas, Jaipur  |  Faculty:  Sunil Kumar  |  Batch: B.Tech CSE/IT 3rd Year</t>
  </si>
  <si>
    <t>1.1.2 Public, Private, Hybrid Cloud</t>
  </si>
  <si>
    <t>1.2 AWS Overview &amp; History</t>
  </si>
  <si>
    <t>1.3 AWS Certification Path</t>
  </si>
  <si>
    <t>1.3.1 SAA-C03 Exam Pattern &amp; Domains</t>
  </si>
  <si>
    <t>Assesment 1 (Basics of aws and linux ) Out of 50</t>
  </si>
  <si>
    <t xml:space="preserve">Assesment 2 (AWS EBS &amp; Linux ) Out of 40 </t>
  </si>
  <si>
    <t>Day #</t>
  </si>
  <si>
    <t>1.3.2 Passing Score &amp; Weightage</t>
  </si>
  <si>
    <t>Assesment 3 (Apache HTTPD, EC2, AMI ) Out of  40</t>
  </si>
  <si>
    <t>Assesment 4 (ELB/ALB  ) Out of 40</t>
  </si>
  <si>
    <t>Date</t>
  </si>
  <si>
    <t>Assesment 5 (Topics Name ) Out of 40</t>
  </si>
  <si>
    <t>1.4 AWS Free Tier &amp; Account Setup</t>
  </si>
  <si>
    <t>Module / Topic Name</t>
  </si>
  <si>
    <t>Assesment 6 (Topics Name ) Out of 40</t>
  </si>
  <si>
    <t>Topics Covered Today</t>
  </si>
  <si>
    <t>1.5 AWS Well-Architected Framework (6 Pillars)</t>
  </si>
  <si>
    <t>Assignment
Given</t>
  </si>
  <si>
    <t>Assignment Details / Task</t>
  </si>
  <si>
    <t>2. AWS Global Infrastructure</t>
  </si>
  <si>
    <t>Assignment
Status</t>
  </si>
  <si>
    <t>Assesment 7 (IAM, EC2, Route 53 &amp; AWS Security ) Out of 40</t>
  </si>
  <si>
    <t>Remarks / Doubts</t>
  </si>
  <si>
    <t>Assesment 8 (IAM, EC2, Route 53 &amp; AWS Security ) Out of 40</t>
  </si>
  <si>
    <t>2.1 Regions</t>
  </si>
  <si>
    <t>Assesment 9 (IAM, EC2, S3 &amp; AWS Security ) Out of 40</t>
  </si>
  <si>
    <t>Assesment 10 (VPC, RDS and Dynamo DB ) Out of 40</t>
  </si>
  <si>
    <t>Assesment 11  Monitoring, Security, Integration &amp; Serverless</t>
  </si>
  <si>
    <t>2.2 Availability Zones (AZs)</t>
  </si>
  <si>
    <t>Assesment 12 3rd AWS SAA all service Assessment</t>
  </si>
  <si>
    <t>Assesment 13 AWS SAA all service A</t>
  </si>
  <si>
    <t>2.3 Edge Locations &amp; Regional Edge Caches</t>
  </si>
  <si>
    <t xml:space="preserve">Assesment 14 AWS Assessment Solutions Architect </t>
  </si>
  <si>
    <t>Assesment 15 AWS Assessment Solutions Architect 2</t>
  </si>
  <si>
    <t>Assesment 16 AWS Assessment Solutions Architect 3</t>
  </si>
  <si>
    <t>2.4 AWS Local Zones &amp; Wavelength Zones</t>
  </si>
  <si>
    <t>25-05-2026</t>
  </si>
  <si>
    <t>Total Assessments Missed</t>
  </si>
  <si>
    <t>Cloud Computing Intro</t>
  </si>
  <si>
    <t xml:space="preserve">Cloud Deployment Types,Cloud Service Models
</t>
  </si>
  <si>
    <t>2.5 AWS Outposts</t>
  </si>
  <si>
    <t>2.6 Choosing the Right Region</t>
  </si>
  <si>
    <t>No</t>
  </si>
  <si>
    <t>2.6.1 Latency, Compliance, Pricing</t>
  </si>
  <si>
    <t>Aayush Sharma</t>
  </si>
  <si>
    <t>3. AWS Service Categories Overview</t>
  </si>
  <si>
    <t>23EACCS004</t>
  </si>
  <si>
    <t>3.1 Compute, Storage, Database, Networking</t>
  </si>
  <si>
    <t>3.2 Management &amp; Monitoring Tools</t>
  </si>
  <si>
    <t>4. IAM — Identity &amp; Access Management (Part 1)</t>
  </si>
  <si>
    <t>4.1 Root Account vs IAM User</t>
  </si>
  <si>
    <t>Absent</t>
  </si>
  <si>
    <t>4.2 Users, Groups &amp; Policies</t>
  </si>
  <si>
    <t>26-05-2026</t>
  </si>
  <si>
    <t>4.3 IAM Policies (JSON Structure)</t>
  </si>
  <si>
    <t xml:space="preserve">AWS Intro </t>
  </si>
  <si>
    <t>Introduction to Amazon Web Services,Aws Account Creation
Aws Global Infrastructure</t>
  </si>
  <si>
    <t>4.3.1 Effect, Action, Resource, Condition</t>
  </si>
  <si>
    <t>Yes</t>
  </si>
  <si>
    <t>4.4 Managed vs Inline Policies</t>
  </si>
  <si>
    <t>Aws Account Creation</t>
  </si>
  <si>
    <t>Submitted</t>
  </si>
  <si>
    <t>4.5 IAM Roles</t>
  </si>
  <si>
    <t>4.5.1 Service Roles</t>
  </si>
  <si>
    <t>4.5.2 Cross-Account Access</t>
  </si>
  <si>
    <t>4.6 IAM Policy Evaluation Logic</t>
  </si>
  <si>
    <t>27-05-2026</t>
  </si>
  <si>
    <t>Adding a Compute Layer ( ec2 )</t>
  </si>
  <si>
    <t xml:space="preserve">EC2 instances , Amazon EC2 use cases
, Provisioning an EC2 instance
</t>
  </si>
  <si>
    <t>5. IAM — Identity &amp; Access Management (Part 2)</t>
  </si>
  <si>
    <t>Provisioning an EC2 instance</t>
  </si>
  <si>
    <t>5.1 Multi-Factor Authentication (MFA)</t>
  </si>
  <si>
    <t>5.2 IAM Identity Center (formerly AWS SSO)</t>
  </si>
  <si>
    <t>Abhayjeet saini</t>
  </si>
  <si>
    <t>5.3 AWS Organizations</t>
  </si>
  <si>
    <t>23EACCC002</t>
  </si>
  <si>
    <t>5.3.1 Service Control Policies (SCPs)</t>
  </si>
  <si>
    <t>Late Admission</t>
  </si>
  <si>
    <t>5.3.2 Organizational Units (OUs)</t>
  </si>
  <si>
    <t>28-05-2026</t>
  </si>
  <si>
    <t>Linux Intro</t>
  </si>
  <si>
    <t>5.4 AWS STS (Security Token Service)</t>
  </si>
  <si>
    <t>Introduction to Linux, Linux Arch, Basic commands</t>
  </si>
  <si>
    <t>5.5 IAM Best Practices</t>
  </si>
  <si>
    <t>Tasks Basic Commands</t>
  </si>
  <si>
    <t>5.6 IAM Access Analyzer</t>
  </si>
  <si>
    <t>6. AWS CLI, SDK &amp; CloudShell</t>
  </si>
  <si>
    <t>6.1 AWS Management Console</t>
  </si>
  <si>
    <t>6.2 AWS CLI Installation &amp; Configuration</t>
  </si>
  <si>
    <t>6.2.1 Access Keys &amp; Profiles</t>
  </si>
  <si>
    <t>6.2.2 Named Profiles</t>
  </si>
  <si>
    <t>Abhijeet Kumar Shivam</t>
  </si>
  <si>
    <t>23EACAD002</t>
  </si>
  <si>
    <t>6.3 AWS SDK Overview (boto3, Java SDK)</t>
  </si>
  <si>
    <t>6.4 AWS CloudShell</t>
  </si>
  <si>
    <t>6.5 AWS Account Best Practices</t>
  </si>
  <si>
    <t>📁 MINI PROJECT 1: AWS Account Setup &amp; IAM (Half Day)</t>
  </si>
  <si>
    <t>Create AWS Account &amp; Configure Billing Alerts</t>
  </si>
  <si>
    <t>Create IAM Users, Groups &amp; Roles</t>
  </si>
  <si>
    <t>Enable MFA on Root &amp; IAM Users</t>
  </si>
  <si>
    <t>Apply Custom IAM Policies &amp; Test</t>
  </si>
  <si>
    <t>Abhinav Sharma</t>
  </si>
  <si>
    <t>🏭 INDUSTRY LECTURE 1 (1 Hour)</t>
  </si>
  <si>
    <t>23EACCS005</t>
  </si>
  <si>
    <t>Topic: Cloud Adoption Journey in Indian Enterprises</t>
  </si>
  <si>
    <t>Format: Guest Lecture + Q&amp;A Session</t>
  </si>
  <si>
    <t>UNIT 2: COMPUTE &amp; NETWORKING</t>
  </si>
  <si>
    <t>1. Amazon EC2 — Part 1</t>
  </si>
  <si>
    <t>1.1 EC2 Overview &amp; Use Cases</t>
  </si>
  <si>
    <t>1.2 EC2 Instance Types</t>
  </si>
  <si>
    <t>1.2.1 General Purpose (T, M)</t>
  </si>
  <si>
    <t>1.2.2 Compute Optimized (C)</t>
  </si>
  <si>
    <t>Abhishek Garhwal</t>
  </si>
  <si>
    <t>1.2.3 Memory Optimized (R, X)</t>
  </si>
  <si>
    <t>23EACCS006</t>
  </si>
  <si>
    <t>1.2.4 Storage &amp; Accelerated Computing</t>
  </si>
  <si>
    <t>1.3 AMI (Amazon Machine Image)</t>
  </si>
  <si>
    <t>1.4 Launching an EC2 Instance</t>
  </si>
  <si>
    <t>1.5 Key Pairs &amp; SSH Access</t>
  </si>
  <si>
    <t>29-05-2026</t>
  </si>
  <si>
    <t>2. Amazon EC2 — Part 2</t>
  </si>
  <si>
    <t>Linux Basics</t>
  </si>
  <si>
    <t>2.1 EC2 Purchasing Options</t>
  </si>
  <si>
    <t>2.1.1 On-Demand</t>
  </si>
  <si>
    <t>Linux Basic Commands cp,mv,rm, grep,Path</t>
  </si>
  <si>
    <t>2.1.2 Reserved Instances (Standard, Convertible)</t>
  </si>
  <si>
    <t>2.1.3 Savings Plans</t>
  </si>
  <si>
    <t>Aditya Sharma</t>
  </si>
  <si>
    <t>2.1.4 Spot Instances &amp; Spot Fleets</t>
  </si>
  <si>
    <t>23EACIT001</t>
  </si>
  <si>
    <t>2.1.5 Dedicated Hosts &amp; Dedicated Instances</t>
  </si>
  <si>
    <t>2.2 EC2 User Data &amp; Metadata</t>
  </si>
  <si>
    <t>2.3 EC2 Placement Groups (Cluster, Spread, Partition)</t>
  </si>
  <si>
    <t>30-05-2026</t>
  </si>
  <si>
    <t>2.4 EC2 Hibernate</t>
  </si>
  <si>
    <t>Linux File System</t>
  </si>
  <si>
    <t>Linux tools - grep, pipeline, redirection &amp; assesment</t>
  </si>
  <si>
    <t>3. EC2 Storage — EBS &amp; Instance Store</t>
  </si>
  <si>
    <t>3.1 EBS Volume Types</t>
  </si>
  <si>
    <t>Assesment-1 Linux Basics</t>
  </si>
  <si>
    <t>3.1.1 gp2, gp3 (General Purpose SSD)</t>
  </si>
  <si>
    <t>3.1.2 io1, io2 (Provisioned IOPS SSD)</t>
  </si>
  <si>
    <t>3.1.3 st1, sc1 (HDD)</t>
  </si>
  <si>
    <t>Response_Sheet</t>
  </si>
  <si>
    <t>3.2 EBS Snapshots &amp; AMI Creation</t>
  </si>
  <si>
    <t>3.3 EBS Encryption</t>
  </si>
  <si>
    <t>23EACCS015</t>
  </si>
  <si>
    <t>3.4 EBS Multi-Attach</t>
  </si>
  <si>
    <t>3.5 Instance Store vs EBS</t>
  </si>
  <si>
    <t>4. VPC — Virtual Private Cloud (Part 1)</t>
  </si>
  <si>
    <t>4.1 VPC Concepts &amp; CIDR Blocks</t>
  </si>
  <si>
    <t>4.2 Subnets (Public vs Private)</t>
  </si>
  <si>
    <t>4.3 Internet Gateway (IGW)</t>
  </si>
  <si>
    <t>Linux - EC2-EBS</t>
  </si>
  <si>
    <t xml:space="preserve">Ec2- EBS, Storage </t>
  </si>
  <si>
    <t>4.4 Route Tables</t>
  </si>
  <si>
    <t>4.5 NAT Gateway &amp; NAT Instance</t>
  </si>
  <si>
    <t>4.6 Elastic IP Addresses</t>
  </si>
  <si>
    <t>Aishwarya Maloo</t>
  </si>
  <si>
    <t>23EACCS019</t>
  </si>
  <si>
    <t>5. VPC — Virtual Private Cloud (Part 2)</t>
  </si>
  <si>
    <t>5.1 Security Groups (Stateful)</t>
  </si>
  <si>
    <t>P</t>
  </si>
  <si>
    <t>Aws-EBS</t>
  </si>
  <si>
    <t>5.2 Network ACLs (Stateless)</t>
  </si>
  <si>
    <t>EBS-Volume Creation, Partition Creation Explain Storage concepts</t>
  </si>
  <si>
    <t>A</t>
  </si>
  <si>
    <t>5.3 VPC Peering</t>
  </si>
  <si>
    <t>5.4 VPC Endpoints</t>
  </si>
  <si>
    <t>SUNDAY</t>
  </si>
  <si>
    <t>5.4.1 Gateway Endpoints (S3, DynamoDB)</t>
  </si>
  <si>
    <t>5.4.2 Interface Endpoints (PrivateLink)</t>
  </si>
  <si>
    <t>EBS - File system, LVM, Ebs-Snapshot</t>
  </si>
  <si>
    <t>Ajay Kumar</t>
  </si>
  <si>
    <t>5.5 AWS Transit Gateway</t>
  </si>
  <si>
    <t>23EACCS020</t>
  </si>
  <si>
    <t>5.6 VPN &amp; Direct Connect Overview</t>
  </si>
  <si>
    <t>5.7 VPC Flow Logs</t>
  </si>
  <si>
    <t>6. Load Balancing &amp; Auto Scaling</t>
  </si>
  <si>
    <t>AWS-Ec2</t>
  </si>
  <si>
    <t>6.1 Elastic Load Balancer (ELB) Types</t>
  </si>
  <si>
    <t>AWS-Cofigure web-server on ec2 &amp; Assesment</t>
  </si>
  <si>
    <t>6.1.1 Application Load Balancer (ALB)</t>
  </si>
  <si>
    <t>Assesment-2 Ec2-EBS</t>
  </si>
  <si>
    <t>6.1.2 Network Load Balancer (NLB)</t>
  </si>
  <si>
    <t>6.1.3 Gateway Load Balancer (GWLB)</t>
  </si>
  <si>
    <t>6.1.4 Classic Load Balancer (Legacy)</t>
  </si>
  <si>
    <t>6.2 Target Groups &amp; Health Checks</t>
  </si>
  <si>
    <t>Anshu Poonia</t>
  </si>
  <si>
    <t>23EAOCA013</t>
  </si>
  <si>
    <t>Response Sheet</t>
  </si>
  <si>
    <t>6.3 Sticky Sessions</t>
  </si>
  <si>
    <t>6.4 Auto Scaling Groups (ASG)</t>
  </si>
  <si>
    <t>6.4.1 Launch Templates vs Launch Configurations</t>
  </si>
  <si>
    <t>6.4.2 Scaling Policies (Target Tracking, Step, Scheduled)</t>
  </si>
  <si>
    <t>6.4.3 Cooldown &amp; Warm-up</t>
  </si>
  <si>
    <t>📁 MINI PROJECT 2: 3-Tier Architecture (Half Day)</t>
  </si>
  <si>
    <t>Build Custom VPC with Public &amp; Private Subnets</t>
  </si>
  <si>
    <t>Project - Ec2-Linux-Httpd</t>
  </si>
  <si>
    <t>Project - Deploy apache on ec2 ( rhel 10 ) - AMI &amp; User Data</t>
  </si>
  <si>
    <t>Deploy Web Tier with ALB + Auto Scaling</t>
  </si>
  <si>
    <t>Project Apache Deploy</t>
  </si>
  <si>
    <t>Deploy App Tier in Private Subnet</t>
  </si>
  <si>
    <t>Arvind Jhajhara</t>
  </si>
  <si>
    <t>Configure Security Groups &amp; NACLs</t>
  </si>
  <si>
    <t>23EACCS057</t>
  </si>
  <si>
    <t>🔴 TEST 1: Compute, Networking &amp; IAM (Half Day)</t>
  </si>
  <si>
    <t>MCQ (20 Marks) + Scenario-Based (30 Marks)</t>
  </si>
  <si>
    <t>Duration: 1 to 1.5 Hours</t>
  </si>
  <si>
    <t>🏭 INDUSTRY LECTURE 2 (1 Hour)</t>
  </si>
  <si>
    <t>Topic: Designing VPCs for Enterprise Workloads</t>
  </si>
  <si>
    <t>UNIT 3: STORAGE SERVICES</t>
  </si>
  <si>
    <t>1. Amazon S3 — Part 1</t>
  </si>
  <si>
    <t>Ec2</t>
  </si>
  <si>
    <t>Deepanshu</t>
  </si>
  <si>
    <t>Ec2-Advance settings and placement groups &amp; Assesment</t>
  </si>
  <si>
    <t>23EACCA018</t>
  </si>
  <si>
    <t>Assesment-3 Ec2-AMI</t>
  </si>
  <si>
    <t>1.1 S3 Buckets &amp; Objects</t>
  </si>
  <si>
    <t>1.2 S3 Storage Classes</t>
  </si>
  <si>
    <t>1.2.1 Standard, Standard-IA, One Zone-IA</t>
  </si>
  <si>
    <t>1.2.2 Intelligent-Tiering</t>
  </si>
  <si>
    <t>1.2.3 Glacier Instant, Flexible, Deep Archive</t>
  </si>
  <si>
    <t>1.3 S3 Versioning</t>
  </si>
  <si>
    <t>1.4 S3 Lifecycle Policies</t>
  </si>
  <si>
    <t>1.5 S3 Replication (CRR &amp; SRR)</t>
  </si>
  <si>
    <t>2. Amazon S3 — Part 2 (Security &amp; Performance)</t>
  </si>
  <si>
    <t>2.1 S3 Bucket Policies vs IAM Policies vs ACLs</t>
  </si>
  <si>
    <t>2.2 S3 Encryption</t>
  </si>
  <si>
    <t>2.2.1 SSE-S3, SSE-KMS, SSE-C</t>
  </si>
  <si>
    <t>Dhiraj Pareek</t>
  </si>
  <si>
    <t>2.2.2 Client-Side Encryption</t>
  </si>
  <si>
    <t>23EACCA021</t>
  </si>
  <si>
    <t>2.3 S3 Object Lock &amp; Glacier Vault Lock</t>
  </si>
  <si>
    <t>Ec -2 Pricing option and started ALB</t>
  </si>
  <si>
    <t>2.4 S3 Pre-Signed URLs</t>
  </si>
  <si>
    <t>2.5 S3 Transfer Acceleration</t>
  </si>
  <si>
    <t>2.6 Multipart Upload</t>
  </si>
  <si>
    <t>2.7 S3 Event Notifications</t>
  </si>
  <si>
    <t>3. Other Storage Services</t>
  </si>
  <si>
    <t>Ec2- ALB Theory and practical, Advanced ALB Practical</t>
  </si>
  <si>
    <t>3.1 Amazon EFS (Elastic File System)</t>
  </si>
  <si>
    <t>3.1.1 Performance Modes &amp; Throughput Modes</t>
  </si>
  <si>
    <t>LT</t>
  </si>
  <si>
    <t>3.1.2 EFS Storage Classes</t>
  </si>
  <si>
    <t>Dhruv Mishra</t>
  </si>
  <si>
    <t>23EACCS094</t>
  </si>
  <si>
    <t>Ec2-ELB</t>
  </si>
  <si>
    <t>3.2 Amazon FSx</t>
  </si>
  <si>
    <t>Ec2- ALB Theory and practical</t>
  </si>
  <si>
    <t>Assesment - ELB/ALB</t>
  </si>
  <si>
    <t>3.2.1 FSx for Windows File Server</t>
  </si>
  <si>
    <t>3.2.2 FSx for Lustre</t>
  </si>
  <si>
    <t>3.2.3 FSx for NetApp ONTAP</t>
  </si>
  <si>
    <t>3.2.4 FSx for OpenZFS</t>
  </si>
  <si>
    <t>3.3 AWS Storage Gateway (File, Volume, Tape)</t>
  </si>
  <si>
    <t>Durgesh Gupta</t>
  </si>
  <si>
    <t>3.4 AWS Backup</t>
  </si>
  <si>
    <t>23EACCS103</t>
  </si>
  <si>
    <t>3.5 AWS DataSync &amp; Transfer Family</t>
  </si>
  <si>
    <t xml:space="preserve">Ec-2-ASG </t>
  </si>
  <si>
    <t>Ec2-ASG &amp; DNS Started</t>
  </si>
  <si>
    <t>3.6 AWS Snow Family</t>
  </si>
  <si>
    <t>UNIT 4: DATABASE SERVICES</t>
  </si>
  <si>
    <t>1. Amazon RDS — Relational Database Service</t>
  </si>
  <si>
    <t>1.1 Supported Engines (MySQL, PostgreSQL, MariaDB, Oracle, SQL Server)</t>
  </si>
  <si>
    <t>Route53</t>
  </si>
  <si>
    <t>Route53, DNS Intro , DNS Recored and Route53 Intro</t>
  </si>
  <si>
    <t>1.2 RDS Storage &amp; Instance Types</t>
  </si>
  <si>
    <t>1.3 Multi-AZ Deployment (High Availability)</t>
  </si>
  <si>
    <t>Gaurav Singh Parmar</t>
  </si>
  <si>
    <t>23EACCS109</t>
  </si>
  <si>
    <t>1.4 Read Replicas (Scaling Reads)</t>
  </si>
  <si>
    <t>1.5 RDS Backups &amp; Snapshots</t>
  </si>
  <si>
    <t>13-06-2026</t>
  </si>
  <si>
    <t>Routing polices Simaple,failover,Geolocation</t>
  </si>
  <si>
    <t>1.6 RDS Encryption &amp; Security</t>
  </si>
  <si>
    <t xml:space="preserve">ALB, ASG, DNS, Route 53 Assesment </t>
  </si>
  <si>
    <t>1.7 RDS Proxy</t>
  </si>
  <si>
    <t>2. Amazon Aurora</t>
  </si>
  <si>
    <t>2.1 Aurora Architecture</t>
  </si>
  <si>
    <t>2.2 Aurora Clusters &amp; Endpoints</t>
  </si>
  <si>
    <t>2.2.1 Writer &amp; Reader Endpoints</t>
  </si>
  <si>
    <t>Gopanshi Dadhich</t>
  </si>
  <si>
    <t>23EACCS110</t>
  </si>
  <si>
    <t>2.2.2 Custom Endpoints</t>
  </si>
  <si>
    <t>15-06-2026</t>
  </si>
  <si>
    <t>2.3 Aurora Replicas</t>
  </si>
  <si>
    <t>Routing Policies Completed &amp; Project Jango app deployment</t>
  </si>
  <si>
    <t>2.4 Aurora Global Database</t>
  </si>
  <si>
    <t>2.5 Aurora Serverless v1 &amp; v2</t>
  </si>
  <si>
    <t>2.6 Aurora Multi-Master</t>
  </si>
  <si>
    <t>2.7 Aurora Backtrack</t>
  </si>
  <si>
    <t>16-06-2026</t>
  </si>
  <si>
    <t>Project - Ec2-ALb-Route53-ACS</t>
  </si>
  <si>
    <t>3. NoSQL &amp; Other Databases</t>
  </si>
  <si>
    <t>3.1 Amazon DynamoDB</t>
  </si>
  <si>
    <t>Goutam Singh Rathore</t>
  </si>
  <si>
    <t>23EACCS111</t>
  </si>
  <si>
    <t>3.1.1 Tables, Items, Attributes</t>
  </si>
  <si>
    <t>3.1.2 Partition Key &amp; Sort Key</t>
  </si>
  <si>
    <t>17-06-2026</t>
  </si>
  <si>
    <t>EFS &amp; Assesment</t>
  </si>
  <si>
    <t>Efs completed &amp; Assesment</t>
  </si>
  <si>
    <t>Django, Gunicorn, Nginx &amp; Route 53</t>
  </si>
  <si>
    <t>3.1.3 Read/Write Capacity Modes</t>
  </si>
  <si>
    <t>3.1.4 DynamoDB Streams &amp; Triggers</t>
  </si>
  <si>
    <t>3.1.5 DynamoDB Accelerator (DAX)</t>
  </si>
  <si>
    <t>3.1.6 Global Tables</t>
  </si>
  <si>
    <t>3.2 Amazon ElastiCache</t>
  </si>
  <si>
    <t>3.2.1 Redis vs Memcached</t>
  </si>
  <si>
    <t>Harsh Gupta</t>
  </si>
  <si>
    <t>3.3 Amazon Redshift (Data Warehouse)</t>
  </si>
  <si>
    <t>23EACCS116</t>
  </si>
  <si>
    <t>3.4 Amazon Neptune (Graph DB)</t>
  </si>
  <si>
    <t>3.5 Amazon DocumentDB &amp; Keyspaces</t>
  </si>
  <si>
    <t>📁 MINI PROJECT 3: Storage &amp; Database Architecture (Half Day)</t>
  </si>
  <si>
    <t>Set up S3 with Lifecycle Policies &amp; Replication</t>
  </si>
  <si>
    <t>18-06-2026</t>
  </si>
  <si>
    <t>IAM</t>
  </si>
  <si>
    <t>IAM - User, Group &amp; Policy</t>
  </si>
  <si>
    <t>Deploy RDS Multi-AZ Database</t>
  </si>
  <si>
    <t>Create DynamoDB Table with GSI</t>
  </si>
  <si>
    <t>Configure ElastiCache for Application Caching</t>
  </si>
  <si>
    <t>🔴 TEST 2: Storage &amp; Databases (Half Day)</t>
  </si>
  <si>
    <t>Harsh Pareek</t>
  </si>
  <si>
    <t>19-06-2026</t>
  </si>
  <si>
    <t>🏭 INDUSTRY LECTURE 3 (1 Hour)</t>
  </si>
  <si>
    <t>23EACCS117</t>
  </si>
  <si>
    <t>IAM - Policy &amp; AWS CLI</t>
  </si>
  <si>
    <t>Topic: Choosing the Right Database for Your Workload</t>
  </si>
  <si>
    <t>UNIT 5: APPLICATION INTEGRATION &amp; SERVERLESS</t>
  </si>
  <si>
    <t>1. Decoupling Services</t>
  </si>
  <si>
    <t>1.1 Amazon SQS (Simple Queue Service)</t>
  </si>
  <si>
    <t>20-06-2026</t>
  </si>
  <si>
    <t>S3</t>
  </si>
  <si>
    <t>S3 intro &amp; Assesment</t>
  </si>
  <si>
    <t>1.1.1 Standard vs FIFO Queues</t>
  </si>
  <si>
    <t>IAM, EC2, Route 53 &amp; AWS Security</t>
  </si>
  <si>
    <t>1.1.2 Visibility Timeout &amp; Dead Letter Queue</t>
  </si>
  <si>
    <t>1.1.3 Long Polling vs Short Polling</t>
  </si>
  <si>
    <t>1.2 Amazon SNS (Simple Notification Service)</t>
  </si>
  <si>
    <t>Harsh Raj</t>
  </si>
  <si>
    <t>1.2.1 Topics &amp; Subscriptions</t>
  </si>
  <si>
    <t>23EACCS118</t>
  </si>
  <si>
    <t>1.2.2 SNS + SQS Fan-Out Pattern</t>
  </si>
  <si>
    <t>1.3 Amazon MQ (Managed Message Broker)</t>
  </si>
  <si>
    <t>2. Event-Driven Architecture</t>
  </si>
  <si>
    <t>2.1 Amazon EventBridge</t>
  </si>
  <si>
    <t>2.1.1 Event Buses &amp; Rules</t>
  </si>
  <si>
    <t>22-06-2026</t>
  </si>
  <si>
    <t>2.1.2 Schema Registry</t>
  </si>
  <si>
    <t>Assesment Q Discussion</t>
  </si>
  <si>
    <t>2.2 AWS Step Functions</t>
  </si>
  <si>
    <t>2.2.1 Standard vs Express Workflows</t>
  </si>
  <si>
    <t>Harshit Khandelwal</t>
  </si>
  <si>
    <t>23EACCS120</t>
  </si>
  <si>
    <t>2.2.2 State Machines</t>
  </si>
  <si>
    <t>2.3 Amazon Kinesis</t>
  </si>
  <si>
    <t>23-06-2026</t>
  </si>
  <si>
    <t>S3 Bucket and object permissions</t>
  </si>
  <si>
    <t>2.3.1 Data Streams</t>
  </si>
  <si>
    <t>2.3.2 Data Firehose</t>
  </si>
  <si>
    <t>2.3.3 Data Analytics</t>
  </si>
  <si>
    <t>2.4 Amazon AppFlow</t>
  </si>
  <si>
    <t>3. Serverless Computing</t>
  </si>
  <si>
    <t>24-06-2026</t>
  </si>
  <si>
    <t>S3 &amp; Assesment</t>
  </si>
  <si>
    <t>S3- Static Website hosting with route53</t>
  </si>
  <si>
    <t>Ec2, s3, route53 linux - paper - 8</t>
  </si>
  <si>
    <t>3.1 AWS Lambda</t>
  </si>
  <si>
    <t>3.1.1 Function Configuration &amp; Triggers</t>
  </si>
  <si>
    <t>3.1.2 Lambda Execution Role</t>
  </si>
  <si>
    <t>Harshwardhan Singh Panwar</t>
  </si>
  <si>
    <t>23EAOCS300</t>
  </si>
  <si>
    <t>3.1.3 Lambda Layers &amp; Versions</t>
  </si>
  <si>
    <t>3.1.4 Concurrency &amp; Throttling</t>
  </si>
  <si>
    <t>3.1.5 Lambda@Edge</t>
  </si>
  <si>
    <t>25-06-2026</t>
  </si>
  <si>
    <t>S3-Bucket versioning, replication rules</t>
  </si>
  <si>
    <t>3.2 Amazon API Gateway</t>
  </si>
  <si>
    <t>3.2.1 REST vs HTTP vs WebSocket APIs</t>
  </si>
  <si>
    <t>3.2.2 Stages &amp; Deployments</t>
  </si>
  <si>
    <t>3.2.3 Throttling &amp; Caching</t>
  </si>
  <si>
    <t>26-06-2026</t>
  </si>
  <si>
    <t>3.2.4 Authentication (IAM, Cognito, Lambda Authorizer)</t>
  </si>
  <si>
    <t>S3 &amp; VPC</t>
  </si>
  <si>
    <t>S3 - Storage Classes &amp; VPC Intro</t>
  </si>
  <si>
    <t>Jai Vishun Singh</t>
  </si>
  <si>
    <t>4. Containers on AWS</t>
  </si>
  <si>
    <t>23EACCS133</t>
  </si>
  <si>
    <t>4.1 Docker Basics</t>
  </si>
  <si>
    <t>4.2 Amazon ECR (Elastic Container Registry)</t>
  </si>
  <si>
    <t>27-06-2026</t>
  </si>
  <si>
    <t>VPC &amp; Assesment</t>
  </si>
  <si>
    <t>4.3 Amazon ECS (Elastic Container Service)</t>
  </si>
  <si>
    <t>VPC  Subnets (Public vs Private)</t>
  </si>
  <si>
    <t>S3-Focused EC2, Route 53, IAM, Linux</t>
  </si>
  <si>
    <t>4.3.1 EC2 Launch Type vs Fargate</t>
  </si>
  <si>
    <t>4.3.2 Task Definitions &amp; Services</t>
  </si>
  <si>
    <t>4.4 AWS Fargate (Serverless Containers)</t>
  </si>
  <si>
    <t>4.5 Amazon EKS (Elastic Kubernetes Service)</t>
  </si>
  <si>
    <t>4.6 AWS App Runner</t>
  </si>
  <si>
    <t>📁 MINI PROJECT 4: Serverless Application (Half Day)</t>
  </si>
  <si>
    <t>Jasaman Singh Chaggar</t>
  </si>
  <si>
    <t>23EACCS135</t>
  </si>
  <si>
    <t>Build Serverless API: API Gateway + Lambda + DynamoDB</t>
  </si>
  <si>
    <t>Add SQS Queue for Async Processing</t>
  </si>
  <si>
    <t>Trigger Notifications via SNS</t>
  </si>
  <si>
    <t>29-06-2026</t>
  </si>
  <si>
    <t>VPC Create and test</t>
  </si>
  <si>
    <t>VPC Create and Test VPC is Working</t>
  </si>
  <si>
    <t>Test End-to-End Flow</t>
  </si>
  <si>
    <t>🔴 TEST 3: Application Integration &amp; Serverless (Half Day)</t>
  </si>
  <si>
    <t>30-06-2026</t>
  </si>
  <si>
    <t>UNIT 6: SECURITY &amp; ENCRYPTION (Domain 1 — 30%)</t>
  </si>
  <si>
    <t>VPC and Peering and private subnet</t>
  </si>
  <si>
    <t>VPC</t>
  </si>
  <si>
    <t>1. AWS Security Services</t>
  </si>
  <si>
    <t>1.1 AWS KMS (Key Management Service)</t>
  </si>
  <si>
    <t>Kalyan Singh Rathore</t>
  </si>
  <si>
    <t>23EAOCS041</t>
  </si>
  <si>
    <t>1.1.1 Customer Managed Keys vs AWS Managed Keys</t>
  </si>
  <si>
    <t>1.1.2 Envelope Encryption</t>
  </si>
  <si>
    <t xml:space="preserve">RDS, Dynamo DB, Aurora </t>
  </si>
  <si>
    <t>1.1.3 Key Rotation</t>
  </si>
  <si>
    <t>VPC RDS Dynamo DB Aurora</t>
  </si>
  <si>
    <t>1.2 AWS Secrets Manager vs Systems Manager Parameter Store</t>
  </si>
  <si>
    <t>1.3 AWS Certificate Manager (ACM)</t>
  </si>
  <si>
    <t>1.4 AWS CloudHSM</t>
  </si>
  <si>
    <t>2. Network &amp; Application Security</t>
  </si>
  <si>
    <t>2.1 AWS WAF (Web Application Firewall)</t>
  </si>
  <si>
    <t>2.2 AWS Shield (Standard &amp; Advanced) — DDoS Protection</t>
  </si>
  <si>
    <t>Monitring and Serverless</t>
  </si>
  <si>
    <t>Cloud watch lambda cloud front Martics Log</t>
  </si>
  <si>
    <t>Kartik balmukund somani</t>
  </si>
  <si>
    <t>2.3 AWS Network Firewall</t>
  </si>
  <si>
    <t>23EACCS935</t>
  </si>
  <si>
    <t>2.4 Amazon GuardDuty (Threat Detection)</t>
  </si>
  <si>
    <t>2.5 Amazon Inspector (Vulnerability Scanning)</t>
  </si>
  <si>
    <t>2.6 Amazon Macie (PII Detection in S3)</t>
  </si>
  <si>
    <t>2.7 AWS Security Hub</t>
  </si>
  <si>
    <t>Monitring and Docker</t>
  </si>
  <si>
    <t>Docker ECR ECS  AWS Security Services. Network &amp; Application Security</t>
  </si>
  <si>
    <t>2.8 AWS Detective</t>
  </si>
  <si>
    <t>3. Identity Federation &amp; Directory Services</t>
  </si>
  <si>
    <t>3.1 Amazon Cognito</t>
  </si>
  <si>
    <t>Kartik Rathore</t>
  </si>
  <si>
    <t>23EACCS146</t>
  </si>
  <si>
    <t>3.1.1 User Pools (Authentication)</t>
  </si>
  <si>
    <t>HIGH-PERFORMING &amp; RESILIENT ARCHITECTURES Disaster Recovery &amp; High Availability Migration &amp; Hybrid CloudUNIT COST OPTIMIZATION</t>
  </si>
  <si>
    <t>3.1.2 Identity Pools (Authorization)</t>
  </si>
  <si>
    <t>Monitoring, Security, Integration &amp; Serverless</t>
  </si>
  <si>
    <t>3.2 AWS Directory Service</t>
  </si>
  <si>
    <t>3.2.1 AWS Managed Microsoft AD</t>
  </si>
  <si>
    <t>3.2.2 AD Connector</t>
  </si>
  <si>
    <t>3.2.3 Simple AD</t>
  </si>
  <si>
    <t>Keerti saini</t>
  </si>
  <si>
    <t>23EACCS149</t>
  </si>
  <si>
    <t>3.3 SAML 2.0 Federation</t>
  </si>
  <si>
    <t>3.4 Web Identity Federation</t>
  </si>
  <si>
    <t>4. Monitoring, Logging &amp; Auditing</t>
  </si>
  <si>
    <t>EKS and Project</t>
  </si>
  <si>
    <t>EKS Cluster craete and Project</t>
  </si>
  <si>
    <t>4.1 Amazon CloudWatch</t>
  </si>
  <si>
    <t>4.1.1 Metrics, Logs &amp; Alarms</t>
  </si>
  <si>
    <t>4.1.2 CloudWatch Agent</t>
  </si>
  <si>
    <t>Krishna murti</t>
  </si>
  <si>
    <t>23EACCS155</t>
  </si>
  <si>
    <t xml:space="preserve">Projects </t>
  </si>
  <si>
    <t>4.1.3 Dashboards &amp; Composite Alarms</t>
  </si>
  <si>
    <t>4.2 AWS CloudTrail</t>
  </si>
  <si>
    <t>4.2.1 Management &amp; Data Events</t>
  </si>
  <si>
    <t>4.2.2 CloudTrail Insights</t>
  </si>
  <si>
    <t>4.3 AWS Config (Configuration Compliance)</t>
  </si>
  <si>
    <t>4.4 AWS X-Ray (Distributed Tracing)</t>
  </si>
  <si>
    <t>4.5 AWS Trusted Advisor</t>
  </si>
  <si>
    <t>🏭 INDUSTRY LECTURE 4 (1 Hour)</t>
  </si>
  <si>
    <t>Kush Kathuria</t>
  </si>
  <si>
    <t>23EACCS162</t>
  </si>
  <si>
    <t>Topic: Securing Cloud Workloads — Real-World Practices</t>
  </si>
  <si>
    <t>All Services</t>
  </si>
  <si>
    <t>UNIT 7: HIGH-PERFORMING &amp; RESILIENT ARCHITECTURES (Domains 2 &amp; 3)</t>
  </si>
  <si>
    <t>1. Content Delivery &amp; Edge Services</t>
  </si>
  <si>
    <t>1.1 Amazon CloudFront (CDN)</t>
  </si>
  <si>
    <t>1.1.1 Origins &amp; Behaviors</t>
  </si>
  <si>
    <t>1.1.2 Cache Policies &amp; TTL</t>
  </si>
  <si>
    <t>1.1.3 Signed URLs &amp; Signed Cookies</t>
  </si>
  <si>
    <t>1.1.4 Origin Access Control (OAC)</t>
  </si>
  <si>
    <t>Kushagra Sharma</t>
  </si>
  <si>
    <t>23EAOCS049</t>
  </si>
  <si>
    <t>1.1.5 Geo-Restriction</t>
  </si>
  <si>
    <t>1.2 AWS Global Accelerator</t>
  </si>
  <si>
    <t>1.3 Amazon Route 53</t>
  </si>
  <si>
    <t>1.3.1 Hosted Zones &amp; Record Types</t>
  </si>
  <si>
    <t>1.3.2 Routing Policies (Simple, Weighted, Latency, Failover, Geolocation, Geoproximity, Multi-Value)</t>
  </si>
  <si>
    <t>1.3.3 Health Checks</t>
  </si>
  <si>
    <t>2. Disaster Recovery &amp; High Availability</t>
  </si>
  <si>
    <t>Kushal Mahawar</t>
  </si>
  <si>
    <t>23EACCS163</t>
  </si>
  <si>
    <t>2.1 DR Strategies</t>
  </si>
  <si>
    <t>2.1.1 Backup &amp; Restore</t>
  </si>
  <si>
    <t>2.1.2 Pilot Light</t>
  </si>
  <si>
    <t>2.1.3 Warm Standby</t>
  </si>
  <si>
    <t>2.1.4 Multi-Site Active-Active</t>
  </si>
  <si>
    <t>13-07-26</t>
  </si>
  <si>
    <t>2.2 RTO &amp; RPO Concepts</t>
  </si>
  <si>
    <t>AWS Exam preparation</t>
  </si>
  <si>
    <t>Laxman Sharma</t>
  </si>
  <si>
    <t>2.3 Multi-Region Architectures</t>
  </si>
  <si>
    <t>23EACCS168</t>
  </si>
  <si>
    <t>2.4 AWS Elastic Disaster Recovery (DRS)</t>
  </si>
  <si>
    <t>2.5 AWS Backup Cross-Region Copy</t>
  </si>
  <si>
    <t>3. Migration &amp; Hybrid Cloud</t>
  </si>
  <si>
    <t>14-07-2026</t>
  </si>
  <si>
    <t>3.1 AWS Migration Hub</t>
  </si>
  <si>
    <t>3.2 AWS Application Migration Service (MGN)</t>
  </si>
  <si>
    <t>3.3 AWS Database Migration Service (DMS) &amp; SCT</t>
  </si>
  <si>
    <t>3.4 AWS Application Discovery Service</t>
  </si>
  <si>
    <t>3.5 AWS Direct Connect &amp; VPN</t>
  </si>
  <si>
    <t>15-07-2026</t>
  </si>
  <si>
    <t>3.6 7 R's of Migration Strategy</t>
  </si>
  <si>
    <t>Lokesh Kumar</t>
  </si>
  <si>
    <t>3.6.1 Rehost, Replatform, Refactor, Repurchase, Retain, Retire, Relocate</t>
  </si>
  <si>
    <t>23EACIT024</t>
  </si>
  <si>
    <t>4. Data Analytics &amp; ML Services (Overview)</t>
  </si>
  <si>
    <t>4.1 Amazon Athena</t>
  </si>
  <si>
    <t>16-07-2026</t>
  </si>
  <si>
    <t>4.2 AWS Glue (ETL)</t>
  </si>
  <si>
    <t>AWS Solutions Architect Assessment</t>
  </si>
  <si>
    <t>4.3 Amazon EMR</t>
  </si>
  <si>
    <t>4.4 Amazon QuickSight</t>
  </si>
  <si>
    <t>4.5 AWS Lake Formation</t>
  </si>
  <si>
    <t>Lokesh Solanki</t>
  </si>
  <si>
    <t>23EACIT025</t>
  </si>
  <si>
    <t>4.6 Amazon OpenSearch Service</t>
  </si>
  <si>
    <t>4.7 Amazon MSK (Managed Kafka)</t>
  </si>
  <si>
    <t>4.8 AWS Data Exchange</t>
  </si>
  <si>
    <t>UNIT 8: COST OPTIMIZATION (Domain 4 — 20%)</t>
  </si>
  <si>
    <t>1. Cost Management Tools</t>
  </si>
  <si>
    <t>17-07-2026</t>
  </si>
  <si>
    <t>1.1 AWS Cost Explorer</t>
  </si>
  <si>
    <t>Manish Kumawat</t>
  </si>
  <si>
    <t>AWS Solutions Architect Assessment 1</t>
  </si>
  <si>
    <t>23EACCS175</t>
  </si>
  <si>
    <t>1.2 AWS Budgets &amp; Budget Actions</t>
  </si>
  <si>
    <t>1.3 AWS Cost &amp; Usage Report (CUR)</t>
  </si>
  <si>
    <t>1.4 AWS Pricing Calculator</t>
  </si>
  <si>
    <t>1.5 AWS Compute Optimizer</t>
  </si>
  <si>
    <t>2. Cost Optimization Strategies</t>
  </si>
  <si>
    <t>MANJIT KUMAR SINGH</t>
  </si>
  <si>
    <t>2.1 Right-Sizing Instances</t>
  </si>
  <si>
    <t>23EACIT028</t>
  </si>
  <si>
    <t>18-07-2026</t>
  </si>
  <si>
    <t>2.2 Reserved Instances &amp; Savings Plans</t>
  </si>
  <si>
    <t>AWS Solutions Architect Assessment 2</t>
  </si>
  <si>
    <t>2.3 Spot Instances for Fault-Tolerant Workloads</t>
  </si>
  <si>
    <t>2.4 S3 Intelligent-Tiering &amp; Lifecycle Rules</t>
  </si>
  <si>
    <t>2.5 Serverless for Variable Workloads</t>
  </si>
  <si>
    <t>2.6 Tagging Strategy for Cost Allocation</t>
  </si>
  <si>
    <t>Mayank Bhardwaj</t>
  </si>
  <si>
    <t>3. AWS Well-Architected Framework Deep Dive</t>
  </si>
  <si>
    <t>23eacad075</t>
  </si>
  <si>
    <t>3.1 Operational Excellence Pillar</t>
  </si>
  <si>
    <t>3.2 Security Pillar</t>
  </si>
  <si>
    <t>3.3 Reliability Pillar</t>
  </si>
  <si>
    <t>3.4 Performance Efficiency Pillar</t>
  </si>
  <si>
    <t>3.5 Cost Optimization Pillar</t>
  </si>
  <si>
    <t>3.6 Sustainability Pillar</t>
  </si>
  <si>
    <t>Mayank Saini</t>
  </si>
  <si>
    <t>23EAOCA046</t>
  </si>
  <si>
    <t>4. AWS Solution Design Patterns</t>
  </si>
  <si>
    <t>4.1 Loose Coupling</t>
  </si>
  <si>
    <t>4.2 Stateless Applications</t>
  </si>
  <si>
    <t>4.3 Caching Strategies</t>
  </si>
  <si>
    <t>4.4 Event-Driven Architectures</t>
  </si>
  <si>
    <t>Mehul Arora</t>
  </si>
  <si>
    <t>🔴 TEST 4: Security, HA &amp; Cost Optimization (Half Day)</t>
  </si>
  <si>
    <t>23EACCS186</t>
  </si>
  <si>
    <t>🏭 INDUSTRY LECTURE 5 (1 Hour)</t>
  </si>
  <si>
    <t>Topic: Architecting Cost-Optimized Solutions at Scale</t>
  </si>
  <si>
    <t>UNIT 9: EXAM PREPARATION &amp; FULL-LENGTH PRACTICE</t>
  </si>
  <si>
    <t>1. Full-Length Mock Exam — Day 1</t>
  </si>
  <si>
    <t>1.1 65 Questions, 130 Minutes (Exam Conditions)</t>
  </si>
  <si>
    <t>Mohammad Hasssan</t>
  </si>
  <si>
    <t>1.2 Domain-wise Score Analysis</t>
  </si>
  <si>
    <t>23RACCS191</t>
  </si>
  <si>
    <t>1.3 Identifying Weak Areas</t>
  </si>
  <si>
    <t>2. Service Comparison Revision</t>
  </si>
  <si>
    <t>2.1 SQS vs SNS vs EventBridge vs Kinesis</t>
  </si>
  <si>
    <t>2.2 RDS vs Aurora vs DynamoDB</t>
  </si>
  <si>
    <t>2.3 ALB vs NLB vs GWLB</t>
  </si>
  <si>
    <t>2.4 Security Groups vs NACLs</t>
  </si>
  <si>
    <t>2.5 EFS vs FSx vs S3 vs EBS</t>
  </si>
  <si>
    <t>2.6 CloudFront vs Global Accelerator</t>
  </si>
  <si>
    <t>3. Final Revision &amp; Exam Strategy</t>
  </si>
  <si>
    <t>Nidhist Prajapat</t>
  </si>
  <si>
    <t>3.1 Full-Length Mock Exam — Day 2</t>
  </si>
  <si>
    <t>23EACCS810</t>
  </si>
  <si>
    <t>3.2 Cheat Sheet Walkthrough (All 4 Domains)</t>
  </si>
  <si>
    <t>3.3 Common Confusion Pairs Review</t>
  </si>
  <si>
    <t>3.4 Well-Architected Framework Recap</t>
  </si>
  <si>
    <t>3.5 Exam Day Strategy</t>
  </si>
  <si>
    <t>3.5.1 Time Management (2 min per question)</t>
  </si>
  <si>
    <t>3.5.2 Flag-and-Review Technique</t>
  </si>
  <si>
    <t>3.5.3 Elimination Method for MCQs</t>
  </si>
  <si>
    <t>Nitesh Devanda</t>
  </si>
  <si>
    <t>3.6 Scheduling the Real Exam</t>
  </si>
  <si>
    <t>23EACAD083</t>
  </si>
  <si>
    <t>46-60</t>
  </si>
  <si>
    <t>🎯 FINAL CERTIFICATION EXAM PREPARATION</t>
  </si>
  <si>
    <t>Paarth Soni</t>
  </si>
  <si>
    <t>23EACCS824</t>
  </si>
  <si>
    <t>Pankaj</t>
  </si>
  <si>
    <t>23EACIT036</t>
  </si>
  <si>
    <t>Paras Gupta</t>
  </si>
  <si>
    <t>23EACCS823</t>
  </si>
  <si>
    <t>Pawan Singh Chauhan</t>
  </si>
  <si>
    <t>23EACCC041</t>
  </si>
  <si>
    <t>PIYUSH SHARMA</t>
  </si>
  <si>
    <t>23EACCS831</t>
  </si>
  <si>
    <t>Piyush Tulsani</t>
  </si>
  <si>
    <t>23EACCC043</t>
  </si>
  <si>
    <t>Project - 8 Highly Available Static Website on AWS using EC2, ELB ( ALB ) &amp; Auto Scaling</t>
  </si>
  <si>
    <t>Project 9 Design and Deployment of a 3 tier Highly Available and Scalable Web Application on AWS</t>
  </si>
  <si>
    <t>Project 10: Django E-Commerce Web Application with AWS RDS, S3, Load Balancer and Auto Scaling</t>
  </si>
  <si>
    <t>Poonam Agarwal</t>
  </si>
  <si>
    <t>23EACCS833</t>
  </si>
  <si>
    <t>https://drive.google.com/open?id=1_OK8_JKqznh9siVT7shOp136WGTYXmO7</t>
  </si>
  <si>
    <t>Prince Agarwal</t>
  </si>
  <si>
    <t>23EACCS838</t>
  </si>
  <si>
    <t>https://drive.google.com/open?id=1BtnKOLqqAHLsPSvzKShm6goP1yQXysTP</t>
  </si>
  <si>
    <t>https://drive.google.com/open?id=1o5t1MyIs-My-4HyQueGJPYvZemlEeLuU</t>
  </si>
  <si>
    <t>Prince Barnwal</t>
  </si>
  <si>
    <t>23EACCS839</t>
  </si>
  <si>
    <t>https://drive.google.com/open?id=145r9V_vwBYX6jedVOY2bGAbMrIYNhuDQ</t>
  </si>
  <si>
    <t>https://drive.google.com/open?id=1-Lou8Tuv_ctQNG4hVKILLvCy0KBKP4Fq</t>
  </si>
  <si>
    <t>https://drive.google.com/open?id=1Nfip8-Sz-ftUuE81OjF0FnuRSFVF9HjN</t>
  </si>
  <si>
    <t>Prince Kumar Sharma</t>
  </si>
  <si>
    <t>23EACIT039</t>
  </si>
  <si>
    <t xml:space="preserve">Ramit Ranjan </t>
  </si>
  <si>
    <t>23EACCS865</t>
  </si>
  <si>
    <t>https://drive.google.com/open?id=1D9mrsluzGRRyT25OdoXz-oXLTUvusScO</t>
  </si>
  <si>
    <t>https://drive.google.com/open?id=1DXbkcuobYbZ8tOxKdhIZdeYI15A1fyYL</t>
  </si>
  <si>
    <t>https://drive.google.com/open?id=15BrguBV6hfuSbFqYEvdTIIUsp4afZmlC</t>
  </si>
  <si>
    <t>Priyanshu Kumar</t>
  </si>
  <si>
    <t>23EACCS846</t>
  </si>
  <si>
    <t>https://drive.google.com/open?id=1Dp_h_tIneyV_ZSnfNR3yq3DrR9MhTlR_</t>
  </si>
  <si>
    <t>https://drive.google.com/open?id=1scB51jMHcI6y5uJy8a25_0EoRTD-bC8e</t>
  </si>
  <si>
    <t>Rahul Garhwal</t>
  </si>
  <si>
    <t>23EACCS858</t>
  </si>
  <si>
    <t>https://drive.google.com/open?id=1sMK_s2WquK8UsMDw0MDJ8CEwms1PsvcP</t>
  </si>
  <si>
    <t>KUSHAGRA SHARMA</t>
  </si>
  <si>
    <t>https://drive.google.com/open?id=1iAR0YUIUPSgSMKp7oI9EF4U2YKEyuBUd</t>
  </si>
  <si>
    <t>Rahul saini</t>
  </si>
  <si>
    <t>23EACCS861</t>
  </si>
  <si>
    <t>https://drive.google.com/open?id=1rhZwiE5sU5TIFL2HjYziY4lrJwD5cKUz</t>
  </si>
  <si>
    <t>https://drive.google.com/open?id=1WRxG-lIosrHa-ekKDlUxbO38imJVIMxX</t>
  </si>
  <si>
    <t>AA</t>
  </si>
  <si>
    <t>Ramit Ranjan</t>
  </si>
  <si>
    <t>https://drive.google.com/open?id=1Odd4qbLbMPVPoDV6-EFAHRq7dCO5i3yj</t>
  </si>
  <si>
    <t>https://drive.google.com/open?id=1Akw_0bnl7W9y1Dvysfv23RD0ZanBAePA</t>
  </si>
  <si>
    <t>https://drive.google.com/open?id=1fEoh8J1moyQ51vUAvRu6RyEazbx-CVx9</t>
  </si>
  <si>
    <t>Rohit Gupta</t>
  </si>
  <si>
    <t>23EACCS878</t>
  </si>
  <si>
    <t xml:space="preserve">ROHIT KUMAR KOLI </t>
  </si>
  <si>
    <t>23EACCS881</t>
  </si>
  <si>
    <t>https://drive.google.com/open?id=1-bfqoSpo9_iSIri3EE0Q9hOSEFQdvDIO</t>
  </si>
  <si>
    <t>https://drive.google.com/open?id=1AN69wpan1CSd7kzLItCHBUEe_5t1ymcd</t>
  </si>
  <si>
    <t>Rohit Kumar koli</t>
  </si>
  <si>
    <t>https://drive.google.com/open?id=1Yfs002SDw_L7RMUsKJXDf1VAEvt_Fd2L</t>
  </si>
  <si>
    <t>Sachin Kumar</t>
  </si>
  <si>
    <t>23EACCS887</t>
  </si>
  <si>
    <t>sachin kumar</t>
  </si>
  <si>
    <t>https://drive.google.com/open?id=1RhPe7TutQSEwkFPeGrErz-p5lWQfumFI</t>
  </si>
  <si>
    <t>https://drive.google.com/open?id=1zEboU_-c9b5PksbO9lOwjzpQEprkNQs5</t>
  </si>
  <si>
    <t>SAHIL YADAV</t>
  </si>
  <si>
    <t>23EACCS891</t>
  </si>
  <si>
    <t>https://drive.google.com/open?id=1sTUS-RHmrwDAHYGFAZD066OBf3QBtKyC</t>
  </si>
  <si>
    <t xml:space="preserve">Rahul saini </t>
  </si>
  <si>
    <t xml:space="preserve">23EACCS861 </t>
  </si>
  <si>
    <t>https://drive.google.com/open?id=1hDl2zXmyUpRYig8728oEVQlLdomtg2K-</t>
  </si>
  <si>
    <t>SANDEEP KUMAR SAINI</t>
  </si>
  <si>
    <t>23EACCS900</t>
  </si>
  <si>
    <t>https://drive.google.com/open?id=1UZ-hsOi7JzcB-Og2C2V2SWYtWUCwXSig</t>
  </si>
  <si>
    <t>https://drive.google.com/open?id=1r9d7GIHeXOaLp-h7fY9BJl2SJnKGe2tv</t>
  </si>
  <si>
    <t xml:space="preserve">Pawan singh chauhan </t>
  </si>
  <si>
    <t>https://drive.google.com/open?id=1gnj6obqr6sX9YEyK4vLnTPoOPyISpYKa</t>
  </si>
  <si>
    <t>Sanny kumar</t>
  </si>
  <si>
    <t>23EACCS902</t>
  </si>
  <si>
    <t>https://drive.google.com/open?id=1Vy_IX_v3bSos8R0wYL113dCYNFDtwlpu</t>
  </si>
  <si>
    <t>https://drive.google.com/open?id=1nRnSRRWpisOGjjX2zQmuDFhCBbNswaXu</t>
  </si>
  <si>
    <t>Shaikh Fahad</t>
  </si>
  <si>
    <t>23EACCS909</t>
  </si>
  <si>
    <t>https://drive.google.com/open?id=1qPW0Ci5jq3nK0v04Z2XnKWL5C1EAV0fQ</t>
  </si>
  <si>
    <t>https://drive.google.com/open?id=1RqmTAdwRXpMNul36w2jFXLeCZuVjmwBI</t>
  </si>
  <si>
    <t>https://drive.google.com/open?id=1x3_PZXMMIsROhCuGXBGGME06OoTljCju</t>
  </si>
  <si>
    <t>Shambhavi sharma</t>
  </si>
  <si>
    <t>23EACCS911</t>
  </si>
  <si>
    <t xml:space="preserve">Ujjawal mohit </t>
  </si>
  <si>
    <t>23EACCS954</t>
  </si>
  <si>
    <t>https://drive.google.com/open?id=1LDa5DkMFpyOqLZXj-owpgrJ8RVRYulvp</t>
  </si>
  <si>
    <t>https://drive.google.com/open?id=1maS76MTf1gaMniKeyErGbajlVv3zjas5</t>
  </si>
  <si>
    <t>OP</t>
  </si>
  <si>
    <t>Shrajan Chaturvedi</t>
  </si>
  <si>
    <t>https://drive.google.com/open?id=1pERz79EjcsgYIiqnXhz0CCVEMlL6S8zN</t>
  </si>
  <si>
    <t>23EACCS922</t>
  </si>
  <si>
    <t xml:space="preserve">Abhinav Sharma </t>
  </si>
  <si>
    <t>https://drive.google.com/open?id=1qeCNAcKgzXMerD6CVMJV1ULxf60Coh3Z</t>
  </si>
  <si>
    <t>https://drive.google.com/open?id=1cemXyhtUB4PpNbSZg8PAAlEOgAWgT-wS</t>
  </si>
  <si>
    <t>Shubham Kumar</t>
  </si>
  <si>
    <t>23eaccs927</t>
  </si>
  <si>
    <t>https://drive.google.com/open?id=1ozdJotIUEoD1XcAyCWnGwNf7tcaCxhhy</t>
  </si>
  <si>
    <t xml:space="preserve">Vijay Singh </t>
  </si>
  <si>
    <t>23EAOCS095</t>
  </si>
  <si>
    <t>https://drive.google.com/open?id=13odCpfj5fN0CQcYJlYuiXKSI4WLwchBu</t>
  </si>
  <si>
    <t>https://drive.google.com/open?id=1hxhwZnC2NwJGYWy9t6-cNIWqjigQZ_2Z</t>
  </si>
  <si>
    <t>Shubham kumar</t>
  </si>
  <si>
    <t>23EACCS926</t>
  </si>
  <si>
    <t>https://drive.google.com/open?id=1rG8bu0kHodI-R7JCS9_vBUHnJyNkJdzj</t>
  </si>
  <si>
    <t>https://drive.google.com/open?id=1ZloEiDRwdsJvjNEtfMtlz8081a5Jq-Pf</t>
  </si>
  <si>
    <t>SIDDHARTH PRAKASH</t>
  </si>
  <si>
    <t>23EACCS932</t>
  </si>
  <si>
    <t>https://drive.google.com/open?id=1Hylc_YlYvLs1dWHlz56gkrSW1dDaNPnX</t>
  </si>
  <si>
    <t>https://drive.google.com/open?id=1N_90oTwCVURSbM-1IRDQeaMiaeW1OI0g</t>
  </si>
  <si>
    <t>https://drive.google.com/open?id=1s7lZqqCU7oAnCv1-nwVKvq-a3lv6RQJI</t>
  </si>
  <si>
    <t>Sumit Kumar</t>
  </si>
  <si>
    <t>23EACCS940</t>
  </si>
  <si>
    <t>https://drive.google.com/open?id=1nPrcM825HsmIfo8zuloPBdzRYltBVSFe</t>
  </si>
  <si>
    <t>https://drive.google.com/open?id=1wjXm0_dCygh7TcNX8R4y5vLAVr2RTXaA</t>
  </si>
  <si>
    <t>Ujjawal mohit</t>
  </si>
  <si>
    <t xml:space="preserve">Piyush Tulsani </t>
  </si>
  <si>
    <t>https://drive.google.com/open?id=1zaJ7ELy63oGuDSV_y0zbU9uNclhXCUdH</t>
  </si>
  <si>
    <t>https://drive.google.com/open?id=1hppXvdqI5lrTr8V3-Fvi-5k_QpZWHt6D</t>
  </si>
  <si>
    <t>https://drive.google.com/open?id=1iS5Qifdj9waLEjEVJJLMjhaW1PT6HaHw</t>
  </si>
  <si>
    <t>Umesh Sawami</t>
  </si>
  <si>
    <t>23EACCC057</t>
  </si>
  <si>
    <t xml:space="preserve">lokesh solanki </t>
  </si>
  <si>
    <t>https://drive.google.com/open?id=1J-7F0x3ElJw0aKYhU8E8wSKWhauOa3HG</t>
  </si>
  <si>
    <t>https://drive.google.com/open?id=1nW9xdEGIilvSuc5fXdmbm-87FQB4GBE3</t>
  </si>
  <si>
    <t>https://drive.google.com/open?id=1nb49TtXEUFimZbWdWDVYUXvivGGU8t2Y</t>
  </si>
  <si>
    <t>Varun Sharma</t>
  </si>
  <si>
    <t>23EACCS960</t>
  </si>
  <si>
    <t>https://drive.google.com/open?id=1Wr3pUAELuz8QnXUJh3bAt4wosSJlikk0</t>
  </si>
  <si>
    <t>https://drive.google.com/open?id=12MNInbsneiFGk_Sq2PIjV8Q4hE_oZcZQ</t>
  </si>
  <si>
    <t>https://drive.google.com/open?id=1no5hv_nswKpUyZujI9wwSKqW8lky6Ism</t>
  </si>
  <si>
    <t>Vijay Singh</t>
  </si>
  <si>
    <t>https://drive.google.com/open?id=1xXvOEzhFhBwbNHkyszJyg6iZAuXz5wsr</t>
  </si>
  <si>
    <t>https://drive.google.com/open?id=1bFecmAaRR1DEbl6oc1BuQKfFElW3V2xt</t>
  </si>
  <si>
    <t>Vishnu Bhargava</t>
  </si>
  <si>
    <t>23eaccs970</t>
  </si>
  <si>
    <t>https://drive.google.com/open?id=1Qte70F6y-MZwPJG7PcQA5k_MVNenBoLI</t>
  </si>
  <si>
    <t>https://drive.google.com/open?id=14J6CLeFtX7gjk6O0rKIvKSUDHa3PEvlm</t>
  </si>
  <si>
    <t>https://drive.google.com/open?id=1jM5_Kipcd2Ve2rAHIfMsEHfZt4XMeimr</t>
  </si>
  <si>
    <t>https://drive.google.com/open?id=1eKPG-7qATpHzw8QxSgy4-aZyeRHxcfzG</t>
  </si>
  <si>
    <t>https://drive.google.com/open?id=1ZX3kA1LW-9og6lvKqz-IRMVVbeLsMCze</t>
  </si>
  <si>
    <t>https://drive.google.com/open?id=1szDxeYtl6OzKOe1Ih2CXzJ6o1HquFX9X</t>
  </si>
  <si>
    <t>https://drive.google.com/open?id=1KnGJu0zkb7x_yjzuJquZPxXwSXvdAywO</t>
  </si>
  <si>
    <t>https://drive.google.com/open?id=1uykIJZzQRA-NzFSPpCZBoTgDfNBhgltd</t>
  </si>
  <si>
    <t>https://drive.google.com/open?id=1YeHciB_ribaXxn6Noj_jxDN9px2fjQQs</t>
  </si>
  <si>
    <t>https://drive.google.com/open?id=1w_t1_qSZJryk0qaNHM8vrLKV43X5ewxu</t>
  </si>
  <si>
    <t>https://drive.google.com/open?id=1MYfmPmRq4FlUsCgWfpoMtEheIRRPQs6-</t>
  </si>
  <si>
    <t>https://drive.google.com/open?id=1Cr7sq-Hb12TSIFJIPOzvR0ni2XGsZX5_</t>
  </si>
  <si>
    <t>https://drive.google.com/open?id=13zjd03MlGQlI73IzMPUP9BqKiESyCbLV</t>
  </si>
  <si>
    <t xml:space="preserve">Aditya Sharma </t>
  </si>
  <si>
    <t>https://drive.google.com/open?id=1PY-fp3Lb5khGsV0zC25hJDeJYLPKeE1S</t>
  </si>
  <si>
    <t>https://drive.google.com/open?id=1P1Zyig92P4ImICoYX240SFC0V4H5pBMY</t>
  </si>
  <si>
    <t>https://drive.google.com/open?id=1zceqlJ4bJTcyozENyuu5tLbQ8z1hEXcK</t>
  </si>
  <si>
    <t>https://drive.google.com/open?id=1Amq2fvsfCAxq33W4QNlAtJdFofXScHL6</t>
  </si>
  <si>
    <t>https://drive.google.com/open?id=1M0TqilZdqXZMJurFG04rJQAcLulTYqXG</t>
  </si>
  <si>
    <t>https://drive.google.com/open?id=1nxokD-MGJByPnQRRhHGUBlciPHyzHp3k</t>
  </si>
  <si>
    <t>https://drive.google.com/open?id=1cWRqObgR3QiVRoXJgTvqCp1-CnPR_Ggl</t>
  </si>
  <si>
    <t>https://drive.google.com/open?id=1KCz1Oys33Y1rjqYBhbC8HHwv6QKOSYNY</t>
  </si>
  <si>
    <t>https://drive.google.com/open?id=1pYTWdsjRH0c32PdH6FQ0jxxnhY3k2vSf</t>
  </si>
  <si>
    <t>https://drive.google.com/open?id=1MhcfBhDBSrBe9hmnearNItpNCY2uytX2</t>
  </si>
  <si>
    <t>https://drive.google.com/open?id=11bJwLMEVyy0dAVQhFBwpfLg2XBMX9q89</t>
  </si>
  <si>
    <t>https://drive.google.com/open?id=1g2BcE6rLrbL4bZqC8lp2PGzWQQ7UeoWt</t>
  </si>
  <si>
    <t>https://drive.google.com/open?id=1pyeILBk5d-sm4MR7BIB18p_4b75kfF_v</t>
  </si>
  <si>
    <t>https://drive.google.com/open?id=1aCTSnNlPnNRFx1tFD1Oe5al7WB5DdVr_</t>
  </si>
  <si>
    <t>https://drive.google.com/open?id=1NhW1DVIp5jRW8o9UtEHMDH3tbmgolfHq</t>
  </si>
  <si>
    <t>https://drive.google.com/open?id=1h4x0DXnhQf3J7fz4PMJrgcuoEnYBTgsu</t>
  </si>
  <si>
    <t>https://drive.google.com/open?id=1mKfBHqiOOnOzwLA2EtSavuGLn-k6IXxx</t>
  </si>
  <si>
    <t>https://drive.google.com/open?id=1QQggI08Y0_-T2fTBlZDAs8uaBvEhuOe9</t>
  </si>
  <si>
    <t xml:space="preserve">Prince Kumar Sharma </t>
  </si>
  <si>
    <t>https://drive.google.com/open?id=1ooZRGuwcW7LT4-0fXT47OFDWKMu1GenR</t>
  </si>
  <si>
    <t>https://drive.google.com/open?id=1XApbBOa74vTmgIMwXiP-gUM3291g7M_L</t>
  </si>
  <si>
    <t>https://drive.google.com/open?id=1KuCU3781LnflL1KZjbN0h_5kbjNr3Eo-</t>
  </si>
  <si>
    <t xml:space="preserve">Umesh Swami </t>
  </si>
  <si>
    <t>https://drive.google.com/open?id=1q_R8ouPTBvop5XiP0qoUENk_JXPjZGVH</t>
  </si>
  <si>
    <t>https://drive.google.com/open?id=1dvP3yZ35CEcW46nhTv2cdMB9AaBLzAX9</t>
  </si>
  <si>
    <t>https://drive.google.com/open?id=19CKCMK66vionzhZGLFPsfXdT3528YvWH</t>
  </si>
  <si>
    <t>HARSH gupta</t>
  </si>
  <si>
    <t>https://drive.google.com/open?id=1S0V0Vgk0xGB4_4dPf5yCv86HVtLlXZ01</t>
  </si>
  <si>
    <t>https://drive.google.com/open?id=1L7poKSPMhTHM3Z3t4WKvIHrqW5Y-jeJO</t>
  </si>
  <si>
    <t>https://drive.google.com/open?id=1qCxgQIt6WV0QlagfQFCyGvp3MHgNNssO</t>
  </si>
  <si>
    <t xml:space="preserve">Paarth soni </t>
  </si>
  <si>
    <t>https://drive.google.com/open?id=1NraizBeNNr3SJkcbCgKI54iNZ8iVKZSH</t>
  </si>
  <si>
    <t>https://drive.google.com/open?id=1Eszo-StxL4BPil4y7yZG6gcAFbRcLg7G</t>
  </si>
  <si>
    <t>https://drive.google.com/open?id=1Z5UIdqq1gOjvwRUo_OQsyjWq4L1lEyt3</t>
  </si>
  <si>
    <t>https://drive.google.com/open?id=1f1Nkfp5eIyiouH8yk19LHua9iqMKtEyx</t>
  </si>
  <si>
    <t>https://drive.google.com/open?id=1C5ODckSf1iJFw0jbpkAnIFUF4ahMgus5</t>
  </si>
  <si>
    <t>https://drive.google.com/open?id=1oNjjck1fbLszIIP5l3rQHREGSeUX6-zj</t>
  </si>
  <si>
    <t>https://drive.google.com/open?id=14xKLp83zxcNvKQ2v7nsPIBzViZU1I4f1</t>
  </si>
  <si>
    <t>https://drive.google.com/open?id=12FdknYpiSJVwR-0hufpAkpUkNGNGQtIM</t>
  </si>
  <si>
    <t>https://drive.google.com/open?id=1gvgzRtC_7CP8UQfG0IGUg37d2WBKJjJV</t>
  </si>
  <si>
    <t>Sandeep Kumar Saini</t>
  </si>
  <si>
    <t>https://drive.google.com/open?id=1tHDZ3qN9VLigvUF6q_UXg9SnP5-8aKcU</t>
  </si>
  <si>
    <t>https://drive.google.com/open?id=1c_KtjC3oe0DdOVGtEJLxg1MYPI-XS0fG</t>
  </si>
  <si>
    <t>https://drive.google.com/open?id=1EEYlqOsNGYWedtt5Z0eBIitYyX_wVP2o</t>
  </si>
  <si>
    <t>p</t>
  </si>
  <si>
    <t>Present</t>
  </si>
  <si>
    <t>Offline Present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</si>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</sst>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"/>
    <numFmt numFmtId="166" formatCode="mm-dd-yyyy"/>
    <numFmt numFmtId="167" formatCode="mm-dd-yy"/>
  </numFmts>
  <fonts count="30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sz val="12.0"/>
      <color rgb="FFFFFFFF"/>
      <name val="Calibri"/>
    </font>
    <font>
      <color theme="1"/>
      <name val="Arial"/>
    </font>
    <font/>
    <font>
      <sz val="11.0"/>
      <color rgb="FF000000"/>
      <name val="Calibri"/>
    </font>
    <font>
      <i/>
      <sz val="9.0"/>
      <color rgb="FFFFFFFF"/>
      <name val="Calibri"/>
    </font>
    <font>
      <b/>
      <sz val="9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9.0"/>
      <color rgb="FF2C3E50"/>
      <name val="Calibri"/>
    </font>
    <font>
      <sz val="9.0"/>
      <color rgb="FF2C3E50"/>
      <name val="Calibri"/>
    </font>
    <font>
      <color theme="1"/>
      <name val="Arial"/>
      <scheme val="minor"/>
    </font>
    <font>
      <u/>
      <sz val="9.0"/>
      <color rgb="FF0000FF"/>
      <name val="Calibri"/>
    </font>
    <font>
      <u/>
      <sz val="9.0"/>
      <color rgb="FF0000FF"/>
      <name val="Calibri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9.0"/>
      <color theme="1"/>
      <name val="Calibri"/>
    </font>
    <font>
      <sz val="9.0"/>
      <color rgb="FF1F1F1F"/>
      <name val="Docs-Roboto"/>
    </font>
    <font>
      <sz val="9.0"/>
      <color rgb="FF1F1F1F"/>
      <name val="Roboto"/>
    </font>
    <font>
      <b/>
      <sz val="11.0"/>
      <color rgb="FF000000"/>
      <name val="Calibri"/>
    </font>
    <font>
      <b/>
      <color theme="1"/>
      <name val="Times New Roman"/>
    </font>
    <font>
      <b/>
      <sz val="11.0"/>
      <color theme="1"/>
      <name val="Calibri"/>
    </font>
    <font>
      <color rgb="FF000000"/>
      <name val="Roboto"/>
    </font>
    <font>
      <u/>
      <color rgb="FF000000"/>
      <name val="Roboto"/>
    </font>
    <font>
      <color rgb="FF434343"/>
      <name val="Roboto"/>
    </font>
    <font>
      <u/>
      <color rgb="FF434343"/>
      <name val="Roboto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5D6D7E"/>
        <bgColor rgb="FF5D6D7E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</fills>
  <borders count="1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top" wrapText="0"/>
    </xf>
    <xf borderId="3" fillId="4" fontId="3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horizontal="left" readingOrder="0" shrinkToFit="0" vertical="top" wrapText="0"/>
    </xf>
    <xf borderId="0" fillId="3" fontId="2" numFmtId="0" xfId="0" applyAlignment="1" applyFont="1">
      <alignment horizontal="center" vertical="center"/>
    </xf>
    <xf borderId="4" fillId="0" fontId="5" numFmtId="0" xfId="0" applyBorder="1" applyFont="1"/>
    <xf borderId="0" fillId="0" fontId="2" numFmtId="0" xfId="0" applyAlignment="1" applyFont="1">
      <alignment horizontal="center" readingOrder="0" shrinkToFit="0" wrapText="1"/>
    </xf>
    <xf borderId="5" fillId="0" fontId="5" numFmtId="0" xfId="0" applyBorder="1" applyFont="1"/>
    <xf borderId="0" fillId="0" fontId="4" numFmtId="0" xfId="0" applyAlignment="1" applyFont="1">
      <alignment vertical="bottom"/>
    </xf>
    <xf borderId="1" fillId="0" fontId="6" numFmtId="0" xfId="0" applyAlignment="1" applyBorder="1" applyFont="1">
      <alignment readingOrder="0" shrinkToFit="0" vertical="bottom" wrapText="0"/>
    </xf>
    <xf borderId="6" fillId="3" fontId="2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shrinkToFit="0" vertical="bottom" wrapText="0"/>
    </xf>
    <xf borderId="7" fillId="0" fontId="5" numFmtId="0" xfId="0" applyBorder="1" applyFont="1"/>
    <xf borderId="8" fillId="0" fontId="5" numFmtId="0" xfId="0" applyBorder="1" applyFont="1"/>
    <xf borderId="0" fillId="0" fontId="2" numFmtId="0" xfId="0" applyAlignment="1" applyFont="1">
      <alignment horizontal="center" readingOrder="0" vertical="center"/>
    </xf>
    <xf borderId="0" fillId="0" fontId="4" numFmtId="0" xfId="0" applyFont="1"/>
    <xf borderId="3" fillId="5" fontId="7" numFmtId="0" xfId="0" applyAlignment="1" applyBorder="1" applyFill="1" applyFont="1">
      <alignment horizontal="center" readingOrder="0" shrinkToFit="0" vertical="bottom" wrapText="1"/>
    </xf>
    <xf borderId="9" fillId="3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shrinkToFit="0" wrapText="1"/>
    </xf>
    <xf borderId="10" fillId="5" fontId="8" numFmtId="0" xfId="0" applyAlignment="1" applyBorder="1" applyFont="1">
      <alignment horizontal="center" shrinkToFit="0" vertical="bottom" wrapText="1"/>
    </xf>
    <xf borderId="11" fillId="0" fontId="5" numFmtId="0" xfId="0" applyBorder="1" applyFont="1"/>
    <xf borderId="9" fillId="3" fontId="2" numFmtId="165" xfId="0" applyAlignment="1" applyBorder="1" applyFont="1" applyNumberFormat="1">
      <alignment horizontal="center" vertical="bottom"/>
    </xf>
    <xf borderId="10" fillId="5" fontId="9" numFmtId="0" xfId="0" applyAlignment="1" applyBorder="1" applyFont="1">
      <alignment horizontal="center" shrinkToFit="0" vertical="bottom" wrapText="1"/>
    </xf>
    <xf borderId="10" fillId="3" fontId="10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center" readingOrder="0" vertical="center"/>
    </xf>
    <xf borderId="10" fillId="3" fontId="11" numFmtId="0" xfId="0" applyAlignment="1" applyBorder="1" applyFont="1">
      <alignment shrinkToFit="0" vertical="bottom" wrapText="1"/>
    </xf>
    <xf borderId="10" fillId="6" fontId="12" numFmtId="0" xfId="0" applyAlignment="1" applyBorder="1" applyFill="1" applyFont="1">
      <alignment shrinkToFit="0" vertical="bottom" wrapText="1"/>
    </xf>
    <xf borderId="10" fillId="3" fontId="12" numFmtId="0" xfId="0" applyAlignment="1" applyBorder="1" applyFont="1">
      <alignment horizontal="center" shrinkToFit="0" vertical="bottom" wrapText="1"/>
    </xf>
    <xf borderId="10" fillId="6" fontId="4" numFmtId="0" xfId="0" applyAlignment="1" applyBorder="1" applyFont="1">
      <alignment vertical="bottom"/>
    </xf>
    <xf borderId="9" fillId="0" fontId="4" numFmtId="0" xfId="0" applyAlignment="1" applyBorder="1" applyFont="1">
      <alignment horizontal="center" readingOrder="0"/>
    </xf>
    <xf borderId="9" fillId="3" fontId="10" numFmtId="0" xfId="0" applyAlignment="1" applyBorder="1" applyFont="1">
      <alignment horizontal="center" vertical="center"/>
    </xf>
    <xf borderId="10" fillId="3" fontId="4" numFmtId="0" xfId="0" applyAlignment="1" applyBorder="1" applyFont="1">
      <alignment vertical="bottom"/>
    </xf>
    <xf borderId="10" fillId="3" fontId="4" numFmtId="0" xfId="0" applyAlignment="1" applyBorder="1" applyFont="1">
      <alignment vertical="top"/>
    </xf>
    <xf borderId="9" fillId="0" fontId="13" numFmtId="0" xfId="0" applyAlignment="1" applyBorder="1" applyFont="1">
      <alignment horizontal="center" readingOrder="0"/>
    </xf>
    <xf borderId="10" fillId="6" fontId="10" numFmtId="0" xfId="0" applyAlignment="1" applyBorder="1" applyFont="1">
      <alignment horizontal="center" shrinkToFit="0" vertical="bottom" wrapText="1"/>
    </xf>
    <xf borderId="10" fillId="6" fontId="12" numFmtId="0" xfId="0" applyAlignment="1" applyBorder="1" applyFont="1">
      <alignment horizontal="center" shrinkToFit="0" vertical="bottom" wrapText="1"/>
    </xf>
    <xf borderId="10" fillId="6" fontId="4" numFmtId="0" xfId="0" applyAlignment="1" applyBorder="1" applyFont="1">
      <alignment vertical="top"/>
    </xf>
    <xf borderId="6" fillId="0" fontId="13" numFmtId="0" xfId="0" applyBorder="1" applyFont="1"/>
    <xf borderId="0" fillId="0" fontId="13" numFmtId="0" xfId="0" applyFont="1"/>
    <xf borderId="9" fillId="0" fontId="10" numFmtId="0" xfId="0" applyAlignment="1" applyBorder="1" applyFont="1">
      <alignment horizontal="center" vertical="bottom"/>
    </xf>
    <xf borderId="9" fillId="7" fontId="13" numFmtId="0" xfId="0" applyAlignment="1" applyBorder="1" applyFill="1" applyFont="1">
      <alignment horizontal="center" readingOrder="0"/>
    </xf>
    <xf borderId="12" fillId="0" fontId="5" numFmtId="0" xfId="0" applyBorder="1" applyFont="1"/>
    <xf borderId="9" fillId="3" fontId="2" numFmtId="164" xfId="0" applyAlignment="1" applyBorder="1" applyFont="1" applyNumberFormat="1">
      <alignment horizontal="center" vertical="bottom"/>
    </xf>
    <xf borderId="9" fillId="0" fontId="10" numFmtId="0" xfId="0" applyAlignment="1" applyBorder="1" applyFont="1">
      <alignment horizontal="center" vertical="center"/>
    </xf>
    <xf borderId="10" fillId="6" fontId="14" numFmtId="0" xfId="0" applyAlignment="1" applyBorder="1" applyFont="1">
      <alignment shrinkToFit="0" vertical="bottom" wrapText="1"/>
    </xf>
    <xf borderId="10" fillId="3" fontId="11" numFmtId="0" xfId="0" applyAlignment="1" applyBorder="1" applyFont="1">
      <alignment readingOrder="0" shrinkToFit="0" vertical="bottom" wrapText="1"/>
    </xf>
    <xf borderId="10" fillId="6" fontId="12" numFmtId="0" xfId="0" applyAlignment="1" applyBorder="1" applyFont="1">
      <alignment readingOrder="0" shrinkToFit="0" vertical="bottom" wrapText="1"/>
    </xf>
    <xf borderId="10" fillId="3" fontId="12" numFmtId="0" xfId="0" applyAlignment="1" applyBorder="1" applyFont="1">
      <alignment horizontal="center" readingOrder="0" shrinkToFit="0" vertical="bottom" wrapText="1"/>
    </xf>
    <xf borderId="0" fillId="5" fontId="9" numFmtId="0" xfId="0" applyAlignment="1" applyFont="1">
      <alignment horizontal="center" readingOrder="0" shrinkToFit="0" vertical="bottom" wrapText="1"/>
    </xf>
    <xf borderId="0" fillId="3" fontId="10" numFmtId="0" xfId="0" applyAlignment="1" applyFont="1">
      <alignment horizontal="center" readingOrder="0" shrinkToFit="0" vertical="bottom" wrapText="1"/>
    </xf>
    <xf borderId="0" fillId="3" fontId="12" numFmtId="0" xfId="0" applyAlignment="1" applyFont="1">
      <alignment horizontal="center" readingOrder="0" shrinkToFit="0" vertical="bottom" wrapText="1"/>
    </xf>
    <xf borderId="10" fillId="6" fontId="15" numFmtId="0" xfId="0" applyAlignment="1" applyBorder="1" applyFont="1">
      <alignment readingOrder="0" shrinkToFit="0" vertical="bottom" wrapText="1"/>
    </xf>
    <xf borderId="0" fillId="3" fontId="16" numFmtId="0" xfId="0" applyAlignment="1" applyFont="1">
      <alignment readingOrder="0" vertical="top"/>
    </xf>
    <xf borderId="9" fillId="0" fontId="4" numFmtId="0" xfId="0" applyAlignment="1" applyBorder="1" applyFont="1">
      <alignment horizontal="center"/>
    </xf>
    <xf borderId="0" fillId="5" fontId="9" numFmtId="0" xfId="0" applyAlignment="1" applyFont="1">
      <alignment horizontal="center" shrinkToFit="0" vertical="bottom" wrapText="1"/>
    </xf>
    <xf borderId="0" fillId="3" fontId="10" numFmtId="166" xfId="0" applyAlignment="1" applyFont="1" applyNumberFormat="1">
      <alignment horizontal="center" shrinkToFit="0" vertical="bottom" wrapText="1"/>
    </xf>
    <xf borderId="0" fillId="6" fontId="12" numFmtId="0" xfId="0" applyAlignment="1" applyFont="1">
      <alignment readingOrder="0" shrinkToFit="0" vertical="bottom" wrapText="1"/>
    </xf>
    <xf borderId="0" fillId="3" fontId="12" numFmtId="0" xfId="0" applyAlignment="1" applyFont="1">
      <alignment horizontal="center" shrinkToFit="0" vertical="bottom" wrapText="1"/>
    </xf>
    <xf borderId="0" fillId="3" fontId="4" numFmtId="0" xfId="0" applyAlignment="1" applyFont="1">
      <alignment vertical="bottom"/>
    </xf>
    <xf borderId="0" fillId="3" fontId="4" numFmtId="0" xfId="0" applyAlignment="1" applyFont="1">
      <alignment vertical="top"/>
    </xf>
    <xf borderId="9" fillId="0" fontId="4" numFmtId="2" xfId="0" applyAlignment="1" applyBorder="1" applyFont="1" applyNumberFormat="1">
      <alignment horizontal="center" vertical="bottom"/>
    </xf>
    <xf borderId="9" fillId="0" fontId="4" numFmtId="0" xfId="0" applyAlignment="1" applyBorder="1" applyFont="1">
      <alignment horizontal="center" readingOrder="0" vertical="center"/>
    </xf>
    <xf borderId="11" fillId="7" fontId="2" numFmtId="0" xfId="0" applyAlignment="1" applyBorder="1" applyFont="1">
      <alignment horizontal="center" textRotation="255" vertical="center"/>
    </xf>
    <xf borderId="9" fillId="0" fontId="4" numFmtId="0" xfId="0" applyAlignment="1" applyBorder="1" applyFont="1">
      <alignment horizontal="center" readingOrder="0" vertical="bottom"/>
    </xf>
    <xf borderId="0" fillId="3" fontId="10" numFmtId="166" xfId="0" applyAlignment="1" applyFont="1" applyNumberFormat="1">
      <alignment horizontal="center" readingOrder="0" shrinkToFit="0" vertical="bottom" wrapText="1"/>
    </xf>
    <xf borderId="0" fillId="3" fontId="11" numFmtId="0" xfId="0" applyAlignment="1" applyFont="1">
      <alignment readingOrder="0" shrinkToFit="0" vertical="bottom" wrapText="1"/>
    </xf>
    <xf borderId="10" fillId="6" fontId="17" numFmtId="0" xfId="0" applyAlignment="1" applyBorder="1" applyFont="1">
      <alignment readingOrder="0" vertical="bottom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readingOrder="0" vertical="top"/>
    </xf>
    <xf borderId="9" fillId="0" fontId="4" numFmtId="0" xfId="0" applyAlignment="1" applyBorder="1" applyFont="1">
      <alignment horizontal="center" vertical="bottom"/>
    </xf>
    <xf borderId="10" fillId="6" fontId="4" numFmtId="0" xfId="0" applyAlignment="1" applyBorder="1" applyFont="1">
      <alignment readingOrder="0" vertical="bottom"/>
    </xf>
    <xf borderId="9" fillId="0" fontId="13" numFmtId="0" xfId="0" applyAlignment="1" applyBorder="1" applyFont="1">
      <alignment horizontal="center" readingOrder="0" vertical="center"/>
    </xf>
    <xf borderId="9" fillId="0" fontId="13" numFmtId="0" xfId="0" applyAlignment="1" applyBorder="1" applyFont="1">
      <alignment horizontal="center"/>
    </xf>
    <xf borderId="0" fillId="3" fontId="10" numFmtId="0" xfId="0" applyAlignment="1" applyFont="1">
      <alignment horizontal="center" shrinkToFit="0" vertical="bottom" wrapText="1"/>
    </xf>
    <xf borderId="0" fillId="3" fontId="11" numFmtId="0" xfId="0" applyAlignment="1" applyFont="1">
      <alignment shrinkToFit="0" vertical="bottom" wrapText="1"/>
    </xf>
    <xf borderId="0" fillId="6" fontId="12" numFmtId="0" xfId="0" applyAlignment="1" applyFont="1">
      <alignment shrinkToFit="0" vertical="bottom" wrapText="1"/>
    </xf>
    <xf borderId="0" fillId="6" fontId="4" numFmtId="0" xfId="0" applyAlignment="1" applyFont="1">
      <alignment vertical="bottom"/>
    </xf>
    <xf borderId="9" fillId="3" fontId="10" numFmtId="11" xfId="0" applyAlignment="1" applyBorder="1" applyFont="1" applyNumberFormat="1">
      <alignment horizontal="center" vertical="center"/>
    </xf>
    <xf borderId="0" fillId="6" fontId="18" numFmtId="0" xfId="0" applyAlignment="1" applyFont="1">
      <alignment readingOrder="0" vertical="bottom"/>
    </xf>
    <xf borderId="0" fillId="6" fontId="4" numFmtId="0" xfId="0" applyAlignment="1" applyFont="1">
      <alignment readingOrder="0" vertical="bottom"/>
    </xf>
    <xf borderId="0" fillId="0" fontId="19" numFmtId="0" xfId="0" applyAlignment="1" applyFont="1">
      <alignment readingOrder="0" shrinkToFit="0" textRotation="0" vertical="bottom" wrapText="1"/>
    </xf>
    <xf borderId="0" fillId="6" fontId="4" numFmtId="0" xfId="0" applyAlignment="1" applyFont="1">
      <alignment readingOrder="0" shrinkToFit="0" vertical="bottom" wrapText="1"/>
    </xf>
    <xf borderId="0" fillId="3" fontId="10" numFmtId="167" xfId="0" applyAlignment="1" applyFont="1" applyNumberFormat="1">
      <alignment horizontal="center" readingOrder="0" shrinkToFit="0" vertical="bottom" wrapText="1"/>
    </xf>
    <xf borderId="9" fillId="0" fontId="6" numFmtId="0" xfId="0" applyAlignment="1" applyBorder="1" applyFont="1">
      <alignment horizontal="center" readingOrder="0" shrinkToFit="0" vertical="bottom" wrapText="0"/>
    </xf>
    <xf borderId="9" fillId="0" fontId="13" numFmtId="0" xfId="0" applyBorder="1" applyFont="1"/>
    <xf borderId="0" fillId="3" fontId="20" numFmtId="0" xfId="0" applyAlignment="1" applyFont="1">
      <alignment readingOrder="0"/>
    </xf>
    <xf borderId="0" fillId="3" fontId="21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1" fillId="0" fontId="2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top" wrapText="0"/>
    </xf>
    <xf borderId="6" fillId="3" fontId="2" numFmtId="0" xfId="0" applyAlignment="1" applyBorder="1" applyFont="1">
      <alignment horizontal="center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3" fontId="23" numFmtId="0" xfId="0" applyAlignment="1" applyBorder="1" applyFont="1">
      <alignment horizontal="center" shrinkToFit="0" vertical="center" wrapText="1"/>
    </xf>
    <xf borderId="2" fillId="8" fontId="24" numFmtId="0" xfId="0" applyAlignment="1" applyBorder="1" applyFill="1" applyFont="1">
      <alignment horizontal="center" shrinkToFit="0" vertical="center" wrapText="1"/>
    </xf>
    <xf borderId="2" fillId="8" fontId="24" numFmtId="0" xfId="0" applyAlignment="1" applyBorder="1" applyFont="1">
      <alignment horizontal="center" readingOrder="0" shrinkToFit="0" vertical="center" wrapText="1"/>
    </xf>
    <xf borderId="14" fillId="8" fontId="24" numFmtId="0" xfId="0" applyAlignment="1" applyBorder="1" applyFont="1">
      <alignment horizontal="center" readingOrder="0" shrinkToFit="0" vertical="center" wrapText="1"/>
    </xf>
    <xf borderId="13" fillId="3" fontId="24" numFmtId="0" xfId="0" applyAlignment="1" applyBorder="1" applyFont="1">
      <alignment horizontal="center" shrinkToFit="0" vertical="center" wrapText="1"/>
    </xf>
    <xf borderId="0" fillId="3" fontId="24" numFmtId="0" xfId="0" applyAlignment="1" applyFont="1">
      <alignment horizontal="center" shrinkToFit="0" vertical="center" wrapText="1"/>
    </xf>
    <xf borderId="13" fillId="0" fontId="5" numFmtId="0" xfId="0" applyBorder="1" applyFont="1"/>
    <xf borderId="15" fillId="0" fontId="5" numFmtId="0" xfId="0" applyBorder="1" applyFont="1"/>
    <xf borderId="9" fillId="3" fontId="4" numFmtId="0" xfId="0" applyAlignment="1" applyBorder="1" applyFont="1">
      <alignment horizontal="center" readingOrder="0"/>
    </xf>
    <xf borderId="9" fillId="3" fontId="25" numFmtId="0" xfId="0" applyAlignment="1" applyBorder="1" applyFont="1">
      <alignment shrinkToFit="0" wrapText="0"/>
    </xf>
    <xf borderId="9" fillId="3" fontId="26" numFmtId="0" xfId="0" applyAlignment="1" applyBorder="1" applyFont="1">
      <alignment shrinkToFit="0" wrapText="0"/>
    </xf>
    <xf borderId="13" fillId="3" fontId="2" numFmtId="0" xfId="0" applyAlignment="1" applyBorder="1" applyFont="1">
      <alignment horizontal="center" shrinkToFit="0" wrapText="1"/>
    </xf>
    <xf borderId="0" fillId="3" fontId="2" numFmtId="0" xfId="0" applyAlignment="1" applyFont="1">
      <alignment horizontal="center" shrinkToFit="0" wrapText="1"/>
    </xf>
    <xf borderId="13" fillId="0" fontId="13" numFmtId="0" xfId="0" applyBorder="1" applyFont="1"/>
    <xf borderId="9" fillId="0" fontId="13" numFmtId="0" xfId="0" applyAlignment="1" applyBorder="1" applyFont="1">
      <alignment readingOrder="0"/>
    </xf>
    <xf borderId="9" fillId="3" fontId="27" numFmtId="0" xfId="0" applyAlignment="1" applyBorder="1" applyFont="1">
      <alignment shrinkToFit="0" wrapText="0"/>
    </xf>
    <xf borderId="9" fillId="3" fontId="28" numFmtId="0" xfId="0" applyAlignment="1" applyBorder="1" applyFont="1">
      <alignment shrinkToFit="0" wrapText="0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0" fillId="0" fontId="29" numFmtId="0" xfId="0" applyAlignment="1" applyFont="1">
      <alignment horizontal="right" readingOrder="0"/>
    </xf>
    <xf borderId="0" fillId="0" fontId="29" numFmtId="0" xfId="0" applyAlignment="1" applyFont="1">
      <alignment horizontal="center" readingOrder="0"/>
    </xf>
    <xf borderId="0" fillId="0" fontId="13" numFmtId="0" xfId="0" applyAlignment="1" applyFont="1">
      <alignment horizontal="right" readingOrder="0"/>
    </xf>
    <xf borderId="9" fillId="3" fontId="27" numFmtId="11" xfId="0" applyAlignment="1" applyBorder="1" applyFont="1" applyNumberFormat="1">
      <alignment shrinkToFit="0" wrapText="0"/>
    </xf>
    <xf borderId="0" fillId="0" fontId="13" numFmtId="0" xfId="0" applyAlignment="1" applyFont="1">
      <alignment horizontal="center" readingOrder="0"/>
    </xf>
    <xf borderId="9" fillId="3" fontId="27" numFmtId="0" xfId="0" applyAlignment="1" applyBorder="1" applyFont="1">
      <alignment shrinkToFit="0" wrapText="0"/>
    </xf>
    <xf borderId="9" fillId="0" fontId="10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9" fontId="2" numFmtId="0" xfId="0" applyAlignment="1" applyFill="1" applyFont="1">
      <alignment vertical="bottom"/>
    </xf>
    <xf borderId="0" fillId="9" fontId="2" numFmtId="0" xfId="0" applyAlignment="1" applyFont="1">
      <alignment horizontal="right" vertical="bottom"/>
    </xf>
    <xf borderId="0" fillId="7" fontId="2" numFmtId="0" xfId="0" applyAlignment="1" applyFont="1">
      <alignment vertical="bottom"/>
    </xf>
    <xf borderId="0" fillId="7" fontId="2" numFmtId="0" xfId="0" applyAlignment="1" applyFont="1">
      <alignment horizontal="right" vertical="bottom"/>
    </xf>
    <xf borderId="0" fillId="10" fontId="2" numFmtId="0" xfId="0" applyAlignment="1" applyFill="1" applyFont="1">
      <alignment vertical="bottom"/>
    </xf>
    <xf borderId="0" fillId="10" fontId="2" numFmtId="0" xfId="0" applyAlignment="1" applyFont="1">
      <alignment horizontal="right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2" pivot="0" name="Projec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F4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roj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Ulz4ABLRC7uuvB77aS4a8SfgDN8fcbna5KLTpQ5Wx9w/edit?usp=sharing" TargetMode="External"/><Relationship Id="rId22" Type="http://schemas.openxmlformats.org/officeDocument/2006/relationships/hyperlink" Target="https://docs.google.com/spreadsheets/d/1nxUVhW_wADYei7KO0GwTQz41C_op5gXInJKpE01iMUM/edit?usp=sharing" TargetMode="External"/><Relationship Id="rId21" Type="http://schemas.openxmlformats.org/officeDocument/2006/relationships/hyperlink" Target="https://docs.google.com/spreadsheets/d/1e14OEI0EW9HVFyBcyoP2w0-rNO8PSP-tNNgzaTQieTc/edit?usp=sharing" TargetMode="External"/><Relationship Id="rId24" Type="http://schemas.openxmlformats.org/officeDocument/2006/relationships/hyperlink" Target="https://docs.google.com/spreadsheets/d/1AcwfcGJU8Pr8OawQvf581RPTXDXXsvaCDPov6l01yyc/edit?usp=sharing" TargetMode="External"/><Relationship Id="rId23" Type="http://schemas.openxmlformats.org/officeDocument/2006/relationships/hyperlink" Target="https://docs.google.com/spreadsheets/d/1nU6vZqo_P_JZ9iTDLZmhuZpG_N-Z2QNtZyKgvZmwEbo/edit?usp=sharing" TargetMode="External"/><Relationship Id="rId1" Type="http://schemas.openxmlformats.org/officeDocument/2006/relationships/hyperlink" Target="https://drive.google.com/file/d/12J1sp99jdnim-Q1GISKjvLA6Uly_O0NO/view?usp=drive_link" TargetMode="External"/><Relationship Id="rId2" Type="http://schemas.openxmlformats.org/officeDocument/2006/relationships/hyperlink" Target="https://drive.google.com/file/d/1-gRDOynHIuA6WNRmAZADs8PlDJnrvlPs/view?usp=drive_link" TargetMode="External"/><Relationship Id="rId3" Type="http://schemas.openxmlformats.org/officeDocument/2006/relationships/hyperlink" Target="https://docs.google.com/spreadsheets/d/15cjdv-wHZhpqj-1tdDl-4m-Ht9OAUqJf0uEgg3i8_1M/edit?usp=sharing" TargetMode="External"/><Relationship Id="rId4" Type="http://schemas.openxmlformats.org/officeDocument/2006/relationships/hyperlink" Target="https://drive.google.com/file/d/1LwtJSQYJkoAv7l8DeG5L9bkqm3RfbVKz/view?usp=drive_link" TargetMode="External"/><Relationship Id="rId9" Type="http://schemas.openxmlformats.org/officeDocument/2006/relationships/hyperlink" Target="https://drive.google.com/file/d/1j7DXlu-5QV-0VLirITYDM1VGr546Fxs-/view?usp=drive_link" TargetMode="External"/><Relationship Id="rId26" Type="http://schemas.openxmlformats.org/officeDocument/2006/relationships/hyperlink" Target="https://docs.google.com/spreadsheets/d/1P7HLEidAU_1b9to3BdJd5xuH1-YzuI__oOihzlmf5eY/edit?usp=sharing" TargetMode="External"/><Relationship Id="rId25" Type="http://schemas.openxmlformats.org/officeDocument/2006/relationships/hyperlink" Target="https://docs.google.com/spreadsheets/d/1KlYFm1klwa9yQdW6PHf1k4WVLw-4yNwKkJqKp2DSC1g/edit?usp=sharing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docs.google.com/spreadsheets/d/1nzpK8G53_xt9iKgG-yH9xLvgu1KFjPVLJ8t59RVqwwA/edit?usp=sharing" TargetMode="External"/><Relationship Id="rId6" Type="http://schemas.openxmlformats.org/officeDocument/2006/relationships/hyperlink" Target="https://grrasteam-my.sharepoint.com/:w:/g/personal/ravi_grrassolutions_in/IQCdmE85hiwPRb5nIK-BeoUuARCQ2BPjxRDN4pPHFyfEztw?e=8oPd3IAWS-Linux-Httpd-" TargetMode="External"/><Relationship Id="rId7" Type="http://schemas.openxmlformats.org/officeDocument/2006/relationships/hyperlink" Target="https://drive.google.com/file/d/1Y4n07Vca7ChLSciSIWVjckuyGyLvlvLZ/view?usp=drive_link" TargetMode="External"/><Relationship Id="rId8" Type="http://schemas.openxmlformats.org/officeDocument/2006/relationships/hyperlink" Target="https://docs.google.com/spreadsheets/d/16yBPNWtVJ7Z4qA8gyTlhWCw0EBQ3Oj4AhREHKrSrYIQ/edit?usp=sharing" TargetMode="External"/><Relationship Id="rId11" Type="http://schemas.openxmlformats.org/officeDocument/2006/relationships/hyperlink" Target="https://docs.google.com/spreadsheets/d/1c4YRjzEuBL6JSpd5DHdmjfMAyzqXj-Vfzbc5pdxgI_M/edit?usp=sharing" TargetMode="External"/><Relationship Id="rId10" Type="http://schemas.openxmlformats.org/officeDocument/2006/relationships/hyperlink" Target="https://drive.google.com/file/d/1j7DXlu-5QV-0VLirITYDM1VGr546Fxs-/view?usp=drive_link" TargetMode="External"/><Relationship Id="rId13" Type="http://schemas.openxmlformats.org/officeDocument/2006/relationships/hyperlink" Target="https://docs.google.com/spreadsheets/d/1k-XFgpFAPBv0adZhdTY_ab1QW5EgfbNE6Nd9TutrEJo/edit?usp=sharing" TargetMode="External"/><Relationship Id="rId12" Type="http://schemas.openxmlformats.org/officeDocument/2006/relationships/hyperlink" Target="https://drive.google.com/file/d/1W6V5V81dE2kezcfQkPGfT2pRBDX7AWDS/view?usp=drive_link" TargetMode="External"/><Relationship Id="rId15" Type="http://schemas.openxmlformats.org/officeDocument/2006/relationships/hyperlink" Target="https://docs.google.com/spreadsheets/d/1RKnHyAkrM1LGx-Sc3NIDFF4yLeVgXerygHnock27NfM/edit?usp=sharing" TargetMode="External"/><Relationship Id="rId14" Type="http://schemas.openxmlformats.org/officeDocument/2006/relationships/hyperlink" Target="https://drive.google.com/file/d/1tHKvZgRr3IAG4wvNNo_UqBkUwEU36AaY/view?usp=drive_link" TargetMode="External"/><Relationship Id="rId17" Type="http://schemas.openxmlformats.org/officeDocument/2006/relationships/hyperlink" Target="https://docs.google.com/spreadsheets/d/1XxOJKeiahdPWSFpbQqpljSdy-4lYt0D25gXbqIsNKjE/edit?usp=sharing" TargetMode="External"/><Relationship Id="rId16" Type="http://schemas.openxmlformats.org/officeDocument/2006/relationships/hyperlink" Target="https://drive.google.com/file/d/17K3azsPer9GT8VHSx3mad6qQAS0pMQhh/view?usp=drive_link" TargetMode="External"/><Relationship Id="rId19" Type="http://schemas.openxmlformats.org/officeDocument/2006/relationships/hyperlink" Target="https://docs.google.com/spreadsheets/d/1MgEKooUvIfEjAjv48P3ra-R0ph7cB_dxrjcWwqAD3Nc/edit?usp=sharing" TargetMode="External"/><Relationship Id="rId18" Type="http://schemas.openxmlformats.org/officeDocument/2006/relationships/hyperlink" Target="https://drive.google.com/file/d/1V5ShSgzV5OsT3SkjJHV4IfecU5fFzYqi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3odCpfj5fN0CQcYJlYuiXKSI4WLwchBu" TargetMode="External"/><Relationship Id="rId42" Type="http://schemas.openxmlformats.org/officeDocument/2006/relationships/hyperlink" Target="https://drive.google.com/open?id=1rG8bu0kHodI-R7JCS9_vBUHnJyNkJdzj" TargetMode="External"/><Relationship Id="rId41" Type="http://schemas.openxmlformats.org/officeDocument/2006/relationships/hyperlink" Target="https://drive.google.com/open?id=1hxhwZnC2NwJGYWy9t6-cNIWqjigQZ_2Z" TargetMode="External"/><Relationship Id="rId44" Type="http://schemas.openxmlformats.org/officeDocument/2006/relationships/hyperlink" Target="https://drive.google.com/open?id=1Hylc_YlYvLs1dWHlz56gkrSW1dDaNPnX" TargetMode="External"/><Relationship Id="rId43" Type="http://schemas.openxmlformats.org/officeDocument/2006/relationships/hyperlink" Target="https://drive.google.com/open?id=1ZloEiDRwdsJvjNEtfMtlz8081a5Jq-Pf" TargetMode="External"/><Relationship Id="rId46" Type="http://schemas.openxmlformats.org/officeDocument/2006/relationships/hyperlink" Target="https://drive.google.com/open?id=1s7lZqqCU7oAnCv1-nwVKvq-a3lv6RQJI" TargetMode="External"/><Relationship Id="rId45" Type="http://schemas.openxmlformats.org/officeDocument/2006/relationships/hyperlink" Target="https://drive.google.com/open?id=1N_90oTwCVURSbM-1IRDQeaMiaeW1OI0g" TargetMode="External"/><Relationship Id="rId107" Type="http://schemas.openxmlformats.org/officeDocument/2006/relationships/hyperlink" Target="https://drive.google.com/open?id=12FdknYpiSJVwR-0hufpAkpUkNGNGQtIM" TargetMode="External"/><Relationship Id="rId106" Type="http://schemas.openxmlformats.org/officeDocument/2006/relationships/hyperlink" Target="https://drive.google.com/open?id=14xKLp83zxcNvKQ2v7nsPIBzViZU1I4f1" TargetMode="External"/><Relationship Id="rId105" Type="http://schemas.openxmlformats.org/officeDocument/2006/relationships/hyperlink" Target="https://drive.google.com/open?id=1oNjjck1fbLszIIP5l3rQHREGSeUX6-zj" TargetMode="External"/><Relationship Id="rId104" Type="http://schemas.openxmlformats.org/officeDocument/2006/relationships/hyperlink" Target="https://drive.google.com/open?id=1C5ODckSf1iJFw0jbpkAnIFUF4ahMgus5" TargetMode="External"/><Relationship Id="rId109" Type="http://schemas.openxmlformats.org/officeDocument/2006/relationships/hyperlink" Target="https://drive.google.com/open?id=1tHDZ3qN9VLigvUF6q_UXg9SnP5-8aKcU" TargetMode="External"/><Relationship Id="rId108" Type="http://schemas.openxmlformats.org/officeDocument/2006/relationships/hyperlink" Target="https://drive.google.com/open?id=1gvgzRtC_7CP8UQfG0IGUg37d2WBKJjJV" TargetMode="External"/><Relationship Id="rId48" Type="http://schemas.openxmlformats.org/officeDocument/2006/relationships/hyperlink" Target="https://drive.google.com/open?id=1wjXm0_dCygh7TcNX8R4y5vLAVr2RTXaA" TargetMode="External"/><Relationship Id="rId47" Type="http://schemas.openxmlformats.org/officeDocument/2006/relationships/hyperlink" Target="https://drive.google.com/open?id=1nPrcM825HsmIfo8zuloPBdzRYltBVSFe" TargetMode="External"/><Relationship Id="rId49" Type="http://schemas.openxmlformats.org/officeDocument/2006/relationships/hyperlink" Target="https://drive.google.com/open?id=1zaJ7ELy63oGuDSV_y0zbU9uNclhXCUdH" TargetMode="External"/><Relationship Id="rId103" Type="http://schemas.openxmlformats.org/officeDocument/2006/relationships/hyperlink" Target="https://drive.google.com/open?id=1f1Nkfp5eIyiouH8yk19LHua9iqMKtEyx" TargetMode="External"/><Relationship Id="rId102" Type="http://schemas.openxmlformats.org/officeDocument/2006/relationships/hyperlink" Target="https://drive.google.com/open?id=1Z5UIdqq1gOjvwRUo_OQsyjWq4L1lEyt3" TargetMode="External"/><Relationship Id="rId101" Type="http://schemas.openxmlformats.org/officeDocument/2006/relationships/hyperlink" Target="https://drive.google.com/open?id=1Eszo-StxL4BPil4y7yZG6gcAFbRcLg7G" TargetMode="External"/><Relationship Id="rId100" Type="http://schemas.openxmlformats.org/officeDocument/2006/relationships/hyperlink" Target="https://drive.google.com/open?id=1NraizBeNNr3SJkcbCgKI54iNZ8iVKZSH" TargetMode="External"/><Relationship Id="rId31" Type="http://schemas.openxmlformats.org/officeDocument/2006/relationships/hyperlink" Target="https://drive.google.com/open?id=1qPW0Ci5jq3nK0v04Z2XnKWL5C1EAV0fQ" TargetMode="External"/><Relationship Id="rId30" Type="http://schemas.openxmlformats.org/officeDocument/2006/relationships/hyperlink" Target="https://drive.google.com/open?id=1nRnSRRWpisOGjjX2zQmuDFhCBbNswaXu" TargetMode="External"/><Relationship Id="rId33" Type="http://schemas.openxmlformats.org/officeDocument/2006/relationships/hyperlink" Target="https://drive.google.com/open?id=1x3_PZXMMIsROhCuGXBGGME06OoTljCju" TargetMode="External"/><Relationship Id="rId32" Type="http://schemas.openxmlformats.org/officeDocument/2006/relationships/hyperlink" Target="https://drive.google.com/open?id=1RqmTAdwRXpMNul36w2jFXLeCZuVjmwBI" TargetMode="External"/><Relationship Id="rId35" Type="http://schemas.openxmlformats.org/officeDocument/2006/relationships/hyperlink" Target="https://drive.google.com/open?id=1maS76MTf1gaMniKeyErGbajlVv3zjas5" TargetMode="External"/><Relationship Id="rId34" Type="http://schemas.openxmlformats.org/officeDocument/2006/relationships/hyperlink" Target="https://drive.google.com/open?id=1LDa5DkMFpyOqLZXj-owpgrJ8RVRYulvp" TargetMode="External"/><Relationship Id="rId37" Type="http://schemas.openxmlformats.org/officeDocument/2006/relationships/hyperlink" Target="https://drive.google.com/open?id=1qeCNAcKgzXMerD6CVMJV1ULxf60Coh3Z" TargetMode="External"/><Relationship Id="rId36" Type="http://schemas.openxmlformats.org/officeDocument/2006/relationships/hyperlink" Target="https://drive.google.com/open?id=1pERz79EjcsgYIiqnXhz0CCVEMlL6S8zN" TargetMode="External"/><Relationship Id="rId39" Type="http://schemas.openxmlformats.org/officeDocument/2006/relationships/hyperlink" Target="https://drive.google.com/open?id=1ozdJotIUEoD1XcAyCWnGwNf7tcaCxhhy" TargetMode="External"/><Relationship Id="rId38" Type="http://schemas.openxmlformats.org/officeDocument/2006/relationships/hyperlink" Target="https://drive.google.com/open?id=1cemXyhtUB4PpNbSZg8PAAlEOgAWgT-wS" TargetMode="External"/><Relationship Id="rId20" Type="http://schemas.openxmlformats.org/officeDocument/2006/relationships/hyperlink" Target="https://drive.google.com/open?id=1AN69wpan1CSd7kzLItCHBUEe_5t1ymcd" TargetMode="External"/><Relationship Id="rId22" Type="http://schemas.openxmlformats.org/officeDocument/2006/relationships/hyperlink" Target="https://drive.google.com/open?id=1RhPe7TutQSEwkFPeGrErz-p5lWQfumFI" TargetMode="External"/><Relationship Id="rId21" Type="http://schemas.openxmlformats.org/officeDocument/2006/relationships/hyperlink" Target="https://drive.google.com/open?id=1Yfs002SDw_L7RMUsKJXDf1VAEvt_Fd2L" TargetMode="External"/><Relationship Id="rId24" Type="http://schemas.openxmlformats.org/officeDocument/2006/relationships/hyperlink" Target="https://drive.google.com/open?id=1sTUS-RHmrwDAHYGFAZD066OBf3QBtKyC" TargetMode="External"/><Relationship Id="rId23" Type="http://schemas.openxmlformats.org/officeDocument/2006/relationships/hyperlink" Target="https://drive.google.com/open?id=1zEboU_-c9b5PksbO9lOwjzpQEprkNQs5" TargetMode="External"/><Relationship Id="rId26" Type="http://schemas.openxmlformats.org/officeDocument/2006/relationships/hyperlink" Target="https://drive.google.com/open?id=1UZ-hsOi7JzcB-Og2C2V2SWYtWUCwXSig" TargetMode="External"/><Relationship Id="rId25" Type="http://schemas.openxmlformats.org/officeDocument/2006/relationships/hyperlink" Target="https://drive.google.com/open?id=1hDl2zXmyUpRYig8728oEVQlLdomtg2K-" TargetMode="External"/><Relationship Id="rId28" Type="http://schemas.openxmlformats.org/officeDocument/2006/relationships/hyperlink" Target="https://drive.google.com/open?id=1gnj6obqr6sX9YEyK4vLnTPoOPyISpYKa" TargetMode="External"/><Relationship Id="rId27" Type="http://schemas.openxmlformats.org/officeDocument/2006/relationships/hyperlink" Target="https://drive.google.com/open?id=1r9d7GIHeXOaLp-h7fY9BJl2SJnKGe2tv" TargetMode="External"/><Relationship Id="rId29" Type="http://schemas.openxmlformats.org/officeDocument/2006/relationships/hyperlink" Target="https://drive.google.com/open?id=1Vy_IX_v3bSos8R0wYL113dCYNFDtwlpu" TargetMode="External"/><Relationship Id="rId95" Type="http://schemas.openxmlformats.org/officeDocument/2006/relationships/hyperlink" Target="https://drive.google.com/open?id=1dvP3yZ35CEcW46nhTv2cdMB9AaBLzAX9" TargetMode="External"/><Relationship Id="rId94" Type="http://schemas.openxmlformats.org/officeDocument/2006/relationships/hyperlink" Target="https://drive.google.com/open?id=1q_R8ouPTBvop5XiP0qoUENk_JXPjZGVH" TargetMode="External"/><Relationship Id="rId97" Type="http://schemas.openxmlformats.org/officeDocument/2006/relationships/hyperlink" Target="https://drive.google.com/open?id=1S0V0Vgk0xGB4_4dPf5yCv86HVtLlXZ01" TargetMode="External"/><Relationship Id="rId96" Type="http://schemas.openxmlformats.org/officeDocument/2006/relationships/hyperlink" Target="https://drive.google.com/open?id=19CKCMK66vionzhZGLFPsfXdT3528YvWH" TargetMode="External"/><Relationship Id="rId11" Type="http://schemas.openxmlformats.org/officeDocument/2006/relationships/hyperlink" Target="https://drive.google.com/open?id=1scB51jMHcI6y5uJy8a25_0EoRTD-bC8e" TargetMode="External"/><Relationship Id="rId99" Type="http://schemas.openxmlformats.org/officeDocument/2006/relationships/hyperlink" Target="https://drive.google.com/open?id=1qCxgQIt6WV0QlagfQFCyGvp3MHgNNssO" TargetMode="External"/><Relationship Id="rId10" Type="http://schemas.openxmlformats.org/officeDocument/2006/relationships/hyperlink" Target="https://drive.google.com/open?id=1Dp_h_tIneyV_ZSnfNR3yq3DrR9MhTlR_" TargetMode="External"/><Relationship Id="rId98" Type="http://schemas.openxmlformats.org/officeDocument/2006/relationships/hyperlink" Target="https://drive.google.com/open?id=1L7poKSPMhTHM3Z3t4WKvIHrqW5Y-jeJO" TargetMode="External"/><Relationship Id="rId13" Type="http://schemas.openxmlformats.org/officeDocument/2006/relationships/hyperlink" Target="https://drive.google.com/open?id=1iAR0YUIUPSgSMKp7oI9EF4U2YKEyuBUd" TargetMode="External"/><Relationship Id="rId12" Type="http://schemas.openxmlformats.org/officeDocument/2006/relationships/hyperlink" Target="https://drive.google.com/open?id=1sMK_s2WquK8UsMDw0MDJ8CEwms1PsvcP" TargetMode="External"/><Relationship Id="rId91" Type="http://schemas.openxmlformats.org/officeDocument/2006/relationships/hyperlink" Target="https://drive.google.com/open?id=1ooZRGuwcW7LT4-0fXT47OFDWKMu1GenR" TargetMode="External"/><Relationship Id="rId90" Type="http://schemas.openxmlformats.org/officeDocument/2006/relationships/hyperlink" Target="https://drive.google.com/open?id=1QQggI08Y0_-T2fTBlZDAs8uaBvEhuOe9" TargetMode="External"/><Relationship Id="rId93" Type="http://schemas.openxmlformats.org/officeDocument/2006/relationships/hyperlink" Target="https://drive.google.com/open?id=1KuCU3781LnflL1KZjbN0h_5kbjNr3Eo-" TargetMode="External"/><Relationship Id="rId92" Type="http://schemas.openxmlformats.org/officeDocument/2006/relationships/hyperlink" Target="https://drive.google.com/open?id=1XApbBOa74vTmgIMwXiP-gUM3291g7M_L" TargetMode="External"/><Relationship Id="rId15" Type="http://schemas.openxmlformats.org/officeDocument/2006/relationships/hyperlink" Target="https://drive.google.com/open?id=1WRxG-lIosrHa-ekKDlUxbO38imJVIMxX" TargetMode="External"/><Relationship Id="rId110" Type="http://schemas.openxmlformats.org/officeDocument/2006/relationships/hyperlink" Target="https://drive.google.com/open?id=1c_KtjC3oe0DdOVGtEJLxg1MYPI-XS0fG" TargetMode="External"/><Relationship Id="rId14" Type="http://schemas.openxmlformats.org/officeDocument/2006/relationships/hyperlink" Target="https://drive.google.com/open?id=1rhZwiE5sU5TIFL2HjYziY4lrJwD5cKUz" TargetMode="External"/><Relationship Id="rId17" Type="http://schemas.openxmlformats.org/officeDocument/2006/relationships/hyperlink" Target="https://drive.google.com/open?id=1Akw_0bnl7W9y1Dvysfv23RD0ZanBAePA" TargetMode="External"/><Relationship Id="rId16" Type="http://schemas.openxmlformats.org/officeDocument/2006/relationships/hyperlink" Target="https://drive.google.com/open?id=1Odd4qbLbMPVPoDV6-EFAHRq7dCO5i3yj" TargetMode="External"/><Relationship Id="rId19" Type="http://schemas.openxmlformats.org/officeDocument/2006/relationships/hyperlink" Target="https://drive.google.com/open?id=1-bfqoSpo9_iSIri3EE0Q9hOSEFQdvDIO" TargetMode="External"/><Relationship Id="rId114" Type="http://schemas.openxmlformats.org/officeDocument/2006/relationships/table" Target="../tables/table1.xml"/><Relationship Id="rId18" Type="http://schemas.openxmlformats.org/officeDocument/2006/relationships/hyperlink" Target="https://drive.google.com/open?id=1fEoh8J1moyQ51vUAvRu6RyEazbx-CVx9" TargetMode="External"/><Relationship Id="rId112" Type="http://schemas.openxmlformats.org/officeDocument/2006/relationships/drawing" Target="../drawings/drawing5.xml"/><Relationship Id="rId111" Type="http://schemas.openxmlformats.org/officeDocument/2006/relationships/hyperlink" Target="https://drive.google.com/open?id=1EEYlqOsNGYWedtt5Z0eBIitYyX_wVP2o" TargetMode="External"/><Relationship Id="rId84" Type="http://schemas.openxmlformats.org/officeDocument/2006/relationships/hyperlink" Target="https://drive.google.com/open?id=1g2BcE6rLrbL4bZqC8lp2PGzWQQ7UeoWt" TargetMode="External"/><Relationship Id="rId83" Type="http://schemas.openxmlformats.org/officeDocument/2006/relationships/hyperlink" Target="https://drive.google.com/open?id=11bJwLMEVyy0dAVQhFBwpfLg2XBMX9q89" TargetMode="External"/><Relationship Id="rId86" Type="http://schemas.openxmlformats.org/officeDocument/2006/relationships/hyperlink" Target="https://drive.google.com/open?id=1aCTSnNlPnNRFx1tFD1Oe5al7WB5DdVr_" TargetMode="External"/><Relationship Id="rId85" Type="http://schemas.openxmlformats.org/officeDocument/2006/relationships/hyperlink" Target="https://drive.google.com/open?id=1pyeILBk5d-sm4MR7BIB18p_4b75kfF_v" TargetMode="External"/><Relationship Id="rId88" Type="http://schemas.openxmlformats.org/officeDocument/2006/relationships/hyperlink" Target="https://drive.google.com/open?id=1h4x0DXnhQf3J7fz4PMJrgcuoEnYBTgsu" TargetMode="External"/><Relationship Id="rId87" Type="http://schemas.openxmlformats.org/officeDocument/2006/relationships/hyperlink" Target="https://drive.google.com/open?id=1NhW1DVIp5jRW8o9UtEHMDH3tbmgolfHq" TargetMode="External"/><Relationship Id="rId89" Type="http://schemas.openxmlformats.org/officeDocument/2006/relationships/hyperlink" Target="https://drive.google.com/open?id=1mKfBHqiOOnOzwLA2EtSavuGLn-k6IXxx" TargetMode="External"/><Relationship Id="rId80" Type="http://schemas.openxmlformats.org/officeDocument/2006/relationships/hyperlink" Target="https://drive.google.com/open?id=1KCz1Oys33Y1rjqYBhbC8HHwv6QKOSYNY" TargetMode="External"/><Relationship Id="rId82" Type="http://schemas.openxmlformats.org/officeDocument/2006/relationships/hyperlink" Target="https://drive.google.com/open?id=1MhcfBhDBSrBe9hmnearNItpNCY2uytX2" TargetMode="External"/><Relationship Id="rId81" Type="http://schemas.openxmlformats.org/officeDocument/2006/relationships/hyperlink" Target="https://drive.google.com/open?id=1pYTWdsjRH0c32PdH6FQ0jxxnhY3k2vSf" TargetMode="External"/><Relationship Id="rId1" Type="http://schemas.openxmlformats.org/officeDocument/2006/relationships/hyperlink" Target="https://drive.google.com/open?id=1_OK8_JKqznh9siVT7shOp136WGTYXmO7" TargetMode="External"/><Relationship Id="rId2" Type="http://schemas.openxmlformats.org/officeDocument/2006/relationships/hyperlink" Target="https://drive.google.com/open?id=1BtnKOLqqAHLsPSvzKShm6goP1yQXysTP" TargetMode="External"/><Relationship Id="rId3" Type="http://schemas.openxmlformats.org/officeDocument/2006/relationships/hyperlink" Target="https://drive.google.com/open?id=1o5t1MyIs-My-4HyQueGJPYvZemlEeLuU" TargetMode="External"/><Relationship Id="rId4" Type="http://schemas.openxmlformats.org/officeDocument/2006/relationships/hyperlink" Target="https://drive.google.com/open?id=145r9V_vwBYX6jedVOY2bGAbMrIYNhuDQ" TargetMode="External"/><Relationship Id="rId9" Type="http://schemas.openxmlformats.org/officeDocument/2006/relationships/hyperlink" Target="https://drive.google.com/open?id=15BrguBV6hfuSbFqYEvdTIIUsp4afZmlC" TargetMode="External"/><Relationship Id="rId5" Type="http://schemas.openxmlformats.org/officeDocument/2006/relationships/hyperlink" Target="https://drive.google.com/open?id=1-Lou8Tuv_ctQNG4hVKILLvCy0KBKP4Fq" TargetMode="External"/><Relationship Id="rId6" Type="http://schemas.openxmlformats.org/officeDocument/2006/relationships/hyperlink" Target="https://drive.google.com/open?id=1Nfip8-Sz-ftUuE81OjF0FnuRSFVF9HjN" TargetMode="External"/><Relationship Id="rId7" Type="http://schemas.openxmlformats.org/officeDocument/2006/relationships/hyperlink" Target="https://drive.google.com/open?id=1D9mrsluzGRRyT25OdoXz-oXLTUvusScO" TargetMode="External"/><Relationship Id="rId8" Type="http://schemas.openxmlformats.org/officeDocument/2006/relationships/hyperlink" Target="https://drive.google.com/open?id=1DXbkcuobYbZ8tOxKdhIZdeYI15A1fyYL" TargetMode="External"/><Relationship Id="rId73" Type="http://schemas.openxmlformats.org/officeDocument/2006/relationships/hyperlink" Target="https://drive.google.com/open?id=1PY-fp3Lb5khGsV0zC25hJDeJYLPKeE1S" TargetMode="External"/><Relationship Id="rId72" Type="http://schemas.openxmlformats.org/officeDocument/2006/relationships/hyperlink" Target="https://drive.google.com/open?id=13zjd03MlGQlI73IzMPUP9BqKiESyCbLV" TargetMode="External"/><Relationship Id="rId75" Type="http://schemas.openxmlformats.org/officeDocument/2006/relationships/hyperlink" Target="https://drive.google.com/open?id=1zceqlJ4bJTcyozENyuu5tLbQ8z1hEXcK" TargetMode="External"/><Relationship Id="rId74" Type="http://schemas.openxmlformats.org/officeDocument/2006/relationships/hyperlink" Target="https://drive.google.com/open?id=1P1Zyig92P4ImICoYX240SFC0V4H5pBMY" TargetMode="External"/><Relationship Id="rId77" Type="http://schemas.openxmlformats.org/officeDocument/2006/relationships/hyperlink" Target="https://drive.google.com/open?id=1M0TqilZdqXZMJurFG04rJQAcLulTYqXG" TargetMode="External"/><Relationship Id="rId76" Type="http://schemas.openxmlformats.org/officeDocument/2006/relationships/hyperlink" Target="https://drive.google.com/open?id=1Amq2fvsfCAxq33W4QNlAtJdFofXScHL6" TargetMode="External"/><Relationship Id="rId79" Type="http://schemas.openxmlformats.org/officeDocument/2006/relationships/hyperlink" Target="https://drive.google.com/open?id=1cWRqObgR3QiVRoXJgTvqCp1-CnPR_Ggl" TargetMode="External"/><Relationship Id="rId78" Type="http://schemas.openxmlformats.org/officeDocument/2006/relationships/hyperlink" Target="https://drive.google.com/open?id=1nxokD-MGJByPnQRRhHGUBlciPHyzHp3k" TargetMode="External"/><Relationship Id="rId71" Type="http://schemas.openxmlformats.org/officeDocument/2006/relationships/hyperlink" Target="https://drive.google.com/open?id=1Cr7sq-Hb12TSIFJIPOzvR0ni2XGsZX5_" TargetMode="External"/><Relationship Id="rId70" Type="http://schemas.openxmlformats.org/officeDocument/2006/relationships/hyperlink" Target="https://drive.google.com/open?id=1MYfmPmRq4FlUsCgWfpoMtEheIRRPQs6-" TargetMode="External"/><Relationship Id="rId62" Type="http://schemas.openxmlformats.org/officeDocument/2006/relationships/hyperlink" Target="https://drive.google.com/open?id=1jM5_Kipcd2Ve2rAHIfMsEHfZt4XMeimr" TargetMode="External"/><Relationship Id="rId61" Type="http://schemas.openxmlformats.org/officeDocument/2006/relationships/hyperlink" Target="https://drive.google.com/open?id=14J6CLeFtX7gjk6O0rKIvKSUDHa3PEvlm" TargetMode="External"/><Relationship Id="rId64" Type="http://schemas.openxmlformats.org/officeDocument/2006/relationships/hyperlink" Target="https://drive.google.com/open?id=1ZX3kA1LW-9og6lvKqz-IRMVVbeLsMCze" TargetMode="External"/><Relationship Id="rId63" Type="http://schemas.openxmlformats.org/officeDocument/2006/relationships/hyperlink" Target="https://drive.google.com/open?id=1eKPG-7qATpHzw8QxSgy4-aZyeRHxcfzG" TargetMode="External"/><Relationship Id="rId66" Type="http://schemas.openxmlformats.org/officeDocument/2006/relationships/hyperlink" Target="https://drive.google.com/open?id=1KnGJu0zkb7x_yjzuJquZPxXwSXvdAywO" TargetMode="External"/><Relationship Id="rId65" Type="http://schemas.openxmlformats.org/officeDocument/2006/relationships/hyperlink" Target="https://drive.google.com/open?id=1szDxeYtl6OzKOe1Ih2CXzJ6o1HquFX9X" TargetMode="External"/><Relationship Id="rId68" Type="http://schemas.openxmlformats.org/officeDocument/2006/relationships/hyperlink" Target="https://drive.google.com/open?id=1YeHciB_ribaXxn6Noj_jxDN9px2fjQQs" TargetMode="External"/><Relationship Id="rId67" Type="http://schemas.openxmlformats.org/officeDocument/2006/relationships/hyperlink" Target="https://drive.google.com/open?id=1uykIJZzQRA-NzFSPpCZBoTgDfNBhgltd" TargetMode="External"/><Relationship Id="rId60" Type="http://schemas.openxmlformats.org/officeDocument/2006/relationships/hyperlink" Target="https://drive.google.com/open?id=1Qte70F6y-MZwPJG7PcQA5k_MVNenBoLI" TargetMode="External"/><Relationship Id="rId69" Type="http://schemas.openxmlformats.org/officeDocument/2006/relationships/hyperlink" Target="https://drive.google.com/open?id=1w_t1_qSZJryk0qaNHM8vrLKV43X5ewxu" TargetMode="External"/><Relationship Id="rId51" Type="http://schemas.openxmlformats.org/officeDocument/2006/relationships/hyperlink" Target="https://drive.google.com/open?id=1iS5Qifdj9waLEjEVJJLMjhaW1PT6HaHw" TargetMode="External"/><Relationship Id="rId50" Type="http://schemas.openxmlformats.org/officeDocument/2006/relationships/hyperlink" Target="https://drive.google.com/open?id=1hppXvdqI5lrTr8V3-Fvi-5k_QpZWHt6D" TargetMode="External"/><Relationship Id="rId53" Type="http://schemas.openxmlformats.org/officeDocument/2006/relationships/hyperlink" Target="https://drive.google.com/open?id=1nW9xdEGIilvSuc5fXdmbm-87FQB4GBE3" TargetMode="External"/><Relationship Id="rId52" Type="http://schemas.openxmlformats.org/officeDocument/2006/relationships/hyperlink" Target="https://drive.google.com/open?id=1J-7F0x3ElJw0aKYhU8E8wSKWhauOa3HG" TargetMode="External"/><Relationship Id="rId55" Type="http://schemas.openxmlformats.org/officeDocument/2006/relationships/hyperlink" Target="https://drive.google.com/open?id=1Wr3pUAELuz8QnXUJh3bAt4wosSJlikk0" TargetMode="External"/><Relationship Id="rId54" Type="http://schemas.openxmlformats.org/officeDocument/2006/relationships/hyperlink" Target="https://drive.google.com/open?id=1nb49TtXEUFimZbWdWDVYUXvivGGU8t2Y" TargetMode="External"/><Relationship Id="rId57" Type="http://schemas.openxmlformats.org/officeDocument/2006/relationships/hyperlink" Target="https://drive.google.com/open?id=1no5hv_nswKpUyZujI9wwSKqW8lky6Ism" TargetMode="External"/><Relationship Id="rId56" Type="http://schemas.openxmlformats.org/officeDocument/2006/relationships/hyperlink" Target="https://drive.google.com/open?id=12MNInbsneiFGk_Sq2PIjV8Q4hE_oZcZQ" TargetMode="External"/><Relationship Id="rId59" Type="http://schemas.openxmlformats.org/officeDocument/2006/relationships/hyperlink" Target="https://drive.google.com/open?id=1bFecmAaRR1DEbl6oc1BuQKfFElW3V2xt" TargetMode="External"/><Relationship Id="rId58" Type="http://schemas.openxmlformats.org/officeDocument/2006/relationships/hyperlink" Target="https://drive.google.com/open?id=1xXvOEzhFhBwbNHkyszJyg6iZAuXz5w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1.5"/>
    <col customWidth="1" min="3" max="3" width="15.13"/>
    <col customWidth="1" min="7" max="7" width="16.63"/>
    <col customWidth="1" min="8" max="44" width="4.63"/>
    <col customWidth="1" min="45" max="74" width="5.0"/>
  </cols>
  <sheetData>
    <row r="1">
      <c r="A1" s="2" t="s">
        <v>2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12">
        <v>46143.0</v>
      </c>
      <c r="I1" s="14"/>
      <c r="J1" s="14"/>
      <c r="K1" s="14"/>
      <c r="L1" s="14"/>
      <c r="M1" s="14"/>
      <c r="N1" s="15"/>
      <c r="O1" s="12">
        <v>46174.0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2">
        <v>46204.0</v>
      </c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</row>
    <row r="2">
      <c r="A2" s="22"/>
      <c r="B2" s="22"/>
      <c r="C2" s="22"/>
      <c r="D2" s="22"/>
      <c r="E2" s="22"/>
      <c r="F2" s="22"/>
      <c r="G2" s="22"/>
      <c r="H2" s="23">
        <v>46167.0</v>
      </c>
      <c r="I2" s="23">
        <v>46168.0</v>
      </c>
      <c r="J2" s="23">
        <v>46169.0</v>
      </c>
      <c r="K2" s="23">
        <v>46170.0</v>
      </c>
      <c r="L2" s="23">
        <v>46171.0</v>
      </c>
      <c r="M2" s="23">
        <v>46172.0</v>
      </c>
      <c r="N2" s="23">
        <v>46173.0</v>
      </c>
      <c r="O2" s="23">
        <v>46174.0</v>
      </c>
      <c r="P2" s="23">
        <v>46175.0</v>
      </c>
      <c r="Q2" s="23">
        <v>46176.0</v>
      </c>
      <c r="R2" s="23">
        <v>46177.0</v>
      </c>
      <c r="S2" s="23">
        <v>46178.0</v>
      </c>
      <c r="T2" s="23">
        <v>46179.0</v>
      </c>
      <c r="U2" s="23">
        <v>46180.0</v>
      </c>
      <c r="V2" s="23">
        <v>46181.0</v>
      </c>
      <c r="W2" s="23">
        <v>46182.0</v>
      </c>
      <c r="X2" s="23">
        <v>46183.0</v>
      </c>
      <c r="Y2" s="23">
        <v>46184.0</v>
      </c>
      <c r="Z2" s="23">
        <v>46185.0</v>
      </c>
      <c r="AA2" s="23">
        <v>46186.0</v>
      </c>
      <c r="AB2" s="23">
        <v>46187.0</v>
      </c>
      <c r="AC2" s="23">
        <v>46188.0</v>
      </c>
      <c r="AD2" s="23">
        <v>46189.0</v>
      </c>
      <c r="AE2" s="23">
        <v>46190.0</v>
      </c>
      <c r="AF2" s="23">
        <v>46191.0</v>
      </c>
      <c r="AG2" s="23">
        <v>46192.0</v>
      </c>
      <c r="AH2" s="23">
        <v>46193.0</v>
      </c>
      <c r="AI2" s="23">
        <v>46194.0</v>
      </c>
      <c r="AJ2" s="23">
        <v>46195.0</v>
      </c>
      <c r="AK2" s="23">
        <v>46196.0</v>
      </c>
      <c r="AL2" s="23">
        <v>46197.0</v>
      </c>
      <c r="AM2" s="23">
        <v>46198.0</v>
      </c>
      <c r="AN2" s="23">
        <v>46199.0</v>
      </c>
      <c r="AO2" s="23">
        <v>46200.0</v>
      </c>
      <c r="AP2" s="23">
        <v>46201.0</v>
      </c>
      <c r="AQ2" s="23">
        <v>46202.0</v>
      </c>
      <c r="AR2" s="23">
        <v>46203.0</v>
      </c>
      <c r="AS2" s="23">
        <v>46204.0</v>
      </c>
      <c r="AT2" s="23">
        <v>46205.0</v>
      </c>
      <c r="AU2" s="23">
        <v>46206.0</v>
      </c>
      <c r="AV2" s="23">
        <v>46207.0</v>
      </c>
      <c r="AW2" s="23">
        <v>46208.0</v>
      </c>
      <c r="AX2" s="23">
        <v>46209.0</v>
      </c>
      <c r="AY2" s="23">
        <v>46210.0</v>
      </c>
      <c r="AZ2" s="23">
        <v>46211.0</v>
      </c>
      <c r="BA2" s="23">
        <v>46212.0</v>
      </c>
      <c r="BB2" s="23">
        <v>46213.0</v>
      </c>
      <c r="BC2" s="23">
        <v>46214.0</v>
      </c>
      <c r="BD2" s="23">
        <v>46215.0</v>
      </c>
      <c r="BE2" s="23">
        <v>46216.0</v>
      </c>
      <c r="BF2" s="23">
        <v>46217.0</v>
      </c>
      <c r="BG2" s="23">
        <v>46218.0</v>
      </c>
      <c r="BH2" s="23">
        <v>46219.0</v>
      </c>
      <c r="BI2" s="23">
        <v>46220.0</v>
      </c>
      <c r="BJ2" s="23">
        <v>46221.0</v>
      </c>
      <c r="BK2" s="23">
        <v>46222.0</v>
      </c>
      <c r="BL2" s="23">
        <v>46223.0</v>
      </c>
      <c r="BM2" s="23">
        <v>46224.0</v>
      </c>
      <c r="BN2" s="23">
        <v>46225.0</v>
      </c>
      <c r="BO2" s="23">
        <v>46226.0</v>
      </c>
      <c r="BP2" s="23">
        <v>46227.0</v>
      </c>
      <c r="BQ2" s="23">
        <v>46228.0</v>
      </c>
      <c r="BR2" s="23">
        <v>46229.0</v>
      </c>
      <c r="BS2" s="23">
        <v>46230.0</v>
      </c>
      <c r="BT2" s="23">
        <v>46231.0</v>
      </c>
      <c r="BU2" s="23">
        <v>46232.0</v>
      </c>
      <c r="BV2" s="23">
        <v>46233.0</v>
      </c>
    </row>
    <row r="3">
      <c r="A3" s="43"/>
      <c r="B3" s="43"/>
      <c r="C3" s="43"/>
      <c r="D3" s="43"/>
      <c r="E3" s="43"/>
      <c r="F3" s="43"/>
      <c r="G3" s="43"/>
      <c r="H3" s="44" t="str">
        <f t="shared" ref="H3:BV3" si="1">TEXT(H2,"ddd")</f>
        <v>Mon</v>
      </c>
      <c r="I3" s="44" t="str">
        <f t="shared" si="1"/>
        <v>Tue</v>
      </c>
      <c r="J3" s="44" t="str">
        <f t="shared" si="1"/>
        <v>Wed</v>
      </c>
      <c r="K3" s="44" t="str">
        <f t="shared" si="1"/>
        <v>Thu</v>
      </c>
      <c r="L3" s="44" t="str">
        <f t="shared" si="1"/>
        <v>Fri</v>
      </c>
      <c r="M3" s="44" t="str">
        <f t="shared" si="1"/>
        <v>Sat</v>
      </c>
      <c r="N3" s="44" t="str">
        <f t="shared" si="1"/>
        <v>Sun</v>
      </c>
      <c r="O3" s="44" t="str">
        <f t="shared" si="1"/>
        <v>Mon</v>
      </c>
      <c r="P3" s="44" t="str">
        <f t="shared" si="1"/>
        <v>Tue</v>
      </c>
      <c r="Q3" s="44" t="str">
        <f t="shared" si="1"/>
        <v>Wed</v>
      </c>
      <c r="R3" s="44" t="str">
        <f t="shared" si="1"/>
        <v>Thu</v>
      </c>
      <c r="S3" s="44" t="str">
        <f t="shared" si="1"/>
        <v>Fri</v>
      </c>
      <c r="T3" s="44" t="str">
        <f t="shared" si="1"/>
        <v>Sat</v>
      </c>
      <c r="U3" s="44" t="str">
        <f t="shared" si="1"/>
        <v>Sun</v>
      </c>
      <c r="V3" s="44" t="str">
        <f t="shared" si="1"/>
        <v>Mon</v>
      </c>
      <c r="W3" s="44" t="str">
        <f t="shared" si="1"/>
        <v>Tue</v>
      </c>
      <c r="X3" s="44" t="str">
        <f t="shared" si="1"/>
        <v>Wed</v>
      </c>
      <c r="Y3" s="44" t="str">
        <f t="shared" si="1"/>
        <v>Thu</v>
      </c>
      <c r="Z3" s="44" t="str">
        <f t="shared" si="1"/>
        <v>Fri</v>
      </c>
      <c r="AA3" s="44" t="str">
        <f t="shared" si="1"/>
        <v>Sat</v>
      </c>
      <c r="AB3" s="44" t="str">
        <f t="shared" si="1"/>
        <v>Sun</v>
      </c>
      <c r="AC3" s="44" t="str">
        <f t="shared" si="1"/>
        <v>Mon</v>
      </c>
      <c r="AD3" s="44" t="str">
        <f t="shared" si="1"/>
        <v>Tue</v>
      </c>
      <c r="AE3" s="44" t="str">
        <f t="shared" si="1"/>
        <v>Wed</v>
      </c>
      <c r="AF3" s="44" t="str">
        <f t="shared" si="1"/>
        <v>Thu</v>
      </c>
      <c r="AG3" s="44" t="str">
        <f t="shared" si="1"/>
        <v>Fri</v>
      </c>
      <c r="AH3" s="44" t="str">
        <f t="shared" si="1"/>
        <v>Sat</v>
      </c>
      <c r="AI3" s="44" t="str">
        <f t="shared" si="1"/>
        <v>Sun</v>
      </c>
      <c r="AJ3" s="44" t="str">
        <f t="shared" si="1"/>
        <v>Mon</v>
      </c>
      <c r="AK3" s="44" t="str">
        <f t="shared" si="1"/>
        <v>Tue</v>
      </c>
      <c r="AL3" s="44" t="str">
        <f t="shared" si="1"/>
        <v>Wed</v>
      </c>
      <c r="AM3" s="44" t="str">
        <f t="shared" si="1"/>
        <v>Thu</v>
      </c>
      <c r="AN3" s="44" t="str">
        <f t="shared" si="1"/>
        <v>Fri</v>
      </c>
      <c r="AO3" s="44" t="str">
        <f t="shared" si="1"/>
        <v>Sat</v>
      </c>
      <c r="AP3" s="44" t="str">
        <f t="shared" si="1"/>
        <v>Sun</v>
      </c>
      <c r="AQ3" s="44" t="str">
        <f t="shared" si="1"/>
        <v>Mon</v>
      </c>
      <c r="AR3" s="44" t="str">
        <f t="shared" si="1"/>
        <v>Tue</v>
      </c>
      <c r="AS3" s="44" t="str">
        <f t="shared" si="1"/>
        <v>Wed</v>
      </c>
      <c r="AT3" s="44" t="str">
        <f t="shared" si="1"/>
        <v>Thu</v>
      </c>
      <c r="AU3" s="44" t="str">
        <f t="shared" si="1"/>
        <v>Fri</v>
      </c>
      <c r="AV3" s="44" t="str">
        <f t="shared" si="1"/>
        <v>Sat</v>
      </c>
      <c r="AW3" s="44" t="str">
        <f t="shared" si="1"/>
        <v>Sun</v>
      </c>
      <c r="AX3" s="44" t="str">
        <f t="shared" si="1"/>
        <v>Mon</v>
      </c>
      <c r="AY3" s="44" t="str">
        <f t="shared" si="1"/>
        <v>Tue</v>
      </c>
      <c r="AZ3" s="44" t="str">
        <f t="shared" si="1"/>
        <v>Wed</v>
      </c>
      <c r="BA3" s="44" t="str">
        <f t="shared" si="1"/>
        <v>Thu</v>
      </c>
      <c r="BB3" s="44" t="str">
        <f t="shared" si="1"/>
        <v>Fri</v>
      </c>
      <c r="BC3" s="44" t="str">
        <f t="shared" si="1"/>
        <v>Sat</v>
      </c>
      <c r="BD3" s="44" t="str">
        <f t="shared" si="1"/>
        <v>Sun</v>
      </c>
      <c r="BE3" s="44" t="str">
        <f t="shared" si="1"/>
        <v>Mon</v>
      </c>
      <c r="BF3" s="44" t="str">
        <f t="shared" si="1"/>
        <v>Tue</v>
      </c>
      <c r="BG3" s="44" t="str">
        <f t="shared" si="1"/>
        <v>Wed</v>
      </c>
      <c r="BH3" s="44" t="str">
        <f t="shared" si="1"/>
        <v>Thu</v>
      </c>
      <c r="BI3" s="44" t="str">
        <f t="shared" si="1"/>
        <v>Fri</v>
      </c>
      <c r="BJ3" s="44" t="str">
        <f t="shared" si="1"/>
        <v>Sat</v>
      </c>
      <c r="BK3" s="44" t="str">
        <f t="shared" si="1"/>
        <v>Sun</v>
      </c>
      <c r="BL3" s="44" t="str">
        <f t="shared" si="1"/>
        <v>Mon</v>
      </c>
      <c r="BM3" s="44" t="str">
        <f t="shared" si="1"/>
        <v>Tue</v>
      </c>
      <c r="BN3" s="44" t="str">
        <f t="shared" si="1"/>
        <v>Wed</v>
      </c>
      <c r="BO3" s="44" t="str">
        <f t="shared" si="1"/>
        <v>Thu</v>
      </c>
      <c r="BP3" s="44" t="str">
        <f t="shared" si="1"/>
        <v>Fri</v>
      </c>
      <c r="BQ3" s="44" t="str">
        <f t="shared" si="1"/>
        <v>Sat</v>
      </c>
      <c r="BR3" s="44" t="str">
        <f t="shared" si="1"/>
        <v>Sun</v>
      </c>
      <c r="BS3" s="44" t="str">
        <f t="shared" si="1"/>
        <v>Mon</v>
      </c>
      <c r="BT3" s="44" t="str">
        <f t="shared" si="1"/>
        <v>Tue</v>
      </c>
      <c r="BU3" s="44" t="str">
        <f t="shared" si="1"/>
        <v>Wed</v>
      </c>
      <c r="BV3" s="44" t="str">
        <f t="shared" si="1"/>
        <v>Thu</v>
      </c>
    </row>
    <row r="4">
      <c r="A4" s="31">
        <v>1.0</v>
      </c>
      <c r="B4" s="32" t="s">
        <v>61</v>
      </c>
      <c r="C4" s="32" t="s">
        <v>63</v>
      </c>
      <c r="D4" s="55">
        <f t="shared" ref="D4:D79" si="2">COUNTIF(H4:BV4,"p") + COUNTIF(H4:BV4,"op")</f>
        <v>30</v>
      </c>
      <c r="E4" s="55">
        <f t="shared" ref="E4:E79" si="3">COUNTIF(H4:BV4,"A") + COUNTIF(H4:BV4,"oA")</f>
        <v>18</v>
      </c>
      <c r="F4" s="55">
        <f t="shared" ref="F4:F79" si="4">E4+D4</f>
        <v>48</v>
      </c>
      <c r="G4" s="62">
        <f t="shared" ref="G4:G79" si="5">(D4/F4)*100</f>
        <v>62.5</v>
      </c>
      <c r="H4" s="63" t="s">
        <v>179</v>
      </c>
      <c r="I4" s="63" t="s">
        <v>179</v>
      </c>
      <c r="J4" s="63" t="s">
        <v>183</v>
      </c>
      <c r="K4" s="63" t="s">
        <v>179</v>
      </c>
      <c r="L4" s="63" t="s">
        <v>179</v>
      </c>
      <c r="M4" s="63" t="s">
        <v>179</v>
      </c>
      <c r="N4" s="64" t="s">
        <v>186</v>
      </c>
      <c r="O4" s="63" t="s">
        <v>179</v>
      </c>
      <c r="P4" s="63" t="s">
        <v>179</v>
      </c>
      <c r="Q4" s="65" t="s">
        <v>179</v>
      </c>
      <c r="R4" s="65" t="s">
        <v>179</v>
      </c>
      <c r="S4" s="65" t="s">
        <v>179</v>
      </c>
      <c r="T4" s="65" t="s">
        <v>179</v>
      </c>
      <c r="U4" s="64" t="s">
        <v>186</v>
      </c>
      <c r="V4" s="63" t="s">
        <v>179</v>
      </c>
      <c r="W4" s="63" t="s">
        <v>179</v>
      </c>
      <c r="X4" s="63" t="s">
        <v>179</v>
      </c>
      <c r="Y4" s="63" t="s">
        <v>179</v>
      </c>
      <c r="Z4" s="63" t="s">
        <v>183</v>
      </c>
      <c r="AA4" s="63" t="s">
        <v>179</v>
      </c>
      <c r="AB4" s="64" t="s">
        <v>186</v>
      </c>
      <c r="AC4" s="63" t="s">
        <v>179</v>
      </c>
      <c r="AD4" s="63" t="s">
        <v>179</v>
      </c>
      <c r="AE4" s="63" t="s">
        <v>179</v>
      </c>
      <c r="AF4" s="63" t="s">
        <v>179</v>
      </c>
      <c r="AG4" s="63" t="s">
        <v>183</v>
      </c>
      <c r="AH4" s="63" t="s">
        <v>179</v>
      </c>
      <c r="AI4" s="64" t="s">
        <v>186</v>
      </c>
      <c r="AJ4" s="65" t="s">
        <v>183</v>
      </c>
      <c r="AK4" s="63" t="s">
        <v>179</v>
      </c>
      <c r="AL4" s="63" t="s">
        <v>179</v>
      </c>
      <c r="AM4" s="63" t="s">
        <v>179</v>
      </c>
      <c r="AN4" s="63" t="s">
        <v>179</v>
      </c>
      <c r="AO4" s="63" t="s">
        <v>179</v>
      </c>
      <c r="AP4" s="64" t="s">
        <v>186</v>
      </c>
      <c r="AQ4" s="65" t="s">
        <v>179</v>
      </c>
      <c r="AR4" s="65" t="s">
        <v>183</v>
      </c>
      <c r="AS4" s="65" t="s">
        <v>183</v>
      </c>
      <c r="AT4" s="65" t="s">
        <v>179</v>
      </c>
      <c r="AU4" s="65" t="s">
        <v>183</v>
      </c>
      <c r="AV4" s="65" t="s">
        <v>183</v>
      </c>
      <c r="AW4" s="64" t="s">
        <v>186</v>
      </c>
      <c r="AX4" s="65" t="s">
        <v>179</v>
      </c>
      <c r="AY4" s="65" t="s">
        <v>183</v>
      </c>
      <c r="AZ4" s="65" t="s">
        <v>183</v>
      </c>
      <c r="BA4" s="65" t="s">
        <v>183</v>
      </c>
      <c r="BB4" s="65" t="s">
        <v>179</v>
      </c>
      <c r="BC4" s="65" t="s">
        <v>183</v>
      </c>
      <c r="BD4" s="64" t="s">
        <v>186</v>
      </c>
      <c r="BE4" s="65" t="s">
        <v>183</v>
      </c>
      <c r="BF4" s="65" t="s">
        <v>183</v>
      </c>
      <c r="BG4" s="65" t="s">
        <v>183</v>
      </c>
      <c r="BH4" s="65" t="s">
        <v>183</v>
      </c>
      <c r="BI4" s="65" t="s">
        <v>183</v>
      </c>
      <c r="BJ4" s="65" t="s">
        <v>183</v>
      </c>
      <c r="BK4" s="64" t="s">
        <v>186</v>
      </c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</row>
    <row r="5">
      <c r="A5" s="31">
        <v>2.0</v>
      </c>
      <c r="B5" s="41" t="s">
        <v>90</v>
      </c>
      <c r="C5" s="41" t="s">
        <v>92</v>
      </c>
      <c r="D5" s="55">
        <f t="shared" si="2"/>
        <v>3</v>
      </c>
      <c r="E5" s="55">
        <f t="shared" si="3"/>
        <v>30</v>
      </c>
      <c r="F5" s="55">
        <f t="shared" si="4"/>
        <v>33</v>
      </c>
      <c r="G5" s="62">
        <f t="shared" si="5"/>
        <v>9.090909091</v>
      </c>
      <c r="H5" s="63" t="s">
        <v>260</v>
      </c>
      <c r="I5" s="63" t="s">
        <v>260</v>
      </c>
      <c r="J5" s="63" t="s">
        <v>260</v>
      </c>
      <c r="K5" s="63" t="s">
        <v>260</v>
      </c>
      <c r="L5" s="63" t="s">
        <v>260</v>
      </c>
      <c r="M5" s="63" t="s">
        <v>260</v>
      </c>
      <c r="N5" s="22"/>
      <c r="O5" s="63" t="s">
        <v>260</v>
      </c>
      <c r="P5" s="63" t="s">
        <v>260</v>
      </c>
      <c r="Q5" s="63" t="s">
        <v>260</v>
      </c>
      <c r="R5" s="63" t="s">
        <v>260</v>
      </c>
      <c r="S5" s="63" t="s">
        <v>260</v>
      </c>
      <c r="T5" s="63" t="s">
        <v>260</v>
      </c>
      <c r="U5" s="22"/>
      <c r="V5" s="63" t="s">
        <v>260</v>
      </c>
      <c r="W5" s="63" t="s">
        <v>260</v>
      </c>
      <c r="X5" s="63" t="s">
        <v>260</v>
      </c>
      <c r="Y5" s="63" t="s">
        <v>183</v>
      </c>
      <c r="Z5" s="73" t="s">
        <v>183</v>
      </c>
      <c r="AA5" s="73" t="s">
        <v>183</v>
      </c>
      <c r="AB5" s="22"/>
      <c r="AC5" s="73" t="s">
        <v>183</v>
      </c>
      <c r="AD5" s="73" t="s">
        <v>183</v>
      </c>
      <c r="AE5" s="73" t="s">
        <v>183</v>
      </c>
      <c r="AF5" s="73" t="s">
        <v>183</v>
      </c>
      <c r="AG5" s="73" t="s">
        <v>183</v>
      </c>
      <c r="AH5" s="73" t="s">
        <v>183</v>
      </c>
      <c r="AI5" s="22"/>
      <c r="AJ5" s="35" t="s">
        <v>183</v>
      </c>
      <c r="AK5" s="63" t="s">
        <v>183</v>
      </c>
      <c r="AL5" s="63" t="s">
        <v>183</v>
      </c>
      <c r="AM5" s="63" t="s">
        <v>183</v>
      </c>
      <c r="AN5" s="63" t="s">
        <v>183</v>
      </c>
      <c r="AO5" s="63" t="s">
        <v>179</v>
      </c>
      <c r="AP5" s="22"/>
      <c r="AQ5" s="35" t="s">
        <v>179</v>
      </c>
      <c r="AR5" s="35" t="s">
        <v>183</v>
      </c>
      <c r="AS5" s="35" t="s">
        <v>183</v>
      </c>
      <c r="AT5" s="35" t="s">
        <v>183</v>
      </c>
      <c r="AU5" s="35" t="s">
        <v>183</v>
      </c>
      <c r="AV5" s="35" t="s">
        <v>183</v>
      </c>
      <c r="AW5" s="22"/>
      <c r="AX5" s="35" t="s">
        <v>183</v>
      </c>
      <c r="AY5" s="35" t="s">
        <v>183</v>
      </c>
      <c r="AZ5" s="35" t="s">
        <v>183</v>
      </c>
      <c r="BA5" s="35" t="s">
        <v>183</v>
      </c>
      <c r="BB5" s="35" t="s">
        <v>183</v>
      </c>
      <c r="BC5" s="35" t="s">
        <v>183</v>
      </c>
      <c r="BD5" s="22"/>
      <c r="BE5" s="35" t="s">
        <v>183</v>
      </c>
      <c r="BF5" s="35" t="s">
        <v>183</v>
      </c>
      <c r="BG5" s="35" t="s">
        <v>183</v>
      </c>
      <c r="BH5" s="35" t="s">
        <v>179</v>
      </c>
      <c r="BI5" s="35" t="s">
        <v>183</v>
      </c>
      <c r="BJ5" s="35" t="s">
        <v>183</v>
      </c>
      <c r="BK5" s="22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</row>
    <row r="6">
      <c r="A6" s="31">
        <v>3.0</v>
      </c>
      <c r="B6" s="32" t="s">
        <v>108</v>
      </c>
      <c r="C6" s="32" t="s">
        <v>109</v>
      </c>
      <c r="D6" s="55">
        <f t="shared" si="2"/>
        <v>26</v>
      </c>
      <c r="E6" s="55">
        <f t="shared" si="3"/>
        <v>22</v>
      </c>
      <c r="F6" s="55">
        <f t="shared" si="4"/>
        <v>48</v>
      </c>
      <c r="G6" s="62">
        <f t="shared" si="5"/>
        <v>54.16666667</v>
      </c>
      <c r="H6" s="63" t="s">
        <v>179</v>
      </c>
      <c r="I6" s="63" t="s">
        <v>183</v>
      </c>
      <c r="J6" s="63" t="s">
        <v>183</v>
      </c>
      <c r="K6" s="63" t="s">
        <v>183</v>
      </c>
      <c r="L6" s="63" t="s">
        <v>183</v>
      </c>
      <c r="M6" s="63" t="s">
        <v>183</v>
      </c>
      <c r="N6" s="22"/>
      <c r="O6" s="63" t="s">
        <v>183</v>
      </c>
      <c r="P6" s="63" t="s">
        <v>179</v>
      </c>
      <c r="Q6" s="65" t="s">
        <v>179</v>
      </c>
      <c r="R6" s="65" t="s">
        <v>179</v>
      </c>
      <c r="S6" s="65" t="s">
        <v>179</v>
      </c>
      <c r="T6" s="65" t="s">
        <v>179</v>
      </c>
      <c r="U6" s="22"/>
      <c r="V6" s="63" t="s">
        <v>179</v>
      </c>
      <c r="W6" s="63" t="s">
        <v>183</v>
      </c>
      <c r="X6" s="63" t="s">
        <v>179</v>
      </c>
      <c r="Y6" s="63" t="s">
        <v>179</v>
      </c>
      <c r="Z6" s="63" t="s">
        <v>179</v>
      </c>
      <c r="AA6" s="63" t="s">
        <v>179</v>
      </c>
      <c r="AB6" s="22"/>
      <c r="AC6" s="63" t="s">
        <v>183</v>
      </c>
      <c r="AD6" s="63" t="s">
        <v>179</v>
      </c>
      <c r="AE6" s="63" t="s">
        <v>179</v>
      </c>
      <c r="AF6" s="63" t="s">
        <v>179</v>
      </c>
      <c r="AG6" s="63" t="s">
        <v>179</v>
      </c>
      <c r="AH6" s="63" t="s">
        <v>179</v>
      </c>
      <c r="AI6" s="22"/>
      <c r="AJ6" s="65" t="s">
        <v>183</v>
      </c>
      <c r="AK6" s="63" t="s">
        <v>179</v>
      </c>
      <c r="AL6" s="63" t="s">
        <v>179</v>
      </c>
      <c r="AM6" s="63" t="s">
        <v>179</v>
      </c>
      <c r="AN6" s="63" t="s">
        <v>183</v>
      </c>
      <c r="AO6" s="63" t="s">
        <v>179</v>
      </c>
      <c r="AP6" s="22"/>
      <c r="AQ6" s="65" t="s">
        <v>179</v>
      </c>
      <c r="AR6" s="65" t="s">
        <v>179</v>
      </c>
      <c r="AS6" s="65" t="s">
        <v>179</v>
      </c>
      <c r="AT6" s="65" t="s">
        <v>179</v>
      </c>
      <c r="AU6" s="65" t="s">
        <v>179</v>
      </c>
      <c r="AV6" s="65" t="s">
        <v>183</v>
      </c>
      <c r="AW6" s="22"/>
      <c r="AX6" s="65" t="s">
        <v>183</v>
      </c>
      <c r="AY6" s="65" t="s">
        <v>183</v>
      </c>
      <c r="AZ6" s="65" t="s">
        <v>179</v>
      </c>
      <c r="BA6" s="65" t="s">
        <v>183</v>
      </c>
      <c r="BB6" s="65" t="s">
        <v>183</v>
      </c>
      <c r="BC6" s="65" t="s">
        <v>183</v>
      </c>
      <c r="BD6" s="22"/>
      <c r="BE6" s="65" t="s">
        <v>183</v>
      </c>
      <c r="BF6" s="65" t="s">
        <v>183</v>
      </c>
      <c r="BG6" s="65" t="s">
        <v>183</v>
      </c>
      <c r="BH6" s="65" t="s">
        <v>183</v>
      </c>
      <c r="BI6" s="65" t="s">
        <v>183</v>
      </c>
      <c r="BJ6" s="65" t="s">
        <v>183</v>
      </c>
      <c r="BK6" s="22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</row>
    <row r="7">
      <c r="A7" s="31">
        <v>4.0</v>
      </c>
      <c r="B7" s="32" t="s">
        <v>118</v>
      </c>
      <c r="C7" s="32" t="s">
        <v>120</v>
      </c>
      <c r="D7" s="55">
        <f t="shared" si="2"/>
        <v>36</v>
      </c>
      <c r="E7" s="55">
        <f t="shared" si="3"/>
        <v>12</v>
      </c>
      <c r="F7" s="55">
        <f t="shared" si="4"/>
        <v>48</v>
      </c>
      <c r="G7" s="62">
        <f t="shared" si="5"/>
        <v>75</v>
      </c>
      <c r="H7" s="63" t="s">
        <v>179</v>
      </c>
      <c r="I7" s="63" t="s">
        <v>179</v>
      </c>
      <c r="J7" s="63" t="s">
        <v>179</v>
      </c>
      <c r="K7" s="63" t="s">
        <v>179</v>
      </c>
      <c r="L7" s="63" t="s">
        <v>179</v>
      </c>
      <c r="M7" s="63" t="s">
        <v>179</v>
      </c>
      <c r="N7" s="22"/>
      <c r="O7" s="63" t="s">
        <v>179</v>
      </c>
      <c r="P7" s="63" t="s">
        <v>179</v>
      </c>
      <c r="Q7" s="65" t="s">
        <v>179</v>
      </c>
      <c r="R7" s="65" t="s">
        <v>179</v>
      </c>
      <c r="S7" s="65" t="s">
        <v>179</v>
      </c>
      <c r="T7" s="65" t="s">
        <v>179</v>
      </c>
      <c r="U7" s="22"/>
      <c r="V7" s="63" t="s">
        <v>179</v>
      </c>
      <c r="W7" s="63" t="s">
        <v>179</v>
      </c>
      <c r="X7" s="63" t="s">
        <v>179</v>
      </c>
      <c r="Y7" s="63" t="s">
        <v>183</v>
      </c>
      <c r="Z7" s="63" t="s">
        <v>179</v>
      </c>
      <c r="AA7" s="63" t="s">
        <v>179</v>
      </c>
      <c r="AB7" s="22"/>
      <c r="AC7" s="63" t="s">
        <v>179</v>
      </c>
      <c r="AD7" s="63" t="s">
        <v>179</v>
      </c>
      <c r="AE7" s="63" t="s">
        <v>179</v>
      </c>
      <c r="AF7" s="63" t="s">
        <v>179</v>
      </c>
      <c r="AG7" s="63" t="s">
        <v>179</v>
      </c>
      <c r="AH7" s="63" t="s">
        <v>179</v>
      </c>
      <c r="AI7" s="22"/>
      <c r="AJ7" s="65" t="s">
        <v>179</v>
      </c>
      <c r="AK7" s="63" t="s">
        <v>179</v>
      </c>
      <c r="AL7" s="63" t="s">
        <v>179</v>
      </c>
      <c r="AM7" s="63" t="s">
        <v>183</v>
      </c>
      <c r="AN7" s="63" t="s">
        <v>179</v>
      </c>
      <c r="AO7" s="63" t="s">
        <v>183</v>
      </c>
      <c r="AP7" s="22"/>
      <c r="AQ7" s="65" t="s">
        <v>179</v>
      </c>
      <c r="AR7" s="65" t="s">
        <v>179</v>
      </c>
      <c r="AS7" s="65" t="s">
        <v>179</v>
      </c>
      <c r="AT7" s="65" t="s">
        <v>179</v>
      </c>
      <c r="AU7" s="65" t="s">
        <v>179</v>
      </c>
      <c r="AV7" s="65" t="s">
        <v>183</v>
      </c>
      <c r="AW7" s="22"/>
      <c r="AX7" s="65" t="s">
        <v>179</v>
      </c>
      <c r="AY7" s="65" t="s">
        <v>183</v>
      </c>
      <c r="AZ7" s="65" t="s">
        <v>183</v>
      </c>
      <c r="BA7" s="65" t="s">
        <v>183</v>
      </c>
      <c r="BB7" s="65" t="s">
        <v>179</v>
      </c>
      <c r="BC7" s="65" t="s">
        <v>179</v>
      </c>
      <c r="BD7" s="22"/>
      <c r="BE7" s="65" t="s">
        <v>179</v>
      </c>
      <c r="BF7" s="65" t="s">
        <v>183</v>
      </c>
      <c r="BG7" s="65" t="s">
        <v>183</v>
      </c>
      <c r="BH7" s="65" t="s">
        <v>183</v>
      </c>
      <c r="BI7" s="65" t="s">
        <v>183</v>
      </c>
      <c r="BJ7" s="65" t="s">
        <v>183</v>
      </c>
      <c r="BK7" s="22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</row>
    <row r="8">
      <c r="A8" s="31">
        <v>5.0</v>
      </c>
      <c r="B8" s="41" t="s">
        <v>129</v>
      </c>
      <c r="C8" s="41" t="s">
        <v>131</v>
      </c>
      <c r="D8" s="55">
        <f t="shared" si="2"/>
        <v>17</v>
      </c>
      <c r="E8" s="55">
        <f t="shared" si="3"/>
        <v>31</v>
      </c>
      <c r="F8" s="55">
        <f t="shared" si="4"/>
        <v>48</v>
      </c>
      <c r="G8" s="62">
        <f t="shared" si="5"/>
        <v>35.41666667</v>
      </c>
      <c r="H8" s="63" t="s">
        <v>183</v>
      </c>
      <c r="I8" s="63" t="s">
        <v>183</v>
      </c>
      <c r="J8" s="63" t="s">
        <v>183</v>
      </c>
      <c r="K8" s="63" t="s">
        <v>183</v>
      </c>
      <c r="L8" s="63" t="s">
        <v>183</v>
      </c>
      <c r="M8" s="63" t="s">
        <v>183</v>
      </c>
      <c r="N8" s="22"/>
      <c r="O8" s="65" t="s">
        <v>183</v>
      </c>
      <c r="P8" s="65" t="s">
        <v>183</v>
      </c>
      <c r="Q8" s="65" t="s">
        <v>183</v>
      </c>
      <c r="R8" s="65" t="s">
        <v>179</v>
      </c>
      <c r="S8" s="65" t="s">
        <v>179</v>
      </c>
      <c r="T8" s="65" t="s">
        <v>179</v>
      </c>
      <c r="U8" s="22"/>
      <c r="V8" s="63" t="s">
        <v>179</v>
      </c>
      <c r="W8" s="63" t="s">
        <v>183</v>
      </c>
      <c r="X8" s="63" t="s">
        <v>179</v>
      </c>
      <c r="Y8" s="63" t="s">
        <v>183</v>
      </c>
      <c r="Z8" s="63" t="s">
        <v>179</v>
      </c>
      <c r="AA8" s="63" t="s">
        <v>183</v>
      </c>
      <c r="AB8" s="22"/>
      <c r="AC8" s="63" t="s">
        <v>179</v>
      </c>
      <c r="AD8" s="63" t="s">
        <v>179</v>
      </c>
      <c r="AE8" s="63" t="s">
        <v>179</v>
      </c>
      <c r="AF8" s="63" t="s">
        <v>179</v>
      </c>
      <c r="AG8" s="63" t="s">
        <v>179</v>
      </c>
      <c r="AH8" s="63" t="s">
        <v>183</v>
      </c>
      <c r="AI8" s="22"/>
      <c r="AJ8" s="65" t="s">
        <v>179</v>
      </c>
      <c r="AK8" s="63" t="s">
        <v>179</v>
      </c>
      <c r="AL8" s="63" t="s">
        <v>179</v>
      </c>
      <c r="AM8" s="63" t="s">
        <v>183</v>
      </c>
      <c r="AN8" s="63" t="s">
        <v>179</v>
      </c>
      <c r="AO8" s="63" t="s">
        <v>183</v>
      </c>
      <c r="AP8" s="22"/>
      <c r="AQ8" s="65" t="s">
        <v>183</v>
      </c>
      <c r="AR8" s="65" t="s">
        <v>183</v>
      </c>
      <c r="AS8" s="65" t="s">
        <v>183</v>
      </c>
      <c r="AT8" s="35" t="s">
        <v>183</v>
      </c>
      <c r="AU8" s="35" t="s">
        <v>179</v>
      </c>
      <c r="AV8" s="35" t="s">
        <v>179</v>
      </c>
      <c r="AW8" s="22"/>
      <c r="AX8" s="35" t="s">
        <v>183</v>
      </c>
      <c r="AY8" s="35" t="s">
        <v>183</v>
      </c>
      <c r="AZ8" s="35" t="s">
        <v>183</v>
      </c>
      <c r="BA8" s="35" t="s">
        <v>183</v>
      </c>
      <c r="BB8" s="35" t="s">
        <v>183</v>
      </c>
      <c r="BC8" s="35" t="s">
        <v>183</v>
      </c>
      <c r="BD8" s="22"/>
      <c r="BE8" s="35" t="s">
        <v>183</v>
      </c>
      <c r="BF8" s="35" t="s">
        <v>183</v>
      </c>
      <c r="BG8" s="35" t="s">
        <v>183</v>
      </c>
      <c r="BH8" s="35" t="s">
        <v>183</v>
      </c>
      <c r="BI8" s="35" t="s">
        <v>183</v>
      </c>
      <c r="BJ8" s="35" t="s">
        <v>183</v>
      </c>
      <c r="BK8" s="22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</row>
    <row r="9">
      <c r="A9" s="31">
        <v>6.0</v>
      </c>
      <c r="B9" s="32" t="s">
        <v>144</v>
      </c>
      <c r="C9" s="32" t="s">
        <v>146</v>
      </c>
      <c r="D9" s="55">
        <f t="shared" si="2"/>
        <v>30</v>
      </c>
      <c r="E9" s="55">
        <f t="shared" si="3"/>
        <v>18</v>
      </c>
      <c r="F9" s="55">
        <f t="shared" si="4"/>
        <v>48</v>
      </c>
      <c r="G9" s="62">
        <f t="shared" si="5"/>
        <v>62.5</v>
      </c>
      <c r="H9" s="63" t="s">
        <v>179</v>
      </c>
      <c r="I9" s="63" t="s">
        <v>179</v>
      </c>
      <c r="J9" s="63" t="s">
        <v>179</v>
      </c>
      <c r="K9" s="63" t="s">
        <v>183</v>
      </c>
      <c r="L9" s="63" t="s">
        <v>179</v>
      </c>
      <c r="M9" s="63" t="s">
        <v>183</v>
      </c>
      <c r="N9" s="22"/>
      <c r="O9" s="63" t="s">
        <v>179</v>
      </c>
      <c r="P9" s="63" t="s">
        <v>183</v>
      </c>
      <c r="Q9" s="65" t="s">
        <v>179</v>
      </c>
      <c r="R9" s="65" t="s">
        <v>183</v>
      </c>
      <c r="S9" s="65" t="s">
        <v>183</v>
      </c>
      <c r="T9" s="65" t="s">
        <v>179</v>
      </c>
      <c r="U9" s="22"/>
      <c r="V9" s="63" t="s">
        <v>179</v>
      </c>
      <c r="W9" s="63" t="s">
        <v>179</v>
      </c>
      <c r="X9" s="63" t="s">
        <v>179</v>
      </c>
      <c r="Y9" s="63" t="s">
        <v>179</v>
      </c>
      <c r="Z9" s="63" t="s">
        <v>179</v>
      </c>
      <c r="AA9" s="63" t="s">
        <v>179</v>
      </c>
      <c r="AB9" s="22"/>
      <c r="AC9" s="63" t="s">
        <v>179</v>
      </c>
      <c r="AD9" s="63" t="s">
        <v>183</v>
      </c>
      <c r="AE9" s="63" t="s">
        <v>179</v>
      </c>
      <c r="AF9" s="63" t="s">
        <v>179</v>
      </c>
      <c r="AG9" s="63" t="s">
        <v>179</v>
      </c>
      <c r="AH9" s="63" t="s">
        <v>183</v>
      </c>
      <c r="AI9" s="22"/>
      <c r="AJ9" s="65" t="s">
        <v>183</v>
      </c>
      <c r="AK9" s="63" t="s">
        <v>179</v>
      </c>
      <c r="AL9" s="63" t="s">
        <v>179</v>
      </c>
      <c r="AM9" s="63" t="s">
        <v>183</v>
      </c>
      <c r="AN9" s="63" t="s">
        <v>179</v>
      </c>
      <c r="AO9" s="63" t="s">
        <v>179</v>
      </c>
      <c r="AP9" s="22"/>
      <c r="AQ9" s="65" t="s">
        <v>179</v>
      </c>
      <c r="AR9" s="65" t="s">
        <v>179</v>
      </c>
      <c r="AS9" s="65" t="s">
        <v>179</v>
      </c>
      <c r="AT9" s="65" t="s">
        <v>183</v>
      </c>
      <c r="AU9" s="65" t="s">
        <v>179</v>
      </c>
      <c r="AV9" s="65" t="s">
        <v>179</v>
      </c>
      <c r="AW9" s="22"/>
      <c r="AX9" s="65" t="s">
        <v>179</v>
      </c>
      <c r="AY9" s="65" t="s">
        <v>183</v>
      </c>
      <c r="AZ9" s="65" t="s">
        <v>179</v>
      </c>
      <c r="BA9" s="65" t="s">
        <v>179</v>
      </c>
      <c r="BB9" s="65" t="s">
        <v>183</v>
      </c>
      <c r="BC9" s="65" t="s">
        <v>183</v>
      </c>
      <c r="BD9" s="22"/>
      <c r="BE9" s="65" t="s">
        <v>183</v>
      </c>
      <c r="BF9" s="65" t="s">
        <v>179</v>
      </c>
      <c r="BG9" s="65" t="s">
        <v>183</v>
      </c>
      <c r="BH9" s="65" t="s">
        <v>183</v>
      </c>
      <c r="BI9" s="65" t="s">
        <v>183</v>
      </c>
      <c r="BJ9" s="65" t="s">
        <v>183</v>
      </c>
      <c r="BK9" s="22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</row>
    <row r="10">
      <c r="A10" s="31">
        <v>7.0</v>
      </c>
      <c r="B10" s="32" t="s">
        <v>144</v>
      </c>
      <c r="C10" s="32" t="s">
        <v>163</v>
      </c>
      <c r="D10" s="55">
        <f t="shared" si="2"/>
        <v>45</v>
      </c>
      <c r="E10" s="55">
        <f t="shared" si="3"/>
        <v>3</v>
      </c>
      <c r="F10" s="55">
        <f t="shared" si="4"/>
        <v>48</v>
      </c>
      <c r="G10" s="62">
        <f t="shared" si="5"/>
        <v>93.75</v>
      </c>
      <c r="H10" s="63" t="s">
        <v>179</v>
      </c>
      <c r="I10" s="63" t="s">
        <v>179</v>
      </c>
      <c r="J10" s="63" t="s">
        <v>179</v>
      </c>
      <c r="K10" s="63" t="s">
        <v>179</v>
      </c>
      <c r="L10" s="63" t="s">
        <v>179</v>
      </c>
      <c r="M10" s="63" t="s">
        <v>179</v>
      </c>
      <c r="N10" s="22"/>
      <c r="O10" s="63" t="s">
        <v>179</v>
      </c>
      <c r="P10" s="63" t="s">
        <v>179</v>
      </c>
      <c r="Q10" s="65" t="s">
        <v>179</v>
      </c>
      <c r="R10" s="65" t="s">
        <v>179</v>
      </c>
      <c r="S10" s="65" t="s">
        <v>179</v>
      </c>
      <c r="T10" s="65" t="s">
        <v>179</v>
      </c>
      <c r="U10" s="22"/>
      <c r="V10" s="63" t="s">
        <v>179</v>
      </c>
      <c r="W10" s="63" t="s">
        <v>179</v>
      </c>
      <c r="X10" s="63" t="s">
        <v>179</v>
      </c>
      <c r="Y10" s="63" t="s">
        <v>179</v>
      </c>
      <c r="Z10" s="63" t="s">
        <v>179</v>
      </c>
      <c r="AA10" s="63" t="s">
        <v>179</v>
      </c>
      <c r="AB10" s="22"/>
      <c r="AC10" s="63" t="s">
        <v>179</v>
      </c>
      <c r="AD10" s="63" t="s">
        <v>179</v>
      </c>
      <c r="AE10" s="63" t="s">
        <v>179</v>
      </c>
      <c r="AF10" s="63" t="s">
        <v>179</v>
      </c>
      <c r="AG10" s="63" t="s">
        <v>179</v>
      </c>
      <c r="AH10" s="63" t="s">
        <v>179</v>
      </c>
      <c r="AI10" s="22"/>
      <c r="AJ10" s="65" t="s">
        <v>179</v>
      </c>
      <c r="AK10" s="63" t="s">
        <v>179</v>
      </c>
      <c r="AL10" s="63" t="s">
        <v>179</v>
      </c>
      <c r="AM10" s="63" t="s">
        <v>179</v>
      </c>
      <c r="AN10" s="63" t="s">
        <v>179</v>
      </c>
      <c r="AO10" s="63" t="s">
        <v>179</v>
      </c>
      <c r="AP10" s="22"/>
      <c r="AQ10" s="65" t="s">
        <v>179</v>
      </c>
      <c r="AR10" s="65" t="s">
        <v>179</v>
      </c>
      <c r="AS10" s="65" t="s">
        <v>179</v>
      </c>
      <c r="AT10" s="65" t="s">
        <v>179</v>
      </c>
      <c r="AU10" s="65" t="s">
        <v>179</v>
      </c>
      <c r="AV10" s="65" t="s">
        <v>179</v>
      </c>
      <c r="AW10" s="22"/>
      <c r="AX10" s="65" t="s">
        <v>179</v>
      </c>
      <c r="AY10" s="65" t="s">
        <v>179</v>
      </c>
      <c r="AZ10" s="65" t="s">
        <v>179</v>
      </c>
      <c r="BA10" s="65" t="s">
        <v>183</v>
      </c>
      <c r="BB10" s="65" t="s">
        <v>183</v>
      </c>
      <c r="BC10" s="65" t="s">
        <v>183</v>
      </c>
      <c r="BD10" s="22"/>
      <c r="BE10" s="65" t="s">
        <v>179</v>
      </c>
      <c r="BF10" s="65" t="s">
        <v>179</v>
      </c>
      <c r="BG10" s="65" t="s">
        <v>179</v>
      </c>
      <c r="BH10" s="65" t="s">
        <v>179</v>
      </c>
      <c r="BI10" s="65" t="s">
        <v>179</v>
      </c>
      <c r="BJ10" s="65" t="s">
        <v>179</v>
      </c>
      <c r="BK10" s="22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</row>
    <row r="11">
      <c r="A11" s="31">
        <v>8.0</v>
      </c>
      <c r="B11" s="32" t="s">
        <v>175</v>
      </c>
      <c r="C11" s="32" t="s">
        <v>176</v>
      </c>
      <c r="D11" s="55">
        <f t="shared" si="2"/>
        <v>41</v>
      </c>
      <c r="E11" s="55">
        <f t="shared" si="3"/>
        <v>7</v>
      </c>
      <c r="F11" s="55">
        <f t="shared" si="4"/>
        <v>48</v>
      </c>
      <c r="G11" s="62">
        <f t="shared" si="5"/>
        <v>85.41666667</v>
      </c>
      <c r="H11" s="63" t="s">
        <v>179</v>
      </c>
      <c r="I11" s="63" t="s">
        <v>179</v>
      </c>
      <c r="J11" s="63" t="s">
        <v>179</v>
      </c>
      <c r="K11" s="63" t="s">
        <v>179</v>
      </c>
      <c r="L11" s="63" t="s">
        <v>179</v>
      </c>
      <c r="M11" s="63" t="s">
        <v>179</v>
      </c>
      <c r="N11" s="22"/>
      <c r="O11" s="63" t="s">
        <v>179</v>
      </c>
      <c r="P11" s="63" t="s">
        <v>179</v>
      </c>
      <c r="Q11" s="65" t="s">
        <v>179</v>
      </c>
      <c r="R11" s="65" t="s">
        <v>179</v>
      </c>
      <c r="S11" s="65" t="s">
        <v>179</v>
      </c>
      <c r="T11" s="65" t="s">
        <v>179</v>
      </c>
      <c r="U11" s="22"/>
      <c r="V11" s="63" t="s">
        <v>179</v>
      </c>
      <c r="W11" s="63" t="s">
        <v>179</v>
      </c>
      <c r="X11" s="63" t="s">
        <v>179</v>
      </c>
      <c r="Y11" s="63" t="s">
        <v>179</v>
      </c>
      <c r="Z11" s="63" t="s">
        <v>179</v>
      </c>
      <c r="AA11" s="63" t="s">
        <v>179</v>
      </c>
      <c r="AB11" s="22"/>
      <c r="AC11" s="63" t="s">
        <v>179</v>
      </c>
      <c r="AD11" s="63" t="s">
        <v>179</v>
      </c>
      <c r="AE11" s="63" t="s">
        <v>179</v>
      </c>
      <c r="AF11" s="63" t="s">
        <v>179</v>
      </c>
      <c r="AG11" s="63" t="s">
        <v>179</v>
      </c>
      <c r="AH11" s="63" t="s">
        <v>179</v>
      </c>
      <c r="AI11" s="22"/>
      <c r="AJ11" s="65" t="s">
        <v>179</v>
      </c>
      <c r="AK11" s="63" t="s">
        <v>179</v>
      </c>
      <c r="AL11" s="63" t="s">
        <v>179</v>
      </c>
      <c r="AM11" s="63" t="s">
        <v>179</v>
      </c>
      <c r="AN11" s="63" t="s">
        <v>179</v>
      </c>
      <c r="AO11" s="63" t="s">
        <v>179</v>
      </c>
      <c r="AP11" s="22"/>
      <c r="AQ11" s="65" t="s">
        <v>179</v>
      </c>
      <c r="AR11" s="65" t="s">
        <v>179</v>
      </c>
      <c r="AS11" s="65" t="s">
        <v>179</v>
      </c>
      <c r="AT11" s="65" t="s">
        <v>179</v>
      </c>
      <c r="AU11" s="65" t="s">
        <v>183</v>
      </c>
      <c r="AV11" s="65" t="s">
        <v>183</v>
      </c>
      <c r="AW11" s="22"/>
      <c r="AX11" s="65" t="s">
        <v>179</v>
      </c>
      <c r="AY11" s="65" t="s">
        <v>179</v>
      </c>
      <c r="AZ11" s="65" t="s">
        <v>183</v>
      </c>
      <c r="BA11" s="65" t="s">
        <v>183</v>
      </c>
      <c r="BB11" s="65" t="s">
        <v>183</v>
      </c>
      <c r="BC11" s="65" t="s">
        <v>179</v>
      </c>
      <c r="BD11" s="22"/>
      <c r="BE11" s="65" t="s">
        <v>183</v>
      </c>
      <c r="BF11" s="65" t="s">
        <v>179</v>
      </c>
      <c r="BG11" s="65" t="s">
        <v>179</v>
      </c>
      <c r="BH11" s="65" t="s">
        <v>179</v>
      </c>
      <c r="BI11" s="65" t="s">
        <v>179</v>
      </c>
      <c r="BJ11" s="65" t="s">
        <v>183</v>
      </c>
      <c r="BK11" s="22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</row>
    <row r="12">
      <c r="A12" s="31">
        <v>9.0</v>
      </c>
      <c r="B12" s="41" t="s">
        <v>190</v>
      </c>
      <c r="C12" s="41" t="s">
        <v>192</v>
      </c>
      <c r="D12" s="55">
        <f t="shared" si="2"/>
        <v>29</v>
      </c>
      <c r="E12" s="55">
        <f t="shared" si="3"/>
        <v>19</v>
      </c>
      <c r="F12" s="55">
        <f t="shared" si="4"/>
        <v>48</v>
      </c>
      <c r="G12" s="62">
        <f t="shared" si="5"/>
        <v>60.41666667</v>
      </c>
      <c r="H12" s="63" t="s">
        <v>183</v>
      </c>
      <c r="I12" s="63" t="s">
        <v>183</v>
      </c>
      <c r="J12" s="63" t="s">
        <v>183</v>
      </c>
      <c r="K12" s="63" t="s">
        <v>179</v>
      </c>
      <c r="L12" s="63" t="s">
        <v>179</v>
      </c>
      <c r="M12" s="63" t="s">
        <v>179</v>
      </c>
      <c r="N12" s="22"/>
      <c r="O12" s="63" t="s">
        <v>179</v>
      </c>
      <c r="P12" s="63" t="s">
        <v>179</v>
      </c>
      <c r="Q12" s="65" t="s">
        <v>179</v>
      </c>
      <c r="R12" s="65" t="s">
        <v>179</v>
      </c>
      <c r="S12" s="65" t="s">
        <v>179</v>
      </c>
      <c r="T12" s="65" t="s">
        <v>179</v>
      </c>
      <c r="U12" s="22"/>
      <c r="V12" s="73" t="s">
        <v>179</v>
      </c>
      <c r="W12" s="73" t="s">
        <v>179</v>
      </c>
      <c r="X12" s="73" t="s">
        <v>179</v>
      </c>
      <c r="Y12" s="73" t="s">
        <v>179</v>
      </c>
      <c r="Z12" s="73" t="s">
        <v>179</v>
      </c>
      <c r="AA12" s="73" t="s">
        <v>179</v>
      </c>
      <c r="AB12" s="22"/>
      <c r="AC12" s="73" t="s">
        <v>179</v>
      </c>
      <c r="AD12" s="73" t="s">
        <v>179</v>
      </c>
      <c r="AE12" s="73" t="s">
        <v>179</v>
      </c>
      <c r="AF12" s="73" t="s">
        <v>179</v>
      </c>
      <c r="AG12" s="73" t="s">
        <v>179</v>
      </c>
      <c r="AH12" s="73" t="s">
        <v>179</v>
      </c>
      <c r="AI12" s="22"/>
      <c r="AJ12" s="35" t="s">
        <v>179</v>
      </c>
      <c r="AK12" s="63" t="s">
        <v>179</v>
      </c>
      <c r="AL12" s="63" t="s">
        <v>179</v>
      </c>
      <c r="AM12" s="63" t="s">
        <v>179</v>
      </c>
      <c r="AN12" s="63" t="s">
        <v>183</v>
      </c>
      <c r="AO12" s="63" t="s">
        <v>183</v>
      </c>
      <c r="AP12" s="22"/>
      <c r="AQ12" s="35" t="s">
        <v>179</v>
      </c>
      <c r="AR12" s="35" t="s">
        <v>179</v>
      </c>
      <c r="AS12" s="35" t="s">
        <v>179</v>
      </c>
      <c r="AT12" s="35" t="s">
        <v>179</v>
      </c>
      <c r="AU12" s="35" t="s">
        <v>183</v>
      </c>
      <c r="AV12" s="35" t="s">
        <v>183</v>
      </c>
      <c r="AW12" s="22"/>
      <c r="AX12" s="35" t="s">
        <v>183</v>
      </c>
      <c r="AY12" s="35" t="s">
        <v>183</v>
      </c>
      <c r="AZ12" s="35" t="s">
        <v>183</v>
      </c>
      <c r="BA12" s="35" t="s">
        <v>183</v>
      </c>
      <c r="BB12" s="35" t="s">
        <v>183</v>
      </c>
      <c r="BC12" s="35" t="s">
        <v>183</v>
      </c>
      <c r="BD12" s="22"/>
      <c r="BE12" s="35" t="s">
        <v>183</v>
      </c>
      <c r="BF12" s="35" t="s">
        <v>183</v>
      </c>
      <c r="BG12" s="35" t="s">
        <v>183</v>
      </c>
      <c r="BH12" s="35" t="s">
        <v>183</v>
      </c>
      <c r="BI12" s="35" t="s">
        <v>183</v>
      </c>
      <c r="BJ12" s="35" t="s">
        <v>183</v>
      </c>
      <c r="BK12" s="22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</row>
    <row r="13">
      <c r="A13" s="31">
        <v>10.0</v>
      </c>
      <c r="B13" s="32" t="s">
        <v>205</v>
      </c>
      <c r="C13" s="32" t="s">
        <v>206</v>
      </c>
      <c r="D13" s="55">
        <f t="shared" si="2"/>
        <v>42</v>
      </c>
      <c r="E13" s="55">
        <f t="shared" si="3"/>
        <v>6</v>
      </c>
      <c r="F13" s="55">
        <f t="shared" si="4"/>
        <v>48</v>
      </c>
      <c r="G13" s="62">
        <f t="shared" si="5"/>
        <v>87.5</v>
      </c>
      <c r="H13" s="63" t="s">
        <v>179</v>
      </c>
      <c r="I13" s="63" t="s">
        <v>179</v>
      </c>
      <c r="J13" s="63" t="s">
        <v>179</v>
      </c>
      <c r="K13" s="63" t="s">
        <v>179</v>
      </c>
      <c r="L13" s="63" t="s">
        <v>179</v>
      </c>
      <c r="M13" s="63" t="s">
        <v>183</v>
      </c>
      <c r="N13" s="22"/>
      <c r="O13" s="63" t="s">
        <v>179</v>
      </c>
      <c r="P13" s="63" t="s">
        <v>179</v>
      </c>
      <c r="Q13" s="65" t="s">
        <v>179</v>
      </c>
      <c r="R13" s="65" t="s">
        <v>179</v>
      </c>
      <c r="S13" s="65" t="s">
        <v>179</v>
      </c>
      <c r="T13" s="65" t="s">
        <v>179</v>
      </c>
      <c r="U13" s="22"/>
      <c r="V13" s="63" t="s">
        <v>183</v>
      </c>
      <c r="W13" s="63" t="s">
        <v>179</v>
      </c>
      <c r="X13" s="63" t="s">
        <v>179</v>
      </c>
      <c r="Y13" s="63" t="s">
        <v>179</v>
      </c>
      <c r="Z13" s="63" t="s">
        <v>179</v>
      </c>
      <c r="AA13" s="63" t="s">
        <v>179</v>
      </c>
      <c r="AB13" s="22"/>
      <c r="AC13" s="63" t="s">
        <v>179</v>
      </c>
      <c r="AD13" s="63" t="s">
        <v>179</v>
      </c>
      <c r="AE13" s="63" t="s">
        <v>179</v>
      </c>
      <c r="AF13" s="63" t="s">
        <v>179</v>
      </c>
      <c r="AG13" s="63" t="s">
        <v>179</v>
      </c>
      <c r="AH13" s="63" t="s">
        <v>179</v>
      </c>
      <c r="AI13" s="22"/>
      <c r="AJ13" s="65" t="s">
        <v>179</v>
      </c>
      <c r="AK13" s="63" t="s">
        <v>179</v>
      </c>
      <c r="AL13" s="63" t="s">
        <v>179</v>
      </c>
      <c r="AM13" s="63" t="s">
        <v>179</v>
      </c>
      <c r="AN13" s="63" t="s">
        <v>179</v>
      </c>
      <c r="AO13" s="63" t="s">
        <v>179</v>
      </c>
      <c r="AP13" s="22"/>
      <c r="AQ13" s="65" t="s">
        <v>179</v>
      </c>
      <c r="AR13" s="65" t="s">
        <v>179</v>
      </c>
      <c r="AS13" s="65" t="s">
        <v>179</v>
      </c>
      <c r="AT13" s="65" t="s">
        <v>179</v>
      </c>
      <c r="AU13" s="65" t="s">
        <v>179</v>
      </c>
      <c r="AV13" s="65" t="s">
        <v>179</v>
      </c>
      <c r="AW13" s="22"/>
      <c r="AX13" s="65" t="s">
        <v>179</v>
      </c>
      <c r="AY13" s="65" t="s">
        <v>179</v>
      </c>
      <c r="AZ13" s="65" t="s">
        <v>183</v>
      </c>
      <c r="BA13" s="65" t="s">
        <v>179</v>
      </c>
      <c r="BB13" s="65" t="s">
        <v>183</v>
      </c>
      <c r="BC13" s="65" t="s">
        <v>183</v>
      </c>
      <c r="BD13" s="22"/>
      <c r="BE13" s="65" t="s">
        <v>183</v>
      </c>
      <c r="BF13" s="65" t="s">
        <v>179</v>
      </c>
      <c r="BG13" s="65" t="s">
        <v>179</v>
      </c>
      <c r="BH13" s="65" t="s">
        <v>179</v>
      </c>
      <c r="BI13" s="65" t="s">
        <v>179</v>
      </c>
      <c r="BJ13" s="65" t="s">
        <v>179</v>
      </c>
      <c r="BK13" s="22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</row>
    <row r="14">
      <c r="A14" s="31">
        <v>11.0</v>
      </c>
      <c r="B14" s="41" t="s">
        <v>220</v>
      </c>
      <c r="C14" s="41" t="s">
        <v>222</v>
      </c>
      <c r="D14" s="55">
        <f t="shared" si="2"/>
        <v>30</v>
      </c>
      <c r="E14" s="55">
        <f t="shared" si="3"/>
        <v>18</v>
      </c>
      <c r="F14" s="55">
        <f t="shared" si="4"/>
        <v>48</v>
      </c>
      <c r="G14" s="62">
        <f t="shared" si="5"/>
        <v>62.5</v>
      </c>
      <c r="H14" s="63" t="s">
        <v>183</v>
      </c>
      <c r="I14" s="63" t="s">
        <v>183</v>
      </c>
      <c r="J14" s="63" t="s">
        <v>183</v>
      </c>
      <c r="K14" s="63" t="s">
        <v>183</v>
      </c>
      <c r="L14" s="63" t="s">
        <v>183</v>
      </c>
      <c r="M14" s="63" t="s">
        <v>179</v>
      </c>
      <c r="N14" s="22"/>
      <c r="O14" s="63" t="s">
        <v>179</v>
      </c>
      <c r="P14" s="63" t="s">
        <v>179</v>
      </c>
      <c r="Q14" s="65" t="s">
        <v>179</v>
      </c>
      <c r="R14" s="65" t="s">
        <v>179</v>
      </c>
      <c r="S14" s="65" t="s">
        <v>179</v>
      </c>
      <c r="T14" s="65" t="s">
        <v>179</v>
      </c>
      <c r="U14" s="22"/>
      <c r="V14" s="63" t="s">
        <v>179</v>
      </c>
      <c r="W14" s="63" t="s">
        <v>179</v>
      </c>
      <c r="X14" s="63" t="s">
        <v>179</v>
      </c>
      <c r="Y14" s="63" t="s">
        <v>179</v>
      </c>
      <c r="Z14" s="63" t="s">
        <v>179</v>
      </c>
      <c r="AA14" s="63" t="s">
        <v>179</v>
      </c>
      <c r="AB14" s="22"/>
      <c r="AC14" s="63" t="s">
        <v>179</v>
      </c>
      <c r="AD14" s="63" t="s">
        <v>179</v>
      </c>
      <c r="AE14" s="63" t="s">
        <v>179</v>
      </c>
      <c r="AF14" s="63" t="s">
        <v>179</v>
      </c>
      <c r="AG14" s="63" t="s">
        <v>179</v>
      </c>
      <c r="AH14" s="63" t="s">
        <v>179</v>
      </c>
      <c r="AI14" s="22"/>
      <c r="AJ14" s="65" t="s">
        <v>179</v>
      </c>
      <c r="AK14" s="63" t="s">
        <v>179</v>
      </c>
      <c r="AL14" s="63" t="s">
        <v>179</v>
      </c>
      <c r="AM14" s="63" t="s">
        <v>179</v>
      </c>
      <c r="AN14" s="63" t="s">
        <v>179</v>
      </c>
      <c r="AO14" s="63" t="s">
        <v>179</v>
      </c>
      <c r="AP14" s="22"/>
      <c r="AQ14" s="65" t="s">
        <v>183</v>
      </c>
      <c r="AR14" s="65" t="s">
        <v>183</v>
      </c>
      <c r="AS14" s="65" t="s">
        <v>183</v>
      </c>
      <c r="AT14" s="35" t="s">
        <v>179</v>
      </c>
      <c r="AU14" s="35" t="s">
        <v>179</v>
      </c>
      <c r="AV14" s="35" t="s">
        <v>179</v>
      </c>
      <c r="AW14" s="22"/>
      <c r="AX14" s="35" t="s">
        <v>179</v>
      </c>
      <c r="AY14" s="35" t="s">
        <v>179</v>
      </c>
      <c r="AZ14" s="35" t="s">
        <v>183</v>
      </c>
      <c r="BA14" s="35" t="s">
        <v>183</v>
      </c>
      <c r="BB14" s="35" t="s">
        <v>183</v>
      </c>
      <c r="BC14" s="35" t="s">
        <v>183</v>
      </c>
      <c r="BD14" s="22"/>
      <c r="BE14" s="35" t="s">
        <v>183</v>
      </c>
      <c r="BF14" s="35" t="s">
        <v>183</v>
      </c>
      <c r="BG14" s="35" t="s">
        <v>183</v>
      </c>
      <c r="BH14" s="35" t="s">
        <v>183</v>
      </c>
      <c r="BI14" s="35" t="s">
        <v>183</v>
      </c>
      <c r="BJ14" s="35" t="s">
        <v>183</v>
      </c>
      <c r="BK14" s="22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</row>
    <row r="15">
      <c r="A15" s="31">
        <v>12.0</v>
      </c>
      <c r="B15" s="41" t="s">
        <v>231</v>
      </c>
      <c r="C15" s="41" t="s">
        <v>233</v>
      </c>
      <c r="D15" s="55">
        <f t="shared" si="2"/>
        <v>32</v>
      </c>
      <c r="E15" s="55">
        <f t="shared" si="3"/>
        <v>16</v>
      </c>
      <c r="F15" s="55">
        <f t="shared" si="4"/>
        <v>48</v>
      </c>
      <c r="G15" s="62">
        <f t="shared" si="5"/>
        <v>66.66666667</v>
      </c>
      <c r="H15" s="63" t="s">
        <v>183</v>
      </c>
      <c r="I15" s="63" t="s">
        <v>183</v>
      </c>
      <c r="J15" s="63" t="s">
        <v>183</v>
      </c>
      <c r="K15" s="63" t="s">
        <v>183</v>
      </c>
      <c r="L15" s="63" t="s">
        <v>183</v>
      </c>
      <c r="M15" s="63" t="s">
        <v>183</v>
      </c>
      <c r="N15" s="22"/>
      <c r="O15" s="65" t="s">
        <v>183</v>
      </c>
      <c r="P15" s="65" t="s">
        <v>183</v>
      </c>
      <c r="Q15" s="65" t="s">
        <v>179</v>
      </c>
      <c r="R15" s="35" t="s">
        <v>179</v>
      </c>
      <c r="S15" s="35" t="s">
        <v>179</v>
      </c>
      <c r="T15" s="35" t="s">
        <v>179</v>
      </c>
      <c r="U15" s="22"/>
      <c r="V15" s="73" t="s">
        <v>179</v>
      </c>
      <c r="W15" s="73" t="s">
        <v>179</v>
      </c>
      <c r="X15" s="73" t="s">
        <v>179</v>
      </c>
      <c r="Y15" s="73" t="s">
        <v>179</v>
      </c>
      <c r="Z15" s="73" t="s">
        <v>179</v>
      </c>
      <c r="AA15" s="73" t="s">
        <v>179</v>
      </c>
      <c r="AB15" s="22"/>
      <c r="AC15" s="73" t="s">
        <v>179</v>
      </c>
      <c r="AD15" s="73" t="s">
        <v>179</v>
      </c>
      <c r="AE15" s="73" t="s">
        <v>179</v>
      </c>
      <c r="AF15" s="73" t="s">
        <v>179</v>
      </c>
      <c r="AG15" s="73" t="s">
        <v>179</v>
      </c>
      <c r="AH15" s="73" t="s">
        <v>179</v>
      </c>
      <c r="AI15" s="22"/>
      <c r="AJ15" s="35" t="s">
        <v>179</v>
      </c>
      <c r="AK15" s="63" t="s">
        <v>179</v>
      </c>
      <c r="AL15" s="63" t="s">
        <v>179</v>
      </c>
      <c r="AM15" s="63" t="s">
        <v>179</v>
      </c>
      <c r="AN15" s="63" t="s">
        <v>183</v>
      </c>
      <c r="AO15" s="63" t="s">
        <v>179</v>
      </c>
      <c r="AP15" s="22"/>
      <c r="AQ15" s="35" t="s">
        <v>179</v>
      </c>
      <c r="AR15" s="35" t="s">
        <v>179</v>
      </c>
      <c r="AS15" s="35" t="s">
        <v>179</v>
      </c>
      <c r="AT15" s="35" t="s">
        <v>179</v>
      </c>
      <c r="AU15" s="35" t="s">
        <v>179</v>
      </c>
      <c r="AV15" s="35" t="s">
        <v>183</v>
      </c>
      <c r="AW15" s="22"/>
      <c r="AX15" s="35" t="s">
        <v>179</v>
      </c>
      <c r="AY15" s="35" t="s">
        <v>179</v>
      </c>
      <c r="AZ15" s="35" t="s">
        <v>183</v>
      </c>
      <c r="BA15" s="35" t="s">
        <v>179</v>
      </c>
      <c r="BB15" s="35" t="s">
        <v>183</v>
      </c>
      <c r="BC15" s="35" t="s">
        <v>183</v>
      </c>
      <c r="BD15" s="22"/>
      <c r="BE15" s="35" t="s">
        <v>179</v>
      </c>
      <c r="BF15" s="35" t="s">
        <v>179</v>
      </c>
      <c r="BG15" s="35" t="s">
        <v>183</v>
      </c>
      <c r="BH15" s="35" t="s">
        <v>179</v>
      </c>
      <c r="BI15" s="35" t="s">
        <v>183</v>
      </c>
      <c r="BJ15" s="35" t="s">
        <v>183</v>
      </c>
      <c r="BK15" s="22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</row>
    <row r="16">
      <c r="A16" s="31">
        <v>13.0</v>
      </c>
      <c r="B16" s="32" t="s">
        <v>247</v>
      </c>
      <c r="C16" s="32" t="s">
        <v>249</v>
      </c>
      <c r="D16" s="55">
        <f t="shared" si="2"/>
        <v>25</v>
      </c>
      <c r="E16" s="55">
        <f t="shared" si="3"/>
        <v>23</v>
      </c>
      <c r="F16" s="55">
        <f t="shared" si="4"/>
        <v>48</v>
      </c>
      <c r="G16" s="62">
        <f t="shared" si="5"/>
        <v>52.08333333</v>
      </c>
      <c r="H16" s="63" t="s">
        <v>179</v>
      </c>
      <c r="I16" s="63" t="s">
        <v>179</v>
      </c>
      <c r="J16" s="63" t="s">
        <v>179</v>
      </c>
      <c r="K16" s="63" t="s">
        <v>179</v>
      </c>
      <c r="L16" s="63" t="s">
        <v>179</v>
      </c>
      <c r="M16" s="63" t="s">
        <v>179</v>
      </c>
      <c r="N16" s="22"/>
      <c r="O16" s="63" t="s">
        <v>179</v>
      </c>
      <c r="P16" s="63" t="s">
        <v>179</v>
      </c>
      <c r="Q16" s="65" t="s">
        <v>179</v>
      </c>
      <c r="R16" s="65" t="s">
        <v>179</v>
      </c>
      <c r="S16" s="65" t="s">
        <v>179</v>
      </c>
      <c r="T16" s="65" t="s">
        <v>179</v>
      </c>
      <c r="U16" s="22"/>
      <c r="V16" s="63" t="s">
        <v>179</v>
      </c>
      <c r="W16" s="63" t="s">
        <v>183</v>
      </c>
      <c r="X16" s="63" t="s">
        <v>179</v>
      </c>
      <c r="Y16" s="63" t="s">
        <v>179</v>
      </c>
      <c r="Z16" s="63" t="s">
        <v>179</v>
      </c>
      <c r="AA16" s="63" t="s">
        <v>179</v>
      </c>
      <c r="AB16" s="22"/>
      <c r="AC16" s="63" t="s">
        <v>179</v>
      </c>
      <c r="AD16" s="63" t="s">
        <v>183</v>
      </c>
      <c r="AE16" s="63" t="s">
        <v>179</v>
      </c>
      <c r="AF16" s="63" t="s">
        <v>179</v>
      </c>
      <c r="AG16" s="63" t="s">
        <v>179</v>
      </c>
      <c r="AH16" s="63" t="s">
        <v>179</v>
      </c>
      <c r="AI16" s="22"/>
      <c r="AJ16" s="65" t="s">
        <v>179</v>
      </c>
      <c r="AK16" s="63" t="s">
        <v>179</v>
      </c>
      <c r="AL16" s="63" t="s">
        <v>183</v>
      </c>
      <c r="AM16" s="63" t="s">
        <v>183</v>
      </c>
      <c r="AN16" s="63" t="s">
        <v>183</v>
      </c>
      <c r="AO16" s="63" t="s">
        <v>183</v>
      </c>
      <c r="AP16" s="22"/>
      <c r="AQ16" s="65" t="s">
        <v>179</v>
      </c>
      <c r="AR16" s="65" t="s">
        <v>183</v>
      </c>
      <c r="AS16" s="65" t="s">
        <v>183</v>
      </c>
      <c r="AT16" s="65" t="s">
        <v>183</v>
      </c>
      <c r="AU16" s="65" t="s">
        <v>183</v>
      </c>
      <c r="AV16" s="65" t="s">
        <v>183</v>
      </c>
      <c r="AW16" s="22"/>
      <c r="AX16" s="65" t="s">
        <v>183</v>
      </c>
      <c r="AY16" s="65" t="s">
        <v>183</v>
      </c>
      <c r="AZ16" s="65" t="s">
        <v>183</v>
      </c>
      <c r="BA16" s="65" t="s">
        <v>183</v>
      </c>
      <c r="BB16" s="65" t="s">
        <v>183</v>
      </c>
      <c r="BC16" s="65" t="s">
        <v>183</v>
      </c>
      <c r="BD16" s="22"/>
      <c r="BE16" s="65" t="s">
        <v>183</v>
      </c>
      <c r="BF16" s="65" t="s">
        <v>183</v>
      </c>
      <c r="BG16" s="65" t="s">
        <v>183</v>
      </c>
      <c r="BH16" s="65" t="s">
        <v>183</v>
      </c>
      <c r="BI16" s="65" t="s">
        <v>183</v>
      </c>
      <c r="BJ16" s="65" t="s">
        <v>183</v>
      </c>
      <c r="BK16" s="22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</row>
    <row r="17">
      <c r="A17" s="31">
        <v>14.0</v>
      </c>
      <c r="B17" s="32" t="s">
        <v>262</v>
      </c>
      <c r="C17" s="32" t="s">
        <v>263</v>
      </c>
      <c r="D17" s="55">
        <f t="shared" si="2"/>
        <v>30</v>
      </c>
      <c r="E17" s="55">
        <f t="shared" si="3"/>
        <v>17</v>
      </c>
      <c r="F17" s="55">
        <f t="shared" si="4"/>
        <v>47</v>
      </c>
      <c r="G17" s="62">
        <f t="shared" si="5"/>
        <v>63.82978723</v>
      </c>
      <c r="H17" s="63" t="s">
        <v>179</v>
      </c>
      <c r="I17" s="63" t="s">
        <v>179</v>
      </c>
      <c r="J17" s="63" t="s">
        <v>179</v>
      </c>
      <c r="K17" s="63" t="s">
        <v>179</v>
      </c>
      <c r="L17" s="63" t="s">
        <v>179</v>
      </c>
      <c r="M17" s="63" t="s">
        <v>179</v>
      </c>
      <c r="N17" s="22"/>
      <c r="O17" s="63" t="s">
        <v>179</v>
      </c>
      <c r="P17" s="63" t="s">
        <v>179</v>
      </c>
      <c r="Q17" s="65" t="s">
        <v>179</v>
      </c>
      <c r="R17" s="65" t="s">
        <v>179</v>
      </c>
      <c r="S17" s="65" t="s">
        <v>179</v>
      </c>
      <c r="T17" s="65" t="s">
        <v>179</v>
      </c>
      <c r="U17" s="22"/>
      <c r="V17" s="63" t="s">
        <v>179</v>
      </c>
      <c r="W17" s="63" t="s">
        <v>179</v>
      </c>
      <c r="X17" s="63" t="s">
        <v>179</v>
      </c>
      <c r="Y17" s="63" t="s">
        <v>179</v>
      </c>
      <c r="Z17" s="63" t="s">
        <v>179</v>
      </c>
      <c r="AA17" s="63" t="s">
        <v>179</v>
      </c>
      <c r="AB17" s="22"/>
      <c r="AC17" s="63" t="s">
        <v>179</v>
      </c>
      <c r="AD17" s="63" t="s">
        <v>179</v>
      </c>
      <c r="AE17" s="63" t="s">
        <v>183</v>
      </c>
      <c r="AF17" s="63" t="s">
        <v>179</v>
      </c>
      <c r="AG17" s="63" t="s">
        <v>183</v>
      </c>
      <c r="AH17" s="63" t="s">
        <v>179</v>
      </c>
      <c r="AI17" s="22"/>
      <c r="AJ17" s="65" t="s">
        <v>183</v>
      </c>
      <c r="AK17" s="63" t="s">
        <v>179</v>
      </c>
      <c r="AL17" s="63" t="s">
        <v>179</v>
      </c>
      <c r="AM17" s="63" t="s">
        <v>183</v>
      </c>
      <c r="AN17" s="63" t="s">
        <v>179</v>
      </c>
      <c r="AO17" s="63" t="s">
        <v>179</v>
      </c>
      <c r="AP17" s="22"/>
      <c r="AQ17" s="65" t="s">
        <v>179</v>
      </c>
      <c r="AR17" s="65" t="s">
        <v>183</v>
      </c>
      <c r="AS17" s="65" t="s">
        <v>183</v>
      </c>
      <c r="AT17" s="65" t="s">
        <v>179</v>
      </c>
      <c r="AU17" s="65" t="s">
        <v>183</v>
      </c>
      <c r="AV17" s="65" t="s">
        <v>179</v>
      </c>
      <c r="AW17" s="22"/>
      <c r="AX17" s="65" t="s">
        <v>183</v>
      </c>
      <c r="AY17" s="65" t="s">
        <v>183</v>
      </c>
      <c r="AZ17" s="65" t="s">
        <v>183</v>
      </c>
      <c r="BA17" s="65" t="s">
        <v>179</v>
      </c>
      <c r="BB17" s="65" t="s">
        <v>183</v>
      </c>
      <c r="BC17" s="65" t="s">
        <v>675</v>
      </c>
      <c r="BD17" s="22"/>
      <c r="BE17" s="65" t="s">
        <v>183</v>
      </c>
      <c r="BF17" s="65" t="s">
        <v>183</v>
      </c>
      <c r="BG17" s="65" t="s">
        <v>183</v>
      </c>
      <c r="BH17" s="65" t="s">
        <v>183</v>
      </c>
      <c r="BI17" s="65" t="s">
        <v>183</v>
      </c>
      <c r="BJ17" s="65" t="s">
        <v>183</v>
      </c>
      <c r="BK17" s="22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</row>
    <row r="18">
      <c r="A18" s="31">
        <v>15.0</v>
      </c>
      <c r="B18" s="32" t="s">
        <v>273</v>
      </c>
      <c r="C18" s="32" t="s">
        <v>275</v>
      </c>
      <c r="D18" s="55">
        <f t="shared" si="2"/>
        <v>33</v>
      </c>
      <c r="E18" s="55">
        <f t="shared" si="3"/>
        <v>15</v>
      </c>
      <c r="F18" s="55">
        <f t="shared" si="4"/>
        <v>48</v>
      </c>
      <c r="G18" s="62">
        <f t="shared" si="5"/>
        <v>68.75</v>
      </c>
      <c r="H18" s="63" t="s">
        <v>179</v>
      </c>
      <c r="I18" s="63" t="s">
        <v>179</v>
      </c>
      <c r="J18" s="63" t="s">
        <v>179</v>
      </c>
      <c r="K18" s="63" t="s">
        <v>179</v>
      </c>
      <c r="L18" s="63" t="s">
        <v>179</v>
      </c>
      <c r="M18" s="63" t="s">
        <v>179</v>
      </c>
      <c r="N18" s="22"/>
      <c r="O18" s="63" t="s">
        <v>179</v>
      </c>
      <c r="P18" s="63" t="s">
        <v>179</v>
      </c>
      <c r="Q18" s="65" t="s">
        <v>179</v>
      </c>
      <c r="R18" s="65" t="s">
        <v>179</v>
      </c>
      <c r="S18" s="65" t="s">
        <v>179</v>
      </c>
      <c r="T18" s="65" t="s">
        <v>183</v>
      </c>
      <c r="U18" s="22"/>
      <c r="V18" s="63" t="s">
        <v>179</v>
      </c>
      <c r="W18" s="63" t="s">
        <v>179</v>
      </c>
      <c r="X18" s="63" t="s">
        <v>179</v>
      </c>
      <c r="Y18" s="63" t="s">
        <v>179</v>
      </c>
      <c r="Z18" s="63" t="s">
        <v>179</v>
      </c>
      <c r="AA18" s="63" t="s">
        <v>179</v>
      </c>
      <c r="AB18" s="22"/>
      <c r="AC18" s="63" t="s">
        <v>179</v>
      </c>
      <c r="AD18" s="63" t="s">
        <v>179</v>
      </c>
      <c r="AE18" s="63" t="s">
        <v>179</v>
      </c>
      <c r="AF18" s="63" t="s">
        <v>179</v>
      </c>
      <c r="AG18" s="63" t="s">
        <v>179</v>
      </c>
      <c r="AH18" s="63" t="s">
        <v>179</v>
      </c>
      <c r="AI18" s="22"/>
      <c r="AJ18" s="65" t="s">
        <v>179</v>
      </c>
      <c r="AK18" s="63" t="s">
        <v>179</v>
      </c>
      <c r="AL18" s="63" t="s">
        <v>179</v>
      </c>
      <c r="AM18" s="63" t="s">
        <v>179</v>
      </c>
      <c r="AN18" s="63" t="s">
        <v>183</v>
      </c>
      <c r="AO18" s="63" t="s">
        <v>179</v>
      </c>
      <c r="AP18" s="22"/>
      <c r="AQ18" s="65" t="s">
        <v>179</v>
      </c>
      <c r="AR18" s="65" t="s">
        <v>183</v>
      </c>
      <c r="AS18" s="65" t="s">
        <v>179</v>
      </c>
      <c r="AT18" s="65" t="s">
        <v>183</v>
      </c>
      <c r="AU18" s="65" t="s">
        <v>183</v>
      </c>
      <c r="AV18" s="65" t="s">
        <v>179</v>
      </c>
      <c r="AW18" s="22"/>
      <c r="AX18" s="65" t="s">
        <v>179</v>
      </c>
      <c r="AY18" s="65" t="s">
        <v>179</v>
      </c>
      <c r="AZ18" s="65" t="s">
        <v>183</v>
      </c>
      <c r="BA18" s="65" t="s">
        <v>183</v>
      </c>
      <c r="BB18" s="65" t="s">
        <v>183</v>
      </c>
      <c r="BC18" s="65" t="s">
        <v>183</v>
      </c>
      <c r="BD18" s="22"/>
      <c r="BE18" s="65" t="s">
        <v>183</v>
      </c>
      <c r="BF18" s="65" t="s">
        <v>183</v>
      </c>
      <c r="BG18" s="65" t="s">
        <v>183</v>
      </c>
      <c r="BH18" s="65" t="s">
        <v>183</v>
      </c>
      <c r="BI18" s="65" t="s">
        <v>183</v>
      </c>
      <c r="BJ18" s="65" t="s">
        <v>183</v>
      </c>
      <c r="BK18" s="22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</row>
    <row r="19">
      <c r="A19" s="31">
        <v>16.0</v>
      </c>
      <c r="B19" s="41" t="s">
        <v>287</v>
      </c>
      <c r="C19" s="41" t="s">
        <v>288</v>
      </c>
      <c r="D19" s="55">
        <f t="shared" si="2"/>
        <v>30</v>
      </c>
      <c r="E19" s="55">
        <f t="shared" si="3"/>
        <v>18</v>
      </c>
      <c r="F19" s="55">
        <f t="shared" si="4"/>
        <v>48</v>
      </c>
      <c r="G19" s="62">
        <f t="shared" si="5"/>
        <v>62.5</v>
      </c>
      <c r="H19" s="63" t="s">
        <v>183</v>
      </c>
      <c r="I19" s="63" t="s">
        <v>183</v>
      </c>
      <c r="J19" s="63" t="s">
        <v>183</v>
      </c>
      <c r="K19" s="63" t="s">
        <v>183</v>
      </c>
      <c r="L19" s="63" t="s">
        <v>183</v>
      </c>
      <c r="M19" s="63" t="s">
        <v>179</v>
      </c>
      <c r="N19" s="22"/>
      <c r="O19" s="63" t="s">
        <v>179</v>
      </c>
      <c r="P19" s="63" t="s">
        <v>179</v>
      </c>
      <c r="Q19" s="65" t="s">
        <v>179</v>
      </c>
      <c r="R19" s="65" t="s">
        <v>179</v>
      </c>
      <c r="S19" s="65" t="s">
        <v>179</v>
      </c>
      <c r="T19" s="65" t="s">
        <v>179</v>
      </c>
      <c r="U19" s="22"/>
      <c r="V19" s="73" t="s">
        <v>179</v>
      </c>
      <c r="W19" s="73" t="s">
        <v>179</v>
      </c>
      <c r="X19" s="73" t="s">
        <v>179</v>
      </c>
      <c r="Y19" s="73" t="s">
        <v>179</v>
      </c>
      <c r="Z19" s="73" t="s">
        <v>179</v>
      </c>
      <c r="AA19" s="73" t="s">
        <v>183</v>
      </c>
      <c r="AB19" s="22"/>
      <c r="AC19" s="73" t="s">
        <v>179</v>
      </c>
      <c r="AD19" s="73" t="s">
        <v>179</v>
      </c>
      <c r="AE19" s="73" t="s">
        <v>179</v>
      </c>
      <c r="AF19" s="73" t="s">
        <v>183</v>
      </c>
      <c r="AG19" s="73" t="s">
        <v>179</v>
      </c>
      <c r="AH19" s="73" t="s">
        <v>179</v>
      </c>
      <c r="AI19" s="22"/>
      <c r="AJ19" s="35" t="s">
        <v>179</v>
      </c>
      <c r="AK19" s="63" t="s">
        <v>179</v>
      </c>
      <c r="AL19" s="63" t="s">
        <v>179</v>
      </c>
      <c r="AM19" s="63" t="s">
        <v>179</v>
      </c>
      <c r="AN19" s="63" t="s">
        <v>179</v>
      </c>
      <c r="AO19" s="63" t="s">
        <v>179</v>
      </c>
      <c r="AP19" s="22"/>
      <c r="AQ19" s="35" t="s">
        <v>183</v>
      </c>
      <c r="AR19" s="35" t="s">
        <v>179</v>
      </c>
      <c r="AS19" s="35" t="s">
        <v>183</v>
      </c>
      <c r="AT19" s="35" t="s">
        <v>183</v>
      </c>
      <c r="AU19" s="35" t="s">
        <v>183</v>
      </c>
      <c r="AV19" s="35" t="s">
        <v>179</v>
      </c>
      <c r="AW19" s="22"/>
      <c r="AX19" s="35" t="s">
        <v>179</v>
      </c>
      <c r="AY19" s="35" t="s">
        <v>179</v>
      </c>
      <c r="AZ19" s="35" t="s">
        <v>179</v>
      </c>
      <c r="BA19" s="35" t="s">
        <v>183</v>
      </c>
      <c r="BB19" s="35" t="s">
        <v>183</v>
      </c>
      <c r="BC19" s="35" t="s">
        <v>183</v>
      </c>
      <c r="BD19" s="22"/>
      <c r="BE19" s="35" t="s">
        <v>183</v>
      </c>
      <c r="BF19" s="35" t="s">
        <v>183</v>
      </c>
      <c r="BG19" s="35" t="s">
        <v>183</v>
      </c>
      <c r="BH19" s="35" t="s">
        <v>179</v>
      </c>
      <c r="BI19" s="35" t="s">
        <v>179</v>
      </c>
      <c r="BJ19" s="35" t="s">
        <v>183</v>
      </c>
      <c r="BK19" s="22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</row>
    <row r="20">
      <c r="A20" s="31">
        <v>17.0</v>
      </c>
      <c r="B20" s="32" t="s">
        <v>300</v>
      </c>
      <c r="C20" s="32" t="s">
        <v>301</v>
      </c>
      <c r="D20" s="55">
        <f t="shared" si="2"/>
        <v>38</v>
      </c>
      <c r="E20" s="55">
        <f t="shared" si="3"/>
        <v>10</v>
      </c>
      <c r="F20" s="55">
        <f t="shared" si="4"/>
        <v>48</v>
      </c>
      <c r="G20" s="62">
        <f t="shared" si="5"/>
        <v>79.16666667</v>
      </c>
      <c r="H20" s="63" t="s">
        <v>720</v>
      </c>
      <c r="I20" s="63" t="s">
        <v>720</v>
      </c>
      <c r="J20" s="63" t="s">
        <v>720</v>
      </c>
      <c r="K20" s="63" t="s">
        <v>179</v>
      </c>
      <c r="L20" s="63" t="s">
        <v>179</v>
      </c>
      <c r="M20" s="63" t="s">
        <v>179</v>
      </c>
      <c r="N20" s="22"/>
      <c r="O20" s="63" t="s">
        <v>720</v>
      </c>
      <c r="P20" s="63" t="s">
        <v>720</v>
      </c>
      <c r="Q20" s="65" t="s">
        <v>720</v>
      </c>
      <c r="R20" s="65" t="s">
        <v>179</v>
      </c>
      <c r="S20" s="65" t="s">
        <v>179</v>
      </c>
      <c r="T20" s="65" t="s">
        <v>179</v>
      </c>
      <c r="U20" s="22"/>
      <c r="V20" s="63" t="s">
        <v>179</v>
      </c>
      <c r="W20" s="63" t="s">
        <v>179</v>
      </c>
      <c r="X20" s="63" t="s">
        <v>179</v>
      </c>
      <c r="Y20" s="63" t="s">
        <v>183</v>
      </c>
      <c r="Z20" s="63" t="s">
        <v>179</v>
      </c>
      <c r="AA20" s="63" t="s">
        <v>179</v>
      </c>
      <c r="AB20" s="22"/>
      <c r="AC20" s="63" t="s">
        <v>179</v>
      </c>
      <c r="AD20" s="63" t="s">
        <v>183</v>
      </c>
      <c r="AE20" s="63" t="s">
        <v>179</v>
      </c>
      <c r="AF20" s="63" t="s">
        <v>179</v>
      </c>
      <c r="AG20" s="63" t="s">
        <v>179</v>
      </c>
      <c r="AH20" s="63" t="s">
        <v>179</v>
      </c>
      <c r="AI20" s="22"/>
      <c r="AJ20" s="65" t="s">
        <v>179</v>
      </c>
      <c r="AK20" s="63" t="s">
        <v>179</v>
      </c>
      <c r="AL20" s="63" t="s">
        <v>179</v>
      </c>
      <c r="AM20" s="63" t="s">
        <v>179</v>
      </c>
      <c r="AN20" s="63" t="s">
        <v>179</v>
      </c>
      <c r="AO20" s="63" t="s">
        <v>179</v>
      </c>
      <c r="AP20" s="22"/>
      <c r="AQ20" s="65" t="s">
        <v>179</v>
      </c>
      <c r="AR20" s="65" t="s">
        <v>179</v>
      </c>
      <c r="AS20" s="65" t="s">
        <v>183</v>
      </c>
      <c r="AT20" s="65" t="s">
        <v>179</v>
      </c>
      <c r="AU20" s="65" t="s">
        <v>179</v>
      </c>
      <c r="AV20" s="65" t="s">
        <v>183</v>
      </c>
      <c r="AW20" s="22"/>
      <c r="AX20" s="65" t="s">
        <v>179</v>
      </c>
      <c r="AY20" s="65" t="s">
        <v>179</v>
      </c>
      <c r="AZ20" s="65" t="s">
        <v>183</v>
      </c>
      <c r="BA20" s="65" t="s">
        <v>183</v>
      </c>
      <c r="BB20" s="65" t="s">
        <v>183</v>
      </c>
      <c r="BC20" s="65" t="s">
        <v>183</v>
      </c>
      <c r="BD20" s="22"/>
      <c r="BE20" s="65" t="s">
        <v>179</v>
      </c>
      <c r="BF20" s="65" t="s">
        <v>179</v>
      </c>
      <c r="BG20" s="65" t="s">
        <v>179</v>
      </c>
      <c r="BH20" s="65" t="s">
        <v>179</v>
      </c>
      <c r="BI20" s="65" t="s">
        <v>183</v>
      </c>
      <c r="BJ20" s="65" t="s">
        <v>183</v>
      </c>
      <c r="BK20" s="22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</row>
    <row r="21">
      <c r="A21" s="31">
        <v>18.0</v>
      </c>
      <c r="B21" s="32" t="s">
        <v>314</v>
      </c>
      <c r="C21" s="32" t="s">
        <v>315</v>
      </c>
      <c r="D21" s="55">
        <f t="shared" si="2"/>
        <v>30</v>
      </c>
      <c r="E21" s="55">
        <f t="shared" si="3"/>
        <v>18</v>
      </c>
      <c r="F21" s="55">
        <f t="shared" si="4"/>
        <v>48</v>
      </c>
      <c r="G21" s="62">
        <f t="shared" si="5"/>
        <v>62.5</v>
      </c>
      <c r="H21" s="63" t="s">
        <v>179</v>
      </c>
      <c r="I21" s="63" t="s">
        <v>179</v>
      </c>
      <c r="J21" s="63" t="s">
        <v>179</v>
      </c>
      <c r="K21" s="63" t="s">
        <v>183</v>
      </c>
      <c r="L21" s="63" t="s">
        <v>179</v>
      </c>
      <c r="M21" s="63" t="s">
        <v>179</v>
      </c>
      <c r="N21" s="22"/>
      <c r="O21" s="63" t="s">
        <v>179</v>
      </c>
      <c r="P21" s="63" t="s">
        <v>179</v>
      </c>
      <c r="Q21" s="65" t="s">
        <v>179</v>
      </c>
      <c r="R21" s="65" t="s">
        <v>179</v>
      </c>
      <c r="S21" s="65" t="s">
        <v>179</v>
      </c>
      <c r="T21" s="65" t="s">
        <v>179</v>
      </c>
      <c r="U21" s="22"/>
      <c r="V21" s="63" t="s">
        <v>179</v>
      </c>
      <c r="W21" s="63" t="s">
        <v>179</v>
      </c>
      <c r="X21" s="63" t="s">
        <v>179</v>
      </c>
      <c r="Y21" s="63" t="s">
        <v>183</v>
      </c>
      <c r="Z21" s="63" t="s">
        <v>179</v>
      </c>
      <c r="AA21" s="63" t="s">
        <v>179</v>
      </c>
      <c r="AB21" s="22"/>
      <c r="AC21" s="63" t="s">
        <v>179</v>
      </c>
      <c r="AD21" s="63" t="s">
        <v>183</v>
      </c>
      <c r="AE21" s="63" t="s">
        <v>179</v>
      </c>
      <c r="AF21" s="63" t="s">
        <v>179</v>
      </c>
      <c r="AG21" s="63" t="s">
        <v>179</v>
      </c>
      <c r="AH21" s="63" t="s">
        <v>179</v>
      </c>
      <c r="AI21" s="22"/>
      <c r="AJ21" s="65" t="s">
        <v>179</v>
      </c>
      <c r="AK21" s="63" t="s">
        <v>179</v>
      </c>
      <c r="AL21" s="63" t="s">
        <v>179</v>
      </c>
      <c r="AM21" s="63" t="s">
        <v>183</v>
      </c>
      <c r="AN21" s="63" t="s">
        <v>183</v>
      </c>
      <c r="AO21" s="63" t="s">
        <v>179</v>
      </c>
      <c r="AP21" s="22"/>
      <c r="AQ21" s="65" t="s">
        <v>183</v>
      </c>
      <c r="AR21" s="65" t="s">
        <v>183</v>
      </c>
      <c r="AS21" s="65" t="s">
        <v>179</v>
      </c>
      <c r="AT21" s="65" t="s">
        <v>179</v>
      </c>
      <c r="AU21" s="65" t="s">
        <v>179</v>
      </c>
      <c r="AV21" s="65" t="s">
        <v>179</v>
      </c>
      <c r="AW21" s="22"/>
      <c r="AX21" s="65" t="s">
        <v>179</v>
      </c>
      <c r="AY21" s="65" t="s">
        <v>183</v>
      </c>
      <c r="AZ21" s="65" t="s">
        <v>183</v>
      </c>
      <c r="BA21" s="65" t="s">
        <v>183</v>
      </c>
      <c r="BB21" s="65" t="s">
        <v>183</v>
      </c>
      <c r="BC21" s="65" t="s">
        <v>183</v>
      </c>
      <c r="BD21" s="22"/>
      <c r="BE21" s="65" t="s">
        <v>183</v>
      </c>
      <c r="BF21" s="65" t="s">
        <v>183</v>
      </c>
      <c r="BG21" s="65" t="s">
        <v>183</v>
      </c>
      <c r="BH21" s="65" t="s">
        <v>183</v>
      </c>
      <c r="BI21" s="65" t="s">
        <v>183</v>
      </c>
      <c r="BJ21" s="65" t="s">
        <v>183</v>
      </c>
      <c r="BK21" s="22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</row>
    <row r="22">
      <c r="A22" s="31">
        <v>19.0</v>
      </c>
      <c r="B22" s="32" t="s">
        <v>328</v>
      </c>
      <c r="C22" s="32" t="s">
        <v>330</v>
      </c>
      <c r="D22" s="55">
        <f t="shared" si="2"/>
        <v>37</v>
      </c>
      <c r="E22" s="55">
        <f t="shared" si="3"/>
        <v>11</v>
      </c>
      <c r="F22" s="55">
        <f t="shared" si="4"/>
        <v>48</v>
      </c>
      <c r="G22" s="62">
        <f t="shared" si="5"/>
        <v>77.08333333</v>
      </c>
      <c r="H22" s="63" t="s">
        <v>179</v>
      </c>
      <c r="I22" s="63" t="s">
        <v>179</v>
      </c>
      <c r="J22" s="63" t="s">
        <v>179</v>
      </c>
      <c r="K22" s="63" t="s">
        <v>179</v>
      </c>
      <c r="L22" s="63" t="s">
        <v>183</v>
      </c>
      <c r="M22" s="63" t="s">
        <v>179</v>
      </c>
      <c r="N22" s="22"/>
      <c r="O22" s="63" t="s">
        <v>183</v>
      </c>
      <c r="P22" s="63" t="s">
        <v>179</v>
      </c>
      <c r="Q22" s="65" t="s">
        <v>179</v>
      </c>
      <c r="R22" s="65" t="s">
        <v>183</v>
      </c>
      <c r="S22" s="65" t="s">
        <v>179</v>
      </c>
      <c r="T22" s="65" t="s">
        <v>179</v>
      </c>
      <c r="U22" s="22"/>
      <c r="V22" s="63" t="s">
        <v>179</v>
      </c>
      <c r="W22" s="63" t="s">
        <v>179</v>
      </c>
      <c r="X22" s="63" t="s">
        <v>179</v>
      </c>
      <c r="Y22" s="63" t="s">
        <v>179</v>
      </c>
      <c r="Z22" s="63" t="s">
        <v>179</v>
      </c>
      <c r="AA22" s="63" t="s">
        <v>179</v>
      </c>
      <c r="AB22" s="22"/>
      <c r="AC22" s="63" t="s">
        <v>179</v>
      </c>
      <c r="AD22" s="63" t="s">
        <v>179</v>
      </c>
      <c r="AE22" s="63" t="s">
        <v>179</v>
      </c>
      <c r="AF22" s="63" t="s">
        <v>179</v>
      </c>
      <c r="AG22" s="63" t="s">
        <v>179</v>
      </c>
      <c r="AH22" s="63" t="s">
        <v>179</v>
      </c>
      <c r="AI22" s="22"/>
      <c r="AJ22" s="65" t="s">
        <v>183</v>
      </c>
      <c r="AK22" s="63" t="s">
        <v>179</v>
      </c>
      <c r="AL22" s="63" t="s">
        <v>179</v>
      </c>
      <c r="AM22" s="63" t="s">
        <v>179</v>
      </c>
      <c r="AN22" s="63" t="s">
        <v>183</v>
      </c>
      <c r="AO22" s="63" t="s">
        <v>183</v>
      </c>
      <c r="AP22" s="22"/>
      <c r="AQ22" s="65" t="s">
        <v>179</v>
      </c>
      <c r="AR22" s="65" t="s">
        <v>179</v>
      </c>
      <c r="AS22" s="65" t="s">
        <v>179</v>
      </c>
      <c r="AT22" s="65" t="s">
        <v>179</v>
      </c>
      <c r="AU22" s="65" t="s">
        <v>179</v>
      </c>
      <c r="AV22" s="65" t="s">
        <v>179</v>
      </c>
      <c r="AW22" s="22"/>
      <c r="AX22" s="65" t="s">
        <v>179</v>
      </c>
      <c r="AY22" s="65" t="s">
        <v>179</v>
      </c>
      <c r="AZ22" s="65" t="s">
        <v>183</v>
      </c>
      <c r="BA22" s="65" t="s">
        <v>183</v>
      </c>
      <c r="BB22" s="65" t="s">
        <v>179</v>
      </c>
      <c r="BC22" s="65" t="s">
        <v>183</v>
      </c>
      <c r="BD22" s="22"/>
      <c r="BE22" s="65" t="s">
        <v>183</v>
      </c>
      <c r="BF22" s="65" t="s">
        <v>179</v>
      </c>
      <c r="BG22" s="65" t="s">
        <v>179</v>
      </c>
      <c r="BH22" s="65" t="s">
        <v>183</v>
      </c>
      <c r="BI22" s="65" t="s">
        <v>179</v>
      </c>
      <c r="BJ22" s="65" t="s">
        <v>179</v>
      </c>
      <c r="BK22" s="22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</row>
    <row r="23">
      <c r="A23" s="31">
        <v>20.0</v>
      </c>
      <c r="B23" s="32" t="s">
        <v>342</v>
      </c>
      <c r="C23" s="32" t="s">
        <v>345</v>
      </c>
      <c r="D23" s="55">
        <f t="shared" si="2"/>
        <v>36</v>
      </c>
      <c r="E23" s="55">
        <f t="shared" si="3"/>
        <v>12</v>
      </c>
      <c r="F23" s="55">
        <f t="shared" si="4"/>
        <v>48</v>
      </c>
      <c r="G23" s="62">
        <f t="shared" si="5"/>
        <v>75</v>
      </c>
      <c r="H23" s="63" t="s">
        <v>179</v>
      </c>
      <c r="I23" s="63" t="s">
        <v>179</v>
      </c>
      <c r="J23" s="63" t="s">
        <v>183</v>
      </c>
      <c r="K23" s="63" t="s">
        <v>179</v>
      </c>
      <c r="L23" s="63" t="s">
        <v>179</v>
      </c>
      <c r="M23" s="63" t="s">
        <v>183</v>
      </c>
      <c r="N23" s="22"/>
      <c r="O23" s="63" t="s">
        <v>179</v>
      </c>
      <c r="P23" s="63" t="s">
        <v>183</v>
      </c>
      <c r="Q23" s="65" t="s">
        <v>179</v>
      </c>
      <c r="R23" s="65" t="s">
        <v>183</v>
      </c>
      <c r="S23" s="65" t="s">
        <v>179</v>
      </c>
      <c r="T23" s="65" t="s">
        <v>179</v>
      </c>
      <c r="U23" s="22"/>
      <c r="V23" s="63" t="s">
        <v>179</v>
      </c>
      <c r="W23" s="63" t="s">
        <v>179</v>
      </c>
      <c r="X23" s="63" t="s">
        <v>179</v>
      </c>
      <c r="Y23" s="63" t="s">
        <v>183</v>
      </c>
      <c r="Z23" s="63" t="s">
        <v>179</v>
      </c>
      <c r="AA23" s="63" t="s">
        <v>179</v>
      </c>
      <c r="AB23" s="22"/>
      <c r="AC23" s="63" t="s">
        <v>179</v>
      </c>
      <c r="AD23" s="63" t="s">
        <v>183</v>
      </c>
      <c r="AE23" s="63" t="s">
        <v>179</v>
      </c>
      <c r="AF23" s="63" t="s">
        <v>183</v>
      </c>
      <c r="AG23" s="63" t="s">
        <v>179</v>
      </c>
      <c r="AH23" s="63" t="s">
        <v>179</v>
      </c>
      <c r="AI23" s="22"/>
      <c r="AJ23" s="65" t="s">
        <v>179</v>
      </c>
      <c r="AK23" s="63" t="s">
        <v>179</v>
      </c>
      <c r="AL23" s="63" t="s">
        <v>179</v>
      </c>
      <c r="AM23" s="63" t="s">
        <v>179</v>
      </c>
      <c r="AN23" s="63" t="s">
        <v>179</v>
      </c>
      <c r="AO23" s="63" t="s">
        <v>179</v>
      </c>
      <c r="AP23" s="22"/>
      <c r="AQ23" s="65" t="s">
        <v>179</v>
      </c>
      <c r="AR23" s="65" t="s">
        <v>183</v>
      </c>
      <c r="AS23" s="65" t="s">
        <v>179</v>
      </c>
      <c r="AT23" s="65" t="s">
        <v>179</v>
      </c>
      <c r="AU23" s="65" t="s">
        <v>179</v>
      </c>
      <c r="AV23" s="65" t="s">
        <v>179</v>
      </c>
      <c r="AW23" s="22"/>
      <c r="AX23" s="65" t="s">
        <v>179</v>
      </c>
      <c r="AY23" s="65" t="s">
        <v>179</v>
      </c>
      <c r="AZ23" s="65" t="s">
        <v>183</v>
      </c>
      <c r="BA23" s="65" t="s">
        <v>179</v>
      </c>
      <c r="BB23" s="65" t="s">
        <v>183</v>
      </c>
      <c r="BC23" s="65" t="s">
        <v>183</v>
      </c>
      <c r="BD23" s="22"/>
      <c r="BE23" s="65" t="s">
        <v>179</v>
      </c>
      <c r="BF23" s="65" t="s">
        <v>179</v>
      </c>
      <c r="BG23" s="65" t="s">
        <v>179</v>
      </c>
      <c r="BH23" s="65" t="s">
        <v>183</v>
      </c>
      <c r="BI23" s="65" t="s">
        <v>179</v>
      </c>
      <c r="BJ23" s="65" t="s">
        <v>179</v>
      </c>
      <c r="BK23" s="22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</row>
    <row r="24">
      <c r="A24" s="31">
        <v>21.0</v>
      </c>
      <c r="B24" s="32" t="s">
        <v>359</v>
      </c>
      <c r="C24" s="32" t="s">
        <v>361</v>
      </c>
      <c r="D24" s="55">
        <f t="shared" si="2"/>
        <v>27</v>
      </c>
      <c r="E24" s="55">
        <f t="shared" si="3"/>
        <v>21</v>
      </c>
      <c r="F24" s="55">
        <f t="shared" si="4"/>
        <v>48</v>
      </c>
      <c r="G24" s="62">
        <f t="shared" si="5"/>
        <v>56.25</v>
      </c>
      <c r="H24" s="63" t="s">
        <v>179</v>
      </c>
      <c r="I24" s="63" t="s">
        <v>179</v>
      </c>
      <c r="J24" s="63" t="s">
        <v>179</v>
      </c>
      <c r="K24" s="63" t="s">
        <v>183</v>
      </c>
      <c r="L24" s="63" t="s">
        <v>183</v>
      </c>
      <c r="M24" s="63" t="s">
        <v>179</v>
      </c>
      <c r="N24" s="22"/>
      <c r="O24" s="63" t="s">
        <v>179</v>
      </c>
      <c r="P24" s="63" t="s">
        <v>179</v>
      </c>
      <c r="Q24" s="65" t="s">
        <v>179</v>
      </c>
      <c r="R24" s="65" t="s">
        <v>179</v>
      </c>
      <c r="S24" s="65" t="s">
        <v>179</v>
      </c>
      <c r="T24" s="65" t="s">
        <v>179</v>
      </c>
      <c r="U24" s="22"/>
      <c r="V24" s="63" t="s">
        <v>179</v>
      </c>
      <c r="W24" s="63" t="s">
        <v>179</v>
      </c>
      <c r="X24" s="63" t="s">
        <v>179</v>
      </c>
      <c r="Y24" s="63" t="s">
        <v>179</v>
      </c>
      <c r="Z24" s="63" t="s">
        <v>179</v>
      </c>
      <c r="AA24" s="63" t="s">
        <v>183</v>
      </c>
      <c r="AB24" s="22"/>
      <c r="AC24" s="63" t="s">
        <v>179</v>
      </c>
      <c r="AD24" s="63" t="s">
        <v>179</v>
      </c>
      <c r="AE24" s="63" t="s">
        <v>179</v>
      </c>
      <c r="AF24" s="63" t="s">
        <v>183</v>
      </c>
      <c r="AG24" s="63" t="s">
        <v>183</v>
      </c>
      <c r="AH24" s="63" t="s">
        <v>183</v>
      </c>
      <c r="AI24" s="22"/>
      <c r="AJ24" s="65" t="s">
        <v>183</v>
      </c>
      <c r="AK24" s="63" t="s">
        <v>179</v>
      </c>
      <c r="AL24" s="63" t="s">
        <v>183</v>
      </c>
      <c r="AM24" s="63" t="s">
        <v>179</v>
      </c>
      <c r="AN24" s="63" t="s">
        <v>179</v>
      </c>
      <c r="AO24" s="63" t="s">
        <v>183</v>
      </c>
      <c r="AP24" s="22"/>
      <c r="AQ24" s="65" t="s">
        <v>179</v>
      </c>
      <c r="AR24" s="65" t="s">
        <v>179</v>
      </c>
      <c r="AS24" s="65" t="s">
        <v>179</v>
      </c>
      <c r="AT24" s="65" t="s">
        <v>179</v>
      </c>
      <c r="AU24" s="65" t="s">
        <v>179</v>
      </c>
      <c r="AV24" s="65" t="s">
        <v>183</v>
      </c>
      <c r="AW24" s="22"/>
      <c r="AX24" s="65" t="s">
        <v>183</v>
      </c>
      <c r="AY24" s="65" t="s">
        <v>183</v>
      </c>
      <c r="AZ24" s="65" t="s">
        <v>183</v>
      </c>
      <c r="BA24" s="65" t="s">
        <v>183</v>
      </c>
      <c r="BB24" s="65" t="s">
        <v>179</v>
      </c>
      <c r="BC24" s="65" t="s">
        <v>183</v>
      </c>
      <c r="BD24" s="22"/>
      <c r="BE24" s="65" t="s">
        <v>183</v>
      </c>
      <c r="BF24" s="65" t="s">
        <v>183</v>
      </c>
      <c r="BG24" s="65" t="s">
        <v>183</v>
      </c>
      <c r="BH24" s="65" t="s">
        <v>183</v>
      </c>
      <c r="BI24" s="65" t="s">
        <v>183</v>
      </c>
      <c r="BJ24" s="65" t="s">
        <v>183</v>
      </c>
      <c r="BK24" s="22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</row>
    <row r="25">
      <c r="A25" s="31">
        <v>22.0</v>
      </c>
      <c r="B25" s="32" t="s">
        <v>372</v>
      </c>
      <c r="C25" s="79" t="s">
        <v>373</v>
      </c>
      <c r="D25" s="55">
        <f t="shared" si="2"/>
        <v>38</v>
      </c>
      <c r="E25" s="55">
        <f t="shared" si="3"/>
        <v>10</v>
      </c>
      <c r="F25" s="55">
        <f t="shared" si="4"/>
        <v>48</v>
      </c>
      <c r="G25" s="62">
        <f t="shared" si="5"/>
        <v>79.16666667</v>
      </c>
      <c r="H25" s="63" t="s">
        <v>720</v>
      </c>
      <c r="I25" s="63" t="s">
        <v>720</v>
      </c>
      <c r="J25" s="63" t="s">
        <v>720</v>
      </c>
      <c r="K25" s="63" t="s">
        <v>720</v>
      </c>
      <c r="L25" s="63" t="s">
        <v>179</v>
      </c>
      <c r="M25" s="63" t="s">
        <v>179</v>
      </c>
      <c r="N25" s="22"/>
      <c r="O25" s="63" t="s">
        <v>720</v>
      </c>
      <c r="P25" s="63" t="s">
        <v>720</v>
      </c>
      <c r="Q25" s="65" t="s">
        <v>720</v>
      </c>
      <c r="R25" s="65" t="s">
        <v>179</v>
      </c>
      <c r="S25" s="65" t="s">
        <v>179</v>
      </c>
      <c r="T25" s="65" t="s">
        <v>179</v>
      </c>
      <c r="U25" s="22"/>
      <c r="V25" s="63" t="s">
        <v>179</v>
      </c>
      <c r="W25" s="63" t="s">
        <v>179</v>
      </c>
      <c r="X25" s="63" t="s">
        <v>179</v>
      </c>
      <c r="Y25" s="63" t="s">
        <v>183</v>
      </c>
      <c r="Z25" s="63" t="s">
        <v>183</v>
      </c>
      <c r="AA25" s="63" t="s">
        <v>183</v>
      </c>
      <c r="AB25" s="22"/>
      <c r="AC25" s="63" t="s">
        <v>183</v>
      </c>
      <c r="AD25" s="63" t="s">
        <v>179</v>
      </c>
      <c r="AE25" s="63" t="s">
        <v>179</v>
      </c>
      <c r="AF25" s="63" t="s">
        <v>179</v>
      </c>
      <c r="AG25" s="63" t="s">
        <v>183</v>
      </c>
      <c r="AH25" s="63" t="s">
        <v>179</v>
      </c>
      <c r="AI25" s="22"/>
      <c r="AJ25" s="65" t="s">
        <v>179</v>
      </c>
      <c r="AK25" s="63" t="s">
        <v>179</v>
      </c>
      <c r="AL25" s="63" t="s">
        <v>179</v>
      </c>
      <c r="AM25" s="63" t="s">
        <v>179</v>
      </c>
      <c r="AN25" s="63" t="s">
        <v>179</v>
      </c>
      <c r="AO25" s="63" t="s">
        <v>179</v>
      </c>
      <c r="AP25" s="22"/>
      <c r="AQ25" s="65" t="s">
        <v>179</v>
      </c>
      <c r="AR25" s="65" t="s">
        <v>179</v>
      </c>
      <c r="AS25" s="65" t="s">
        <v>179</v>
      </c>
      <c r="AT25" s="65" t="s">
        <v>179</v>
      </c>
      <c r="AU25" s="65" t="s">
        <v>179</v>
      </c>
      <c r="AV25" s="65" t="s">
        <v>179</v>
      </c>
      <c r="AW25" s="22"/>
      <c r="AX25" s="65" t="s">
        <v>183</v>
      </c>
      <c r="AY25" s="65" t="s">
        <v>179</v>
      </c>
      <c r="AZ25" s="65" t="s">
        <v>179</v>
      </c>
      <c r="BA25" s="65" t="s">
        <v>179</v>
      </c>
      <c r="BB25" s="65" t="s">
        <v>183</v>
      </c>
      <c r="BC25" s="65" t="s">
        <v>179</v>
      </c>
      <c r="BD25" s="22"/>
      <c r="BE25" s="65" t="s">
        <v>183</v>
      </c>
      <c r="BF25" s="65" t="s">
        <v>179</v>
      </c>
      <c r="BG25" s="65" t="s">
        <v>179</v>
      </c>
      <c r="BH25" s="65" t="s">
        <v>179</v>
      </c>
      <c r="BI25" s="65" t="s">
        <v>183</v>
      </c>
      <c r="BJ25" s="65" t="s">
        <v>183</v>
      </c>
      <c r="BK25" s="22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</row>
    <row r="26">
      <c r="A26" s="31">
        <v>23.0</v>
      </c>
      <c r="B26" s="32" t="s">
        <v>390</v>
      </c>
      <c r="C26" s="32" t="s">
        <v>391</v>
      </c>
      <c r="D26" s="55">
        <f t="shared" si="2"/>
        <v>44</v>
      </c>
      <c r="E26" s="55">
        <f t="shared" si="3"/>
        <v>4</v>
      </c>
      <c r="F26" s="55">
        <f t="shared" si="4"/>
        <v>48</v>
      </c>
      <c r="G26" s="62">
        <f t="shared" si="5"/>
        <v>91.66666667</v>
      </c>
      <c r="H26" s="63" t="s">
        <v>179</v>
      </c>
      <c r="I26" s="63" t="s">
        <v>179</v>
      </c>
      <c r="J26" s="63" t="s">
        <v>179</v>
      </c>
      <c r="K26" s="63" t="s">
        <v>179</v>
      </c>
      <c r="L26" s="63" t="s">
        <v>179</v>
      </c>
      <c r="M26" s="63" t="s">
        <v>179</v>
      </c>
      <c r="N26" s="22"/>
      <c r="O26" s="63" t="s">
        <v>179</v>
      </c>
      <c r="P26" s="63" t="s">
        <v>179</v>
      </c>
      <c r="Q26" s="65" t="s">
        <v>179</v>
      </c>
      <c r="R26" s="65" t="s">
        <v>179</v>
      </c>
      <c r="S26" s="65" t="s">
        <v>179</v>
      </c>
      <c r="T26" s="65" t="s">
        <v>179</v>
      </c>
      <c r="U26" s="22"/>
      <c r="V26" s="63" t="s">
        <v>179</v>
      </c>
      <c r="W26" s="63" t="s">
        <v>179</v>
      </c>
      <c r="X26" s="63" t="s">
        <v>179</v>
      </c>
      <c r="Y26" s="63" t="s">
        <v>179</v>
      </c>
      <c r="Z26" s="63" t="s">
        <v>179</v>
      </c>
      <c r="AA26" s="63" t="s">
        <v>179</v>
      </c>
      <c r="AB26" s="22"/>
      <c r="AC26" s="63" t="s">
        <v>179</v>
      </c>
      <c r="AD26" s="63" t="s">
        <v>179</v>
      </c>
      <c r="AE26" s="63" t="s">
        <v>179</v>
      </c>
      <c r="AF26" s="63" t="s">
        <v>179</v>
      </c>
      <c r="AG26" s="63" t="s">
        <v>183</v>
      </c>
      <c r="AH26" s="63" t="s">
        <v>179</v>
      </c>
      <c r="AI26" s="22"/>
      <c r="AJ26" s="65" t="s">
        <v>183</v>
      </c>
      <c r="AK26" s="63" t="s">
        <v>179</v>
      </c>
      <c r="AL26" s="63" t="s">
        <v>179</v>
      </c>
      <c r="AM26" s="63" t="s">
        <v>179</v>
      </c>
      <c r="AN26" s="63" t="s">
        <v>179</v>
      </c>
      <c r="AO26" s="63" t="s">
        <v>179</v>
      </c>
      <c r="AP26" s="22"/>
      <c r="AQ26" s="65" t="s">
        <v>179</v>
      </c>
      <c r="AR26" s="65" t="s">
        <v>179</v>
      </c>
      <c r="AS26" s="65" t="s">
        <v>179</v>
      </c>
      <c r="AT26" s="65" t="s">
        <v>179</v>
      </c>
      <c r="AU26" s="65" t="s">
        <v>179</v>
      </c>
      <c r="AV26" s="65" t="s">
        <v>179</v>
      </c>
      <c r="AW26" s="22"/>
      <c r="AX26" s="65" t="s">
        <v>179</v>
      </c>
      <c r="AY26" s="65" t="s">
        <v>179</v>
      </c>
      <c r="AZ26" s="65" t="s">
        <v>179</v>
      </c>
      <c r="BA26" s="65" t="s">
        <v>179</v>
      </c>
      <c r="BB26" s="65" t="s">
        <v>179</v>
      </c>
      <c r="BC26" s="65" t="s">
        <v>183</v>
      </c>
      <c r="BD26" s="22"/>
      <c r="BE26" s="65" t="s">
        <v>179</v>
      </c>
      <c r="BF26" s="65" t="s">
        <v>179</v>
      </c>
      <c r="BG26" s="65" t="s">
        <v>179</v>
      </c>
      <c r="BH26" s="65" t="s">
        <v>183</v>
      </c>
      <c r="BI26" s="65" t="s">
        <v>179</v>
      </c>
      <c r="BJ26" s="65" t="s">
        <v>179</v>
      </c>
      <c r="BK26" s="22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</row>
    <row r="27">
      <c r="A27" s="31">
        <v>24.0</v>
      </c>
      <c r="B27" s="32" t="s">
        <v>405</v>
      </c>
      <c r="C27" s="32" t="s">
        <v>407</v>
      </c>
      <c r="D27" s="55">
        <f t="shared" si="2"/>
        <v>28</v>
      </c>
      <c r="E27" s="55">
        <f t="shared" si="3"/>
        <v>20</v>
      </c>
      <c r="F27" s="55">
        <f t="shared" si="4"/>
        <v>48</v>
      </c>
      <c r="G27" s="62">
        <f t="shared" si="5"/>
        <v>58.33333333</v>
      </c>
      <c r="H27" s="63" t="s">
        <v>179</v>
      </c>
      <c r="I27" s="63" t="s">
        <v>179</v>
      </c>
      <c r="J27" s="63" t="s">
        <v>179</v>
      </c>
      <c r="K27" s="63" t="s">
        <v>179</v>
      </c>
      <c r="L27" s="63" t="s">
        <v>179</v>
      </c>
      <c r="M27" s="63" t="s">
        <v>179</v>
      </c>
      <c r="N27" s="22"/>
      <c r="O27" s="63" t="s">
        <v>179</v>
      </c>
      <c r="P27" s="63" t="s">
        <v>179</v>
      </c>
      <c r="Q27" s="65" t="s">
        <v>179</v>
      </c>
      <c r="R27" s="65" t="s">
        <v>179</v>
      </c>
      <c r="S27" s="65" t="s">
        <v>179</v>
      </c>
      <c r="T27" s="65" t="s">
        <v>179</v>
      </c>
      <c r="U27" s="22"/>
      <c r="V27" s="63" t="s">
        <v>179</v>
      </c>
      <c r="W27" s="63" t="s">
        <v>179</v>
      </c>
      <c r="X27" s="63" t="s">
        <v>179</v>
      </c>
      <c r="Y27" s="63" t="s">
        <v>179</v>
      </c>
      <c r="Z27" s="63" t="s">
        <v>179</v>
      </c>
      <c r="AA27" s="63" t="s">
        <v>179</v>
      </c>
      <c r="AB27" s="22"/>
      <c r="AC27" s="63" t="s">
        <v>183</v>
      </c>
      <c r="AD27" s="63" t="s">
        <v>179</v>
      </c>
      <c r="AE27" s="63" t="s">
        <v>179</v>
      </c>
      <c r="AF27" s="63" t="s">
        <v>179</v>
      </c>
      <c r="AG27" s="63" t="s">
        <v>183</v>
      </c>
      <c r="AH27" s="63" t="s">
        <v>183</v>
      </c>
      <c r="AI27" s="22"/>
      <c r="AJ27" s="65" t="s">
        <v>183</v>
      </c>
      <c r="AK27" s="63" t="s">
        <v>179</v>
      </c>
      <c r="AL27" s="63" t="s">
        <v>179</v>
      </c>
      <c r="AM27" s="63" t="s">
        <v>183</v>
      </c>
      <c r="AN27" s="63" t="s">
        <v>183</v>
      </c>
      <c r="AO27" s="63" t="s">
        <v>179</v>
      </c>
      <c r="AP27" s="22"/>
      <c r="AQ27" s="65" t="s">
        <v>179</v>
      </c>
      <c r="AR27" s="65" t="s">
        <v>179</v>
      </c>
      <c r="AS27" s="65" t="s">
        <v>183</v>
      </c>
      <c r="AT27" s="65" t="s">
        <v>179</v>
      </c>
      <c r="AU27" s="65" t="s">
        <v>183</v>
      </c>
      <c r="AV27" s="65" t="s">
        <v>183</v>
      </c>
      <c r="AW27" s="22"/>
      <c r="AX27" s="65" t="s">
        <v>179</v>
      </c>
      <c r="AY27" s="65" t="s">
        <v>183</v>
      </c>
      <c r="AZ27" s="65" t="s">
        <v>183</v>
      </c>
      <c r="BA27" s="65" t="s">
        <v>183</v>
      </c>
      <c r="BB27" s="65" t="s">
        <v>183</v>
      </c>
      <c r="BC27" s="65" t="s">
        <v>183</v>
      </c>
      <c r="BD27" s="22"/>
      <c r="BE27" s="65" t="s">
        <v>183</v>
      </c>
      <c r="BF27" s="65" t="s">
        <v>183</v>
      </c>
      <c r="BG27" s="65" t="s">
        <v>183</v>
      </c>
      <c r="BH27" s="65" t="s">
        <v>183</v>
      </c>
      <c r="BI27" s="65" t="s">
        <v>183</v>
      </c>
      <c r="BJ27" s="65" t="s">
        <v>183</v>
      </c>
      <c r="BK27" s="22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</row>
    <row r="28">
      <c r="A28" s="31">
        <v>25.0</v>
      </c>
      <c r="B28" s="32" t="s">
        <v>421</v>
      </c>
      <c r="C28" s="32" t="s">
        <v>422</v>
      </c>
      <c r="D28" s="55">
        <f t="shared" si="2"/>
        <v>39</v>
      </c>
      <c r="E28" s="55">
        <f t="shared" si="3"/>
        <v>9</v>
      </c>
      <c r="F28" s="55">
        <f t="shared" si="4"/>
        <v>48</v>
      </c>
      <c r="G28" s="62">
        <f t="shared" si="5"/>
        <v>81.25</v>
      </c>
      <c r="H28" s="63" t="s">
        <v>720</v>
      </c>
      <c r="I28" s="63" t="s">
        <v>720</v>
      </c>
      <c r="J28" s="63" t="s">
        <v>720</v>
      </c>
      <c r="K28" s="63" t="s">
        <v>720</v>
      </c>
      <c r="L28" s="63" t="s">
        <v>720</v>
      </c>
      <c r="M28" s="63" t="s">
        <v>720</v>
      </c>
      <c r="N28" s="22"/>
      <c r="O28" s="63" t="s">
        <v>720</v>
      </c>
      <c r="P28" s="63" t="s">
        <v>720</v>
      </c>
      <c r="Q28" s="65" t="s">
        <v>720</v>
      </c>
      <c r="R28" s="65" t="s">
        <v>179</v>
      </c>
      <c r="S28" s="65" t="s">
        <v>720</v>
      </c>
      <c r="T28" s="65" t="s">
        <v>720</v>
      </c>
      <c r="U28" s="22"/>
      <c r="V28" s="63" t="s">
        <v>183</v>
      </c>
      <c r="W28" s="63" t="s">
        <v>720</v>
      </c>
      <c r="X28" s="63" t="s">
        <v>183</v>
      </c>
      <c r="Y28" s="63" t="s">
        <v>179</v>
      </c>
      <c r="Z28" s="63" t="s">
        <v>179</v>
      </c>
      <c r="AA28" s="63" t="s">
        <v>179</v>
      </c>
      <c r="AB28" s="22"/>
      <c r="AC28" s="63" t="s">
        <v>720</v>
      </c>
      <c r="AD28" s="63" t="s">
        <v>720</v>
      </c>
      <c r="AE28" s="63" t="s">
        <v>720</v>
      </c>
      <c r="AF28" s="63" t="s">
        <v>179</v>
      </c>
      <c r="AG28" s="63" t="s">
        <v>179</v>
      </c>
      <c r="AH28" s="63" t="s">
        <v>179</v>
      </c>
      <c r="AI28" s="22"/>
      <c r="AJ28" s="65" t="s">
        <v>179</v>
      </c>
      <c r="AK28" s="63" t="s">
        <v>179</v>
      </c>
      <c r="AL28" s="63" t="s">
        <v>179</v>
      </c>
      <c r="AM28" s="63" t="s">
        <v>179</v>
      </c>
      <c r="AN28" s="63" t="s">
        <v>179</v>
      </c>
      <c r="AO28" s="63" t="s">
        <v>179</v>
      </c>
      <c r="AP28" s="22"/>
      <c r="AQ28" s="65" t="s">
        <v>179</v>
      </c>
      <c r="AR28" s="65" t="s">
        <v>179</v>
      </c>
      <c r="AS28" s="65" t="s">
        <v>179</v>
      </c>
      <c r="AT28" s="65" t="s">
        <v>179</v>
      </c>
      <c r="AU28" s="65" t="s">
        <v>179</v>
      </c>
      <c r="AV28" s="65" t="s">
        <v>179</v>
      </c>
      <c r="AW28" s="22"/>
      <c r="AX28" s="65" t="s">
        <v>179</v>
      </c>
      <c r="AY28" s="65" t="s">
        <v>179</v>
      </c>
      <c r="AZ28" s="65" t="s">
        <v>179</v>
      </c>
      <c r="BA28" s="65" t="s">
        <v>183</v>
      </c>
      <c r="BB28" s="65" t="s">
        <v>183</v>
      </c>
      <c r="BC28" s="65" t="s">
        <v>183</v>
      </c>
      <c r="BD28" s="22"/>
      <c r="BE28" s="65" t="s">
        <v>179</v>
      </c>
      <c r="BF28" s="65" t="s">
        <v>179</v>
      </c>
      <c r="BG28" s="65" t="s">
        <v>183</v>
      </c>
      <c r="BH28" s="65" t="s">
        <v>183</v>
      </c>
      <c r="BI28" s="65" t="s">
        <v>183</v>
      </c>
      <c r="BJ28" s="65" t="s">
        <v>183</v>
      </c>
      <c r="BK28" s="22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</row>
    <row r="29">
      <c r="A29" s="31">
        <v>26.0</v>
      </c>
      <c r="B29" s="32" t="s">
        <v>437</v>
      </c>
      <c r="C29" s="32" t="s">
        <v>438</v>
      </c>
      <c r="D29" s="55">
        <f t="shared" si="2"/>
        <v>42</v>
      </c>
      <c r="E29" s="55">
        <f t="shared" si="3"/>
        <v>6</v>
      </c>
      <c r="F29" s="55">
        <f t="shared" si="4"/>
        <v>48</v>
      </c>
      <c r="G29" s="62">
        <f t="shared" si="5"/>
        <v>87.5</v>
      </c>
      <c r="H29" s="63" t="s">
        <v>179</v>
      </c>
      <c r="I29" s="63" t="s">
        <v>179</v>
      </c>
      <c r="J29" s="63" t="s">
        <v>179</v>
      </c>
      <c r="K29" s="63" t="s">
        <v>179</v>
      </c>
      <c r="L29" s="63" t="s">
        <v>179</v>
      </c>
      <c r="M29" s="63" t="s">
        <v>179</v>
      </c>
      <c r="N29" s="22"/>
      <c r="O29" s="63" t="s">
        <v>183</v>
      </c>
      <c r="P29" s="63" t="s">
        <v>179</v>
      </c>
      <c r="Q29" s="65" t="s">
        <v>179</v>
      </c>
      <c r="R29" s="65" t="s">
        <v>179</v>
      </c>
      <c r="S29" s="65" t="s">
        <v>179</v>
      </c>
      <c r="T29" s="65" t="s">
        <v>179</v>
      </c>
      <c r="U29" s="22"/>
      <c r="V29" s="63" t="s">
        <v>179</v>
      </c>
      <c r="W29" s="63" t="s">
        <v>179</v>
      </c>
      <c r="X29" s="63" t="s">
        <v>179</v>
      </c>
      <c r="Y29" s="63" t="s">
        <v>179</v>
      </c>
      <c r="Z29" s="63" t="s">
        <v>179</v>
      </c>
      <c r="AA29" s="63" t="s">
        <v>179</v>
      </c>
      <c r="AB29" s="22"/>
      <c r="AC29" s="63" t="s">
        <v>179</v>
      </c>
      <c r="AD29" s="63" t="s">
        <v>179</v>
      </c>
      <c r="AE29" s="63" t="s">
        <v>179</v>
      </c>
      <c r="AF29" s="63" t="s">
        <v>179</v>
      </c>
      <c r="AG29" s="63" t="s">
        <v>179</v>
      </c>
      <c r="AH29" s="63" t="s">
        <v>179</v>
      </c>
      <c r="AI29" s="22"/>
      <c r="AJ29" s="65" t="s">
        <v>179</v>
      </c>
      <c r="AK29" s="63" t="s">
        <v>179</v>
      </c>
      <c r="AL29" s="63" t="s">
        <v>179</v>
      </c>
      <c r="AM29" s="63" t="s">
        <v>179</v>
      </c>
      <c r="AN29" s="63" t="s">
        <v>179</v>
      </c>
      <c r="AO29" s="63" t="s">
        <v>179</v>
      </c>
      <c r="AP29" s="22"/>
      <c r="AQ29" s="65" t="s">
        <v>179</v>
      </c>
      <c r="AR29" s="65" t="s">
        <v>183</v>
      </c>
      <c r="AS29" s="65" t="s">
        <v>179</v>
      </c>
      <c r="AT29" s="65" t="s">
        <v>179</v>
      </c>
      <c r="AU29" s="65" t="s">
        <v>179</v>
      </c>
      <c r="AV29" s="65" t="s">
        <v>179</v>
      </c>
      <c r="AW29" s="22"/>
      <c r="AX29" s="65" t="s">
        <v>179</v>
      </c>
      <c r="AY29" s="65" t="s">
        <v>179</v>
      </c>
      <c r="AZ29" s="65" t="s">
        <v>179</v>
      </c>
      <c r="BA29" s="65" t="s">
        <v>179</v>
      </c>
      <c r="BB29" s="65" t="s">
        <v>179</v>
      </c>
      <c r="BC29" s="65" t="s">
        <v>183</v>
      </c>
      <c r="BD29" s="22"/>
      <c r="BE29" s="65" t="s">
        <v>179</v>
      </c>
      <c r="BF29" s="65" t="s">
        <v>179</v>
      </c>
      <c r="BG29" s="65" t="s">
        <v>183</v>
      </c>
      <c r="BH29" s="65" t="s">
        <v>183</v>
      </c>
      <c r="BI29" s="65" t="s">
        <v>183</v>
      </c>
      <c r="BJ29" s="65" t="s">
        <v>179</v>
      </c>
      <c r="BK29" s="22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</row>
    <row r="30">
      <c r="A30" s="31">
        <v>27.0</v>
      </c>
      <c r="B30" s="32" t="s">
        <v>452</v>
      </c>
      <c r="C30" s="32" t="s">
        <v>454</v>
      </c>
      <c r="D30" s="55">
        <f t="shared" si="2"/>
        <v>19</v>
      </c>
      <c r="E30" s="55">
        <f t="shared" si="3"/>
        <v>29</v>
      </c>
      <c r="F30" s="55">
        <f t="shared" si="4"/>
        <v>48</v>
      </c>
      <c r="G30" s="62">
        <f t="shared" si="5"/>
        <v>39.58333333</v>
      </c>
      <c r="H30" s="63" t="s">
        <v>179</v>
      </c>
      <c r="I30" s="63" t="s">
        <v>179</v>
      </c>
      <c r="J30" s="63" t="s">
        <v>179</v>
      </c>
      <c r="K30" s="63" t="s">
        <v>183</v>
      </c>
      <c r="L30" s="63" t="s">
        <v>179</v>
      </c>
      <c r="M30" s="63" t="s">
        <v>179</v>
      </c>
      <c r="N30" s="22"/>
      <c r="O30" s="63" t="s">
        <v>179</v>
      </c>
      <c r="P30" s="63" t="s">
        <v>179</v>
      </c>
      <c r="Q30" s="65" t="s">
        <v>179</v>
      </c>
      <c r="R30" s="65" t="s">
        <v>179</v>
      </c>
      <c r="S30" s="65" t="s">
        <v>183</v>
      </c>
      <c r="T30" s="65" t="s">
        <v>179</v>
      </c>
      <c r="U30" s="22"/>
      <c r="V30" s="63" t="s">
        <v>183</v>
      </c>
      <c r="W30" s="63" t="s">
        <v>179</v>
      </c>
      <c r="X30" s="63" t="s">
        <v>183</v>
      </c>
      <c r="Y30" s="63" t="s">
        <v>183</v>
      </c>
      <c r="Z30" s="63" t="s">
        <v>183</v>
      </c>
      <c r="AA30" s="63" t="s">
        <v>179</v>
      </c>
      <c r="AB30" s="22"/>
      <c r="AC30" s="63" t="s">
        <v>183</v>
      </c>
      <c r="AD30" s="63" t="s">
        <v>183</v>
      </c>
      <c r="AE30" s="63" t="s">
        <v>179</v>
      </c>
      <c r="AF30" s="63" t="s">
        <v>183</v>
      </c>
      <c r="AG30" s="63" t="s">
        <v>183</v>
      </c>
      <c r="AH30" s="63" t="s">
        <v>183</v>
      </c>
      <c r="AI30" s="22"/>
      <c r="AJ30" s="65" t="s">
        <v>183</v>
      </c>
      <c r="AK30" s="63" t="s">
        <v>179</v>
      </c>
      <c r="AL30" s="63" t="s">
        <v>179</v>
      </c>
      <c r="AM30" s="63" t="s">
        <v>179</v>
      </c>
      <c r="AN30" s="63" t="s">
        <v>183</v>
      </c>
      <c r="AO30" s="63" t="s">
        <v>183</v>
      </c>
      <c r="AP30" s="22"/>
      <c r="AQ30" s="65" t="s">
        <v>183</v>
      </c>
      <c r="AR30" s="65" t="s">
        <v>183</v>
      </c>
      <c r="AS30" s="65" t="s">
        <v>183</v>
      </c>
      <c r="AT30" s="65" t="s">
        <v>179</v>
      </c>
      <c r="AU30" s="65" t="s">
        <v>179</v>
      </c>
      <c r="AV30" s="65" t="s">
        <v>179</v>
      </c>
      <c r="AW30" s="22"/>
      <c r="AX30" s="65" t="s">
        <v>183</v>
      </c>
      <c r="AY30" s="65" t="s">
        <v>183</v>
      </c>
      <c r="AZ30" s="65" t="s">
        <v>183</v>
      </c>
      <c r="BA30" s="65" t="s">
        <v>183</v>
      </c>
      <c r="BB30" s="65" t="s">
        <v>183</v>
      </c>
      <c r="BC30" s="65" t="s">
        <v>183</v>
      </c>
      <c r="BD30" s="22"/>
      <c r="BE30" s="65" t="s">
        <v>183</v>
      </c>
      <c r="BF30" s="65" t="s">
        <v>183</v>
      </c>
      <c r="BG30" s="65" t="s">
        <v>183</v>
      </c>
      <c r="BH30" s="65" t="s">
        <v>183</v>
      </c>
      <c r="BI30" s="65" t="s">
        <v>183</v>
      </c>
      <c r="BJ30" s="65" t="s">
        <v>183</v>
      </c>
      <c r="BK30" s="22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</row>
    <row r="31">
      <c r="A31" s="31">
        <v>28.0</v>
      </c>
      <c r="B31" s="32" t="s">
        <v>464</v>
      </c>
      <c r="C31" s="32" t="s">
        <v>465</v>
      </c>
      <c r="D31" s="55">
        <f t="shared" si="2"/>
        <v>36</v>
      </c>
      <c r="E31" s="55">
        <f t="shared" si="3"/>
        <v>12</v>
      </c>
      <c r="F31" s="55">
        <f t="shared" si="4"/>
        <v>48</v>
      </c>
      <c r="G31" s="62">
        <f t="shared" si="5"/>
        <v>75</v>
      </c>
      <c r="H31" s="63" t="s">
        <v>179</v>
      </c>
      <c r="I31" s="63" t="s">
        <v>179</v>
      </c>
      <c r="J31" s="63" t="s">
        <v>179</v>
      </c>
      <c r="K31" s="63" t="s">
        <v>179</v>
      </c>
      <c r="L31" s="63" t="s">
        <v>179</v>
      </c>
      <c r="M31" s="63" t="s">
        <v>183</v>
      </c>
      <c r="N31" s="22"/>
      <c r="O31" s="63" t="s">
        <v>179</v>
      </c>
      <c r="P31" s="63" t="s">
        <v>179</v>
      </c>
      <c r="Q31" s="65" t="s">
        <v>179</v>
      </c>
      <c r="R31" s="65" t="s">
        <v>179</v>
      </c>
      <c r="S31" s="65" t="s">
        <v>179</v>
      </c>
      <c r="T31" s="65" t="s">
        <v>179</v>
      </c>
      <c r="U31" s="22"/>
      <c r="V31" s="63" t="s">
        <v>179</v>
      </c>
      <c r="W31" s="63" t="s">
        <v>179</v>
      </c>
      <c r="X31" s="63" t="s">
        <v>179</v>
      </c>
      <c r="Y31" s="63" t="s">
        <v>179</v>
      </c>
      <c r="Z31" s="63" t="s">
        <v>179</v>
      </c>
      <c r="AA31" s="63" t="s">
        <v>179</v>
      </c>
      <c r="AB31" s="22"/>
      <c r="AC31" s="63" t="s">
        <v>179</v>
      </c>
      <c r="AD31" s="63" t="s">
        <v>179</v>
      </c>
      <c r="AE31" s="63" t="s">
        <v>179</v>
      </c>
      <c r="AF31" s="63" t="s">
        <v>179</v>
      </c>
      <c r="AG31" s="63" t="s">
        <v>179</v>
      </c>
      <c r="AH31" s="63" t="s">
        <v>179</v>
      </c>
      <c r="AI31" s="22"/>
      <c r="AJ31" s="65" t="s">
        <v>179</v>
      </c>
      <c r="AK31" s="63" t="s">
        <v>179</v>
      </c>
      <c r="AL31" s="63" t="s">
        <v>179</v>
      </c>
      <c r="AM31" s="63" t="s">
        <v>179</v>
      </c>
      <c r="AN31" s="63" t="s">
        <v>179</v>
      </c>
      <c r="AO31" s="63" t="s">
        <v>179</v>
      </c>
      <c r="AP31" s="22"/>
      <c r="AQ31" s="65" t="s">
        <v>179</v>
      </c>
      <c r="AR31" s="65" t="s">
        <v>179</v>
      </c>
      <c r="AS31" s="65" t="s">
        <v>179</v>
      </c>
      <c r="AT31" s="65" t="s">
        <v>183</v>
      </c>
      <c r="AU31" s="65" t="s">
        <v>179</v>
      </c>
      <c r="AV31" s="65" t="s">
        <v>179</v>
      </c>
      <c r="AW31" s="22"/>
      <c r="AX31" s="65" t="s">
        <v>179</v>
      </c>
      <c r="AY31" s="65" t="s">
        <v>179</v>
      </c>
      <c r="AZ31" s="65" t="s">
        <v>183</v>
      </c>
      <c r="BA31" s="65" t="s">
        <v>183</v>
      </c>
      <c r="BB31" s="65" t="s">
        <v>183</v>
      </c>
      <c r="BC31" s="65" t="s">
        <v>183</v>
      </c>
      <c r="BD31" s="22"/>
      <c r="BE31" s="65" t="s">
        <v>183</v>
      </c>
      <c r="BF31" s="65" t="s">
        <v>183</v>
      </c>
      <c r="BG31" s="65" t="s">
        <v>183</v>
      </c>
      <c r="BH31" s="65" t="s">
        <v>183</v>
      </c>
      <c r="BI31" s="65" t="s">
        <v>183</v>
      </c>
      <c r="BJ31" s="65" t="s">
        <v>183</v>
      </c>
      <c r="BK31" s="22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</row>
    <row r="32">
      <c r="A32" s="31">
        <v>29.0</v>
      </c>
      <c r="B32" s="32" t="s">
        <v>474</v>
      </c>
      <c r="C32" s="32" t="s">
        <v>475</v>
      </c>
      <c r="D32" s="55">
        <f t="shared" si="2"/>
        <v>28</v>
      </c>
      <c r="E32" s="55">
        <f t="shared" si="3"/>
        <v>20</v>
      </c>
      <c r="F32" s="55">
        <f t="shared" si="4"/>
        <v>48</v>
      </c>
      <c r="G32" s="62">
        <f t="shared" si="5"/>
        <v>58.33333333</v>
      </c>
      <c r="H32" s="63" t="s">
        <v>179</v>
      </c>
      <c r="I32" s="63" t="s">
        <v>179</v>
      </c>
      <c r="J32" s="63" t="s">
        <v>179</v>
      </c>
      <c r="K32" s="63" t="s">
        <v>183</v>
      </c>
      <c r="L32" s="63" t="s">
        <v>179</v>
      </c>
      <c r="M32" s="63" t="s">
        <v>179</v>
      </c>
      <c r="N32" s="22"/>
      <c r="O32" s="63" t="s">
        <v>179</v>
      </c>
      <c r="P32" s="63" t="s">
        <v>179</v>
      </c>
      <c r="Q32" s="65" t="s">
        <v>179</v>
      </c>
      <c r="R32" s="65" t="s">
        <v>179</v>
      </c>
      <c r="S32" s="65" t="s">
        <v>179</v>
      </c>
      <c r="T32" s="65" t="s">
        <v>179</v>
      </c>
      <c r="U32" s="22"/>
      <c r="V32" s="63" t="s">
        <v>183</v>
      </c>
      <c r="W32" s="63" t="s">
        <v>179</v>
      </c>
      <c r="X32" s="63" t="s">
        <v>179</v>
      </c>
      <c r="Y32" s="63" t="s">
        <v>179</v>
      </c>
      <c r="Z32" s="63" t="s">
        <v>179</v>
      </c>
      <c r="AA32" s="63" t="s">
        <v>179</v>
      </c>
      <c r="AB32" s="22"/>
      <c r="AC32" s="63" t="s">
        <v>183</v>
      </c>
      <c r="AD32" s="63" t="s">
        <v>183</v>
      </c>
      <c r="AE32" s="63" t="s">
        <v>179</v>
      </c>
      <c r="AF32" s="63" t="s">
        <v>183</v>
      </c>
      <c r="AG32" s="63" t="s">
        <v>179</v>
      </c>
      <c r="AH32" s="63" t="s">
        <v>183</v>
      </c>
      <c r="AI32" s="22"/>
      <c r="AJ32" s="65" t="s">
        <v>183</v>
      </c>
      <c r="AK32" s="63" t="s">
        <v>179</v>
      </c>
      <c r="AL32" s="63" t="s">
        <v>179</v>
      </c>
      <c r="AM32" s="63" t="s">
        <v>179</v>
      </c>
      <c r="AN32" s="63" t="s">
        <v>183</v>
      </c>
      <c r="AO32" s="63" t="s">
        <v>183</v>
      </c>
      <c r="AP32" s="22"/>
      <c r="AQ32" s="65" t="s">
        <v>183</v>
      </c>
      <c r="AR32" s="65" t="s">
        <v>183</v>
      </c>
      <c r="AS32" s="65" t="s">
        <v>179</v>
      </c>
      <c r="AT32" s="65" t="s">
        <v>179</v>
      </c>
      <c r="AU32" s="65" t="s">
        <v>179</v>
      </c>
      <c r="AV32" s="65" t="s">
        <v>179</v>
      </c>
      <c r="AW32" s="22"/>
      <c r="AX32" s="65" t="s">
        <v>179</v>
      </c>
      <c r="AY32" s="65" t="s">
        <v>179</v>
      </c>
      <c r="AZ32" s="65" t="s">
        <v>183</v>
      </c>
      <c r="BA32" s="65" t="s">
        <v>179</v>
      </c>
      <c r="BB32" s="65" t="s">
        <v>183</v>
      </c>
      <c r="BC32" s="65" t="s">
        <v>183</v>
      </c>
      <c r="BD32" s="22"/>
      <c r="BE32" s="65" t="s">
        <v>183</v>
      </c>
      <c r="BF32" s="65" t="s">
        <v>183</v>
      </c>
      <c r="BG32" s="65" t="s">
        <v>183</v>
      </c>
      <c r="BH32" s="65" t="s">
        <v>183</v>
      </c>
      <c r="BI32" s="65" t="s">
        <v>183</v>
      </c>
      <c r="BJ32" s="65" t="s">
        <v>183</v>
      </c>
      <c r="BK32" s="22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</row>
    <row r="33">
      <c r="A33" s="31">
        <v>30.0</v>
      </c>
      <c r="B33" s="41" t="s">
        <v>484</v>
      </c>
      <c r="C33" s="41" t="s">
        <v>485</v>
      </c>
      <c r="D33" s="55">
        <f t="shared" si="2"/>
        <v>22</v>
      </c>
      <c r="E33" s="55">
        <f t="shared" si="3"/>
        <v>26</v>
      </c>
      <c r="F33" s="55">
        <f t="shared" si="4"/>
        <v>48</v>
      </c>
      <c r="G33" s="62">
        <f t="shared" si="5"/>
        <v>45.83333333</v>
      </c>
      <c r="H33" s="63" t="s">
        <v>183</v>
      </c>
      <c r="I33" s="63" t="s">
        <v>183</v>
      </c>
      <c r="J33" s="63" t="s">
        <v>183</v>
      </c>
      <c r="K33" s="63" t="s">
        <v>183</v>
      </c>
      <c r="L33" s="63" t="s">
        <v>183</v>
      </c>
      <c r="M33" s="63" t="s">
        <v>183</v>
      </c>
      <c r="N33" s="22"/>
      <c r="O33" s="63" t="s">
        <v>183</v>
      </c>
      <c r="P33" s="63" t="s">
        <v>183</v>
      </c>
      <c r="Q33" s="65" t="s">
        <v>183</v>
      </c>
      <c r="R33" s="65" t="s">
        <v>183</v>
      </c>
      <c r="S33" s="65" t="s">
        <v>179</v>
      </c>
      <c r="T33" s="65" t="s">
        <v>179</v>
      </c>
      <c r="U33" s="22"/>
      <c r="V33" s="73" t="s">
        <v>179</v>
      </c>
      <c r="W33" s="73" t="s">
        <v>179</v>
      </c>
      <c r="X33" s="73" t="s">
        <v>179</v>
      </c>
      <c r="Y33" s="73" t="s">
        <v>179</v>
      </c>
      <c r="Z33" s="73" t="s">
        <v>179</v>
      </c>
      <c r="AA33" s="73" t="s">
        <v>179</v>
      </c>
      <c r="AB33" s="22"/>
      <c r="AC33" s="73" t="s">
        <v>179</v>
      </c>
      <c r="AD33" s="73" t="s">
        <v>179</v>
      </c>
      <c r="AE33" s="73" t="s">
        <v>179</v>
      </c>
      <c r="AF33" s="73" t="s">
        <v>179</v>
      </c>
      <c r="AG33" s="73" t="s">
        <v>179</v>
      </c>
      <c r="AH33" s="73" t="s">
        <v>179</v>
      </c>
      <c r="AI33" s="22"/>
      <c r="AJ33" s="35" t="s">
        <v>179</v>
      </c>
      <c r="AK33" s="63" t="s">
        <v>183</v>
      </c>
      <c r="AL33" s="63" t="s">
        <v>179</v>
      </c>
      <c r="AM33" s="63" t="s">
        <v>179</v>
      </c>
      <c r="AN33" s="63" t="s">
        <v>179</v>
      </c>
      <c r="AO33" s="63" t="s">
        <v>183</v>
      </c>
      <c r="AP33" s="22"/>
      <c r="AQ33" s="35" t="s">
        <v>179</v>
      </c>
      <c r="AR33" s="35" t="s">
        <v>179</v>
      </c>
      <c r="AS33" s="35" t="s">
        <v>179</v>
      </c>
      <c r="AT33" s="35" t="s">
        <v>179</v>
      </c>
      <c r="AU33" s="35" t="s">
        <v>183</v>
      </c>
      <c r="AV33" s="35" t="s">
        <v>183</v>
      </c>
      <c r="AW33" s="22"/>
      <c r="AX33" s="35" t="s">
        <v>183</v>
      </c>
      <c r="AY33" s="35" t="s">
        <v>183</v>
      </c>
      <c r="AZ33" s="35" t="s">
        <v>183</v>
      </c>
      <c r="BA33" s="35" t="s">
        <v>183</v>
      </c>
      <c r="BB33" s="35" t="s">
        <v>183</v>
      </c>
      <c r="BC33" s="35" t="s">
        <v>183</v>
      </c>
      <c r="BD33" s="22"/>
      <c r="BE33" s="35" t="s">
        <v>183</v>
      </c>
      <c r="BF33" s="35" t="s">
        <v>183</v>
      </c>
      <c r="BG33" s="35" t="s">
        <v>183</v>
      </c>
      <c r="BH33" s="35" t="s">
        <v>183</v>
      </c>
      <c r="BI33" s="35" t="s">
        <v>183</v>
      </c>
      <c r="BJ33" s="35" t="s">
        <v>183</v>
      </c>
      <c r="BK33" s="22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</row>
    <row r="34">
      <c r="A34" s="31">
        <v>31.0</v>
      </c>
      <c r="B34" s="32" t="s">
        <v>495</v>
      </c>
      <c r="C34" s="32" t="s">
        <v>496</v>
      </c>
      <c r="D34" s="55">
        <f t="shared" si="2"/>
        <v>25</v>
      </c>
      <c r="E34" s="55">
        <f t="shared" si="3"/>
        <v>23</v>
      </c>
      <c r="F34" s="55">
        <f t="shared" si="4"/>
        <v>48</v>
      </c>
      <c r="G34" s="62">
        <f t="shared" si="5"/>
        <v>52.08333333</v>
      </c>
      <c r="H34" s="63" t="s">
        <v>720</v>
      </c>
      <c r="I34" s="63" t="s">
        <v>720</v>
      </c>
      <c r="J34" s="63" t="s">
        <v>720</v>
      </c>
      <c r="K34" s="63" t="s">
        <v>720</v>
      </c>
      <c r="L34" s="63" t="s">
        <v>720</v>
      </c>
      <c r="M34" s="63" t="s">
        <v>720</v>
      </c>
      <c r="N34" s="22"/>
      <c r="O34" s="63" t="s">
        <v>720</v>
      </c>
      <c r="P34" s="63" t="s">
        <v>720</v>
      </c>
      <c r="Q34" s="65" t="s">
        <v>720</v>
      </c>
      <c r="R34" s="65" t="s">
        <v>179</v>
      </c>
      <c r="S34" s="65" t="s">
        <v>720</v>
      </c>
      <c r="T34" s="65" t="s">
        <v>720</v>
      </c>
      <c r="U34" s="22"/>
      <c r="V34" s="63" t="s">
        <v>183</v>
      </c>
      <c r="W34" s="63" t="s">
        <v>720</v>
      </c>
      <c r="X34" s="63" t="s">
        <v>183</v>
      </c>
      <c r="Y34" s="63" t="s">
        <v>179</v>
      </c>
      <c r="Z34" s="63" t="s">
        <v>183</v>
      </c>
      <c r="AA34" s="63" t="s">
        <v>179</v>
      </c>
      <c r="AB34" s="22"/>
      <c r="AC34" s="63" t="s">
        <v>183</v>
      </c>
      <c r="AD34" s="63" t="s">
        <v>183</v>
      </c>
      <c r="AE34" s="63" t="s">
        <v>179</v>
      </c>
      <c r="AF34" s="63" t="s">
        <v>179</v>
      </c>
      <c r="AG34" s="63" t="s">
        <v>183</v>
      </c>
      <c r="AH34" s="63" t="s">
        <v>183</v>
      </c>
      <c r="AI34" s="22"/>
      <c r="AJ34" s="65" t="s">
        <v>183</v>
      </c>
      <c r="AK34" s="63" t="s">
        <v>183</v>
      </c>
      <c r="AL34" s="63" t="s">
        <v>183</v>
      </c>
      <c r="AM34" s="63" t="s">
        <v>183</v>
      </c>
      <c r="AN34" s="63" t="s">
        <v>183</v>
      </c>
      <c r="AO34" s="63" t="s">
        <v>183</v>
      </c>
      <c r="AP34" s="22"/>
      <c r="AQ34" s="65" t="s">
        <v>183</v>
      </c>
      <c r="AR34" s="65" t="s">
        <v>179</v>
      </c>
      <c r="AS34" s="65" t="s">
        <v>179</v>
      </c>
      <c r="AT34" s="65" t="s">
        <v>183</v>
      </c>
      <c r="AU34" s="65" t="s">
        <v>183</v>
      </c>
      <c r="AV34" s="65" t="s">
        <v>179</v>
      </c>
      <c r="AW34" s="22"/>
      <c r="AX34" s="65" t="s">
        <v>179</v>
      </c>
      <c r="AY34" s="65" t="s">
        <v>179</v>
      </c>
      <c r="AZ34" s="65" t="s">
        <v>179</v>
      </c>
      <c r="BA34" s="65" t="s">
        <v>179</v>
      </c>
      <c r="BB34" s="65" t="s">
        <v>183</v>
      </c>
      <c r="BC34" s="65" t="s">
        <v>183</v>
      </c>
      <c r="BD34" s="22"/>
      <c r="BE34" s="65" t="s">
        <v>183</v>
      </c>
      <c r="BF34" s="65" t="s">
        <v>179</v>
      </c>
      <c r="BG34" s="65" t="s">
        <v>183</v>
      </c>
      <c r="BH34" s="65" t="s">
        <v>183</v>
      </c>
      <c r="BI34" s="65" t="s">
        <v>183</v>
      </c>
      <c r="BJ34" s="65" t="s">
        <v>183</v>
      </c>
      <c r="BK34" s="22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</row>
    <row r="35">
      <c r="A35" s="31">
        <v>32.0</v>
      </c>
      <c r="B35" s="32" t="s">
        <v>506</v>
      </c>
      <c r="C35" s="79" t="s">
        <v>507</v>
      </c>
      <c r="D35" s="55">
        <f t="shared" si="2"/>
        <v>47</v>
      </c>
      <c r="E35" s="55">
        <f t="shared" si="3"/>
        <v>1</v>
      </c>
      <c r="F35" s="55">
        <f t="shared" si="4"/>
        <v>48</v>
      </c>
      <c r="G35" s="62">
        <f t="shared" si="5"/>
        <v>97.91666667</v>
      </c>
      <c r="H35" s="63" t="s">
        <v>179</v>
      </c>
      <c r="I35" s="63" t="s">
        <v>179</v>
      </c>
      <c r="J35" s="63" t="s">
        <v>179</v>
      </c>
      <c r="K35" s="63" t="s">
        <v>179</v>
      </c>
      <c r="L35" s="63" t="s">
        <v>179</v>
      </c>
      <c r="M35" s="63" t="s">
        <v>179</v>
      </c>
      <c r="N35" s="22"/>
      <c r="O35" s="63" t="s">
        <v>179</v>
      </c>
      <c r="P35" s="63" t="s">
        <v>826</v>
      </c>
      <c r="Q35" s="65" t="s">
        <v>179</v>
      </c>
      <c r="R35" s="65" t="s">
        <v>179</v>
      </c>
      <c r="S35" s="65" t="s">
        <v>179</v>
      </c>
      <c r="T35" s="65" t="s">
        <v>179</v>
      </c>
      <c r="U35" s="22"/>
      <c r="V35" s="63" t="s">
        <v>179</v>
      </c>
      <c r="W35" s="63" t="s">
        <v>179</v>
      </c>
      <c r="X35" s="63" t="s">
        <v>183</v>
      </c>
      <c r="Y35" s="63" t="s">
        <v>179</v>
      </c>
      <c r="Z35" s="63" t="s">
        <v>179</v>
      </c>
      <c r="AA35" s="63" t="s">
        <v>179</v>
      </c>
      <c r="AB35" s="22"/>
      <c r="AC35" s="63" t="s">
        <v>179</v>
      </c>
      <c r="AD35" s="63" t="s">
        <v>179</v>
      </c>
      <c r="AE35" s="63" t="s">
        <v>179</v>
      </c>
      <c r="AF35" s="63" t="s">
        <v>179</v>
      </c>
      <c r="AG35" s="63" t="s">
        <v>179</v>
      </c>
      <c r="AH35" s="63" t="s">
        <v>179</v>
      </c>
      <c r="AI35" s="22"/>
      <c r="AJ35" s="65" t="s">
        <v>179</v>
      </c>
      <c r="AK35" s="63" t="s">
        <v>179</v>
      </c>
      <c r="AL35" s="63" t="s">
        <v>179</v>
      </c>
      <c r="AM35" s="63" t="s">
        <v>179</v>
      </c>
      <c r="AN35" s="63" t="s">
        <v>179</v>
      </c>
      <c r="AO35" s="63" t="s">
        <v>179</v>
      </c>
      <c r="AP35" s="22"/>
      <c r="AQ35" s="65" t="s">
        <v>179</v>
      </c>
      <c r="AR35" s="65" t="s">
        <v>179</v>
      </c>
      <c r="AS35" s="65" t="s">
        <v>179</v>
      </c>
      <c r="AT35" s="65" t="s">
        <v>179</v>
      </c>
      <c r="AU35" s="65" t="s">
        <v>179</v>
      </c>
      <c r="AV35" s="65" t="s">
        <v>179</v>
      </c>
      <c r="AW35" s="22"/>
      <c r="AX35" s="65" t="s">
        <v>179</v>
      </c>
      <c r="AY35" s="65" t="s">
        <v>179</v>
      </c>
      <c r="AZ35" s="65" t="s">
        <v>179</v>
      </c>
      <c r="BA35" s="65" t="s">
        <v>179</v>
      </c>
      <c r="BB35" s="65" t="s">
        <v>179</v>
      </c>
      <c r="BC35" s="65" t="s">
        <v>179</v>
      </c>
      <c r="BD35" s="22"/>
      <c r="BE35" s="65" t="s">
        <v>179</v>
      </c>
      <c r="BF35" s="65" t="s">
        <v>179</v>
      </c>
      <c r="BG35" s="65" t="s">
        <v>179</v>
      </c>
      <c r="BH35" s="65" t="s">
        <v>179</v>
      </c>
      <c r="BI35" s="65" t="s">
        <v>179</v>
      </c>
      <c r="BJ35" s="65" t="s">
        <v>179</v>
      </c>
      <c r="BK35" s="22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</row>
    <row r="36">
      <c r="A36" s="31">
        <v>33.0</v>
      </c>
      <c r="B36" s="32" t="s">
        <v>515</v>
      </c>
      <c r="C36" s="32" t="s">
        <v>516</v>
      </c>
      <c r="D36" s="55">
        <f t="shared" si="2"/>
        <v>26</v>
      </c>
      <c r="E36" s="55">
        <f t="shared" si="3"/>
        <v>22</v>
      </c>
      <c r="F36" s="55">
        <f t="shared" si="4"/>
        <v>48</v>
      </c>
      <c r="G36" s="62">
        <f t="shared" si="5"/>
        <v>54.16666667</v>
      </c>
      <c r="H36" s="63" t="s">
        <v>179</v>
      </c>
      <c r="I36" s="63" t="s">
        <v>179</v>
      </c>
      <c r="J36" s="63" t="s">
        <v>179</v>
      </c>
      <c r="K36" s="63" t="s">
        <v>179</v>
      </c>
      <c r="L36" s="63" t="s">
        <v>179</v>
      </c>
      <c r="M36" s="63" t="s">
        <v>183</v>
      </c>
      <c r="N36" s="22"/>
      <c r="O36" s="63" t="s">
        <v>179</v>
      </c>
      <c r="P36" s="63" t="s">
        <v>179</v>
      </c>
      <c r="Q36" s="65" t="s">
        <v>179</v>
      </c>
      <c r="R36" s="65" t="s">
        <v>183</v>
      </c>
      <c r="S36" s="65" t="s">
        <v>179</v>
      </c>
      <c r="T36" s="65" t="s">
        <v>183</v>
      </c>
      <c r="U36" s="22"/>
      <c r="V36" s="63" t="s">
        <v>179</v>
      </c>
      <c r="W36" s="63" t="s">
        <v>179</v>
      </c>
      <c r="X36" s="63" t="s">
        <v>179</v>
      </c>
      <c r="Y36" s="63" t="s">
        <v>183</v>
      </c>
      <c r="Z36" s="63" t="s">
        <v>179</v>
      </c>
      <c r="AA36" s="63" t="s">
        <v>179</v>
      </c>
      <c r="AB36" s="22"/>
      <c r="AC36" s="63" t="s">
        <v>179</v>
      </c>
      <c r="AD36" s="63" t="s">
        <v>179</v>
      </c>
      <c r="AE36" s="63" t="s">
        <v>179</v>
      </c>
      <c r="AF36" s="63" t="s">
        <v>183</v>
      </c>
      <c r="AG36" s="63" t="s">
        <v>183</v>
      </c>
      <c r="AH36" s="63" t="s">
        <v>179</v>
      </c>
      <c r="AI36" s="22"/>
      <c r="AJ36" s="65" t="s">
        <v>183</v>
      </c>
      <c r="AK36" s="63" t="s">
        <v>179</v>
      </c>
      <c r="AL36" s="63" t="s">
        <v>183</v>
      </c>
      <c r="AM36" s="63" t="s">
        <v>179</v>
      </c>
      <c r="AN36" s="63" t="s">
        <v>179</v>
      </c>
      <c r="AO36" s="63" t="s">
        <v>179</v>
      </c>
      <c r="AP36" s="22"/>
      <c r="AQ36" s="65" t="s">
        <v>183</v>
      </c>
      <c r="AR36" s="65" t="s">
        <v>179</v>
      </c>
      <c r="AS36" s="65" t="s">
        <v>183</v>
      </c>
      <c r="AT36" s="65" t="s">
        <v>179</v>
      </c>
      <c r="AU36" s="65" t="s">
        <v>183</v>
      </c>
      <c r="AV36" s="65" t="s">
        <v>179</v>
      </c>
      <c r="AW36" s="22"/>
      <c r="AX36" s="65" t="s">
        <v>183</v>
      </c>
      <c r="AY36" s="65" t="s">
        <v>183</v>
      </c>
      <c r="AZ36" s="65" t="s">
        <v>183</v>
      </c>
      <c r="BA36" s="65" t="s">
        <v>183</v>
      </c>
      <c r="BB36" s="65" t="s">
        <v>183</v>
      </c>
      <c r="BC36" s="65" t="s">
        <v>179</v>
      </c>
      <c r="BD36" s="22"/>
      <c r="BE36" s="65" t="s">
        <v>183</v>
      </c>
      <c r="BF36" s="65" t="s">
        <v>183</v>
      </c>
      <c r="BG36" s="65" t="s">
        <v>183</v>
      </c>
      <c r="BH36" s="65" t="s">
        <v>183</v>
      </c>
      <c r="BI36" s="65" t="s">
        <v>183</v>
      </c>
      <c r="BJ36" s="65" t="s">
        <v>183</v>
      </c>
      <c r="BK36" s="22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</row>
    <row r="37">
      <c r="A37" s="31">
        <v>34.0</v>
      </c>
      <c r="B37" s="85" t="s">
        <v>525</v>
      </c>
      <c r="C37" s="85" t="s">
        <v>527</v>
      </c>
      <c r="D37" s="55">
        <f t="shared" si="2"/>
        <v>6</v>
      </c>
      <c r="E37" s="55">
        <f t="shared" si="3"/>
        <v>13</v>
      </c>
      <c r="F37" s="55">
        <f t="shared" si="4"/>
        <v>19</v>
      </c>
      <c r="G37" s="62">
        <f t="shared" si="5"/>
        <v>31.57894737</v>
      </c>
      <c r="H37" s="63" t="s">
        <v>260</v>
      </c>
      <c r="I37" s="63" t="s">
        <v>260</v>
      </c>
      <c r="J37" s="63" t="s">
        <v>260</v>
      </c>
      <c r="K37" s="63" t="s">
        <v>260</v>
      </c>
      <c r="L37" s="63" t="s">
        <v>260</v>
      </c>
      <c r="M37" s="63" t="s">
        <v>260</v>
      </c>
      <c r="N37" s="22"/>
      <c r="O37" s="63" t="s">
        <v>260</v>
      </c>
      <c r="P37" s="63" t="s">
        <v>260</v>
      </c>
      <c r="Q37" s="63" t="s">
        <v>260</v>
      </c>
      <c r="R37" s="63" t="s">
        <v>260</v>
      </c>
      <c r="S37" s="63" t="s">
        <v>260</v>
      </c>
      <c r="T37" s="63" t="s">
        <v>260</v>
      </c>
      <c r="U37" s="22"/>
      <c r="V37" s="63" t="s">
        <v>260</v>
      </c>
      <c r="W37" s="63" t="s">
        <v>260</v>
      </c>
      <c r="X37" s="63" t="s">
        <v>260</v>
      </c>
      <c r="Y37" s="63" t="s">
        <v>260</v>
      </c>
      <c r="Z37" s="63" t="s">
        <v>260</v>
      </c>
      <c r="AA37" s="63" t="s">
        <v>260</v>
      </c>
      <c r="AB37" s="22"/>
      <c r="AC37" s="63" t="s">
        <v>260</v>
      </c>
      <c r="AD37" s="63" t="s">
        <v>260</v>
      </c>
      <c r="AE37" s="63" t="s">
        <v>260</v>
      </c>
      <c r="AF37" s="63" t="s">
        <v>260</v>
      </c>
      <c r="AG37" s="63" t="s">
        <v>260</v>
      </c>
      <c r="AH37" s="63" t="s">
        <v>260</v>
      </c>
      <c r="AI37" s="22"/>
      <c r="AJ37" s="63" t="s">
        <v>260</v>
      </c>
      <c r="AK37" s="63" t="s">
        <v>260</v>
      </c>
      <c r="AL37" s="63" t="s">
        <v>260</v>
      </c>
      <c r="AM37" s="63" t="s">
        <v>260</v>
      </c>
      <c r="AN37" s="63" t="s">
        <v>260</v>
      </c>
      <c r="AO37" s="35" t="s">
        <v>183</v>
      </c>
      <c r="AP37" s="22"/>
      <c r="AQ37" s="35" t="s">
        <v>179</v>
      </c>
      <c r="AR37" s="35" t="s">
        <v>179</v>
      </c>
      <c r="AS37" s="35" t="s">
        <v>179</v>
      </c>
      <c r="AT37" s="35" t="s">
        <v>179</v>
      </c>
      <c r="AU37" s="35" t="s">
        <v>183</v>
      </c>
      <c r="AV37" s="35" t="s">
        <v>179</v>
      </c>
      <c r="AW37" s="22"/>
      <c r="AX37" s="35" t="s">
        <v>179</v>
      </c>
      <c r="AY37" s="35" t="s">
        <v>183</v>
      </c>
      <c r="AZ37" s="35" t="s">
        <v>183</v>
      </c>
      <c r="BA37" s="35" t="s">
        <v>183</v>
      </c>
      <c r="BB37" s="35" t="s">
        <v>183</v>
      </c>
      <c r="BC37" s="35" t="s">
        <v>183</v>
      </c>
      <c r="BD37" s="22"/>
      <c r="BE37" s="35" t="s">
        <v>183</v>
      </c>
      <c r="BF37" s="35" t="s">
        <v>183</v>
      </c>
      <c r="BG37" s="35" t="s">
        <v>183</v>
      </c>
      <c r="BH37" s="35" t="s">
        <v>183</v>
      </c>
      <c r="BI37" s="35" t="s">
        <v>183</v>
      </c>
      <c r="BJ37" s="35" t="s">
        <v>183</v>
      </c>
      <c r="BK37" s="22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</row>
    <row r="38">
      <c r="A38" s="31">
        <v>35.0</v>
      </c>
      <c r="B38" s="32" t="s">
        <v>539</v>
      </c>
      <c r="C38" s="79" t="s">
        <v>541</v>
      </c>
      <c r="D38" s="55">
        <f t="shared" si="2"/>
        <v>28</v>
      </c>
      <c r="E38" s="55">
        <f t="shared" si="3"/>
        <v>20</v>
      </c>
      <c r="F38" s="55">
        <f t="shared" si="4"/>
        <v>48</v>
      </c>
      <c r="G38" s="62">
        <f t="shared" si="5"/>
        <v>58.33333333</v>
      </c>
      <c r="H38" s="63" t="s">
        <v>183</v>
      </c>
      <c r="I38" s="63" t="s">
        <v>179</v>
      </c>
      <c r="J38" s="63" t="s">
        <v>183</v>
      </c>
      <c r="K38" s="63" t="s">
        <v>183</v>
      </c>
      <c r="L38" s="63" t="s">
        <v>179</v>
      </c>
      <c r="M38" s="63" t="s">
        <v>179</v>
      </c>
      <c r="N38" s="22"/>
      <c r="O38" s="63" t="s">
        <v>183</v>
      </c>
      <c r="P38" s="63" t="s">
        <v>183</v>
      </c>
      <c r="Q38" s="65" t="s">
        <v>179</v>
      </c>
      <c r="R38" s="65" t="s">
        <v>179</v>
      </c>
      <c r="S38" s="65" t="s">
        <v>179</v>
      </c>
      <c r="T38" s="65" t="s">
        <v>179</v>
      </c>
      <c r="U38" s="22"/>
      <c r="V38" s="63" t="s">
        <v>183</v>
      </c>
      <c r="W38" s="63" t="s">
        <v>179</v>
      </c>
      <c r="X38" s="63" t="s">
        <v>179</v>
      </c>
      <c r="Y38" s="63" t="s">
        <v>179</v>
      </c>
      <c r="Z38" s="63" t="s">
        <v>179</v>
      </c>
      <c r="AA38" s="63" t="s">
        <v>179</v>
      </c>
      <c r="AB38" s="22"/>
      <c r="AC38" s="63" t="s">
        <v>179</v>
      </c>
      <c r="AD38" s="63" t="s">
        <v>179</v>
      </c>
      <c r="AE38" s="63" t="s">
        <v>179</v>
      </c>
      <c r="AF38" s="63" t="s">
        <v>179</v>
      </c>
      <c r="AG38" s="63" t="s">
        <v>179</v>
      </c>
      <c r="AH38" s="63" t="s">
        <v>179</v>
      </c>
      <c r="AI38" s="22"/>
      <c r="AJ38" s="65" t="s">
        <v>179</v>
      </c>
      <c r="AK38" s="63" t="s">
        <v>179</v>
      </c>
      <c r="AL38" s="63" t="s">
        <v>183</v>
      </c>
      <c r="AM38" s="63" t="s">
        <v>183</v>
      </c>
      <c r="AN38" s="63" t="s">
        <v>179</v>
      </c>
      <c r="AO38" s="63" t="s">
        <v>183</v>
      </c>
      <c r="AP38" s="22"/>
      <c r="AQ38" s="65" t="s">
        <v>183</v>
      </c>
      <c r="AR38" s="65" t="s">
        <v>179</v>
      </c>
      <c r="AS38" s="65" t="s">
        <v>179</v>
      </c>
      <c r="AT38" s="65" t="s">
        <v>179</v>
      </c>
      <c r="AU38" s="65" t="s">
        <v>183</v>
      </c>
      <c r="AV38" s="65" t="s">
        <v>179</v>
      </c>
      <c r="AW38" s="22"/>
      <c r="AX38" s="65" t="s">
        <v>179</v>
      </c>
      <c r="AY38" s="65" t="s">
        <v>183</v>
      </c>
      <c r="AZ38" s="65" t="s">
        <v>183</v>
      </c>
      <c r="BA38" s="65" t="s">
        <v>179</v>
      </c>
      <c r="BB38" s="65" t="s">
        <v>183</v>
      </c>
      <c r="BC38" s="65" t="s">
        <v>183</v>
      </c>
      <c r="BD38" s="22"/>
      <c r="BE38" s="65" t="s">
        <v>183</v>
      </c>
      <c r="BF38" s="65" t="s">
        <v>179</v>
      </c>
      <c r="BG38" s="65" t="s">
        <v>183</v>
      </c>
      <c r="BH38" s="65" t="s">
        <v>183</v>
      </c>
      <c r="BI38" s="65" t="s">
        <v>183</v>
      </c>
      <c r="BJ38" s="65" t="s">
        <v>183</v>
      </c>
      <c r="BK38" s="22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</row>
    <row r="39">
      <c r="A39" s="31">
        <v>36.0</v>
      </c>
      <c r="B39" s="41" t="s">
        <v>550</v>
      </c>
      <c r="C39" s="41" t="s">
        <v>551</v>
      </c>
      <c r="D39" s="55">
        <f t="shared" si="2"/>
        <v>34</v>
      </c>
      <c r="E39" s="55">
        <f t="shared" si="3"/>
        <v>14</v>
      </c>
      <c r="F39" s="55">
        <f t="shared" si="4"/>
        <v>48</v>
      </c>
      <c r="G39" s="62">
        <f t="shared" si="5"/>
        <v>70.83333333</v>
      </c>
      <c r="H39" s="63" t="s">
        <v>183</v>
      </c>
      <c r="I39" s="63" t="s">
        <v>183</v>
      </c>
      <c r="J39" s="63" t="s">
        <v>183</v>
      </c>
      <c r="K39" s="63" t="s">
        <v>179</v>
      </c>
      <c r="L39" s="63" t="s">
        <v>179</v>
      </c>
      <c r="M39" s="63" t="s">
        <v>179</v>
      </c>
      <c r="N39" s="22"/>
      <c r="O39" s="63" t="s">
        <v>179</v>
      </c>
      <c r="P39" s="63" t="s">
        <v>179</v>
      </c>
      <c r="Q39" s="65" t="s">
        <v>179</v>
      </c>
      <c r="R39" s="65" t="s">
        <v>179</v>
      </c>
      <c r="S39" s="65" t="s">
        <v>179</v>
      </c>
      <c r="T39" s="65" t="s">
        <v>179</v>
      </c>
      <c r="U39" s="22"/>
      <c r="V39" s="73" t="s">
        <v>179</v>
      </c>
      <c r="W39" s="73" t="s">
        <v>179</v>
      </c>
      <c r="X39" s="73" t="s">
        <v>179</v>
      </c>
      <c r="Y39" s="73" t="s">
        <v>179</v>
      </c>
      <c r="Z39" s="73" t="s">
        <v>179</v>
      </c>
      <c r="AA39" s="73" t="s">
        <v>179</v>
      </c>
      <c r="AB39" s="22"/>
      <c r="AC39" s="73" t="s">
        <v>179</v>
      </c>
      <c r="AD39" s="73" t="s">
        <v>183</v>
      </c>
      <c r="AE39" s="73" t="s">
        <v>179</v>
      </c>
      <c r="AF39" s="73" t="s">
        <v>179</v>
      </c>
      <c r="AG39" s="73" t="s">
        <v>179</v>
      </c>
      <c r="AH39" s="73" t="s">
        <v>179</v>
      </c>
      <c r="AI39" s="22"/>
      <c r="AJ39" s="35" t="s">
        <v>179</v>
      </c>
      <c r="AK39" s="63" t="s">
        <v>179</v>
      </c>
      <c r="AL39" s="63" t="s">
        <v>179</v>
      </c>
      <c r="AM39" s="63" t="s">
        <v>179</v>
      </c>
      <c r="AN39" s="63" t="s">
        <v>179</v>
      </c>
      <c r="AO39" s="63" t="s">
        <v>179</v>
      </c>
      <c r="AP39" s="22"/>
      <c r="AQ39" s="35" t="s">
        <v>179</v>
      </c>
      <c r="AR39" s="35" t="s">
        <v>179</v>
      </c>
      <c r="AS39" s="35" t="s">
        <v>179</v>
      </c>
      <c r="AT39" s="35" t="s">
        <v>183</v>
      </c>
      <c r="AU39" s="35" t="s">
        <v>179</v>
      </c>
      <c r="AV39" s="35" t="s">
        <v>183</v>
      </c>
      <c r="AW39" s="22"/>
      <c r="AX39" s="35" t="s">
        <v>179</v>
      </c>
      <c r="AY39" s="35" t="s">
        <v>183</v>
      </c>
      <c r="AZ39" s="35" t="s">
        <v>183</v>
      </c>
      <c r="BA39" s="35" t="s">
        <v>179</v>
      </c>
      <c r="BB39" s="35" t="s">
        <v>183</v>
      </c>
      <c r="BC39" s="35" t="s">
        <v>183</v>
      </c>
      <c r="BD39" s="22"/>
      <c r="BE39" s="35" t="s">
        <v>179</v>
      </c>
      <c r="BF39" s="35" t="s">
        <v>179</v>
      </c>
      <c r="BG39" s="35" t="s">
        <v>183</v>
      </c>
      <c r="BH39" s="35" t="s">
        <v>183</v>
      </c>
      <c r="BI39" s="35" t="s">
        <v>183</v>
      </c>
      <c r="BJ39" s="35" t="s">
        <v>183</v>
      </c>
      <c r="BK39" s="22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</row>
    <row r="40">
      <c r="A40" s="31">
        <v>37.0</v>
      </c>
      <c r="B40" s="32" t="s">
        <v>559</v>
      </c>
      <c r="C40" s="32" t="s">
        <v>561</v>
      </c>
      <c r="D40" s="55">
        <f t="shared" si="2"/>
        <v>35</v>
      </c>
      <c r="E40" s="55">
        <f t="shared" si="3"/>
        <v>13</v>
      </c>
      <c r="F40" s="55">
        <f t="shared" si="4"/>
        <v>48</v>
      </c>
      <c r="G40" s="62">
        <f t="shared" si="5"/>
        <v>72.91666667</v>
      </c>
      <c r="H40" s="63" t="s">
        <v>179</v>
      </c>
      <c r="I40" s="63" t="s">
        <v>179</v>
      </c>
      <c r="J40" s="63" t="s">
        <v>179</v>
      </c>
      <c r="K40" s="63" t="s">
        <v>179</v>
      </c>
      <c r="L40" s="63" t="s">
        <v>179</v>
      </c>
      <c r="M40" s="63" t="s">
        <v>179</v>
      </c>
      <c r="N40" s="22"/>
      <c r="O40" s="63" t="s">
        <v>179</v>
      </c>
      <c r="P40" s="63" t="s">
        <v>179</v>
      </c>
      <c r="Q40" s="65" t="s">
        <v>179</v>
      </c>
      <c r="R40" s="65" t="s">
        <v>179</v>
      </c>
      <c r="S40" s="65" t="s">
        <v>179</v>
      </c>
      <c r="T40" s="65" t="s">
        <v>179</v>
      </c>
      <c r="U40" s="22"/>
      <c r="V40" s="63" t="s">
        <v>183</v>
      </c>
      <c r="W40" s="63" t="s">
        <v>179</v>
      </c>
      <c r="X40" s="63" t="s">
        <v>179</v>
      </c>
      <c r="Y40" s="63" t="s">
        <v>179</v>
      </c>
      <c r="Z40" s="63" t="s">
        <v>183</v>
      </c>
      <c r="AA40" s="63" t="s">
        <v>179</v>
      </c>
      <c r="AB40" s="22"/>
      <c r="AC40" s="63" t="s">
        <v>179</v>
      </c>
      <c r="AD40" s="63" t="s">
        <v>179</v>
      </c>
      <c r="AE40" s="63" t="s">
        <v>179</v>
      </c>
      <c r="AF40" s="63" t="s">
        <v>179</v>
      </c>
      <c r="AG40" s="63" t="s">
        <v>179</v>
      </c>
      <c r="AH40" s="63" t="s">
        <v>179</v>
      </c>
      <c r="AI40" s="22"/>
      <c r="AJ40" s="65" t="s">
        <v>179</v>
      </c>
      <c r="AK40" s="63" t="s">
        <v>179</v>
      </c>
      <c r="AL40" s="63" t="s">
        <v>179</v>
      </c>
      <c r="AM40" s="63" t="s">
        <v>179</v>
      </c>
      <c r="AN40" s="63" t="s">
        <v>179</v>
      </c>
      <c r="AO40" s="63" t="s">
        <v>179</v>
      </c>
      <c r="AP40" s="22"/>
      <c r="AQ40" s="65" t="s">
        <v>179</v>
      </c>
      <c r="AR40" s="65" t="s">
        <v>179</v>
      </c>
      <c r="AS40" s="65" t="s">
        <v>179</v>
      </c>
      <c r="AT40" s="65" t="s">
        <v>183</v>
      </c>
      <c r="AU40" s="65" t="s">
        <v>179</v>
      </c>
      <c r="AV40" s="65" t="s">
        <v>179</v>
      </c>
      <c r="AW40" s="22"/>
      <c r="AX40" s="65" t="s">
        <v>179</v>
      </c>
      <c r="AY40" s="65" t="s">
        <v>183</v>
      </c>
      <c r="AZ40" s="65" t="s">
        <v>183</v>
      </c>
      <c r="BA40" s="65" t="s">
        <v>179</v>
      </c>
      <c r="BB40" s="65" t="s">
        <v>183</v>
      </c>
      <c r="BC40" s="65" t="s">
        <v>183</v>
      </c>
      <c r="BD40" s="22"/>
      <c r="BE40" s="65" t="s">
        <v>183</v>
      </c>
      <c r="BF40" s="65" t="s">
        <v>183</v>
      </c>
      <c r="BG40" s="65" t="s">
        <v>183</v>
      </c>
      <c r="BH40" s="65" t="s">
        <v>183</v>
      </c>
      <c r="BI40" s="65" t="s">
        <v>183</v>
      </c>
      <c r="BJ40" s="65" t="s">
        <v>183</v>
      </c>
      <c r="BK40" s="22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</row>
    <row r="41">
      <c r="A41" s="31">
        <v>38.0</v>
      </c>
      <c r="B41" s="41" t="s">
        <v>567</v>
      </c>
      <c r="C41" s="41" t="s">
        <v>569</v>
      </c>
      <c r="D41" s="55">
        <f t="shared" si="2"/>
        <v>1</v>
      </c>
      <c r="E41" s="55">
        <f t="shared" si="3"/>
        <v>47</v>
      </c>
      <c r="F41" s="55">
        <f t="shared" si="4"/>
        <v>48</v>
      </c>
      <c r="G41" s="62">
        <f t="shared" si="5"/>
        <v>2.083333333</v>
      </c>
      <c r="H41" s="63" t="s">
        <v>183</v>
      </c>
      <c r="I41" s="63" t="s">
        <v>183</v>
      </c>
      <c r="J41" s="63" t="s">
        <v>183</v>
      </c>
      <c r="K41" s="63" t="s">
        <v>183</v>
      </c>
      <c r="L41" s="63" t="s">
        <v>183</v>
      </c>
      <c r="M41" s="63" t="s">
        <v>183</v>
      </c>
      <c r="N41" s="22"/>
      <c r="O41" s="65" t="s">
        <v>183</v>
      </c>
      <c r="P41" s="65" t="s">
        <v>183</v>
      </c>
      <c r="Q41" s="65" t="s">
        <v>183</v>
      </c>
      <c r="R41" s="35" t="s">
        <v>183</v>
      </c>
      <c r="S41" s="35" t="s">
        <v>183</v>
      </c>
      <c r="T41" s="35" t="s">
        <v>183</v>
      </c>
      <c r="U41" s="22"/>
      <c r="V41" s="73" t="s">
        <v>183</v>
      </c>
      <c r="W41" s="73" t="s">
        <v>183</v>
      </c>
      <c r="X41" s="73" t="s">
        <v>183</v>
      </c>
      <c r="Y41" s="73" t="s">
        <v>183</v>
      </c>
      <c r="Z41" s="73" t="s">
        <v>183</v>
      </c>
      <c r="AA41" s="73" t="s">
        <v>183</v>
      </c>
      <c r="AB41" s="22"/>
      <c r="AC41" s="73" t="s">
        <v>183</v>
      </c>
      <c r="AD41" s="73" t="s">
        <v>183</v>
      </c>
      <c r="AE41" s="73" t="s">
        <v>183</v>
      </c>
      <c r="AF41" s="73" t="s">
        <v>183</v>
      </c>
      <c r="AG41" s="73" t="s">
        <v>183</v>
      </c>
      <c r="AH41" s="73" t="s">
        <v>183</v>
      </c>
      <c r="AI41" s="22"/>
      <c r="AJ41" s="35" t="s">
        <v>179</v>
      </c>
      <c r="AK41" s="63" t="s">
        <v>183</v>
      </c>
      <c r="AL41" s="63" t="s">
        <v>183</v>
      </c>
      <c r="AM41" s="63" t="s">
        <v>183</v>
      </c>
      <c r="AN41" s="63" t="s">
        <v>183</v>
      </c>
      <c r="AO41" s="63" t="s">
        <v>183</v>
      </c>
      <c r="AP41" s="22"/>
      <c r="AQ41" s="35" t="s">
        <v>183</v>
      </c>
      <c r="AR41" s="35" t="s">
        <v>183</v>
      </c>
      <c r="AS41" s="35" t="s">
        <v>183</v>
      </c>
      <c r="AT41" s="35" t="s">
        <v>183</v>
      </c>
      <c r="AU41" s="35" t="s">
        <v>183</v>
      </c>
      <c r="AV41" s="35" t="s">
        <v>183</v>
      </c>
      <c r="AW41" s="22"/>
      <c r="AX41" s="35" t="s">
        <v>183</v>
      </c>
      <c r="AY41" s="35" t="s">
        <v>183</v>
      </c>
      <c r="AZ41" s="35" t="s">
        <v>183</v>
      </c>
      <c r="BA41" s="35" t="s">
        <v>183</v>
      </c>
      <c r="BB41" s="35" t="s">
        <v>183</v>
      </c>
      <c r="BC41" s="35" t="s">
        <v>183</v>
      </c>
      <c r="BD41" s="22"/>
      <c r="BE41" s="35" t="s">
        <v>183</v>
      </c>
      <c r="BF41" s="35" t="s">
        <v>183</v>
      </c>
      <c r="BG41" s="35" t="s">
        <v>183</v>
      </c>
      <c r="BH41" s="35" t="s">
        <v>183</v>
      </c>
      <c r="BI41" s="35" t="s">
        <v>183</v>
      </c>
      <c r="BJ41" s="35" t="s">
        <v>183</v>
      </c>
      <c r="BK41" s="22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</row>
    <row r="42">
      <c r="A42" s="31">
        <v>39.0</v>
      </c>
      <c r="B42" s="32" t="s">
        <v>577</v>
      </c>
      <c r="C42" s="32" t="s">
        <v>579</v>
      </c>
      <c r="D42" s="55">
        <f t="shared" si="2"/>
        <v>22</v>
      </c>
      <c r="E42" s="55">
        <f t="shared" si="3"/>
        <v>26</v>
      </c>
      <c r="F42" s="55">
        <f t="shared" si="4"/>
        <v>48</v>
      </c>
      <c r="G42" s="62">
        <f t="shared" si="5"/>
        <v>45.83333333</v>
      </c>
      <c r="H42" s="63" t="s">
        <v>183</v>
      </c>
      <c r="I42" s="63" t="s">
        <v>183</v>
      </c>
      <c r="J42" s="63" t="s">
        <v>183</v>
      </c>
      <c r="K42" s="63" t="s">
        <v>183</v>
      </c>
      <c r="L42" s="63" t="s">
        <v>183</v>
      </c>
      <c r="M42" s="63" t="s">
        <v>183</v>
      </c>
      <c r="N42" s="22"/>
      <c r="O42" s="63" t="s">
        <v>179</v>
      </c>
      <c r="P42" s="63" t="s">
        <v>179</v>
      </c>
      <c r="Q42" s="65" t="s">
        <v>179</v>
      </c>
      <c r="R42" s="65" t="s">
        <v>179</v>
      </c>
      <c r="S42" s="65" t="s">
        <v>183</v>
      </c>
      <c r="T42" s="65" t="s">
        <v>179</v>
      </c>
      <c r="U42" s="22"/>
      <c r="V42" s="63" t="s">
        <v>183</v>
      </c>
      <c r="W42" s="63" t="s">
        <v>179</v>
      </c>
      <c r="X42" s="63" t="s">
        <v>183</v>
      </c>
      <c r="Y42" s="63" t="s">
        <v>179</v>
      </c>
      <c r="Z42" s="63" t="s">
        <v>179</v>
      </c>
      <c r="AA42" s="63" t="s">
        <v>179</v>
      </c>
      <c r="AB42" s="22"/>
      <c r="AC42" s="63" t="s">
        <v>179</v>
      </c>
      <c r="AD42" s="63" t="s">
        <v>179</v>
      </c>
      <c r="AE42" s="63" t="s">
        <v>179</v>
      </c>
      <c r="AF42" s="63" t="s">
        <v>183</v>
      </c>
      <c r="AG42" s="63" t="s">
        <v>183</v>
      </c>
      <c r="AH42" s="63" t="s">
        <v>179</v>
      </c>
      <c r="AI42" s="22"/>
      <c r="AJ42" s="65" t="s">
        <v>183</v>
      </c>
      <c r="AK42" s="63" t="s">
        <v>179</v>
      </c>
      <c r="AL42" s="63" t="s">
        <v>179</v>
      </c>
      <c r="AM42" s="63" t="s">
        <v>179</v>
      </c>
      <c r="AN42" s="63" t="s">
        <v>179</v>
      </c>
      <c r="AO42" s="63" t="s">
        <v>179</v>
      </c>
      <c r="AP42" s="22"/>
      <c r="AQ42" s="65" t="s">
        <v>183</v>
      </c>
      <c r="AR42" s="65" t="s">
        <v>179</v>
      </c>
      <c r="AS42" s="65" t="s">
        <v>183</v>
      </c>
      <c r="AT42" s="65" t="s">
        <v>183</v>
      </c>
      <c r="AU42" s="65" t="s">
        <v>183</v>
      </c>
      <c r="AV42" s="65" t="s">
        <v>183</v>
      </c>
      <c r="AW42" s="22"/>
      <c r="AX42" s="65" t="s">
        <v>179</v>
      </c>
      <c r="AY42" s="65" t="s">
        <v>183</v>
      </c>
      <c r="AZ42" s="65" t="s">
        <v>183</v>
      </c>
      <c r="BA42" s="65" t="s">
        <v>179</v>
      </c>
      <c r="BB42" s="65" t="s">
        <v>179</v>
      </c>
      <c r="BC42" s="65" t="s">
        <v>183</v>
      </c>
      <c r="BD42" s="22"/>
      <c r="BE42" s="65" t="s">
        <v>183</v>
      </c>
      <c r="BF42" s="65" t="s">
        <v>183</v>
      </c>
      <c r="BG42" s="65" t="s">
        <v>183</v>
      </c>
      <c r="BH42" s="65" t="s">
        <v>183</v>
      </c>
      <c r="BI42" s="65" t="s">
        <v>183</v>
      </c>
      <c r="BJ42" s="65" t="s">
        <v>183</v>
      </c>
      <c r="BK42" s="22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</row>
    <row r="43">
      <c r="A43" s="31">
        <v>40.0</v>
      </c>
      <c r="B43" s="32" t="s">
        <v>586</v>
      </c>
      <c r="C43" s="32" t="s">
        <v>587</v>
      </c>
      <c r="D43" s="55">
        <f t="shared" si="2"/>
        <v>31</v>
      </c>
      <c r="E43" s="55">
        <f t="shared" si="3"/>
        <v>17</v>
      </c>
      <c r="F43" s="55">
        <f t="shared" si="4"/>
        <v>48</v>
      </c>
      <c r="G43" s="62">
        <f t="shared" si="5"/>
        <v>64.58333333</v>
      </c>
      <c r="H43" s="63" t="s">
        <v>179</v>
      </c>
      <c r="I43" s="63" t="s">
        <v>179</v>
      </c>
      <c r="J43" s="63" t="s">
        <v>179</v>
      </c>
      <c r="K43" s="63" t="s">
        <v>179</v>
      </c>
      <c r="L43" s="63" t="s">
        <v>179</v>
      </c>
      <c r="M43" s="63" t="s">
        <v>179</v>
      </c>
      <c r="N43" s="22"/>
      <c r="O43" s="63" t="s">
        <v>179</v>
      </c>
      <c r="P43" s="63" t="s">
        <v>179</v>
      </c>
      <c r="Q43" s="65" t="s">
        <v>179</v>
      </c>
      <c r="R43" s="65" t="s">
        <v>179</v>
      </c>
      <c r="S43" s="65" t="s">
        <v>179</v>
      </c>
      <c r="T43" s="65" t="s">
        <v>179</v>
      </c>
      <c r="U43" s="22"/>
      <c r="V43" s="63" t="s">
        <v>183</v>
      </c>
      <c r="W43" s="63" t="s">
        <v>183</v>
      </c>
      <c r="X43" s="63" t="s">
        <v>183</v>
      </c>
      <c r="Y43" s="63" t="s">
        <v>183</v>
      </c>
      <c r="Z43" s="63" t="s">
        <v>179</v>
      </c>
      <c r="AA43" s="63" t="s">
        <v>179</v>
      </c>
      <c r="AB43" s="22"/>
      <c r="AC43" s="63" t="s">
        <v>179</v>
      </c>
      <c r="AD43" s="63" t="s">
        <v>179</v>
      </c>
      <c r="AE43" s="63" t="s">
        <v>179</v>
      </c>
      <c r="AF43" s="63" t="s">
        <v>179</v>
      </c>
      <c r="AG43" s="63" t="s">
        <v>179</v>
      </c>
      <c r="AH43" s="63" t="s">
        <v>179</v>
      </c>
      <c r="AI43" s="22"/>
      <c r="AJ43" s="65" t="s">
        <v>179</v>
      </c>
      <c r="AK43" s="63" t="s">
        <v>179</v>
      </c>
      <c r="AL43" s="63" t="s">
        <v>179</v>
      </c>
      <c r="AM43" s="63" t="s">
        <v>183</v>
      </c>
      <c r="AN43" s="63" t="s">
        <v>183</v>
      </c>
      <c r="AO43" s="63" t="s">
        <v>183</v>
      </c>
      <c r="AP43" s="22"/>
      <c r="AQ43" s="65" t="s">
        <v>179</v>
      </c>
      <c r="AR43" s="65" t="s">
        <v>183</v>
      </c>
      <c r="AS43" s="65" t="s">
        <v>179</v>
      </c>
      <c r="AT43" s="65" t="s">
        <v>183</v>
      </c>
      <c r="AU43" s="65" t="s">
        <v>183</v>
      </c>
      <c r="AV43" s="65" t="s">
        <v>183</v>
      </c>
      <c r="AW43" s="22"/>
      <c r="AX43" s="65" t="s">
        <v>179</v>
      </c>
      <c r="AY43" s="65" t="s">
        <v>183</v>
      </c>
      <c r="AZ43" s="65" t="s">
        <v>179</v>
      </c>
      <c r="BA43" s="65" t="s">
        <v>179</v>
      </c>
      <c r="BB43" s="65" t="s">
        <v>183</v>
      </c>
      <c r="BC43" s="65" t="s">
        <v>179</v>
      </c>
      <c r="BD43" s="22"/>
      <c r="BE43" s="65" t="s">
        <v>179</v>
      </c>
      <c r="BF43" s="65" t="s">
        <v>179</v>
      </c>
      <c r="BG43" s="65" t="s">
        <v>183</v>
      </c>
      <c r="BH43" s="65" t="s">
        <v>183</v>
      </c>
      <c r="BI43" s="65" t="s">
        <v>183</v>
      </c>
      <c r="BJ43" s="65" t="s">
        <v>183</v>
      </c>
      <c r="BK43" s="22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</row>
    <row r="44">
      <c r="A44" s="31">
        <v>41.0</v>
      </c>
      <c r="B44" s="32" t="s">
        <v>593</v>
      </c>
      <c r="C44" s="32" t="s">
        <v>595</v>
      </c>
      <c r="D44" s="55">
        <f t="shared" si="2"/>
        <v>37</v>
      </c>
      <c r="E44" s="55">
        <f t="shared" si="3"/>
        <v>11</v>
      </c>
      <c r="F44" s="55">
        <f t="shared" si="4"/>
        <v>48</v>
      </c>
      <c r="G44" s="62">
        <f t="shared" si="5"/>
        <v>77.08333333</v>
      </c>
      <c r="H44" s="63" t="s">
        <v>179</v>
      </c>
      <c r="I44" s="63" t="s">
        <v>179</v>
      </c>
      <c r="J44" s="63" t="s">
        <v>179</v>
      </c>
      <c r="K44" s="63" t="s">
        <v>179</v>
      </c>
      <c r="L44" s="63" t="s">
        <v>179</v>
      </c>
      <c r="M44" s="63" t="s">
        <v>183</v>
      </c>
      <c r="N44" s="22"/>
      <c r="O44" s="63" t="s">
        <v>179</v>
      </c>
      <c r="P44" s="63" t="s">
        <v>179</v>
      </c>
      <c r="Q44" s="65" t="s">
        <v>179</v>
      </c>
      <c r="R44" s="65" t="s">
        <v>183</v>
      </c>
      <c r="S44" s="65" t="s">
        <v>179</v>
      </c>
      <c r="T44" s="65" t="s">
        <v>179</v>
      </c>
      <c r="U44" s="22"/>
      <c r="V44" s="63" t="s">
        <v>179</v>
      </c>
      <c r="W44" s="63" t="s">
        <v>179</v>
      </c>
      <c r="X44" s="63" t="s">
        <v>179</v>
      </c>
      <c r="Y44" s="63" t="s">
        <v>179</v>
      </c>
      <c r="Z44" s="63" t="s">
        <v>183</v>
      </c>
      <c r="AA44" s="63" t="s">
        <v>179</v>
      </c>
      <c r="AB44" s="22"/>
      <c r="AC44" s="63" t="s">
        <v>179</v>
      </c>
      <c r="AD44" s="63" t="s">
        <v>179</v>
      </c>
      <c r="AE44" s="63" t="s">
        <v>179</v>
      </c>
      <c r="AF44" s="63" t="s">
        <v>179</v>
      </c>
      <c r="AG44" s="63" t="s">
        <v>179</v>
      </c>
      <c r="AH44" s="63" t="s">
        <v>179</v>
      </c>
      <c r="AI44" s="22"/>
      <c r="AJ44" s="65" t="s">
        <v>179</v>
      </c>
      <c r="AK44" s="63" t="s">
        <v>183</v>
      </c>
      <c r="AL44" s="63" t="s">
        <v>179</v>
      </c>
      <c r="AM44" s="63" t="s">
        <v>179</v>
      </c>
      <c r="AN44" s="63" t="s">
        <v>179</v>
      </c>
      <c r="AO44" s="63" t="s">
        <v>183</v>
      </c>
      <c r="AP44" s="22"/>
      <c r="AQ44" s="65" t="s">
        <v>179</v>
      </c>
      <c r="AR44" s="65" t="s">
        <v>179</v>
      </c>
      <c r="AS44" s="65" t="s">
        <v>179</v>
      </c>
      <c r="AT44" s="65" t="s">
        <v>179</v>
      </c>
      <c r="AU44" s="65" t="s">
        <v>179</v>
      </c>
      <c r="AV44" s="65" t="s">
        <v>179</v>
      </c>
      <c r="AW44" s="22"/>
      <c r="AX44" s="65" t="s">
        <v>179</v>
      </c>
      <c r="AY44" s="65" t="s">
        <v>183</v>
      </c>
      <c r="AZ44" s="65" t="s">
        <v>179</v>
      </c>
      <c r="BA44" s="65" t="s">
        <v>179</v>
      </c>
      <c r="BB44" s="65" t="s">
        <v>183</v>
      </c>
      <c r="BC44" s="65" t="s">
        <v>179</v>
      </c>
      <c r="BD44" s="22"/>
      <c r="BE44" s="65" t="s">
        <v>179</v>
      </c>
      <c r="BF44" s="65" t="s">
        <v>179</v>
      </c>
      <c r="BG44" s="65" t="s">
        <v>183</v>
      </c>
      <c r="BH44" s="65" t="s">
        <v>183</v>
      </c>
      <c r="BI44" s="65" t="s">
        <v>183</v>
      </c>
      <c r="BJ44" s="65" t="s">
        <v>183</v>
      </c>
      <c r="BK44" s="22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</row>
    <row r="45">
      <c r="A45" s="31">
        <v>42.0</v>
      </c>
      <c r="B45" s="32" t="s">
        <v>601</v>
      </c>
      <c r="C45" s="32" t="s">
        <v>603</v>
      </c>
      <c r="D45" s="55">
        <f t="shared" si="2"/>
        <v>23</v>
      </c>
      <c r="E45" s="55">
        <f t="shared" si="3"/>
        <v>25</v>
      </c>
      <c r="F45" s="55">
        <f t="shared" si="4"/>
        <v>48</v>
      </c>
      <c r="G45" s="62">
        <f t="shared" si="5"/>
        <v>47.91666667</v>
      </c>
      <c r="H45" s="63" t="s">
        <v>179</v>
      </c>
      <c r="I45" s="63" t="s">
        <v>179</v>
      </c>
      <c r="J45" s="63" t="s">
        <v>179</v>
      </c>
      <c r="K45" s="63" t="s">
        <v>179</v>
      </c>
      <c r="L45" s="63" t="s">
        <v>179</v>
      </c>
      <c r="M45" s="63" t="s">
        <v>183</v>
      </c>
      <c r="N45" s="22"/>
      <c r="O45" s="63" t="s">
        <v>179</v>
      </c>
      <c r="P45" s="63" t="s">
        <v>179</v>
      </c>
      <c r="Q45" s="65" t="s">
        <v>179</v>
      </c>
      <c r="R45" s="65" t="s">
        <v>183</v>
      </c>
      <c r="S45" s="65" t="s">
        <v>179</v>
      </c>
      <c r="T45" s="65" t="s">
        <v>183</v>
      </c>
      <c r="U45" s="22"/>
      <c r="V45" s="63" t="s">
        <v>183</v>
      </c>
      <c r="W45" s="63" t="s">
        <v>179</v>
      </c>
      <c r="X45" s="63" t="s">
        <v>179</v>
      </c>
      <c r="Y45" s="63" t="s">
        <v>183</v>
      </c>
      <c r="Z45" s="63" t="s">
        <v>179</v>
      </c>
      <c r="AA45" s="63" t="s">
        <v>179</v>
      </c>
      <c r="AB45" s="22"/>
      <c r="AC45" s="63" t="s">
        <v>179</v>
      </c>
      <c r="AD45" s="63" t="s">
        <v>179</v>
      </c>
      <c r="AE45" s="63" t="s">
        <v>183</v>
      </c>
      <c r="AF45" s="63" t="s">
        <v>179</v>
      </c>
      <c r="AG45" s="63" t="s">
        <v>183</v>
      </c>
      <c r="AH45" s="63" t="s">
        <v>179</v>
      </c>
      <c r="AI45" s="22"/>
      <c r="AJ45" s="65" t="s">
        <v>183</v>
      </c>
      <c r="AK45" s="63" t="s">
        <v>179</v>
      </c>
      <c r="AL45" s="63" t="s">
        <v>179</v>
      </c>
      <c r="AM45" s="63" t="s">
        <v>179</v>
      </c>
      <c r="AN45" s="63" t="s">
        <v>183</v>
      </c>
      <c r="AO45" s="63" t="s">
        <v>183</v>
      </c>
      <c r="AP45" s="22"/>
      <c r="AQ45" s="65" t="s">
        <v>179</v>
      </c>
      <c r="AR45" s="65" t="s">
        <v>183</v>
      </c>
      <c r="AS45" s="65" t="s">
        <v>179</v>
      </c>
      <c r="AT45" s="65" t="s">
        <v>183</v>
      </c>
      <c r="AU45" s="65" t="s">
        <v>183</v>
      </c>
      <c r="AV45" s="65" t="s">
        <v>183</v>
      </c>
      <c r="AW45" s="22"/>
      <c r="AX45" s="65" t="s">
        <v>183</v>
      </c>
      <c r="AY45" s="65" t="s">
        <v>183</v>
      </c>
      <c r="AZ45" s="65" t="s">
        <v>183</v>
      </c>
      <c r="BA45" s="65" t="s">
        <v>183</v>
      </c>
      <c r="BB45" s="65" t="s">
        <v>183</v>
      </c>
      <c r="BC45" s="65" t="s">
        <v>183</v>
      </c>
      <c r="BD45" s="22"/>
      <c r="BE45" s="65" t="s">
        <v>183</v>
      </c>
      <c r="BF45" s="65" t="s">
        <v>179</v>
      </c>
      <c r="BG45" s="65" t="s">
        <v>183</v>
      </c>
      <c r="BH45" s="65" t="s">
        <v>183</v>
      </c>
      <c r="BI45" s="65" t="s">
        <v>183</v>
      </c>
      <c r="BJ45" s="65" t="s">
        <v>183</v>
      </c>
      <c r="BK45" s="22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</row>
    <row r="46">
      <c r="A46" s="31">
        <v>43.0</v>
      </c>
      <c r="B46" s="41" t="s">
        <v>613</v>
      </c>
      <c r="C46" s="41" t="s">
        <v>615</v>
      </c>
      <c r="D46" s="55">
        <f t="shared" si="2"/>
        <v>25</v>
      </c>
      <c r="E46" s="55">
        <f t="shared" si="3"/>
        <v>23</v>
      </c>
      <c r="F46" s="55">
        <f t="shared" si="4"/>
        <v>48</v>
      </c>
      <c r="G46" s="62">
        <f t="shared" si="5"/>
        <v>52.08333333</v>
      </c>
      <c r="H46" s="63" t="s">
        <v>183</v>
      </c>
      <c r="I46" s="63" t="s">
        <v>183</v>
      </c>
      <c r="J46" s="63" t="s">
        <v>183</v>
      </c>
      <c r="K46" s="63" t="s">
        <v>183</v>
      </c>
      <c r="L46" s="63" t="s">
        <v>183</v>
      </c>
      <c r="M46" s="63" t="s">
        <v>183</v>
      </c>
      <c r="N46" s="22"/>
      <c r="O46" s="65" t="s">
        <v>183</v>
      </c>
      <c r="P46" s="65" t="s">
        <v>183</v>
      </c>
      <c r="Q46" s="65" t="s">
        <v>183</v>
      </c>
      <c r="R46" s="35" t="s">
        <v>183</v>
      </c>
      <c r="S46" s="35" t="s">
        <v>179</v>
      </c>
      <c r="T46" s="35" t="s">
        <v>179</v>
      </c>
      <c r="U46" s="22"/>
      <c r="V46" s="73" t="s">
        <v>179</v>
      </c>
      <c r="W46" s="73" t="s">
        <v>179</v>
      </c>
      <c r="X46" s="73" t="s">
        <v>179</v>
      </c>
      <c r="Y46" s="73" t="s">
        <v>179</v>
      </c>
      <c r="Z46" s="73" t="s">
        <v>179</v>
      </c>
      <c r="AA46" s="73" t="s">
        <v>179</v>
      </c>
      <c r="AB46" s="22"/>
      <c r="AC46" s="73" t="s">
        <v>179</v>
      </c>
      <c r="AD46" s="73" t="s">
        <v>179</v>
      </c>
      <c r="AE46" s="73" t="s">
        <v>179</v>
      </c>
      <c r="AF46" s="73" t="s">
        <v>179</v>
      </c>
      <c r="AG46" s="73" t="s">
        <v>179</v>
      </c>
      <c r="AH46" s="73" t="s">
        <v>179</v>
      </c>
      <c r="AI46" s="22"/>
      <c r="AJ46" s="35" t="s">
        <v>179</v>
      </c>
      <c r="AK46" s="63" t="s">
        <v>179</v>
      </c>
      <c r="AL46" s="63" t="s">
        <v>183</v>
      </c>
      <c r="AM46" s="63" t="s">
        <v>179</v>
      </c>
      <c r="AN46" s="63" t="s">
        <v>179</v>
      </c>
      <c r="AO46" s="63" t="s">
        <v>183</v>
      </c>
      <c r="AP46" s="22"/>
      <c r="AQ46" s="35" t="s">
        <v>179</v>
      </c>
      <c r="AR46" s="35" t="s">
        <v>179</v>
      </c>
      <c r="AS46" s="35" t="s">
        <v>179</v>
      </c>
      <c r="AT46" s="35" t="s">
        <v>183</v>
      </c>
      <c r="AU46" s="35" t="s">
        <v>179</v>
      </c>
      <c r="AV46" s="35" t="s">
        <v>179</v>
      </c>
      <c r="AW46" s="22"/>
      <c r="AX46" s="35" t="s">
        <v>179</v>
      </c>
      <c r="AY46" s="35" t="s">
        <v>183</v>
      </c>
      <c r="AZ46" s="35" t="s">
        <v>183</v>
      </c>
      <c r="BA46" s="35" t="s">
        <v>183</v>
      </c>
      <c r="BB46" s="35" t="s">
        <v>179</v>
      </c>
      <c r="BC46" s="35" t="s">
        <v>183</v>
      </c>
      <c r="BD46" s="22"/>
      <c r="BE46" s="35" t="s">
        <v>183</v>
      </c>
      <c r="BF46" s="35" t="s">
        <v>183</v>
      </c>
      <c r="BG46" s="35" t="s">
        <v>183</v>
      </c>
      <c r="BH46" s="35" t="s">
        <v>183</v>
      </c>
      <c r="BI46" s="35" t="s">
        <v>183</v>
      </c>
      <c r="BJ46" s="35" t="s">
        <v>183</v>
      </c>
      <c r="BK46" s="22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</row>
    <row r="47">
      <c r="A47" s="31">
        <v>44.0</v>
      </c>
      <c r="B47" s="41" t="s">
        <v>623</v>
      </c>
      <c r="C47" s="41" t="s">
        <v>625</v>
      </c>
      <c r="D47" s="55">
        <f t="shared" si="2"/>
        <v>21</v>
      </c>
      <c r="E47" s="55">
        <f t="shared" si="3"/>
        <v>27</v>
      </c>
      <c r="F47" s="55">
        <f t="shared" si="4"/>
        <v>48</v>
      </c>
      <c r="G47" s="62">
        <f t="shared" si="5"/>
        <v>43.75</v>
      </c>
      <c r="H47" s="63" t="s">
        <v>183</v>
      </c>
      <c r="I47" s="63" t="s">
        <v>183</v>
      </c>
      <c r="J47" s="63" t="s">
        <v>183</v>
      </c>
      <c r="K47" s="63" t="s">
        <v>183</v>
      </c>
      <c r="L47" s="63" t="s">
        <v>183</v>
      </c>
      <c r="M47" s="63" t="s">
        <v>183</v>
      </c>
      <c r="N47" s="22"/>
      <c r="O47" s="65" t="s">
        <v>183</v>
      </c>
      <c r="P47" s="65" t="s">
        <v>183</v>
      </c>
      <c r="Q47" s="65" t="s">
        <v>179</v>
      </c>
      <c r="R47" s="35" t="s">
        <v>179</v>
      </c>
      <c r="S47" s="35" t="s">
        <v>179</v>
      </c>
      <c r="T47" s="35" t="s">
        <v>179</v>
      </c>
      <c r="U47" s="22"/>
      <c r="V47" s="73" t="s">
        <v>179</v>
      </c>
      <c r="W47" s="73" t="s">
        <v>179</v>
      </c>
      <c r="X47" s="73" t="s">
        <v>179</v>
      </c>
      <c r="Y47" s="73" t="s">
        <v>179</v>
      </c>
      <c r="Z47" s="73" t="s">
        <v>179</v>
      </c>
      <c r="AA47" s="73" t="s">
        <v>179</v>
      </c>
      <c r="AB47" s="22"/>
      <c r="AC47" s="73" t="s">
        <v>183</v>
      </c>
      <c r="AD47" s="73" t="s">
        <v>179</v>
      </c>
      <c r="AE47" s="73" t="s">
        <v>179</v>
      </c>
      <c r="AF47" s="73" t="s">
        <v>183</v>
      </c>
      <c r="AG47" s="73" t="s">
        <v>179</v>
      </c>
      <c r="AH47" s="73" t="s">
        <v>179</v>
      </c>
      <c r="AI47" s="22"/>
      <c r="AJ47" s="35" t="s">
        <v>183</v>
      </c>
      <c r="AK47" s="63" t="s">
        <v>179</v>
      </c>
      <c r="AL47" s="63" t="s">
        <v>183</v>
      </c>
      <c r="AM47" s="63" t="s">
        <v>179</v>
      </c>
      <c r="AN47" s="63" t="s">
        <v>183</v>
      </c>
      <c r="AO47" s="63" t="s">
        <v>183</v>
      </c>
      <c r="AP47" s="22"/>
      <c r="AQ47" s="35" t="s">
        <v>183</v>
      </c>
      <c r="AR47" s="35" t="s">
        <v>179</v>
      </c>
      <c r="AS47" s="35" t="s">
        <v>179</v>
      </c>
      <c r="AT47" s="35" t="s">
        <v>183</v>
      </c>
      <c r="AU47" s="35" t="s">
        <v>183</v>
      </c>
      <c r="AV47" s="35" t="s">
        <v>183</v>
      </c>
      <c r="AW47" s="22"/>
      <c r="AX47" s="35" t="s">
        <v>183</v>
      </c>
      <c r="AY47" s="35" t="s">
        <v>183</v>
      </c>
      <c r="AZ47" s="35" t="s">
        <v>183</v>
      </c>
      <c r="BA47" s="35" t="s">
        <v>183</v>
      </c>
      <c r="BB47" s="35" t="s">
        <v>183</v>
      </c>
      <c r="BC47" s="35" t="s">
        <v>179</v>
      </c>
      <c r="BD47" s="22"/>
      <c r="BE47" s="35" t="s">
        <v>179</v>
      </c>
      <c r="BF47" s="35" t="s">
        <v>179</v>
      </c>
      <c r="BG47" s="35" t="s">
        <v>183</v>
      </c>
      <c r="BH47" s="35" t="s">
        <v>183</v>
      </c>
      <c r="BI47" s="35" t="s">
        <v>183</v>
      </c>
      <c r="BJ47" s="35" t="s">
        <v>183</v>
      </c>
      <c r="BK47" s="22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</row>
    <row r="48">
      <c r="A48" s="31">
        <v>45.0</v>
      </c>
      <c r="B48" s="32" t="s">
        <v>628</v>
      </c>
      <c r="C48" s="32" t="s">
        <v>629</v>
      </c>
      <c r="D48" s="55">
        <f t="shared" si="2"/>
        <v>36</v>
      </c>
      <c r="E48" s="55">
        <f t="shared" si="3"/>
        <v>12</v>
      </c>
      <c r="F48" s="55">
        <f t="shared" si="4"/>
        <v>48</v>
      </c>
      <c r="G48" s="62">
        <f t="shared" si="5"/>
        <v>75</v>
      </c>
      <c r="H48" s="63" t="s">
        <v>179</v>
      </c>
      <c r="I48" s="63" t="s">
        <v>179</v>
      </c>
      <c r="J48" s="63" t="s">
        <v>179</v>
      </c>
      <c r="K48" s="63" t="s">
        <v>179</v>
      </c>
      <c r="L48" s="63" t="s">
        <v>179</v>
      </c>
      <c r="M48" s="63" t="s">
        <v>179</v>
      </c>
      <c r="N48" s="22"/>
      <c r="O48" s="63" t="s">
        <v>179</v>
      </c>
      <c r="P48" s="63" t="s">
        <v>179</v>
      </c>
      <c r="Q48" s="65" t="s">
        <v>179</v>
      </c>
      <c r="R48" s="65" t="s">
        <v>183</v>
      </c>
      <c r="S48" s="65" t="s">
        <v>183</v>
      </c>
      <c r="T48" s="65" t="s">
        <v>179</v>
      </c>
      <c r="U48" s="22"/>
      <c r="V48" s="63" t="s">
        <v>179</v>
      </c>
      <c r="W48" s="63" t="s">
        <v>179</v>
      </c>
      <c r="X48" s="63" t="s">
        <v>179</v>
      </c>
      <c r="Y48" s="63" t="s">
        <v>179</v>
      </c>
      <c r="Z48" s="63" t="s">
        <v>179</v>
      </c>
      <c r="AA48" s="63" t="s">
        <v>179</v>
      </c>
      <c r="AB48" s="22"/>
      <c r="AC48" s="63" t="s">
        <v>179</v>
      </c>
      <c r="AD48" s="63" t="s">
        <v>179</v>
      </c>
      <c r="AE48" s="63" t="s">
        <v>179</v>
      </c>
      <c r="AF48" s="63" t="s">
        <v>179</v>
      </c>
      <c r="AG48" s="63" t="s">
        <v>183</v>
      </c>
      <c r="AH48" s="63" t="s">
        <v>179</v>
      </c>
      <c r="AI48" s="22"/>
      <c r="AJ48" s="65" t="s">
        <v>179</v>
      </c>
      <c r="AK48" s="63" t="s">
        <v>179</v>
      </c>
      <c r="AL48" s="63" t="s">
        <v>179</v>
      </c>
      <c r="AM48" s="63" t="s">
        <v>179</v>
      </c>
      <c r="AN48" s="63" t="s">
        <v>179</v>
      </c>
      <c r="AO48" s="63" t="s">
        <v>179</v>
      </c>
      <c r="AP48" s="22"/>
      <c r="AQ48" s="65" t="s">
        <v>183</v>
      </c>
      <c r="AR48" s="65" t="s">
        <v>179</v>
      </c>
      <c r="AS48" s="65" t="s">
        <v>183</v>
      </c>
      <c r="AT48" s="65" t="s">
        <v>179</v>
      </c>
      <c r="AU48" s="65" t="s">
        <v>179</v>
      </c>
      <c r="AV48" s="65" t="s">
        <v>179</v>
      </c>
      <c r="AW48" s="22"/>
      <c r="AX48" s="65" t="s">
        <v>179</v>
      </c>
      <c r="AY48" s="65" t="s">
        <v>179</v>
      </c>
      <c r="AZ48" s="65" t="s">
        <v>183</v>
      </c>
      <c r="BA48" s="65" t="s">
        <v>183</v>
      </c>
      <c r="BB48" s="65" t="s">
        <v>179</v>
      </c>
      <c r="BC48" s="65" t="s">
        <v>183</v>
      </c>
      <c r="BD48" s="22"/>
      <c r="BE48" s="65" t="s">
        <v>179</v>
      </c>
      <c r="BF48" s="65" t="s">
        <v>179</v>
      </c>
      <c r="BG48" s="65" t="s">
        <v>183</v>
      </c>
      <c r="BH48" s="65" t="s">
        <v>183</v>
      </c>
      <c r="BI48" s="65" t="s">
        <v>183</v>
      </c>
      <c r="BJ48" s="65" t="s">
        <v>183</v>
      </c>
      <c r="BK48" s="22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</row>
    <row r="49">
      <c r="A49" s="31">
        <v>46.0</v>
      </c>
      <c r="B49" s="32" t="s">
        <v>630</v>
      </c>
      <c r="C49" s="32" t="s">
        <v>631</v>
      </c>
      <c r="D49" s="55">
        <f t="shared" si="2"/>
        <v>28</v>
      </c>
      <c r="E49" s="55">
        <f t="shared" si="3"/>
        <v>20</v>
      </c>
      <c r="F49" s="55">
        <f t="shared" si="4"/>
        <v>48</v>
      </c>
      <c r="G49" s="62">
        <f t="shared" si="5"/>
        <v>58.33333333</v>
      </c>
      <c r="H49" s="63" t="s">
        <v>183</v>
      </c>
      <c r="I49" s="63" t="s">
        <v>183</v>
      </c>
      <c r="J49" s="63" t="s">
        <v>183</v>
      </c>
      <c r="K49" s="63" t="s">
        <v>183</v>
      </c>
      <c r="L49" s="63" t="s">
        <v>179</v>
      </c>
      <c r="M49" s="63" t="s">
        <v>179</v>
      </c>
      <c r="N49" s="22"/>
      <c r="O49" s="63" t="s">
        <v>179</v>
      </c>
      <c r="P49" s="63" t="s">
        <v>179</v>
      </c>
      <c r="Q49" s="65" t="s">
        <v>179</v>
      </c>
      <c r="R49" s="65" t="s">
        <v>183</v>
      </c>
      <c r="S49" s="65" t="s">
        <v>179</v>
      </c>
      <c r="T49" s="65" t="s">
        <v>179</v>
      </c>
      <c r="U49" s="22"/>
      <c r="V49" s="63" t="s">
        <v>183</v>
      </c>
      <c r="W49" s="63" t="s">
        <v>179</v>
      </c>
      <c r="X49" s="63" t="s">
        <v>179</v>
      </c>
      <c r="Y49" s="63" t="s">
        <v>179</v>
      </c>
      <c r="Z49" s="63" t="s">
        <v>179</v>
      </c>
      <c r="AA49" s="63" t="s">
        <v>179</v>
      </c>
      <c r="AB49" s="22"/>
      <c r="AC49" s="63" t="s">
        <v>179</v>
      </c>
      <c r="AD49" s="63" t="s">
        <v>183</v>
      </c>
      <c r="AE49" s="63" t="s">
        <v>183</v>
      </c>
      <c r="AF49" s="63" t="s">
        <v>179</v>
      </c>
      <c r="AG49" s="63" t="s">
        <v>183</v>
      </c>
      <c r="AH49" s="63" t="s">
        <v>179</v>
      </c>
      <c r="AI49" s="22"/>
      <c r="AJ49" s="65" t="s">
        <v>183</v>
      </c>
      <c r="AK49" s="63" t="s">
        <v>183</v>
      </c>
      <c r="AL49" s="63" t="s">
        <v>183</v>
      </c>
      <c r="AM49" s="63" t="s">
        <v>183</v>
      </c>
      <c r="AN49" s="63" t="s">
        <v>183</v>
      </c>
      <c r="AO49" s="63" t="s">
        <v>179</v>
      </c>
      <c r="AP49" s="22"/>
      <c r="AQ49" s="65" t="s">
        <v>183</v>
      </c>
      <c r="AR49" s="65" t="s">
        <v>179</v>
      </c>
      <c r="AS49" s="65" t="s">
        <v>183</v>
      </c>
      <c r="AT49" s="65" t="s">
        <v>179</v>
      </c>
      <c r="AU49" s="65" t="s">
        <v>179</v>
      </c>
      <c r="AV49" s="65" t="s">
        <v>179</v>
      </c>
      <c r="AW49" s="22"/>
      <c r="AX49" s="65" t="s">
        <v>179</v>
      </c>
      <c r="AY49" s="65" t="s">
        <v>179</v>
      </c>
      <c r="AZ49" s="65" t="s">
        <v>179</v>
      </c>
      <c r="BA49" s="65" t="s">
        <v>179</v>
      </c>
      <c r="BB49" s="65" t="s">
        <v>179</v>
      </c>
      <c r="BC49" s="65" t="s">
        <v>179</v>
      </c>
      <c r="BD49" s="22"/>
      <c r="BE49" s="65" t="s">
        <v>179</v>
      </c>
      <c r="BF49" s="65" t="s">
        <v>183</v>
      </c>
      <c r="BG49" s="65" t="s">
        <v>183</v>
      </c>
      <c r="BH49" s="65" t="s">
        <v>183</v>
      </c>
      <c r="BI49" s="65" t="s">
        <v>179</v>
      </c>
      <c r="BJ49" s="65" t="s">
        <v>183</v>
      </c>
      <c r="BK49" s="22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</row>
    <row r="50">
      <c r="A50" s="31">
        <v>47.0</v>
      </c>
      <c r="B50" s="32" t="s">
        <v>632</v>
      </c>
      <c r="C50" s="32" t="s">
        <v>633</v>
      </c>
      <c r="D50" s="55">
        <f t="shared" si="2"/>
        <v>35</v>
      </c>
      <c r="E50" s="55">
        <f t="shared" si="3"/>
        <v>13</v>
      </c>
      <c r="F50" s="55">
        <f t="shared" si="4"/>
        <v>48</v>
      </c>
      <c r="G50" s="62">
        <f t="shared" si="5"/>
        <v>72.91666667</v>
      </c>
      <c r="H50" s="63" t="s">
        <v>179</v>
      </c>
      <c r="I50" s="63" t="s">
        <v>179</v>
      </c>
      <c r="J50" s="63" t="s">
        <v>179</v>
      </c>
      <c r="K50" s="63" t="s">
        <v>179</v>
      </c>
      <c r="L50" s="63" t="s">
        <v>179</v>
      </c>
      <c r="M50" s="63" t="s">
        <v>179</v>
      </c>
      <c r="N50" s="22"/>
      <c r="O50" s="63" t="s">
        <v>179</v>
      </c>
      <c r="P50" s="63" t="s">
        <v>179</v>
      </c>
      <c r="Q50" s="65" t="s">
        <v>179</v>
      </c>
      <c r="R50" s="65" t="s">
        <v>179</v>
      </c>
      <c r="S50" s="65" t="s">
        <v>179</v>
      </c>
      <c r="T50" s="65" t="s">
        <v>179</v>
      </c>
      <c r="U50" s="22"/>
      <c r="V50" s="63" t="s">
        <v>183</v>
      </c>
      <c r="W50" s="63" t="s">
        <v>183</v>
      </c>
      <c r="X50" s="63" t="s">
        <v>179</v>
      </c>
      <c r="Y50" s="63" t="s">
        <v>183</v>
      </c>
      <c r="Z50" s="63" t="s">
        <v>179</v>
      </c>
      <c r="AA50" s="63" t="s">
        <v>183</v>
      </c>
      <c r="AB50" s="22"/>
      <c r="AC50" s="63" t="s">
        <v>179</v>
      </c>
      <c r="AD50" s="63" t="s">
        <v>179</v>
      </c>
      <c r="AE50" s="63" t="s">
        <v>179</v>
      </c>
      <c r="AF50" s="63" t="s">
        <v>179</v>
      </c>
      <c r="AG50" s="63" t="s">
        <v>179</v>
      </c>
      <c r="AH50" s="63" t="s">
        <v>179</v>
      </c>
      <c r="AI50" s="22"/>
      <c r="AJ50" s="65" t="s">
        <v>179</v>
      </c>
      <c r="AK50" s="63" t="s">
        <v>179</v>
      </c>
      <c r="AL50" s="63" t="s">
        <v>179</v>
      </c>
      <c r="AM50" s="63" t="s">
        <v>179</v>
      </c>
      <c r="AN50" s="63" t="s">
        <v>183</v>
      </c>
      <c r="AO50" s="63" t="s">
        <v>183</v>
      </c>
      <c r="AP50" s="22"/>
      <c r="AQ50" s="65" t="s">
        <v>183</v>
      </c>
      <c r="AR50" s="65" t="s">
        <v>183</v>
      </c>
      <c r="AS50" s="65" t="s">
        <v>179</v>
      </c>
      <c r="AT50" s="65" t="s">
        <v>179</v>
      </c>
      <c r="AU50" s="65" t="s">
        <v>179</v>
      </c>
      <c r="AV50" s="65" t="s">
        <v>179</v>
      </c>
      <c r="AW50" s="22"/>
      <c r="AX50" s="65" t="s">
        <v>179</v>
      </c>
      <c r="AY50" s="65" t="s">
        <v>179</v>
      </c>
      <c r="AZ50" s="65" t="s">
        <v>179</v>
      </c>
      <c r="BA50" s="65" t="s">
        <v>179</v>
      </c>
      <c r="BB50" s="65" t="s">
        <v>183</v>
      </c>
      <c r="BC50" s="65" t="s">
        <v>179</v>
      </c>
      <c r="BD50" s="22"/>
      <c r="BE50" s="65" t="s">
        <v>179</v>
      </c>
      <c r="BF50" s="65" t="s">
        <v>179</v>
      </c>
      <c r="BG50" s="65" t="s">
        <v>183</v>
      </c>
      <c r="BH50" s="65" t="s">
        <v>183</v>
      </c>
      <c r="BI50" s="65" t="s">
        <v>183</v>
      </c>
      <c r="BJ50" s="65" t="s">
        <v>183</v>
      </c>
      <c r="BK50" s="22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</row>
    <row r="51">
      <c r="A51" s="31">
        <v>48.0</v>
      </c>
      <c r="B51" s="32" t="s">
        <v>634</v>
      </c>
      <c r="C51" s="32" t="s">
        <v>635</v>
      </c>
      <c r="D51" s="55">
        <f t="shared" si="2"/>
        <v>45</v>
      </c>
      <c r="E51" s="55">
        <f t="shared" si="3"/>
        <v>3</v>
      </c>
      <c r="F51" s="55">
        <f t="shared" si="4"/>
        <v>48</v>
      </c>
      <c r="G51" s="62">
        <f t="shared" si="5"/>
        <v>93.75</v>
      </c>
      <c r="H51" s="63" t="s">
        <v>720</v>
      </c>
      <c r="I51" s="63" t="s">
        <v>720</v>
      </c>
      <c r="J51" s="63" t="s">
        <v>720</v>
      </c>
      <c r="K51" s="63" t="s">
        <v>720</v>
      </c>
      <c r="L51" s="63" t="s">
        <v>720</v>
      </c>
      <c r="M51" s="63" t="s">
        <v>720</v>
      </c>
      <c r="N51" s="22"/>
      <c r="O51" s="63" t="s">
        <v>179</v>
      </c>
      <c r="P51" s="63" t="s">
        <v>720</v>
      </c>
      <c r="Q51" s="65" t="s">
        <v>720</v>
      </c>
      <c r="R51" s="65" t="s">
        <v>179</v>
      </c>
      <c r="S51" s="65" t="s">
        <v>720</v>
      </c>
      <c r="T51" s="65" t="s">
        <v>179</v>
      </c>
      <c r="U51" s="22"/>
      <c r="V51" s="63" t="s">
        <v>183</v>
      </c>
      <c r="W51" s="63" t="s">
        <v>720</v>
      </c>
      <c r="X51" s="63" t="s">
        <v>179</v>
      </c>
      <c r="Y51" s="63" t="s">
        <v>720</v>
      </c>
      <c r="Z51" s="63" t="s">
        <v>720</v>
      </c>
      <c r="AA51" s="63" t="s">
        <v>179</v>
      </c>
      <c r="AB51" s="22"/>
      <c r="AC51" s="63" t="s">
        <v>720</v>
      </c>
      <c r="AD51" s="63" t="s">
        <v>179</v>
      </c>
      <c r="AE51" s="63" t="s">
        <v>179</v>
      </c>
      <c r="AF51" s="63" t="s">
        <v>179</v>
      </c>
      <c r="AG51" s="63" t="s">
        <v>720</v>
      </c>
      <c r="AH51" s="63" t="s">
        <v>179</v>
      </c>
      <c r="AI51" s="22"/>
      <c r="AJ51" s="65" t="s">
        <v>179</v>
      </c>
      <c r="AK51" s="63" t="s">
        <v>179</v>
      </c>
      <c r="AL51" s="63" t="s">
        <v>179</v>
      </c>
      <c r="AM51" s="63" t="s">
        <v>720</v>
      </c>
      <c r="AN51" s="63" t="s">
        <v>179</v>
      </c>
      <c r="AO51" s="63" t="s">
        <v>179</v>
      </c>
      <c r="AP51" s="22"/>
      <c r="AQ51" s="65" t="s">
        <v>179</v>
      </c>
      <c r="AR51" s="65" t="s">
        <v>179</v>
      </c>
      <c r="AS51" s="65" t="s">
        <v>179</v>
      </c>
      <c r="AT51" s="65" t="s">
        <v>179</v>
      </c>
      <c r="AU51" s="65" t="s">
        <v>179</v>
      </c>
      <c r="AV51" s="65" t="s">
        <v>179</v>
      </c>
      <c r="AW51" s="22"/>
      <c r="AX51" s="65" t="s">
        <v>179</v>
      </c>
      <c r="AY51" s="65" t="s">
        <v>179</v>
      </c>
      <c r="AZ51" s="65" t="s">
        <v>179</v>
      </c>
      <c r="BA51" s="65" t="s">
        <v>179</v>
      </c>
      <c r="BB51" s="65" t="s">
        <v>179</v>
      </c>
      <c r="BC51" s="65" t="s">
        <v>179</v>
      </c>
      <c r="BD51" s="22"/>
      <c r="BE51" s="65" t="s">
        <v>183</v>
      </c>
      <c r="BF51" s="65" t="s">
        <v>179</v>
      </c>
      <c r="BG51" s="65" t="s">
        <v>179</v>
      </c>
      <c r="BH51" s="65" t="s">
        <v>179</v>
      </c>
      <c r="BI51" s="65" t="s">
        <v>183</v>
      </c>
      <c r="BJ51" s="65" t="s">
        <v>179</v>
      </c>
      <c r="BK51" s="22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</row>
    <row r="52">
      <c r="A52" s="31">
        <v>49.0</v>
      </c>
      <c r="B52" s="32" t="s">
        <v>636</v>
      </c>
      <c r="C52" s="32" t="s">
        <v>637</v>
      </c>
      <c r="D52" s="55">
        <f t="shared" si="2"/>
        <v>29</v>
      </c>
      <c r="E52" s="55">
        <f t="shared" si="3"/>
        <v>19</v>
      </c>
      <c r="F52" s="55">
        <f t="shared" si="4"/>
        <v>48</v>
      </c>
      <c r="G52" s="62">
        <f t="shared" si="5"/>
        <v>60.41666667</v>
      </c>
      <c r="H52" s="63" t="s">
        <v>720</v>
      </c>
      <c r="I52" s="63" t="s">
        <v>179</v>
      </c>
      <c r="J52" s="63" t="s">
        <v>179</v>
      </c>
      <c r="K52" s="63" t="s">
        <v>179</v>
      </c>
      <c r="L52" s="63" t="s">
        <v>720</v>
      </c>
      <c r="M52" s="63" t="s">
        <v>720</v>
      </c>
      <c r="N52" s="22"/>
      <c r="O52" s="63" t="s">
        <v>720</v>
      </c>
      <c r="P52" s="63" t="s">
        <v>179</v>
      </c>
      <c r="Q52" s="65" t="s">
        <v>179</v>
      </c>
      <c r="R52" s="65" t="s">
        <v>179</v>
      </c>
      <c r="S52" s="65" t="s">
        <v>183</v>
      </c>
      <c r="T52" s="65" t="s">
        <v>183</v>
      </c>
      <c r="U52" s="22"/>
      <c r="V52" s="63" t="s">
        <v>183</v>
      </c>
      <c r="W52" s="63" t="s">
        <v>720</v>
      </c>
      <c r="X52" s="63" t="s">
        <v>179</v>
      </c>
      <c r="Y52" s="63" t="s">
        <v>179</v>
      </c>
      <c r="Z52" s="63" t="s">
        <v>179</v>
      </c>
      <c r="AA52" s="63" t="s">
        <v>179</v>
      </c>
      <c r="AB52" s="22"/>
      <c r="AC52" s="63" t="s">
        <v>179</v>
      </c>
      <c r="AD52" s="63" t="s">
        <v>179</v>
      </c>
      <c r="AE52" s="63" t="s">
        <v>179</v>
      </c>
      <c r="AF52" s="63" t="s">
        <v>179</v>
      </c>
      <c r="AG52" s="63" t="s">
        <v>179</v>
      </c>
      <c r="AH52" s="63" t="s">
        <v>179</v>
      </c>
      <c r="AI52" s="22"/>
      <c r="AJ52" s="65" t="s">
        <v>183</v>
      </c>
      <c r="AK52" s="63" t="s">
        <v>179</v>
      </c>
      <c r="AL52" s="63" t="s">
        <v>179</v>
      </c>
      <c r="AM52" s="63" t="s">
        <v>179</v>
      </c>
      <c r="AN52" s="63" t="s">
        <v>179</v>
      </c>
      <c r="AO52" s="63" t="s">
        <v>183</v>
      </c>
      <c r="AP52" s="22"/>
      <c r="AQ52" s="65" t="s">
        <v>183</v>
      </c>
      <c r="AR52" s="65" t="s">
        <v>183</v>
      </c>
      <c r="AS52" s="65" t="s">
        <v>179</v>
      </c>
      <c r="AT52" s="65" t="s">
        <v>183</v>
      </c>
      <c r="AU52" s="65" t="s">
        <v>179</v>
      </c>
      <c r="AV52" s="65" t="s">
        <v>179</v>
      </c>
      <c r="AW52" s="22"/>
      <c r="AX52" s="65" t="s">
        <v>183</v>
      </c>
      <c r="AY52" s="65" t="s">
        <v>183</v>
      </c>
      <c r="AZ52" s="65" t="s">
        <v>179</v>
      </c>
      <c r="BA52" s="65" t="s">
        <v>183</v>
      </c>
      <c r="BB52" s="65" t="s">
        <v>183</v>
      </c>
      <c r="BC52" s="65" t="s">
        <v>183</v>
      </c>
      <c r="BD52" s="22"/>
      <c r="BE52" s="65" t="s">
        <v>183</v>
      </c>
      <c r="BF52" s="65" t="s">
        <v>183</v>
      </c>
      <c r="BG52" s="65" t="s">
        <v>183</v>
      </c>
      <c r="BH52" s="65" t="s">
        <v>183</v>
      </c>
      <c r="BI52" s="65" t="s">
        <v>183</v>
      </c>
      <c r="BJ52" s="65" t="s">
        <v>183</v>
      </c>
      <c r="BK52" s="22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</row>
    <row r="53">
      <c r="A53" s="31">
        <v>50.0</v>
      </c>
      <c r="B53" s="32" t="s">
        <v>638</v>
      </c>
      <c r="C53" s="32" t="s">
        <v>639</v>
      </c>
      <c r="D53" s="55">
        <f t="shared" si="2"/>
        <v>43</v>
      </c>
      <c r="E53" s="55">
        <f t="shared" si="3"/>
        <v>5</v>
      </c>
      <c r="F53" s="55">
        <f t="shared" si="4"/>
        <v>48</v>
      </c>
      <c r="G53" s="62">
        <f t="shared" si="5"/>
        <v>89.58333333</v>
      </c>
      <c r="H53" s="63" t="s">
        <v>720</v>
      </c>
      <c r="I53" s="63" t="s">
        <v>720</v>
      </c>
      <c r="J53" s="63" t="s">
        <v>720</v>
      </c>
      <c r="K53" s="63" t="s">
        <v>720</v>
      </c>
      <c r="L53" s="63" t="s">
        <v>720</v>
      </c>
      <c r="M53" s="63" t="s">
        <v>720</v>
      </c>
      <c r="N53" s="22"/>
      <c r="O53" s="63" t="s">
        <v>720</v>
      </c>
      <c r="P53" s="63" t="s">
        <v>720</v>
      </c>
      <c r="Q53" s="65" t="s">
        <v>720</v>
      </c>
      <c r="R53" s="65" t="s">
        <v>179</v>
      </c>
      <c r="S53" s="65" t="s">
        <v>720</v>
      </c>
      <c r="T53" s="65" t="s">
        <v>179</v>
      </c>
      <c r="U53" s="22"/>
      <c r="V53" s="63" t="s">
        <v>183</v>
      </c>
      <c r="W53" s="63" t="s">
        <v>720</v>
      </c>
      <c r="X53" s="63" t="s">
        <v>720</v>
      </c>
      <c r="Y53" s="63" t="s">
        <v>720</v>
      </c>
      <c r="Z53" s="63" t="s">
        <v>720</v>
      </c>
      <c r="AA53" s="63" t="s">
        <v>179</v>
      </c>
      <c r="AB53" s="22"/>
      <c r="AC53" s="63" t="s">
        <v>720</v>
      </c>
      <c r="AD53" s="63" t="s">
        <v>179</v>
      </c>
      <c r="AE53" s="63" t="s">
        <v>179</v>
      </c>
      <c r="AF53" s="63" t="s">
        <v>179</v>
      </c>
      <c r="AG53" s="63" t="s">
        <v>720</v>
      </c>
      <c r="AH53" s="63" t="s">
        <v>179</v>
      </c>
      <c r="AI53" s="22"/>
      <c r="AJ53" s="65" t="s">
        <v>179</v>
      </c>
      <c r="AK53" s="63" t="s">
        <v>179</v>
      </c>
      <c r="AL53" s="63" t="s">
        <v>179</v>
      </c>
      <c r="AM53" s="63" t="s">
        <v>720</v>
      </c>
      <c r="AN53" s="63" t="s">
        <v>183</v>
      </c>
      <c r="AO53" s="63" t="s">
        <v>179</v>
      </c>
      <c r="AP53" s="22"/>
      <c r="AQ53" s="65" t="s">
        <v>179</v>
      </c>
      <c r="AR53" s="65" t="s">
        <v>179</v>
      </c>
      <c r="AS53" s="65" t="s">
        <v>179</v>
      </c>
      <c r="AT53" s="65" t="s">
        <v>183</v>
      </c>
      <c r="AU53" s="65" t="s">
        <v>179</v>
      </c>
      <c r="AV53" s="65" t="s">
        <v>179</v>
      </c>
      <c r="AW53" s="22"/>
      <c r="AX53" s="65" t="s">
        <v>179</v>
      </c>
      <c r="AY53" s="65" t="s">
        <v>179</v>
      </c>
      <c r="AZ53" s="65" t="s">
        <v>179</v>
      </c>
      <c r="BA53" s="65" t="s">
        <v>179</v>
      </c>
      <c r="BB53" s="65" t="s">
        <v>179</v>
      </c>
      <c r="BC53" s="65" t="s">
        <v>179</v>
      </c>
      <c r="BD53" s="22"/>
      <c r="BE53" s="65" t="s">
        <v>179</v>
      </c>
      <c r="BF53" s="65" t="s">
        <v>183</v>
      </c>
      <c r="BG53" s="65" t="s">
        <v>179</v>
      </c>
      <c r="BH53" s="65" t="s">
        <v>179</v>
      </c>
      <c r="BI53" s="65" t="s">
        <v>179</v>
      </c>
      <c r="BJ53" s="65" t="s">
        <v>183</v>
      </c>
      <c r="BK53" s="22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</row>
    <row r="54">
      <c r="A54" s="31">
        <v>51.0</v>
      </c>
      <c r="B54" s="32" t="s">
        <v>643</v>
      </c>
      <c r="C54" s="32" t="s">
        <v>644</v>
      </c>
      <c r="D54" s="55">
        <f t="shared" si="2"/>
        <v>43</v>
      </c>
      <c r="E54" s="55">
        <f t="shared" si="3"/>
        <v>5</v>
      </c>
      <c r="F54" s="55">
        <f t="shared" si="4"/>
        <v>48</v>
      </c>
      <c r="G54" s="62">
        <f t="shared" si="5"/>
        <v>89.58333333</v>
      </c>
      <c r="H54" s="63" t="s">
        <v>179</v>
      </c>
      <c r="I54" s="63" t="s">
        <v>179</v>
      </c>
      <c r="J54" s="63" t="s">
        <v>179</v>
      </c>
      <c r="K54" s="63" t="s">
        <v>179</v>
      </c>
      <c r="L54" s="63" t="s">
        <v>179</v>
      </c>
      <c r="M54" s="63" t="s">
        <v>179</v>
      </c>
      <c r="N54" s="22"/>
      <c r="O54" s="63" t="s">
        <v>179</v>
      </c>
      <c r="P54" s="63" t="s">
        <v>179</v>
      </c>
      <c r="Q54" s="65" t="s">
        <v>179</v>
      </c>
      <c r="R54" s="65" t="s">
        <v>179</v>
      </c>
      <c r="S54" s="65" t="s">
        <v>179</v>
      </c>
      <c r="T54" s="65" t="s">
        <v>179</v>
      </c>
      <c r="U54" s="22"/>
      <c r="V54" s="63" t="s">
        <v>179</v>
      </c>
      <c r="W54" s="63" t="s">
        <v>179</v>
      </c>
      <c r="X54" s="63" t="s">
        <v>179</v>
      </c>
      <c r="Y54" s="63" t="s">
        <v>179</v>
      </c>
      <c r="Z54" s="63" t="s">
        <v>179</v>
      </c>
      <c r="AA54" s="63" t="s">
        <v>179</v>
      </c>
      <c r="AB54" s="22"/>
      <c r="AC54" s="63" t="s">
        <v>179</v>
      </c>
      <c r="AD54" s="63" t="s">
        <v>179</v>
      </c>
      <c r="AE54" s="63" t="s">
        <v>179</v>
      </c>
      <c r="AF54" s="63" t="s">
        <v>179</v>
      </c>
      <c r="AG54" s="63" t="s">
        <v>179</v>
      </c>
      <c r="AH54" s="63" t="s">
        <v>179</v>
      </c>
      <c r="AI54" s="22"/>
      <c r="AJ54" s="65" t="s">
        <v>179</v>
      </c>
      <c r="AK54" s="63" t="s">
        <v>179</v>
      </c>
      <c r="AL54" s="63" t="s">
        <v>179</v>
      </c>
      <c r="AM54" s="63" t="s">
        <v>179</v>
      </c>
      <c r="AN54" s="63" t="s">
        <v>179</v>
      </c>
      <c r="AO54" s="63" t="s">
        <v>179</v>
      </c>
      <c r="AP54" s="22"/>
      <c r="AQ54" s="65" t="s">
        <v>179</v>
      </c>
      <c r="AR54" s="65" t="s">
        <v>179</v>
      </c>
      <c r="AS54" s="65" t="s">
        <v>179</v>
      </c>
      <c r="AT54" s="65" t="s">
        <v>179</v>
      </c>
      <c r="AU54" s="65" t="s">
        <v>179</v>
      </c>
      <c r="AV54" s="65" t="s">
        <v>179</v>
      </c>
      <c r="AW54" s="22"/>
      <c r="AX54" s="65" t="s">
        <v>183</v>
      </c>
      <c r="AY54" s="65" t="s">
        <v>183</v>
      </c>
      <c r="AZ54" s="65" t="s">
        <v>183</v>
      </c>
      <c r="BA54" s="65" t="s">
        <v>183</v>
      </c>
      <c r="BB54" s="65" t="s">
        <v>179</v>
      </c>
      <c r="BC54" s="65" t="s">
        <v>179</v>
      </c>
      <c r="BD54" s="22"/>
      <c r="BE54" s="65" t="s">
        <v>179</v>
      </c>
      <c r="BF54" s="65" t="s">
        <v>179</v>
      </c>
      <c r="BG54" s="65" t="s">
        <v>179</v>
      </c>
      <c r="BH54" s="65" t="s">
        <v>179</v>
      </c>
      <c r="BI54" s="65" t="s">
        <v>183</v>
      </c>
      <c r="BJ54" s="65" t="s">
        <v>179</v>
      </c>
      <c r="BK54" s="22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</row>
    <row r="55">
      <c r="A55" s="31">
        <v>52.0</v>
      </c>
      <c r="B55" s="32" t="s">
        <v>646</v>
      </c>
      <c r="C55" s="32" t="s">
        <v>647</v>
      </c>
      <c r="D55" s="55">
        <f t="shared" si="2"/>
        <v>28</v>
      </c>
      <c r="E55" s="55">
        <f t="shared" si="3"/>
        <v>20</v>
      </c>
      <c r="F55" s="55">
        <f t="shared" si="4"/>
        <v>48</v>
      </c>
      <c r="G55" s="62">
        <f t="shared" si="5"/>
        <v>58.33333333</v>
      </c>
      <c r="H55" s="63" t="s">
        <v>179</v>
      </c>
      <c r="I55" s="63" t="s">
        <v>720</v>
      </c>
      <c r="J55" s="63" t="s">
        <v>720</v>
      </c>
      <c r="K55" s="63" t="s">
        <v>720</v>
      </c>
      <c r="L55" s="63" t="s">
        <v>720</v>
      </c>
      <c r="M55" s="63" t="s">
        <v>720</v>
      </c>
      <c r="N55" s="22"/>
      <c r="O55" s="63" t="s">
        <v>720</v>
      </c>
      <c r="P55" s="63" t="s">
        <v>720</v>
      </c>
      <c r="Q55" s="65" t="s">
        <v>720</v>
      </c>
      <c r="R55" s="65" t="s">
        <v>179</v>
      </c>
      <c r="S55" s="65" t="s">
        <v>720</v>
      </c>
      <c r="T55" s="65" t="s">
        <v>720</v>
      </c>
      <c r="U55" s="22"/>
      <c r="V55" s="63" t="s">
        <v>183</v>
      </c>
      <c r="W55" s="63" t="s">
        <v>720</v>
      </c>
      <c r="X55" s="63" t="s">
        <v>179</v>
      </c>
      <c r="Y55" s="63" t="s">
        <v>179</v>
      </c>
      <c r="Z55" s="63" t="s">
        <v>720</v>
      </c>
      <c r="AA55" s="63" t="s">
        <v>179</v>
      </c>
      <c r="AB55" s="22"/>
      <c r="AC55" s="63" t="s">
        <v>179</v>
      </c>
      <c r="AD55" s="63" t="s">
        <v>720</v>
      </c>
      <c r="AE55" s="63" t="s">
        <v>179</v>
      </c>
      <c r="AF55" s="63" t="s">
        <v>183</v>
      </c>
      <c r="AG55" s="63" t="s">
        <v>179</v>
      </c>
      <c r="AH55" s="63" t="s">
        <v>179</v>
      </c>
      <c r="AI55" s="22"/>
      <c r="AJ55" s="65" t="s">
        <v>183</v>
      </c>
      <c r="AK55" s="63" t="s">
        <v>179</v>
      </c>
      <c r="AL55" s="63" t="s">
        <v>179</v>
      </c>
      <c r="AM55" s="63" t="s">
        <v>183</v>
      </c>
      <c r="AN55" s="63" t="s">
        <v>183</v>
      </c>
      <c r="AO55" s="119" t="s">
        <v>183</v>
      </c>
      <c r="AP55" s="22"/>
      <c r="AQ55" s="65" t="s">
        <v>179</v>
      </c>
      <c r="AR55" s="65" t="s">
        <v>179</v>
      </c>
      <c r="AS55" s="65" t="s">
        <v>179</v>
      </c>
      <c r="AT55" s="65" t="s">
        <v>183</v>
      </c>
      <c r="AU55" s="65" t="s">
        <v>179</v>
      </c>
      <c r="AV55" s="65" t="s">
        <v>183</v>
      </c>
      <c r="AW55" s="22"/>
      <c r="AX55" s="65" t="s">
        <v>183</v>
      </c>
      <c r="AY55" s="65" t="s">
        <v>183</v>
      </c>
      <c r="AZ55" s="65" t="s">
        <v>183</v>
      </c>
      <c r="BA55" s="65" t="s">
        <v>183</v>
      </c>
      <c r="BB55" s="65" t="s">
        <v>183</v>
      </c>
      <c r="BC55" s="65" t="s">
        <v>183</v>
      </c>
      <c r="BD55" s="22"/>
      <c r="BE55" s="65" t="s">
        <v>183</v>
      </c>
      <c r="BF55" s="65" t="s">
        <v>183</v>
      </c>
      <c r="BG55" s="65" t="s">
        <v>183</v>
      </c>
      <c r="BH55" s="65" t="s">
        <v>183</v>
      </c>
      <c r="BI55" s="65" t="s">
        <v>183</v>
      </c>
      <c r="BJ55" s="65" t="s">
        <v>183</v>
      </c>
      <c r="BK55" s="22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</row>
    <row r="56">
      <c r="A56" s="31">
        <v>53.0</v>
      </c>
      <c r="B56" s="32" t="s">
        <v>650</v>
      </c>
      <c r="C56" s="79" t="s">
        <v>651</v>
      </c>
      <c r="D56" s="55">
        <f t="shared" si="2"/>
        <v>31</v>
      </c>
      <c r="E56" s="55">
        <f t="shared" si="3"/>
        <v>17</v>
      </c>
      <c r="F56" s="55">
        <f t="shared" si="4"/>
        <v>48</v>
      </c>
      <c r="G56" s="62">
        <f t="shared" si="5"/>
        <v>64.58333333</v>
      </c>
      <c r="H56" s="63" t="s">
        <v>179</v>
      </c>
      <c r="I56" s="63" t="s">
        <v>179</v>
      </c>
      <c r="J56" s="63" t="s">
        <v>179</v>
      </c>
      <c r="K56" s="63" t="s">
        <v>183</v>
      </c>
      <c r="L56" s="63" t="s">
        <v>183</v>
      </c>
      <c r="M56" s="63" t="s">
        <v>179</v>
      </c>
      <c r="N56" s="22"/>
      <c r="O56" s="63" t="s">
        <v>179</v>
      </c>
      <c r="P56" s="63" t="s">
        <v>179</v>
      </c>
      <c r="Q56" s="65" t="s">
        <v>179</v>
      </c>
      <c r="R56" s="65" t="s">
        <v>179</v>
      </c>
      <c r="S56" s="65" t="s">
        <v>179</v>
      </c>
      <c r="T56" s="65" t="s">
        <v>179</v>
      </c>
      <c r="U56" s="22"/>
      <c r="V56" s="63" t="s">
        <v>183</v>
      </c>
      <c r="W56" s="63" t="s">
        <v>179</v>
      </c>
      <c r="X56" s="63" t="s">
        <v>179</v>
      </c>
      <c r="Y56" s="63" t="s">
        <v>179</v>
      </c>
      <c r="Z56" s="63" t="s">
        <v>179</v>
      </c>
      <c r="AA56" s="63" t="s">
        <v>179</v>
      </c>
      <c r="AB56" s="22"/>
      <c r="AC56" s="63" t="s">
        <v>179</v>
      </c>
      <c r="AD56" s="63" t="s">
        <v>179</v>
      </c>
      <c r="AE56" s="63" t="s">
        <v>179</v>
      </c>
      <c r="AF56" s="63" t="s">
        <v>179</v>
      </c>
      <c r="AG56" s="63" t="s">
        <v>179</v>
      </c>
      <c r="AH56" s="63" t="s">
        <v>179</v>
      </c>
      <c r="AI56" s="22"/>
      <c r="AJ56" s="65" t="s">
        <v>183</v>
      </c>
      <c r="AK56" s="63" t="s">
        <v>179</v>
      </c>
      <c r="AL56" s="63" t="s">
        <v>179</v>
      </c>
      <c r="AM56" s="63" t="s">
        <v>179</v>
      </c>
      <c r="AN56" s="63" t="s">
        <v>179</v>
      </c>
      <c r="AO56" s="63" t="s">
        <v>183</v>
      </c>
      <c r="AP56" s="22"/>
      <c r="AQ56" s="65" t="s">
        <v>183</v>
      </c>
      <c r="AR56" s="65" t="s">
        <v>183</v>
      </c>
      <c r="AS56" s="65" t="s">
        <v>179</v>
      </c>
      <c r="AT56" s="65" t="s">
        <v>179</v>
      </c>
      <c r="AU56" s="65" t="s">
        <v>179</v>
      </c>
      <c r="AV56" s="65" t="s">
        <v>183</v>
      </c>
      <c r="AW56" s="22"/>
      <c r="AX56" s="65" t="s">
        <v>183</v>
      </c>
      <c r="AY56" s="65" t="s">
        <v>183</v>
      </c>
      <c r="AZ56" s="65" t="s">
        <v>183</v>
      </c>
      <c r="BA56" s="65" t="s">
        <v>183</v>
      </c>
      <c r="BB56" s="65" t="s">
        <v>183</v>
      </c>
      <c r="BC56" s="65" t="s">
        <v>183</v>
      </c>
      <c r="BD56" s="22"/>
      <c r="BE56" s="65" t="s">
        <v>179</v>
      </c>
      <c r="BF56" s="65" t="s">
        <v>183</v>
      </c>
      <c r="BG56" s="65" t="s">
        <v>183</v>
      </c>
      <c r="BH56" s="65" t="s">
        <v>179</v>
      </c>
      <c r="BI56" s="65" t="s">
        <v>179</v>
      </c>
      <c r="BJ56" s="65" t="s">
        <v>183</v>
      </c>
      <c r="BK56" s="22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</row>
    <row r="57">
      <c r="A57" s="31">
        <v>54.0</v>
      </c>
      <c r="B57" s="32" t="s">
        <v>655</v>
      </c>
      <c r="C57" s="32" t="s">
        <v>656</v>
      </c>
      <c r="D57" s="55">
        <f t="shared" si="2"/>
        <v>39</v>
      </c>
      <c r="E57" s="55">
        <f t="shared" si="3"/>
        <v>9</v>
      </c>
      <c r="F57" s="55">
        <f t="shared" si="4"/>
        <v>48</v>
      </c>
      <c r="G57" s="62">
        <f t="shared" si="5"/>
        <v>81.25</v>
      </c>
      <c r="H57" s="63" t="s">
        <v>179</v>
      </c>
      <c r="I57" s="63" t="s">
        <v>179</v>
      </c>
      <c r="J57" s="63" t="s">
        <v>179</v>
      </c>
      <c r="K57" s="63" t="s">
        <v>179</v>
      </c>
      <c r="L57" s="63" t="s">
        <v>179</v>
      </c>
      <c r="M57" s="63" t="s">
        <v>179</v>
      </c>
      <c r="N57" s="22"/>
      <c r="O57" s="63" t="s">
        <v>179</v>
      </c>
      <c r="P57" s="63" t="s">
        <v>179</v>
      </c>
      <c r="Q57" s="65" t="s">
        <v>179</v>
      </c>
      <c r="R57" s="65" t="s">
        <v>179</v>
      </c>
      <c r="S57" s="65" t="s">
        <v>179</v>
      </c>
      <c r="T57" s="65" t="s">
        <v>179</v>
      </c>
      <c r="U57" s="22"/>
      <c r="V57" s="63" t="s">
        <v>179</v>
      </c>
      <c r="W57" s="63" t="s">
        <v>179</v>
      </c>
      <c r="X57" s="63" t="s">
        <v>183</v>
      </c>
      <c r="Y57" s="63" t="s">
        <v>179</v>
      </c>
      <c r="Z57" s="63" t="s">
        <v>179</v>
      </c>
      <c r="AA57" s="63" t="s">
        <v>179</v>
      </c>
      <c r="AB57" s="22"/>
      <c r="AC57" s="63" t="s">
        <v>183</v>
      </c>
      <c r="AD57" s="63" t="s">
        <v>179</v>
      </c>
      <c r="AE57" s="63" t="s">
        <v>183</v>
      </c>
      <c r="AF57" s="63" t="s">
        <v>179</v>
      </c>
      <c r="AG57" s="63" t="s">
        <v>179</v>
      </c>
      <c r="AH57" s="63" t="s">
        <v>179</v>
      </c>
      <c r="AI57" s="22"/>
      <c r="AJ57" s="65" t="s">
        <v>183</v>
      </c>
      <c r="AK57" s="63" t="s">
        <v>179</v>
      </c>
      <c r="AL57" s="63" t="s">
        <v>179</v>
      </c>
      <c r="AM57" s="63" t="s">
        <v>179</v>
      </c>
      <c r="AN57" s="63" t="s">
        <v>179</v>
      </c>
      <c r="AO57" s="63" t="s">
        <v>179</v>
      </c>
      <c r="AP57" s="22"/>
      <c r="AQ57" s="65" t="s">
        <v>179</v>
      </c>
      <c r="AR57" s="65" t="s">
        <v>179</v>
      </c>
      <c r="AS57" s="65" t="s">
        <v>179</v>
      </c>
      <c r="AT57" s="65" t="s">
        <v>179</v>
      </c>
      <c r="AU57" s="65" t="s">
        <v>179</v>
      </c>
      <c r="AV57" s="65" t="s">
        <v>179</v>
      </c>
      <c r="AW57" s="22"/>
      <c r="AX57" s="65" t="s">
        <v>179</v>
      </c>
      <c r="AY57" s="65" t="s">
        <v>179</v>
      </c>
      <c r="AZ57" s="65" t="s">
        <v>179</v>
      </c>
      <c r="BA57" s="65" t="s">
        <v>179</v>
      </c>
      <c r="BB57" s="65" t="s">
        <v>179</v>
      </c>
      <c r="BC57" s="65" t="s">
        <v>179</v>
      </c>
      <c r="BD57" s="22"/>
      <c r="BE57" s="65" t="s">
        <v>183</v>
      </c>
      <c r="BF57" s="65" t="s">
        <v>183</v>
      </c>
      <c r="BG57" s="65" t="s">
        <v>183</v>
      </c>
      <c r="BH57" s="65" t="s">
        <v>183</v>
      </c>
      <c r="BI57" s="65" t="s">
        <v>183</v>
      </c>
      <c r="BJ57" s="65" t="s">
        <v>179</v>
      </c>
      <c r="BK57" s="22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</row>
    <row r="58">
      <c r="A58" s="31">
        <v>55.0</v>
      </c>
      <c r="B58" s="32" t="s">
        <v>662</v>
      </c>
      <c r="C58" s="32" t="s">
        <v>663</v>
      </c>
      <c r="D58" s="55">
        <f t="shared" si="2"/>
        <v>20</v>
      </c>
      <c r="E58" s="55">
        <f t="shared" si="3"/>
        <v>28</v>
      </c>
      <c r="F58" s="55">
        <f t="shared" si="4"/>
        <v>48</v>
      </c>
      <c r="G58" s="62">
        <f t="shared" si="5"/>
        <v>41.66666667</v>
      </c>
      <c r="H58" s="63" t="s">
        <v>179</v>
      </c>
      <c r="I58" s="63" t="s">
        <v>179</v>
      </c>
      <c r="J58" s="63" t="s">
        <v>183</v>
      </c>
      <c r="K58" s="63" t="s">
        <v>183</v>
      </c>
      <c r="L58" s="63" t="s">
        <v>183</v>
      </c>
      <c r="M58" s="63" t="s">
        <v>183</v>
      </c>
      <c r="N58" s="22"/>
      <c r="O58" s="63" t="s">
        <v>183</v>
      </c>
      <c r="P58" s="63" t="s">
        <v>183</v>
      </c>
      <c r="Q58" s="65" t="s">
        <v>183</v>
      </c>
      <c r="R58" s="65" t="s">
        <v>183</v>
      </c>
      <c r="S58" s="65" t="s">
        <v>183</v>
      </c>
      <c r="T58" s="65" t="s">
        <v>179</v>
      </c>
      <c r="U58" s="22"/>
      <c r="V58" s="63" t="s">
        <v>179</v>
      </c>
      <c r="W58" s="63" t="s">
        <v>183</v>
      </c>
      <c r="X58" s="63" t="s">
        <v>183</v>
      </c>
      <c r="Y58" s="63" t="s">
        <v>179</v>
      </c>
      <c r="Z58" s="63" t="s">
        <v>179</v>
      </c>
      <c r="AA58" s="63" t="s">
        <v>179</v>
      </c>
      <c r="AB58" s="22"/>
      <c r="AC58" s="63" t="s">
        <v>183</v>
      </c>
      <c r="AD58" s="63" t="s">
        <v>179</v>
      </c>
      <c r="AE58" s="63" t="s">
        <v>179</v>
      </c>
      <c r="AF58" s="63" t="s">
        <v>183</v>
      </c>
      <c r="AG58" s="63" t="s">
        <v>183</v>
      </c>
      <c r="AH58" s="63" t="s">
        <v>179</v>
      </c>
      <c r="AI58" s="22"/>
      <c r="AJ58" s="65" t="s">
        <v>179</v>
      </c>
      <c r="AK58" s="63" t="s">
        <v>179</v>
      </c>
      <c r="AL58" s="63" t="s">
        <v>179</v>
      </c>
      <c r="AM58" s="63" t="s">
        <v>183</v>
      </c>
      <c r="AN58" s="63" t="s">
        <v>179</v>
      </c>
      <c r="AO58" s="63" t="s">
        <v>179</v>
      </c>
      <c r="AP58" s="22"/>
      <c r="AQ58" s="65" t="s">
        <v>183</v>
      </c>
      <c r="AR58" s="65" t="s">
        <v>179</v>
      </c>
      <c r="AS58" s="65" t="s">
        <v>179</v>
      </c>
      <c r="AT58" s="65" t="s">
        <v>183</v>
      </c>
      <c r="AU58" s="65" t="s">
        <v>183</v>
      </c>
      <c r="AV58" s="65" t="s">
        <v>183</v>
      </c>
      <c r="AW58" s="22"/>
      <c r="AX58" s="65" t="s">
        <v>183</v>
      </c>
      <c r="AY58" s="65" t="s">
        <v>183</v>
      </c>
      <c r="AZ58" s="65" t="s">
        <v>183</v>
      </c>
      <c r="BA58" s="65" t="s">
        <v>183</v>
      </c>
      <c r="BB58" s="65" t="s">
        <v>183</v>
      </c>
      <c r="BC58" s="65" t="s">
        <v>179</v>
      </c>
      <c r="BD58" s="22"/>
      <c r="BE58" s="65" t="s">
        <v>179</v>
      </c>
      <c r="BF58" s="65" t="s">
        <v>179</v>
      </c>
      <c r="BG58" s="65" t="s">
        <v>183</v>
      </c>
      <c r="BH58" s="65" t="s">
        <v>183</v>
      </c>
      <c r="BI58" s="65" t="s">
        <v>183</v>
      </c>
      <c r="BJ58" s="65" t="s">
        <v>183</v>
      </c>
      <c r="BK58" s="22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</row>
    <row r="59">
      <c r="A59" s="31">
        <v>56.0</v>
      </c>
      <c r="B59" s="41" t="s">
        <v>666</v>
      </c>
      <c r="C59" s="41" t="s">
        <v>667</v>
      </c>
      <c r="D59" s="55">
        <f t="shared" si="2"/>
        <v>11</v>
      </c>
      <c r="E59" s="55">
        <f t="shared" si="3"/>
        <v>22</v>
      </c>
      <c r="F59" s="55">
        <f t="shared" si="4"/>
        <v>33</v>
      </c>
      <c r="G59" s="62">
        <f t="shared" si="5"/>
        <v>33.33333333</v>
      </c>
      <c r="H59" s="63" t="s">
        <v>260</v>
      </c>
      <c r="I59" s="63" t="s">
        <v>260</v>
      </c>
      <c r="J59" s="63" t="s">
        <v>260</v>
      </c>
      <c r="K59" s="63" t="s">
        <v>260</v>
      </c>
      <c r="L59" s="63" t="s">
        <v>260</v>
      </c>
      <c r="M59" s="63" t="s">
        <v>260</v>
      </c>
      <c r="N59" s="22"/>
      <c r="O59" s="63" t="s">
        <v>260</v>
      </c>
      <c r="P59" s="63" t="s">
        <v>260</v>
      </c>
      <c r="Q59" s="63" t="s">
        <v>260</v>
      </c>
      <c r="R59" s="63" t="s">
        <v>260</v>
      </c>
      <c r="S59" s="63" t="s">
        <v>260</v>
      </c>
      <c r="T59" s="63" t="s">
        <v>260</v>
      </c>
      <c r="U59" s="22"/>
      <c r="V59" s="63" t="s">
        <v>260</v>
      </c>
      <c r="W59" s="63" t="s">
        <v>260</v>
      </c>
      <c r="X59" s="63" t="s">
        <v>260</v>
      </c>
      <c r="Y59" s="63" t="s">
        <v>183</v>
      </c>
      <c r="Z59" s="73" t="s">
        <v>179</v>
      </c>
      <c r="AA59" s="73" t="s">
        <v>183</v>
      </c>
      <c r="AB59" s="22"/>
      <c r="AC59" s="73" t="s">
        <v>179</v>
      </c>
      <c r="AD59" s="73" t="s">
        <v>179</v>
      </c>
      <c r="AE59" s="73" t="s">
        <v>179</v>
      </c>
      <c r="AF59" s="73" t="s">
        <v>179</v>
      </c>
      <c r="AG59" s="73" t="s">
        <v>179</v>
      </c>
      <c r="AH59" s="73" t="s">
        <v>183</v>
      </c>
      <c r="AI59" s="22"/>
      <c r="AJ59" s="35" t="s">
        <v>179</v>
      </c>
      <c r="AK59" s="63" t="s">
        <v>179</v>
      </c>
      <c r="AL59" s="63" t="s">
        <v>179</v>
      </c>
      <c r="AM59" s="63" t="s">
        <v>183</v>
      </c>
      <c r="AN59" s="63" t="s">
        <v>179</v>
      </c>
      <c r="AO59" s="63" t="s">
        <v>183</v>
      </c>
      <c r="AP59" s="22"/>
      <c r="AQ59" s="35" t="s">
        <v>183</v>
      </c>
      <c r="AR59" s="35" t="s">
        <v>183</v>
      </c>
      <c r="AS59" s="35" t="s">
        <v>179</v>
      </c>
      <c r="AT59" s="35" t="s">
        <v>183</v>
      </c>
      <c r="AU59" s="35" t="s">
        <v>183</v>
      </c>
      <c r="AV59" s="35" t="s">
        <v>183</v>
      </c>
      <c r="AW59" s="22"/>
      <c r="AX59" s="35" t="s">
        <v>183</v>
      </c>
      <c r="AY59" s="35" t="s">
        <v>183</v>
      </c>
      <c r="AZ59" s="35" t="s">
        <v>183</v>
      </c>
      <c r="BA59" s="35" t="s">
        <v>183</v>
      </c>
      <c r="BB59" s="35" t="s">
        <v>183</v>
      </c>
      <c r="BC59" s="35" t="s">
        <v>183</v>
      </c>
      <c r="BD59" s="22"/>
      <c r="BE59" s="35" t="s">
        <v>183</v>
      </c>
      <c r="BF59" s="35" t="s">
        <v>183</v>
      </c>
      <c r="BG59" s="35" t="s">
        <v>183</v>
      </c>
      <c r="BH59" s="35" t="s">
        <v>183</v>
      </c>
      <c r="BI59" s="35" t="s">
        <v>183</v>
      </c>
      <c r="BJ59" s="35" t="s">
        <v>183</v>
      </c>
      <c r="BK59" s="22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</row>
    <row r="60">
      <c r="A60" s="31">
        <v>57.0</v>
      </c>
      <c r="B60" s="32" t="s">
        <v>671</v>
      </c>
      <c r="C60" s="32" t="s">
        <v>672</v>
      </c>
      <c r="D60" s="55">
        <f t="shared" si="2"/>
        <v>38</v>
      </c>
      <c r="E60" s="55">
        <f t="shared" si="3"/>
        <v>10</v>
      </c>
      <c r="F60" s="55">
        <f t="shared" si="4"/>
        <v>48</v>
      </c>
      <c r="G60" s="62">
        <f t="shared" si="5"/>
        <v>79.16666667</v>
      </c>
      <c r="H60" s="63" t="s">
        <v>179</v>
      </c>
      <c r="I60" s="63" t="s">
        <v>179</v>
      </c>
      <c r="J60" s="63" t="s">
        <v>179</v>
      </c>
      <c r="K60" s="63" t="s">
        <v>179</v>
      </c>
      <c r="L60" s="63" t="s">
        <v>179</v>
      </c>
      <c r="M60" s="63" t="s">
        <v>179</v>
      </c>
      <c r="N60" s="22"/>
      <c r="O60" s="63" t="s">
        <v>183</v>
      </c>
      <c r="P60" s="63" t="s">
        <v>179</v>
      </c>
      <c r="Q60" s="65" t="s">
        <v>179</v>
      </c>
      <c r="R60" s="65" t="s">
        <v>179</v>
      </c>
      <c r="S60" s="65" t="s">
        <v>179</v>
      </c>
      <c r="T60" s="65" t="s">
        <v>179</v>
      </c>
      <c r="U60" s="22"/>
      <c r="V60" s="63" t="s">
        <v>183</v>
      </c>
      <c r="W60" s="63" t="s">
        <v>179</v>
      </c>
      <c r="X60" s="63" t="s">
        <v>179</v>
      </c>
      <c r="Y60" s="63" t="s">
        <v>179</v>
      </c>
      <c r="Z60" s="63" t="s">
        <v>179</v>
      </c>
      <c r="AA60" s="63" t="s">
        <v>179</v>
      </c>
      <c r="AB60" s="22"/>
      <c r="AC60" s="63" t="s">
        <v>179</v>
      </c>
      <c r="AD60" s="63" t="s">
        <v>179</v>
      </c>
      <c r="AE60" s="63" t="s">
        <v>179</v>
      </c>
      <c r="AF60" s="63" t="s">
        <v>179</v>
      </c>
      <c r="AG60" s="63" t="s">
        <v>179</v>
      </c>
      <c r="AH60" s="63" t="s">
        <v>179</v>
      </c>
      <c r="AI60" s="22"/>
      <c r="AJ60" s="65" t="s">
        <v>183</v>
      </c>
      <c r="AK60" s="63" t="s">
        <v>179</v>
      </c>
      <c r="AL60" s="63" t="s">
        <v>179</v>
      </c>
      <c r="AM60" s="63" t="s">
        <v>179</v>
      </c>
      <c r="AN60" s="63" t="s">
        <v>179</v>
      </c>
      <c r="AO60" s="63" t="s">
        <v>179</v>
      </c>
      <c r="AP60" s="22"/>
      <c r="AQ60" s="65" t="s">
        <v>179</v>
      </c>
      <c r="AR60" s="65" t="s">
        <v>179</v>
      </c>
      <c r="AS60" s="65" t="s">
        <v>183</v>
      </c>
      <c r="AT60" s="65" t="s">
        <v>179</v>
      </c>
      <c r="AU60" s="65" t="s">
        <v>183</v>
      </c>
      <c r="AV60" s="65" t="s">
        <v>179</v>
      </c>
      <c r="AW60" s="22"/>
      <c r="AX60" s="65" t="s">
        <v>179</v>
      </c>
      <c r="AY60" s="65" t="s">
        <v>183</v>
      </c>
      <c r="AZ60" s="65" t="s">
        <v>183</v>
      </c>
      <c r="BA60" s="65" t="s">
        <v>179</v>
      </c>
      <c r="BB60" s="65" t="s">
        <v>179</v>
      </c>
      <c r="BC60" s="65" t="s">
        <v>179</v>
      </c>
      <c r="BD60" s="22"/>
      <c r="BE60" s="65" t="s">
        <v>179</v>
      </c>
      <c r="BF60" s="65" t="s">
        <v>183</v>
      </c>
      <c r="BG60" s="65" t="s">
        <v>183</v>
      </c>
      <c r="BH60" s="65" t="s">
        <v>179</v>
      </c>
      <c r="BI60" s="65" t="s">
        <v>183</v>
      </c>
      <c r="BJ60" s="65" t="s">
        <v>179</v>
      </c>
      <c r="BK60" s="22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</row>
    <row r="61">
      <c r="A61" s="31">
        <v>58.0</v>
      </c>
      <c r="B61" s="32" t="s">
        <v>676</v>
      </c>
      <c r="C61" s="32" t="s">
        <v>658</v>
      </c>
      <c r="D61" s="55">
        <f t="shared" si="2"/>
        <v>38</v>
      </c>
      <c r="E61" s="55">
        <f t="shared" si="3"/>
        <v>10</v>
      </c>
      <c r="F61" s="55">
        <f t="shared" si="4"/>
        <v>48</v>
      </c>
      <c r="G61" s="62">
        <f t="shared" si="5"/>
        <v>79.16666667</v>
      </c>
      <c r="H61" s="63" t="s">
        <v>183</v>
      </c>
      <c r="I61" s="63" t="s">
        <v>183</v>
      </c>
      <c r="J61" s="63" t="s">
        <v>183</v>
      </c>
      <c r="K61" s="63" t="s">
        <v>179</v>
      </c>
      <c r="L61" s="63" t="s">
        <v>179</v>
      </c>
      <c r="M61" s="63" t="s">
        <v>183</v>
      </c>
      <c r="N61" s="22"/>
      <c r="O61" s="63" t="s">
        <v>179</v>
      </c>
      <c r="P61" s="63" t="s">
        <v>179</v>
      </c>
      <c r="Q61" s="65" t="s">
        <v>179</v>
      </c>
      <c r="R61" s="65" t="s">
        <v>183</v>
      </c>
      <c r="S61" s="65" t="s">
        <v>179</v>
      </c>
      <c r="T61" s="65" t="s">
        <v>179</v>
      </c>
      <c r="U61" s="22"/>
      <c r="V61" s="63" t="s">
        <v>179</v>
      </c>
      <c r="W61" s="63" t="s">
        <v>179</v>
      </c>
      <c r="X61" s="63" t="s">
        <v>179</v>
      </c>
      <c r="Y61" s="63" t="s">
        <v>179</v>
      </c>
      <c r="Z61" s="63" t="s">
        <v>179</v>
      </c>
      <c r="AA61" s="63" t="s">
        <v>179</v>
      </c>
      <c r="AB61" s="22"/>
      <c r="AC61" s="63" t="s">
        <v>179</v>
      </c>
      <c r="AD61" s="63" t="s">
        <v>179</v>
      </c>
      <c r="AE61" s="63" t="s">
        <v>179</v>
      </c>
      <c r="AF61" s="63" t="s">
        <v>179</v>
      </c>
      <c r="AG61" s="63" t="s">
        <v>179</v>
      </c>
      <c r="AH61" s="63" t="s">
        <v>179</v>
      </c>
      <c r="AI61" s="22"/>
      <c r="AJ61" s="65" t="s">
        <v>179</v>
      </c>
      <c r="AK61" s="63" t="s">
        <v>179</v>
      </c>
      <c r="AL61" s="63" t="s">
        <v>179</v>
      </c>
      <c r="AM61" s="63" t="s">
        <v>179</v>
      </c>
      <c r="AN61" s="63" t="s">
        <v>179</v>
      </c>
      <c r="AO61" s="63" t="s">
        <v>179</v>
      </c>
      <c r="AP61" s="22"/>
      <c r="AQ61" s="65" t="s">
        <v>179</v>
      </c>
      <c r="AR61" s="65" t="s">
        <v>179</v>
      </c>
      <c r="AS61" s="65" t="s">
        <v>183</v>
      </c>
      <c r="AT61" s="65" t="s">
        <v>179</v>
      </c>
      <c r="AU61" s="65" t="s">
        <v>179</v>
      </c>
      <c r="AV61" s="65" t="s">
        <v>179</v>
      </c>
      <c r="AW61" s="22"/>
      <c r="AX61" s="65" t="s">
        <v>179</v>
      </c>
      <c r="AY61" s="65" t="s">
        <v>179</v>
      </c>
      <c r="AZ61" s="65" t="s">
        <v>179</v>
      </c>
      <c r="BA61" s="65" t="s">
        <v>179</v>
      </c>
      <c r="BB61" s="65" t="s">
        <v>179</v>
      </c>
      <c r="BC61" s="65" t="s">
        <v>179</v>
      </c>
      <c r="BD61" s="22"/>
      <c r="BE61" s="65" t="s">
        <v>179</v>
      </c>
      <c r="BF61" s="65" t="s">
        <v>183</v>
      </c>
      <c r="BG61" s="65" t="s">
        <v>179</v>
      </c>
      <c r="BH61" s="65" t="s">
        <v>183</v>
      </c>
      <c r="BI61" s="65" t="s">
        <v>183</v>
      </c>
      <c r="BJ61" s="65" t="s">
        <v>183</v>
      </c>
      <c r="BK61" s="22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</row>
    <row r="62">
      <c r="A62" s="31">
        <v>59.0</v>
      </c>
      <c r="B62" s="41" t="s">
        <v>680</v>
      </c>
      <c r="C62" s="41" t="s">
        <v>681</v>
      </c>
      <c r="D62" s="55">
        <f t="shared" si="2"/>
        <v>21</v>
      </c>
      <c r="E62" s="55">
        <f t="shared" si="3"/>
        <v>27</v>
      </c>
      <c r="F62" s="55">
        <f t="shared" si="4"/>
        <v>48</v>
      </c>
      <c r="G62" s="62">
        <f t="shared" si="5"/>
        <v>43.75</v>
      </c>
      <c r="H62" s="63" t="s">
        <v>183</v>
      </c>
      <c r="I62" s="63" t="s">
        <v>183</v>
      </c>
      <c r="J62" s="63" t="s">
        <v>183</v>
      </c>
      <c r="K62" s="63" t="s">
        <v>183</v>
      </c>
      <c r="L62" s="63" t="s">
        <v>183</v>
      </c>
      <c r="M62" s="63" t="s">
        <v>183</v>
      </c>
      <c r="N62" s="22"/>
      <c r="O62" s="63" t="s">
        <v>183</v>
      </c>
      <c r="P62" s="63" t="s">
        <v>183</v>
      </c>
      <c r="Q62" s="65" t="s">
        <v>183</v>
      </c>
      <c r="R62" s="65" t="s">
        <v>183</v>
      </c>
      <c r="S62" s="65" t="s">
        <v>183</v>
      </c>
      <c r="T62" s="65" t="s">
        <v>183</v>
      </c>
      <c r="U62" s="22"/>
      <c r="V62" s="73" t="s">
        <v>183</v>
      </c>
      <c r="W62" s="73" t="s">
        <v>720</v>
      </c>
      <c r="X62" s="73" t="s">
        <v>179</v>
      </c>
      <c r="Y62" s="73" t="s">
        <v>720</v>
      </c>
      <c r="Z62" s="73" t="s">
        <v>179</v>
      </c>
      <c r="AA62" s="73" t="s">
        <v>179</v>
      </c>
      <c r="AB62" s="22"/>
      <c r="AC62" s="73" t="s">
        <v>179</v>
      </c>
      <c r="AD62" s="73" t="s">
        <v>720</v>
      </c>
      <c r="AE62" s="73" t="s">
        <v>179</v>
      </c>
      <c r="AF62" s="73" t="s">
        <v>179</v>
      </c>
      <c r="AG62" s="73" t="s">
        <v>183</v>
      </c>
      <c r="AH62" s="73" t="s">
        <v>179</v>
      </c>
      <c r="AI62" s="22"/>
      <c r="AJ62" s="35" t="s">
        <v>183</v>
      </c>
      <c r="AK62" s="63" t="s">
        <v>179</v>
      </c>
      <c r="AL62" s="63" t="s">
        <v>179</v>
      </c>
      <c r="AM62" s="63" t="s">
        <v>183</v>
      </c>
      <c r="AN62" s="63" t="s">
        <v>183</v>
      </c>
      <c r="AO62" s="63" t="s">
        <v>183</v>
      </c>
      <c r="AP62" s="22"/>
      <c r="AQ62" s="35" t="s">
        <v>183</v>
      </c>
      <c r="AR62" s="35" t="s">
        <v>183</v>
      </c>
      <c r="AS62" s="35" t="s">
        <v>183</v>
      </c>
      <c r="AT62" s="35" t="s">
        <v>179</v>
      </c>
      <c r="AU62" s="35" t="s">
        <v>183</v>
      </c>
      <c r="AV62" s="35" t="s">
        <v>183</v>
      </c>
      <c r="AW62" s="22"/>
      <c r="AX62" s="35" t="s">
        <v>183</v>
      </c>
      <c r="AY62" s="35" t="s">
        <v>183</v>
      </c>
      <c r="AZ62" s="35" t="s">
        <v>183</v>
      </c>
      <c r="BA62" s="35" t="s">
        <v>183</v>
      </c>
      <c r="BB62" s="35" t="s">
        <v>179</v>
      </c>
      <c r="BC62" s="35" t="s">
        <v>179</v>
      </c>
      <c r="BD62" s="22"/>
      <c r="BE62" s="35" t="s">
        <v>179</v>
      </c>
      <c r="BF62" s="35" t="s">
        <v>179</v>
      </c>
      <c r="BG62" s="35" t="s">
        <v>179</v>
      </c>
      <c r="BH62" s="35" t="s">
        <v>179</v>
      </c>
      <c r="BI62" s="35" t="s">
        <v>179</v>
      </c>
      <c r="BJ62" s="35" t="s">
        <v>179</v>
      </c>
      <c r="BK62" s="22"/>
      <c r="BL62" s="74"/>
      <c r="BM62" s="74"/>
      <c r="BN62" s="74"/>
      <c r="BO62" s="74"/>
      <c r="BP62" s="74"/>
      <c r="BQ62" s="74"/>
      <c r="BR62" s="74"/>
      <c r="BS62" s="74"/>
      <c r="BT62" s="74"/>
      <c r="BU62" s="74"/>
      <c r="BV62" s="74"/>
    </row>
    <row r="63">
      <c r="A63" s="31">
        <v>60.0</v>
      </c>
      <c r="B63" s="32" t="s">
        <v>686</v>
      </c>
      <c r="C63" s="32" t="s">
        <v>683</v>
      </c>
      <c r="D63" s="55">
        <f t="shared" si="2"/>
        <v>36</v>
      </c>
      <c r="E63" s="55">
        <f t="shared" si="3"/>
        <v>12</v>
      </c>
      <c r="F63" s="55">
        <f t="shared" si="4"/>
        <v>48</v>
      </c>
      <c r="G63" s="62">
        <f t="shared" si="5"/>
        <v>75</v>
      </c>
      <c r="H63" s="63" t="s">
        <v>179</v>
      </c>
      <c r="I63" s="63" t="s">
        <v>179</v>
      </c>
      <c r="J63" s="63" t="s">
        <v>179</v>
      </c>
      <c r="K63" s="63" t="s">
        <v>179</v>
      </c>
      <c r="L63" s="63" t="s">
        <v>179</v>
      </c>
      <c r="M63" s="63" t="s">
        <v>179</v>
      </c>
      <c r="N63" s="22"/>
      <c r="O63" s="63" t="s">
        <v>183</v>
      </c>
      <c r="P63" s="63" t="s">
        <v>183</v>
      </c>
      <c r="Q63" s="65" t="s">
        <v>179</v>
      </c>
      <c r="R63" s="65" t="s">
        <v>179</v>
      </c>
      <c r="S63" s="65" t="s">
        <v>179</v>
      </c>
      <c r="T63" s="65" t="s">
        <v>179</v>
      </c>
      <c r="U63" s="22"/>
      <c r="V63" s="63" t="s">
        <v>179</v>
      </c>
      <c r="W63" s="63" t="s">
        <v>179</v>
      </c>
      <c r="X63" s="63" t="s">
        <v>179</v>
      </c>
      <c r="Y63" s="63" t="s">
        <v>179</v>
      </c>
      <c r="Z63" s="63" t="s">
        <v>183</v>
      </c>
      <c r="AA63" s="63" t="s">
        <v>179</v>
      </c>
      <c r="AB63" s="22"/>
      <c r="AC63" s="63" t="s">
        <v>179</v>
      </c>
      <c r="AD63" s="63" t="s">
        <v>179</v>
      </c>
      <c r="AE63" s="63" t="s">
        <v>179</v>
      </c>
      <c r="AF63" s="63" t="s">
        <v>179</v>
      </c>
      <c r="AG63" s="63" t="s">
        <v>179</v>
      </c>
      <c r="AH63" s="63" t="s">
        <v>179</v>
      </c>
      <c r="AI63" s="22"/>
      <c r="AJ63" s="65" t="s">
        <v>179</v>
      </c>
      <c r="AK63" s="63" t="s">
        <v>179</v>
      </c>
      <c r="AL63" s="63" t="s">
        <v>179</v>
      </c>
      <c r="AM63" s="63" t="s">
        <v>183</v>
      </c>
      <c r="AN63" s="63" t="s">
        <v>179</v>
      </c>
      <c r="AO63" s="63" t="s">
        <v>179</v>
      </c>
      <c r="AP63" s="22"/>
      <c r="AQ63" s="65" t="s">
        <v>179</v>
      </c>
      <c r="AR63" s="65" t="s">
        <v>179</v>
      </c>
      <c r="AS63" s="65" t="s">
        <v>179</v>
      </c>
      <c r="AT63" s="65" t="s">
        <v>179</v>
      </c>
      <c r="AU63" s="65" t="s">
        <v>179</v>
      </c>
      <c r="AV63" s="65" t="s">
        <v>179</v>
      </c>
      <c r="AW63" s="22"/>
      <c r="AX63" s="65" t="s">
        <v>183</v>
      </c>
      <c r="AY63" s="65" t="s">
        <v>183</v>
      </c>
      <c r="AZ63" s="65" t="s">
        <v>179</v>
      </c>
      <c r="BA63" s="65" t="s">
        <v>183</v>
      </c>
      <c r="BB63" s="65" t="s">
        <v>179</v>
      </c>
      <c r="BC63" s="65" t="s">
        <v>183</v>
      </c>
      <c r="BD63" s="22"/>
      <c r="BE63" s="65" t="s">
        <v>183</v>
      </c>
      <c r="BF63" s="65" t="s">
        <v>179</v>
      </c>
      <c r="BG63" s="65" t="s">
        <v>183</v>
      </c>
      <c r="BH63" s="65" t="s">
        <v>183</v>
      </c>
      <c r="BI63" s="65" t="s">
        <v>179</v>
      </c>
      <c r="BJ63" s="65" t="s">
        <v>183</v>
      </c>
      <c r="BK63" s="22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</row>
    <row r="64">
      <c r="A64" s="31">
        <v>61.0</v>
      </c>
      <c r="B64" s="32" t="s">
        <v>688</v>
      </c>
      <c r="C64" s="32" t="s">
        <v>689</v>
      </c>
      <c r="D64" s="55">
        <f t="shared" si="2"/>
        <v>40</v>
      </c>
      <c r="E64" s="55">
        <f t="shared" si="3"/>
        <v>8</v>
      </c>
      <c r="F64" s="55">
        <f t="shared" si="4"/>
        <v>48</v>
      </c>
      <c r="G64" s="62">
        <f t="shared" si="5"/>
        <v>83.33333333</v>
      </c>
      <c r="H64" s="63" t="s">
        <v>179</v>
      </c>
      <c r="I64" s="63" t="s">
        <v>179</v>
      </c>
      <c r="J64" s="63" t="s">
        <v>179</v>
      </c>
      <c r="K64" s="63" t="s">
        <v>179</v>
      </c>
      <c r="L64" s="63" t="s">
        <v>179</v>
      </c>
      <c r="M64" s="63" t="s">
        <v>179</v>
      </c>
      <c r="N64" s="22"/>
      <c r="O64" s="63" t="s">
        <v>179</v>
      </c>
      <c r="P64" s="63" t="s">
        <v>179</v>
      </c>
      <c r="Q64" s="65" t="s">
        <v>179</v>
      </c>
      <c r="R64" s="65" t="s">
        <v>179</v>
      </c>
      <c r="S64" s="65" t="s">
        <v>179</v>
      </c>
      <c r="T64" s="65" t="s">
        <v>179</v>
      </c>
      <c r="U64" s="22"/>
      <c r="V64" s="63" t="s">
        <v>179</v>
      </c>
      <c r="W64" s="63" t="s">
        <v>179</v>
      </c>
      <c r="X64" s="63" t="s">
        <v>179</v>
      </c>
      <c r="Y64" s="63" t="s">
        <v>179</v>
      </c>
      <c r="Z64" s="63" t="s">
        <v>179</v>
      </c>
      <c r="AA64" s="63" t="s">
        <v>179</v>
      </c>
      <c r="AB64" s="22"/>
      <c r="AC64" s="63" t="s">
        <v>179</v>
      </c>
      <c r="AD64" s="63" t="s">
        <v>179</v>
      </c>
      <c r="AE64" s="63" t="s">
        <v>179</v>
      </c>
      <c r="AF64" s="63" t="s">
        <v>179</v>
      </c>
      <c r="AG64" s="63" t="s">
        <v>183</v>
      </c>
      <c r="AH64" s="63" t="s">
        <v>179</v>
      </c>
      <c r="AI64" s="22"/>
      <c r="AJ64" s="65" t="s">
        <v>179</v>
      </c>
      <c r="AK64" s="63" t="s">
        <v>183</v>
      </c>
      <c r="AL64" s="63" t="s">
        <v>179</v>
      </c>
      <c r="AM64" s="63" t="s">
        <v>179</v>
      </c>
      <c r="AN64" s="63" t="s">
        <v>179</v>
      </c>
      <c r="AO64" s="63" t="s">
        <v>179</v>
      </c>
      <c r="AP64" s="22"/>
      <c r="AQ64" s="65" t="s">
        <v>179</v>
      </c>
      <c r="AR64" s="65" t="s">
        <v>179</v>
      </c>
      <c r="AS64" s="65" t="s">
        <v>183</v>
      </c>
      <c r="AT64" s="65" t="s">
        <v>179</v>
      </c>
      <c r="AU64" s="65" t="s">
        <v>179</v>
      </c>
      <c r="AV64" s="65" t="s">
        <v>179</v>
      </c>
      <c r="AW64" s="22"/>
      <c r="AX64" s="65" t="s">
        <v>179</v>
      </c>
      <c r="AY64" s="65" t="s">
        <v>183</v>
      </c>
      <c r="AZ64" s="65" t="s">
        <v>179</v>
      </c>
      <c r="BA64" s="65" t="s">
        <v>179</v>
      </c>
      <c r="BB64" s="65" t="s">
        <v>179</v>
      </c>
      <c r="BC64" s="65" t="s">
        <v>179</v>
      </c>
      <c r="BD64" s="22"/>
      <c r="BE64" s="65" t="s">
        <v>183</v>
      </c>
      <c r="BF64" s="65" t="s">
        <v>179</v>
      </c>
      <c r="BG64" s="65" t="s">
        <v>183</v>
      </c>
      <c r="BH64" s="65" t="s">
        <v>183</v>
      </c>
      <c r="BI64" s="65" t="s">
        <v>179</v>
      </c>
      <c r="BJ64" s="65" t="s">
        <v>183</v>
      </c>
      <c r="BK64" s="22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</row>
    <row r="65">
      <c r="A65" s="31">
        <v>62.0</v>
      </c>
      <c r="B65" s="41" t="s">
        <v>693</v>
      </c>
      <c r="C65" s="41" t="s">
        <v>694</v>
      </c>
      <c r="D65" s="55">
        <f t="shared" si="2"/>
        <v>10</v>
      </c>
      <c r="E65" s="55">
        <f t="shared" si="3"/>
        <v>38</v>
      </c>
      <c r="F65" s="55">
        <f t="shared" si="4"/>
        <v>48</v>
      </c>
      <c r="G65" s="62">
        <f t="shared" si="5"/>
        <v>20.83333333</v>
      </c>
      <c r="H65" s="63" t="s">
        <v>183</v>
      </c>
      <c r="I65" s="63" t="s">
        <v>183</v>
      </c>
      <c r="J65" s="63" t="s">
        <v>183</v>
      </c>
      <c r="K65" s="63" t="s">
        <v>183</v>
      </c>
      <c r="L65" s="63" t="s">
        <v>183</v>
      </c>
      <c r="M65" s="63" t="s">
        <v>183</v>
      </c>
      <c r="N65" s="22"/>
      <c r="O65" s="65" t="s">
        <v>183</v>
      </c>
      <c r="P65" s="65" t="s">
        <v>183</v>
      </c>
      <c r="Q65" s="65" t="s">
        <v>183</v>
      </c>
      <c r="R65" s="35" t="s">
        <v>179</v>
      </c>
      <c r="S65" s="35" t="s">
        <v>183</v>
      </c>
      <c r="T65" s="35" t="s">
        <v>183</v>
      </c>
      <c r="U65" s="22"/>
      <c r="V65" s="73" t="s">
        <v>183</v>
      </c>
      <c r="W65" s="73" t="s">
        <v>179</v>
      </c>
      <c r="X65" s="73" t="s">
        <v>179</v>
      </c>
      <c r="Y65" s="73" t="s">
        <v>179</v>
      </c>
      <c r="Z65" s="73" t="s">
        <v>179</v>
      </c>
      <c r="AA65" s="73" t="s">
        <v>179</v>
      </c>
      <c r="AB65" s="22"/>
      <c r="AC65" s="73" t="s">
        <v>179</v>
      </c>
      <c r="AD65" s="73" t="s">
        <v>179</v>
      </c>
      <c r="AE65" s="73" t="s">
        <v>179</v>
      </c>
      <c r="AF65" s="73" t="s">
        <v>183</v>
      </c>
      <c r="AG65" s="73" t="s">
        <v>183</v>
      </c>
      <c r="AH65" s="73" t="s">
        <v>183</v>
      </c>
      <c r="AI65" s="22"/>
      <c r="AJ65" s="35" t="s">
        <v>183</v>
      </c>
      <c r="AK65" s="63" t="s">
        <v>183</v>
      </c>
      <c r="AL65" s="63" t="s">
        <v>183</v>
      </c>
      <c r="AM65" s="63" t="s">
        <v>183</v>
      </c>
      <c r="AN65" s="63" t="s">
        <v>179</v>
      </c>
      <c r="AO65" s="63" t="s">
        <v>183</v>
      </c>
      <c r="AP65" s="22"/>
      <c r="AQ65" s="35" t="s">
        <v>183</v>
      </c>
      <c r="AR65" s="35" t="s">
        <v>183</v>
      </c>
      <c r="AS65" s="35" t="s">
        <v>183</v>
      </c>
      <c r="AT65" s="35" t="s">
        <v>183</v>
      </c>
      <c r="AU65" s="35" t="s">
        <v>183</v>
      </c>
      <c r="AV65" s="35" t="s">
        <v>183</v>
      </c>
      <c r="AW65" s="22"/>
      <c r="AX65" s="35" t="s">
        <v>183</v>
      </c>
      <c r="AY65" s="35" t="s">
        <v>183</v>
      </c>
      <c r="AZ65" s="35" t="s">
        <v>183</v>
      </c>
      <c r="BA65" s="35" t="s">
        <v>183</v>
      </c>
      <c r="BB65" s="35" t="s">
        <v>183</v>
      </c>
      <c r="BC65" s="35" t="s">
        <v>183</v>
      </c>
      <c r="BD65" s="22"/>
      <c r="BE65" s="35" t="s">
        <v>183</v>
      </c>
      <c r="BF65" s="35" t="s">
        <v>183</v>
      </c>
      <c r="BG65" s="35" t="s">
        <v>183</v>
      </c>
      <c r="BH65" s="35" t="s">
        <v>183</v>
      </c>
      <c r="BI65" s="35" t="s">
        <v>183</v>
      </c>
      <c r="BJ65" s="35" t="s">
        <v>183</v>
      </c>
      <c r="BK65" s="22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</row>
    <row r="66">
      <c r="A66" s="31">
        <v>63.0</v>
      </c>
      <c r="B66" s="32" t="s">
        <v>699</v>
      </c>
      <c r="C66" s="32" t="s">
        <v>700</v>
      </c>
      <c r="D66" s="55">
        <f t="shared" si="2"/>
        <v>38</v>
      </c>
      <c r="E66" s="55">
        <f t="shared" si="3"/>
        <v>10</v>
      </c>
      <c r="F66" s="55">
        <f t="shared" si="4"/>
        <v>48</v>
      </c>
      <c r="G66" s="62">
        <f t="shared" si="5"/>
        <v>79.16666667</v>
      </c>
      <c r="H66" s="63" t="s">
        <v>183</v>
      </c>
      <c r="I66" s="63" t="s">
        <v>183</v>
      </c>
      <c r="J66" s="63" t="s">
        <v>183</v>
      </c>
      <c r="K66" s="63" t="s">
        <v>179</v>
      </c>
      <c r="L66" s="63" t="s">
        <v>179</v>
      </c>
      <c r="M66" s="63" t="s">
        <v>179</v>
      </c>
      <c r="N66" s="22"/>
      <c r="O66" s="63" t="s">
        <v>179</v>
      </c>
      <c r="P66" s="63" t="s">
        <v>179</v>
      </c>
      <c r="Q66" s="65" t="s">
        <v>179</v>
      </c>
      <c r="R66" s="65" t="s">
        <v>179</v>
      </c>
      <c r="S66" s="65" t="s">
        <v>179</v>
      </c>
      <c r="T66" s="65" t="s">
        <v>179</v>
      </c>
      <c r="U66" s="22"/>
      <c r="V66" s="63" t="s">
        <v>179</v>
      </c>
      <c r="W66" s="63" t="s">
        <v>179</v>
      </c>
      <c r="X66" s="63" t="s">
        <v>179</v>
      </c>
      <c r="Y66" s="63" t="s">
        <v>179</v>
      </c>
      <c r="Z66" s="63" t="s">
        <v>179</v>
      </c>
      <c r="AA66" s="63" t="s">
        <v>179</v>
      </c>
      <c r="AB66" s="22"/>
      <c r="AC66" s="63" t="s">
        <v>179</v>
      </c>
      <c r="AD66" s="63" t="s">
        <v>179</v>
      </c>
      <c r="AE66" s="63" t="s">
        <v>179</v>
      </c>
      <c r="AF66" s="63" t="s">
        <v>179</v>
      </c>
      <c r="AG66" s="63" t="s">
        <v>179</v>
      </c>
      <c r="AH66" s="63" t="s">
        <v>183</v>
      </c>
      <c r="AI66" s="22"/>
      <c r="AJ66" s="65" t="s">
        <v>183</v>
      </c>
      <c r="AK66" s="63" t="s">
        <v>183</v>
      </c>
      <c r="AL66" s="63" t="s">
        <v>179</v>
      </c>
      <c r="AM66" s="63" t="s">
        <v>179</v>
      </c>
      <c r="AN66" s="63" t="s">
        <v>179</v>
      </c>
      <c r="AO66" s="63" t="s">
        <v>179</v>
      </c>
      <c r="AP66" s="22"/>
      <c r="AQ66" s="65" t="s">
        <v>179</v>
      </c>
      <c r="AR66" s="65" t="s">
        <v>179</v>
      </c>
      <c r="AS66" s="65" t="s">
        <v>179</v>
      </c>
      <c r="AT66" s="65" t="s">
        <v>179</v>
      </c>
      <c r="AU66" s="65" t="s">
        <v>179</v>
      </c>
      <c r="AV66" s="65" t="s">
        <v>179</v>
      </c>
      <c r="AW66" s="22"/>
      <c r="AX66" s="65" t="s">
        <v>179</v>
      </c>
      <c r="AY66" s="65" t="s">
        <v>183</v>
      </c>
      <c r="AZ66" s="65" t="s">
        <v>179</v>
      </c>
      <c r="BA66" s="65" t="s">
        <v>179</v>
      </c>
      <c r="BB66" s="65" t="s">
        <v>179</v>
      </c>
      <c r="BC66" s="65" t="s">
        <v>183</v>
      </c>
      <c r="BD66" s="22"/>
      <c r="BE66" s="65" t="s">
        <v>183</v>
      </c>
      <c r="BF66" s="65" t="s">
        <v>179</v>
      </c>
      <c r="BG66" s="65" t="s">
        <v>179</v>
      </c>
      <c r="BH66" s="65" t="s">
        <v>179</v>
      </c>
      <c r="BI66" s="65" t="s">
        <v>179</v>
      </c>
      <c r="BJ66" s="65" t="s">
        <v>183</v>
      </c>
      <c r="BK66" s="22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</row>
    <row r="67">
      <c r="A67" s="31">
        <v>64.0</v>
      </c>
      <c r="B67" s="32" t="s">
        <v>705</v>
      </c>
      <c r="C67" s="32" t="s">
        <v>706</v>
      </c>
      <c r="D67" s="55">
        <f t="shared" si="2"/>
        <v>16</v>
      </c>
      <c r="E67" s="55">
        <f t="shared" si="3"/>
        <v>32</v>
      </c>
      <c r="F67" s="55">
        <f t="shared" si="4"/>
        <v>48</v>
      </c>
      <c r="G67" s="62">
        <f t="shared" si="5"/>
        <v>33.33333333</v>
      </c>
      <c r="H67" s="63" t="s">
        <v>179</v>
      </c>
      <c r="I67" s="63" t="s">
        <v>179</v>
      </c>
      <c r="J67" s="63" t="s">
        <v>183</v>
      </c>
      <c r="K67" s="63" t="s">
        <v>179</v>
      </c>
      <c r="L67" s="63" t="s">
        <v>179</v>
      </c>
      <c r="M67" s="63" t="s">
        <v>183</v>
      </c>
      <c r="N67" s="22"/>
      <c r="O67" s="63" t="s">
        <v>179</v>
      </c>
      <c r="P67" s="63" t="s">
        <v>183</v>
      </c>
      <c r="Q67" s="65" t="s">
        <v>179</v>
      </c>
      <c r="R67" s="65" t="s">
        <v>179</v>
      </c>
      <c r="S67" s="65" t="s">
        <v>179</v>
      </c>
      <c r="T67" s="65" t="s">
        <v>183</v>
      </c>
      <c r="U67" s="22"/>
      <c r="V67" s="63" t="s">
        <v>179</v>
      </c>
      <c r="W67" s="63" t="s">
        <v>183</v>
      </c>
      <c r="X67" s="63" t="s">
        <v>179</v>
      </c>
      <c r="Y67" s="63" t="s">
        <v>179</v>
      </c>
      <c r="Z67" s="63" t="s">
        <v>179</v>
      </c>
      <c r="AA67" s="63" t="s">
        <v>183</v>
      </c>
      <c r="AB67" s="22"/>
      <c r="AC67" s="63" t="s">
        <v>179</v>
      </c>
      <c r="AD67" s="63" t="s">
        <v>183</v>
      </c>
      <c r="AE67" s="63" t="s">
        <v>179</v>
      </c>
      <c r="AF67" s="63" t="s">
        <v>179</v>
      </c>
      <c r="AG67" s="63" t="s">
        <v>183</v>
      </c>
      <c r="AH67" s="63" t="s">
        <v>179</v>
      </c>
      <c r="AI67" s="22"/>
      <c r="AJ67" s="65" t="s">
        <v>183</v>
      </c>
      <c r="AK67" s="63" t="s">
        <v>183</v>
      </c>
      <c r="AL67" s="63" t="s">
        <v>183</v>
      </c>
      <c r="AM67" s="63" t="s">
        <v>183</v>
      </c>
      <c r="AN67" s="63" t="s">
        <v>183</v>
      </c>
      <c r="AO67" s="63" t="s">
        <v>183</v>
      </c>
      <c r="AP67" s="22"/>
      <c r="AQ67" s="65" t="s">
        <v>183</v>
      </c>
      <c r="AR67" s="65" t="s">
        <v>183</v>
      </c>
      <c r="AS67" s="122" t="s">
        <v>183</v>
      </c>
      <c r="AT67" s="65" t="s">
        <v>183</v>
      </c>
      <c r="AU67" s="65" t="s">
        <v>183</v>
      </c>
      <c r="AV67" s="65" t="s">
        <v>183</v>
      </c>
      <c r="AW67" s="22"/>
      <c r="AX67" s="65" t="s">
        <v>183</v>
      </c>
      <c r="AY67" s="65" t="s">
        <v>183</v>
      </c>
      <c r="AZ67" s="65" t="s">
        <v>183</v>
      </c>
      <c r="BA67" s="65" t="s">
        <v>183</v>
      </c>
      <c r="BB67" s="65" t="s">
        <v>183</v>
      </c>
      <c r="BC67" s="65" t="s">
        <v>183</v>
      </c>
      <c r="BD67" s="22"/>
      <c r="BE67" s="65" t="s">
        <v>183</v>
      </c>
      <c r="BF67" s="65" t="s">
        <v>183</v>
      </c>
      <c r="BG67" s="65" t="s">
        <v>183</v>
      </c>
      <c r="BH67" s="65" t="s">
        <v>183</v>
      </c>
      <c r="BI67" s="65" t="s">
        <v>183</v>
      </c>
      <c r="BJ67" s="65" t="s">
        <v>183</v>
      </c>
      <c r="BK67" s="22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</row>
    <row r="68">
      <c r="A68" s="31">
        <v>65.0</v>
      </c>
      <c r="B68" s="32" t="s">
        <v>709</v>
      </c>
      <c r="C68" s="32" t="s">
        <v>710</v>
      </c>
      <c r="D68" s="55">
        <f t="shared" si="2"/>
        <v>37</v>
      </c>
      <c r="E68" s="55">
        <f t="shared" si="3"/>
        <v>11</v>
      </c>
      <c r="F68" s="55">
        <f t="shared" si="4"/>
        <v>48</v>
      </c>
      <c r="G68" s="62">
        <f t="shared" si="5"/>
        <v>77.08333333</v>
      </c>
      <c r="H68" s="63" t="s">
        <v>179</v>
      </c>
      <c r="I68" s="63" t="s">
        <v>179</v>
      </c>
      <c r="J68" s="63" t="s">
        <v>179</v>
      </c>
      <c r="K68" s="63" t="s">
        <v>179</v>
      </c>
      <c r="L68" s="63" t="s">
        <v>179</v>
      </c>
      <c r="M68" s="63" t="s">
        <v>179</v>
      </c>
      <c r="N68" s="22"/>
      <c r="O68" s="63" t="s">
        <v>179</v>
      </c>
      <c r="P68" s="63" t="s">
        <v>179</v>
      </c>
      <c r="Q68" s="65" t="s">
        <v>179</v>
      </c>
      <c r="R68" s="65" t="s">
        <v>179</v>
      </c>
      <c r="S68" s="65" t="s">
        <v>179</v>
      </c>
      <c r="T68" s="65" t="s">
        <v>179</v>
      </c>
      <c r="U68" s="22"/>
      <c r="V68" s="63" t="s">
        <v>179</v>
      </c>
      <c r="W68" s="63" t="s">
        <v>179</v>
      </c>
      <c r="X68" s="63" t="s">
        <v>179</v>
      </c>
      <c r="Y68" s="63" t="s">
        <v>179</v>
      </c>
      <c r="Z68" s="63" t="s">
        <v>179</v>
      </c>
      <c r="AA68" s="63" t="s">
        <v>179</v>
      </c>
      <c r="AB68" s="22"/>
      <c r="AC68" s="63" t="s">
        <v>179</v>
      </c>
      <c r="AD68" s="63" t="s">
        <v>179</v>
      </c>
      <c r="AE68" s="63" t="s">
        <v>179</v>
      </c>
      <c r="AF68" s="63" t="s">
        <v>179</v>
      </c>
      <c r="AG68" s="63" t="s">
        <v>179</v>
      </c>
      <c r="AH68" s="63" t="s">
        <v>179</v>
      </c>
      <c r="AI68" s="22"/>
      <c r="AJ68" s="65" t="s">
        <v>183</v>
      </c>
      <c r="AK68" s="63" t="s">
        <v>179</v>
      </c>
      <c r="AL68" s="63" t="s">
        <v>179</v>
      </c>
      <c r="AM68" s="63" t="s">
        <v>179</v>
      </c>
      <c r="AN68" s="63" t="s">
        <v>183</v>
      </c>
      <c r="AO68" s="63" t="s">
        <v>179</v>
      </c>
      <c r="AP68" s="22"/>
      <c r="AQ68" s="65" t="s">
        <v>183</v>
      </c>
      <c r="AR68" s="65" t="s">
        <v>179</v>
      </c>
      <c r="AS68" s="65" t="s">
        <v>179</v>
      </c>
      <c r="AT68" s="65" t="s">
        <v>179</v>
      </c>
      <c r="AU68" s="65" t="s">
        <v>179</v>
      </c>
      <c r="AV68" s="65" t="s">
        <v>179</v>
      </c>
      <c r="AW68" s="22"/>
      <c r="AX68" s="65" t="s">
        <v>183</v>
      </c>
      <c r="AY68" s="65" t="s">
        <v>179</v>
      </c>
      <c r="AZ68" s="65" t="s">
        <v>183</v>
      </c>
      <c r="BA68" s="65" t="s">
        <v>183</v>
      </c>
      <c r="BB68" s="65" t="s">
        <v>179</v>
      </c>
      <c r="BC68" s="65" t="s">
        <v>179</v>
      </c>
      <c r="BD68" s="22"/>
      <c r="BE68" s="65" t="s">
        <v>179</v>
      </c>
      <c r="BF68" s="65" t="s">
        <v>183</v>
      </c>
      <c r="BG68" s="65" t="s">
        <v>183</v>
      </c>
      <c r="BH68" s="65" t="s">
        <v>183</v>
      </c>
      <c r="BI68" s="65" t="s">
        <v>183</v>
      </c>
      <c r="BJ68" s="65" t="s">
        <v>183</v>
      </c>
      <c r="BK68" s="22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</row>
    <row r="69">
      <c r="A69" s="31">
        <v>66.0</v>
      </c>
      <c r="B69" s="41" t="s">
        <v>714</v>
      </c>
      <c r="C69" s="41" t="s">
        <v>715</v>
      </c>
      <c r="D69" s="55">
        <f t="shared" si="2"/>
        <v>20</v>
      </c>
      <c r="E69" s="55">
        <f t="shared" si="3"/>
        <v>28</v>
      </c>
      <c r="F69" s="55">
        <f t="shared" si="4"/>
        <v>48</v>
      </c>
      <c r="G69" s="62">
        <f t="shared" si="5"/>
        <v>41.66666667</v>
      </c>
      <c r="H69" s="63" t="s">
        <v>183</v>
      </c>
      <c r="I69" s="63" t="s">
        <v>183</v>
      </c>
      <c r="J69" s="63" t="s">
        <v>183</v>
      </c>
      <c r="K69" s="63" t="s">
        <v>183</v>
      </c>
      <c r="L69" s="63" t="s">
        <v>183</v>
      </c>
      <c r="M69" s="63" t="s">
        <v>183</v>
      </c>
      <c r="N69" s="22"/>
      <c r="O69" s="63" t="s">
        <v>179</v>
      </c>
      <c r="P69" s="63" t="s">
        <v>179</v>
      </c>
      <c r="Q69" s="65" t="s">
        <v>183</v>
      </c>
      <c r="R69" s="65" t="s">
        <v>183</v>
      </c>
      <c r="S69" s="65" t="s">
        <v>183</v>
      </c>
      <c r="T69" s="65" t="s">
        <v>183</v>
      </c>
      <c r="U69" s="22"/>
      <c r="V69" s="63" t="s">
        <v>179</v>
      </c>
      <c r="W69" s="63" t="s">
        <v>179</v>
      </c>
      <c r="X69" s="63" t="s">
        <v>179</v>
      </c>
      <c r="Y69" s="63" t="s">
        <v>183</v>
      </c>
      <c r="Z69" s="63" t="s">
        <v>179</v>
      </c>
      <c r="AA69" s="63" t="s">
        <v>179</v>
      </c>
      <c r="AB69" s="22"/>
      <c r="AC69" s="63" t="s">
        <v>179</v>
      </c>
      <c r="AD69" s="63" t="s">
        <v>183</v>
      </c>
      <c r="AE69" s="63" t="s">
        <v>179</v>
      </c>
      <c r="AF69" s="63" t="s">
        <v>179</v>
      </c>
      <c r="AG69" s="63" t="s">
        <v>179</v>
      </c>
      <c r="AH69" s="63" t="s">
        <v>179</v>
      </c>
      <c r="AI69" s="22"/>
      <c r="AJ69" s="65" t="s">
        <v>183</v>
      </c>
      <c r="AK69" s="63" t="s">
        <v>179</v>
      </c>
      <c r="AL69" s="63" t="s">
        <v>179</v>
      </c>
      <c r="AM69" s="63" t="s">
        <v>179</v>
      </c>
      <c r="AN69" s="63" t="s">
        <v>183</v>
      </c>
      <c r="AO69" s="63" t="s">
        <v>183</v>
      </c>
      <c r="AP69" s="22"/>
      <c r="AQ69" s="65" t="s">
        <v>183</v>
      </c>
      <c r="AR69" s="65" t="s">
        <v>183</v>
      </c>
      <c r="AS69" s="65" t="s">
        <v>183</v>
      </c>
      <c r="AT69" s="35" t="s">
        <v>179</v>
      </c>
      <c r="AU69" s="35" t="s">
        <v>179</v>
      </c>
      <c r="AV69" s="35" t="s">
        <v>179</v>
      </c>
      <c r="AW69" s="22"/>
      <c r="AX69" s="35" t="s">
        <v>183</v>
      </c>
      <c r="AY69" s="35" t="s">
        <v>179</v>
      </c>
      <c r="AZ69" s="35" t="s">
        <v>183</v>
      </c>
      <c r="BA69" s="35" t="s">
        <v>179</v>
      </c>
      <c r="BB69" s="35" t="s">
        <v>183</v>
      </c>
      <c r="BC69" s="35" t="s">
        <v>183</v>
      </c>
      <c r="BD69" s="22"/>
      <c r="BE69" s="35" t="s">
        <v>183</v>
      </c>
      <c r="BF69" s="35" t="s">
        <v>183</v>
      </c>
      <c r="BG69" s="35" t="s">
        <v>183</v>
      </c>
      <c r="BH69" s="35" t="s">
        <v>183</v>
      </c>
      <c r="BI69" s="35" t="s">
        <v>183</v>
      </c>
      <c r="BJ69" s="35" t="s">
        <v>183</v>
      </c>
      <c r="BK69" s="22"/>
      <c r="BL69" s="74"/>
      <c r="BM69" s="74"/>
      <c r="BN69" s="74"/>
      <c r="BO69" s="74"/>
      <c r="BP69" s="74"/>
      <c r="BQ69" s="74"/>
      <c r="BR69" s="74"/>
      <c r="BS69" s="74"/>
      <c r="BT69" s="74"/>
      <c r="BU69" s="74"/>
      <c r="BV69" s="74"/>
    </row>
    <row r="70">
      <c r="A70" s="31">
        <v>67.0</v>
      </c>
      <c r="B70" s="32" t="s">
        <v>721</v>
      </c>
      <c r="C70" s="32" t="s">
        <v>723</v>
      </c>
      <c r="D70" s="55">
        <f t="shared" si="2"/>
        <v>38</v>
      </c>
      <c r="E70" s="55">
        <f t="shared" si="3"/>
        <v>10</v>
      </c>
      <c r="F70" s="55">
        <f t="shared" si="4"/>
        <v>48</v>
      </c>
      <c r="G70" s="62">
        <f t="shared" si="5"/>
        <v>79.16666667</v>
      </c>
      <c r="H70" s="63" t="s">
        <v>179</v>
      </c>
      <c r="I70" s="63" t="s">
        <v>179</v>
      </c>
      <c r="J70" s="63" t="s">
        <v>179</v>
      </c>
      <c r="K70" s="63" t="s">
        <v>179</v>
      </c>
      <c r="L70" s="63" t="s">
        <v>179</v>
      </c>
      <c r="M70" s="63" t="s">
        <v>179</v>
      </c>
      <c r="N70" s="22"/>
      <c r="O70" s="63" t="s">
        <v>179</v>
      </c>
      <c r="P70" s="63" t="s">
        <v>179</v>
      </c>
      <c r="Q70" s="65" t="s">
        <v>179</v>
      </c>
      <c r="R70" s="65" t="s">
        <v>179</v>
      </c>
      <c r="S70" s="65" t="s">
        <v>179</v>
      </c>
      <c r="T70" s="65" t="s">
        <v>179</v>
      </c>
      <c r="U70" s="22"/>
      <c r="V70" s="63" t="s">
        <v>179</v>
      </c>
      <c r="W70" s="63" t="s">
        <v>179</v>
      </c>
      <c r="X70" s="63" t="s">
        <v>179</v>
      </c>
      <c r="Y70" s="63" t="s">
        <v>179</v>
      </c>
      <c r="Z70" s="63" t="s">
        <v>179</v>
      </c>
      <c r="AA70" s="63" t="s">
        <v>179</v>
      </c>
      <c r="AB70" s="22"/>
      <c r="AC70" s="63" t="s">
        <v>179</v>
      </c>
      <c r="AD70" s="63" t="s">
        <v>179</v>
      </c>
      <c r="AE70" s="63" t="s">
        <v>179</v>
      </c>
      <c r="AF70" s="63" t="s">
        <v>179</v>
      </c>
      <c r="AG70" s="63" t="s">
        <v>183</v>
      </c>
      <c r="AH70" s="63" t="s">
        <v>179</v>
      </c>
      <c r="AI70" s="22"/>
      <c r="AJ70" s="65" t="s">
        <v>183</v>
      </c>
      <c r="AK70" s="63" t="s">
        <v>179</v>
      </c>
      <c r="AL70" s="63" t="s">
        <v>179</v>
      </c>
      <c r="AM70" s="63" t="s">
        <v>179</v>
      </c>
      <c r="AN70" s="63" t="s">
        <v>179</v>
      </c>
      <c r="AO70" s="63" t="s">
        <v>183</v>
      </c>
      <c r="AP70" s="22"/>
      <c r="AQ70" s="65" t="s">
        <v>179</v>
      </c>
      <c r="AR70" s="65" t="s">
        <v>179</v>
      </c>
      <c r="AS70" s="65" t="s">
        <v>179</v>
      </c>
      <c r="AT70" s="65" t="s">
        <v>179</v>
      </c>
      <c r="AU70" s="65" t="s">
        <v>179</v>
      </c>
      <c r="AV70" s="65" t="s">
        <v>179</v>
      </c>
      <c r="AW70" s="22"/>
      <c r="AX70" s="65" t="s">
        <v>179</v>
      </c>
      <c r="AY70" s="65" t="s">
        <v>179</v>
      </c>
      <c r="AZ70" s="65" t="s">
        <v>179</v>
      </c>
      <c r="BA70" s="65" t="s">
        <v>183</v>
      </c>
      <c r="BB70" s="65" t="s">
        <v>179</v>
      </c>
      <c r="BC70" s="65" t="s">
        <v>183</v>
      </c>
      <c r="BD70" s="22"/>
      <c r="BE70" s="65" t="s">
        <v>183</v>
      </c>
      <c r="BF70" s="65" t="s">
        <v>179</v>
      </c>
      <c r="BG70" s="65" t="s">
        <v>183</v>
      </c>
      <c r="BH70" s="65" t="s">
        <v>183</v>
      </c>
      <c r="BI70" s="65" t="s">
        <v>183</v>
      </c>
      <c r="BJ70" s="65" t="s">
        <v>183</v>
      </c>
      <c r="BK70" s="22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</row>
    <row r="71">
      <c r="A71" s="31">
        <v>68.0</v>
      </c>
      <c r="B71" s="32" t="s">
        <v>727</v>
      </c>
      <c r="C71" s="32" t="s">
        <v>728</v>
      </c>
      <c r="D71" s="55">
        <f t="shared" si="2"/>
        <v>38</v>
      </c>
      <c r="E71" s="55">
        <f t="shared" si="3"/>
        <v>10</v>
      </c>
      <c r="F71" s="55">
        <f t="shared" si="4"/>
        <v>48</v>
      </c>
      <c r="G71" s="62">
        <f t="shared" si="5"/>
        <v>79.16666667</v>
      </c>
      <c r="H71" s="63" t="s">
        <v>179</v>
      </c>
      <c r="I71" s="63" t="s">
        <v>179</v>
      </c>
      <c r="J71" s="63" t="s">
        <v>179</v>
      </c>
      <c r="K71" s="63" t="s">
        <v>179</v>
      </c>
      <c r="L71" s="63" t="s">
        <v>179</v>
      </c>
      <c r="M71" s="63" t="s">
        <v>179</v>
      </c>
      <c r="N71" s="22"/>
      <c r="O71" s="63" t="s">
        <v>179</v>
      </c>
      <c r="P71" s="63" t="s">
        <v>179</v>
      </c>
      <c r="Q71" s="65" t="s">
        <v>179</v>
      </c>
      <c r="R71" s="65" t="s">
        <v>179</v>
      </c>
      <c r="S71" s="65" t="s">
        <v>179</v>
      </c>
      <c r="T71" s="65" t="s">
        <v>179</v>
      </c>
      <c r="U71" s="22"/>
      <c r="V71" s="63" t="s">
        <v>179</v>
      </c>
      <c r="W71" s="63" t="s">
        <v>179</v>
      </c>
      <c r="X71" s="63" t="s">
        <v>183</v>
      </c>
      <c r="Y71" s="63" t="s">
        <v>179</v>
      </c>
      <c r="Z71" s="63" t="s">
        <v>179</v>
      </c>
      <c r="AA71" s="63" t="s">
        <v>179</v>
      </c>
      <c r="AB71" s="22"/>
      <c r="AC71" s="63" t="s">
        <v>179</v>
      </c>
      <c r="AD71" s="63" t="s">
        <v>179</v>
      </c>
      <c r="AE71" s="63" t="s">
        <v>179</v>
      </c>
      <c r="AF71" s="63" t="s">
        <v>179</v>
      </c>
      <c r="AG71" s="63" t="s">
        <v>179</v>
      </c>
      <c r="AH71" s="63" t="s">
        <v>179</v>
      </c>
      <c r="AI71" s="22"/>
      <c r="AJ71" s="65" t="s">
        <v>183</v>
      </c>
      <c r="AK71" s="63" t="s">
        <v>179</v>
      </c>
      <c r="AL71" s="63" t="s">
        <v>179</v>
      </c>
      <c r="AM71" s="63" t="s">
        <v>179</v>
      </c>
      <c r="AN71" s="63" t="s">
        <v>179</v>
      </c>
      <c r="AO71" s="63" t="s">
        <v>179</v>
      </c>
      <c r="AP71" s="22"/>
      <c r="AQ71" s="65" t="s">
        <v>183</v>
      </c>
      <c r="AR71" s="65" t="s">
        <v>179</v>
      </c>
      <c r="AS71" s="65" t="s">
        <v>179</v>
      </c>
      <c r="AT71" s="65" t="s">
        <v>179</v>
      </c>
      <c r="AU71" s="65" t="s">
        <v>179</v>
      </c>
      <c r="AV71" s="65" t="s">
        <v>179</v>
      </c>
      <c r="AW71" s="22"/>
      <c r="AX71" s="65" t="s">
        <v>179</v>
      </c>
      <c r="AY71" s="65" t="s">
        <v>179</v>
      </c>
      <c r="AZ71" s="65" t="s">
        <v>183</v>
      </c>
      <c r="BA71" s="65" t="s">
        <v>183</v>
      </c>
      <c r="BB71" s="65" t="s">
        <v>183</v>
      </c>
      <c r="BC71" s="65" t="s">
        <v>179</v>
      </c>
      <c r="BD71" s="22"/>
      <c r="BE71" s="65" t="s">
        <v>179</v>
      </c>
      <c r="BF71" s="65" t="s">
        <v>179</v>
      </c>
      <c r="BG71" s="65" t="s">
        <v>183</v>
      </c>
      <c r="BH71" s="65" t="s">
        <v>183</v>
      </c>
      <c r="BI71" s="65" t="s">
        <v>183</v>
      </c>
      <c r="BJ71" s="65" t="s">
        <v>183</v>
      </c>
      <c r="BK71" s="22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</row>
    <row r="72">
      <c r="A72" s="31">
        <v>69.0</v>
      </c>
      <c r="B72" s="32" t="s">
        <v>734</v>
      </c>
      <c r="C72" s="32" t="s">
        <v>735</v>
      </c>
      <c r="D72" s="55">
        <f t="shared" si="2"/>
        <v>33</v>
      </c>
      <c r="E72" s="55">
        <f t="shared" si="3"/>
        <v>15</v>
      </c>
      <c r="F72" s="55">
        <f t="shared" si="4"/>
        <v>48</v>
      </c>
      <c r="G72" s="62">
        <f t="shared" si="5"/>
        <v>68.75</v>
      </c>
      <c r="H72" s="63" t="s">
        <v>183</v>
      </c>
      <c r="I72" s="63" t="s">
        <v>183</v>
      </c>
      <c r="J72" s="63" t="s">
        <v>183</v>
      </c>
      <c r="K72" s="63" t="s">
        <v>179</v>
      </c>
      <c r="L72" s="63" t="s">
        <v>179</v>
      </c>
      <c r="M72" s="63" t="s">
        <v>179</v>
      </c>
      <c r="N72" s="22"/>
      <c r="O72" s="63" t="s">
        <v>179</v>
      </c>
      <c r="P72" s="63" t="s">
        <v>179</v>
      </c>
      <c r="Q72" s="65" t="s">
        <v>179</v>
      </c>
      <c r="R72" s="65" t="s">
        <v>179</v>
      </c>
      <c r="S72" s="65" t="s">
        <v>179</v>
      </c>
      <c r="T72" s="65" t="s">
        <v>179</v>
      </c>
      <c r="U72" s="22"/>
      <c r="V72" s="63" t="s">
        <v>179</v>
      </c>
      <c r="W72" s="63" t="s">
        <v>179</v>
      </c>
      <c r="X72" s="63" t="s">
        <v>179</v>
      </c>
      <c r="Y72" s="63" t="s">
        <v>179</v>
      </c>
      <c r="Z72" s="63" t="s">
        <v>179</v>
      </c>
      <c r="AA72" s="63" t="s">
        <v>179</v>
      </c>
      <c r="AB72" s="22"/>
      <c r="AC72" s="63" t="s">
        <v>179</v>
      </c>
      <c r="AD72" s="63" t="s">
        <v>179</v>
      </c>
      <c r="AE72" s="63" t="s">
        <v>179</v>
      </c>
      <c r="AF72" s="63" t="s">
        <v>179</v>
      </c>
      <c r="AG72" s="63" t="s">
        <v>179</v>
      </c>
      <c r="AH72" s="63" t="s">
        <v>183</v>
      </c>
      <c r="AI72" s="22"/>
      <c r="AJ72" s="65" t="s">
        <v>179</v>
      </c>
      <c r="AK72" s="63" t="s">
        <v>179</v>
      </c>
      <c r="AL72" s="63" t="s">
        <v>179</v>
      </c>
      <c r="AM72" s="63" t="s">
        <v>179</v>
      </c>
      <c r="AN72" s="63" t="s">
        <v>179</v>
      </c>
      <c r="AO72" s="63" t="s">
        <v>183</v>
      </c>
      <c r="AP72" s="22"/>
      <c r="AQ72" s="65" t="s">
        <v>179</v>
      </c>
      <c r="AR72" s="65" t="s">
        <v>179</v>
      </c>
      <c r="AS72" s="65" t="s">
        <v>179</v>
      </c>
      <c r="AT72" s="65" t="s">
        <v>179</v>
      </c>
      <c r="AU72" s="65" t="s">
        <v>179</v>
      </c>
      <c r="AV72" s="65" t="s">
        <v>179</v>
      </c>
      <c r="AW72" s="22"/>
      <c r="AX72" s="65" t="s">
        <v>183</v>
      </c>
      <c r="AY72" s="65" t="s">
        <v>183</v>
      </c>
      <c r="AZ72" s="65" t="s">
        <v>183</v>
      </c>
      <c r="BA72" s="65" t="s">
        <v>183</v>
      </c>
      <c r="BB72" s="65" t="s">
        <v>179</v>
      </c>
      <c r="BC72" s="65" t="s">
        <v>183</v>
      </c>
      <c r="BD72" s="22"/>
      <c r="BE72" s="65" t="s">
        <v>183</v>
      </c>
      <c r="BF72" s="65" t="s">
        <v>183</v>
      </c>
      <c r="BG72" s="65" t="s">
        <v>183</v>
      </c>
      <c r="BH72" s="65" t="s">
        <v>179</v>
      </c>
      <c r="BI72" s="65" t="s">
        <v>183</v>
      </c>
      <c r="BJ72" s="65" t="s">
        <v>183</v>
      </c>
      <c r="BK72" s="22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</row>
    <row r="73">
      <c r="A73" s="31">
        <v>70.0</v>
      </c>
      <c r="B73" s="32" t="s">
        <v>738</v>
      </c>
      <c r="C73" s="32" t="s">
        <v>739</v>
      </c>
      <c r="D73" s="55">
        <f t="shared" si="2"/>
        <v>32</v>
      </c>
      <c r="E73" s="55">
        <f t="shared" si="3"/>
        <v>16</v>
      </c>
      <c r="F73" s="55">
        <f t="shared" si="4"/>
        <v>48</v>
      </c>
      <c r="G73" s="62">
        <f t="shared" si="5"/>
        <v>66.66666667</v>
      </c>
      <c r="H73" s="63" t="s">
        <v>183</v>
      </c>
      <c r="I73" s="63" t="s">
        <v>183</v>
      </c>
      <c r="J73" s="63" t="s">
        <v>183</v>
      </c>
      <c r="K73" s="63" t="s">
        <v>183</v>
      </c>
      <c r="L73" s="63" t="s">
        <v>183</v>
      </c>
      <c r="M73" s="63" t="s">
        <v>179</v>
      </c>
      <c r="N73" s="22"/>
      <c r="O73" s="63" t="s">
        <v>179</v>
      </c>
      <c r="P73" s="63" t="s">
        <v>179</v>
      </c>
      <c r="Q73" s="65" t="s">
        <v>179</v>
      </c>
      <c r="R73" s="65" t="s">
        <v>179</v>
      </c>
      <c r="S73" s="65" t="s">
        <v>179</v>
      </c>
      <c r="T73" s="65" t="s">
        <v>179</v>
      </c>
      <c r="U73" s="22"/>
      <c r="V73" s="63" t="s">
        <v>179</v>
      </c>
      <c r="W73" s="63" t="s">
        <v>179</v>
      </c>
      <c r="X73" s="63" t="s">
        <v>179</v>
      </c>
      <c r="Y73" s="63" t="s">
        <v>179</v>
      </c>
      <c r="Z73" s="63" t="s">
        <v>179</v>
      </c>
      <c r="AA73" s="63" t="s">
        <v>179</v>
      </c>
      <c r="AB73" s="22"/>
      <c r="AC73" s="63" t="s">
        <v>179</v>
      </c>
      <c r="AD73" s="63" t="s">
        <v>179</v>
      </c>
      <c r="AE73" s="63" t="s">
        <v>179</v>
      </c>
      <c r="AF73" s="63" t="s">
        <v>179</v>
      </c>
      <c r="AG73" s="63" t="s">
        <v>179</v>
      </c>
      <c r="AH73" s="63" t="s">
        <v>179</v>
      </c>
      <c r="AI73" s="22"/>
      <c r="AJ73" s="65" t="s">
        <v>179</v>
      </c>
      <c r="AK73" s="63" t="s">
        <v>179</v>
      </c>
      <c r="AL73" s="63" t="s">
        <v>179</v>
      </c>
      <c r="AM73" s="63" t="s">
        <v>179</v>
      </c>
      <c r="AN73" s="63" t="s">
        <v>183</v>
      </c>
      <c r="AO73" s="63" t="s">
        <v>179</v>
      </c>
      <c r="AP73" s="22"/>
      <c r="AQ73" s="65" t="s">
        <v>179</v>
      </c>
      <c r="AR73" s="65" t="s">
        <v>179</v>
      </c>
      <c r="AS73" s="65" t="s">
        <v>179</v>
      </c>
      <c r="AT73" s="65" t="s">
        <v>179</v>
      </c>
      <c r="AU73" s="65" t="s">
        <v>183</v>
      </c>
      <c r="AV73" s="65" t="s">
        <v>179</v>
      </c>
      <c r="AW73" s="22"/>
      <c r="AX73" s="65" t="s">
        <v>183</v>
      </c>
      <c r="AY73" s="65" t="s">
        <v>179</v>
      </c>
      <c r="AZ73" s="65" t="s">
        <v>179</v>
      </c>
      <c r="BA73" s="65" t="s">
        <v>183</v>
      </c>
      <c r="BB73" s="65" t="s">
        <v>179</v>
      </c>
      <c r="BC73" s="65" t="s">
        <v>183</v>
      </c>
      <c r="BD73" s="22"/>
      <c r="BE73" s="65" t="s">
        <v>183</v>
      </c>
      <c r="BF73" s="65" t="s">
        <v>183</v>
      </c>
      <c r="BG73" s="65" t="s">
        <v>183</v>
      </c>
      <c r="BH73" s="65" t="s">
        <v>183</v>
      </c>
      <c r="BI73" s="65" t="s">
        <v>183</v>
      </c>
      <c r="BJ73" s="65" t="s">
        <v>183</v>
      </c>
      <c r="BK73" s="22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</row>
    <row r="74">
      <c r="A74" s="31">
        <v>71.0</v>
      </c>
      <c r="B74" s="32" t="s">
        <v>743</v>
      </c>
      <c r="C74" s="32" t="s">
        <v>744</v>
      </c>
      <c r="D74" s="55">
        <f t="shared" si="2"/>
        <v>36</v>
      </c>
      <c r="E74" s="55">
        <f t="shared" si="3"/>
        <v>12</v>
      </c>
      <c r="F74" s="55">
        <f t="shared" si="4"/>
        <v>48</v>
      </c>
      <c r="G74" s="62">
        <f t="shared" si="5"/>
        <v>75</v>
      </c>
      <c r="H74" s="63" t="s">
        <v>179</v>
      </c>
      <c r="I74" s="63" t="s">
        <v>179</v>
      </c>
      <c r="J74" s="63" t="s">
        <v>179</v>
      </c>
      <c r="K74" s="63" t="s">
        <v>179</v>
      </c>
      <c r="L74" s="63" t="s">
        <v>179</v>
      </c>
      <c r="M74" s="63" t="s">
        <v>183</v>
      </c>
      <c r="N74" s="22"/>
      <c r="O74" s="63" t="s">
        <v>179</v>
      </c>
      <c r="P74" s="63" t="s">
        <v>179</v>
      </c>
      <c r="Q74" s="65" t="s">
        <v>179</v>
      </c>
      <c r="R74" s="65" t="s">
        <v>183</v>
      </c>
      <c r="S74" s="65" t="s">
        <v>179</v>
      </c>
      <c r="T74" s="65" t="s">
        <v>179</v>
      </c>
      <c r="U74" s="22"/>
      <c r="V74" s="63" t="s">
        <v>179</v>
      </c>
      <c r="W74" s="63" t="s">
        <v>179</v>
      </c>
      <c r="X74" s="63" t="s">
        <v>179</v>
      </c>
      <c r="Y74" s="63" t="s">
        <v>179</v>
      </c>
      <c r="Z74" s="63" t="s">
        <v>179</v>
      </c>
      <c r="AA74" s="63" t="s">
        <v>179</v>
      </c>
      <c r="AB74" s="22"/>
      <c r="AC74" s="63" t="s">
        <v>179</v>
      </c>
      <c r="AD74" s="63" t="s">
        <v>183</v>
      </c>
      <c r="AE74" s="63" t="s">
        <v>179</v>
      </c>
      <c r="AF74" s="63" t="s">
        <v>179</v>
      </c>
      <c r="AG74" s="63" t="s">
        <v>179</v>
      </c>
      <c r="AH74" s="63" t="s">
        <v>179</v>
      </c>
      <c r="AI74" s="22"/>
      <c r="AJ74" s="65" t="s">
        <v>183</v>
      </c>
      <c r="AK74" s="63" t="s">
        <v>179</v>
      </c>
      <c r="AL74" s="63" t="s">
        <v>183</v>
      </c>
      <c r="AM74" s="63" t="s">
        <v>179</v>
      </c>
      <c r="AN74" s="63" t="s">
        <v>183</v>
      </c>
      <c r="AO74" s="63" t="s">
        <v>183</v>
      </c>
      <c r="AP74" s="22"/>
      <c r="AQ74" s="65" t="s">
        <v>179</v>
      </c>
      <c r="AR74" s="65" t="s">
        <v>179</v>
      </c>
      <c r="AS74" s="65" t="s">
        <v>179</v>
      </c>
      <c r="AT74" s="65" t="s">
        <v>179</v>
      </c>
      <c r="AU74" s="65" t="s">
        <v>179</v>
      </c>
      <c r="AV74" s="65" t="s">
        <v>179</v>
      </c>
      <c r="AW74" s="22"/>
      <c r="AX74" s="65" t="s">
        <v>179</v>
      </c>
      <c r="AY74" s="65" t="s">
        <v>179</v>
      </c>
      <c r="AZ74" s="65" t="s">
        <v>179</v>
      </c>
      <c r="BA74" s="65" t="s">
        <v>179</v>
      </c>
      <c r="BB74" s="65" t="s">
        <v>179</v>
      </c>
      <c r="BC74" s="65" t="s">
        <v>179</v>
      </c>
      <c r="BD74" s="22"/>
      <c r="BE74" s="65" t="s">
        <v>183</v>
      </c>
      <c r="BF74" s="65" t="s">
        <v>179</v>
      </c>
      <c r="BG74" s="65" t="s">
        <v>183</v>
      </c>
      <c r="BH74" s="65" t="s">
        <v>183</v>
      </c>
      <c r="BI74" s="65" t="s">
        <v>183</v>
      </c>
      <c r="BJ74" s="65" t="s">
        <v>183</v>
      </c>
      <c r="BK74" s="22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</row>
    <row r="75">
      <c r="A75" s="31">
        <v>72.0</v>
      </c>
      <c r="B75" s="32" t="s">
        <v>747</v>
      </c>
      <c r="C75" s="32" t="s">
        <v>717</v>
      </c>
      <c r="D75" s="55">
        <f t="shared" si="2"/>
        <v>28</v>
      </c>
      <c r="E75" s="55">
        <f t="shared" si="3"/>
        <v>20</v>
      </c>
      <c r="F75" s="55">
        <f t="shared" si="4"/>
        <v>48</v>
      </c>
      <c r="G75" s="62">
        <f t="shared" si="5"/>
        <v>58.33333333</v>
      </c>
      <c r="H75" s="63" t="s">
        <v>179</v>
      </c>
      <c r="I75" s="63" t="s">
        <v>179</v>
      </c>
      <c r="J75" s="63" t="s">
        <v>179</v>
      </c>
      <c r="K75" s="63" t="s">
        <v>183</v>
      </c>
      <c r="L75" s="63" t="s">
        <v>179</v>
      </c>
      <c r="M75" s="63" t="s">
        <v>179</v>
      </c>
      <c r="N75" s="22"/>
      <c r="O75" s="63" t="s">
        <v>179</v>
      </c>
      <c r="P75" s="63" t="s">
        <v>179</v>
      </c>
      <c r="Q75" s="65" t="s">
        <v>179</v>
      </c>
      <c r="R75" s="65" t="s">
        <v>179</v>
      </c>
      <c r="S75" s="65" t="s">
        <v>179</v>
      </c>
      <c r="T75" s="65" t="s">
        <v>179</v>
      </c>
      <c r="U75" s="22"/>
      <c r="V75" s="63" t="s">
        <v>179</v>
      </c>
      <c r="W75" s="63" t="s">
        <v>179</v>
      </c>
      <c r="X75" s="63" t="s">
        <v>179</v>
      </c>
      <c r="Y75" s="63" t="s">
        <v>179</v>
      </c>
      <c r="Z75" s="63" t="s">
        <v>179</v>
      </c>
      <c r="AA75" s="63" t="s">
        <v>183</v>
      </c>
      <c r="AB75" s="22"/>
      <c r="AC75" s="63" t="s">
        <v>179</v>
      </c>
      <c r="AD75" s="63" t="s">
        <v>179</v>
      </c>
      <c r="AE75" s="63" t="s">
        <v>179</v>
      </c>
      <c r="AF75" s="63" t="s">
        <v>183</v>
      </c>
      <c r="AG75" s="63" t="s">
        <v>183</v>
      </c>
      <c r="AH75" s="63" t="s">
        <v>183</v>
      </c>
      <c r="AI75" s="22"/>
      <c r="AJ75" s="65" t="s">
        <v>183</v>
      </c>
      <c r="AK75" s="63" t="s">
        <v>183</v>
      </c>
      <c r="AL75" s="63" t="s">
        <v>179</v>
      </c>
      <c r="AM75" s="63" t="s">
        <v>179</v>
      </c>
      <c r="AN75" s="63" t="s">
        <v>183</v>
      </c>
      <c r="AO75" s="63" t="s">
        <v>183</v>
      </c>
      <c r="AP75" s="22"/>
      <c r="AQ75" s="65" t="s">
        <v>179</v>
      </c>
      <c r="AR75" s="65" t="s">
        <v>179</v>
      </c>
      <c r="AS75" s="65" t="s">
        <v>179</v>
      </c>
      <c r="AT75" s="65" t="s">
        <v>179</v>
      </c>
      <c r="AU75" s="65" t="s">
        <v>179</v>
      </c>
      <c r="AV75" s="65" t="s">
        <v>183</v>
      </c>
      <c r="AW75" s="22"/>
      <c r="AX75" s="65" t="s">
        <v>179</v>
      </c>
      <c r="AY75" s="65" t="s">
        <v>183</v>
      </c>
      <c r="AZ75" s="65" t="s">
        <v>183</v>
      </c>
      <c r="BA75" s="65" t="s">
        <v>183</v>
      </c>
      <c r="BB75" s="65" t="s">
        <v>179</v>
      </c>
      <c r="BC75" s="65" t="s">
        <v>183</v>
      </c>
      <c r="BD75" s="22"/>
      <c r="BE75" s="65" t="s">
        <v>183</v>
      </c>
      <c r="BF75" s="65" t="s">
        <v>183</v>
      </c>
      <c r="BG75" s="65" t="s">
        <v>183</v>
      </c>
      <c r="BH75" s="65" t="s">
        <v>183</v>
      </c>
      <c r="BI75" s="65" t="s">
        <v>183</v>
      </c>
      <c r="BJ75" s="65" t="s">
        <v>183</v>
      </c>
      <c r="BK75" s="22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</row>
    <row r="76">
      <c r="A76" s="31">
        <v>73.0</v>
      </c>
      <c r="B76" s="41" t="s">
        <v>752</v>
      </c>
      <c r="C76" s="41" t="s">
        <v>753</v>
      </c>
      <c r="D76" s="55">
        <f t="shared" si="2"/>
        <v>30</v>
      </c>
      <c r="E76" s="55">
        <f t="shared" si="3"/>
        <v>18</v>
      </c>
      <c r="F76" s="55">
        <f t="shared" si="4"/>
        <v>48</v>
      </c>
      <c r="G76" s="62">
        <f t="shared" si="5"/>
        <v>62.5</v>
      </c>
      <c r="H76" s="63" t="s">
        <v>183</v>
      </c>
      <c r="I76" s="63" t="s">
        <v>183</v>
      </c>
      <c r="J76" s="63" t="s">
        <v>183</v>
      </c>
      <c r="K76" s="63" t="s">
        <v>183</v>
      </c>
      <c r="L76" s="63" t="s">
        <v>183</v>
      </c>
      <c r="M76" s="63" t="s">
        <v>183</v>
      </c>
      <c r="N76" s="22"/>
      <c r="O76" s="65" t="s">
        <v>183</v>
      </c>
      <c r="P76" s="65" t="s">
        <v>183</v>
      </c>
      <c r="Q76" s="65" t="s">
        <v>183</v>
      </c>
      <c r="R76" s="35" t="s">
        <v>183</v>
      </c>
      <c r="S76" s="35" t="s">
        <v>183</v>
      </c>
      <c r="T76" s="35" t="s">
        <v>183</v>
      </c>
      <c r="U76" s="22"/>
      <c r="V76" s="73" t="s">
        <v>183</v>
      </c>
      <c r="W76" s="73" t="s">
        <v>720</v>
      </c>
      <c r="X76" s="73" t="s">
        <v>179</v>
      </c>
      <c r="Y76" s="73" t="s">
        <v>720</v>
      </c>
      <c r="Z76" s="73" t="s">
        <v>179</v>
      </c>
      <c r="AA76" s="73" t="s">
        <v>179</v>
      </c>
      <c r="AB76" s="22"/>
      <c r="AC76" s="73" t="s">
        <v>179</v>
      </c>
      <c r="AD76" s="73" t="s">
        <v>179</v>
      </c>
      <c r="AE76" s="73" t="s">
        <v>179</v>
      </c>
      <c r="AF76" s="73" t="s">
        <v>179</v>
      </c>
      <c r="AG76" s="73" t="s">
        <v>179</v>
      </c>
      <c r="AH76" s="73" t="s">
        <v>179</v>
      </c>
      <c r="AI76" s="22"/>
      <c r="AJ76" s="35" t="s">
        <v>179</v>
      </c>
      <c r="AK76" s="63" t="s">
        <v>179</v>
      </c>
      <c r="AL76" s="63" t="s">
        <v>179</v>
      </c>
      <c r="AM76" s="63" t="s">
        <v>179</v>
      </c>
      <c r="AN76" s="63" t="s">
        <v>179</v>
      </c>
      <c r="AO76" s="63" t="s">
        <v>179</v>
      </c>
      <c r="AP76" s="22"/>
      <c r="AQ76" s="35" t="s">
        <v>179</v>
      </c>
      <c r="AR76" s="35" t="s">
        <v>179</v>
      </c>
      <c r="AS76" s="35" t="s">
        <v>183</v>
      </c>
      <c r="AT76" s="35" t="s">
        <v>179</v>
      </c>
      <c r="AU76" s="35" t="s">
        <v>183</v>
      </c>
      <c r="AV76" s="35" t="s">
        <v>179</v>
      </c>
      <c r="AW76" s="22"/>
      <c r="AX76" s="35" t="s">
        <v>179</v>
      </c>
      <c r="AY76" s="35" t="s">
        <v>179</v>
      </c>
      <c r="AZ76" s="35" t="s">
        <v>179</v>
      </c>
      <c r="BA76" s="35" t="s">
        <v>179</v>
      </c>
      <c r="BB76" s="35" t="s">
        <v>179</v>
      </c>
      <c r="BC76" s="35" t="s">
        <v>179</v>
      </c>
      <c r="BD76" s="22"/>
      <c r="BE76" s="35" t="s">
        <v>179</v>
      </c>
      <c r="BF76" s="35" t="s">
        <v>179</v>
      </c>
      <c r="BG76" s="35" t="s">
        <v>183</v>
      </c>
      <c r="BH76" s="35" t="s">
        <v>183</v>
      </c>
      <c r="BI76" s="35" t="s">
        <v>183</v>
      </c>
      <c r="BJ76" s="35" t="s">
        <v>179</v>
      </c>
      <c r="BK76" s="22"/>
      <c r="BL76" s="74"/>
      <c r="BM76" s="74"/>
      <c r="BN76" s="74"/>
      <c r="BO76" s="74"/>
      <c r="BP76" s="74"/>
      <c r="BQ76" s="74"/>
      <c r="BR76" s="74"/>
      <c r="BS76" s="74"/>
      <c r="BT76" s="74"/>
      <c r="BU76" s="74"/>
      <c r="BV76" s="74"/>
    </row>
    <row r="77">
      <c r="A77" s="31">
        <v>74.0</v>
      </c>
      <c r="B77" s="41" t="s">
        <v>758</v>
      </c>
      <c r="C77" s="41" t="s">
        <v>759</v>
      </c>
      <c r="D77" s="55">
        <f t="shared" si="2"/>
        <v>26</v>
      </c>
      <c r="E77" s="55">
        <f t="shared" si="3"/>
        <v>7</v>
      </c>
      <c r="F77" s="55">
        <f t="shared" si="4"/>
        <v>33</v>
      </c>
      <c r="G77" s="62">
        <f t="shared" si="5"/>
        <v>78.78787879</v>
      </c>
      <c r="H77" s="63" t="s">
        <v>260</v>
      </c>
      <c r="I77" s="63" t="s">
        <v>260</v>
      </c>
      <c r="J77" s="63" t="s">
        <v>260</v>
      </c>
      <c r="K77" s="63" t="s">
        <v>260</v>
      </c>
      <c r="L77" s="63" t="s">
        <v>260</v>
      </c>
      <c r="M77" s="63" t="s">
        <v>260</v>
      </c>
      <c r="N77" s="22"/>
      <c r="O77" s="63" t="s">
        <v>260</v>
      </c>
      <c r="P77" s="63" t="s">
        <v>260</v>
      </c>
      <c r="Q77" s="63" t="s">
        <v>260</v>
      </c>
      <c r="R77" s="63" t="s">
        <v>260</v>
      </c>
      <c r="S77" s="63" t="s">
        <v>260</v>
      </c>
      <c r="T77" s="63" t="s">
        <v>260</v>
      </c>
      <c r="U77" s="22"/>
      <c r="V77" s="63" t="s">
        <v>260</v>
      </c>
      <c r="W77" s="63" t="s">
        <v>260</v>
      </c>
      <c r="X77" s="63" t="s">
        <v>260</v>
      </c>
      <c r="Y77" s="63" t="s">
        <v>179</v>
      </c>
      <c r="Z77" s="73" t="s">
        <v>179</v>
      </c>
      <c r="AA77" s="73" t="s">
        <v>179</v>
      </c>
      <c r="AB77" s="22"/>
      <c r="AC77" s="73" t="s">
        <v>179</v>
      </c>
      <c r="AD77" s="73" t="s">
        <v>179</v>
      </c>
      <c r="AE77" s="73" t="s">
        <v>179</v>
      </c>
      <c r="AF77" s="73" t="s">
        <v>179</v>
      </c>
      <c r="AG77" s="73" t="s">
        <v>179</v>
      </c>
      <c r="AH77" s="73" t="s">
        <v>179</v>
      </c>
      <c r="AI77" s="22"/>
      <c r="AJ77" s="35" t="s">
        <v>179</v>
      </c>
      <c r="AK77" s="63" t="s">
        <v>179</v>
      </c>
      <c r="AL77" s="63" t="s">
        <v>179</v>
      </c>
      <c r="AM77" s="63" t="s">
        <v>179</v>
      </c>
      <c r="AN77" s="63" t="s">
        <v>179</v>
      </c>
      <c r="AO77" s="63" t="s">
        <v>179</v>
      </c>
      <c r="AP77" s="22"/>
      <c r="AQ77" s="35" t="s">
        <v>179</v>
      </c>
      <c r="AR77" s="35" t="s">
        <v>179</v>
      </c>
      <c r="AS77" s="35" t="s">
        <v>179</v>
      </c>
      <c r="AT77" s="35" t="s">
        <v>183</v>
      </c>
      <c r="AU77" s="35" t="s">
        <v>179</v>
      </c>
      <c r="AV77" s="35" t="s">
        <v>179</v>
      </c>
      <c r="AW77" s="22"/>
      <c r="AX77" s="35" t="s">
        <v>179</v>
      </c>
      <c r="AY77" s="35" t="s">
        <v>179</v>
      </c>
      <c r="AZ77" s="35" t="s">
        <v>179</v>
      </c>
      <c r="BA77" s="35" t="s">
        <v>183</v>
      </c>
      <c r="BB77" s="35" t="s">
        <v>179</v>
      </c>
      <c r="BC77" s="35" t="s">
        <v>179</v>
      </c>
      <c r="BD77" s="22"/>
      <c r="BE77" s="35" t="s">
        <v>183</v>
      </c>
      <c r="BF77" s="35" t="s">
        <v>179</v>
      </c>
      <c r="BG77" s="35" t="s">
        <v>183</v>
      </c>
      <c r="BH77" s="35" t="s">
        <v>183</v>
      </c>
      <c r="BI77" s="35" t="s">
        <v>183</v>
      </c>
      <c r="BJ77" s="35" t="s">
        <v>183</v>
      </c>
      <c r="BK77" s="22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</row>
    <row r="78">
      <c r="A78" s="31">
        <v>75.0</v>
      </c>
      <c r="B78" s="121" t="s">
        <v>763</v>
      </c>
      <c r="C78" s="121" t="s">
        <v>731</v>
      </c>
      <c r="D78" s="55">
        <f t="shared" si="2"/>
        <v>31</v>
      </c>
      <c r="E78" s="55">
        <f t="shared" si="3"/>
        <v>17</v>
      </c>
      <c r="F78" s="55">
        <f t="shared" si="4"/>
        <v>48</v>
      </c>
      <c r="G78" s="62">
        <f t="shared" si="5"/>
        <v>64.58333333</v>
      </c>
      <c r="H78" s="63" t="s">
        <v>183</v>
      </c>
      <c r="I78" s="63" t="s">
        <v>183</v>
      </c>
      <c r="J78" s="63" t="s">
        <v>183</v>
      </c>
      <c r="K78" s="63" t="s">
        <v>183</v>
      </c>
      <c r="L78" s="63" t="s">
        <v>183</v>
      </c>
      <c r="M78" s="63" t="s">
        <v>183</v>
      </c>
      <c r="N78" s="22"/>
      <c r="O78" s="65" t="s">
        <v>183</v>
      </c>
      <c r="P78" s="65" t="s">
        <v>183</v>
      </c>
      <c r="Q78" s="65" t="s">
        <v>183</v>
      </c>
      <c r="R78" s="35" t="s">
        <v>183</v>
      </c>
      <c r="S78" s="35" t="s">
        <v>183</v>
      </c>
      <c r="T78" s="35" t="s">
        <v>183</v>
      </c>
      <c r="U78" s="22"/>
      <c r="V78" s="73" t="s">
        <v>183</v>
      </c>
      <c r="W78" s="73" t="s">
        <v>179</v>
      </c>
      <c r="X78" s="73" t="s">
        <v>179</v>
      </c>
      <c r="Y78" s="73" t="s">
        <v>179</v>
      </c>
      <c r="Z78" s="73" t="s">
        <v>179</v>
      </c>
      <c r="AA78" s="73" t="s">
        <v>179</v>
      </c>
      <c r="AB78" s="22"/>
      <c r="AC78" s="73" t="s">
        <v>179</v>
      </c>
      <c r="AD78" s="73" t="s">
        <v>179</v>
      </c>
      <c r="AE78" s="73" t="s">
        <v>179</v>
      </c>
      <c r="AF78" s="73" t="s">
        <v>179</v>
      </c>
      <c r="AG78" s="73" t="s">
        <v>179</v>
      </c>
      <c r="AH78" s="73" t="s">
        <v>179</v>
      </c>
      <c r="AI78" s="22"/>
      <c r="AJ78" s="35" t="s">
        <v>179</v>
      </c>
      <c r="AK78" s="63" t="s">
        <v>179</v>
      </c>
      <c r="AL78" s="63" t="s">
        <v>179</v>
      </c>
      <c r="AM78" s="63" t="s">
        <v>179</v>
      </c>
      <c r="AN78" s="63" t="s">
        <v>179</v>
      </c>
      <c r="AO78" s="63" t="s">
        <v>179</v>
      </c>
      <c r="AP78" s="22"/>
      <c r="AQ78" s="35" t="s">
        <v>179</v>
      </c>
      <c r="AR78" s="35" t="s">
        <v>179</v>
      </c>
      <c r="AS78" s="35" t="s">
        <v>179</v>
      </c>
      <c r="AT78" s="35" t="s">
        <v>179</v>
      </c>
      <c r="AU78" s="35" t="s">
        <v>179</v>
      </c>
      <c r="AV78" s="35" t="s">
        <v>179</v>
      </c>
      <c r="AW78" s="22"/>
      <c r="AX78" s="35" t="s">
        <v>179</v>
      </c>
      <c r="AY78" s="35" t="s">
        <v>183</v>
      </c>
      <c r="AZ78" s="35" t="s">
        <v>183</v>
      </c>
      <c r="BA78" s="35" t="s">
        <v>179</v>
      </c>
      <c r="BB78" s="35" t="s">
        <v>179</v>
      </c>
      <c r="BC78" s="35" t="s">
        <v>183</v>
      </c>
      <c r="BD78" s="22"/>
      <c r="BE78" s="35" t="s">
        <v>179</v>
      </c>
      <c r="BF78" s="35" t="s">
        <v>179</v>
      </c>
      <c r="BG78" s="35" t="s">
        <v>179</v>
      </c>
      <c r="BH78" s="35" t="s">
        <v>179</v>
      </c>
      <c r="BI78" s="35" t="s">
        <v>183</v>
      </c>
      <c r="BJ78" s="35" t="s">
        <v>179</v>
      </c>
      <c r="BK78" s="22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</row>
    <row r="79">
      <c r="A79" s="31">
        <v>76.0</v>
      </c>
      <c r="B79" s="32" t="s">
        <v>766</v>
      </c>
      <c r="C79" s="32" t="s">
        <v>767</v>
      </c>
      <c r="D79" s="55">
        <f t="shared" si="2"/>
        <v>36</v>
      </c>
      <c r="E79" s="55">
        <f t="shared" si="3"/>
        <v>12</v>
      </c>
      <c r="F79" s="55">
        <f t="shared" si="4"/>
        <v>48</v>
      </c>
      <c r="G79" s="62">
        <f t="shared" si="5"/>
        <v>75</v>
      </c>
      <c r="H79" s="63" t="s">
        <v>179</v>
      </c>
      <c r="I79" s="63" t="s">
        <v>183</v>
      </c>
      <c r="J79" s="63" t="s">
        <v>183</v>
      </c>
      <c r="K79" s="63" t="s">
        <v>179</v>
      </c>
      <c r="L79" s="63" t="s">
        <v>720</v>
      </c>
      <c r="M79" s="63" t="s">
        <v>179</v>
      </c>
      <c r="N79" s="43"/>
      <c r="O79" s="63" t="s">
        <v>179</v>
      </c>
      <c r="P79" s="63" t="s">
        <v>179</v>
      </c>
      <c r="Q79" s="65" t="s">
        <v>179</v>
      </c>
      <c r="R79" s="65" t="s">
        <v>179</v>
      </c>
      <c r="S79" s="65" t="s">
        <v>179</v>
      </c>
      <c r="T79" s="65" t="s">
        <v>183</v>
      </c>
      <c r="U79" s="43"/>
      <c r="V79" s="63" t="s">
        <v>179</v>
      </c>
      <c r="W79" s="63" t="s">
        <v>179</v>
      </c>
      <c r="X79" s="63" t="s">
        <v>179</v>
      </c>
      <c r="Y79" s="63" t="s">
        <v>179</v>
      </c>
      <c r="Z79" s="63" t="s">
        <v>183</v>
      </c>
      <c r="AA79" s="63" t="s">
        <v>179</v>
      </c>
      <c r="AB79" s="43"/>
      <c r="AC79" s="63" t="s">
        <v>179</v>
      </c>
      <c r="AD79" s="63" t="s">
        <v>179</v>
      </c>
      <c r="AE79" s="63" t="s">
        <v>179</v>
      </c>
      <c r="AF79" s="63" t="s">
        <v>179</v>
      </c>
      <c r="AG79" s="63" t="s">
        <v>179</v>
      </c>
      <c r="AH79" s="63" t="s">
        <v>179</v>
      </c>
      <c r="AI79" s="43"/>
      <c r="AJ79" s="65" t="s">
        <v>183</v>
      </c>
      <c r="AK79" s="63" t="s">
        <v>179</v>
      </c>
      <c r="AL79" s="63" t="s">
        <v>179</v>
      </c>
      <c r="AM79" s="63" t="s">
        <v>183</v>
      </c>
      <c r="AN79" s="63" t="s">
        <v>179</v>
      </c>
      <c r="AO79" s="63" t="s">
        <v>179</v>
      </c>
      <c r="AP79" s="43"/>
      <c r="AQ79" s="65" t="s">
        <v>179</v>
      </c>
      <c r="AR79" s="65" t="s">
        <v>183</v>
      </c>
      <c r="AS79" s="65" t="s">
        <v>183</v>
      </c>
      <c r="AT79" s="65" t="s">
        <v>179</v>
      </c>
      <c r="AU79" s="65" t="s">
        <v>179</v>
      </c>
      <c r="AV79" s="65" t="s">
        <v>179</v>
      </c>
      <c r="AW79" s="43"/>
      <c r="AX79" s="65" t="s">
        <v>179</v>
      </c>
      <c r="AY79" s="65" t="s">
        <v>179</v>
      </c>
      <c r="AZ79" s="65" t="s">
        <v>183</v>
      </c>
      <c r="BA79" s="65" t="s">
        <v>183</v>
      </c>
      <c r="BB79" s="65" t="s">
        <v>179</v>
      </c>
      <c r="BC79" s="65" t="s">
        <v>179</v>
      </c>
      <c r="BD79" s="43"/>
      <c r="BE79" s="65" t="s">
        <v>179</v>
      </c>
      <c r="BF79" s="65" t="s">
        <v>179</v>
      </c>
      <c r="BG79" s="65" t="s">
        <v>183</v>
      </c>
      <c r="BH79" s="65" t="s">
        <v>179</v>
      </c>
      <c r="BI79" s="65" t="s">
        <v>179</v>
      </c>
      <c r="BJ79" s="65" t="s">
        <v>183</v>
      </c>
      <c r="BK79" s="43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</row>
    <row r="81">
      <c r="F81" s="123" t="s">
        <v>827</v>
      </c>
      <c r="G81" s="124"/>
      <c r="H81" s="124">
        <f t="shared" ref="H81:BV81" si="6">COUNTIF(H4:H78,"P")</f>
        <v>42</v>
      </c>
      <c r="I81" s="124">
        <f t="shared" si="6"/>
        <v>42</v>
      </c>
      <c r="J81" s="124">
        <f t="shared" si="6"/>
        <v>37</v>
      </c>
      <c r="K81" s="124">
        <f t="shared" si="6"/>
        <v>39</v>
      </c>
      <c r="L81" s="124">
        <f t="shared" si="6"/>
        <v>45</v>
      </c>
      <c r="M81" s="124">
        <f t="shared" si="6"/>
        <v>41</v>
      </c>
      <c r="N81" s="124">
        <f t="shared" si="6"/>
        <v>0</v>
      </c>
      <c r="O81" s="124">
        <f t="shared" si="6"/>
        <v>47</v>
      </c>
      <c r="P81" s="124">
        <f t="shared" si="6"/>
        <v>48</v>
      </c>
      <c r="Q81" s="124">
        <f t="shared" si="6"/>
        <v>54</v>
      </c>
      <c r="R81" s="124">
        <f t="shared" si="6"/>
        <v>53</v>
      </c>
      <c r="S81" s="124">
        <f t="shared" si="6"/>
        <v>54</v>
      </c>
      <c r="T81" s="124">
        <f t="shared" si="6"/>
        <v>57</v>
      </c>
      <c r="U81" s="124">
        <f t="shared" si="6"/>
        <v>0</v>
      </c>
      <c r="V81" s="124">
        <f t="shared" si="6"/>
        <v>48</v>
      </c>
      <c r="W81" s="124">
        <f t="shared" si="6"/>
        <v>55</v>
      </c>
      <c r="X81" s="124">
        <f t="shared" si="6"/>
        <v>60</v>
      </c>
      <c r="Y81" s="124">
        <f t="shared" si="6"/>
        <v>55</v>
      </c>
      <c r="Z81" s="124">
        <f t="shared" si="6"/>
        <v>62</v>
      </c>
      <c r="AA81" s="124">
        <f t="shared" si="6"/>
        <v>64</v>
      </c>
      <c r="AB81" s="124">
        <f t="shared" si="6"/>
        <v>0</v>
      </c>
      <c r="AC81" s="124">
        <f t="shared" si="6"/>
        <v>60</v>
      </c>
      <c r="AD81" s="124">
        <f t="shared" si="6"/>
        <v>56</v>
      </c>
      <c r="AE81" s="124">
        <f t="shared" si="6"/>
        <v>67</v>
      </c>
      <c r="AF81" s="124">
        <f t="shared" si="6"/>
        <v>60</v>
      </c>
      <c r="AG81" s="124">
        <f t="shared" si="6"/>
        <v>50</v>
      </c>
      <c r="AH81" s="124">
        <f t="shared" si="6"/>
        <v>60</v>
      </c>
      <c r="AI81" s="124">
        <f t="shared" si="6"/>
        <v>0</v>
      </c>
      <c r="AJ81" s="124">
        <f t="shared" si="6"/>
        <v>42</v>
      </c>
      <c r="AK81" s="124">
        <f t="shared" si="6"/>
        <v>63</v>
      </c>
      <c r="AL81" s="124">
        <f t="shared" si="6"/>
        <v>61</v>
      </c>
      <c r="AM81" s="124">
        <f t="shared" si="6"/>
        <v>52</v>
      </c>
      <c r="AN81" s="124">
        <f t="shared" si="6"/>
        <v>47</v>
      </c>
      <c r="AO81" s="124">
        <f t="shared" si="6"/>
        <v>44</v>
      </c>
      <c r="AP81" s="124">
        <f t="shared" si="6"/>
        <v>0</v>
      </c>
      <c r="AQ81" s="124">
        <f t="shared" si="6"/>
        <v>50</v>
      </c>
      <c r="AR81" s="124">
        <f t="shared" si="6"/>
        <v>52</v>
      </c>
      <c r="AS81" s="124">
        <f t="shared" si="6"/>
        <v>52</v>
      </c>
      <c r="AT81" s="124">
        <f t="shared" si="6"/>
        <v>51</v>
      </c>
      <c r="AU81" s="124">
        <f t="shared" si="6"/>
        <v>48</v>
      </c>
      <c r="AV81" s="124">
        <f t="shared" si="6"/>
        <v>49</v>
      </c>
      <c r="AW81" s="124">
        <f t="shared" si="6"/>
        <v>0</v>
      </c>
      <c r="AX81" s="124">
        <f t="shared" si="6"/>
        <v>47</v>
      </c>
      <c r="AY81" s="124">
        <f t="shared" si="6"/>
        <v>33</v>
      </c>
      <c r="AZ81" s="124">
        <f t="shared" si="6"/>
        <v>27</v>
      </c>
      <c r="BA81" s="124">
        <f t="shared" si="6"/>
        <v>30</v>
      </c>
      <c r="BB81" s="124">
        <f t="shared" si="6"/>
        <v>30</v>
      </c>
      <c r="BC81" s="124">
        <f t="shared" si="6"/>
        <v>24</v>
      </c>
      <c r="BD81" s="124">
        <f t="shared" si="6"/>
        <v>0</v>
      </c>
      <c r="BE81" s="124">
        <f t="shared" si="6"/>
        <v>27</v>
      </c>
      <c r="BF81" s="124">
        <f t="shared" si="6"/>
        <v>35</v>
      </c>
      <c r="BG81" s="124">
        <f t="shared" si="6"/>
        <v>16</v>
      </c>
      <c r="BH81" s="124">
        <f t="shared" si="6"/>
        <v>18</v>
      </c>
      <c r="BI81" s="124">
        <f t="shared" si="6"/>
        <v>15</v>
      </c>
      <c r="BJ81" s="124">
        <f t="shared" si="6"/>
        <v>14</v>
      </c>
      <c r="BK81" s="124">
        <f t="shared" si="6"/>
        <v>0</v>
      </c>
      <c r="BL81" s="124">
        <f t="shared" si="6"/>
        <v>0</v>
      </c>
      <c r="BM81" s="124">
        <f t="shared" si="6"/>
        <v>0</v>
      </c>
      <c r="BN81" s="124">
        <f t="shared" si="6"/>
        <v>0</v>
      </c>
      <c r="BO81" s="124">
        <f t="shared" si="6"/>
        <v>0</v>
      </c>
      <c r="BP81" s="124">
        <f t="shared" si="6"/>
        <v>0</v>
      </c>
      <c r="BQ81" s="124">
        <f t="shared" si="6"/>
        <v>0</v>
      </c>
      <c r="BR81" s="124">
        <f t="shared" si="6"/>
        <v>0</v>
      </c>
      <c r="BS81" s="124">
        <f t="shared" si="6"/>
        <v>0</v>
      </c>
      <c r="BT81" s="124">
        <f t="shared" si="6"/>
        <v>0</v>
      </c>
      <c r="BU81" s="124">
        <f t="shared" si="6"/>
        <v>0</v>
      </c>
      <c r="BV81" s="124">
        <f t="shared" si="6"/>
        <v>0</v>
      </c>
    </row>
    <row r="82">
      <c r="F82" s="123" t="s">
        <v>828</v>
      </c>
      <c r="G82" s="124"/>
      <c r="H82" s="124">
        <f t="shared" ref="H82:BV82" si="7">COUNTIF(H4:H78,"OP")</f>
        <v>7</v>
      </c>
      <c r="I82" s="124">
        <f t="shared" si="7"/>
        <v>7</v>
      </c>
      <c r="J82" s="124">
        <f t="shared" si="7"/>
        <v>7</v>
      </c>
      <c r="K82" s="124">
        <f t="shared" si="7"/>
        <v>6</v>
      </c>
      <c r="L82" s="124">
        <f t="shared" si="7"/>
        <v>6</v>
      </c>
      <c r="M82" s="124">
        <f t="shared" si="7"/>
        <v>6</v>
      </c>
      <c r="N82" s="124">
        <f t="shared" si="7"/>
        <v>0</v>
      </c>
      <c r="O82" s="124">
        <f t="shared" si="7"/>
        <v>7</v>
      </c>
      <c r="P82" s="124">
        <f t="shared" si="7"/>
        <v>7</v>
      </c>
      <c r="Q82" s="124">
        <f t="shared" si="7"/>
        <v>7</v>
      </c>
      <c r="R82" s="124">
        <f t="shared" si="7"/>
        <v>0</v>
      </c>
      <c r="S82" s="124">
        <f t="shared" si="7"/>
        <v>5</v>
      </c>
      <c r="T82" s="124">
        <f t="shared" si="7"/>
        <v>3</v>
      </c>
      <c r="U82" s="124">
        <f t="shared" si="7"/>
        <v>0</v>
      </c>
      <c r="V82" s="124">
        <f t="shared" si="7"/>
        <v>0</v>
      </c>
      <c r="W82" s="124">
        <f t="shared" si="7"/>
        <v>8</v>
      </c>
      <c r="X82" s="124">
        <f t="shared" si="7"/>
        <v>1</v>
      </c>
      <c r="Y82" s="124">
        <f t="shared" si="7"/>
        <v>4</v>
      </c>
      <c r="Z82" s="124">
        <f t="shared" si="7"/>
        <v>3</v>
      </c>
      <c r="AA82" s="124">
        <f t="shared" si="7"/>
        <v>0</v>
      </c>
      <c r="AB82" s="124">
        <f t="shared" si="7"/>
        <v>0</v>
      </c>
      <c r="AC82" s="124">
        <f t="shared" si="7"/>
        <v>3</v>
      </c>
      <c r="AD82" s="124">
        <f t="shared" si="7"/>
        <v>3</v>
      </c>
      <c r="AE82" s="124">
        <f t="shared" si="7"/>
        <v>1</v>
      </c>
      <c r="AF82" s="124">
        <f t="shared" si="7"/>
        <v>0</v>
      </c>
      <c r="AG82" s="124">
        <f t="shared" si="7"/>
        <v>2</v>
      </c>
      <c r="AH82" s="124">
        <f t="shared" si="7"/>
        <v>0</v>
      </c>
      <c r="AI82" s="124">
        <f t="shared" si="7"/>
        <v>0</v>
      </c>
      <c r="AJ82" s="124">
        <f t="shared" si="7"/>
        <v>0</v>
      </c>
      <c r="AK82" s="124">
        <f t="shared" si="7"/>
        <v>0</v>
      </c>
      <c r="AL82" s="124">
        <f t="shared" si="7"/>
        <v>0</v>
      </c>
      <c r="AM82" s="124">
        <f t="shared" si="7"/>
        <v>2</v>
      </c>
      <c r="AN82" s="124">
        <f t="shared" si="7"/>
        <v>0</v>
      </c>
      <c r="AO82" s="124">
        <f t="shared" si="7"/>
        <v>0</v>
      </c>
      <c r="AP82" s="124">
        <f t="shared" si="7"/>
        <v>0</v>
      </c>
      <c r="AQ82" s="124">
        <f t="shared" si="7"/>
        <v>0</v>
      </c>
      <c r="AR82" s="124">
        <f t="shared" si="7"/>
        <v>0</v>
      </c>
      <c r="AS82" s="124">
        <f t="shared" si="7"/>
        <v>0</v>
      </c>
      <c r="AT82" s="124">
        <f t="shared" si="7"/>
        <v>0</v>
      </c>
      <c r="AU82" s="124">
        <f t="shared" si="7"/>
        <v>0</v>
      </c>
      <c r="AV82" s="124">
        <f t="shared" si="7"/>
        <v>0</v>
      </c>
      <c r="AW82" s="124">
        <f t="shared" si="7"/>
        <v>0</v>
      </c>
      <c r="AX82" s="124">
        <f t="shared" si="7"/>
        <v>0</v>
      </c>
      <c r="AY82" s="124">
        <f t="shared" si="7"/>
        <v>0</v>
      </c>
      <c r="AZ82" s="124">
        <f t="shared" si="7"/>
        <v>0</v>
      </c>
      <c r="BA82" s="124">
        <f t="shared" si="7"/>
        <v>0</v>
      </c>
      <c r="BB82" s="124">
        <f t="shared" si="7"/>
        <v>0</v>
      </c>
      <c r="BC82" s="124">
        <f t="shared" si="7"/>
        <v>0</v>
      </c>
      <c r="BD82" s="124">
        <f t="shared" si="7"/>
        <v>0</v>
      </c>
      <c r="BE82" s="124">
        <f t="shared" si="7"/>
        <v>0</v>
      </c>
      <c r="BF82" s="124">
        <f t="shared" si="7"/>
        <v>0</v>
      </c>
      <c r="BG82" s="124">
        <f t="shared" si="7"/>
        <v>0</v>
      </c>
      <c r="BH82" s="124">
        <f t="shared" si="7"/>
        <v>0</v>
      </c>
      <c r="BI82" s="124">
        <f t="shared" si="7"/>
        <v>0</v>
      </c>
      <c r="BJ82" s="124">
        <f t="shared" si="7"/>
        <v>0</v>
      </c>
      <c r="BK82" s="124">
        <f t="shared" si="7"/>
        <v>0</v>
      </c>
      <c r="BL82" s="124">
        <f t="shared" si="7"/>
        <v>0</v>
      </c>
      <c r="BM82" s="124">
        <f t="shared" si="7"/>
        <v>0</v>
      </c>
      <c r="BN82" s="124">
        <f t="shared" si="7"/>
        <v>0</v>
      </c>
      <c r="BO82" s="124">
        <f t="shared" si="7"/>
        <v>0</v>
      </c>
      <c r="BP82" s="124">
        <f t="shared" si="7"/>
        <v>0</v>
      </c>
      <c r="BQ82" s="124">
        <f t="shared" si="7"/>
        <v>0</v>
      </c>
      <c r="BR82" s="124">
        <f t="shared" si="7"/>
        <v>0</v>
      </c>
      <c r="BS82" s="124">
        <f t="shared" si="7"/>
        <v>0</v>
      </c>
      <c r="BT82" s="124">
        <f t="shared" si="7"/>
        <v>0</v>
      </c>
      <c r="BU82" s="124">
        <f t="shared" si="7"/>
        <v>0</v>
      </c>
      <c r="BV82" s="124">
        <f t="shared" si="7"/>
        <v>0</v>
      </c>
    </row>
    <row r="83">
      <c r="F83" s="125" t="s">
        <v>68</v>
      </c>
      <c r="G83" s="126"/>
      <c r="H83" s="126">
        <f t="shared" ref="H83:BV83" si="8">COUNTIF(H4:H78,"A")</f>
        <v>22</v>
      </c>
      <c r="I83" s="126">
        <f t="shared" si="8"/>
        <v>22</v>
      </c>
      <c r="J83" s="126">
        <f t="shared" si="8"/>
        <v>27</v>
      </c>
      <c r="K83" s="126">
        <f t="shared" si="8"/>
        <v>26</v>
      </c>
      <c r="L83" s="126">
        <f t="shared" si="8"/>
        <v>20</v>
      </c>
      <c r="M83" s="126">
        <f t="shared" si="8"/>
        <v>24</v>
      </c>
      <c r="N83" s="126">
        <f t="shared" si="8"/>
        <v>0</v>
      </c>
      <c r="O83" s="126">
        <f t="shared" si="8"/>
        <v>17</v>
      </c>
      <c r="P83" s="126">
        <f t="shared" si="8"/>
        <v>16</v>
      </c>
      <c r="Q83" s="126">
        <f t="shared" si="8"/>
        <v>10</v>
      </c>
      <c r="R83" s="126">
        <f t="shared" si="8"/>
        <v>18</v>
      </c>
      <c r="S83" s="126">
        <f t="shared" si="8"/>
        <v>12</v>
      </c>
      <c r="T83" s="126">
        <f t="shared" si="8"/>
        <v>11</v>
      </c>
      <c r="U83" s="126">
        <f t="shared" si="8"/>
        <v>0</v>
      </c>
      <c r="V83" s="126">
        <f t="shared" si="8"/>
        <v>23</v>
      </c>
      <c r="W83" s="126">
        <f t="shared" si="8"/>
        <v>8</v>
      </c>
      <c r="X83" s="126">
        <f t="shared" si="8"/>
        <v>10</v>
      </c>
      <c r="Y83" s="126">
        <f t="shared" si="8"/>
        <v>15</v>
      </c>
      <c r="Z83" s="126">
        <f t="shared" si="8"/>
        <v>9</v>
      </c>
      <c r="AA83" s="126">
        <f t="shared" si="8"/>
        <v>10</v>
      </c>
      <c r="AB83" s="126">
        <f t="shared" si="8"/>
        <v>0</v>
      </c>
      <c r="AC83" s="126">
        <f t="shared" si="8"/>
        <v>11</v>
      </c>
      <c r="AD83" s="126">
        <f t="shared" si="8"/>
        <v>15</v>
      </c>
      <c r="AE83" s="126">
        <f t="shared" si="8"/>
        <v>6</v>
      </c>
      <c r="AF83" s="126">
        <f t="shared" si="8"/>
        <v>14</v>
      </c>
      <c r="AG83" s="126">
        <f t="shared" si="8"/>
        <v>22</v>
      </c>
      <c r="AH83" s="126">
        <f t="shared" si="8"/>
        <v>14</v>
      </c>
      <c r="AI83" s="126">
        <f t="shared" si="8"/>
        <v>0</v>
      </c>
      <c r="AJ83" s="126">
        <f t="shared" si="8"/>
        <v>32</v>
      </c>
      <c r="AK83" s="126">
        <f t="shared" si="8"/>
        <v>11</v>
      </c>
      <c r="AL83" s="126">
        <f t="shared" si="8"/>
        <v>13</v>
      </c>
      <c r="AM83" s="126">
        <f t="shared" si="8"/>
        <v>20</v>
      </c>
      <c r="AN83" s="126">
        <f t="shared" si="8"/>
        <v>27</v>
      </c>
      <c r="AO83" s="126">
        <f t="shared" si="8"/>
        <v>31</v>
      </c>
      <c r="AP83" s="126">
        <f t="shared" si="8"/>
        <v>0</v>
      </c>
      <c r="AQ83" s="126">
        <f t="shared" si="8"/>
        <v>25</v>
      </c>
      <c r="AR83" s="126">
        <f t="shared" si="8"/>
        <v>23</v>
      </c>
      <c r="AS83" s="126">
        <f t="shared" si="8"/>
        <v>23</v>
      </c>
      <c r="AT83" s="126">
        <f t="shared" si="8"/>
        <v>24</v>
      </c>
      <c r="AU83" s="126">
        <f t="shared" si="8"/>
        <v>27</v>
      </c>
      <c r="AV83" s="126">
        <f t="shared" si="8"/>
        <v>26</v>
      </c>
      <c r="AW83" s="126">
        <f t="shared" si="8"/>
        <v>0</v>
      </c>
      <c r="AX83" s="126">
        <f t="shared" si="8"/>
        <v>28</v>
      </c>
      <c r="AY83" s="126">
        <f t="shared" si="8"/>
        <v>42</v>
      </c>
      <c r="AZ83" s="126">
        <f t="shared" si="8"/>
        <v>48</v>
      </c>
      <c r="BA83" s="126">
        <f t="shared" si="8"/>
        <v>45</v>
      </c>
      <c r="BB83" s="126">
        <f t="shared" si="8"/>
        <v>45</v>
      </c>
      <c r="BC83" s="126">
        <f t="shared" si="8"/>
        <v>50</v>
      </c>
      <c r="BD83" s="126">
        <f t="shared" si="8"/>
        <v>0</v>
      </c>
      <c r="BE83" s="126">
        <f t="shared" si="8"/>
        <v>48</v>
      </c>
      <c r="BF83" s="126">
        <f t="shared" si="8"/>
        <v>40</v>
      </c>
      <c r="BG83" s="126">
        <f t="shared" si="8"/>
        <v>59</v>
      </c>
      <c r="BH83" s="126">
        <f t="shared" si="8"/>
        <v>57</v>
      </c>
      <c r="BI83" s="126">
        <f t="shared" si="8"/>
        <v>60</v>
      </c>
      <c r="BJ83" s="126">
        <f t="shared" si="8"/>
        <v>61</v>
      </c>
      <c r="BK83" s="126">
        <f t="shared" si="8"/>
        <v>0</v>
      </c>
      <c r="BL83" s="126">
        <f t="shared" si="8"/>
        <v>0</v>
      </c>
      <c r="BM83" s="126">
        <f t="shared" si="8"/>
        <v>0</v>
      </c>
      <c r="BN83" s="126">
        <f t="shared" si="8"/>
        <v>0</v>
      </c>
      <c r="BO83" s="126">
        <f t="shared" si="8"/>
        <v>0</v>
      </c>
      <c r="BP83" s="126">
        <f t="shared" si="8"/>
        <v>0</v>
      </c>
      <c r="BQ83" s="126">
        <f t="shared" si="8"/>
        <v>0</v>
      </c>
      <c r="BR83" s="126">
        <f t="shared" si="8"/>
        <v>0</v>
      </c>
      <c r="BS83" s="126">
        <f t="shared" si="8"/>
        <v>0</v>
      </c>
      <c r="BT83" s="126">
        <f t="shared" si="8"/>
        <v>0</v>
      </c>
      <c r="BU83" s="126">
        <f t="shared" si="8"/>
        <v>0</v>
      </c>
      <c r="BV83" s="126">
        <f t="shared" si="8"/>
        <v>0</v>
      </c>
    </row>
    <row r="84">
      <c r="F84" s="127" t="s">
        <v>829</v>
      </c>
      <c r="G84" s="128"/>
      <c r="H84" s="128">
        <f t="shared" ref="H84:BV84" si="9">H83+H82+H81</f>
        <v>71</v>
      </c>
      <c r="I84" s="128">
        <f t="shared" si="9"/>
        <v>71</v>
      </c>
      <c r="J84" s="128">
        <f t="shared" si="9"/>
        <v>71</v>
      </c>
      <c r="K84" s="128">
        <f t="shared" si="9"/>
        <v>71</v>
      </c>
      <c r="L84" s="128">
        <f t="shared" si="9"/>
        <v>71</v>
      </c>
      <c r="M84" s="128">
        <f t="shared" si="9"/>
        <v>71</v>
      </c>
      <c r="N84" s="128">
        <f t="shared" si="9"/>
        <v>0</v>
      </c>
      <c r="O84" s="128">
        <f t="shared" si="9"/>
        <v>71</v>
      </c>
      <c r="P84" s="128">
        <f t="shared" si="9"/>
        <v>71</v>
      </c>
      <c r="Q84" s="128">
        <f t="shared" si="9"/>
        <v>71</v>
      </c>
      <c r="R84" s="128">
        <f t="shared" si="9"/>
        <v>71</v>
      </c>
      <c r="S84" s="128">
        <f t="shared" si="9"/>
        <v>71</v>
      </c>
      <c r="T84" s="128">
        <f t="shared" si="9"/>
        <v>71</v>
      </c>
      <c r="U84" s="128">
        <f t="shared" si="9"/>
        <v>0</v>
      </c>
      <c r="V84" s="128">
        <f t="shared" si="9"/>
        <v>71</v>
      </c>
      <c r="W84" s="128">
        <f t="shared" si="9"/>
        <v>71</v>
      </c>
      <c r="X84" s="128">
        <f t="shared" si="9"/>
        <v>71</v>
      </c>
      <c r="Y84" s="128">
        <f t="shared" si="9"/>
        <v>74</v>
      </c>
      <c r="Z84" s="128">
        <f t="shared" si="9"/>
        <v>74</v>
      </c>
      <c r="AA84" s="128">
        <f t="shared" si="9"/>
        <v>74</v>
      </c>
      <c r="AB84" s="128">
        <f t="shared" si="9"/>
        <v>0</v>
      </c>
      <c r="AC84" s="128">
        <f t="shared" si="9"/>
        <v>74</v>
      </c>
      <c r="AD84" s="128">
        <f t="shared" si="9"/>
        <v>74</v>
      </c>
      <c r="AE84" s="128">
        <f t="shared" si="9"/>
        <v>74</v>
      </c>
      <c r="AF84" s="128">
        <f t="shared" si="9"/>
        <v>74</v>
      </c>
      <c r="AG84" s="128">
        <f t="shared" si="9"/>
        <v>74</v>
      </c>
      <c r="AH84" s="128">
        <f t="shared" si="9"/>
        <v>74</v>
      </c>
      <c r="AI84" s="128">
        <f t="shared" si="9"/>
        <v>0</v>
      </c>
      <c r="AJ84" s="128">
        <f t="shared" si="9"/>
        <v>74</v>
      </c>
      <c r="AK84" s="128">
        <f t="shared" si="9"/>
        <v>74</v>
      </c>
      <c r="AL84" s="128">
        <f t="shared" si="9"/>
        <v>74</v>
      </c>
      <c r="AM84" s="128">
        <f t="shared" si="9"/>
        <v>74</v>
      </c>
      <c r="AN84" s="128">
        <f t="shared" si="9"/>
        <v>74</v>
      </c>
      <c r="AO84" s="128">
        <f t="shared" si="9"/>
        <v>75</v>
      </c>
      <c r="AP84" s="128">
        <f t="shared" si="9"/>
        <v>0</v>
      </c>
      <c r="AQ84" s="128">
        <f t="shared" si="9"/>
        <v>75</v>
      </c>
      <c r="AR84" s="128">
        <f t="shared" si="9"/>
        <v>75</v>
      </c>
      <c r="AS84" s="128">
        <f t="shared" si="9"/>
        <v>75</v>
      </c>
      <c r="AT84" s="128">
        <f t="shared" si="9"/>
        <v>75</v>
      </c>
      <c r="AU84" s="128">
        <f t="shared" si="9"/>
        <v>75</v>
      </c>
      <c r="AV84" s="128">
        <f t="shared" si="9"/>
        <v>75</v>
      </c>
      <c r="AW84" s="128">
        <f t="shared" si="9"/>
        <v>0</v>
      </c>
      <c r="AX84" s="128">
        <f t="shared" si="9"/>
        <v>75</v>
      </c>
      <c r="AY84" s="128">
        <f t="shared" si="9"/>
        <v>75</v>
      </c>
      <c r="AZ84" s="128">
        <f t="shared" si="9"/>
        <v>75</v>
      </c>
      <c r="BA84" s="128">
        <f t="shared" si="9"/>
        <v>75</v>
      </c>
      <c r="BB84" s="128">
        <f t="shared" si="9"/>
        <v>75</v>
      </c>
      <c r="BC84" s="128">
        <f t="shared" si="9"/>
        <v>74</v>
      </c>
      <c r="BD84" s="128">
        <f t="shared" si="9"/>
        <v>0</v>
      </c>
      <c r="BE84" s="128">
        <f t="shared" si="9"/>
        <v>75</v>
      </c>
      <c r="BF84" s="128">
        <f t="shared" si="9"/>
        <v>75</v>
      </c>
      <c r="BG84" s="128">
        <f t="shared" si="9"/>
        <v>75</v>
      </c>
      <c r="BH84" s="128">
        <f t="shared" si="9"/>
        <v>75</v>
      </c>
      <c r="BI84" s="128">
        <f t="shared" si="9"/>
        <v>75</v>
      </c>
      <c r="BJ84" s="128">
        <f t="shared" si="9"/>
        <v>75</v>
      </c>
      <c r="BK84" s="128">
        <f t="shared" si="9"/>
        <v>0</v>
      </c>
      <c r="BL84" s="128">
        <f t="shared" si="9"/>
        <v>0</v>
      </c>
      <c r="BM84" s="128">
        <f t="shared" si="9"/>
        <v>0</v>
      </c>
      <c r="BN84" s="128">
        <f t="shared" si="9"/>
        <v>0</v>
      </c>
      <c r="BO84" s="128">
        <f t="shared" si="9"/>
        <v>0</v>
      </c>
      <c r="BP84" s="128">
        <f t="shared" si="9"/>
        <v>0</v>
      </c>
      <c r="BQ84" s="128">
        <f t="shared" si="9"/>
        <v>0</v>
      </c>
      <c r="BR84" s="128">
        <f t="shared" si="9"/>
        <v>0</v>
      </c>
      <c r="BS84" s="128">
        <f t="shared" si="9"/>
        <v>0</v>
      </c>
      <c r="BT84" s="128">
        <f t="shared" si="9"/>
        <v>0</v>
      </c>
      <c r="BU84" s="128">
        <f t="shared" si="9"/>
        <v>0</v>
      </c>
      <c r="BV84" s="128">
        <f t="shared" si="9"/>
        <v>0</v>
      </c>
    </row>
  </sheetData>
  <mergeCells count="18">
    <mergeCell ref="H1:N1"/>
    <mergeCell ref="O1:AR1"/>
    <mergeCell ref="AS1:BV1"/>
    <mergeCell ref="N4:N79"/>
    <mergeCell ref="U4:U79"/>
    <mergeCell ref="AB4:AB79"/>
    <mergeCell ref="AI4:AI79"/>
    <mergeCell ref="AP4:AP79"/>
    <mergeCell ref="AW4:AW79"/>
    <mergeCell ref="BD4:BD79"/>
    <mergeCell ref="BK4:BK79"/>
    <mergeCell ref="A1:A3"/>
    <mergeCell ref="B1:B3"/>
    <mergeCell ref="C1:C3"/>
    <mergeCell ref="D1:D3"/>
    <mergeCell ref="E1:E3"/>
    <mergeCell ref="F1:F3"/>
    <mergeCell ref="G1:G3"/>
  </mergeCells>
  <conditionalFormatting sqref="H4:BV80">
    <cfRule type="beginsWith" dxfId="3" priority="1" operator="beginsWith" text="a">
      <formula>LEFT((H4),LEN("a"))=("a")</formula>
    </cfRule>
  </conditionalFormatting>
  <conditionalFormatting sqref="H4:BV80">
    <cfRule type="beginsWith" dxfId="4" priority="2" operator="beginsWith" text="p">
      <formula>LEFT((H4),LEN("p"))=("p")</formula>
    </cfRule>
  </conditionalFormatting>
  <conditionalFormatting sqref="H4:BV80">
    <cfRule type="beginsWith" dxfId="5" priority="3" operator="beginsWith" text="Op">
      <formula>LEFT((H4),LEN("Op"))=("Op")</formula>
    </cfRule>
  </conditionalFormatting>
  <conditionalFormatting sqref="H59:M59 O59:T59 G76:G79 H76:M78 O76:T78 V76:X78">
    <cfRule type="beginsWith" dxfId="6" priority="4" operator="beginsWith" text="LT">
      <formula>LEFT((H59),LEN("LT"))=("LT")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  <col customWidth="1" min="4" max="4" width="32.88"/>
    <col customWidth="1" min="6" max="6" width="29.88"/>
    <col customWidth="1" min="8" max="8" width="13.75"/>
  </cols>
  <sheetData>
    <row r="1">
      <c r="A1" s="4" t="s">
        <v>1</v>
      </c>
      <c r="B1" s="7"/>
      <c r="C1" s="7"/>
      <c r="D1" s="7"/>
      <c r="E1" s="7"/>
      <c r="F1" s="7"/>
      <c r="G1" s="7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8" t="s">
        <v>16</v>
      </c>
      <c r="B2" s="7"/>
      <c r="C2" s="7"/>
      <c r="D2" s="7"/>
      <c r="E2" s="7"/>
      <c r="F2" s="7"/>
      <c r="G2" s="7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1" t="s">
        <v>23</v>
      </c>
      <c r="B3" s="21" t="s">
        <v>27</v>
      </c>
      <c r="C3" s="21" t="s">
        <v>30</v>
      </c>
      <c r="D3" s="21" t="s">
        <v>32</v>
      </c>
      <c r="E3" s="21" t="s">
        <v>34</v>
      </c>
      <c r="F3" s="21" t="s">
        <v>35</v>
      </c>
      <c r="G3" s="21" t="s">
        <v>37</v>
      </c>
      <c r="H3" s="21" t="s">
        <v>39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4">
        <v>1.0</v>
      </c>
      <c r="B4" s="25" t="s">
        <v>53</v>
      </c>
      <c r="C4" s="27" t="s">
        <v>55</v>
      </c>
      <c r="D4" s="28" t="s">
        <v>56</v>
      </c>
      <c r="E4" s="29" t="s">
        <v>59</v>
      </c>
      <c r="F4" s="30"/>
      <c r="G4" s="33"/>
      <c r="H4" s="34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4">
        <v>2.0</v>
      </c>
      <c r="B5" s="36" t="s">
        <v>70</v>
      </c>
      <c r="C5" s="27" t="s">
        <v>72</v>
      </c>
      <c r="D5" s="28" t="s">
        <v>73</v>
      </c>
      <c r="E5" s="37" t="s">
        <v>75</v>
      </c>
      <c r="F5" s="28" t="s">
        <v>77</v>
      </c>
      <c r="G5" s="37" t="s">
        <v>78</v>
      </c>
      <c r="H5" s="38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4">
        <v>3.0</v>
      </c>
      <c r="B6" s="25" t="s">
        <v>83</v>
      </c>
      <c r="C6" s="27" t="s">
        <v>84</v>
      </c>
      <c r="D6" s="28" t="s">
        <v>85</v>
      </c>
      <c r="E6" s="29" t="s">
        <v>75</v>
      </c>
      <c r="F6" s="28" t="s">
        <v>87</v>
      </c>
      <c r="G6" s="29" t="s">
        <v>78</v>
      </c>
      <c r="H6" s="34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4">
        <v>4.0</v>
      </c>
      <c r="B7" s="36" t="s">
        <v>96</v>
      </c>
      <c r="C7" s="27" t="s">
        <v>97</v>
      </c>
      <c r="D7" s="28" t="s">
        <v>99</v>
      </c>
      <c r="E7" s="37" t="s">
        <v>75</v>
      </c>
      <c r="F7" s="46" t="s">
        <v>101</v>
      </c>
      <c r="G7" s="30"/>
      <c r="H7" s="38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4">
        <v>5.0</v>
      </c>
      <c r="B8" s="25" t="s">
        <v>136</v>
      </c>
      <c r="C8" s="47" t="s">
        <v>138</v>
      </c>
      <c r="D8" s="48" t="s">
        <v>141</v>
      </c>
      <c r="E8" s="49" t="s">
        <v>59</v>
      </c>
      <c r="F8" s="28"/>
      <c r="G8" s="29"/>
      <c r="H8" s="34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50">
        <v>6.0</v>
      </c>
      <c r="B9" s="51" t="s">
        <v>150</v>
      </c>
      <c r="C9" s="47" t="s">
        <v>152</v>
      </c>
      <c r="D9" s="48" t="s">
        <v>153</v>
      </c>
      <c r="E9" s="52" t="s">
        <v>75</v>
      </c>
      <c r="F9" s="53" t="s">
        <v>156</v>
      </c>
      <c r="G9" s="52" t="s">
        <v>78</v>
      </c>
      <c r="H9" s="54" t="s">
        <v>160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56">
        <v>7.0</v>
      </c>
      <c r="B10" s="57">
        <v>46028.0</v>
      </c>
      <c r="C10" s="47" t="s">
        <v>170</v>
      </c>
      <c r="D10" s="58" t="s">
        <v>171</v>
      </c>
      <c r="E10" s="59" t="s">
        <v>59</v>
      </c>
      <c r="F10" s="30"/>
      <c r="G10" s="60"/>
      <c r="H10" s="6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6">
        <v>8.0</v>
      </c>
      <c r="B11" s="57">
        <v>46059.0</v>
      </c>
      <c r="C11" s="27" t="s">
        <v>180</v>
      </c>
      <c r="D11" s="58" t="s">
        <v>182</v>
      </c>
      <c r="E11" s="59" t="s">
        <v>59</v>
      </c>
      <c r="F11" s="30"/>
      <c r="G11" s="60"/>
      <c r="H11" s="6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56">
        <v>9.0</v>
      </c>
      <c r="B12" s="57">
        <v>46087.0</v>
      </c>
      <c r="C12" s="27" t="s">
        <v>180</v>
      </c>
      <c r="D12" s="58" t="s">
        <v>189</v>
      </c>
      <c r="E12" s="59" t="s">
        <v>59</v>
      </c>
      <c r="F12" s="30"/>
      <c r="G12" s="60"/>
      <c r="H12" s="6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0">
        <v>10.0</v>
      </c>
      <c r="B13" s="66">
        <v>46118.0</v>
      </c>
      <c r="C13" s="67" t="s">
        <v>196</v>
      </c>
      <c r="D13" s="58" t="s">
        <v>198</v>
      </c>
      <c r="E13" s="52" t="s">
        <v>75</v>
      </c>
      <c r="F13" s="68" t="s">
        <v>200</v>
      </c>
      <c r="G13" s="69" t="s">
        <v>78</v>
      </c>
      <c r="H13" s="54" t="s">
        <v>207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50">
        <v>11.0</v>
      </c>
      <c r="B14" s="66">
        <v>46148.0</v>
      </c>
      <c r="C14" s="67" t="s">
        <v>215</v>
      </c>
      <c r="D14" s="58" t="s">
        <v>216</v>
      </c>
      <c r="E14" s="52" t="s">
        <v>75</v>
      </c>
      <c r="F14" s="68" t="s">
        <v>218</v>
      </c>
      <c r="G14" s="69" t="s">
        <v>78</v>
      </c>
      <c r="H14" s="7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50">
        <v>12.0</v>
      </c>
      <c r="B15" s="66">
        <v>46179.0</v>
      </c>
      <c r="C15" s="67" t="s">
        <v>230</v>
      </c>
      <c r="D15" s="58" t="s">
        <v>232</v>
      </c>
      <c r="E15" s="52" t="s">
        <v>75</v>
      </c>
      <c r="F15" s="68" t="s">
        <v>234</v>
      </c>
      <c r="G15" s="69" t="s">
        <v>78</v>
      </c>
      <c r="H15" s="54" t="s">
        <v>207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0">
        <v>13.0</v>
      </c>
      <c r="B16" s="66">
        <v>46240.0</v>
      </c>
      <c r="C16" s="67" t="s">
        <v>230</v>
      </c>
      <c r="D16" s="58" t="s">
        <v>251</v>
      </c>
      <c r="E16" s="52" t="s">
        <v>59</v>
      </c>
      <c r="F16" s="72"/>
      <c r="G16" s="69"/>
      <c r="H16" s="7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0">
        <v>14.0</v>
      </c>
      <c r="B17" s="66">
        <v>46271.0</v>
      </c>
      <c r="C17" s="67" t="s">
        <v>230</v>
      </c>
      <c r="D17" s="58" t="s">
        <v>257</v>
      </c>
      <c r="E17" s="52" t="s">
        <v>59</v>
      </c>
      <c r="F17" s="72"/>
      <c r="G17" s="69"/>
      <c r="H17" s="7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50">
        <v>15.0</v>
      </c>
      <c r="B18" s="66">
        <v>46301.0</v>
      </c>
      <c r="C18" s="67" t="s">
        <v>264</v>
      </c>
      <c r="D18" s="58" t="s">
        <v>266</v>
      </c>
      <c r="E18" s="52" t="s">
        <v>75</v>
      </c>
      <c r="F18" s="68" t="s">
        <v>267</v>
      </c>
      <c r="G18" s="69" t="s">
        <v>78</v>
      </c>
      <c r="H18" s="7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56">
        <v>16.0</v>
      </c>
      <c r="B19" s="57">
        <v>46332.0</v>
      </c>
      <c r="C19" s="67" t="s">
        <v>277</v>
      </c>
      <c r="D19" s="58" t="s">
        <v>278</v>
      </c>
      <c r="E19" s="59" t="s">
        <v>59</v>
      </c>
      <c r="F19" s="30"/>
      <c r="G19" s="60"/>
      <c r="H19" s="6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56">
        <v>17.0</v>
      </c>
      <c r="B20" s="57">
        <v>46362.0</v>
      </c>
      <c r="C20" s="67" t="s">
        <v>283</v>
      </c>
      <c r="D20" s="58" t="s">
        <v>284</v>
      </c>
      <c r="E20" s="59" t="s">
        <v>59</v>
      </c>
      <c r="F20" s="30"/>
      <c r="G20" s="60"/>
      <c r="H20" s="6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50">
        <v>18.0</v>
      </c>
      <c r="B21" s="51" t="s">
        <v>291</v>
      </c>
      <c r="C21" s="67" t="s">
        <v>283</v>
      </c>
      <c r="D21" s="58" t="s">
        <v>292</v>
      </c>
      <c r="E21" s="52" t="s">
        <v>75</v>
      </c>
      <c r="F21" s="68" t="s">
        <v>294</v>
      </c>
      <c r="G21" s="69" t="s">
        <v>78</v>
      </c>
      <c r="H21" s="54" t="s">
        <v>207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56">
        <v>19.0</v>
      </c>
      <c r="B22" s="75" t="s">
        <v>303</v>
      </c>
      <c r="C22" s="76" t="s">
        <v>283</v>
      </c>
      <c r="D22" s="58" t="s">
        <v>305</v>
      </c>
      <c r="E22" s="52" t="s">
        <v>75</v>
      </c>
      <c r="F22" s="30"/>
      <c r="G22" s="60"/>
      <c r="H22" s="6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56">
        <v>20.0</v>
      </c>
      <c r="B23" s="75" t="s">
        <v>310</v>
      </c>
      <c r="C23" s="76" t="s">
        <v>311</v>
      </c>
      <c r="D23" s="77" t="s">
        <v>311</v>
      </c>
      <c r="E23" s="59" t="s">
        <v>75</v>
      </c>
      <c r="F23" s="30"/>
      <c r="G23" s="60"/>
      <c r="H23" s="6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50">
        <v>21.0</v>
      </c>
      <c r="B24" s="51" t="s">
        <v>318</v>
      </c>
      <c r="C24" s="67" t="s">
        <v>319</v>
      </c>
      <c r="D24" s="58" t="s">
        <v>320</v>
      </c>
      <c r="E24" s="52" t="s">
        <v>75</v>
      </c>
      <c r="F24" s="68" t="s">
        <v>321</v>
      </c>
      <c r="G24" s="69" t="s">
        <v>78</v>
      </c>
      <c r="H24" s="54" t="s">
        <v>207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50">
        <v>22.0</v>
      </c>
      <c r="B25" s="51" t="s">
        <v>335</v>
      </c>
      <c r="C25" s="67" t="s">
        <v>336</v>
      </c>
      <c r="D25" s="58" t="s">
        <v>337</v>
      </c>
      <c r="E25" s="52"/>
      <c r="F25" s="72"/>
      <c r="G25" s="69"/>
      <c r="H25" s="7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50">
        <v>23.0</v>
      </c>
      <c r="B26" s="51" t="s">
        <v>343</v>
      </c>
      <c r="C26" s="67" t="s">
        <v>336</v>
      </c>
      <c r="D26" s="58" t="s">
        <v>346</v>
      </c>
      <c r="E26" s="52" t="s">
        <v>59</v>
      </c>
      <c r="F26" s="72"/>
      <c r="G26" s="69"/>
      <c r="H26" s="7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50">
        <v>24.0</v>
      </c>
      <c r="B27" s="51" t="s">
        <v>351</v>
      </c>
      <c r="C27" s="67" t="s">
        <v>352</v>
      </c>
      <c r="D27" s="58" t="s">
        <v>353</v>
      </c>
      <c r="E27" s="52" t="s">
        <v>75</v>
      </c>
      <c r="F27" s="68" t="s">
        <v>355</v>
      </c>
      <c r="G27" s="69" t="s">
        <v>78</v>
      </c>
      <c r="H27" s="54" t="s">
        <v>207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56">
        <v>25.0</v>
      </c>
      <c r="B28" s="75" t="s">
        <v>367</v>
      </c>
      <c r="C28" s="76" t="s">
        <v>369</v>
      </c>
      <c r="D28" s="77" t="s">
        <v>369</v>
      </c>
      <c r="E28" s="59" t="s">
        <v>59</v>
      </c>
      <c r="F28" s="78"/>
      <c r="G28" s="60"/>
      <c r="H28" s="6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56">
        <v>26.0</v>
      </c>
      <c r="B29" s="75" t="s">
        <v>376</v>
      </c>
      <c r="C29" s="76" t="s">
        <v>352</v>
      </c>
      <c r="D29" s="77" t="s">
        <v>377</v>
      </c>
      <c r="E29" s="59" t="s">
        <v>59</v>
      </c>
      <c r="F29" s="78"/>
      <c r="G29" s="60"/>
      <c r="H29" s="6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50">
        <v>27.0</v>
      </c>
      <c r="B30" s="51" t="s">
        <v>383</v>
      </c>
      <c r="C30" s="67" t="s">
        <v>384</v>
      </c>
      <c r="D30" s="58" t="s">
        <v>385</v>
      </c>
      <c r="E30" s="52" t="s">
        <v>75</v>
      </c>
      <c r="F30" s="80" t="s">
        <v>386</v>
      </c>
      <c r="G30" s="69" t="s">
        <v>78</v>
      </c>
      <c r="H30" s="54" t="s">
        <v>207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50">
        <v>28.0</v>
      </c>
      <c r="B31" s="51" t="s">
        <v>395</v>
      </c>
      <c r="C31" s="67" t="s">
        <v>352</v>
      </c>
      <c r="D31" s="58" t="s">
        <v>396</v>
      </c>
      <c r="E31" s="52" t="s">
        <v>59</v>
      </c>
      <c r="F31" s="81"/>
      <c r="G31" s="69"/>
      <c r="H31" s="7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50">
        <v>29.0</v>
      </c>
      <c r="B32" s="51" t="s">
        <v>401</v>
      </c>
      <c r="C32" s="67" t="s">
        <v>403</v>
      </c>
      <c r="D32" s="58" t="s">
        <v>404</v>
      </c>
      <c r="E32" s="52" t="s">
        <v>59</v>
      </c>
      <c r="F32" s="81"/>
      <c r="G32" s="69"/>
      <c r="H32" s="7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50">
        <v>30.0</v>
      </c>
      <c r="B33" s="51" t="s">
        <v>410</v>
      </c>
      <c r="C33" s="67" t="s">
        <v>411</v>
      </c>
      <c r="D33" s="58" t="s">
        <v>413</v>
      </c>
      <c r="E33" s="52" t="s">
        <v>75</v>
      </c>
      <c r="F33" s="80" t="s">
        <v>414</v>
      </c>
      <c r="G33" s="69" t="s">
        <v>78</v>
      </c>
      <c r="H33" s="54" t="s">
        <v>207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50">
        <v>31.0</v>
      </c>
      <c r="B34" s="51" t="s">
        <v>426</v>
      </c>
      <c r="C34" s="67" t="s">
        <v>427</v>
      </c>
      <c r="D34" s="58" t="s">
        <v>428</v>
      </c>
      <c r="E34" s="52" t="s">
        <v>59</v>
      </c>
      <c r="F34" s="81"/>
      <c r="G34" s="69"/>
      <c r="H34" s="7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50">
        <v>32.0</v>
      </c>
      <c r="B35" s="51" t="s">
        <v>431</v>
      </c>
      <c r="C35" s="67" t="s">
        <v>433</v>
      </c>
      <c r="D35" s="58" t="s">
        <v>434</v>
      </c>
      <c r="E35" s="52" t="s">
        <v>59</v>
      </c>
      <c r="F35" s="81"/>
      <c r="G35" s="69"/>
      <c r="H35" s="7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50">
        <v>33.0</v>
      </c>
      <c r="B36" s="66">
        <v>46029.0</v>
      </c>
      <c r="C36" s="67" t="s">
        <v>441</v>
      </c>
      <c r="D36" s="58"/>
      <c r="E36" s="52" t="s">
        <v>75</v>
      </c>
      <c r="F36" s="81" t="s">
        <v>443</v>
      </c>
      <c r="G36" s="69" t="s">
        <v>78</v>
      </c>
      <c r="H36" s="54" t="s">
        <v>207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50">
        <v>34.0</v>
      </c>
      <c r="B37" s="66">
        <v>46060.0</v>
      </c>
      <c r="C37" s="67" t="s">
        <v>450</v>
      </c>
      <c r="D37" s="58" t="s">
        <v>451</v>
      </c>
      <c r="E37" s="52"/>
      <c r="F37" s="81"/>
      <c r="G37" s="69"/>
      <c r="H37" s="7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50">
        <v>35.0</v>
      </c>
      <c r="B38" s="66">
        <v>46088.0</v>
      </c>
      <c r="C38" s="67" t="s">
        <v>459</v>
      </c>
      <c r="D38" s="58" t="s">
        <v>460</v>
      </c>
      <c r="E38" s="52"/>
      <c r="F38" s="81"/>
      <c r="G38" s="69"/>
      <c r="H38" s="7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50">
        <v>36.0</v>
      </c>
      <c r="B39" s="66">
        <v>46119.0</v>
      </c>
      <c r="C39" s="82" t="s">
        <v>467</v>
      </c>
      <c r="D39" s="82" t="s">
        <v>467</v>
      </c>
      <c r="E39" s="52" t="s">
        <v>75</v>
      </c>
      <c r="F39" s="83" t="s">
        <v>469</v>
      </c>
      <c r="G39" s="69" t="s">
        <v>78</v>
      </c>
      <c r="H39" s="54" t="s">
        <v>207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50">
        <v>37.0</v>
      </c>
      <c r="B40" s="66">
        <v>46180.0</v>
      </c>
      <c r="C40" s="82" t="s">
        <v>479</v>
      </c>
      <c r="D40" s="82" t="s">
        <v>480</v>
      </c>
      <c r="E40" s="52" t="s">
        <v>59</v>
      </c>
      <c r="F40" s="83"/>
      <c r="G40" s="69"/>
      <c r="H40" s="7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50">
        <v>38.0</v>
      </c>
      <c r="B41" s="66">
        <v>46210.0</v>
      </c>
      <c r="C41" s="82" t="s">
        <v>486</v>
      </c>
      <c r="D41" s="82" t="s">
        <v>486</v>
      </c>
      <c r="E41" s="52" t="s">
        <v>59</v>
      </c>
      <c r="F41" s="83"/>
      <c r="G41" s="69"/>
      <c r="H41" s="7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50">
        <v>39.0</v>
      </c>
      <c r="B42" s="66">
        <v>46241.0</v>
      </c>
      <c r="C42" s="82" t="s">
        <v>486</v>
      </c>
      <c r="D42" s="82" t="s">
        <v>486</v>
      </c>
      <c r="E42" s="52" t="s">
        <v>59</v>
      </c>
      <c r="F42" s="83"/>
      <c r="G42" s="69"/>
      <c r="H42" s="7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50">
        <v>40.0</v>
      </c>
      <c r="B43" s="66">
        <v>46272.0</v>
      </c>
      <c r="C43" s="82" t="s">
        <v>486</v>
      </c>
      <c r="D43" s="82" t="s">
        <v>486</v>
      </c>
      <c r="E43" s="52" t="s">
        <v>75</v>
      </c>
      <c r="F43" s="83" t="s">
        <v>498</v>
      </c>
      <c r="G43" s="69" t="s">
        <v>78</v>
      </c>
      <c r="H43" s="54" t="s">
        <v>207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50">
        <v>41.0</v>
      </c>
      <c r="B44" s="84">
        <v>46302.0</v>
      </c>
      <c r="C44" s="82" t="s">
        <v>486</v>
      </c>
      <c r="D44" s="82" t="s">
        <v>486</v>
      </c>
      <c r="E44" s="52"/>
      <c r="F44" s="83"/>
      <c r="G44" s="69"/>
      <c r="H44" s="7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50">
        <v>42.0</v>
      </c>
      <c r="B45" s="84">
        <v>46333.0</v>
      </c>
      <c r="C45" s="82" t="s">
        <v>486</v>
      </c>
      <c r="D45" s="82" t="s">
        <v>486</v>
      </c>
      <c r="E45" s="52" t="s">
        <v>75</v>
      </c>
      <c r="F45" s="83" t="s">
        <v>498</v>
      </c>
      <c r="G45" s="69" t="s">
        <v>78</v>
      </c>
      <c r="H45" s="54" t="s">
        <v>207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50">
        <v>43.0</v>
      </c>
      <c r="B46" s="51" t="s">
        <v>522</v>
      </c>
      <c r="C46" s="82" t="s">
        <v>524</v>
      </c>
      <c r="D46" s="82" t="s">
        <v>524</v>
      </c>
      <c r="E46" s="52" t="s">
        <v>59</v>
      </c>
      <c r="F46" s="83"/>
      <c r="G46" s="69"/>
      <c r="H46" s="7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50">
        <v>44.0</v>
      </c>
      <c r="B47" s="51" t="s">
        <v>531</v>
      </c>
      <c r="C47" s="82" t="s">
        <v>524</v>
      </c>
      <c r="D47" s="82" t="s">
        <v>524</v>
      </c>
      <c r="E47" s="52" t="s">
        <v>59</v>
      </c>
      <c r="F47" s="83"/>
      <c r="G47" s="69"/>
      <c r="H47" s="7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50">
        <v>45.0</v>
      </c>
      <c r="B48" s="51" t="s">
        <v>537</v>
      </c>
      <c r="C48" s="82" t="s">
        <v>524</v>
      </c>
      <c r="D48" s="82" t="s">
        <v>524</v>
      </c>
      <c r="E48" s="52" t="s">
        <v>59</v>
      </c>
      <c r="F48" s="83"/>
      <c r="G48" s="69"/>
      <c r="H48" s="7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50">
        <v>46.0</v>
      </c>
      <c r="B49" s="51" t="s">
        <v>544</v>
      </c>
      <c r="C49" s="82" t="s">
        <v>524</v>
      </c>
      <c r="D49" s="82" t="s">
        <v>524</v>
      </c>
      <c r="E49" s="52" t="s">
        <v>75</v>
      </c>
      <c r="F49" s="87" t="s">
        <v>546</v>
      </c>
      <c r="G49" s="69" t="s">
        <v>78</v>
      </c>
      <c r="H49" s="54" t="s">
        <v>207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50">
        <v>47.0</v>
      </c>
      <c r="B50" s="51" t="s">
        <v>557</v>
      </c>
      <c r="C50" s="82" t="s">
        <v>524</v>
      </c>
      <c r="D50" s="82" t="s">
        <v>524</v>
      </c>
      <c r="E50" s="52" t="s">
        <v>75</v>
      </c>
      <c r="F50" s="88" t="s">
        <v>560</v>
      </c>
      <c r="G50" s="69" t="s">
        <v>78</v>
      </c>
      <c r="H50" s="54" t="s">
        <v>207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50">
        <v>48.0</v>
      </c>
      <c r="B51" s="51" t="s">
        <v>570</v>
      </c>
      <c r="C51" s="82" t="s">
        <v>524</v>
      </c>
      <c r="D51" s="82" t="s">
        <v>524</v>
      </c>
      <c r="E51" s="52" t="s">
        <v>75</v>
      </c>
      <c r="F51" s="88" t="s">
        <v>572</v>
      </c>
      <c r="G51" s="69" t="s">
        <v>78</v>
      </c>
      <c r="H51" s="54" t="s">
        <v>207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50"/>
      <c r="B52" s="84"/>
      <c r="C52" s="82"/>
      <c r="D52" s="82"/>
      <c r="E52" s="52"/>
      <c r="F52" s="83"/>
      <c r="G52" s="69"/>
      <c r="H52" s="7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8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8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</sheetData>
  <mergeCells count="2">
    <mergeCell ref="A1:H1"/>
    <mergeCell ref="A2:H2"/>
  </mergeCells>
  <dataValidations>
    <dataValidation type="list" allowBlank="1" sqref="G4:G52">
      <formula1>"Submitted,In Progress,Not Attempted"</formula1>
    </dataValidation>
    <dataValidation type="list" allowBlank="1" sqref="E4:E52">
      <formula1>"Yes,No"</formula1>
    </dataValidation>
  </dataValidations>
  <hyperlinks>
    <hyperlink r:id="rId1" ref="F7"/>
    <hyperlink r:id="rId2" ref="F9"/>
    <hyperlink r:id="rId3" ref="H9"/>
    <hyperlink r:id="rId4" ref="F13"/>
    <hyperlink r:id="rId5" ref="H13"/>
    <hyperlink r:id="rId6" ref="F14"/>
    <hyperlink r:id="rId7" ref="F15"/>
    <hyperlink r:id="rId8" ref="H15"/>
    <hyperlink r:id="rId9" ref="F18"/>
    <hyperlink r:id="rId10" ref="F21"/>
    <hyperlink r:id="rId11" ref="H21"/>
    <hyperlink r:id="rId12" ref="F24"/>
    <hyperlink r:id="rId13" ref="H24"/>
    <hyperlink r:id="rId14" ref="F27"/>
    <hyperlink r:id="rId15" ref="H27"/>
    <hyperlink r:id="rId16" ref="F30"/>
    <hyperlink r:id="rId17" ref="H30"/>
    <hyperlink r:id="rId18" ref="F33"/>
    <hyperlink r:id="rId19" ref="H33"/>
    <hyperlink r:id="rId20" ref="H36"/>
    <hyperlink r:id="rId21" ref="H39"/>
    <hyperlink r:id="rId22" ref="H43"/>
    <hyperlink r:id="rId23" ref="H45"/>
    <hyperlink r:id="rId24" ref="H49"/>
    <hyperlink r:id="rId25" ref="H50"/>
    <hyperlink r:id="rId26" ref="H51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75"/>
    <col customWidth="1" min="3" max="3" width="14.88"/>
  </cols>
  <sheetData>
    <row r="1">
      <c r="A1" s="1" t="s">
        <v>0</v>
      </c>
      <c r="B1" s="1" t="s">
        <v>3</v>
      </c>
      <c r="C1" s="1" t="s">
        <v>4</v>
      </c>
    </row>
    <row r="2">
      <c r="A2" s="3">
        <v>1.0</v>
      </c>
      <c r="B2" s="5" t="s">
        <v>7</v>
      </c>
      <c r="C2" s="11" t="s">
        <v>12</v>
      </c>
    </row>
    <row r="3">
      <c r="A3" s="13"/>
      <c r="B3" s="5" t="s">
        <v>13</v>
      </c>
      <c r="C3" s="11" t="s">
        <v>12</v>
      </c>
    </row>
    <row r="4">
      <c r="A4" s="13"/>
      <c r="B4" s="5" t="s">
        <v>14</v>
      </c>
      <c r="C4" s="11" t="s">
        <v>12</v>
      </c>
    </row>
    <row r="5">
      <c r="A5" s="13"/>
      <c r="B5" s="5" t="s">
        <v>15</v>
      </c>
      <c r="C5" s="11" t="s">
        <v>12</v>
      </c>
    </row>
    <row r="6">
      <c r="A6" s="13"/>
      <c r="B6" s="5" t="s">
        <v>17</v>
      </c>
      <c r="C6" s="11" t="s">
        <v>12</v>
      </c>
    </row>
    <row r="7">
      <c r="A7" s="13"/>
      <c r="B7" s="5" t="s">
        <v>18</v>
      </c>
      <c r="C7" s="11" t="s">
        <v>12</v>
      </c>
    </row>
    <row r="8">
      <c r="A8" s="13"/>
      <c r="B8" s="5" t="s">
        <v>19</v>
      </c>
      <c r="C8" s="11" t="s">
        <v>12</v>
      </c>
    </row>
    <row r="9">
      <c r="A9" s="13"/>
      <c r="B9" s="5" t="s">
        <v>20</v>
      </c>
      <c r="C9" s="11" t="s">
        <v>12</v>
      </c>
    </row>
    <row r="10">
      <c r="A10" s="13"/>
      <c r="B10" s="5" t="s">
        <v>24</v>
      </c>
      <c r="C10" s="11" t="s">
        <v>12</v>
      </c>
    </row>
    <row r="11">
      <c r="A11" s="13"/>
      <c r="B11" s="5" t="s">
        <v>29</v>
      </c>
      <c r="C11" s="11" t="s">
        <v>12</v>
      </c>
    </row>
    <row r="12">
      <c r="A12" s="13"/>
      <c r="B12" s="5" t="s">
        <v>33</v>
      </c>
      <c r="C12" s="11" t="s">
        <v>12</v>
      </c>
    </row>
    <row r="13">
      <c r="A13" s="3">
        <v>2.0</v>
      </c>
      <c r="B13" s="5" t="s">
        <v>36</v>
      </c>
      <c r="C13" s="11" t="s">
        <v>12</v>
      </c>
    </row>
    <row r="14">
      <c r="A14" s="13"/>
      <c r="B14" s="5" t="s">
        <v>41</v>
      </c>
      <c r="C14" s="11" t="s">
        <v>12</v>
      </c>
    </row>
    <row r="15">
      <c r="A15" s="13"/>
      <c r="B15" s="5" t="s">
        <v>45</v>
      </c>
      <c r="C15" s="11" t="s">
        <v>12</v>
      </c>
    </row>
    <row r="16">
      <c r="A16" s="13"/>
      <c r="B16" s="5" t="s">
        <v>48</v>
      </c>
      <c r="C16" s="11" t="s">
        <v>12</v>
      </c>
    </row>
    <row r="17">
      <c r="A17" s="13"/>
      <c r="B17" s="5" t="s">
        <v>52</v>
      </c>
      <c r="C17" s="11" t="s">
        <v>12</v>
      </c>
    </row>
    <row r="18">
      <c r="A18" s="13"/>
      <c r="B18" s="5" t="s">
        <v>57</v>
      </c>
      <c r="C18" s="11" t="s">
        <v>12</v>
      </c>
    </row>
    <row r="19">
      <c r="A19" s="13"/>
      <c r="B19" s="5" t="s">
        <v>58</v>
      </c>
      <c r="C19" s="11" t="s">
        <v>12</v>
      </c>
    </row>
    <row r="20">
      <c r="A20" s="13"/>
      <c r="B20" s="5" t="s">
        <v>60</v>
      </c>
      <c r="C20" s="11" t="s">
        <v>12</v>
      </c>
    </row>
    <row r="21">
      <c r="A21" s="13"/>
      <c r="B21" s="5" t="s">
        <v>62</v>
      </c>
      <c r="C21" s="11" t="s">
        <v>12</v>
      </c>
    </row>
    <row r="22">
      <c r="A22" s="13"/>
      <c r="B22" s="5" t="s">
        <v>64</v>
      </c>
      <c r="C22" s="11" t="s">
        <v>12</v>
      </c>
    </row>
    <row r="23">
      <c r="A23" s="13"/>
      <c r="B23" s="5" t="s">
        <v>65</v>
      </c>
      <c r="C23" s="11" t="s">
        <v>12</v>
      </c>
    </row>
    <row r="24">
      <c r="A24" s="3">
        <v>3.0</v>
      </c>
      <c r="B24" s="5" t="s">
        <v>66</v>
      </c>
      <c r="C24" s="11" t="s">
        <v>12</v>
      </c>
    </row>
    <row r="25">
      <c r="A25" s="13"/>
      <c r="B25" s="5" t="s">
        <v>67</v>
      </c>
      <c r="C25" s="11" t="s">
        <v>12</v>
      </c>
    </row>
    <row r="26">
      <c r="A26" s="13"/>
      <c r="B26" s="5" t="s">
        <v>69</v>
      </c>
      <c r="C26" s="11" t="s">
        <v>12</v>
      </c>
    </row>
    <row r="27">
      <c r="A27" s="13"/>
      <c r="B27" s="5" t="s">
        <v>71</v>
      </c>
      <c r="C27" s="11" t="s">
        <v>12</v>
      </c>
    </row>
    <row r="28">
      <c r="A28" s="13"/>
      <c r="B28" s="5" t="s">
        <v>74</v>
      </c>
      <c r="C28" s="11" t="s">
        <v>12</v>
      </c>
    </row>
    <row r="29">
      <c r="A29" s="13"/>
      <c r="B29" s="5" t="s">
        <v>76</v>
      </c>
      <c r="C29" s="11" t="s">
        <v>12</v>
      </c>
    </row>
    <row r="30">
      <c r="A30" s="13"/>
      <c r="B30" s="5" t="s">
        <v>79</v>
      </c>
      <c r="C30" s="11" t="s">
        <v>12</v>
      </c>
    </row>
    <row r="31">
      <c r="A31" s="13"/>
      <c r="B31" s="5" t="s">
        <v>80</v>
      </c>
      <c r="C31" s="11" t="s">
        <v>12</v>
      </c>
    </row>
    <row r="32">
      <c r="A32" s="13"/>
      <c r="B32" s="5" t="s">
        <v>81</v>
      </c>
      <c r="C32" s="11" t="s">
        <v>12</v>
      </c>
    </row>
    <row r="33">
      <c r="A33" s="13"/>
      <c r="B33" s="5" t="s">
        <v>82</v>
      </c>
      <c r="C33" s="11" t="s">
        <v>12</v>
      </c>
    </row>
    <row r="34">
      <c r="A34" s="3">
        <v>4.0</v>
      </c>
      <c r="B34" s="5" t="s">
        <v>86</v>
      </c>
      <c r="C34" s="11" t="s">
        <v>12</v>
      </c>
    </row>
    <row r="35">
      <c r="A35" s="13"/>
      <c r="B35" s="5" t="s">
        <v>88</v>
      </c>
      <c r="C35" s="11" t="s">
        <v>12</v>
      </c>
    </row>
    <row r="36">
      <c r="A36" s="13"/>
      <c r="B36" s="5" t="s">
        <v>89</v>
      </c>
      <c r="C36" s="11" t="s">
        <v>12</v>
      </c>
    </row>
    <row r="37">
      <c r="A37" s="13"/>
      <c r="B37" s="5" t="s">
        <v>91</v>
      </c>
      <c r="C37" s="11" t="s">
        <v>12</v>
      </c>
    </row>
    <row r="38">
      <c r="A38" s="13"/>
      <c r="B38" s="5" t="s">
        <v>93</v>
      </c>
      <c r="C38" s="11" t="s">
        <v>12</v>
      </c>
    </row>
    <row r="39">
      <c r="A39" s="13"/>
      <c r="B39" s="5" t="s">
        <v>95</v>
      </c>
      <c r="C39" s="11" t="s">
        <v>12</v>
      </c>
    </row>
    <row r="40">
      <c r="A40" s="13"/>
      <c r="B40" s="5" t="s">
        <v>98</v>
      </c>
      <c r="C40" s="11" t="s">
        <v>12</v>
      </c>
    </row>
    <row r="41">
      <c r="A41" s="13"/>
      <c r="B41" s="5" t="s">
        <v>100</v>
      </c>
      <c r="C41" s="11" t="s">
        <v>12</v>
      </c>
    </row>
    <row r="42">
      <c r="A42" s="13"/>
      <c r="B42" s="5" t="s">
        <v>102</v>
      </c>
      <c r="C42" s="11" t="s">
        <v>12</v>
      </c>
    </row>
    <row r="43">
      <c r="A43" s="3">
        <v>5.0</v>
      </c>
      <c r="B43" s="5" t="s">
        <v>103</v>
      </c>
      <c r="C43" s="11" t="s">
        <v>12</v>
      </c>
    </row>
    <row r="44">
      <c r="A44" s="13"/>
      <c r="B44" s="5" t="s">
        <v>104</v>
      </c>
      <c r="C44" s="11" t="s">
        <v>12</v>
      </c>
    </row>
    <row r="45">
      <c r="A45" s="13"/>
      <c r="B45" s="5" t="s">
        <v>105</v>
      </c>
      <c r="C45" s="11" t="s">
        <v>12</v>
      </c>
    </row>
    <row r="46">
      <c r="A46" s="13"/>
      <c r="B46" s="5" t="s">
        <v>106</v>
      </c>
      <c r="C46" s="11" t="s">
        <v>12</v>
      </c>
    </row>
    <row r="47">
      <c r="A47" s="13"/>
      <c r="B47" s="5" t="s">
        <v>107</v>
      </c>
      <c r="C47" s="11" t="s">
        <v>12</v>
      </c>
    </row>
    <row r="48">
      <c r="A48" s="13"/>
      <c r="B48" s="5" t="s">
        <v>110</v>
      </c>
      <c r="C48" s="11" t="s">
        <v>12</v>
      </c>
    </row>
    <row r="49">
      <c r="A49" s="13"/>
      <c r="B49" s="5" t="s">
        <v>111</v>
      </c>
      <c r="C49" s="11" t="s">
        <v>12</v>
      </c>
    </row>
    <row r="50">
      <c r="A50" s="13"/>
      <c r="B50" s="5" t="s">
        <v>112</v>
      </c>
      <c r="C50" s="11" t="s">
        <v>12</v>
      </c>
    </row>
    <row r="51">
      <c r="A51" s="3">
        <v>6.0</v>
      </c>
      <c r="B51" s="5" t="s">
        <v>113</v>
      </c>
      <c r="C51" s="11" t="s">
        <v>12</v>
      </c>
    </row>
    <row r="52">
      <c r="A52" s="13"/>
      <c r="B52" s="5" t="s">
        <v>114</v>
      </c>
      <c r="C52" s="11" t="s">
        <v>12</v>
      </c>
    </row>
    <row r="53">
      <c r="A53" s="13"/>
      <c r="B53" s="5" t="s">
        <v>115</v>
      </c>
      <c r="C53" s="11" t="s">
        <v>12</v>
      </c>
    </row>
    <row r="54">
      <c r="A54" s="13"/>
      <c r="B54" s="5" t="s">
        <v>116</v>
      </c>
      <c r="C54" s="11" t="s">
        <v>12</v>
      </c>
    </row>
    <row r="55">
      <c r="A55" s="13"/>
      <c r="B55" s="5" t="s">
        <v>117</v>
      </c>
      <c r="C55" s="11" t="s">
        <v>12</v>
      </c>
    </row>
    <row r="56">
      <c r="A56" s="3">
        <v>7.0</v>
      </c>
      <c r="B56" s="5" t="s">
        <v>119</v>
      </c>
      <c r="C56" s="11" t="s">
        <v>12</v>
      </c>
    </row>
    <row r="57">
      <c r="A57" s="13"/>
      <c r="B57" s="5" t="s">
        <v>121</v>
      </c>
      <c r="C57" s="11" t="s">
        <v>12</v>
      </c>
    </row>
    <row r="58">
      <c r="A58" s="13"/>
      <c r="B58" s="5" t="s">
        <v>122</v>
      </c>
      <c r="C58" s="11" t="s">
        <v>12</v>
      </c>
    </row>
    <row r="59">
      <c r="A59" s="3">
        <v>8.0</v>
      </c>
      <c r="B59" s="5" t="s">
        <v>123</v>
      </c>
      <c r="C59" s="11" t="s">
        <v>12</v>
      </c>
    </row>
    <row r="60">
      <c r="A60" s="13"/>
      <c r="B60" s="5" t="s">
        <v>124</v>
      </c>
      <c r="C60" s="11" t="s">
        <v>12</v>
      </c>
    </row>
    <row r="61">
      <c r="A61" s="13"/>
      <c r="B61" s="5" t="s">
        <v>125</v>
      </c>
      <c r="C61" s="11" t="s">
        <v>12</v>
      </c>
    </row>
    <row r="62">
      <c r="A62" s="13"/>
      <c r="B62" s="5" t="s">
        <v>126</v>
      </c>
      <c r="C62" s="11" t="s">
        <v>12</v>
      </c>
    </row>
    <row r="63">
      <c r="A63" s="13"/>
      <c r="B63" s="5" t="s">
        <v>127</v>
      </c>
      <c r="C63" s="11" t="s">
        <v>12</v>
      </c>
    </row>
    <row r="64">
      <c r="A64" s="13"/>
      <c r="B64" s="5" t="s">
        <v>128</v>
      </c>
      <c r="C64" s="11" t="s">
        <v>12</v>
      </c>
    </row>
    <row r="65">
      <c r="A65" s="13"/>
      <c r="B65" s="5" t="s">
        <v>130</v>
      </c>
      <c r="C65" s="11" t="s">
        <v>12</v>
      </c>
    </row>
    <row r="66">
      <c r="A66" s="13"/>
      <c r="B66" s="5" t="s">
        <v>132</v>
      </c>
      <c r="C66" s="11" t="s">
        <v>12</v>
      </c>
    </row>
    <row r="67">
      <c r="A67" s="13"/>
      <c r="B67" s="5" t="s">
        <v>133</v>
      </c>
      <c r="C67" s="11" t="s">
        <v>12</v>
      </c>
    </row>
    <row r="68">
      <c r="A68" s="13"/>
      <c r="B68" s="5" t="s">
        <v>134</v>
      </c>
      <c r="C68" s="11" t="s">
        <v>12</v>
      </c>
    </row>
    <row r="69">
      <c r="A69" s="13"/>
      <c r="B69" s="5" t="s">
        <v>135</v>
      </c>
      <c r="C69" s="11" t="s">
        <v>12</v>
      </c>
    </row>
    <row r="70">
      <c r="A70" s="3">
        <v>9.0</v>
      </c>
      <c r="B70" s="5" t="s">
        <v>137</v>
      </c>
      <c r="C70" s="11" t="s">
        <v>12</v>
      </c>
    </row>
    <row r="71">
      <c r="A71" s="13"/>
      <c r="B71" s="5" t="s">
        <v>139</v>
      </c>
      <c r="C71" s="11" t="s">
        <v>12</v>
      </c>
    </row>
    <row r="72">
      <c r="A72" s="13"/>
      <c r="B72" s="5" t="s">
        <v>140</v>
      </c>
      <c r="C72" s="11" t="s">
        <v>12</v>
      </c>
    </row>
    <row r="73">
      <c r="A73" s="13"/>
      <c r="B73" s="5" t="s">
        <v>142</v>
      </c>
      <c r="C73" s="11" t="s">
        <v>12</v>
      </c>
    </row>
    <row r="74">
      <c r="A74" s="13"/>
      <c r="B74" s="5" t="s">
        <v>143</v>
      </c>
      <c r="C74" s="11" t="s">
        <v>12</v>
      </c>
    </row>
    <row r="75">
      <c r="A75" s="13"/>
      <c r="B75" s="5" t="s">
        <v>145</v>
      </c>
      <c r="C75" s="11" t="s">
        <v>12</v>
      </c>
    </row>
    <row r="76">
      <c r="A76" s="13"/>
      <c r="B76" s="5" t="s">
        <v>147</v>
      </c>
      <c r="C76" s="11" t="s">
        <v>12</v>
      </c>
    </row>
    <row r="77">
      <c r="A77" s="13"/>
      <c r="B77" s="5" t="s">
        <v>148</v>
      </c>
      <c r="C77" s="11" t="s">
        <v>12</v>
      </c>
    </row>
    <row r="78">
      <c r="A78" s="13"/>
      <c r="B78" s="5" t="s">
        <v>149</v>
      </c>
      <c r="C78" s="11" t="s">
        <v>12</v>
      </c>
    </row>
    <row r="79">
      <c r="A79" s="13"/>
      <c r="B79" s="5" t="s">
        <v>151</v>
      </c>
      <c r="C79" s="11" t="s">
        <v>12</v>
      </c>
    </row>
    <row r="80">
      <c r="A80" s="3">
        <v>10.0</v>
      </c>
      <c r="B80" s="5" t="s">
        <v>154</v>
      </c>
      <c r="C80" s="11" t="s">
        <v>12</v>
      </c>
    </row>
    <row r="81">
      <c r="A81" s="13"/>
      <c r="B81" s="5" t="s">
        <v>155</v>
      </c>
      <c r="C81" s="11" t="s">
        <v>12</v>
      </c>
    </row>
    <row r="82">
      <c r="A82" s="13"/>
      <c r="B82" s="5" t="s">
        <v>157</v>
      </c>
      <c r="C82" s="11" t="s">
        <v>12</v>
      </c>
    </row>
    <row r="83">
      <c r="A83" s="13"/>
      <c r="B83" s="5" t="s">
        <v>158</v>
      </c>
      <c r="C83" s="11" t="s">
        <v>12</v>
      </c>
    </row>
    <row r="84">
      <c r="A84" s="13"/>
      <c r="B84" s="5" t="s">
        <v>159</v>
      </c>
      <c r="C84" s="11" t="s">
        <v>12</v>
      </c>
    </row>
    <row r="85">
      <c r="A85" s="13"/>
      <c r="B85" s="5" t="s">
        <v>161</v>
      </c>
      <c r="C85" s="11" t="s">
        <v>12</v>
      </c>
    </row>
    <row r="86">
      <c r="A86" s="13"/>
      <c r="B86" s="5" t="s">
        <v>162</v>
      </c>
      <c r="C86" s="11" t="s">
        <v>12</v>
      </c>
    </row>
    <row r="87">
      <c r="A87" s="13"/>
      <c r="B87" s="5" t="s">
        <v>164</v>
      </c>
      <c r="C87" s="11" t="s">
        <v>12</v>
      </c>
    </row>
    <row r="88">
      <c r="A88" s="13"/>
      <c r="B88" s="5" t="s">
        <v>165</v>
      </c>
      <c r="C88" s="11" t="s">
        <v>12</v>
      </c>
    </row>
    <row r="89">
      <c r="A89" s="3">
        <v>11.0</v>
      </c>
      <c r="B89" s="5" t="s">
        <v>166</v>
      </c>
      <c r="C89" s="11" t="s">
        <v>12</v>
      </c>
    </row>
    <row r="90">
      <c r="A90" s="13"/>
      <c r="B90" s="5" t="s">
        <v>167</v>
      </c>
      <c r="C90" s="11" t="s">
        <v>12</v>
      </c>
    </row>
    <row r="91">
      <c r="A91" s="13"/>
      <c r="B91" s="5" t="s">
        <v>168</v>
      </c>
      <c r="C91" s="11" t="s">
        <v>12</v>
      </c>
    </row>
    <row r="92">
      <c r="A92" s="13"/>
      <c r="B92" s="5" t="s">
        <v>169</v>
      </c>
      <c r="C92" s="11" t="s">
        <v>12</v>
      </c>
    </row>
    <row r="93">
      <c r="A93" s="13"/>
      <c r="B93" s="5" t="s">
        <v>172</v>
      </c>
      <c r="C93" s="11" t="s">
        <v>12</v>
      </c>
    </row>
    <row r="94">
      <c r="A94" s="13"/>
      <c r="B94" s="5" t="s">
        <v>173</v>
      </c>
      <c r="C94" s="11" t="s">
        <v>12</v>
      </c>
    </row>
    <row r="95">
      <c r="A95" s="13"/>
      <c r="B95" s="5" t="s">
        <v>174</v>
      </c>
      <c r="C95" s="11" t="s">
        <v>12</v>
      </c>
    </row>
    <row r="96">
      <c r="A96" s="3">
        <v>12.0</v>
      </c>
      <c r="B96" s="5" t="s">
        <v>177</v>
      </c>
      <c r="C96" s="11" t="s">
        <v>12</v>
      </c>
    </row>
    <row r="97">
      <c r="A97" s="13"/>
      <c r="B97" s="5" t="s">
        <v>178</v>
      </c>
      <c r="C97" s="11" t="s">
        <v>12</v>
      </c>
    </row>
    <row r="98">
      <c r="A98" s="13"/>
      <c r="B98" s="5" t="s">
        <v>181</v>
      </c>
      <c r="C98" s="11" t="s">
        <v>12</v>
      </c>
    </row>
    <row r="99">
      <c r="A99" s="13"/>
      <c r="B99" s="5" t="s">
        <v>184</v>
      </c>
      <c r="C99" s="11" t="s">
        <v>12</v>
      </c>
    </row>
    <row r="100">
      <c r="A100" s="13"/>
      <c r="B100" s="5" t="s">
        <v>185</v>
      </c>
      <c r="C100" s="11" t="s">
        <v>12</v>
      </c>
    </row>
    <row r="101">
      <c r="A101" s="13"/>
      <c r="B101" s="5" t="s">
        <v>187</v>
      </c>
      <c r="C101" s="11" t="s">
        <v>12</v>
      </c>
    </row>
    <row r="102">
      <c r="A102" s="13"/>
      <c r="B102" s="5" t="s">
        <v>188</v>
      </c>
      <c r="C102" s="11" t="s">
        <v>12</v>
      </c>
    </row>
    <row r="103">
      <c r="A103" s="13"/>
      <c r="B103" s="5" t="s">
        <v>191</v>
      </c>
      <c r="C103" s="11" t="s">
        <v>12</v>
      </c>
    </row>
    <row r="104">
      <c r="A104" s="13"/>
      <c r="B104" s="5" t="s">
        <v>193</v>
      </c>
      <c r="C104" s="11" t="s">
        <v>12</v>
      </c>
    </row>
    <row r="105">
      <c r="A105" s="13"/>
      <c r="B105" s="5" t="s">
        <v>194</v>
      </c>
      <c r="C105" s="11" t="s">
        <v>12</v>
      </c>
    </row>
    <row r="106">
      <c r="A106" s="3">
        <v>13.0</v>
      </c>
      <c r="B106" s="5" t="s">
        <v>195</v>
      </c>
      <c r="C106" s="11" t="s">
        <v>12</v>
      </c>
    </row>
    <row r="107">
      <c r="A107" s="13"/>
      <c r="B107" s="5" t="s">
        <v>197</v>
      </c>
      <c r="C107" s="11" t="s">
        <v>12</v>
      </c>
    </row>
    <row r="108">
      <c r="A108" s="13"/>
      <c r="B108" s="5" t="s">
        <v>199</v>
      </c>
      <c r="C108" s="11" t="s">
        <v>12</v>
      </c>
    </row>
    <row r="109">
      <c r="A109" s="13"/>
      <c r="B109" s="5" t="s">
        <v>201</v>
      </c>
      <c r="C109" s="11" t="s">
        <v>12</v>
      </c>
    </row>
    <row r="110">
      <c r="A110" s="13"/>
      <c r="B110" s="5" t="s">
        <v>202</v>
      </c>
      <c r="C110" s="11" t="s">
        <v>12</v>
      </c>
    </row>
    <row r="111">
      <c r="A111" s="13"/>
      <c r="B111" s="5" t="s">
        <v>203</v>
      </c>
      <c r="C111" s="11" t="s">
        <v>12</v>
      </c>
    </row>
    <row r="112">
      <c r="A112" s="13"/>
      <c r="B112" s="5" t="s">
        <v>204</v>
      </c>
      <c r="C112" s="11" t="s">
        <v>12</v>
      </c>
    </row>
    <row r="113">
      <c r="A113" s="13"/>
      <c r="B113" s="5" t="s">
        <v>208</v>
      </c>
      <c r="C113" s="11" t="s">
        <v>12</v>
      </c>
    </row>
    <row r="114">
      <c r="A114" s="13"/>
      <c r="B114" s="5" t="s">
        <v>209</v>
      </c>
      <c r="C114" s="11" t="s">
        <v>12</v>
      </c>
    </row>
    <row r="115">
      <c r="A115" s="13"/>
      <c r="B115" s="5" t="s">
        <v>210</v>
      </c>
      <c r="C115" s="11" t="s">
        <v>12</v>
      </c>
    </row>
    <row r="116">
      <c r="A116" s="13"/>
      <c r="B116" s="5" t="s">
        <v>211</v>
      </c>
      <c r="C116" s="11" t="s">
        <v>12</v>
      </c>
    </row>
    <row r="117">
      <c r="A117" s="13"/>
      <c r="B117" s="5" t="s">
        <v>212</v>
      </c>
      <c r="C117" s="11" t="s">
        <v>12</v>
      </c>
    </row>
    <row r="118">
      <c r="A118" s="3">
        <v>14.0</v>
      </c>
      <c r="B118" s="5" t="s">
        <v>213</v>
      </c>
      <c r="C118" s="11" t="s">
        <v>12</v>
      </c>
    </row>
    <row r="119">
      <c r="A119" s="13"/>
      <c r="B119" s="5" t="s">
        <v>214</v>
      </c>
      <c r="C119" s="11" t="s">
        <v>12</v>
      </c>
    </row>
    <row r="120">
      <c r="A120" s="13"/>
      <c r="B120" s="5" t="s">
        <v>217</v>
      </c>
      <c r="C120" s="11" t="s">
        <v>12</v>
      </c>
    </row>
    <row r="121">
      <c r="A121" s="13"/>
      <c r="B121" s="5" t="s">
        <v>219</v>
      </c>
      <c r="C121" s="11" t="s">
        <v>12</v>
      </c>
    </row>
    <row r="122">
      <c r="A122" s="13"/>
      <c r="B122" s="5" t="s">
        <v>221</v>
      </c>
      <c r="C122" s="11" t="s">
        <v>12</v>
      </c>
    </row>
    <row r="123">
      <c r="A123" s="3">
        <v>15.0</v>
      </c>
      <c r="B123" s="5" t="s">
        <v>223</v>
      </c>
      <c r="C123" s="11" t="s">
        <v>12</v>
      </c>
    </row>
    <row r="124">
      <c r="A124" s="13"/>
      <c r="B124" s="5" t="s">
        <v>224</v>
      </c>
      <c r="C124" s="11" t="s">
        <v>12</v>
      </c>
    </row>
    <row r="125">
      <c r="A125" s="13"/>
      <c r="B125" s="5" t="s">
        <v>225</v>
      </c>
      <c r="C125" s="11" t="s">
        <v>12</v>
      </c>
    </row>
    <row r="126">
      <c r="A126" s="3">
        <v>16.0</v>
      </c>
      <c r="B126" s="5" t="s">
        <v>226</v>
      </c>
      <c r="C126" s="11" t="s">
        <v>12</v>
      </c>
    </row>
    <row r="127">
      <c r="A127" s="13"/>
      <c r="B127" s="5" t="s">
        <v>227</v>
      </c>
      <c r="C127" s="11" t="s">
        <v>12</v>
      </c>
    </row>
    <row r="128">
      <c r="A128" s="13"/>
      <c r="B128" s="5" t="s">
        <v>122</v>
      </c>
      <c r="C128" s="11" t="s">
        <v>12</v>
      </c>
    </row>
    <row r="129">
      <c r="A129" s="3">
        <v>17.0</v>
      </c>
      <c r="B129" s="5" t="s">
        <v>228</v>
      </c>
      <c r="C129" s="11" t="s">
        <v>12</v>
      </c>
    </row>
    <row r="130">
      <c r="A130" s="13"/>
      <c r="B130" s="5" t="s">
        <v>229</v>
      </c>
      <c r="C130" s="11" t="s">
        <v>12</v>
      </c>
    </row>
    <row r="131">
      <c r="A131" s="13"/>
      <c r="B131" s="5" t="s">
        <v>235</v>
      </c>
      <c r="C131" s="11" t="s">
        <v>12</v>
      </c>
    </row>
    <row r="132">
      <c r="A132" s="13"/>
      <c r="B132" s="5" t="s">
        <v>236</v>
      </c>
      <c r="C132" s="11" t="s">
        <v>12</v>
      </c>
    </row>
    <row r="133">
      <c r="A133" s="13"/>
      <c r="B133" s="5" t="s">
        <v>237</v>
      </c>
      <c r="C133" s="11" t="s">
        <v>12</v>
      </c>
    </row>
    <row r="134">
      <c r="A134" s="13"/>
      <c r="B134" s="5" t="s">
        <v>238</v>
      </c>
      <c r="C134" s="11" t="s">
        <v>12</v>
      </c>
    </row>
    <row r="135">
      <c r="A135" s="13"/>
      <c r="B135" s="5" t="s">
        <v>239</v>
      </c>
      <c r="C135" s="11" t="s">
        <v>12</v>
      </c>
    </row>
    <row r="136">
      <c r="A136" s="13"/>
      <c r="B136" s="5" t="s">
        <v>240</v>
      </c>
      <c r="C136" s="11" t="s">
        <v>12</v>
      </c>
    </row>
    <row r="137">
      <c r="A137" s="13"/>
      <c r="B137" s="5" t="s">
        <v>241</v>
      </c>
      <c r="C137" s="11" t="s">
        <v>12</v>
      </c>
    </row>
    <row r="138">
      <c r="A138" s="13"/>
      <c r="B138" s="5" t="s">
        <v>242</v>
      </c>
      <c r="C138" s="11" t="s">
        <v>12</v>
      </c>
    </row>
    <row r="139">
      <c r="A139" s="3">
        <v>18.0</v>
      </c>
      <c r="B139" s="5" t="s">
        <v>243</v>
      </c>
      <c r="C139" s="11" t="s">
        <v>12</v>
      </c>
    </row>
    <row r="140">
      <c r="A140" s="13"/>
      <c r="B140" s="5" t="s">
        <v>244</v>
      </c>
      <c r="C140" s="11" t="s">
        <v>12</v>
      </c>
    </row>
    <row r="141">
      <c r="A141" s="13"/>
      <c r="B141" s="5" t="s">
        <v>245</v>
      </c>
      <c r="C141" s="11" t="s">
        <v>12</v>
      </c>
    </row>
    <row r="142">
      <c r="A142" s="13"/>
      <c r="B142" s="5" t="s">
        <v>246</v>
      </c>
      <c r="C142" s="11" t="s">
        <v>12</v>
      </c>
    </row>
    <row r="143">
      <c r="A143" s="13"/>
      <c r="B143" s="5" t="s">
        <v>248</v>
      </c>
      <c r="C143" s="11" t="s">
        <v>12</v>
      </c>
    </row>
    <row r="144">
      <c r="A144" s="13"/>
      <c r="B144" s="5" t="s">
        <v>250</v>
      </c>
      <c r="C144" s="11" t="s">
        <v>12</v>
      </c>
    </row>
    <row r="145">
      <c r="A145" s="13"/>
      <c r="B145" s="5" t="s">
        <v>252</v>
      </c>
      <c r="C145" s="11" t="s">
        <v>12</v>
      </c>
    </row>
    <row r="146">
      <c r="A146" s="13"/>
      <c r="B146" s="5" t="s">
        <v>253</v>
      </c>
      <c r="C146" s="11" t="s">
        <v>12</v>
      </c>
    </row>
    <row r="147">
      <c r="A147" s="13"/>
      <c r="B147" s="5" t="s">
        <v>254</v>
      </c>
      <c r="C147" s="11" t="s">
        <v>12</v>
      </c>
    </row>
    <row r="148">
      <c r="A148" s="13"/>
      <c r="B148" s="5" t="s">
        <v>255</v>
      </c>
      <c r="C148" s="11" t="s">
        <v>12</v>
      </c>
    </row>
    <row r="149">
      <c r="A149" s="3">
        <v>19.0</v>
      </c>
      <c r="B149" s="5" t="s">
        <v>256</v>
      </c>
      <c r="C149" s="11" t="s">
        <v>12</v>
      </c>
    </row>
    <row r="150">
      <c r="A150" s="13"/>
      <c r="B150" s="5" t="s">
        <v>258</v>
      </c>
      <c r="C150" s="11" t="s">
        <v>12</v>
      </c>
    </row>
    <row r="151">
      <c r="A151" s="13"/>
      <c r="B151" s="5" t="s">
        <v>259</v>
      </c>
      <c r="C151" s="11" t="s">
        <v>12</v>
      </c>
    </row>
    <row r="152">
      <c r="A152" s="13"/>
      <c r="B152" s="5" t="s">
        <v>261</v>
      </c>
      <c r="C152" s="11" t="s">
        <v>12</v>
      </c>
    </row>
    <row r="153">
      <c r="A153" s="13"/>
      <c r="B153" s="5" t="s">
        <v>265</v>
      </c>
      <c r="C153" s="11" t="s">
        <v>12</v>
      </c>
    </row>
    <row r="154">
      <c r="A154" s="13"/>
      <c r="B154" s="5" t="s">
        <v>268</v>
      </c>
      <c r="C154" s="11" t="s">
        <v>12</v>
      </c>
    </row>
    <row r="155">
      <c r="A155" s="13"/>
      <c r="B155" s="5" t="s">
        <v>269</v>
      </c>
      <c r="C155" s="11" t="s">
        <v>12</v>
      </c>
    </row>
    <row r="156">
      <c r="A156" s="13"/>
      <c r="B156" s="5" t="s">
        <v>270</v>
      </c>
      <c r="C156" s="11" t="s">
        <v>12</v>
      </c>
    </row>
    <row r="157">
      <c r="A157" s="13"/>
      <c r="B157" s="5" t="s">
        <v>271</v>
      </c>
      <c r="C157" s="11" t="s">
        <v>12</v>
      </c>
    </row>
    <row r="158">
      <c r="A158" s="13"/>
      <c r="B158" s="5" t="s">
        <v>272</v>
      </c>
      <c r="C158" s="11" t="s">
        <v>12</v>
      </c>
    </row>
    <row r="159">
      <c r="A159" s="13"/>
      <c r="B159" s="5" t="s">
        <v>274</v>
      </c>
      <c r="C159" s="11" t="s">
        <v>12</v>
      </c>
    </row>
    <row r="160">
      <c r="A160" s="13"/>
      <c r="B160" s="5" t="s">
        <v>276</v>
      </c>
      <c r="C160" s="11" t="s">
        <v>12</v>
      </c>
    </row>
    <row r="161">
      <c r="A161" s="13"/>
      <c r="B161" s="5" t="s">
        <v>279</v>
      </c>
      <c r="C161" s="11" t="s">
        <v>12</v>
      </c>
    </row>
    <row r="162">
      <c r="A162" s="3">
        <v>20.0</v>
      </c>
      <c r="B162" s="5" t="s">
        <v>280</v>
      </c>
      <c r="C162" s="11" t="s">
        <v>12</v>
      </c>
    </row>
    <row r="163">
      <c r="A163" s="13"/>
      <c r="B163" s="5" t="s">
        <v>281</v>
      </c>
      <c r="C163" s="11" t="s">
        <v>12</v>
      </c>
    </row>
    <row r="164">
      <c r="A164" s="13"/>
      <c r="B164" s="5" t="s">
        <v>282</v>
      </c>
      <c r="C164" s="11" t="s">
        <v>12</v>
      </c>
    </row>
    <row r="165">
      <c r="A165" s="13"/>
      <c r="B165" s="5" t="s">
        <v>285</v>
      </c>
      <c r="C165" s="11" t="s">
        <v>12</v>
      </c>
    </row>
    <row r="166">
      <c r="A166" s="13"/>
      <c r="B166" s="5" t="s">
        <v>286</v>
      </c>
      <c r="C166" s="11" t="s">
        <v>12</v>
      </c>
    </row>
    <row r="167">
      <c r="A167" s="13"/>
      <c r="B167" s="5" t="s">
        <v>289</v>
      </c>
      <c r="C167" s="11" t="s">
        <v>12</v>
      </c>
    </row>
    <row r="168">
      <c r="A168" s="13"/>
      <c r="B168" s="5" t="s">
        <v>290</v>
      </c>
      <c r="C168" s="11" t="s">
        <v>12</v>
      </c>
    </row>
    <row r="169">
      <c r="A169" s="13"/>
      <c r="B169" s="5" t="s">
        <v>293</v>
      </c>
      <c r="C169" s="11" t="s">
        <v>12</v>
      </c>
    </row>
    <row r="170">
      <c r="A170" s="13"/>
      <c r="B170" s="5" t="s">
        <v>295</v>
      </c>
      <c r="C170" s="11" t="s">
        <v>12</v>
      </c>
    </row>
    <row r="171">
      <c r="A171" s="3">
        <v>21.0</v>
      </c>
      <c r="B171" s="5" t="s">
        <v>296</v>
      </c>
      <c r="C171" s="11" t="s">
        <v>12</v>
      </c>
    </row>
    <row r="172">
      <c r="A172" s="13"/>
      <c r="B172" s="5" t="s">
        <v>297</v>
      </c>
      <c r="C172" s="11" t="s">
        <v>12</v>
      </c>
    </row>
    <row r="173">
      <c r="A173" s="13"/>
      <c r="B173" s="5" t="s">
        <v>298</v>
      </c>
      <c r="C173" s="11" t="s">
        <v>12</v>
      </c>
    </row>
    <row r="174">
      <c r="A174" s="13"/>
      <c r="B174" s="5" t="s">
        <v>299</v>
      </c>
      <c r="C174" s="11" t="s">
        <v>12</v>
      </c>
    </row>
    <row r="175">
      <c r="A175" s="13"/>
      <c r="B175" s="5" t="s">
        <v>302</v>
      </c>
      <c r="C175" s="11" t="s">
        <v>12</v>
      </c>
    </row>
    <row r="176">
      <c r="A176" s="13"/>
      <c r="B176" s="5" t="s">
        <v>304</v>
      </c>
      <c r="C176" s="11" t="s">
        <v>12</v>
      </c>
    </row>
    <row r="177">
      <c r="A177" s="13"/>
      <c r="B177" s="5" t="s">
        <v>306</v>
      </c>
      <c r="C177" s="11" t="s">
        <v>12</v>
      </c>
    </row>
    <row r="178">
      <c r="A178" s="13"/>
      <c r="B178" s="5" t="s">
        <v>307</v>
      </c>
      <c r="C178" s="11" t="s">
        <v>12</v>
      </c>
    </row>
    <row r="179">
      <c r="A179" s="13"/>
      <c r="B179" s="5" t="s">
        <v>308</v>
      </c>
      <c r="C179" s="11" t="s">
        <v>12</v>
      </c>
    </row>
    <row r="180">
      <c r="A180" s="13"/>
      <c r="B180" s="5" t="s">
        <v>309</v>
      </c>
      <c r="C180" s="11" t="s">
        <v>12</v>
      </c>
    </row>
    <row r="181">
      <c r="A181" s="3">
        <v>22.0</v>
      </c>
      <c r="B181" s="5" t="s">
        <v>312</v>
      </c>
      <c r="C181" s="11" t="s">
        <v>12</v>
      </c>
    </row>
    <row r="182">
      <c r="A182" s="13"/>
      <c r="B182" s="5" t="s">
        <v>313</v>
      </c>
      <c r="C182" s="11" t="s">
        <v>12</v>
      </c>
    </row>
    <row r="183">
      <c r="A183" s="13"/>
      <c r="B183" s="5" t="s">
        <v>316</v>
      </c>
      <c r="C183" s="11" t="s">
        <v>12</v>
      </c>
    </row>
    <row r="184">
      <c r="A184" s="13"/>
      <c r="B184" s="5" t="s">
        <v>317</v>
      </c>
      <c r="C184" s="11" t="s">
        <v>12</v>
      </c>
    </row>
    <row r="185">
      <c r="A185" s="13"/>
      <c r="B185" s="5" t="s">
        <v>322</v>
      </c>
      <c r="C185" s="11" t="s">
        <v>12</v>
      </c>
    </row>
    <row r="186">
      <c r="A186" s="13"/>
      <c r="B186" s="5" t="s">
        <v>323</v>
      </c>
      <c r="C186" s="11" t="s">
        <v>12</v>
      </c>
    </row>
    <row r="187">
      <c r="A187" s="13"/>
      <c r="B187" s="5" t="s">
        <v>324</v>
      </c>
      <c r="C187" s="11" t="s">
        <v>12</v>
      </c>
    </row>
    <row r="188">
      <c r="A188" s="13"/>
      <c r="B188" s="5" t="s">
        <v>325</v>
      </c>
      <c r="C188" s="11" t="s">
        <v>12</v>
      </c>
    </row>
    <row r="189">
      <c r="A189" s="13"/>
      <c r="B189" s="5" t="s">
        <v>326</v>
      </c>
      <c r="C189" s="11" t="s">
        <v>12</v>
      </c>
    </row>
    <row r="190">
      <c r="A190" s="13"/>
      <c r="B190" s="5" t="s">
        <v>327</v>
      </c>
      <c r="C190" s="11" t="s">
        <v>12</v>
      </c>
    </row>
    <row r="191">
      <c r="A191" s="13"/>
      <c r="B191" s="5" t="s">
        <v>329</v>
      </c>
      <c r="C191" s="11" t="s">
        <v>12</v>
      </c>
    </row>
    <row r="192">
      <c r="A192" s="13"/>
      <c r="B192" s="5" t="s">
        <v>331</v>
      </c>
      <c r="C192" s="11" t="s">
        <v>12</v>
      </c>
    </row>
    <row r="193">
      <c r="A193" s="13"/>
      <c r="B193" s="5" t="s">
        <v>332</v>
      </c>
      <c r="C193" s="11" t="s">
        <v>12</v>
      </c>
    </row>
    <row r="194">
      <c r="A194" s="3">
        <v>23.0</v>
      </c>
      <c r="B194" s="5" t="s">
        <v>333</v>
      </c>
      <c r="C194" s="11" t="s">
        <v>12</v>
      </c>
    </row>
    <row r="195">
      <c r="A195" s="13"/>
      <c r="B195" s="5" t="s">
        <v>334</v>
      </c>
      <c r="C195" s="11" t="s">
        <v>12</v>
      </c>
    </row>
    <row r="196">
      <c r="A196" s="13"/>
      <c r="B196" s="5" t="s">
        <v>338</v>
      </c>
      <c r="C196" s="11" t="s">
        <v>12</v>
      </c>
    </row>
    <row r="197">
      <c r="A197" s="13"/>
      <c r="B197" s="5" t="s">
        <v>339</v>
      </c>
      <c r="C197" s="11" t="s">
        <v>12</v>
      </c>
    </row>
    <row r="198">
      <c r="A198" s="13"/>
      <c r="B198" s="5" t="s">
        <v>340</v>
      </c>
      <c r="C198" s="11" t="s">
        <v>12</v>
      </c>
    </row>
    <row r="199">
      <c r="A199" s="3">
        <v>24.0</v>
      </c>
      <c r="B199" s="5" t="s">
        <v>341</v>
      </c>
      <c r="C199" s="11" t="s">
        <v>12</v>
      </c>
    </row>
    <row r="200">
      <c r="A200" s="13"/>
      <c r="B200" s="5" t="s">
        <v>224</v>
      </c>
      <c r="C200" s="11" t="s">
        <v>12</v>
      </c>
    </row>
    <row r="201">
      <c r="A201" s="13"/>
      <c r="B201" s="5" t="s">
        <v>225</v>
      </c>
      <c r="C201" s="11" t="s">
        <v>12</v>
      </c>
    </row>
    <row r="202">
      <c r="A202" s="3">
        <v>25.0</v>
      </c>
      <c r="B202" s="5" t="s">
        <v>344</v>
      </c>
      <c r="C202" s="11" t="s">
        <v>12</v>
      </c>
    </row>
    <row r="203">
      <c r="A203" s="13"/>
      <c r="B203" s="5" t="s">
        <v>347</v>
      </c>
      <c r="C203" s="11" t="s">
        <v>12</v>
      </c>
    </row>
    <row r="204">
      <c r="A204" s="13"/>
      <c r="B204" s="5" t="s">
        <v>122</v>
      </c>
      <c r="C204" s="11" t="s">
        <v>12</v>
      </c>
    </row>
    <row r="205">
      <c r="A205" s="3">
        <v>26.0</v>
      </c>
      <c r="B205" s="5" t="s">
        <v>348</v>
      </c>
      <c r="C205" s="11" t="s">
        <v>12</v>
      </c>
    </row>
    <row r="206">
      <c r="A206" s="13"/>
      <c r="B206" s="5" t="s">
        <v>349</v>
      </c>
      <c r="C206" s="11" t="s">
        <v>12</v>
      </c>
    </row>
    <row r="207">
      <c r="A207" s="13"/>
      <c r="B207" s="5" t="s">
        <v>350</v>
      </c>
      <c r="C207" s="11" t="s">
        <v>12</v>
      </c>
    </row>
    <row r="208">
      <c r="A208" s="13"/>
      <c r="B208" s="5" t="s">
        <v>354</v>
      </c>
      <c r="C208" s="11" t="s">
        <v>12</v>
      </c>
    </row>
    <row r="209">
      <c r="A209" s="13"/>
      <c r="B209" s="5" t="s">
        <v>356</v>
      </c>
      <c r="C209" s="11" t="s">
        <v>12</v>
      </c>
    </row>
    <row r="210">
      <c r="A210" s="13"/>
      <c r="B210" s="5" t="s">
        <v>357</v>
      </c>
      <c r="C210" s="11" t="s">
        <v>12</v>
      </c>
    </row>
    <row r="211">
      <c r="A211" s="13"/>
      <c r="B211" s="5" t="s">
        <v>358</v>
      </c>
      <c r="C211" s="11" t="s">
        <v>12</v>
      </c>
    </row>
    <row r="212">
      <c r="A212" s="13"/>
      <c r="B212" s="5" t="s">
        <v>360</v>
      </c>
      <c r="C212" s="11" t="s">
        <v>12</v>
      </c>
    </row>
    <row r="213">
      <c r="A213" s="13"/>
      <c r="B213" s="5" t="s">
        <v>362</v>
      </c>
      <c r="C213" s="11" t="s">
        <v>12</v>
      </c>
    </row>
    <row r="214">
      <c r="A214" s="13"/>
      <c r="B214" s="5" t="s">
        <v>363</v>
      </c>
      <c r="C214" s="11" t="s">
        <v>12</v>
      </c>
    </row>
    <row r="215">
      <c r="A215" s="3">
        <v>27.0</v>
      </c>
      <c r="B215" s="5" t="s">
        <v>364</v>
      </c>
      <c r="C215" s="11" t="s">
        <v>12</v>
      </c>
    </row>
    <row r="216">
      <c r="A216" s="13"/>
      <c r="B216" s="5" t="s">
        <v>365</v>
      </c>
      <c r="C216" s="11" t="s">
        <v>12</v>
      </c>
    </row>
    <row r="217">
      <c r="A217" s="13"/>
      <c r="B217" s="5" t="s">
        <v>366</v>
      </c>
      <c r="C217" s="11" t="s">
        <v>12</v>
      </c>
    </row>
    <row r="218">
      <c r="A218" s="13"/>
      <c r="B218" s="5" t="s">
        <v>368</v>
      </c>
      <c r="C218" s="11" t="s">
        <v>12</v>
      </c>
    </row>
    <row r="219">
      <c r="A219" s="13"/>
      <c r="B219" s="5" t="s">
        <v>370</v>
      </c>
      <c r="C219" s="11" t="s">
        <v>12</v>
      </c>
    </row>
    <row r="220">
      <c r="A220" s="13"/>
      <c r="B220" s="5" t="s">
        <v>371</v>
      </c>
      <c r="C220" s="11" t="s">
        <v>12</v>
      </c>
    </row>
    <row r="221">
      <c r="A221" s="13"/>
      <c r="B221" s="5" t="s">
        <v>374</v>
      </c>
      <c r="C221" s="11" t="s">
        <v>12</v>
      </c>
    </row>
    <row r="222">
      <c r="A222" s="13"/>
      <c r="B222" s="5" t="s">
        <v>375</v>
      </c>
      <c r="C222" s="11" t="s">
        <v>12</v>
      </c>
    </row>
    <row r="223">
      <c r="A223" s="13"/>
      <c r="B223" s="5" t="s">
        <v>378</v>
      </c>
      <c r="C223" s="11" t="s">
        <v>12</v>
      </c>
    </row>
    <row r="224">
      <c r="A224" s="13"/>
      <c r="B224" s="5" t="s">
        <v>379</v>
      </c>
      <c r="C224" s="11" t="s">
        <v>12</v>
      </c>
    </row>
    <row r="225">
      <c r="A225" s="13"/>
      <c r="B225" s="5" t="s">
        <v>380</v>
      </c>
      <c r="C225" s="11" t="s">
        <v>12</v>
      </c>
    </row>
    <row r="226">
      <c r="A226" s="13"/>
      <c r="B226" s="5" t="s">
        <v>381</v>
      </c>
      <c r="C226" s="11" t="s">
        <v>12</v>
      </c>
    </row>
    <row r="227">
      <c r="A227" s="3">
        <v>28.0</v>
      </c>
      <c r="B227" s="5" t="s">
        <v>382</v>
      </c>
      <c r="C227" s="11" t="s">
        <v>12</v>
      </c>
    </row>
    <row r="228">
      <c r="A228" s="13"/>
      <c r="B228" s="5" t="s">
        <v>387</v>
      </c>
      <c r="C228" s="11" t="s">
        <v>12</v>
      </c>
    </row>
    <row r="229">
      <c r="A229" s="13"/>
      <c r="B229" s="5" t="s">
        <v>388</v>
      </c>
      <c r="C229" s="11" t="s">
        <v>12</v>
      </c>
    </row>
    <row r="230">
      <c r="A230" s="13"/>
      <c r="B230" s="5" t="s">
        <v>389</v>
      </c>
      <c r="C230" s="11" t="s">
        <v>12</v>
      </c>
    </row>
    <row r="231">
      <c r="A231" s="13"/>
      <c r="B231" s="5" t="s">
        <v>392</v>
      </c>
      <c r="C231" s="11" t="s">
        <v>12</v>
      </c>
    </row>
    <row r="232">
      <c r="A232" s="13"/>
      <c r="B232" s="5" t="s">
        <v>393</v>
      </c>
      <c r="C232" s="11" t="s">
        <v>12</v>
      </c>
    </row>
    <row r="233">
      <c r="A233" s="13"/>
      <c r="B233" s="5" t="s">
        <v>394</v>
      </c>
      <c r="C233" s="11" t="s">
        <v>12</v>
      </c>
    </row>
    <row r="234">
      <c r="A234" s="13"/>
      <c r="B234" s="5" t="s">
        <v>397</v>
      </c>
      <c r="C234" s="11" t="s">
        <v>12</v>
      </c>
    </row>
    <row r="235">
      <c r="A235" s="13"/>
      <c r="B235" s="5" t="s">
        <v>398</v>
      </c>
      <c r="C235" s="11" t="s">
        <v>12</v>
      </c>
    </row>
    <row r="236">
      <c r="A236" s="13"/>
      <c r="B236" s="5" t="s">
        <v>399</v>
      </c>
      <c r="C236" s="11" t="s">
        <v>12</v>
      </c>
    </row>
    <row r="237">
      <c r="A237" s="13"/>
      <c r="B237" s="5" t="s">
        <v>400</v>
      </c>
      <c r="C237" s="11" t="s">
        <v>12</v>
      </c>
    </row>
    <row r="238">
      <c r="A238" s="13"/>
      <c r="B238" s="5" t="s">
        <v>402</v>
      </c>
      <c r="C238" s="11" t="s">
        <v>12</v>
      </c>
    </row>
    <row r="239">
      <c r="A239" s="3">
        <v>29.0</v>
      </c>
      <c r="B239" s="5" t="s">
        <v>406</v>
      </c>
      <c r="C239" s="11" t="s">
        <v>12</v>
      </c>
    </row>
    <row r="240">
      <c r="A240" s="13"/>
      <c r="B240" s="5" t="s">
        <v>408</v>
      </c>
      <c r="C240" s="11" t="s">
        <v>12</v>
      </c>
    </row>
    <row r="241">
      <c r="A241" s="13"/>
      <c r="B241" s="5" t="s">
        <v>409</v>
      </c>
      <c r="C241" s="11" t="s">
        <v>12</v>
      </c>
    </row>
    <row r="242">
      <c r="A242" s="13"/>
      <c r="B242" s="5" t="s">
        <v>412</v>
      </c>
      <c r="C242" s="11" t="s">
        <v>12</v>
      </c>
    </row>
    <row r="243">
      <c r="A243" s="13"/>
      <c r="B243" s="5" t="s">
        <v>415</v>
      </c>
      <c r="C243" s="11" t="s">
        <v>12</v>
      </c>
    </row>
    <row r="244">
      <c r="A244" s="13"/>
      <c r="B244" s="5" t="s">
        <v>416</v>
      </c>
      <c r="C244" s="11" t="s">
        <v>12</v>
      </c>
    </row>
    <row r="245">
      <c r="A245" s="13"/>
      <c r="B245" s="5" t="s">
        <v>417</v>
      </c>
      <c r="C245" s="11" t="s">
        <v>12</v>
      </c>
    </row>
    <row r="246">
      <c r="A246" s="13"/>
      <c r="B246" s="5" t="s">
        <v>418</v>
      </c>
      <c r="C246" s="11" t="s">
        <v>12</v>
      </c>
    </row>
    <row r="247">
      <c r="A247" s="13"/>
      <c r="B247" s="5" t="s">
        <v>419</v>
      </c>
      <c r="C247" s="11" t="s">
        <v>12</v>
      </c>
    </row>
    <row r="248">
      <c r="A248" s="3">
        <v>30.0</v>
      </c>
      <c r="B248" s="5" t="s">
        <v>420</v>
      </c>
      <c r="C248" s="11" t="s">
        <v>12</v>
      </c>
    </row>
    <row r="249">
      <c r="A249" s="13"/>
      <c r="B249" s="5" t="s">
        <v>423</v>
      </c>
      <c r="C249" s="11" t="s">
        <v>12</v>
      </c>
    </row>
    <row r="250">
      <c r="A250" s="13"/>
      <c r="B250" s="5" t="s">
        <v>424</v>
      </c>
      <c r="C250" s="11" t="s">
        <v>12</v>
      </c>
    </row>
    <row r="251">
      <c r="A251" s="13"/>
      <c r="B251" s="5" t="s">
        <v>425</v>
      </c>
      <c r="C251" s="11" t="s">
        <v>12</v>
      </c>
    </row>
    <row r="252">
      <c r="A252" s="13"/>
      <c r="B252" s="5" t="s">
        <v>429</v>
      </c>
      <c r="C252" s="11" t="s">
        <v>12</v>
      </c>
    </row>
    <row r="253">
      <c r="A253" s="3">
        <v>31.0</v>
      </c>
      <c r="B253" s="5" t="s">
        <v>430</v>
      </c>
      <c r="C253" s="11" t="s">
        <v>12</v>
      </c>
    </row>
    <row r="254">
      <c r="A254" s="13"/>
      <c r="B254" s="5" t="s">
        <v>224</v>
      </c>
      <c r="C254" s="11" t="s">
        <v>12</v>
      </c>
    </row>
    <row r="255">
      <c r="A255" s="13"/>
      <c r="B255" s="5" t="s">
        <v>225</v>
      </c>
      <c r="C255" s="11" t="s">
        <v>12</v>
      </c>
    </row>
    <row r="256">
      <c r="A256" s="3">
        <v>32.0</v>
      </c>
      <c r="B256" s="5" t="s">
        <v>432</v>
      </c>
      <c r="C256" s="11" t="s">
        <v>12</v>
      </c>
    </row>
    <row r="257">
      <c r="A257" s="13"/>
      <c r="B257" s="5" t="s">
        <v>435</v>
      </c>
      <c r="C257" s="11" t="s">
        <v>12</v>
      </c>
    </row>
    <row r="258">
      <c r="A258" s="13"/>
      <c r="B258" s="5" t="s">
        <v>436</v>
      </c>
      <c r="C258" s="11" t="s">
        <v>12</v>
      </c>
    </row>
    <row r="259">
      <c r="A259" s="13"/>
      <c r="B259" s="5" t="s">
        <v>439</v>
      </c>
      <c r="C259" s="11" t="s">
        <v>12</v>
      </c>
    </row>
    <row r="260">
      <c r="A260" s="13"/>
      <c r="B260" s="5" t="s">
        <v>440</v>
      </c>
      <c r="C260" s="11" t="s">
        <v>12</v>
      </c>
    </row>
    <row r="261">
      <c r="A261" s="13"/>
      <c r="B261" s="5" t="s">
        <v>442</v>
      </c>
      <c r="C261" s="11" t="s">
        <v>12</v>
      </c>
    </row>
    <row r="262">
      <c r="A262" s="13"/>
      <c r="B262" s="5" t="s">
        <v>444</v>
      </c>
      <c r="C262" s="11" t="s">
        <v>12</v>
      </c>
    </row>
    <row r="263">
      <c r="A263" s="13"/>
      <c r="B263" s="5" t="s">
        <v>445</v>
      </c>
      <c r="C263" s="11" t="s">
        <v>12</v>
      </c>
    </row>
    <row r="264">
      <c r="A264" s="13"/>
      <c r="B264" s="5" t="s">
        <v>446</v>
      </c>
      <c r="C264" s="11" t="s">
        <v>12</v>
      </c>
    </row>
    <row r="265">
      <c r="A265" s="3">
        <v>33.0</v>
      </c>
      <c r="B265" s="5" t="s">
        <v>447</v>
      </c>
      <c r="C265" s="11" t="s">
        <v>12</v>
      </c>
    </row>
    <row r="266">
      <c r="A266" s="13"/>
      <c r="B266" s="5" t="s">
        <v>448</v>
      </c>
      <c r="C266" s="11" t="s">
        <v>12</v>
      </c>
    </row>
    <row r="267">
      <c r="A267" s="13"/>
      <c r="B267" s="5" t="s">
        <v>449</v>
      </c>
      <c r="C267" s="11" t="s">
        <v>12</v>
      </c>
    </row>
    <row r="268">
      <c r="A268" s="13"/>
      <c r="B268" s="5" t="s">
        <v>453</v>
      </c>
      <c r="C268" s="11" t="s">
        <v>12</v>
      </c>
    </row>
    <row r="269">
      <c r="A269" s="13"/>
      <c r="B269" s="5" t="s">
        <v>455</v>
      </c>
      <c r="C269" s="11" t="s">
        <v>12</v>
      </c>
    </row>
    <row r="270">
      <c r="A270" s="13"/>
      <c r="B270" s="5" t="s">
        <v>456</v>
      </c>
      <c r="C270" s="11" t="s">
        <v>12</v>
      </c>
    </row>
    <row r="271">
      <c r="A271" s="13"/>
      <c r="B271" s="5" t="s">
        <v>457</v>
      </c>
      <c r="C271" s="11" t="s">
        <v>12</v>
      </c>
    </row>
    <row r="272">
      <c r="A272" s="13"/>
      <c r="B272" s="5" t="s">
        <v>458</v>
      </c>
      <c r="C272" s="11" t="s">
        <v>12</v>
      </c>
    </row>
    <row r="273">
      <c r="A273" s="13"/>
      <c r="B273" s="5" t="s">
        <v>461</v>
      </c>
      <c r="C273" s="11" t="s">
        <v>12</v>
      </c>
    </row>
    <row r="274">
      <c r="A274" s="3">
        <v>34.0</v>
      </c>
      <c r="B274" s="5" t="s">
        <v>462</v>
      </c>
      <c r="C274" s="11" t="s">
        <v>12</v>
      </c>
    </row>
    <row r="275">
      <c r="A275" s="13"/>
      <c r="B275" s="5" t="s">
        <v>463</v>
      </c>
      <c r="C275" s="11" t="s">
        <v>12</v>
      </c>
    </row>
    <row r="276">
      <c r="A276" s="13"/>
      <c r="B276" s="5" t="s">
        <v>466</v>
      </c>
      <c r="C276" s="11" t="s">
        <v>12</v>
      </c>
    </row>
    <row r="277">
      <c r="A277" s="13"/>
      <c r="B277" s="5" t="s">
        <v>468</v>
      </c>
      <c r="C277" s="11" t="s">
        <v>12</v>
      </c>
    </row>
    <row r="278">
      <c r="A278" s="13"/>
      <c r="B278" s="5" t="s">
        <v>470</v>
      </c>
      <c r="C278" s="11" t="s">
        <v>12</v>
      </c>
    </row>
    <row r="279">
      <c r="A279" s="13"/>
      <c r="B279" s="5" t="s">
        <v>471</v>
      </c>
      <c r="C279" s="11" t="s">
        <v>12</v>
      </c>
    </row>
    <row r="280">
      <c r="A280" s="13"/>
      <c r="B280" s="5" t="s">
        <v>472</v>
      </c>
      <c r="C280" s="11" t="s">
        <v>12</v>
      </c>
    </row>
    <row r="281">
      <c r="A281" s="13"/>
      <c r="B281" s="5" t="s">
        <v>473</v>
      </c>
      <c r="C281" s="11" t="s">
        <v>12</v>
      </c>
    </row>
    <row r="282">
      <c r="A282" s="13"/>
      <c r="B282" s="5" t="s">
        <v>476</v>
      </c>
      <c r="C282" s="11" t="s">
        <v>12</v>
      </c>
    </row>
    <row r="283">
      <c r="A283" s="13"/>
      <c r="B283" s="5" t="s">
        <v>477</v>
      </c>
      <c r="C283" s="11" t="s">
        <v>12</v>
      </c>
    </row>
    <row r="284">
      <c r="A284" s="3">
        <v>35.0</v>
      </c>
      <c r="B284" s="5" t="s">
        <v>478</v>
      </c>
      <c r="C284" s="11" t="s">
        <v>12</v>
      </c>
    </row>
    <row r="285">
      <c r="A285" s="13"/>
      <c r="B285" s="5" t="s">
        <v>481</v>
      </c>
      <c r="C285" s="11" t="s">
        <v>12</v>
      </c>
    </row>
    <row r="286">
      <c r="A286" s="13"/>
      <c r="B286" s="5" t="s">
        <v>482</v>
      </c>
      <c r="C286" s="11" t="s">
        <v>12</v>
      </c>
    </row>
    <row r="287">
      <c r="A287" s="13"/>
      <c r="B287" s="5" t="s">
        <v>483</v>
      </c>
      <c r="C287" s="11" t="s">
        <v>12</v>
      </c>
    </row>
    <row r="288">
      <c r="A288" s="13"/>
      <c r="B288" s="5" t="s">
        <v>487</v>
      </c>
      <c r="C288" s="11" t="s">
        <v>12</v>
      </c>
    </row>
    <row r="289">
      <c r="A289" s="13"/>
      <c r="B289" s="5" t="s">
        <v>488</v>
      </c>
      <c r="C289" s="11" t="s">
        <v>12</v>
      </c>
    </row>
    <row r="290">
      <c r="A290" s="13"/>
      <c r="B290" s="5" t="s">
        <v>489</v>
      </c>
      <c r="C290" s="11" t="s">
        <v>12</v>
      </c>
    </row>
    <row r="291">
      <c r="A291" s="13"/>
      <c r="B291" s="5" t="s">
        <v>490</v>
      </c>
      <c r="C291" s="11" t="s">
        <v>12</v>
      </c>
    </row>
    <row r="292">
      <c r="A292" s="13"/>
      <c r="B292" s="5" t="s">
        <v>491</v>
      </c>
      <c r="C292" s="11" t="s">
        <v>12</v>
      </c>
    </row>
    <row r="293">
      <c r="A293" s="13"/>
      <c r="B293" s="5" t="s">
        <v>492</v>
      </c>
      <c r="C293" s="11" t="s">
        <v>12</v>
      </c>
    </row>
    <row r="294">
      <c r="A294" s="13"/>
      <c r="B294" s="5" t="s">
        <v>493</v>
      </c>
      <c r="C294" s="11" t="s">
        <v>12</v>
      </c>
    </row>
    <row r="295">
      <c r="A295" s="3">
        <v>36.0</v>
      </c>
      <c r="B295" s="5" t="s">
        <v>494</v>
      </c>
      <c r="C295" s="11" t="s">
        <v>12</v>
      </c>
    </row>
    <row r="296">
      <c r="A296" s="13"/>
      <c r="B296" s="5" t="s">
        <v>497</v>
      </c>
      <c r="C296" s="11" t="s">
        <v>12</v>
      </c>
    </row>
    <row r="297">
      <c r="A297" s="13"/>
      <c r="B297" s="5" t="s">
        <v>122</v>
      </c>
      <c r="C297" s="11" t="s">
        <v>12</v>
      </c>
    </row>
    <row r="298">
      <c r="A298" s="3">
        <v>37.0</v>
      </c>
      <c r="B298" s="5" t="s">
        <v>499</v>
      </c>
      <c r="C298" s="11" t="s">
        <v>12</v>
      </c>
    </row>
    <row r="299">
      <c r="A299" s="13"/>
      <c r="B299" s="5" t="s">
        <v>500</v>
      </c>
      <c r="C299" s="11" t="s">
        <v>12</v>
      </c>
    </row>
    <row r="300">
      <c r="A300" s="13"/>
      <c r="B300" s="5" t="s">
        <v>501</v>
      </c>
      <c r="C300" s="11" t="s">
        <v>12</v>
      </c>
    </row>
    <row r="301">
      <c r="A301" s="13"/>
      <c r="B301" s="5" t="s">
        <v>502</v>
      </c>
      <c r="C301" s="11" t="s">
        <v>12</v>
      </c>
    </row>
    <row r="302">
      <c r="A302" s="13"/>
      <c r="B302" s="5" t="s">
        <v>503</v>
      </c>
      <c r="C302" s="11" t="s">
        <v>12</v>
      </c>
    </row>
    <row r="303">
      <c r="A303" s="13"/>
      <c r="B303" s="5" t="s">
        <v>504</v>
      </c>
      <c r="C303" s="11" t="s">
        <v>12</v>
      </c>
    </row>
    <row r="304">
      <c r="A304" s="13"/>
      <c r="B304" s="5" t="s">
        <v>505</v>
      </c>
      <c r="C304" s="11" t="s">
        <v>12</v>
      </c>
    </row>
    <row r="305">
      <c r="A305" s="13"/>
      <c r="B305" s="5" t="s">
        <v>508</v>
      </c>
      <c r="C305" s="11" t="s">
        <v>12</v>
      </c>
    </row>
    <row r="306">
      <c r="A306" s="13"/>
      <c r="B306" s="5" t="s">
        <v>509</v>
      </c>
      <c r="C306" s="11" t="s">
        <v>12</v>
      </c>
    </row>
    <row r="307">
      <c r="A307" s="13"/>
      <c r="B307" s="5" t="s">
        <v>510</v>
      </c>
      <c r="C307" s="11" t="s">
        <v>12</v>
      </c>
    </row>
    <row r="308">
      <c r="A308" s="13"/>
      <c r="B308" s="5" t="s">
        <v>511</v>
      </c>
      <c r="C308" s="11" t="s">
        <v>12</v>
      </c>
    </row>
    <row r="309">
      <c r="A309" s="13"/>
      <c r="B309" s="5" t="s">
        <v>512</v>
      </c>
      <c r="C309" s="11" t="s">
        <v>12</v>
      </c>
    </row>
    <row r="310">
      <c r="A310" s="13"/>
      <c r="B310" s="5" t="s">
        <v>513</v>
      </c>
      <c r="C310" s="11" t="s">
        <v>12</v>
      </c>
    </row>
    <row r="311">
      <c r="A311" s="3">
        <v>38.0</v>
      </c>
      <c r="B311" s="5" t="s">
        <v>514</v>
      </c>
      <c r="C311" s="11" t="s">
        <v>12</v>
      </c>
    </row>
    <row r="312">
      <c r="A312" s="13"/>
      <c r="B312" s="5" t="s">
        <v>517</v>
      </c>
      <c r="C312" s="11" t="s">
        <v>12</v>
      </c>
    </row>
    <row r="313">
      <c r="A313" s="13"/>
      <c r="B313" s="5" t="s">
        <v>518</v>
      </c>
      <c r="C313" s="11" t="s">
        <v>12</v>
      </c>
    </row>
    <row r="314">
      <c r="A314" s="13"/>
      <c r="B314" s="5" t="s">
        <v>519</v>
      </c>
      <c r="C314" s="11" t="s">
        <v>12</v>
      </c>
    </row>
    <row r="315">
      <c r="A315" s="13"/>
      <c r="B315" s="5" t="s">
        <v>520</v>
      </c>
      <c r="C315" s="11" t="s">
        <v>12</v>
      </c>
    </row>
    <row r="316">
      <c r="A316" s="13"/>
      <c r="B316" s="5" t="s">
        <v>521</v>
      </c>
      <c r="C316" s="11" t="s">
        <v>12</v>
      </c>
    </row>
    <row r="317">
      <c r="A317" s="13"/>
      <c r="B317" s="5" t="s">
        <v>523</v>
      </c>
      <c r="C317" s="11" t="s">
        <v>12</v>
      </c>
    </row>
    <row r="318">
      <c r="A318" s="13"/>
      <c r="B318" s="5" t="s">
        <v>526</v>
      </c>
      <c r="C318" s="11" t="s">
        <v>12</v>
      </c>
    </row>
    <row r="319">
      <c r="A319" s="13"/>
      <c r="B319" s="5" t="s">
        <v>528</v>
      </c>
      <c r="C319" s="11" t="s">
        <v>12</v>
      </c>
    </row>
    <row r="320">
      <c r="A320" s="13"/>
      <c r="B320" s="5" t="s">
        <v>529</v>
      </c>
      <c r="C320" s="11" t="s">
        <v>12</v>
      </c>
    </row>
    <row r="321">
      <c r="A321" s="3">
        <v>39.0</v>
      </c>
      <c r="B321" s="5" t="s">
        <v>530</v>
      </c>
      <c r="C321" s="11" t="s">
        <v>12</v>
      </c>
    </row>
    <row r="322">
      <c r="A322" s="13"/>
      <c r="B322" s="5" t="s">
        <v>532</v>
      </c>
      <c r="C322" s="11" t="s">
        <v>12</v>
      </c>
    </row>
    <row r="323">
      <c r="A323" s="13"/>
      <c r="B323" s="5" t="s">
        <v>533</v>
      </c>
      <c r="C323" s="11" t="s">
        <v>12</v>
      </c>
    </row>
    <row r="324">
      <c r="A324" s="13"/>
      <c r="B324" s="5" t="s">
        <v>534</v>
      </c>
      <c r="C324" s="11" t="s">
        <v>12</v>
      </c>
    </row>
    <row r="325">
      <c r="A325" s="13"/>
      <c r="B325" s="5" t="s">
        <v>535</v>
      </c>
      <c r="C325" s="11" t="s">
        <v>12</v>
      </c>
    </row>
    <row r="326">
      <c r="A326" s="13"/>
      <c r="B326" s="5" t="s">
        <v>536</v>
      </c>
      <c r="C326" s="11" t="s">
        <v>12</v>
      </c>
    </row>
    <row r="327">
      <c r="A327" s="13"/>
      <c r="B327" s="5" t="s">
        <v>538</v>
      </c>
      <c r="C327" s="11" t="s">
        <v>12</v>
      </c>
    </row>
    <row r="328">
      <c r="A328" s="13"/>
      <c r="B328" s="5" t="s">
        <v>540</v>
      </c>
      <c r="C328" s="11" t="s">
        <v>12</v>
      </c>
    </row>
    <row r="329">
      <c r="A329" s="3">
        <v>40.0</v>
      </c>
      <c r="B329" s="5" t="s">
        <v>542</v>
      </c>
      <c r="C329" s="11" t="s">
        <v>12</v>
      </c>
    </row>
    <row r="330">
      <c r="A330" s="13"/>
      <c r="B330" s="5" t="s">
        <v>543</v>
      </c>
      <c r="C330" s="11" t="s">
        <v>12</v>
      </c>
    </row>
    <row r="331">
      <c r="A331" s="13"/>
      <c r="B331" s="5" t="s">
        <v>545</v>
      </c>
      <c r="C331" s="11" t="s">
        <v>12</v>
      </c>
    </row>
    <row r="332">
      <c r="A332" s="13"/>
      <c r="B332" s="5" t="s">
        <v>547</v>
      </c>
      <c r="C332" s="11" t="s">
        <v>12</v>
      </c>
    </row>
    <row r="333">
      <c r="A333" s="13"/>
      <c r="B333" s="5" t="s">
        <v>548</v>
      </c>
      <c r="C333" s="11" t="s">
        <v>12</v>
      </c>
    </row>
    <row r="334">
      <c r="A334" s="13"/>
      <c r="B334" s="5" t="s">
        <v>549</v>
      </c>
      <c r="C334" s="11" t="s">
        <v>12</v>
      </c>
    </row>
    <row r="335">
      <c r="A335" s="13"/>
      <c r="B335" s="5" t="s">
        <v>552</v>
      </c>
      <c r="C335" s="11" t="s">
        <v>12</v>
      </c>
    </row>
    <row r="336">
      <c r="A336" s="13"/>
      <c r="B336" s="5" t="s">
        <v>553</v>
      </c>
      <c r="C336" s="11" t="s">
        <v>12</v>
      </c>
    </row>
    <row r="337">
      <c r="A337" s="13"/>
      <c r="B337" s="5" t="s">
        <v>554</v>
      </c>
      <c r="C337" s="11" t="s">
        <v>12</v>
      </c>
    </row>
    <row r="338">
      <c r="A338" s="3">
        <v>41.0</v>
      </c>
      <c r="B338" s="5" t="s">
        <v>555</v>
      </c>
      <c r="C338" s="11" t="s">
        <v>12</v>
      </c>
    </row>
    <row r="339">
      <c r="A339" s="13"/>
      <c r="B339" s="5" t="s">
        <v>556</v>
      </c>
      <c r="C339" s="11" t="s">
        <v>12</v>
      </c>
    </row>
    <row r="340">
      <c r="A340" s="13"/>
      <c r="B340" s="5" t="s">
        <v>558</v>
      </c>
      <c r="C340" s="11" t="s">
        <v>12</v>
      </c>
    </row>
    <row r="341">
      <c r="A341" s="13"/>
      <c r="B341" s="5" t="s">
        <v>562</v>
      </c>
      <c r="C341" s="11" t="s">
        <v>12</v>
      </c>
    </row>
    <row r="342">
      <c r="A342" s="13"/>
      <c r="B342" s="5" t="s">
        <v>563</v>
      </c>
      <c r="C342" s="11" t="s">
        <v>12</v>
      </c>
    </row>
    <row r="343">
      <c r="A343" s="13"/>
      <c r="B343" s="5" t="s">
        <v>564</v>
      </c>
      <c r="C343" s="11" t="s">
        <v>12</v>
      </c>
    </row>
    <row r="344">
      <c r="A344" s="13"/>
      <c r="B344" s="5" t="s">
        <v>565</v>
      </c>
      <c r="C344" s="11" t="s">
        <v>12</v>
      </c>
    </row>
    <row r="345">
      <c r="A345" s="13"/>
      <c r="B345" s="5" t="s">
        <v>566</v>
      </c>
      <c r="C345" s="11" t="s">
        <v>12</v>
      </c>
    </row>
    <row r="346">
      <c r="A346" s="13"/>
      <c r="B346" s="5" t="s">
        <v>568</v>
      </c>
      <c r="C346" s="11" t="s">
        <v>12</v>
      </c>
    </row>
    <row r="347">
      <c r="A347" s="13"/>
      <c r="B347" s="5" t="s">
        <v>571</v>
      </c>
      <c r="C347" s="11" t="s">
        <v>12</v>
      </c>
    </row>
    <row r="348">
      <c r="A348" s="13"/>
      <c r="B348" s="5" t="s">
        <v>573</v>
      </c>
      <c r="C348" s="11" t="s">
        <v>12</v>
      </c>
    </row>
    <row r="349">
      <c r="A349" s="13"/>
      <c r="B349" s="5" t="s">
        <v>574</v>
      </c>
      <c r="C349" s="11" t="s">
        <v>12</v>
      </c>
    </row>
    <row r="350">
      <c r="A350" s="13"/>
      <c r="B350" s="5" t="s">
        <v>575</v>
      </c>
      <c r="C350" s="11" t="s">
        <v>12</v>
      </c>
    </row>
    <row r="351">
      <c r="A351" s="13"/>
      <c r="B351" s="5" t="s">
        <v>576</v>
      </c>
      <c r="C351" s="11" t="s">
        <v>12</v>
      </c>
    </row>
    <row r="352">
      <c r="A352" s="3">
        <v>42.0</v>
      </c>
      <c r="B352" s="5" t="s">
        <v>578</v>
      </c>
      <c r="C352" s="11" t="s">
        <v>12</v>
      </c>
    </row>
    <row r="353">
      <c r="A353" s="13"/>
      <c r="B353" s="5" t="s">
        <v>580</v>
      </c>
      <c r="C353" s="11" t="s">
        <v>12</v>
      </c>
    </row>
    <row r="354">
      <c r="A354" s="13"/>
      <c r="B354" s="5" t="s">
        <v>581</v>
      </c>
      <c r="C354" s="11" t="s">
        <v>12</v>
      </c>
    </row>
    <row r="355">
      <c r="A355" s="13"/>
      <c r="B355" s="5" t="s">
        <v>582</v>
      </c>
      <c r="C355" s="11" t="s">
        <v>12</v>
      </c>
    </row>
    <row r="356">
      <c r="A356" s="13"/>
      <c r="B356" s="5" t="s">
        <v>583</v>
      </c>
      <c r="C356" s="11" t="s">
        <v>12</v>
      </c>
    </row>
    <row r="357">
      <c r="A357" s="13"/>
      <c r="B357" s="5" t="s">
        <v>584</v>
      </c>
      <c r="C357" s="11" t="s">
        <v>12</v>
      </c>
    </row>
    <row r="358">
      <c r="A358" s="13"/>
      <c r="B358" s="5" t="s">
        <v>585</v>
      </c>
      <c r="C358" s="11" t="s">
        <v>12</v>
      </c>
    </row>
    <row r="359">
      <c r="A359" s="13"/>
      <c r="B359" s="5" t="s">
        <v>588</v>
      </c>
      <c r="C359" s="11" t="s">
        <v>12</v>
      </c>
    </row>
    <row r="360">
      <c r="A360" s="13"/>
      <c r="B360" s="5" t="s">
        <v>589</v>
      </c>
      <c r="C360" s="11" t="s">
        <v>12</v>
      </c>
    </row>
    <row r="361">
      <c r="A361" s="13"/>
      <c r="B361" s="5" t="s">
        <v>590</v>
      </c>
      <c r="C361" s="11" t="s">
        <v>12</v>
      </c>
    </row>
    <row r="362">
      <c r="A362" s="13"/>
      <c r="B362" s="5" t="s">
        <v>591</v>
      </c>
      <c r="C362" s="11" t="s">
        <v>12</v>
      </c>
    </row>
    <row r="363">
      <c r="A363" s="13"/>
      <c r="B363" s="5" t="s">
        <v>592</v>
      </c>
      <c r="C363" s="11" t="s">
        <v>12</v>
      </c>
    </row>
    <row r="364">
      <c r="A364" s="3">
        <v>43.0</v>
      </c>
      <c r="B364" s="5" t="s">
        <v>594</v>
      </c>
      <c r="C364" s="11" t="s">
        <v>12</v>
      </c>
    </row>
    <row r="365">
      <c r="A365" s="13"/>
      <c r="B365" s="5" t="s">
        <v>224</v>
      </c>
      <c r="C365" s="11" t="s">
        <v>12</v>
      </c>
    </row>
    <row r="366">
      <c r="A366" s="13"/>
      <c r="B366" s="5" t="s">
        <v>225</v>
      </c>
      <c r="C366" s="11" t="s">
        <v>12</v>
      </c>
    </row>
    <row r="367">
      <c r="A367" s="13"/>
      <c r="B367" s="5" t="s">
        <v>596</v>
      </c>
      <c r="C367" s="11" t="s">
        <v>12</v>
      </c>
    </row>
    <row r="368">
      <c r="A368" s="13"/>
      <c r="B368" s="5" t="s">
        <v>597</v>
      </c>
      <c r="C368" s="11" t="s">
        <v>12</v>
      </c>
    </row>
    <row r="369">
      <c r="A369" s="13"/>
      <c r="B369" s="5" t="s">
        <v>122</v>
      </c>
      <c r="C369" s="11" t="s">
        <v>12</v>
      </c>
    </row>
    <row r="370">
      <c r="A370" s="3">
        <v>44.0</v>
      </c>
      <c r="B370" s="5" t="s">
        <v>598</v>
      </c>
      <c r="C370" s="11" t="s">
        <v>12</v>
      </c>
    </row>
    <row r="371">
      <c r="A371" s="13"/>
      <c r="B371" s="5" t="s">
        <v>599</v>
      </c>
      <c r="C371" s="11" t="s">
        <v>12</v>
      </c>
    </row>
    <row r="372">
      <c r="A372" s="13"/>
      <c r="B372" s="5" t="s">
        <v>600</v>
      </c>
      <c r="C372" s="11" t="s">
        <v>12</v>
      </c>
    </row>
    <row r="373">
      <c r="A373" s="13"/>
      <c r="B373" s="5" t="s">
        <v>602</v>
      </c>
      <c r="C373" s="11" t="s">
        <v>12</v>
      </c>
    </row>
    <row r="374">
      <c r="A374" s="13"/>
      <c r="B374" s="5" t="s">
        <v>604</v>
      </c>
      <c r="C374" s="11" t="s">
        <v>12</v>
      </c>
    </row>
    <row r="375">
      <c r="A375" s="13"/>
      <c r="B375" s="5" t="s">
        <v>605</v>
      </c>
      <c r="C375" s="11" t="s">
        <v>12</v>
      </c>
    </row>
    <row r="376">
      <c r="A376" s="13"/>
      <c r="B376" s="5" t="s">
        <v>606</v>
      </c>
      <c r="C376" s="11" t="s">
        <v>12</v>
      </c>
    </row>
    <row r="377">
      <c r="A377" s="13"/>
      <c r="B377" s="5" t="s">
        <v>607</v>
      </c>
      <c r="C377" s="11" t="s">
        <v>12</v>
      </c>
    </row>
    <row r="378">
      <c r="A378" s="13"/>
      <c r="B378" s="5" t="s">
        <v>608</v>
      </c>
      <c r="C378" s="11" t="s">
        <v>12</v>
      </c>
    </row>
    <row r="379">
      <c r="A379" s="13"/>
      <c r="B379" s="5" t="s">
        <v>609</v>
      </c>
      <c r="C379" s="11" t="s">
        <v>12</v>
      </c>
    </row>
    <row r="380">
      <c r="A380" s="13"/>
      <c r="B380" s="5" t="s">
        <v>610</v>
      </c>
      <c r="C380" s="11" t="s">
        <v>12</v>
      </c>
    </row>
    <row r="381">
      <c r="A381" s="13"/>
      <c r="B381" s="5" t="s">
        <v>611</v>
      </c>
      <c r="C381" s="11" t="s">
        <v>12</v>
      </c>
    </row>
    <row r="382">
      <c r="A382" s="3">
        <v>45.0</v>
      </c>
      <c r="B382" s="5" t="s">
        <v>612</v>
      </c>
      <c r="C382" s="11" t="s">
        <v>12</v>
      </c>
    </row>
    <row r="383">
      <c r="A383" s="13"/>
      <c r="B383" s="5" t="s">
        <v>614</v>
      </c>
      <c r="C383" s="11" t="s">
        <v>12</v>
      </c>
    </row>
    <row r="384">
      <c r="A384" s="13"/>
      <c r="B384" s="5" t="s">
        <v>616</v>
      </c>
      <c r="C384" s="11" t="s">
        <v>12</v>
      </c>
    </row>
    <row r="385">
      <c r="A385" s="13"/>
      <c r="B385" s="5" t="s">
        <v>617</v>
      </c>
      <c r="C385" s="11" t="s">
        <v>12</v>
      </c>
    </row>
    <row r="386">
      <c r="A386" s="13"/>
      <c r="B386" s="5" t="s">
        <v>618</v>
      </c>
      <c r="C386" s="11" t="s">
        <v>12</v>
      </c>
    </row>
    <row r="387">
      <c r="A387" s="13"/>
      <c r="B387" s="5" t="s">
        <v>619</v>
      </c>
      <c r="C387" s="11" t="s">
        <v>12</v>
      </c>
    </row>
    <row r="388">
      <c r="A388" s="13"/>
      <c r="B388" s="5" t="s">
        <v>620</v>
      </c>
      <c r="C388" s="11" t="s">
        <v>12</v>
      </c>
    </row>
    <row r="389">
      <c r="A389" s="13"/>
      <c r="B389" s="5" t="s">
        <v>621</v>
      </c>
      <c r="C389" s="11" t="s">
        <v>12</v>
      </c>
    </row>
    <row r="390">
      <c r="A390" s="13"/>
      <c r="B390" s="5" t="s">
        <v>622</v>
      </c>
      <c r="C390" s="11" t="s">
        <v>12</v>
      </c>
    </row>
    <row r="391">
      <c r="A391" s="13"/>
      <c r="B391" s="5" t="s">
        <v>624</v>
      </c>
      <c r="C391" s="11" t="s">
        <v>12</v>
      </c>
    </row>
    <row r="392">
      <c r="A392" s="90" t="s">
        <v>626</v>
      </c>
      <c r="B392" s="91" t="s">
        <v>627</v>
      </c>
      <c r="C392" s="13"/>
    </row>
  </sheetData>
  <dataValidations>
    <dataValidation type="list" allowBlank="1" showErrorMessage="1" sqref="C2:C392">
      <formula1>"Done,Pending"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22" max="22" width="26.38"/>
  </cols>
  <sheetData>
    <row r="1">
      <c r="A1" s="6"/>
      <c r="B1" s="6"/>
      <c r="C1" s="6"/>
      <c r="D1" s="8">
        <v>1.0</v>
      </c>
      <c r="E1" s="8">
        <v>2.0</v>
      </c>
      <c r="F1" s="8">
        <v>3.0</v>
      </c>
      <c r="G1" s="8">
        <v>4.0</v>
      </c>
      <c r="H1" s="8">
        <v>5.0</v>
      </c>
      <c r="I1" s="8">
        <v>6.0</v>
      </c>
      <c r="J1" s="8">
        <v>7.0</v>
      </c>
      <c r="K1" s="8">
        <v>8.0</v>
      </c>
      <c r="L1" s="8">
        <v>9.0</v>
      </c>
      <c r="M1" s="8">
        <v>10.0</v>
      </c>
      <c r="N1" s="8">
        <v>11.0</v>
      </c>
      <c r="O1" s="8">
        <v>12.0</v>
      </c>
      <c r="P1" s="8">
        <v>13.0</v>
      </c>
      <c r="Q1" s="8">
        <v>14.0</v>
      </c>
      <c r="R1" s="8">
        <v>15.0</v>
      </c>
      <c r="S1" s="8">
        <v>16.0</v>
      </c>
      <c r="T1" s="16"/>
      <c r="U1" s="16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>
      <c r="A2" s="19" t="s">
        <v>2</v>
      </c>
      <c r="B2" s="19" t="s">
        <v>5</v>
      </c>
      <c r="C2" s="19" t="s">
        <v>6</v>
      </c>
      <c r="D2" s="20" t="s">
        <v>21</v>
      </c>
      <c r="E2" s="20" t="s">
        <v>22</v>
      </c>
      <c r="F2" s="20" t="s">
        <v>25</v>
      </c>
      <c r="G2" s="20" t="s">
        <v>26</v>
      </c>
      <c r="H2" s="20" t="s">
        <v>28</v>
      </c>
      <c r="I2" s="20" t="s">
        <v>31</v>
      </c>
      <c r="J2" s="20" t="s">
        <v>38</v>
      </c>
      <c r="K2" s="20" t="s">
        <v>40</v>
      </c>
      <c r="L2" s="20" t="s">
        <v>42</v>
      </c>
      <c r="M2" s="20" t="s">
        <v>43</v>
      </c>
      <c r="N2" s="20" t="s">
        <v>44</v>
      </c>
      <c r="O2" s="20" t="s">
        <v>46</v>
      </c>
      <c r="P2" s="20" t="s">
        <v>47</v>
      </c>
      <c r="Q2" s="20" t="s">
        <v>49</v>
      </c>
      <c r="R2" s="20" t="s">
        <v>50</v>
      </c>
      <c r="S2" s="20" t="s">
        <v>51</v>
      </c>
      <c r="T2" s="26" t="s">
        <v>54</v>
      </c>
      <c r="U2" s="15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>
      <c r="A3" s="31">
        <v>1.0</v>
      </c>
      <c r="B3" s="32" t="s">
        <v>61</v>
      </c>
      <c r="C3" s="32" t="s">
        <v>63</v>
      </c>
      <c r="D3" s="35">
        <v>41.0</v>
      </c>
      <c r="E3" s="35">
        <v>36.0</v>
      </c>
      <c r="F3" s="35">
        <v>37.0</v>
      </c>
      <c r="G3" s="35">
        <v>37.0</v>
      </c>
      <c r="H3" s="35">
        <v>39.0</v>
      </c>
      <c r="I3" s="35">
        <v>37.0</v>
      </c>
      <c r="J3" s="35">
        <v>35.0</v>
      </c>
      <c r="K3" s="35">
        <v>39.0</v>
      </c>
      <c r="L3" s="35">
        <v>39.0</v>
      </c>
      <c r="M3" s="35">
        <v>39.0</v>
      </c>
      <c r="N3" s="35" t="s">
        <v>68</v>
      </c>
      <c r="O3" s="35">
        <v>40.0</v>
      </c>
      <c r="P3" s="35">
        <v>39.0</v>
      </c>
      <c r="Q3" s="35" t="s">
        <v>68</v>
      </c>
      <c r="R3" s="35" t="s">
        <v>68</v>
      </c>
      <c r="S3" s="35" t="s">
        <v>68</v>
      </c>
      <c r="T3" s="39">
        <f t="shared" ref="T3:T78" si="1">Countif(D3:S3,"Absent")</f>
        <v>4</v>
      </c>
      <c r="U3" s="15"/>
      <c r="V3" s="40" t="str">
        <f>IFERROR(__xludf.DUMMYFUNCTION("TEXTJOIN("", "",TRUE,FILTER(D$1:S$1, D3:S3=""Absent""))"),"11, 14, 15, 16")</f>
        <v>11, 14, 15, 16</v>
      </c>
      <c r="W3" s="40">
        <f t="shared" ref="W3:W78" si="2">COUNTIF(D3:S3,"Absent")</f>
        <v>4</v>
      </c>
    </row>
    <row r="4">
      <c r="A4" s="31">
        <v>2.0</v>
      </c>
      <c r="B4" s="41" t="s">
        <v>90</v>
      </c>
      <c r="C4" s="41" t="s">
        <v>92</v>
      </c>
      <c r="D4" s="35" t="s">
        <v>94</v>
      </c>
      <c r="E4" s="35" t="s">
        <v>94</v>
      </c>
      <c r="F4" s="35" t="s">
        <v>94</v>
      </c>
      <c r="G4" s="42" t="s">
        <v>68</v>
      </c>
      <c r="H4" s="35" t="s">
        <v>68</v>
      </c>
      <c r="I4" s="35">
        <v>33.0</v>
      </c>
      <c r="J4" s="35" t="s">
        <v>68</v>
      </c>
      <c r="K4" s="35">
        <v>33.0</v>
      </c>
      <c r="L4" s="35">
        <v>28.0</v>
      </c>
      <c r="M4" s="35">
        <v>37.0</v>
      </c>
      <c r="N4" s="35">
        <v>38.0</v>
      </c>
      <c r="O4" s="35">
        <v>39.0</v>
      </c>
      <c r="P4" s="35" t="s">
        <v>68</v>
      </c>
      <c r="Q4" s="35">
        <v>15.0</v>
      </c>
      <c r="R4" s="35">
        <v>9.0</v>
      </c>
      <c r="S4" s="35">
        <v>23.0</v>
      </c>
      <c r="T4" s="39">
        <f t="shared" si="1"/>
        <v>4</v>
      </c>
      <c r="U4" s="15"/>
      <c r="V4" s="40" t="str">
        <f>IFERROR(__xludf.DUMMYFUNCTION("TEXTJOIN("", "",TRUE,FILTER(D$1:S$1, D4:S4=""Absent""))"),"4, 5, 7, 13")</f>
        <v>4, 5, 7, 13</v>
      </c>
      <c r="W4" s="40">
        <f t="shared" si="2"/>
        <v>4</v>
      </c>
    </row>
    <row r="5">
      <c r="A5" s="31">
        <v>3.0</v>
      </c>
      <c r="B5" s="32" t="s">
        <v>108</v>
      </c>
      <c r="C5" s="32" t="s">
        <v>109</v>
      </c>
      <c r="D5" s="35" t="s">
        <v>68</v>
      </c>
      <c r="E5" s="35">
        <v>26.0</v>
      </c>
      <c r="F5" s="35">
        <v>26.0</v>
      </c>
      <c r="G5" s="35">
        <v>26.0</v>
      </c>
      <c r="H5" s="35">
        <v>32.0</v>
      </c>
      <c r="I5" s="35">
        <v>31.0</v>
      </c>
      <c r="J5" s="35">
        <v>34.0</v>
      </c>
      <c r="K5" s="35">
        <v>31.0</v>
      </c>
      <c r="L5" s="35">
        <v>32.0</v>
      </c>
      <c r="M5" s="35">
        <v>35.0</v>
      </c>
      <c r="N5" s="35" t="s">
        <v>68</v>
      </c>
      <c r="O5" s="35" t="s">
        <v>68</v>
      </c>
      <c r="P5" s="35" t="s">
        <v>68</v>
      </c>
      <c r="Q5" s="35" t="s">
        <v>68</v>
      </c>
      <c r="R5" s="35" t="s">
        <v>68</v>
      </c>
      <c r="S5" s="35" t="s">
        <v>68</v>
      </c>
      <c r="T5" s="39">
        <f t="shared" si="1"/>
        <v>7</v>
      </c>
      <c r="U5" s="15"/>
      <c r="V5" s="40" t="str">
        <f>IFERROR(__xludf.DUMMYFUNCTION("TEXTJOIN("", "",TRUE,FILTER(D$1:S$1, D5:S5=""Absent""))"),"1, 11, 12, 13, 14, 15, 16")</f>
        <v>1, 11, 12, 13, 14, 15, 16</v>
      </c>
      <c r="W5" s="40">
        <f t="shared" si="2"/>
        <v>7</v>
      </c>
    </row>
    <row r="6">
      <c r="A6" s="31">
        <v>4.0</v>
      </c>
      <c r="B6" s="32" t="s">
        <v>118</v>
      </c>
      <c r="C6" s="32" t="s">
        <v>120</v>
      </c>
      <c r="D6" s="35">
        <v>41.0</v>
      </c>
      <c r="E6" s="35">
        <v>35.0</v>
      </c>
      <c r="F6" s="35">
        <v>38.0</v>
      </c>
      <c r="G6" s="35">
        <v>29.0</v>
      </c>
      <c r="H6" s="35">
        <v>30.0</v>
      </c>
      <c r="I6" s="35">
        <v>39.0</v>
      </c>
      <c r="J6" s="35">
        <v>33.0</v>
      </c>
      <c r="K6" s="35">
        <v>31.0</v>
      </c>
      <c r="L6" s="35" t="s">
        <v>68</v>
      </c>
      <c r="M6" s="35">
        <v>37.0</v>
      </c>
      <c r="N6" s="35">
        <v>29.0</v>
      </c>
      <c r="O6" s="35">
        <v>34.0</v>
      </c>
      <c r="P6" s="35">
        <v>33.0</v>
      </c>
      <c r="Q6" s="35">
        <v>26.0</v>
      </c>
      <c r="R6" s="35" t="s">
        <v>68</v>
      </c>
      <c r="S6" s="35">
        <v>55.0</v>
      </c>
      <c r="T6" s="39">
        <f t="shared" si="1"/>
        <v>2</v>
      </c>
      <c r="U6" s="15"/>
      <c r="V6" s="40" t="str">
        <f>IFERROR(__xludf.DUMMYFUNCTION("TEXTJOIN("", "",TRUE,FILTER(D$1:S$1, D6:S6=""Absent""))"),"9, 15")</f>
        <v>9, 15</v>
      </c>
      <c r="W6" s="40">
        <f t="shared" si="2"/>
        <v>2</v>
      </c>
    </row>
    <row r="7">
      <c r="A7" s="31">
        <v>5.0</v>
      </c>
      <c r="B7" s="45" t="s">
        <v>129</v>
      </c>
      <c r="C7" s="45" t="s">
        <v>131</v>
      </c>
      <c r="D7" s="35" t="s">
        <v>68</v>
      </c>
      <c r="E7" s="35">
        <v>31.0</v>
      </c>
      <c r="F7" s="35">
        <v>25.0</v>
      </c>
      <c r="G7" s="35">
        <v>26.0</v>
      </c>
      <c r="H7" s="35">
        <v>24.0</v>
      </c>
      <c r="I7" s="35">
        <v>25.0</v>
      </c>
      <c r="J7" s="35" t="s">
        <v>68</v>
      </c>
      <c r="K7" s="35">
        <v>26.0</v>
      </c>
      <c r="L7" s="35" t="s">
        <v>68</v>
      </c>
      <c r="M7" s="35" t="s">
        <v>68</v>
      </c>
      <c r="N7" s="35" t="s">
        <v>68</v>
      </c>
      <c r="O7" s="35" t="s">
        <v>68</v>
      </c>
      <c r="P7" s="35" t="s">
        <v>68</v>
      </c>
      <c r="Q7" s="35" t="s">
        <v>68</v>
      </c>
      <c r="R7" s="35" t="s">
        <v>68</v>
      </c>
      <c r="S7" s="35" t="s">
        <v>68</v>
      </c>
      <c r="T7" s="39">
        <f t="shared" si="1"/>
        <v>10</v>
      </c>
      <c r="U7" s="15"/>
      <c r="V7" s="40" t="str">
        <f>IFERROR(__xludf.DUMMYFUNCTION("TEXTJOIN("", "",TRUE,FILTER(D$1:S$1, D7:S7=""Absent""))"),"1, 7, 9, 10, 11, 12, 13, 14, 15, 16")</f>
        <v>1, 7, 9, 10, 11, 12, 13, 14, 15, 16</v>
      </c>
      <c r="W7" s="40">
        <f t="shared" si="2"/>
        <v>10</v>
      </c>
    </row>
    <row r="8">
      <c r="A8" s="31">
        <v>6.0</v>
      </c>
      <c r="B8" s="32" t="s">
        <v>144</v>
      </c>
      <c r="C8" s="32" t="s">
        <v>146</v>
      </c>
      <c r="D8" s="35">
        <v>35.0</v>
      </c>
      <c r="E8" s="35" t="s">
        <v>68</v>
      </c>
      <c r="F8" s="35">
        <v>36.0</v>
      </c>
      <c r="G8" s="35">
        <v>38.0</v>
      </c>
      <c r="H8" s="35">
        <v>40.0</v>
      </c>
      <c r="I8" s="35">
        <v>30.0</v>
      </c>
      <c r="J8" s="35" t="s">
        <v>68</v>
      </c>
      <c r="K8" s="35">
        <v>39.0</v>
      </c>
      <c r="L8" s="35">
        <v>39.0</v>
      </c>
      <c r="M8" s="35">
        <v>37.0</v>
      </c>
      <c r="N8" s="35" t="s">
        <v>68</v>
      </c>
      <c r="O8" s="35" t="s">
        <v>68</v>
      </c>
      <c r="P8" s="35" t="s">
        <v>68</v>
      </c>
      <c r="Q8" s="35" t="s">
        <v>68</v>
      </c>
      <c r="R8" s="35" t="s">
        <v>68</v>
      </c>
      <c r="S8" s="35" t="s">
        <v>68</v>
      </c>
      <c r="T8" s="39">
        <f t="shared" si="1"/>
        <v>8</v>
      </c>
      <c r="U8" s="15"/>
      <c r="V8" s="40" t="str">
        <f>IFERROR(__xludf.DUMMYFUNCTION("TEXTJOIN("", "",TRUE,FILTER(D$1:S$1, D8:S8=""Absent""))"),"2, 7, 11, 12, 13, 14, 15, 16")</f>
        <v>2, 7, 11, 12, 13, 14, 15, 16</v>
      </c>
      <c r="W8" s="40">
        <f t="shared" si="2"/>
        <v>8</v>
      </c>
    </row>
    <row r="9">
      <c r="A9" s="31">
        <v>7.0</v>
      </c>
      <c r="B9" s="32" t="s">
        <v>144</v>
      </c>
      <c r="C9" s="32" t="s">
        <v>163</v>
      </c>
      <c r="D9" s="35">
        <v>35.0</v>
      </c>
      <c r="E9" s="35">
        <v>37.0</v>
      </c>
      <c r="F9" s="35">
        <v>39.0</v>
      </c>
      <c r="G9" s="35">
        <v>40.0</v>
      </c>
      <c r="H9" s="35">
        <v>39.0</v>
      </c>
      <c r="I9" s="35">
        <v>40.0</v>
      </c>
      <c r="J9" s="35">
        <v>39.0</v>
      </c>
      <c r="K9" s="35">
        <v>40.0</v>
      </c>
      <c r="L9" s="35">
        <v>39.0</v>
      </c>
      <c r="M9" s="35">
        <v>39.0</v>
      </c>
      <c r="N9" s="35">
        <v>40.0</v>
      </c>
      <c r="O9" s="35">
        <v>39.0</v>
      </c>
      <c r="P9" s="35">
        <v>40.0</v>
      </c>
      <c r="Q9" s="35">
        <v>36.0</v>
      </c>
      <c r="R9" s="35">
        <v>27.0</v>
      </c>
      <c r="S9" s="35">
        <v>48.0</v>
      </c>
      <c r="T9" s="39">
        <f t="shared" si="1"/>
        <v>0</v>
      </c>
      <c r="U9" s="15"/>
      <c r="V9" s="40" t="str">
        <f>IFERROR(__xludf.DUMMYFUNCTION("TEXTJOIN("", "",TRUE,FILTER(D$1:S$1, D9:S9=""Absent""))"),"#N/A")</f>
        <v>#N/A</v>
      </c>
      <c r="W9" s="40">
        <f t="shared" si="2"/>
        <v>0</v>
      </c>
    </row>
    <row r="10">
      <c r="A10" s="31">
        <v>8.0</v>
      </c>
      <c r="B10" s="32" t="s">
        <v>175</v>
      </c>
      <c r="C10" s="32" t="s">
        <v>176</v>
      </c>
      <c r="D10" s="35">
        <v>42.0</v>
      </c>
      <c r="E10" s="35">
        <v>35.0</v>
      </c>
      <c r="F10" s="35">
        <v>35.0</v>
      </c>
      <c r="G10" s="35">
        <v>35.0</v>
      </c>
      <c r="H10" s="35">
        <v>37.0</v>
      </c>
      <c r="I10" s="35">
        <v>36.0</v>
      </c>
      <c r="J10" s="35">
        <v>37.0</v>
      </c>
      <c r="K10" s="35">
        <v>34.0</v>
      </c>
      <c r="L10" s="35">
        <v>34.0</v>
      </c>
      <c r="M10" s="35">
        <v>36.0</v>
      </c>
      <c r="N10" s="35" t="s">
        <v>68</v>
      </c>
      <c r="O10" s="35" t="s">
        <v>68</v>
      </c>
      <c r="P10" s="35" t="s">
        <v>68</v>
      </c>
      <c r="Q10" s="35">
        <v>27.0</v>
      </c>
      <c r="R10" s="35">
        <v>16.0</v>
      </c>
      <c r="S10" s="35">
        <v>42.0</v>
      </c>
      <c r="T10" s="39">
        <f t="shared" si="1"/>
        <v>3</v>
      </c>
      <c r="U10" s="15"/>
      <c r="V10" s="40" t="str">
        <f>IFERROR(__xludf.DUMMYFUNCTION("TEXTJOIN("", "",TRUE,FILTER(D$1:S$1, D10:S10=""Absent""))"),"11, 12, 13")</f>
        <v>11, 12, 13</v>
      </c>
      <c r="W10" s="40">
        <f t="shared" si="2"/>
        <v>3</v>
      </c>
    </row>
    <row r="11">
      <c r="A11" s="31">
        <v>9.0</v>
      </c>
      <c r="B11" s="45" t="s">
        <v>190</v>
      </c>
      <c r="C11" s="45" t="s">
        <v>192</v>
      </c>
      <c r="D11" s="35">
        <v>28.0</v>
      </c>
      <c r="E11" s="35">
        <v>28.0</v>
      </c>
      <c r="F11" s="35">
        <v>30.0</v>
      </c>
      <c r="G11" s="35">
        <v>26.0</v>
      </c>
      <c r="H11" s="35">
        <v>29.0</v>
      </c>
      <c r="I11" s="35">
        <v>29.0</v>
      </c>
      <c r="J11" s="35">
        <v>19.0</v>
      </c>
      <c r="K11" s="35">
        <v>28.0</v>
      </c>
      <c r="L11" s="35" t="s">
        <v>68</v>
      </c>
      <c r="M11" s="35">
        <v>33.0</v>
      </c>
      <c r="N11" s="35">
        <v>29.0</v>
      </c>
      <c r="O11" s="35" t="s">
        <v>68</v>
      </c>
      <c r="P11" s="35" t="s">
        <v>68</v>
      </c>
      <c r="Q11" s="35" t="s">
        <v>68</v>
      </c>
      <c r="R11" s="35" t="s">
        <v>68</v>
      </c>
      <c r="S11" s="35" t="s">
        <v>68</v>
      </c>
      <c r="T11" s="39">
        <f t="shared" si="1"/>
        <v>6</v>
      </c>
      <c r="U11" s="15"/>
      <c r="V11" s="40" t="str">
        <f>IFERROR(__xludf.DUMMYFUNCTION("TEXTJOIN("", "",TRUE,FILTER(D$1:S$1, D11:S11=""Absent""))"),"9, 12, 13, 14, 15, 16")</f>
        <v>9, 12, 13, 14, 15, 16</v>
      </c>
      <c r="W11" s="40">
        <f t="shared" si="2"/>
        <v>6</v>
      </c>
    </row>
    <row r="12">
      <c r="A12" s="31">
        <v>10.0</v>
      </c>
      <c r="B12" s="32" t="s">
        <v>205</v>
      </c>
      <c r="C12" s="32" t="s">
        <v>206</v>
      </c>
      <c r="D12" s="35">
        <v>49.0</v>
      </c>
      <c r="E12" s="35">
        <v>35.0</v>
      </c>
      <c r="F12" s="35">
        <v>37.0</v>
      </c>
      <c r="G12" s="35">
        <v>38.0</v>
      </c>
      <c r="H12" s="35">
        <v>39.0</v>
      </c>
      <c r="I12" s="35">
        <v>39.0</v>
      </c>
      <c r="J12" s="35">
        <v>38.0</v>
      </c>
      <c r="K12" s="35">
        <v>34.0</v>
      </c>
      <c r="L12" s="35">
        <v>38.0</v>
      </c>
      <c r="M12" s="35">
        <v>35.0</v>
      </c>
      <c r="N12" s="35">
        <v>36.0</v>
      </c>
      <c r="O12" s="35">
        <v>37.0</v>
      </c>
      <c r="P12" s="35" t="s">
        <v>68</v>
      </c>
      <c r="Q12" s="35">
        <v>22.0</v>
      </c>
      <c r="R12" s="35">
        <v>21.0</v>
      </c>
      <c r="S12" s="35">
        <v>38.0</v>
      </c>
      <c r="T12" s="39">
        <f t="shared" si="1"/>
        <v>1</v>
      </c>
      <c r="U12" s="15"/>
      <c r="V12" s="40" t="str">
        <f>IFERROR(__xludf.DUMMYFUNCTION("TEXTJOIN("", "",TRUE,FILTER(D$1:S$1, D12:S12=""Absent""))"),"13")</f>
        <v>13</v>
      </c>
      <c r="W12" s="40">
        <f t="shared" si="2"/>
        <v>1</v>
      </c>
    </row>
    <row r="13">
      <c r="A13" s="31">
        <v>11.0</v>
      </c>
      <c r="B13" s="45" t="s">
        <v>220</v>
      </c>
      <c r="C13" s="45" t="s">
        <v>222</v>
      </c>
      <c r="D13" s="35">
        <v>13.0</v>
      </c>
      <c r="E13" s="35">
        <v>26.0</v>
      </c>
      <c r="F13" s="35">
        <v>31.0</v>
      </c>
      <c r="G13" s="35">
        <v>28.0</v>
      </c>
      <c r="H13" s="35">
        <v>36.0</v>
      </c>
      <c r="I13" s="35">
        <v>39.0</v>
      </c>
      <c r="J13" s="35">
        <v>35.0</v>
      </c>
      <c r="K13" s="35">
        <v>37.0</v>
      </c>
      <c r="L13" s="35">
        <v>34.0</v>
      </c>
      <c r="M13" s="35" t="s">
        <v>68</v>
      </c>
      <c r="N13" s="35">
        <v>38.0</v>
      </c>
      <c r="O13" s="35" t="s">
        <v>68</v>
      </c>
      <c r="P13" s="35" t="s">
        <v>68</v>
      </c>
      <c r="Q13" s="35" t="s">
        <v>68</v>
      </c>
      <c r="R13" s="35" t="s">
        <v>68</v>
      </c>
      <c r="S13" s="35" t="s">
        <v>68</v>
      </c>
      <c r="T13" s="39">
        <f t="shared" si="1"/>
        <v>6</v>
      </c>
      <c r="U13" s="15"/>
      <c r="V13" s="40" t="str">
        <f>IFERROR(__xludf.DUMMYFUNCTION("TEXTJOIN("", "",TRUE,FILTER(D$1:S$1, D13:S13=""Absent""))"),"10, 12, 13, 14, 15, 16")</f>
        <v>10, 12, 13, 14, 15, 16</v>
      </c>
      <c r="W13" s="40">
        <f t="shared" si="2"/>
        <v>6</v>
      </c>
    </row>
    <row r="14">
      <c r="A14" s="31">
        <v>12.0</v>
      </c>
      <c r="B14" s="45" t="s">
        <v>231</v>
      </c>
      <c r="C14" s="45" t="s">
        <v>233</v>
      </c>
      <c r="D14" s="35" t="s">
        <v>68</v>
      </c>
      <c r="E14" s="35">
        <v>30.0</v>
      </c>
      <c r="F14" s="35">
        <v>33.0</v>
      </c>
      <c r="G14" s="35">
        <v>33.0</v>
      </c>
      <c r="H14" s="35">
        <v>31.0</v>
      </c>
      <c r="I14" s="35">
        <v>32.0</v>
      </c>
      <c r="J14" s="35">
        <v>33.0</v>
      </c>
      <c r="K14" s="35">
        <v>32.0</v>
      </c>
      <c r="L14" s="35">
        <v>30.0</v>
      </c>
      <c r="M14" s="35">
        <v>29.0</v>
      </c>
      <c r="N14" s="35">
        <v>35.0</v>
      </c>
      <c r="O14" s="35">
        <v>32.0</v>
      </c>
      <c r="P14" s="35">
        <v>33.0</v>
      </c>
      <c r="Q14" s="35" t="s">
        <v>68</v>
      </c>
      <c r="R14" s="35" t="s">
        <v>68</v>
      </c>
      <c r="S14" s="35" t="s">
        <v>68</v>
      </c>
      <c r="T14" s="39">
        <f t="shared" si="1"/>
        <v>4</v>
      </c>
      <c r="U14" s="15"/>
      <c r="V14" s="40" t="str">
        <f>IFERROR(__xludf.DUMMYFUNCTION("TEXTJOIN("", "",TRUE,FILTER(D$1:S$1, D14:S14=""Absent""))"),"1, 14, 15, 16")</f>
        <v>1, 14, 15, 16</v>
      </c>
      <c r="W14" s="40">
        <f t="shared" si="2"/>
        <v>4</v>
      </c>
    </row>
    <row r="15">
      <c r="A15" s="31">
        <v>13.0</v>
      </c>
      <c r="B15" s="32" t="s">
        <v>247</v>
      </c>
      <c r="C15" s="32" t="s">
        <v>249</v>
      </c>
      <c r="D15" s="35">
        <v>34.0</v>
      </c>
      <c r="E15" s="35">
        <v>32.0</v>
      </c>
      <c r="F15" s="35">
        <v>31.0</v>
      </c>
      <c r="G15" s="35">
        <v>27.0</v>
      </c>
      <c r="H15" s="35">
        <v>26.0</v>
      </c>
      <c r="I15" s="35">
        <v>29.0</v>
      </c>
      <c r="J15" s="35">
        <v>28.0</v>
      </c>
      <c r="K15" s="35" t="s">
        <v>68</v>
      </c>
      <c r="L15" s="35" t="s">
        <v>68</v>
      </c>
      <c r="M15" s="35" t="s">
        <v>68</v>
      </c>
      <c r="N15" s="35" t="s">
        <v>68</v>
      </c>
      <c r="O15" s="35" t="s">
        <v>68</v>
      </c>
      <c r="P15" s="35" t="s">
        <v>68</v>
      </c>
      <c r="Q15" s="35" t="s">
        <v>68</v>
      </c>
      <c r="R15" s="35" t="s">
        <v>68</v>
      </c>
      <c r="S15" s="35" t="s">
        <v>68</v>
      </c>
      <c r="T15" s="39">
        <f t="shared" si="1"/>
        <v>9</v>
      </c>
      <c r="U15" s="15"/>
      <c r="V15" s="40" t="str">
        <f>IFERROR(__xludf.DUMMYFUNCTION("TEXTJOIN("", "",TRUE,FILTER(D$1:S$1, D15:S15=""Absent""))"),"8, 9, 10, 11, 12, 13, 14, 15, 16")</f>
        <v>8, 9, 10, 11, 12, 13, 14, 15, 16</v>
      </c>
      <c r="W15" s="40">
        <f t="shared" si="2"/>
        <v>9</v>
      </c>
    </row>
    <row r="16">
      <c r="A16" s="31">
        <v>14.0</v>
      </c>
      <c r="B16" s="32" t="s">
        <v>262</v>
      </c>
      <c r="C16" s="32" t="s">
        <v>263</v>
      </c>
      <c r="D16" s="35">
        <v>49.0</v>
      </c>
      <c r="E16" s="35">
        <v>33.0</v>
      </c>
      <c r="F16" s="35">
        <v>33.0</v>
      </c>
      <c r="G16" s="35">
        <v>32.0</v>
      </c>
      <c r="H16" s="35">
        <v>35.0</v>
      </c>
      <c r="I16" s="35" t="s">
        <v>68</v>
      </c>
      <c r="J16" s="35">
        <v>27.0</v>
      </c>
      <c r="K16" s="35">
        <v>33.0</v>
      </c>
      <c r="L16" s="35">
        <v>30.0</v>
      </c>
      <c r="M16" s="35" t="s">
        <v>68</v>
      </c>
      <c r="N16" s="35" t="s">
        <v>68</v>
      </c>
      <c r="O16" s="35">
        <v>33.0</v>
      </c>
      <c r="P16" s="35" t="s">
        <v>68</v>
      </c>
      <c r="Q16" s="35" t="s">
        <v>68</v>
      </c>
      <c r="R16" s="35" t="s">
        <v>68</v>
      </c>
      <c r="S16" s="35" t="s">
        <v>68</v>
      </c>
      <c r="T16" s="39">
        <f t="shared" si="1"/>
        <v>7</v>
      </c>
      <c r="U16" s="15"/>
      <c r="V16" s="40" t="str">
        <f>IFERROR(__xludf.DUMMYFUNCTION("TEXTJOIN("", "",TRUE,FILTER(D$1:S$1, D16:S16=""Absent""))"),"6, 10, 11, 13, 14, 15, 16")</f>
        <v>6, 10, 11, 13, 14, 15, 16</v>
      </c>
      <c r="W16" s="40">
        <f t="shared" si="2"/>
        <v>7</v>
      </c>
    </row>
    <row r="17">
      <c r="A17" s="31">
        <v>15.0</v>
      </c>
      <c r="B17" s="32" t="s">
        <v>273</v>
      </c>
      <c r="C17" s="32" t="s">
        <v>275</v>
      </c>
      <c r="D17" s="35">
        <v>41.0</v>
      </c>
      <c r="E17" s="35">
        <v>35.0</v>
      </c>
      <c r="F17" s="35">
        <v>33.0</v>
      </c>
      <c r="G17" s="35">
        <v>34.0</v>
      </c>
      <c r="H17" s="35">
        <v>34.0</v>
      </c>
      <c r="I17" s="35">
        <v>37.0</v>
      </c>
      <c r="J17" s="35">
        <v>32.0</v>
      </c>
      <c r="K17" s="35">
        <v>31.0</v>
      </c>
      <c r="L17" s="35" t="s">
        <v>68</v>
      </c>
      <c r="M17" s="35">
        <v>32.0</v>
      </c>
      <c r="N17" s="35">
        <v>33.0</v>
      </c>
      <c r="O17" s="35" t="s">
        <v>68</v>
      </c>
      <c r="P17" s="35" t="s">
        <v>68</v>
      </c>
      <c r="Q17" s="35" t="s">
        <v>68</v>
      </c>
      <c r="R17" s="35" t="s">
        <v>68</v>
      </c>
      <c r="S17" s="35" t="s">
        <v>68</v>
      </c>
      <c r="T17" s="39">
        <f t="shared" si="1"/>
        <v>6</v>
      </c>
      <c r="U17" s="15"/>
      <c r="V17" s="40" t="str">
        <f>IFERROR(__xludf.DUMMYFUNCTION("TEXTJOIN("", "",TRUE,FILTER(D$1:S$1, D17:S17=""Absent""))"),"9, 12, 13, 14, 15, 16")</f>
        <v>9, 12, 13, 14, 15, 16</v>
      </c>
      <c r="W17" s="40">
        <f t="shared" si="2"/>
        <v>6</v>
      </c>
      <c r="X17" s="40"/>
      <c r="Y17" s="40"/>
    </row>
    <row r="18">
      <c r="A18" s="31">
        <v>16.0</v>
      </c>
      <c r="B18" s="45" t="s">
        <v>287</v>
      </c>
      <c r="C18" s="45" t="s">
        <v>288</v>
      </c>
      <c r="D18" s="35">
        <v>20.0</v>
      </c>
      <c r="E18" s="35">
        <v>34.0</v>
      </c>
      <c r="F18" s="35">
        <v>33.0</v>
      </c>
      <c r="G18" s="35">
        <v>36.0</v>
      </c>
      <c r="H18" s="35">
        <v>36.0</v>
      </c>
      <c r="I18" s="35">
        <v>37.0</v>
      </c>
      <c r="J18" s="35">
        <v>36.0</v>
      </c>
      <c r="K18" s="35">
        <v>37.0</v>
      </c>
      <c r="L18" s="35">
        <v>37.0</v>
      </c>
      <c r="M18" s="35" t="s">
        <v>68</v>
      </c>
      <c r="N18" s="35">
        <v>40.0</v>
      </c>
      <c r="O18" s="35" t="s">
        <v>68</v>
      </c>
      <c r="P18" s="35" t="s">
        <v>68</v>
      </c>
      <c r="Q18" s="35">
        <v>35.0</v>
      </c>
      <c r="R18" s="35">
        <v>22.0</v>
      </c>
      <c r="S18" s="35" t="s">
        <v>68</v>
      </c>
      <c r="T18" s="39">
        <f t="shared" si="1"/>
        <v>4</v>
      </c>
      <c r="U18" s="15"/>
      <c r="V18" s="40" t="str">
        <f>IFERROR(__xludf.DUMMYFUNCTION("TEXTJOIN("", "",TRUE,FILTER(D$1:S$1, D18:S18=""Absent""))"),"10, 12, 13, 16")</f>
        <v>10, 12, 13, 16</v>
      </c>
      <c r="W18" s="40">
        <f t="shared" si="2"/>
        <v>4</v>
      </c>
    </row>
    <row r="19">
      <c r="A19" s="31">
        <v>17.0</v>
      </c>
      <c r="B19" s="32" t="s">
        <v>300</v>
      </c>
      <c r="C19" s="32" t="s">
        <v>301</v>
      </c>
      <c r="D19" s="35">
        <v>38.0</v>
      </c>
      <c r="E19" s="35">
        <v>35.0</v>
      </c>
      <c r="F19" s="35">
        <v>35.0</v>
      </c>
      <c r="G19" s="35">
        <v>34.0</v>
      </c>
      <c r="H19" s="35">
        <v>37.0</v>
      </c>
      <c r="I19" s="35">
        <v>36.0</v>
      </c>
      <c r="J19" s="35">
        <v>37.0</v>
      </c>
      <c r="K19" s="35">
        <v>35.0</v>
      </c>
      <c r="L19" s="35">
        <v>34.0</v>
      </c>
      <c r="M19" s="35">
        <v>36.0</v>
      </c>
      <c r="N19" s="35" t="s">
        <v>68</v>
      </c>
      <c r="O19" s="35" t="s">
        <v>68</v>
      </c>
      <c r="P19" s="35" t="s">
        <v>68</v>
      </c>
      <c r="Q19" s="35">
        <v>25.0</v>
      </c>
      <c r="R19" s="35">
        <v>15.0</v>
      </c>
      <c r="S19" s="35">
        <v>44.0</v>
      </c>
      <c r="T19" s="39">
        <f t="shared" si="1"/>
        <v>3</v>
      </c>
      <c r="U19" s="15"/>
      <c r="V19" s="40" t="str">
        <f>IFERROR(__xludf.DUMMYFUNCTION("TEXTJOIN("", "",TRUE,FILTER(D$1:S$1, D19:S19=""Absent""))"),"11, 12, 13")</f>
        <v>11, 12, 13</v>
      </c>
      <c r="W19" s="40">
        <f t="shared" si="2"/>
        <v>3</v>
      </c>
    </row>
    <row r="20">
      <c r="A20" s="31">
        <v>18.0</v>
      </c>
      <c r="B20" s="32" t="s">
        <v>314</v>
      </c>
      <c r="C20" s="32" t="s">
        <v>315</v>
      </c>
      <c r="D20" s="35">
        <v>39.0</v>
      </c>
      <c r="E20" s="35">
        <v>35.0</v>
      </c>
      <c r="F20" s="35">
        <v>36.0</v>
      </c>
      <c r="G20" s="35">
        <v>32.0</v>
      </c>
      <c r="H20" s="35">
        <v>38.0</v>
      </c>
      <c r="I20" s="35">
        <v>33.0</v>
      </c>
      <c r="J20" s="35">
        <v>27.0</v>
      </c>
      <c r="K20" s="35">
        <v>27.0</v>
      </c>
      <c r="L20" s="35">
        <v>25.0</v>
      </c>
      <c r="M20" s="35">
        <v>25.0</v>
      </c>
      <c r="N20" s="35">
        <v>33.0</v>
      </c>
      <c r="O20" s="35" t="s">
        <v>68</v>
      </c>
      <c r="P20" s="35" t="s">
        <v>68</v>
      </c>
      <c r="Q20" s="35" t="s">
        <v>68</v>
      </c>
      <c r="R20" s="35" t="s">
        <v>68</v>
      </c>
      <c r="S20" s="35" t="s">
        <v>68</v>
      </c>
      <c r="T20" s="39">
        <f t="shared" si="1"/>
        <v>5</v>
      </c>
      <c r="U20" s="15"/>
      <c r="V20" s="40" t="str">
        <f>IFERROR(__xludf.DUMMYFUNCTION("TEXTJOIN("", "",TRUE,FILTER(D$1:S$1, D20:S20=""Absent""))"),"12, 13, 14, 15, 16")</f>
        <v>12, 13, 14, 15, 16</v>
      </c>
      <c r="W20" s="40">
        <f t="shared" si="2"/>
        <v>5</v>
      </c>
      <c r="X20" s="40"/>
    </row>
    <row r="21">
      <c r="A21" s="31">
        <v>19.0</v>
      </c>
      <c r="B21" s="32" t="s">
        <v>328</v>
      </c>
      <c r="C21" s="32" t="s">
        <v>330</v>
      </c>
      <c r="D21" s="35" t="s">
        <v>68</v>
      </c>
      <c r="E21" s="35" t="s">
        <v>68</v>
      </c>
      <c r="F21" s="35">
        <v>32.0</v>
      </c>
      <c r="G21" s="35">
        <v>37.0</v>
      </c>
      <c r="H21" s="35">
        <v>38.0</v>
      </c>
      <c r="I21" s="35">
        <v>40.0</v>
      </c>
      <c r="J21" s="35">
        <v>34.0</v>
      </c>
      <c r="K21" s="35">
        <v>31.0</v>
      </c>
      <c r="L21" s="35">
        <v>32.0</v>
      </c>
      <c r="M21" s="35">
        <v>32.0</v>
      </c>
      <c r="N21" s="35">
        <v>37.0</v>
      </c>
      <c r="O21" s="35">
        <v>36.0</v>
      </c>
      <c r="P21" s="35">
        <v>34.0</v>
      </c>
      <c r="Q21" s="35">
        <v>25.0</v>
      </c>
      <c r="R21" s="35">
        <v>21.0</v>
      </c>
      <c r="S21" s="35">
        <v>52.0</v>
      </c>
      <c r="T21" s="39">
        <f t="shared" si="1"/>
        <v>2</v>
      </c>
      <c r="U21" s="15"/>
      <c r="V21" s="40" t="str">
        <f>IFERROR(__xludf.DUMMYFUNCTION("TEXTJOIN("", "",TRUE,FILTER(D$1:S$1, D21:S21=""Absent""))"),"1, 2")</f>
        <v>1, 2</v>
      </c>
      <c r="W21" s="40">
        <f t="shared" si="2"/>
        <v>2</v>
      </c>
    </row>
    <row r="22">
      <c r="A22" s="31">
        <v>20.0</v>
      </c>
      <c r="B22" s="32" t="s">
        <v>342</v>
      </c>
      <c r="C22" s="32" t="s">
        <v>345</v>
      </c>
      <c r="D22" s="35" t="s">
        <v>68</v>
      </c>
      <c r="E22" s="35">
        <v>34.0</v>
      </c>
      <c r="F22" s="35">
        <v>38.0</v>
      </c>
      <c r="G22" s="35">
        <v>36.0</v>
      </c>
      <c r="H22" s="35">
        <v>37.0</v>
      </c>
      <c r="I22" s="35">
        <v>38.0</v>
      </c>
      <c r="J22" s="35">
        <v>37.0</v>
      </c>
      <c r="K22" s="35">
        <v>40.0</v>
      </c>
      <c r="L22" s="35">
        <v>40.0</v>
      </c>
      <c r="M22" s="35">
        <v>40.0</v>
      </c>
      <c r="N22" s="35">
        <v>40.0</v>
      </c>
      <c r="O22" s="35">
        <v>39.0</v>
      </c>
      <c r="P22" s="35">
        <v>40.0</v>
      </c>
      <c r="Q22" s="35">
        <v>34.0</v>
      </c>
      <c r="R22" s="35">
        <v>27.0</v>
      </c>
      <c r="S22" s="35">
        <v>55.0</v>
      </c>
      <c r="T22" s="39">
        <f t="shared" si="1"/>
        <v>1</v>
      </c>
      <c r="U22" s="15"/>
      <c r="V22" s="40" t="str">
        <f>IFERROR(__xludf.DUMMYFUNCTION("TEXTJOIN("", "",TRUE,FILTER(D$1:S$1, D22:S22=""Absent""))"),"1")</f>
        <v>1</v>
      </c>
      <c r="W22" s="40">
        <f t="shared" si="2"/>
        <v>1</v>
      </c>
    </row>
    <row r="23">
      <c r="A23" s="31">
        <v>21.0</v>
      </c>
      <c r="B23" s="32" t="s">
        <v>359</v>
      </c>
      <c r="C23" s="32" t="s">
        <v>361</v>
      </c>
      <c r="D23" s="35">
        <v>33.0</v>
      </c>
      <c r="E23" s="35">
        <v>32.0</v>
      </c>
      <c r="F23" s="35">
        <v>39.0</v>
      </c>
      <c r="G23" s="35">
        <v>40.0</v>
      </c>
      <c r="H23" s="35">
        <v>38.0</v>
      </c>
      <c r="I23" s="35">
        <v>38.0</v>
      </c>
      <c r="J23" s="35">
        <v>36.0</v>
      </c>
      <c r="K23" s="35">
        <v>36.0</v>
      </c>
      <c r="L23" s="35" t="s">
        <v>68</v>
      </c>
      <c r="M23" s="35">
        <v>33.0</v>
      </c>
      <c r="N23" s="35">
        <v>34.0</v>
      </c>
      <c r="O23" s="35">
        <v>31.0</v>
      </c>
      <c r="P23" s="35" t="s">
        <v>68</v>
      </c>
      <c r="Q23" s="35">
        <v>29.0</v>
      </c>
      <c r="R23" s="35" t="s">
        <v>68</v>
      </c>
      <c r="S23" s="35" t="s">
        <v>68</v>
      </c>
      <c r="T23" s="39">
        <f t="shared" si="1"/>
        <v>4</v>
      </c>
      <c r="U23" s="15"/>
      <c r="V23" s="40" t="str">
        <f>IFERROR(__xludf.DUMMYFUNCTION("TEXTJOIN("", "",TRUE,FILTER(D$1:S$1, D23:S23=""Absent""))"),"9, 13, 15, 16")</f>
        <v>9, 13, 15, 16</v>
      </c>
      <c r="W23" s="40">
        <f t="shared" si="2"/>
        <v>4</v>
      </c>
    </row>
    <row r="24">
      <c r="A24" s="31">
        <v>22.0</v>
      </c>
      <c r="B24" s="32" t="s">
        <v>372</v>
      </c>
      <c r="C24" s="79" t="s">
        <v>373</v>
      </c>
      <c r="D24" s="35">
        <v>33.0</v>
      </c>
      <c r="E24" s="35">
        <v>33.0</v>
      </c>
      <c r="F24" s="35">
        <v>36.0</v>
      </c>
      <c r="G24" s="35">
        <v>31.0</v>
      </c>
      <c r="H24" s="35" t="s">
        <v>68</v>
      </c>
      <c r="I24" s="35">
        <v>32.0</v>
      </c>
      <c r="J24" s="35">
        <v>33.0</v>
      </c>
      <c r="K24" s="35">
        <v>32.0</v>
      </c>
      <c r="L24" s="35">
        <v>36.0</v>
      </c>
      <c r="M24" s="35">
        <v>34.0</v>
      </c>
      <c r="N24" s="35">
        <v>36.0</v>
      </c>
      <c r="O24" s="35" t="s">
        <v>68</v>
      </c>
      <c r="P24" s="35">
        <v>38.0</v>
      </c>
      <c r="Q24" s="35">
        <v>28.0</v>
      </c>
      <c r="R24" s="35" t="s">
        <v>68</v>
      </c>
      <c r="S24" s="35" t="s">
        <v>68</v>
      </c>
      <c r="T24" s="39">
        <f t="shared" si="1"/>
        <v>4</v>
      </c>
      <c r="U24" s="15"/>
      <c r="V24" s="40" t="str">
        <f>IFERROR(__xludf.DUMMYFUNCTION("TEXTJOIN("", "",TRUE,FILTER(D$1:S$1, D24:S24=""Absent""))"),"5, 12, 15, 16")</f>
        <v>5, 12, 15, 16</v>
      </c>
      <c r="W24" s="40">
        <f t="shared" si="2"/>
        <v>4</v>
      </c>
    </row>
    <row r="25">
      <c r="A25" s="31">
        <v>23.0</v>
      </c>
      <c r="B25" s="32" t="s">
        <v>390</v>
      </c>
      <c r="C25" s="32" t="s">
        <v>391</v>
      </c>
      <c r="D25" s="35">
        <v>45.0</v>
      </c>
      <c r="E25" s="35">
        <v>34.0</v>
      </c>
      <c r="F25" s="35">
        <v>36.0</v>
      </c>
      <c r="G25" s="35">
        <v>37.0</v>
      </c>
      <c r="H25" s="35">
        <v>40.0</v>
      </c>
      <c r="I25" s="35">
        <v>38.0</v>
      </c>
      <c r="J25" s="35">
        <v>40.0</v>
      </c>
      <c r="K25" s="35">
        <v>39.0</v>
      </c>
      <c r="L25" s="35">
        <v>38.0</v>
      </c>
      <c r="M25" s="35">
        <v>39.0</v>
      </c>
      <c r="N25" s="35">
        <v>40.0</v>
      </c>
      <c r="O25" s="35">
        <v>39.0</v>
      </c>
      <c r="P25" s="35" t="s">
        <v>68</v>
      </c>
      <c r="Q25" s="35">
        <v>23.0</v>
      </c>
      <c r="R25" s="35" t="s">
        <v>68</v>
      </c>
      <c r="S25" s="35" t="s">
        <v>68</v>
      </c>
      <c r="T25" s="39">
        <f t="shared" si="1"/>
        <v>3</v>
      </c>
      <c r="U25" s="15"/>
      <c r="V25" s="40" t="str">
        <f>IFERROR(__xludf.DUMMYFUNCTION("TEXTJOIN("", "",TRUE,FILTER(D$1:S$1, D25:S25=""Absent""))"),"13, 15, 16")</f>
        <v>13, 15, 16</v>
      </c>
      <c r="W25" s="40">
        <f t="shared" si="2"/>
        <v>3</v>
      </c>
    </row>
    <row r="26">
      <c r="A26" s="31">
        <v>24.0</v>
      </c>
      <c r="B26" s="32" t="s">
        <v>405</v>
      </c>
      <c r="C26" s="32" t="s">
        <v>407</v>
      </c>
      <c r="D26" s="35">
        <v>49.0</v>
      </c>
      <c r="E26" s="35">
        <v>37.0</v>
      </c>
      <c r="F26" s="35">
        <v>36.0</v>
      </c>
      <c r="G26" s="35">
        <v>34.0</v>
      </c>
      <c r="H26" s="35">
        <v>23.0</v>
      </c>
      <c r="I26" s="35">
        <v>32.0</v>
      </c>
      <c r="J26" s="35" t="s">
        <v>68</v>
      </c>
      <c r="K26" s="35">
        <v>25.0</v>
      </c>
      <c r="L26" s="35">
        <v>26.0</v>
      </c>
      <c r="M26" s="35" t="s">
        <v>68</v>
      </c>
      <c r="N26" s="35" t="s">
        <v>68</v>
      </c>
      <c r="O26" s="35" t="s">
        <v>68</v>
      </c>
      <c r="P26" s="35" t="s">
        <v>68</v>
      </c>
      <c r="Q26" s="35" t="s">
        <v>68</v>
      </c>
      <c r="R26" s="35" t="s">
        <v>68</v>
      </c>
      <c r="S26" s="35" t="s">
        <v>68</v>
      </c>
      <c r="T26" s="39">
        <f t="shared" si="1"/>
        <v>8</v>
      </c>
      <c r="U26" s="15"/>
      <c r="V26" s="40" t="str">
        <f>IFERROR(__xludf.DUMMYFUNCTION("TEXTJOIN("", "",TRUE,FILTER(D$1:S$1, D26:S26=""Absent""))"),"7, 10, 11, 12, 13, 14, 15, 16")</f>
        <v>7, 10, 11, 12, 13, 14, 15, 16</v>
      </c>
      <c r="W26" s="40">
        <f t="shared" si="2"/>
        <v>8</v>
      </c>
    </row>
    <row r="27">
      <c r="A27" s="31">
        <v>25.0</v>
      </c>
      <c r="B27" s="32" t="s">
        <v>421</v>
      </c>
      <c r="C27" s="32" t="s">
        <v>422</v>
      </c>
      <c r="D27" s="35">
        <v>44.0</v>
      </c>
      <c r="E27" s="35">
        <v>39.0</v>
      </c>
      <c r="F27" s="35">
        <v>40.0</v>
      </c>
      <c r="G27" s="35">
        <v>40.0</v>
      </c>
      <c r="H27" s="35">
        <v>39.0</v>
      </c>
      <c r="I27" s="35">
        <v>40.0</v>
      </c>
      <c r="J27" s="35" t="s">
        <v>68</v>
      </c>
      <c r="K27" s="35">
        <v>40.0</v>
      </c>
      <c r="L27" s="35">
        <v>38.0</v>
      </c>
      <c r="M27" s="35">
        <v>39.0</v>
      </c>
      <c r="N27" s="35">
        <v>40.0</v>
      </c>
      <c r="O27" s="35">
        <v>40.0</v>
      </c>
      <c r="P27" s="35">
        <v>40.0</v>
      </c>
      <c r="Q27" s="35" t="s">
        <v>68</v>
      </c>
      <c r="R27" s="35" t="s">
        <v>68</v>
      </c>
      <c r="S27" s="35" t="s">
        <v>68</v>
      </c>
      <c r="T27" s="39">
        <f t="shared" si="1"/>
        <v>4</v>
      </c>
      <c r="U27" s="15"/>
      <c r="V27" s="40" t="str">
        <f>IFERROR(__xludf.DUMMYFUNCTION("TEXTJOIN("", "",TRUE,FILTER(D$1:S$1, D27:S27=""Absent""))"),"7, 14, 15, 16")</f>
        <v>7, 14, 15, 16</v>
      </c>
      <c r="W27" s="40">
        <f t="shared" si="2"/>
        <v>4</v>
      </c>
    </row>
    <row r="28">
      <c r="A28" s="31">
        <v>26.0</v>
      </c>
      <c r="B28" s="32" t="s">
        <v>437</v>
      </c>
      <c r="C28" s="32" t="s">
        <v>438</v>
      </c>
      <c r="D28" s="35">
        <v>30.0</v>
      </c>
      <c r="E28" s="35">
        <v>37.0</v>
      </c>
      <c r="F28" s="35">
        <v>36.0</v>
      </c>
      <c r="G28" s="35">
        <v>36.0</v>
      </c>
      <c r="H28" s="35">
        <v>39.0</v>
      </c>
      <c r="I28" s="35">
        <v>35.0</v>
      </c>
      <c r="J28" s="35">
        <v>36.0</v>
      </c>
      <c r="K28" s="35">
        <v>37.0</v>
      </c>
      <c r="L28" s="35">
        <v>34.0</v>
      </c>
      <c r="M28" s="35">
        <v>33.0</v>
      </c>
      <c r="N28" s="35">
        <v>37.0</v>
      </c>
      <c r="O28" s="35">
        <v>38.0</v>
      </c>
      <c r="P28" s="35" t="s">
        <v>68</v>
      </c>
      <c r="Q28" s="35" t="s">
        <v>68</v>
      </c>
      <c r="R28" s="35" t="s">
        <v>68</v>
      </c>
      <c r="S28" s="35">
        <v>52.0</v>
      </c>
      <c r="T28" s="39">
        <f t="shared" si="1"/>
        <v>3</v>
      </c>
      <c r="U28" s="15"/>
      <c r="V28" s="40" t="str">
        <f>IFERROR(__xludf.DUMMYFUNCTION("TEXTJOIN("", "",TRUE,FILTER(D$1:S$1, D28:S28=""Absent""))"),"13, 14, 15")</f>
        <v>13, 14, 15</v>
      </c>
      <c r="W28" s="40">
        <f t="shared" si="2"/>
        <v>3</v>
      </c>
    </row>
    <row r="29">
      <c r="A29" s="31">
        <v>27.0</v>
      </c>
      <c r="B29" s="32" t="s">
        <v>452</v>
      </c>
      <c r="C29" s="32" t="s">
        <v>454</v>
      </c>
      <c r="D29" s="35" t="s">
        <v>68</v>
      </c>
      <c r="E29" s="35" t="s">
        <v>68</v>
      </c>
      <c r="F29" s="35" t="s">
        <v>68</v>
      </c>
      <c r="G29" s="35" t="s">
        <v>68</v>
      </c>
      <c r="H29" s="35" t="s">
        <v>68</v>
      </c>
      <c r="I29" s="35" t="s">
        <v>68</v>
      </c>
      <c r="J29" s="35" t="s">
        <v>68</v>
      </c>
      <c r="K29" s="35" t="s">
        <v>68</v>
      </c>
      <c r="L29" s="35" t="s">
        <v>68</v>
      </c>
      <c r="M29" s="35" t="s">
        <v>68</v>
      </c>
      <c r="N29" s="35" t="s">
        <v>68</v>
      </c>
      <c r="O29" s="35" t="s">
        <v>68</v>
      </c>
      <c r="P29" s="35" t="s">
        <v>68</v>
      </c>
      <c r="Q29" s="35" t="s">
        <v>68</v>
      </c>
      <c r="R29" s="35" t="s">
        <v>68</v>
      </c>
      <c r="S29" s="35" t="s">
        <v>68</v>
      </c>
      <c r="T29" s="39">
        <f t="shared" si="1"/>
        <v>16</v>
      </c>
      <c r="U29" s="15"/>
      <c r="V29" s="40" t="str">
        <f>IFERROR(__xludf.DUMMYFUNCTION("TEXTJOIN("", "",TRUE,FILTER(D$1:S$1, D29:S29=""Absent""))"),"1, 2, 3, 4, 5, 6, 7, 8, 9, 10, 11, 12, 13, 14, 15, 16")</f>
        <v>1, 2, 3, 4, 5, 6, 7, 8, 9, 10, 11, 12, 13, 14, 15, 16</v>
      </c>
      <c r="W29" s="40">
        <f t="shared" si="2"/>
        <v>16</v>
      </c>
    </row>
    <row r="30">
      <c r="A30" s="31">
        <v>28.0</v>
      </c>
      <c r="B30" s="32" t="s">
        <v>464</v>
      </c>
      <c r="C30" s="32" t="s">
        <v>465</v>
      </c>
      <c r="D30" s="35" t="s">
        <v>68</v>
      </c>
      <c r="E30" s="35" t="s">
        <v>68</v>
      </c>
      <c r="F30" s="35">
        <v>31.0</v>
      </c>
      <c r="G30" s="35">
        <v>35.0</v>
      </c>
      <c r="H30" s="35">
        <v>34.0</v>
      </c>
      <c r="I30" s="35">
        <v>38.0</v>
      </c>
      <c r="J30" s="35">
        <v>35.0</v>
      </c>
      <c r="K30" s="35">
        <v>36.0</v>
      </c>
      <c r="L30" s="35">
        <v>36.0</v>
      </c>
      <c r="M30" s="35">
        <v>40.0</v>
      </c>
      <c r="N30" s="35">
        <v>34.0</v>
      </c>
      <c r="O30" s="35">
        <v>35.0</v>
      </c>
      <c r="P30" s="35" t="s">
        <v>68</v>
      </c>
      <c r="Q30" s="35" t="s">
        <v>68</v>
      </c>
      <c r="R30" s="35">
        <v>16.0</v>
      </c>
      <c r="S30" s="35">
        <v>42.0</v>
      </c>
      <c r="T30" s="39">
        <f t="shared" si="1"/>
        <v>4</v>
      </c>
      <c r="U30" s="15"/>
      <c r="V30" s="40" t="str">
        <f>IFERROR(__xludf.DUMMYFUNCTION("TEXTJOIN("", "",TRUE,FILTER(D$1:S$1, D30:S30=""Absent""))"),"1, 2, 13, 14")</f>
        <v>1, 2, 13, 14</v>
      </c>
      <c r="W30" s="40">
        <f t="shared" si="2"/>
        <v>4</v>
      </c>
    </row>
    <row r="31">
      <c r="A31" s="31">
        <v>29.0</v>
      </c>
      <c r="B31" s="32" t="s">
        <v>474</v>
      </c>
      <c r="C31" s="32" t="s">
        <v>475</v>
      </c>
      <c r="D31" s="35" t="s">
        <v>68</v>
      </c>
      <c r="E31" s="35" t="s">
        <v>68</v>
      </c>
      <c r="F31" s="35" t="s">
        <v>68</v>
      </c>
      <c r="G31" s="35" t="s">
        <v>68</v>
      </c>
      <c r="H31" s="35">
        <v>32.0</v>
      </c>
      <c r="I31" s="35" t="s">
        <v>68</v>
      </c>
      <c r="J31" s="35" t="s">
        <v>68</v>
      </c>
      <c r="K31" s="35">
        <v>34.0</v>
      </c>
      <c r="L31" s="35">
        <v>30.0</v>
      </c>
      <c r="M31" s="35">
        <v>36.0</v>
      </c>
      <c r="N31" s="35" t="s">
        <v>68</v>
      </c>
      <c r="O31" s="35">
        <v>37.0</v>
      </c>
      <c r="P31" s="35">
        <v>39.0</v>
      </c>
      <c r="Q31" s="35" t="s">
        <v>68</v>
      </c>
      <c r="R31" s="35" t="s">
        <v>68</v>
      </c>
      <c r="S31" s="35" t="s">
        <v>68</v>
      </c>
      <c r="T31" s="39">
        <f t="shared" si="1"/>
        <v>10</v>
      </c>
      <c r="U31" s="15"/>
      <c r="V31" s="40" t="str">
        <f>IFERROR(__xludf.DUMMYFUNCTION("TEXTJOIN("", "",TRUE,FILTER(D$1:S$1, D31:S31=""Absent""))"),"1, 2, 3, 4, 6, 7, 11, 14, 15, 16")</f>
        <v>1, 2, 3, 4, 6, 7, 11, 14, 15, 16</v>
      </c>
      <c r="W31" s="40">
        <f t="shared" si="2"/>
        <v>10</v>
      </c>
    </row>
    <row r="32">
      <c r="A32" s="31">
        <v>30.0</v>
      </c>
      <c r="B32" s="45" t="s">
        <v>484</v>
      </c>
      <c r="C32" s="45" t="s">
        <v>485</v>
      </c>
      <c r="D32" s="35" t="s">
        <v>68</v>
      </c>
      <c r="E32" s="35" t="s">
        <v>68</v>
      </c>
      <c r="F32" s="35">
        <v>34.0</v>
      </c>
      <c r="G32" s="35">
        <v>37.0</v>
      </c>
      <c r="H32" s="35">
        <v>38.0</v>
      </c>
      <c r="I32" s="35">
        <v>40.0</v>
      </c>
      <c r="J32" s="35">
        <v>37.0</v>
      </c>
      <c r="K32" s="35">
        <v>34.0</v>
      </c>
      <c r="L32" s="35">
        <v>40.0</v>
      </c>
      <c r="M32" s="35">
        <v>37.0</v>
      </c>
      <c r="N32" s="35" t="s">
        <v>68</v>
      </c>
      <c r="O32" s="35" t="s">
        <v>68</v>
      </c>
      <c r="P32" s="35" t="s">
        <v>68</v>
      </c>
      <c r="Q32" s="35" t="s">
        <v>68</v>
      </c>
      <c r="R32" s="35" t="s">
        <v>68</v>
      </c>
      <c r="S32" s="35" t="s">
        <v>68</v>
      </c>
      <c r="T32" s="39">
        <f t="shared" si="1"/>
        <v>8</v>
      </c>
      <c r="U32" s="15"/>
      <c r="V32" s="40" t="str">
        <f>IFERROR(__xludf.DUMMYFUNCTION("TEXTJOIN("", "",TRUE,FILTER(D$1:S$1, D32:S32=""Absent""))"),"1, 2, 11, 12, 13, 14, 15, 16")</f>
        <v>1, 2, 11, 12, 13, 14, 15, 16</v>
      </c>
      <c r="W32" s="40">
        <f t="shared" si="2"/>
        <v>8</v>
      </c>
    </row>
    <row r="33">
      <c r="A33" s="31">
        <v>31.0</v>
      </c>
      <c r="B33" s="32" t="s">
        <v>495</v>
      </c>
      <c r="C33" s="32" t="s">
        <v>496</v>
      </c>
      <c r="D33" s="35">
        <v>47.0</v>
      </c>
      <c r="E33" s="35">
        <v>39.0</v>
      </c>
      <c r="F33" s="35">
        <v>40.0</v>
      </c>
      <c r="G33" s="35">
        <v>37.0</v>
      </c>
      <c r="H33" s="35">
        <v>39.0</v>
      </c>
      <c r="I33" s="35">
        <v>38.0</v>
      </c>
      <c r="J33" s="35" t="s">
        <v>68</v>
      </c>
      <c r="K33" s="35" t="s">
        <v>68</v>
      </c>
      <c r="L33" s="35">
        <v>40.0</v>
      </c>
      <c r="M33" s="35">
        <v>37.0</v>
      </c>
      <c r="N33" s="35">
        <v>36.0</v>
      </c>
      <c r="O33" s="35">
        <v>36.0</v>
      </c>
      <c r="P33" s="35">
        <v>37.0</v>
      </c>
      <c r="Q33" s="35" t="s">
        <v>68</v>
      </c>
      <c r="R33" s="35" t="s">
        <v>68</v>
      </c>
      <c r="S33" s="35" t="s">
        <v>68</v>
      </c>
      <c r="T33" s="39">
        <f t="shared" si="1"/>
        <v>5</v>
      </c>
      <c r="U33" s="15"/>
      <c r="V33" s="40" t="str">
        <f>IFERROR(__xludf.DUMMYFUNCTION("TEXTJOIN("", "",TRUE,FILTER(D$1:S$1, D33:S33=""Absent""))"),"7, 8, 14, 15, 16")</f>
        <v>7, 8, 14, 15, 16</v>
      </c>
      <c r="W33" s="40">
        <f t="shared" si="2"/>
        <v>5</v>
      </c>
    </row>
    <row r="34">
      <c r="A34" s="31">
        <v>32.0</v>
      </c>
      <c r="B34" s="32" t="s">
        <v>506</v>
      </c>
      <c r="C34" s="79" t="s">
        <v>507</v>
      </c>
      <c r="D34" s="35">
        <v>46.0</v>
      </c>
      <c r="E34" s="35">
        <v>38.0</v>
      </c>
      <c r="F34" s="35">
        <v>36.0</v>
      </c>
      <c r="G34" s="35" t="s">
        <v>68</v>
      </c>
      <c r="H34" s="35">
        <v>36.0</v>
      </c>
      <c r="I34" s="35">
        <v>38.0</v>
      </c>
      <c r="J34" s="35">
        <v>35.0</v>
      </c>
      <c r="K34" s="35">
        <v>36.0</v>
      </c>
      <c r="L34" s="35">
        <v>38.0</v>
      </c>
      <c r="M34" s="35">
        <v>37.0</v>
      </c>
      <c r="N34" s="35">
        <v>40.0</v>
      </c>
      <c r="O34" s="35">
        <v>39.0</v>
      </c>
      <c r="P34" s="35">
        <v>39.0</v>
      </c>
      <c r="Q34" s="35">
        <v>28.0</v>
      </c>
      <c r="R34" s="35">
        <v>17.0</v>
      </c>
      <c r="S34" s="35">
        <v>36.0</v>
      </c>
      <c r="T34" s="39">
        <f t="shared" si="1"/>
        <v>1</v>
      </c>
      <c r="U34" s="15"/>
      <c r="V34" s="40" t="str">
        <f>IFERROR(__xludf.DUMMYFUNCTION("TEXTJOIN("", "",TRUE,FILTER(D$1:S$1, D34:S34=""Absent""))"),"4")</f>
        <v>4</v>
      </c>
      <c r="W34" s="40">
        <f t="shared" si="2"/>
        <v>1</v>
      </c>
    </row>
    <row r="35">
      <c r="A35" s="31">
        <v>33.0</v>
      </c>
      <c r="B35" s="32" t="s">
        <v>515</v>
      </c>
      <c r="C35" s="32" t="s">
        <v>516</v>
      </c>
      <c r="D35" s="35">
        <v>20.0</v>
      </c>
      <c r="E35" s="35" t="s">
        <v>68</v>
      </c>
      <c r="F35" s="35" t="s">
        <v>68</v>
      </c>
      <c r="G35" s="35">
        <v>37.0</v>
      </c>
      <c r="H35" s="35">
        <v>37.0</v>
      </c>
      <c r="I35" s="35">
        <v>39.0</v>
      </c>
      <c r="J35" s="35">
        <v>35.0</v>
      </c>
      <c r="K35" s="35" t="s">
        <v>68</v>
      </c>
      <c r="L35" s="35">
        <v>37.0</v>
      </c>
      <c r="M35" s="35">
        <v>38.0</v>
      </c>
      <c r="N35" s="35" t="s">
        <v>68</v>
      </c>
      <c r="O35" s="35">
        <v>37.0</v>
      </c>
      <c r="P35" s="35" t="s">
        <v>68</v>
      </c>
      <c r="Q35" s="35">
        <v>35.0</v>
      </c>
      <c r="R35" s="35">
        <v>22.0</v>
      </c>
      <c r="S35" s="35" t="s">
        <v>68</v>
      </c>
      <c r="T35" s="39">
        <f t="shared" si="1"/>
        <v>6</v>
      </c>
      <c r="U35" s="15"/>
      <c r="V35" s="40" t="str">
        <f>IFERROR(__xludf.DUMMYFUNCTION("TEXTJOIN("", "",TRUE,FILTER(D$1:S$1, D35:S35=""Absent""))"),"2, 3, 8, 11, 13, 16")</f>
        <v>2, 3, 8, 11, 13, 16</v>
      </c>
      <c r="W35" s="40">
        <f t="shared" si="2"/>
        <v>6</v>
      </c>
    </row>
    <row r="36">
      <c r="A36" s="31">
        <v>34.0</v>
      </c>
      <c r="B36" s="85" t="s">
        <v>525</v>
      </c>
      <c r="C36" s="85" t="s">
        <v>527</v>
      </c>
      <c r="D36" s="35" t="s">
        <v>94</v>
      </c>
      <c r="E36" s="35" t="s">
        <v>94</v>
      </c>
      <c r="F36" s="35" t="s">
        <v>94</v>
      </c>
      <c r="G36" s="35" t="s">
        <v>94</v>
      </c>
      <c r="H36" s="35" t="s">
        <v>94</v>
      </c>
      <c r="I36" s="86"/>
      <c r="J36" s="86"/>
      <c r="K36" s="86"/>
      <c r="L36" s="35" t="s">
        <v>68</v>
      </c>
      <c r="M36" s="35">
        <v>28.0</v>
      </c>
      <c r="N36" s="35" t="s">
        <v>68</v>
      </c>
      <c r="O36" s="35" t="s">
        <v>68</v>
      </c>
      <c r="P36" s="35" t="s">
        <v>68</v>
      </c>
      <c r="Q36" s="35" t="s">
        <v>68</v>
      </c>
      <c r="R36" s="35" t="s">
        <v>68</v>
      </c>
      <c r="S36" s="35" t="s">
        <v>68</v>
      </c>
      <c r="T36" s="39">
        <f t="shared" si="1"/>
        <v>7</v>
      </c>
      <c r="U36" s="15"/>
      <c r="V36" s="40" t="str">
        <f>IFERROR(__xludf.DUMMYFUNCTION("TEXTJOIN("", "",TRUE,FILTER(D$1:S$1, D36:S36=""Absent""))"),"9, 11, 12, 13, 14, 15, 16")</f>
        <v>9, 11, 12, 13, 14, 15, 16</v>
      </c>
      <c r="W36" s="40">
        <f t="shared" si="2"/>
        <v>7</v>
      </c>
    </row>
    <row r="37">
      <c r="A37" s="31">
        <v>35.0</v>
      </c>
      <c r="B37" s="32" t="s">
        <v>539</v>
      </c>
      <c r="C37" s="79" t="s">
        <v>541</v>
      </c>
      <c r="D37" s="35" t="s">
        <v>68</v>
      </c>
      <c r="E37" s="35">
        <v>31.0</v>
      </c>
      <c r="F37" s="35">
        <v>33.0</v>
      </c>
      <c r="G37" s="35">
        <v>33.0</v>
      </c>
      <c r="H37" s="35">
        <v>30.0</v>
      </c>
      <c r="I37" s="35">
        <v>30.0</v>
      </c>
      <c r="J37" s="35">
        <v>34.0</v>
      </c>
      <c r="K37" s="35">
        <v>34.0</v>
      </c>
      <c r="L37" s="35">
        <v>32.0</v>
      </c>
      <c r="M37" s="35">
        <v>34.0</v>
      </c>
      <c r="N37" s="35">
        <v>35.0</v>
      </c>
      <c r="O37" s="35" t="s">
        <v>68</v>
      </c>
      <c r="P37" s="35" t="s">
        <v>68</v>
      </c>
      <c r="Q37" s="35" t="s">
        <v>68</v>
      </c>
      <c r="R37" s="35" t="s">
        <v>68</v>
      </c>
      <c r="S37" s="35" t="s">
        <v>68</v>
      </c>
      <c r="T37" s="39">
        <f t="shared" si="1"/>
        <v>6</v>
      </c>
      <c r="U37" s="15"/>
      <c r="V37" s="40" t="str">
        <f>IFERROR(__xludf.DUMMYFUNCTION("TEXTJOIN("", "",TRUE,FILTER(D$1:S$1, D37:S37=""Absent""))"),"1, 12, 13, 14, 15, 16")</f>
        <v>1, 12, 13, 14, 15, 16</v>
      </c>
      <c r="W37" s="40">
        <f t="shared" si="2"/>
        <v>6</v>
      </c>
    </row>
    <row r="38">
      <c r="A38" s="31">
        <v>36.0</v>
      </c>
      <c r="B38" s="45" t="s">
        <v>550</v>
      </c>
      <c r="C38" s="45" t="s">
        <v>551</v>
      </c>
      <c r="D38" s="35">
        <v>45.0</v>
      </c>
      <c r="E38" s="35">
        <v>37.0</v>
      </c>
      <c r="F38" s="35">
        <v>36.0</v>
      </c>
      <c r="G38" s="35">
        <v>34.0</v>
      </c>
      <c r="H38" s="35">
        <v>35.0</v>
      </c>
      <c r="I38" s="35">
        <v>37.0</v>
      </c>
      <c r="J38" s="35">
        <v>26.0</v>
      </c>
      <c r="K38" s="35">
        <v>31.0</v>
      </c>
      <c r="L38" s="35">
        <v>30.0</v>
      </c>
      <c r="M38" s="35">
        <v>31.0</v>
      </c>
      <c r="N38" s="35" t="s">
        <v>68</v>
      </c>
      <c r="O38" s="35">
        <v>38.0</v>
      </c>
      <c r="P38" s="35">
        <v>37.0</v>
      </c>
      <c r="Q38" s="35">
        <v>11.0</v>
      </c>
      <c r="R38" s="35" t="s">
        <v>68</v>
      </c>
      <c r="S38" s="35" t="s">
        <v>68</v>
      </c>
      <c r="T38" s="39">
        <f t="shared" si="1"/>
        <v>3</v>
      </c>
      <c r="U38" s="15"/>
      <c r="V38" s="40" t="str">
        <f>IFERROR(__xludf.DUMMYFUNCTION("TEXTJOIN("", "",TRUE,FILTER(D$1:S$1, D38:S38=""Absent""))"),"11, 15, 16")</f>
        <v>11, 15, 16</v>
      </c>
      <c r="W38" s="40">
        <f t="shared" si="2"/>
        <v>3</v>
      </c>
    </row>
    <row r="39">
      <c r="A39" s="31">
        <v>37.0</v>
      </c>
      <c r="B39" s="32" t="s">
        <v>559</v>
      </c>
      <c r="C39" s="32" t="s">
        <v>561</v>
      </c>
      <c r="D39" s="35">
        <v>26.0</v>
      </c>
      <c r="E39" s="35">
        <v>38.0</v>
      </c>
      <c r="F39" s="35">
        <v>37.0</v>
      </c>
      <c r="G39" s="35">
        <v>37.0</v>
      </c>
      <c r="H39" s="35">
        <v>39.0</v>
      </c>
      <c r="I39" s="35">
        <v>38.0</v>
      </c>
      <c r="J39" s="35">
        <v>38.0</v>
      </c>
      <c r="K39" s="35">
        <v>33.0</v>
      </c>
      <c r="L39" s="35">
        <v>39.0</v>
      </c>
      <c r="M39" s="35">
        <v>38.0</v>
      </c>
      <c r="N39" s="35">
        <v>39.0</v>
      </c>
      <c r="O39" s="35">
        <v>38.0</v>
      </c>
      <c r="P39" s="35">
        <v>37.0</v>
      </c>
      <c r="Q39" s="35">
        <v>37.0</v>
      </c>
      <c r="R39" s="35">
        <v>26.0</v>
      </c>
      <c r="S39" s="35" t="s">
        <v>68</v>
      </c>
      <c r="T39" s="39">
        <f t="shared" si="1"/>
        <v>1</v>
      </c>
      <c r="U39" s="15"/>
      <c r="V39" s="40" t="str">
        <f>IFERROR(__xludf.DUMMYFUNCTION("TEXTJOIN("", "",TRUE,FILTER(D$1:S$1, D39:S39=""Absent""))"),"16")</f>
        <v>16</v>
      </c>
      <c r="W39" s="40">
        <f t="shared" si="2"/>
        <v>1</v>
      </c>
    </row>
    <row r="40">
      <c r="A40" s="31">
        <v>38.0</v>
      </c>
      <c r="B40" s="45" t="s">
        <v>567</v>
      </c>
      <c r="C40" s="45" t="s">
        <v>569</v>
      </c>
      <c r="D40" s="35" t="s">
        <v>68</v>
      </c>
      <c r="E40" s="35" t="s">
        <v>68</v>
      </c>
      <c r="F40" s="35" t="s">
        <v>68</v>
      </c>
      <c r="G40" s="35">
        <v>40.0</v>
      </c>
      <c r="H40" s="35" t="s">
        <v>68</v>
      </c>
      <c r="I40" s="35">
        <v>40.0</v>
      </c>
      <c r="J40" s="35">
        <v>39.0</v>
      </c>
      <c r="K40" s="35">
        <v>40.0</v>
      </c>
      <c r="L40" s="35">
        <v>40.0</v>
      </c>
      <c r="M40" s="35">
        <v>40.0</v>
      </c>
      <c r="N40" s="35">
        <v>40.0</v>
      </c>
      <c r="O40" s="35" t="s">
        <v>68</v>
      </c>
      <c r="P40" s="35" t="s">
        <v>68</v>
      </c>
      <c r="Q40" s="35" t="s">
        <v>68</v>
      </c>
      <c r="R40" s="35">
        <v>26.0</v>
      </c>
      <c r="S40" s="35">
        <v>59.0</v>
      </c>
      <c r="T40" s="39">
        <f t="shared" si="1"/>
        <v>7</v>
      </c>
      <c r="U40" s="15"/>
      <c r="V40" s="40" t="str">
        <f>IFERROR(__xludf.DUMMYFUNCTION("TEXTJOIN("", "",TRUE,FILTER(D$1:S$1, D40:S40=""Absent""))"),"1, 2, 3, 5, 12, 13, 14")</f>
        <v>1, 2, 3, 5, 12, 13, 14</v>
      </c>
      <c r="W40" s="40">
        <f t="shared" si="2"/>
        <v>7</v>
      </c>
    </row>
    <row r="41">
      <c r="A41" s="31">
        <v>39.0</v>
      </c>
      <c r="B41" s="32" t="s">
        <v>577</v>
      </c>
      <c r="C41" s="32" t="s">
        <v>579</v>
      </c>
      <c r="D41" s="35">
        <v>40.0</v>
      </c>
      <c r="E41" s="35">
        <v>39.0</v>
      </c>
      <c r="F41" s="35">
        <v>40.0</v>
      </c>
      <c r="G41" s="35" t="s">
        <v>68</v>
      </c>
      <c r="H41" s="35">
        <v>39.0</v>
      </c>
      <c r="I41" s="35">
        <v>40.0</v>
      </c>
      <c r="J41" s="35" t="s">
        <v>68</v>
      </c>
      <c r="K41" s="35">
        <v>39.0</v>
      </c>
      <c r="L41" s="35">
        <v>40.0</v>
      </c>
      <c r="M41" s="35">
        <v>40.0</v>
      </c>
      <c r="N41" s="35">
        <v>40.0</v>
      </c>
      <c r="O41" s="35">
        <v>40.0</v>
      </c>
      <c r="P41" s="35">
        <v>40.0</v>
      </c>
      <c r="Q41" s="35" t="s">
        <v>68</v>
      </c>
      <c r="R41" s="35" t="s">
        <v>68</v>
      </c>
      <c r="S41" s="35" t="s">
        <v>68</v>
      </c>
      <c r="T41" s="39">
        <f t="shared" si="1"/>
        <v>5</v>
      </c>
      <c r="U41" s="15"/>
      <c r="V41" s="40" t="str">
        <f>IFERROR(__xludf.DUMMYFUNCTION("TEXTJOIN("", "",TRUE,FILTER(D$1:S$1, D41:S41=""Absent""))"),"4, 7, 14, 15, 16")</f>
        <v>4, 7, 14, 15, 16</v>
      </c>
      <c r="W41" s="40">
        <f t="shared" si="2"/>
        <v>5</v>
      </c>
      <c r="X41" s="40"/>
    </row>
    <row r="42">
      <c r="A42" s="31">
        <v>40.0</v>
      </c>
      <c r="B42" s="32" t="s">
        <v>586</v>
      </c>
      <c r="C42" s="32" t="s">
        <v>587</v>
      </c>
      <c r="D42" s="35">
        <v>32.0</v>
      </c>
      <c r="E42" s="35">
        <v>38.0</v>
      </c>
      <c r="F42" s="35">
        <v>39.0</v>
      </c>
      <c r="G42" s="35" t="s">
        <v>68</v>
      </c>
      <c r="H42" s="35">
        <v>38.0</v>
      </c>
      <c r="I42" s="35">
        <v>40.0</v>
      </c>
      <c r="J42" s="35" t="s">
        <v>68</v>
      </c>
      <c r="K42" s="35">
        <v>40.0</v>
      </c>
      <c r="L42" s="35" t="s">
        <v>68</v>
      </c>
      <c r="M42" s="35">
        <v>35.0</v>
      </c>
      <c r="N42" s="35" t="s">
        <v>68</v>
      </c>
      <c r="O42" s="35">
        <v>40.0</v>
      </c>
      <c r="P42" s="35">
        <v>40.0</v>
      </c>
      <c r="Q42" s="35" t="s">
        <v>68</v>
      </c>
      <c r="R42" s="35" t="s">
        <v>68</v>
      </c>
      <c r="S42" s="35" t="s">
        <v>68</v>
      </c>
      <c r="T42" s="39">
        <f t="shared" si="1"/>
        <v>7</v>
      </c>
      <c r="U42" s="15"/>
      <c r="V42" s="40" t="str">
        <f>IFERROR(__xludf.DUMMYFUNCTION("TEXTJOIN("", "",TRUE,FILTER(D$1:S$1, D42:S42=""Absent""))"),"4, 7, 9, 11, 14, 15, 16")</f>
        <v>4, 7, 9, 11, 14, 15, 16</v>
      </c>
      <c r="W42" s="40">
        <f t="shared" si="2"/>
        <v>7</v>
      </c>
    </row>
    <row r="43">
      <c r="A43" s="31">
        <v>41.0</v>
      </c>
      <c r="B43" s="32" t="s">
        <v>593</v>
      </c>
      <c r="C43" s="32" t="s">
        <v>595</v>
      </c>
      <c r="D43" s="35" t="s">
        <v>68</v>
      </c>
      <c r="E43" s="35">
        <v>33.0</v>
      </c>
      <c r="F43" s="35">
        <v>31.0</v>
      </c>
      <c r="G43" s="35">
        <v>30.0</v>
      </c>
      <c r="H43" s="35">
        <v>34.0</v>
      </c>
      <c r="I43" s="35">
        <v>31.0</v>
      </c>
      <c r="J43" s="35">
        <v>23.0</v>
      </c>
      <c r="K43" s="35">
        <v>28.0</v>
      </c>
      <c r="L43" s="35">
        <v>28.0</v>
      </c>
      <c r="M43" s="35">
        <v>31.0</v>
      </c>
      <c r="N43" s="35">
        <v>34.0</v>
      </c>
      <c r="O43" s="35">
        <v>32.0</v>
      </c>
      <c r="P43" s="35">
        <v>32.0</v>
      </c>
      <c r="Q43" s="35" t="s">
        <v>68</v>
      </c>
      <c r="R43" s="35">
        <v>18.0</v>
      </c>
      <c r="S43" s="35" t="s">
        <v>68</v>
      </c>
      <c r="T43" s="39">
        <f t="shared" si="1"/>
        <v>3</v>
      </c>
      <c r="U43" s="15"/>
      <c r="V43" s="40" t="str">
        <f>IFERROR(__xludf.DUMMYFUNCTION("TEXTJOIN("", "",TRUE,FILTER(D$1:S$1, D43:S43=""Absent""))"),"1, 14, 16")</f>
        <v>1, 14, 16</v>
      </c>
      <c r="W43" s="40">
        <f t="shared" si="2"/>
        <v>3</v>
      </c>
    </row>
    <row r="44">
      <c r="A44" s="31">
        <v>42.0</v>
      </c>
      <c r="B44" s="32" t="s">
        <v>601</v>
      </c>
      <c r="C44" s="32" t="s">
        <v>603</v>
      </c>
      <c r="D44" s="35" t="s">
        <v>68</v>
      </c>
      <c r="E44" s="35" t="s">
        <v>68</v>
      </c>
      <c r="F44" s="35" t="s">
        <v>68</v>
      </c>
      <c r="G44" s="35" t="s">
        <v>68</v>
      </c>
      <c r="H44" s="35">
        <v>12.0</v>
      </c>
      <c r="I44" s="35" t="s">
        <v>68</v>
      </c>
      <c r="J44" s="35">
        <v>13.0</v>
      </c>
      <c r="K44" s="35" t="s">
        <v>68</v>
      </c>
      <c r="L44" s="35" t="s">
        <v>68</v>
      </c>
      <c r="M44" s="35">
        <v>10.0</v>
      </c>
      <c r="N44" s="35" t="s">
        <v>68</v>
      </c>
      <c r="O44" s="35" t="s">
        <v>68</v>
      </c>
      <c r="P44" s="35" t="s">
        <v>68</v>
      </c>
      <c r="Q44" s="35" t="s">
        <v>68</v>
      </c>
      <c r="R44" s="35" t="s">
        <v>68</v>
      </c>
      <c r="S44" s="35" t="s">
        <v>68</v>
      </c>
      <c r="T44" s="39">
        <f t="shared" si="1"/>
        <v>13</v>
      </c>
      <c r="U44" s="15"/>
      <c r="V44" s="40" t="str">
        <f>IFERROR(__xludf.DUMMYFUNCTION("TEXTJOIN("", "",TRUE,FILTER(D$1:S$1, D44:S44=""Absent""))"),"1, 2, 3, 4, 6, 8, 9, 11, 12, 13, 14, 15, 16")</f>
        <v>1, 2, 3, 4, 6, 8, 9, 11, 12, 13, 14, 15, 16</v>
      </c>
      <c r="W44" s="40">
        <f t="shared" si="2"/>
        <v>13</v>
      </c>
      <c r="X44" s="40"/>
      <c r="Y44" s="40"/>
      <c r="Z44" s="40"/>
    </row>
    <row r="45">
      <c r="A45" s="31">
        <v>43.0</v>
      </c>
      <c r="B45" s="41" t="s">
        <v>613</v>
      </c>
      <c r="C45" s="41" t="s">
        <v>615</v>
      </c>
      <c r="D45" s="35" t="s">
        <v>94</v>
      </c>
      <c r="E45" s="35" t="s">
        <v>94</v>
      </c>
      <c r="F45" s="35">
        <v>28.0</v>
      </c>
      <c r="G45" s="35" t="s">
        <v>68</v>
      </c>
      <c r="H45" s="35">
        <v>33.0</v>
      </c>
      <c r="I45" s="35">
        <v>40.0</v>
      </c>
      <c r="J45" s="35">
        <v>40.0</v>
      </c>
      <c r="K45" s="35" t="s">
        <v>68</v>
      </c>
      <c r="L45" s="35" t="s">
        <v>68</v>
      </c>
      <c r="M45" s="35" t="s">
        <v>68</v>
      </c>
      <c r="N45" s="35">
        <v>37.0</v>
      </c>
      <c r="O45" s="35">
        <v>29.0</v>
      </c>
      <c r="P45" s="35" t="s">
        <v>68</v>
      </c>
      <c r="Q45" s="35">
        <v>32.0</v>
      </c>
      <c r="R45" s="35" t="s">
        <v>68</v>
      </c>
      <c r="S45" s="35" t="s">
        <v>68</v>
      </c>
      <c r="T45" s="39">
        <f t="shared" si="1"/>
        <v>7</v>
      </c>
      <c r="U45" s="15"/>
      <c r="V45" s="40" t="str">
        <f>IFERROR(__xludf.DUMMYFUNCTION("TEXTJOIN("", "",TRUE,FILTER(D$1:S$1, D45:S45=""Absent""))"),"4, 8, 9, 10, 13, 15, 16")</f>
        <v>4, 8, 9, 10, 13, 15, 16</v>
      </c>
      <c r="W45" s="40">
        <f t="shared" si="2"/>
        <v>7</v>
      </c>
      <c r="X45" s="40"/>
      <c r="Y45" s="40"/>
    </row>
    <row r="46">
      <c r="A46" s="31">
        <v>44.0</v>
      </c>
      <c r="B46" s="45" t="s">
        <v>623</v>
      </c>
      <c r="C46" s="45" t="s">
        <v>625</v>
      </c>
      <c r="D46" s="35" t="s">
        <v>68</v>
      </c>
      <c r="E46" s="35">
        <v>25.0</v>
      </c>
      <c r="F46" s="35">
        <v>26.0</v>
      </c>
      <c r="G46" s="35">
        <v>29.0</v>
      </c>
      <c r="H46" s="35">
        <v>34.0</v>
      </c>
      <c r="I46" s="35">
        <v>38.0</v>
      </c>
      <c r="J46" s="35">
        <v>35.0</v>
      </c>
      <c r="K46" s="35">
        <v>35.0</v>
      </c>
      <c r="L46" s="35" t="s">
        <v>68</v>
      </c>
      <c r="M46" s="35" t="s">
        <v>68</v>
      </c>
      <c r="N46" s="35">
        <v>39.0</v>
      </c>
      <c r="O46" s="35" t="s">
        <v>68</v>
      </c>
      <c r="P46" s="35">
        <v>38.0</v>
      </c>
      <c r="Q46" s="35">
        <v>13.0</v>
      </c>
      <c r="R46" s="35" t="s">
        <v>68</v>
      </c>
      <c r="S46" s="35" t="s">
        <v>68</v>
      </c>
      <c r="T46" s="39">
        <f t="shared" si="1"/>
        <v>6</v>
      </c>
      <c r="U46" s="15"/>
      <c r="V46" s="40" t="str">
        <f>IFERROR(__xludf.DUMMYFUNCTION("TEXTJOIN("", "",TRUE,FILTER(D$1:S$1, D46:S46=""Absent""))"),"1, 9, 10, 12, 15, 16")</f>
        <v>1, 9, 10, 12, 15, 16</v>
      </c>
      <c r="W46" s="40">
        <f t="shared" si="2"/>
        <v>6</v>
      </c>
    </row>
    <row r="47">
      <c r="A47" s="31">
        <v>45.0</v>
      </c>
      <c r="B47" s="32" t="s">
        <v>628</v>
      </c>
      <c r="C47" s="32" t="s">
        <v>629</v>
      </c>
      <c r="D47" s="35" t="s">
        <v>68</v>
      </c>
      <c r="E47" s="35" t="s">
        <v>68</v>
      </c>
      <c r="F47" s="35">
        <v>39.0</v>
      </c>
      <c r="G47" s="35">
        <v>36.0</v>
      </c>
      <c r="H47" s="35">
        <v>34.0</v>
      </c>
      <c r="I47" s="35">
        <v>34.0</v>
      </c>
      <c r="J47" s="35">
        <v>35.0</v>
      </c>
      <c r="K47" s="35">
        <v>37.0</v>
      </c>
      <c r="L47" s="35">
        <v>31.0</v>
      </c>
      <c r="M47" s="35">
        <v>33.0</v>
      </c>
      <c r="N47" s="35">
        <v>35.0</v>
      </c>
      <c r="O47" s="35" t="s">
        <v>68</v>
      </c>
      <c r="P47" s="35" t="s">
        <v>68</v>
      </c>
      <c r="Q47" s="35">
        <v>30.0</v>
      </c>
      <c r="R47" s="35">
        <v>16.0</v>
      </c>
      <c r="S47" s="35" t="s">
        <v>68</v>
      </c>
      <c r="T47" s="39">
        <f t="shared" si="1"/>
        <v>5</v>
      </c>
      <c r="U47" s="15"/>
      <c r="V47" s="40" t="str">
        <f>IFERROR(__xludf.DUMMYFUNCTION("TEXTJOIN("", "",TRUE,FILTER(D$1:S$1, D47:S47=""Absent""))"),"1, 2, 12, 13, 16")</f>
        <v>1, 2, 12, 13, 16</v>
      </c>
      <c r="W47" s="40">
        <f t="shared" si="2"/>
        <v>5</v>
      </c>
    </row>
    <row r="48">
      <c r="A48" s="31">
        <v>46.0</v>
      </c>
      <c r="B48" s="32" t="s">
        <v>630</v>
      </c>
      <c r="C48" s="32" t="s">
        <v>631</v>
      </c>
      <c r="D48" s="35" t="s">
        <v>68</v>
      </c>
      <c r="E48" s="35" t="s">
        <v>68</v>
      </c>
      <c r="F48" s="35">
        <v>30.0</v>
      </c>
      <c r="G48" s="35">
        <v>33.0</v>
      </c>
      <c r="H48" s="35">
        <v>31.0</v>
      </c>
      <c r="I48" s="35" t="s">
        <v>68</v>
      </c>
      <c r="J48" s="35">
        <v>35.0</v>
      </c>
      <c r="K48" s="35" t="s">
        <v>68</v>
      </c>
      <c r="L48" s="35">
        <v>38.0</v>
      </c>
      <c r="M48" s="35">
        <v>35.0</v>
      </c>
      <c r="N48" s="35">
        <v>34.0</v>
      </c>
      <c r="O48" s="35">
        <v>36.0</v>
      </c>
      <c r="P48" s="35">
        <v>35.0</v>
      </c>
      <c r="Q48" s="35" t="s">
        <v>68</v>
      </c>
      <c r="R48" s="35">
        <v>20.0</v>
      </c>
      <c r="S48" s="35" t="s">
        <v>68</v>
      </c>
      <c r="T48" s="39">
        <f t="shared" si="1"/>
        <v>6</v>
      </c>
      <c r="U48" s="15"/>
      <c r="V48" s="40" t="str">
        <f>IFERROR(__xludf.DUMMYFUNCTION("TEXTJOIN("", "",TRUE,FILTER(D$1:S$1, D48:S48=""Absent""))"),"1, 2, 6, 8, 14, 16")</f>
        <v>1, 2, 6, 8, 14, 16</v>
      </c>
      <c r="W48" s="40">
        <f t="shared" si="2"/>
        <v>6</v>
      </c>
    </row>
    <row r="49">
      <c r="A49" s="31">
        <v>47.0</v>
      </c>
      <c r="B49" s="32" t="s">
        <v>632</v>
      </c>
      <c r="C49" s="32" t="s">
        <v>633</v>
      </c>
      <c r="D49" s="35">
        <v>35.0</v>
      </c>
      <c r="E49" s="35">
        <v>34.0</v>
      </c>
      <c r="F49" s="35">
        <v>36.0</v>
      </c>
      <c r="G49" s="35">
        <v>37.0</v>
      </c>
      <c r="H49" s="35" t="s">
        <v>68</v>
      </c>
      <c r="I49" s="35">
        <v>37.0</v>
      </c>
      <c r="J49" s="35">
        <v>33.0</v>
      </c>
      <c r="K49" s="35">
        <v>34.0</v>
      </c>
      <c r="L49" s="35" t="s">
        <v>68</v>
      </c>
      <c r="M49" s="35">
        <v>35.0</v>
      </c>
      <c r="N49" s="35">
        <v>31.0</v>
      </c>
      <c r="O49" s="35">
        <v>34.0</v>
      </c>
      <c r="P49" s="35">
        <v>33.0</v>
      </c>
      <c r="Q49" s="35" t="s">
        <v>68</v>
      </c>
      <c r="R49" s="35" t="s">
        <v>68</v>
      </c>
      <c r="S49" s="35" t="s">
        <v>68</v>
      </c>
      <c r="T49" s="39">
        <f t="shared" si="1"/>
        <v>5</v>
      </c>
      <c r="U49" s="15"/>
      <c r="V49" s="40" t="str">
        <f>IFERROR(__xludf.DUMMYFUNCTION("TEXTJOIN("", "",TRUE,FILTER(D$1:S$1, D49:S49=""Absent""))"),"5, 9, 14, 15, 16")</f>
        <v>5, 9, 14, 15, 16</v>
      </c>
      <c r="W49" s="40">
        <f t="shared" si="2"/>
        <v>5</v>
      </c>
    </row>
    <row r="50">
      <c r="A50" s="31">
        <v>48.0</v>
      </c>
      <c r="B50" s="32" t="s">
        <v>634</v>
      </c>
      <c r="C50" s="32" t="s">
        <v>635</v>
      </c>
      <c r="D50" s="35">
        <v>42.0</v>
      </c>
      <c r="E50" s="35">
        <v>39.0</v>
      </c>
      <c r="F50" s="35">
        <v>34.0</v>
      </c>
      <c r="G50" s="35">
        <v>35.0</v>
      </c>
      <c r="H50" s="35">
        <v>35.0</v>
      </c>
      <c r="I50" s="35">
        <v>32.0</v>
      </c>
      <c r="J50" s="35" t="s">
        <v>68</v>
      </c>
      <c r="K50" s="35">
        <v>37.0</v>
      </c>
      <c r="L50" s="35">
        <v>36.0</v>
      </c>
      <c r="M50" s="35">
        <v>39.0</v>
      </c>
      <c r="N50" s="35">
        <v>37.0</v>
      </c>
      <c r="O50" s="35">
        <v>39.0</v>
      </c>
      <c r="P50" s="35">
        <v>38.0</v>
      </c>
      <c r="Q50" s="35">
        <v>33.0</v>
      </c>
      <c r="R50" s="35" t="s">
        <v>68</v>
      </c>
      <c r="S50" s="35">
        <v>54.0</v>
      </c>
      <c r="T50" s="39">
        <f t="shared" si="1"/>
        <v>2</v>
      </c>
      <c r="U50" s="15"/>
      <c r="V50" s="40" t="str">
        <f>IFERROR(__xludf.DUMMYFUNCTION("TEXTJOIN("", "",TRUE,FILTER(D$1:S$1, D50:S50=""Absent""))"),"7, 15")</f>
        <v>7, 15</v>
      </c>
      <c r="W50" s="40">
        <f t="shared" si="2"/>
        <v>2</v>
      </c>
    </row>
    <row r="51">
      <c r="A51" s="31">
        <v>49.0</v>
      </c>
      <c r="B51" s="32" t="s">
        <v>636</v>
      </c>
      <c r="C51" s="32" t="s">
        <v>637</v>
      </c>
      <c r="D51" s="35">
        <v>48.0</v>
      </c>
      <c r="E51" s="35">
        <v>38.0</v>
      </c>
      <c r="F51" s="35" t="s">
        <v>68</v>
      </c>
      <c r="G51" s="35">
        <v>40.0</v>
      </c>
      <c r="H51" s="35">
        <v>39.0</v>
      </c>
      <c r="I51" s="35">
        <v>40.0</v>
      </c>
      <c r="J51" s="35">
        <v>40.0</v>
      </c>
      <c r="K51" s="35">
        <v>38.0</v>
      </c>
      <c r="L51" s="35">
        <v>33.0</v>
      </c>
      <c r="M51" s="35">
        <v>39.0</v>
      </c>
      <c r="N51" s="35">
        <v>39.0</v>
      </c>
      <c r="O51" s="35">
        <v>40.0</v>
      </c>
      <c r="P51" s="35">
        <v>34.0</v>
      </c>
      <c r="Q51" s="35" t="s">
        <v>68</v>
      </c>
      <c r="R51" s="35" t="s">
        <v>68</v>
      </c>
      <c r="S51" s="35" t="s">
        <v>68</v>
      </c>
      <c r="T51" s="39">
        <f t="shared" si="1"/>
        <v>4</v>
      </c>
      <c r="U51" s="15"/>
      <c r="V51" s="40" t="str">
        <f>IFERROR(__xludf.DUMMYFUNCTION("TEXTJOIN("", "",TRUE,FILTER(D$1:S$1, D51:S51=""Absent""))"),"3, 14, 15, 16")</f>
        <v>3, 14, 15, 16</v>
      </c>
      <c r="W51" s="40">
        <f t="shared" si="2"/>
        <v>4</v>
      </c>
    </row>
    <row r="52">
      <c r="A52" s="31">
        <v>50.0</v>
      </c>
      <c r="B52" s="32" t="s">
        <v>638</v>
      </c>
      <c r="C52" s="32" t="s">
        <v>639</v>
      </c>
      <c r="D52" s="35">
        <v>47.0</v>
      </c>
      <c r="E52" s="35">
        <v>34.0</v>
      </c>
      <c r="F52" s="35">
        <v>35.0</v>
      </c>
      <c r="G52" s="35">
        <v>33.0</v>
      </c>
      <c r="H52" s="35">
        <v>32.0</v>
      </c>
      <c r="I52" s="35">
        <v>32.0</v>
      </c>
      <c r="J52" s="35">
        <v>26.0</v>
      </c>
      <c r="K52" s="35">
        <v>36.0</v>
      </c>
      <c r="L52" s="35">
        <v>33.0</v>
      </c>
      <c r="M52" s="35">
        <v>34.0</v>
      </c>
      <c r="N52" s="35">
        <v>38.0</v>
      </c>
      <c r="O52" s="35">
        <v>34.0</v>
      </c>
      <c r="P52" s="35">
        <v>34.0</v>
      </c>
      <c r="Q52" s="35">
        <v>23.0</v>
      </c>
      <c r="R52" s="35">
        <v>21.0</v>
      </c>
      <c r="S52" s="35" t="s">
        <v>68</v>
      </c>
      <c r="T52" s="39">
        <f t="shared" si="1"/>
        <v>1</v>
      </c>
      <c r="U52" s="15"/>
      <c r="V52" s="40" t="str">
        <f>IFERROR(__xludf.DUMMYFUNCTION("TEXTJOIN("", "",TRUE,FILTER(D$1:S$1, D52:S52=""Absent""))"),"16")</f>
        <v>16</v>
      </c>
      <c r="W52" s="40">
        <f t="shared" si="2"/>
        <v>1</v>
      </c>
    </row>
    <row r="53">
      <c r="A53" s="31">
        <v>51.0</v>
      </c>
      <c r="B53" s="32" t="s">
        <v>643</v>
      </c>
      <c r="C53" s="32" t="s">
        <v>644</v>
      </c>
      <c r="D53" s="35">
        <v>35.0</v>
      </c>
      <c r="E53" s="35">
        <v>35.0</v>
      </c>
      <c r="F53" s="35">
        <v>35.0</v>
      </c>
      <c r="G53" s="35">
        <v>34.0</v>
      </c>
      <c r="H53" s="35">
        <v>36.0</v>
      </c>
      <c r="I53" s="35">
        <v>37.0</v>
      </c>
      <c r="J53" s="35">
        <v>35.0</v>
      </c>
      <c r="K53" s="35">
        <v>35.0</v>
      </c>
      <c r="L53" s="35">
        <v>36.0</v>
      </c>
      <c r="M53" s="35">
        <v>37.0</v>
      </c>
      <c r="N53" s="35">
        <v>36.0</v>
      </c>
      <c r="O53" s="35">
        <v>37.0</v>
      </c>
      <c r="P53" s="35">
        <v>38.0</v>
      </c>
      <c r="Q53" s="35">
        <v>33.0</v>
      </c>
      <c r="R53" s="35">
        <v>27.0</v>
      </c>
      <c r="S53" s="35">
        <v>47.0</v>
      </c>
      <c r="T53" s="39">
        <f t="shared" si="1"/>
        <v>0</v>
      </c>
      <c r="U53" s="15"/>
      <c r="V53" s="40" t="str">
        <f>IFERROR(__xludf.DUMMYFUNCTION("TEXTJOIN("", "",TRUE,FILTER(D$1:S$1, D53:S53=""Absent""))"),"#N/A")</f>
        <v>#N/A</v>
      </c>
      <c r="W53" s="40">
        <f t="shared" si="2"/>
        <v>0</v>
      </c>
    </row>
    <row r="54">
      <c r="A54" s="31">
        <v>52.0</v>
      </c>
      <c r="B54" s="32" t="s">
        <v>646</v>
      </c>
      <c r="C54" s="32" t="s">
        <v>647</v>
      </c>
      <c r="D54" s="35">
        <v>49.0</v>
      </c>
      <c r="E54" s="35">
        <v>34.0</v>
      </c>
      <c r="F54" s="35">
        <v>40.0</v>
      </c>
      <c r="G54" s="35">
        <v>29.0</v>
      </c>
      <c r="H54" s="35">
        <v>34.0</v>
      </c>
      <c r="I54" s="35">
        <v>30.0</v>
      </c>
      <c r="J54" s="35">
        <v>33.0</v>
      </c>
      <c r="K54" s="35">
        <v>38.0</v>
      </c>
      <c r="L54" s="35">
        <v>37.0</v>
      </c>
      <c r="M54" s="35">
        <v>35.0</v>
      </c>
      <c r="N54" s="35">
        <v>38.0</v>
      </c>
      <c r="O54" s="35">
        <v>40.0</v>
      </c>
      <c r="P54" s="35" t="s">
        <v>68</v>
      </c>
      <c r="Q54" s="35" t="s">
        <v>68</v>
      </c>
      <c r="R54" s="35">
        <v>22.0</v>
      </c>
      <c r="S54" s="35" t="s">
        <v>68</v>
      </c>
      <c r="T54" s="39">
        <f t="shared" si="1"/>
        <v>3</v>
      </c>
      <c r="U54" s="15"/>
      <c r="V54" s="40" t="str">
        <f>IFERROR(__xludf.DUMMYFUNCTION("TEXTJOIN("", "",TRUE,FILTER(D$1:S$1, D54:S54=""Absent""))"),"13, 14, 16")</f>
        <v>13, 14, 16</v>
      </c>
      <c r="W54" s="40">
        <f t="shared" si="2"/>
        <v>3</v>
      </c>
    </row>
    <row r="55">
      <c r="A55" s="31">
        <v>53.0</v>
      </c>
      <c r="B55" s="32" t="s">
        <v>650</v>
      </c>
      <c r="C55" s="79" t="s">
        <v>651</v>
      </c>
      <c r="D55" s="35">
        <v>47.0</v>
      </c>
      <c r="E55" s="35">
        <v>38.0</v>
      </c>
      <c r="F55" s="35">
        <v>40.0</v>
      </c>
      <c r="G55" s="35">
        <v>40.0</v>
      </c>
      <c r="H55" s="35">
        <v>37.0</v>
      </c>
      <c r="I55" s="35">
        <v>40.0</v>
      </c>
      <c r="J55" s="35">
        <v>40.0</v>
      </c>
      <c r="K55" s="35">
        <v>40.0</v>
      </c>
      <c r="L55" s="35">
        <v>39.0</v>
      </c>
      <c r="M55" s="35">
        <v>40.0</v>
      </c>
      <c r="N55" s="35" t="s">
        <v>68</v>
      </c>
      <c r="O55" s="35" t="s">
        <v>68</v>
      </c>
      <c r="P55" s="35" t="s">
        <v>68</v>
      </c>
      <c r="Q55" s="35">
        <v>38.0</v>
      </c>
      <c r="R55" s="35" t="s">
        <v>68</v>
      </c>
      <c r="S55" s="35" t="s">
        <v>68</v>
      </c>
      <c r="T55" s="39">
        <f t="shared" si="1"/>
        <v>5</v>
      </c>
      <c r="U55" s="15"/>
      <c r="V55" s="40" t="str">
        <f>IFERROR(__xludf.DUMMYFUNCTION("TEXTJOIN("", "",TRUE,FILTER(D$1:S$1, D55:S55=""Absent""))"),"11, 12, 13, 15, 16")</f>
        <v>11, 12, 13, 15, 16</v>
      </c>
      <c r="W55" s="40">
        <f t="shared" si="2"/>
        <v>5</v>
      </c>
    </row>
    <row r="56">
      <c r="A56" s="31">
        <v>54.0</v>
      </c>
      <c r="B56" s="32" t="s">
        <v>655</v>
      </c>
      <c r="C56" s="32" t="s">
        <v>656</v>
      </c>
      <c r="D56" s="35">
        <v>29.0</v>
      </c>
      <c r="E56" s="35">
        <v>39.0</v>
      </c>
      <c r="F56" s="35">
        <v>38.0</v>
      </c>
      <c r="G56" s="35" t="s">
        <v>68</v>
      </c>
      <c r="H56" s="35">
        <v>37.0</v>
      </c>
      <c r="I56" s="35" t="s">
        <v>68</v>
      </c>
      <c r="J56" s="35">
        <v>39.0</v>
      </c>
      <c r="K56" s="35">
        <v>38.0</v>
      </c>
      <c r="L56" s="35">
        <v>39.0</v>
      </c>
      <c r="M56" s="35" t="s">
        <v>68</v>
      </c>
      <c r="N56" s="35">
        <v>37.0</v>
      </c>
      <c r="O56" s="35">
        <v>40.0</v>
      </c>
      <c r="P56" s="35">
        <v>39.0</v>
      </c>
      <c r="Q56" s="35" t="s">
        <v>68</v>
      </c>
      <c r="R56" s="35" t="s">
        <v>68</v>
      </c>
      <c r="S56" s="35">
        <v>56.0</v>
      </c>
      <c r="T56" s="39">
        <f t="shared" si="1"/>
        <v>5</v>
      </c>
      <c r="U56" s="15"/>
      <c r="V56" s="40" t="str">
        <f>IFERROR(__xludf.DUMMYFUNCTION("TEXTJOIN("", "",TRUE,FILTER(D$1:S$1, D56:S56=""Absent""))"),"4, 6, 10, 14, 15")</f>
        <v>4, 6, 10, 14, 15</v>
      </c>
      <c r="W56" s="40">
        <f t="shared" si="2"/>
        <v>5</v>
      </c>
    </row>
    <row r="57">
      <c r="A57" s="31">
        <v>55.0</v>
      </c>
      <c r="B57" s="32" t="s">
        <v>662</v>
      </c>
      <c r="C57" s="32" t="s">
        <v>663</v>
      </c>
      <c r="D57" s="35" t="s">
        <v>68</v>
      </c>
      <c r="E57" s="35" t="s">
        <v>68</v>
      </c>
      <c r="F57" s="35">
        <v>14.0</v>
      </c>
      <c r="G57" s="35" t="s">
        <v>68</v>
      </c>
      <c r="H57" s="35">
        <v>19.0</v>
      </c>
      <c r="I57" s="35">
        <v>21.0</v>
      </c>
      <c r="J57" s="35">
        <v>25.0</v>
      </c>
      <c r="K57" s="35">
        <v>35.0</v>
      </c>
      <c r="L57" s="35">
        <v>27.0</v>
      </c>
      <c r="M57" s="35">
        <v>30.0</v>
      </c>
      <c r="N57" s="35" t="s">
        <v>68</v>
      </c>
      <c r="O57" s="35" t="s">
        <v>68</v>
      </c>
      <c r="P57" s="35">
        <v>25.0</v>
      </c>
      <c r="Q57" s="35" t="s">
        <v>68</v>
      </c>
      <c r="R57" s="35" t="s">
        <v>68</v>
      </c>
      <c r="S57" s="35" t="s">
        <v>68</v>
      </c>
      <c r="T57" s="39">
        <f t="shared" si="1"/>
        <v>8</v>
      </c>
      <c r="U57" s="15"/>
      <c r="V57" s="40" t="str">
        <f>IFERROR(__xludf.DUMMYFUNCTION("TEXTJOIN("", "",TRUE,FILTER(D$1:S$1, D57:S57=""Absent""))"),"1, 2, 4, 11, 12, 14, 15, 16")</f>
        <v>1, 2, 4, 11, 12, 14, 15, 16</v>
      </c>
      <c r="W57" s="40">
        <f t="shared" si="2"/>
        <v>8</v>
      </c>
    </row>
    <row r="58">
      <c r="A58" s="31">
        <v>56.0</v>
      </c>
      <c r="B58" s="41" t="s">
        <v>666</v>
      </c>
      <c r="C58" s="41" t="s">
        <v>667</v>
      </c>
      <c r="D58" s="35" t="s">
        <v>94</v>
      </c>
      <c r="E58" s="35" t="s">
        <v>94</v>
      </c>
      <c r="F58" s="110" t="s">
        <v>94</v>
      </c>
      <c r="G58" s="42" t="s">
        <v>68</v>
      </c>
      <c r="H58" s="35">
        <v>22.0</v>
      </c>
      <c r="I58" s="35">
        <v>20.0</v>
      </c>
      <c r="J58" s="35" t="s">
        <v>68</v>
      </c>
      <c r="K58" s="35">
        <v>32.0</v>
      </c>
      <c r="L58" s="35" t="s">
        <v>68</v>
      </c>
      <c r="M58" s="35" t="s">
        <v>68</v>
      </c>
      <c r="N58" s="35" t="s">
        <v>68</v>
      </c>
      <c r="O58" s="35" t="s">
        <v>68</v>
      </c>
      <c r="P58" s="35" t="s">
        <v>68</v>
      </c>
      <c r="Q58" s="35" t="s">
        <v>68</v>
      </c>
      <c r="R58" s="35" t="s">
        <v>68</v>
      </c>
      <c r="S58" s="35" t="s">
        <v>68</v>
      </c>
      <c r="T58" s="39">
        <f t="shared" si="1"/>
        <v>10</v>
      </c>
      <c r="U58" s="15"/>
      <c r="V58" s="40" t="str">
        <f>IFERROR(__xludf.DUMMYFUNCTION("TEXTJOIN("", "",TRUE,FILTER(D$1:S$1, D58:S58=""Absent""))"),"4, 7, 9, 10, 11, 12, 13, 14, 15, 16")</f>
        <v>4, 7, 9, 10, 11, 12, 13, 14, 15, 16</v>
      </c>
      <c r="W58" s="40">
        <f t="shared" si="2"/>
        <v>10</v>
      </c>
    </row>
    <row r="59">
      <c r="A59" s="31">
        <v>57.0</v>
      </c>
      <c r="B59" s="32" t="s">
        <v>671</v>
      </c>
      <c r="C59" s="32" t="s">
        <v>672</v>
      </c>
      <c r="D59" s="35" t="s">
        <v>68</v>
      </c>
      <c r="E59" s="35">
        <v>27.0</v>
      </c>
      <c r="F59" s="35" t="s">
        <v>68</v>
      </c>
      <c r="G59" s="35">
        <v>33.0</v>
      </c>
      <c r="H59" s="35">
        <v>31.0</v>
      </c>
      <c r="I59" s="35">
        <v>29.0</v>
      </c>
      <c r="J59" s="35">
        <v>26.0</v>
      </c>
      <c r="K59" s="35">
        <v>38.0</v>
      </c>
      <c r="L59" s="35">
        <v>31.0</v>
      </c>
      <c r="M59" s="35" t="s">
        <v>68</v>
      </c>
      <c r="N59" s="35" t="s">
        <v>68</v>
      </c>
      <c r="O59" s="35">
        <v>32.0</v>
      </c>
      <c r="P59" s="35" t="s">
        <v>68</v>
      </c>
      <c r="Q59" s="35">
        <v>11.0</v>
      </c>
      <c r="R59" s="35" t="s">
        <v>68</v>
      </c>
      <c r="S59" s="35" t="s">
        <v>68</v>
      </c>
      <c r="T59" s="39">
        <f t="shared" si="1"/>
        <v>7</v>
      </c>
      <c r="U59" s="15"/>
      <c r="V59" s="40" t="str">
        <f>IFERROR(__xludf.DUMMYFUNCTION("TEXTJOIN("", "",TRUE,FILTER(D$1:S$1, D59:S59=""Absent""))"),"1, 3, 10, 11, 13, 15, 16")</f>
        <v>1, 3, 10, 11, 13, 15, 16</v>
      </c>
      <c r="W59" s="40">
        <f t="shared" si="2"/>
        <v>7</v>
      </c>
    </row>
    <row r="60">
      <c r="A60" s="31">
        <v>58.0</v>
      </c>
      <c r="B60" s="32" t="s">
        <v>676</v>
      </c>
      <c r="C60" s="32" t="s">
        <v>658</v>
      </c>
      <c r="D60" s="35" t="s">
        <v>68</v>
      </c>
      <c r="E60" s="35">
        <v>35.0</v>
      </c>
      <c r="F60" s="35">
        <v>37.0</v>
      </c>
      <c r="G60" s="35">
        <v>36.0</v>
      </c>
      <c r="H60" s="35">
        <v>33.0</v>
      </c>
      <c r="I60" s="35">
        <v>35.0</v>
      </c>
      <c r="J60" s="35">
        <v>31.0</v>
      </c>
      <c r="K60" s="35">
        <v>30.0</v>
      </c>
      <c r="L60" s="35">
        <v>23.0</v>
      </c>
      <c r="M60" s="35">
        <v>31.0</v>
      </c>
      <c r="N60" s="35">
        <v>36.0</v>
      </c>
      <c r="O60" s="35">
        <v>36.0</v>
      </c>
      <c r="P60" s="35">
        <v>38.0</v>
      </c>
      <c r="Q60" s="35">
        <v>26.0</v>
      </c>
      <c r="R60" s="35">
        <v>24.0</v>
      </c>
      <c r="S60" s="35">
        <v>58.0</v>
      </c>
      <c r="T60" s="39">
        <f t="shared" si="1"/>
        <v>1</v>
      </c>
      <c r="U60" s="15"/>
      <c r="V60" s="40" t="str">
        <f>IFERROR(__xludf.DUMMYFUNCTION("TEXTJOIN("", "",TRUE,FILTER(D$1:S$1, D60:S60=""Absent""))"),"1")</f>
        <v>1</v>
      </c>
      <c r="W60" s="40">
        <f t="shared" si="2"/>
        <v>1</v>
      </c>
    </row>
    <row r="61">
      <c r="A61" s="31">
        <v>59.0</v>
      </c>
      <c r="B61" s="45" t="s">
        <v>680</v>
      </c>
      <c r="C61" s="45" t="s">
        <v>681</v>
      </c>
      <c r="D61" s="35" t="s">
        <v>68</v>
      </c>
      <c r="E61" s="35" t="s">
        <v>68</v>
      </c>
      <c r="F61" s="35" t="s">
        <v>68</v>
      </c>
      <c r="G61" s="35">
        <v>29.0</v>
      </c>
      <c r="H61" s="35">
        <v>36.0</v>
      </c>
      <c r="I61" s="35">
        <v>36.0</v>
      </c>
      <c r="J61" s="35">
        <v>36.0</v>
      </c>
      <c r="K61" s="35">
        <v>37.0</v>
      </c>
      <c r="L61" s="35" t="s">
        <v>68</v>
      </c>
      <c r="M61" s="35" t="s">
        <v>68</v>
      </c>
      <c r="N61" s="35" t="s">
        <v>68</v>
      </c>
      <c r="O61" s="35">
        <v>36.0</v>
      </c>
      <c r="P61" s="35">
        <v>32.0</v>
      </c>
      <c r="Q61" s="35">
        <v>29.0</v>
      </c>
      <c r="R61" s="35">
        <v>20.0</v>
      </c>
      <c r="S61" s="35">
        <v>47.0</v>
      </c>
      <c r="T61" s="39">
        <f t="shared" si="1"/>
        <v>6</v>
      </c>
      <c r="U61" s="15"/>
      <c r="V61" s="40" t="str">
        <f>IFERROR(__xludf.DUMMYFUNCTION("TEXTJOIN("", "",TRUE,FILTER(D$1:S$1, D61:S61=""Absent""))"),"1, 2, 3, 9, 10, 11")</f>
        <v>1, 2, 3, 9, 10, 11</v>
      </c>
      <c r="W61" s="40">
        <f t="shared" si="2"/>
        <v>6</v>
      </c>
    </row>
    <row r="62">
      <c r="A62" s="31">
        <v>60.0</v>
      </c>
      <c r="B62" s="32" t="s">
        <v>686</v>
      </c>
      <c r="C62" s="32" t="s">
        <v>683</v>
      </c>
      <c r="D62" s="35">
        <v>21.0</v>
      </c>
      <c r="E62" s="35">
        <v>32.0</v>
      </c>
      <c r="F62" s="35">
        <v>34.0</v>
      </c>
      <c r="G62" s="35">
        <v>32.0</v>
      </c>
      <c r="H62" s="35">
        <v>35.0</v>
      </c>
      <c r="I62" s="35">
        <v>36.0</v>
      </c>
      <c r="J62" s="35">
        <v>34.0</v>
      </c>
      <c r="K62" s="35">
        <v>33.0</v>
      </c>
      <c r="L62" s="35">
        <v>33.0</v>
      </c>
      <c r="M62" s="35">
        <v>34.0</v>
      </c>
      <c r="N62" s="35" t="s">
        <v>68</v>
      </c>
      <c r="O62" s="35">
        <v>35.0</v>
      </c>
      <c r="P62" s="35">
        <v>34.0</v>
      </c>
      <c r="Q62" s="35">
        <v>29.0</v>
      </c>
      <c r="R62" s="35" t="s">
        <v>68</v>
      </c>
      <c r="S62" s="35" t="s">
        <v>68</v>
      </c>
      <c r="T62" s="39">
        <f t="shared" si="1"/>
        <v>3</v>
      </c>
      <c r="U62" s="15"/>
      <c r="V62" s="40" t="str">
        <f>IFERROR(__xludf.DUMMYFUNCTION("TEXTJOIN("", "",TRUE,FILTER(D$1:S$1, D62:S62=""Absent""))"),"11, 15, 16")</f>
        <v>11, 15, 16</v>
      </c>
      <c r="W62" s="40">
        <f t="shared" si="2"/>
        <v>3</v>
      </c>
      <c r="X62" s="40"/>
    </row>
    <row r="63">
      <c r="A63" s="31">
        <v>61.0</v>
      </c>
      <c r="B63" s="32" t="s">
        <v>688</v>
      </c>
      <c r="C63" s="32" t="s">
        <v>689</v>
      </c>
      <c r="D63" s="35">
        <v>23.0</v>
      </c>
      <c r="E63" s="35">
        <v>34.0</v>
      </c>
      <c r="F63" s="35">
        <v>30.0</v>
      </c>
      <c r="G63" s="35">
        <v>27.0</v>
      </c>
      <c r="H63" s="35">
        <v>27.0</v>
      </c>
      <c r="I63" s="35">
        <v>31.0</v>
      </c>
      <c r="J63" s="35">
        <v>28.0</v>
      </c>
      <c r="K63" s="35">
        <v>32.0</v>
      </c>
      <c r="L63" s="35">
        <v>32.0</v>
      </c>
      <c r="M63" s="35">
        <v>34.0</v>
      </c>
      <c r="N63" s="35">
        <v>35.0</v>
      </c>
      <c r="O63" s="35">
        <v>37.0</v>
      </c>
      <c r="P63" s="35">
        <v>32.0</v>
      </c>
      <c r="Q63" s="35">
        <v>31.0</v>
      </c>
      <c r="R63" s="35" t="s">
        <v>68</v>
      </c>
      <c r="S63" s="35" t="s">
        <v>68</v>
      </c>
      <c r="T63" s="39">
        <f t="shared" si="1"/>
        <v>2</v>
      </c>
      <c r="U63" s="15"/>
      <c r="V63" s="40" t="str">
        <f>IFERROR(__xludf.DUMMYFUNCTION("TEXTJOIN("", "",TRUE,FILTER(D$1:S$1, D63:S63=""Absent""))"),"15, 16")</f>
        <v>15, 16</v>
      </c>
      <c r="W63" s="40">
        <f t="shared" si="2"/>
        <v>2</v>
      </c>
    </row>
    <row r="64">
      <c r="A64" s="31">
        <v>62.0</v>
      </c>
      <c r="B64" s="45" t="s">
        <v>693</v>
      </c>
      <c r="C64" s="45" t="s">
        <v>694</v>
      </c>
      <c r="D64" s="35" t="s">
        <v>68</v>
      </c>
      <c r="E64" s="35">
        <v>27.0</v>
      </c>
      <c r="F64" s="35" t="s">
        <v>68</v>
      </c>
      <c r="G64" s="35">
        <v>22.0</v>
      </c>
      <c r="H64" s="35">
        <v>28.0</v>
      </c>
      <c r="I64" s="35">
        <v>26.0</v>
      </c>
      <c r="J64" s="35">
        <v>37.0</v>
      </c>
      <c r="K64" s="35">
        <v>37.0</v>
      </c>
      <c r="L64" s="35" t="s">
        <v>68</v>
      </c>
      <c r="M64" s="35" t="s">
        <v>68</v>
      </c>
      <c r="N64" s="35" t="s">
        <v>68</v>
      </c>
      <c r="O64" s="35" t="s">
        <v>68</v>
      </c>
      <c r="P64" s="35" t="s">
        <v>68</v>
      </c>
      <c r="Q64" s="35" t="s">
        <v>68</v>
      </c>
      <c r="R64" s="35" t="s">
        <v>68</v>
      </c>
      <c r="S64" s="35" t="s">
        <v>68</v>
      </c>
      <c r="T64" s="39">
        <f t="shared" si="1"/>
        <v>10</v>
      </c>
      <c r="U64" s="15"/>
      <c r="V64" s="40" t="str">
        <f>IFERROR(__xludf.DUMMYFUNCTION("TEXTJOIN("", "",TRUE,FILTER(D$1:S$1, D64:S64=""Absent""))"),"1, 3, 9, 10, 11, 12, 13, 14, 15, 16")</f>
        <v>1, 3, 9, 10, 11, 12, 13, 14, 15, 16</v>
      </c>
      <c r="W64" s="40">
        <f t="shared" si="2"/>
        <v>10</v>
      </c>
    </row>
    <row r="65">
      <c r="A65" s="31">
        <v>63.0</v>
      </c>
      <c r="B65" s="32" t="s">
        <v>699</v>
      </c>
      <c r="C65" s="32" t="s">
        <v>700</v>
      </c>
      <c r="D65" s="35">
        <v>24.0</v>
      </c>
      <c r="E65" s="35">
        <v>39.0</v>
      </c>
      <c r="F65" s="35">
        <v>40.0</v>
      </c>
      <c r="G65" s="35">
        <v>39.0</v>
      </c>
      <c r="H65" s="35">
        <v>39.0</v>
      </c>
      <c r="I65" s="35">
        <v>38.0</v>
      </c>
      <c r="J65" s="35" t="s">
        <v>68</v>
      </c>
      <c r="K65" s="35">
        <v>37.0</v>
      </c>
      <c r="L65" s="35">
        <v>36.0</v>
      </c>
      <c r="M65" s="35">
        <v>34.0</v>
      </c>
      <c r="N65" s="35">
        <v>34.0</v>
      </c>
      <c r="O65" s="35">
        <v>37.0</v>
      </c>
      <c r="P65" s="35" t="s">
        <v>68</v>
      </c>
      <c r="Q65" s="35">
        <v>21.0</v>
      </c>
      <c r="R65" s="35">
        <v>12.0</v>
      </c>
      <c r="S65" s="35" t="s">
        <v>68</v>
      </c>
      <c r="T65" s="39">
        <f t="shared" si="1"/>
        <v>3</v>
      </c>
      <c r="U65" s="15"/>
      <c r="V65" s="40" t="str">
        <f>IFERROR(__xludf.DUMMYFUNCTION("TEXTJOIN("", "",TRUE,FILTER(D$1:S$1, D65:S65=""Absent""))"),"7, 13, 16")</f>
        <v>7, 13, 16</v>
      </c>
      <c r="W65" s="40">
        <f t="shared" si="2"/>
        <v>3</v>
      </c>
    </row>
    <row r="66">
      <c r="A66" s="31">
        <v>64.0</v>
      </c>
      <c r="B66" s="32" t="s">
        <v>705</v>
      </c>
      <c r="C66" s="32" t="s">
        <v>706</v>
      </c>
      <c r="D66" s="35" t="s">
        <v>68</v>
      </c>
      <c r="E66" s="35">
        <v>35.0</v>
      </c>
      <c r="F66" s="35" t="s">
        <v>68</v>
      </c>
      <c r="G66" s="35">
        <v>37.0</v>
      </c>
      <c r="H66" s="35" t="s">
        <v>68</v>
      </c>
      <c r="I66" s="35">
        <v>37.0</v>
      </c>
      <c r="J66" s="35">
        <v>37.0</v>
      </c>
      <c r="K66" s="35" t="s">
        <v>68</v>
      </c>
      <c r="L66" s="35" t="s">
        <v>68</v>
      </c>
      <c r="M66" s="35" t="s">
        <v>68</v>
      </c>
      <c r="N66" s="35" t="s">
        <v>68</v>
      </c>
      <c r="O66" s="35" t="s">
        <v>68</v>
      </c>
      <c r="P66" s="35" t="s">
        <v>68</v>
      </c>
      <c r="Q66" s="35" t="s">
        <v>68</v>
      </c>
      <c r="R66" s="35" t="s">
        <v>68</v>
      </c>
      <c r="S66" s="35" t="s">
        <v>68</v>
      </c>
      <c r="T66" s="39">
        <f t="shared" si="1"/>
        <v>12</v>
      </c>
      <c r="U66" s="15"/>
      <c r="V66" s="40" t="str">
        <f>IFERROR(__xludf.DUMMYFUNCTION("TEXTJOIN("", "",TRUE,FILTER(D$1:S$1, D66:S66=""Absent""))"),"1, 3, 5, 8, 9, 10, 11, 12, 13, 14, 15, 16")</f>
        <v>1, 3, 5, 8, 9, 10, 11, 12, 13, 14, 15, 16</v>
      </c>
      <c r="W66" s="40">
        <f t="shared" si="2"/>
        <v>12</v>
      </c>
    </row>
    <row r="67">
      <c r="A67" s="31">
        <v>65.0</v>
      </c>
      <c r="B67" s="32" t="s">
        <v>709</v>
      </c>
      <c r="C67" s="32" t="s">
        <v>710</v>
      </c>
      <c r="D67" s="35">
        <v>42.0</v>
      </c>
      <c r="E67" s="35">
        <v>28.0</v>
      </c>
      <c r="F67" s="35">
        <v>32.0</v>
      </c>
      <c r="G67" s="35">
        <v>31.0</v>
      </c>
      <c r="H67" s="35">
        <v>29.0</v>
      </c>
      <c r="I67" s="35">
        <v>27.0</v>
      </c>
      <c r="J67" s="35">
        <v>26.0</v>
      </c>
      <c r="K67" s="35">
        <v>22.0</v>
      </c>
      <c r="L67" s="35">
        <v>25.0</v>
      </c>
      <c r="M67" s="35">
        <v>29.0</v>
      </c>
      <c r="N67" s="35">
        <v>28.0</v>
      </c>
      <c r="O67" s="35" t="s">
        <v>68</v>
      </c>
      <c r="P67" s="35">
        <v>24.0</v>
      </c>
      <c r="Q67" s="35" t="s">
        <v>68</v>
      </c>
      <c r="R67" s="35" t="s">
        <v>68</v>
      </c>
      <c r="S67" s="35" t="s">
        <v>68</v>
      </c>
      <c r="T67" s="39">
        <f t="shared" si="1"/>
        <v>4</v>
      </c>
      <c r="U67" s="15"/>
      <c r="V67" s="40" t="str">
        <f>IFERROR(__xludf.DUMMYFUNCTION("TEXTJOIN("", "",TRUE,FILTER(D$1:S$1, D67:S67=""Absent""))"),"12, 14, 15, 16")</f>
        <v>12, 14, 15, 16</v>
      </c>
      <c r="W67" s="40">
        <f t="shared" si="2"/>
        <v>4</v>
      </c>
    </row>
    <row r="68">
      <c r="A68" s="31">
        <v>66.0</v>
      </c>
      <c r="B68" s="45" t="s">
        <v>714</v>
      </c>
      <c r="C68" s="45" t="s">
        <v>715</v>
      </c>
      <c r="D68" s="35" t="s">
        <v>68</v>
      </c>
      <c r="E68" s="35" t="s">
        <v>68</v>
      </c>
      <c r="F68" s="35" t="s">
        <v>68</v>
      </c>
      <c r="G68" s="35" t="s">
        <v>68</v>
      </c>
      <c r="H68" s="35">
        <v>33.0</v>
      </c>
      <c r="I68" s="35">
        <v>31.0</v>
      </c>
      <c r="J68" s="35" t="s">
        <v>68</v>
      </c>
      <c r="K68" s="35">
        <v>33.0</v>
      </c>
      <c r="L68" s="35" t="s">
        <v>68</v>
      </c>
      <c r="M68" s="35">
        <v>34.0</v>
      </c>
      <c r="N68" s="35">
        <v>35.0</v>
      </c>
      <c r="O68" s="35">
        <v>36.0</v>
      </c>
      <c r="P68" s="35" t="s">
        <v>68</v>
      </c>
      <c r="Q68" s="35">
        <v>29.0</v>
      </c>
      <c r="R68" s="35" t="s">
        <v>68</v>
      </c>
      <c r="S68" s="35" t="s">
        <v>68</v>
      </c>
      <c r="T68" s="39">
        <f t="shared" si="1"/>
        <v>9</v>
      </c>
      <c r="U68" s="15"/>
      <c r="V68" s="40" t="str">
        <f>IFERROR(__xludf.DUMMYFUNCTION("TEXTJOIN("", "",TRUE,FILTER(D$1:S$1, D68:S68=""Absent""))"),"1, 2, 3, 4, 7, 9, 13, 15, 16")</f>
        <v>1, 2, 3, 4, 7, 9, 13, 15, 16</v>
      </c>
      <c r="W68" s="40">
        <f t="shared" si="2"/>
        <v>9</v>
      </c>
      <c r="X68" s="40"/>
      <c r="Y68" s="40"/>
    </row>
    <row r="69">
      <c r="A69" s="31">
        <v>67.0</v>
      </c>
      <c r="B69" s="32" t="s">
        <v>721</v>
      </c>
      <c r="C69" s="32" t="s">
        <v>723</v>
      </c>
      <c r="D69" s="35">
        <v>37.0</v>
      </c>
      <c r="E69" s="35">
        <v>33.0</v>
      </c>
      <c r="F69" s="35">
        <v>34.0</v>
      </c>
      <c r="G69" s="35">
        <v>32.0</v>
      </c>
      <c r="H69" s="35">
        <v>35.0</v>
      </c>
      <c r="I69" s="35">
        <v>34.0</v>
      </c>
      <c r="J69" s="35">
        <v>33.0</v>
      </c>
      <c r="K69" s="35">
        <v>34.0</v>
      </c>
      <c r="L69" s="35">
        <v>36.0</v>
      </c>
      <c r="M69" s="35">
        <v>36.0</v>
      </c>
      <c r="N69" s="35">
        <v>34.0</v>
      </c>
      <c r="O69" s="35">
        <v>34.0</v>
      </c>
      <c r="P69" s="35" t="s">
        <v>68</v>
      </c>
      <c r="Q69" s="35">
        <v>32.0</v>
      </c>
      <c r="R69" s="35" t="s">
        <v>68</v>
      </c>
      <c r="S69" s="35" t="s">
        <v>68</v>
      </c>
      <c r="T69" s="39">
        <f t="shared" si="1"/>
        <v>3</v>
      </c>
      <c r="U69" s="15"/>
      <c r="V69" s="40" t="str">
        <f>IFERROR(__xludf.DUMMYFUNCTION("TEXTJOIN("", "",TRUE,FILTER(D$1:S$1, D69:S69=""Absent""))"),"13, 15, 16")</f>
        <v>13, 15, 16</v>
      </c>
      <c r="W69" s="40">
        <f t="shared" si="2"/>
        <v>3</v>
      </c>
    </row>
    <row r="70">
      <c r="A70" s="31">
        <v>68.0</v>
      </c>
      <c r="B70" s="32" t="s">
        <v>727</v>
      </c>
      <c r="C70" s="32" t="s">
        <v>728</v>
      </c>
      <c r="D70" s="35">
        <v>41.0</v>
      </c>
      <c r="E70" s="35">
        <v>26.0</v>
      </c>
      <c r="F70" s="35">
        <v>24.0</v>
      </c>
      <c r="G70" s="35" t="s">
        <v>68</v>
      </c>
      <c r="H70" s="35">
        <v>28.0</v>
      </c>
      <c r="I70" s="35">
        <v>29.0</v>
      </c>
      <c r="J70" s="35">
        <v>33.0</v>
      </c>
      <c r="K70" s="35">
        <v>37.0</v>
      </c>
      <c r="L70" s="35">
        <v>28.0</v>
      </c>
      <c r="M70" s="35">
        <v>31.0</v>
      </c>
      <c r="N70" s="35">
        <v>35.0</v>
      </c>
      <c r="O70" s="35" t="s">
        <v>68</v>
      </c>
      <c r="P70" s="35">
        <v>35.0</v>
      </c>
      <c r="Q70" s="35">
        <v>14.0</v>
      </c>
      <c r="R70" s="35" t="s">
        <v>68</v>
      </c>
      <c r="S70" s="35" t="s">
        <v>68</v>
      </c>
      <c r="T70" s="39">
        <f t="shared" si="1"/>
        <v>4</v>
      </c>
      <c r="U70" s="15"/>
      <c r="V70" s="40" t="str">
        <f>IFERROR(__xludf.DUMMYFUNCTION("TEXTJOIN("", "",TRUE,FILTER(D$1:S$1, D70:S70=""Absent""))"),"4, 12, 15, 16")</f>
        <v>4, 12, 15, 16</v>
      </c>
      <c r="W70" s="40">
        <f t="shared" si="2"/>
        <v>4</v>
      </c>
    </row>
    <row r="71">
      <c r="A71" s="31">
        <v>69.0</v>
      </c>
      <c r="B71" s="32" t="s">
        <v>734</v>
      </c>
      <c r="C71" s="32" t="s">
        <v>735</v>
      </c>
      <c r="D71" s="35">
        <v>35.0</v>
      </c>
      <c r="E71" s="35">
        <v>38.0</v>
      </c>
      <c r="F71" s="35">
        <v>38.0</v>
      </c>
      <c r="G71" s="35">
        <v>38.0</v>
      </c>
      <c r="H71" s="35">
        <v>39.0</v>
      </c>
      <c r="I71" s="35">
        <v>40.0</v>
      </c>
      <c r="J71" s="35" t="s">
        <v>68</v>
      </c>
      <c r="K71" s="35">
        <v>38.0</v>
      </c>
      <c r="L71" s="35">
        <v>40.0</v>
      </c>
      <c r="M71" s="35">
        <v>39.0</v>
      </c>
      <c r="N71" s="35">
        <v>38.0</v>
      </c>
      <c r="O71" s="35">
        <v>37.0</v>
      </c>
      <c r="P71" s="35" t="s">
        <v>68</v>
      </c>
      <c r="Q71" s="35">
        <v>28.0</v>
      </c>
      <c r="R71" s="35" t="s">
        <v>68</v>
      </c>
      <c r="S71" s="35" t="s">
        <v>68</v>
      </c>
      <c r="T71" s="39">
        <f t="shared" si="1"/>
        <v>4</v>
      </c>
      <c r="U71" s="15"/>
      <c r="V71" s="40" t="str">
        <f>IFERROR(__xludf.DUMMYFUNCTION("TEXTJOIN("", "",TRUE,FILTER(D$1:S$1, D71:S71=""Absent""))"),"7, 13, 15, 16")</f>
        <v>7, 13, 15, 16</v>
      </c>
      <c r="W71" s="40">
        <f t="shared" si="2"/>
        <v>4</v>
      </c>
    </row>
    <row r="72">
      <c r="A72" s="31">
        <v>70.0</v>
      </c>
      <c r="B72" s="32" t="s">
        <v>738</v>
      </c>
      <c r="C72" s="32" t="s">
        <v>739</v>
      </c>
      <c r="D72" s="35" t="s">
        <v>68</v>
      </c>
      <c r="E72" s="35">
        <v>38.0</v>
      </c>
      <c r="F72" s="35">
        <v>35.0</v>
      </c>
      <c r="G72" s="35">
        <v>37.0</v>
      </c>
      <c r="H72" s="35">
        <v>37.0</v>
      </c>
      <c r="I72" s="35">
        <v>39.0</v>
      </c>
      <c r="J72" s="35">
        <v>37.0</v>
      </c>
      <c r="K72" s="35">
        <v>38.0</v>
      </c>
      <c r="L72" s="35">
        <v>39.0</v>
      </c>
      <c r="M72" s="35">
        <v>37.0</v>
      </c>
      <c r="N72" s="35">
        <v>39.0</v>
      </c>
      <c r="O72" s="35">
        <v>39.0</v>
      </c>
      <c r="P72" s="35" t="s">
        <v>68</v>
      </c>
      <c r="Q72" s="35" t="s">
        <v>68</v>
      </c>
      <c r="R72" s="35">
        <v>23.0</v>
      </c>
      <c r="S72" s="35" t="s">
        <v>68</v>
      </c>
      <c r="T72" s="39">
        <f t="shared" si="1"/>
        <v>4</v>
      </c>
      <c r="U72" s="15"/>
      <c r="V72" s="40" t="str">
        <f>IFERROR(__xludf.DUMMYFUNCTION("TEXTJOIN("", "",TRUE,FILTER(D$1:S$1, D72:S72=""Absent""))"),"1, 13, 14, 16")</f>
        <v>1, 13, 14, 16</v>
      </c>
      <c r="W72" s="40">
        <f t="shared" si="2"/>
        <v>4</v>
      </c>
    </row>
    <row r="73">
      <c r="A73" s="31">
        <v>71.0</v>
      </c>
      <c r="B73" s="32" t="s">
        <v>743</v>
      </c>
      <c r="C73" s="32" t="s">
        <v>744</v>
      </c>
      <c r="D73" s="35">
        <v>35.0</v>
      </c>
      <c r="E73" s="35">
        <v>39.0</v>
      </c>
      <c r="F73" s="35">
        <v>40.0</v>
      </c>
      <c r="G73" s="35">
        <v>40.0</v>
      </c>
      <c r="H73" s="35">
        <v>39.0</v>
      </c>
      <c r="I73" s="35">
        <v>40.0</v>
      </c>
      <c r="J73" s="35">
        <v>35.0</v>
      </c>
      <c r="K73" s="35">
        <v>35.0</v>
      </c>
      <c r="L73" s="35" t="s">
        <v>68</v>
      </c>
      <c r="M73" s="35">
        <v>40.0</v>
      </c>
      <c r="N73" s="35">
        <v>40.0</v>
      </c>
      <c r="O73" s="35">
        <v>39.0</v>
      </c>
      <c r="P73" s="35">
        <v>39.0</v>
      </c>
      <c r="Q73" s="35" t="s">
        <v>68</v>
      </c>
      <c r="R73" s="35" t="s">
        <v>68</v>
      </c>
      <c r="S73" s="35">
        <v>13.0</v>
      </c>
      <c r="T73" s="39">
        <f t="shared" si="1"/>
        <v>3</v>
      </c>
      <c r="U73" s="15"/>
      <c r="V73" s="40" t="str">
        <f>IFERROR(__xludf.DUMMYFUNCTION("TEXTJOIN("", "",TRUE,FILTER(D$1:S$1, D73:S73=""Absent""))"),"9, 14, 15")</f>
        <v>9, 14, 15</v>
      </c>
      <c r="W73" s="40">
        <f t="shared" si="2"/>
        <v>3</v>
      </c>
    </row>
    <row r="74">
      <c r="A74" s="31">
        <v>72.0</v>
      </c>
      <c r="B74" s="32" t="s">
        <v>747</v>
      </c>
      <c r="C74" s="32" t="s">
        <v>717</v>
      </c>
      <c r="D74" s="35">
        <v>39.0</v>
      </c>
      <c r="E74" s="35">
        <v>34.0</v>
      </c>
      <c r="F74" s="35">
        <v>38.0</v>
      </c>
      <c r="G74" s="35">
        <v>37.0</v>
      </c>
      <c r="H74" s="35">
        <v>35.0</v>
      </c>
      <c r="I74" s="35">
        <v>33.0</v>
      </c>
      <c r="J74" s="35" t="s">
        <v>68</v>
      </c>
      <c r="K74" s="35" t="s">
        <v>68</v>
      </c>
      <c r="L74" s="35">
        <v>33.0</v>
      </c>
      <c r="M74" s="35">
        <v>38.0</v>
      </c>
      <c r="N74" s="35">
        <v>36.0</v>
      </c>
      <c r="O74" s="35">
        <v>39.0</v>
      </c>
      <c r="P74" s="35" t="s">
        <v>68</v>
      </c>
      <c r="Q74" s="35" t="s">
        <v>68</v>
      </c>
      <c r="R74" s="35">
        <v>21.0</v>
      </c>
      <c r="S74" s="35" t="s">
        <v>68</v>
      </c>
      <c r="T74" s="39">
        <f t="shared" si="1"/>
        <v>5</v>
      </c>
      <c r="U74" s="15"/>
      <c r="V74" s="40" t="str">
        <f>IFERROR(__xludf.DUMMYFUNCTION("TEXTJOIN("", "",TRUE,FILTER(D$1:S$1, D74:S74=""Absent""))"),"7, 8, 13, 14, 16")</f>
        <v>7, 8, 13, 14, 16</v>
      </c>
      <c r="W74" s="40">
        <f t="shared" si="2"/>
        <v>5</v>
      </c>
    </row>
    <row r="75">
      <c r="A75" s="31">
        <v>73.0</v>
      </c>
      <c r="B75" s="41" t="s">
        <v>752</v>
      </c>
      <c r="C75" s="41" t="s">
        <v>753</v>
      </c>
      <c r="D75" s="35" t="s">
        <v>94</v>
      </c>
      <c r="E75" s="35" t="s">
        <v>94</v>
      </c>
      <c r="F75" s="35" t="s">
        <v>94</v>
      </c>
      <c r="G75" s="35">
        <v>40.0</v>
      </c>
      <c r="H75" s="35">
        <v>38.0</v>
      </c>
      <c r="I75" s="35">
        <v>38.0</v>
      </c>
      <c r="J75" s="35">
        <v>37.0</v>
      </c>
      <c r="K75" s="35">
        <v>27.0</v>
      </c>
      <c r="L75" s="35">
        <v>30.0</v>
      </c>
      <c r="M75" s="35">
        <v>29.0</v>
      </c>
      <c r="N75" s="35">
        <v>31.0</v>
      </c>
      <c r="O75" s="35">
        <v>28.0</v>
      </c>
      <c r="P75" s="35">
        <v>27.0</v>
      </c>
      <c r="Q75" s="35" t="s">
        <v>68</v>
      </c>
      <c r="R75" s="35">
        <v>17.0</v>
      </c>
      <c r="S75" s="35" t="s">
        <v>68</v>
      </c>
      <c r="T75" s="39">
        <f t="shared" si="1"/>
        <v>2</v>
      </c>
      <c r="U75" s="15"/>
      <c r="V75" s="40" t="str">
        <f>IFERROR(__xludf.DUMMYFUNCTION("TEXTJOIN("", "",TRUE,FILTER(D$1:S$1, D75:S75=""Absent""))"),"14, 16")</f>
        <v>14, 16</v>
      </c>
      <c r="W75" s="40">
        <f t="shared" si="2"/>
        <v>2</v>
      </c>
    </row>
    <row r="76">
      <c r="A76" s="31">
        <v>74.0</v>
      </c>
      <c r="B76" s="41" t="s">
        <v>758</v>
      </c>
      <c r="C76" s="41" t="s">
        <v>759</v>
      </c>
      <c r="D76" s="35" t="s">
        <v>94</v>
      </c>
      <c r="E76" s="35" t="s">
        <v>94</v>
      </c>
      <c r="F76" s="110" t="s">
        <v>94</v>
      </c>
      <c r="G76" s="42" t="s">
        <v>68</v>
      </c>
      <c r="H76" s="35">
        <v>33.0</v>
      </c>
      <c r="I76" s="35">
        <v>37.0</v>
      </c>
      <c r="J76" s="35">
        <v>33.0</v>
      </c>
      <c r="K76" s="35">
        <v>33.0</v>
      </c>
      <c r="L76" s="35">
        <v>34.0</v>
      </c>
      <c r="M76" s="35">
        <v>34.0</v>
      </c>
      <c r="N76" s="35">
        <v>31.0</v>
      </c>
      <c r="O76" s="35">
        <v>28.0</v>
      </c>
      <c r="P76" s="35">
        <v>29.0</v>
      </c>
      <c r="Q76" s="35">
        <v>12.0</v>
      </c>
      <c r="R76" s="35">
        <v>12.0</v>
      </c>
      <c r="S76" s="35" t="s">
        <v>68</v>
      </c>
      <c r="T76" s="39">
        <f t="shared" si="1"/>
        <v>2</v>
      </c>
      <c r="U76" s="15"/>
      <c r="V76" s="40" t="str">
        <f>IFERROR(__xludf.DUMMYFUNCTION("TEXTJOIN("", "",TRUE,FILTER(D$1:S$1, D76:S76=""Absent""))"),"4, 16")</f>
        <v>4, 16</v>
      </c>
      <c r="W76" s="40">
        <f t="shared" si="2"/>
        <v>2</v>
      </c>
    </row>
    <row r="77">
      <c r="A77" s="31">
        <v>75.0</v>
      </c>
      <c r="B77" s="41" t="s">
        <v>763</v>
      </c>
      <c r="C77" s="41" t="s">
        <v>731</v>
      </c>
      <c r="D77" s="35" t="s">
        <v>94</v>
      </c>
      <c r="E77" s="35" t="s">
        <v>94</v>
      </c>
      <c r="F77" s="35" t="s">
        <v>94</v>
      </c>
      <c r="G77" s="35" t="s">
        <v>68</v>
      </c>
      <c r="H77" s="35">
        <v>30.0</v>
      </c>
      <c r="I77" s="35">
        <v>34.0</v>
      </c>
      <c r="J77" s="35">
        <v>35.0</v>
      </c>
      <c r="K77" s="35">
        <v>33.0</v>
      </c>
      <c r="L77" s="35">
        <v>32.0</v>
      </c>
      <c r="M77" s="35">
        <v>28.0</v>
      </c>
      <c r="N77" s="35">
        <v>35.0</v>
      </c>
      <c r="O77" s="35">
        <v>36.0</v>
      </c>
      <c r="P77" s="35">
        <v>37.0</v>
      </c>
      <c r="Q77" s="35">
        <v>24.0</v>
      </c>
      <c r="R77" s="35">
        <v>13.0</v>
      </c>
      <c r="S77" s="35">
        <v>34.0</v>
      </c>
      <c r="T77" s="39">
        <f t="shared" si="1"/>
        <v>1</v>
      </c>
      <c r="U77" s="15"/>
      <c r="V77" s="40" t="str">
        <f>IFERROR(__xludf.DUMMYFUNCTION("TEXTJOIN("", "",TRUE,FILTER(D$1:S$1, D77:S77=""Absent""))"),"4")</f>
        <v>4</v>
      </c>
      <c r="W77" s="40">
        <f t="shared" si="2"/>
        <v>1</v>
      </c>
    </row>
    <row r="78">
      <c r="A78" s="31">
        <v>76.0</v>
      </c>
      <c r="B78" s="32" t="s">
        <v>766</v>
      </c>
      <c r="C78" s="32" t="s">
        <v>767</v>
      </c>
      <c r="D78" s="35">
        <v>23.0</v>
      </c>
      <c r="E78" s="35">
        <v>20.0</v>
      </c>
      <c r="F78" s="35" t="s">
        <v>68</v>
      </c>
      <c r="G78" s="35">
        <v>22.0</v>
      </c>
      <c r="H78" s="35">
        <v>27.0</v>
      </c>
      <c r="I78" s="35">
        <v>24.0</v>
      </c>
      <c r="J78" s="35">
        <v>28.0</v>
      </c>
      <c r="K78" s="35">
        <v>31.0</v>
      </c>
      <c r="L78" s="35">
        <v>33.0</v>
      </c>
      <c r="M78" s="35" t="s">
        <v>68</v>
      </c>
      <c r="N78" s="35">
        <v>35.0</v>
      </c>
      <c r="O78" s="35" t="s">
        <v>68</v>
      </c>
      <c r="P78" s="35">
        <v>29.0</v>
      </c>
      <c r="Q78" s="35">
        <v>18.0</v>
      </c>
      <c r="R78" s="35">
        <v>16.0</v>
      </c>
      <c r="S78" s="35" t="s">
        <v>68</v>
      </c>
      <c r="T78" s="39">
        <f t="shared" si="1"/>
        <v>4</v>
      </c>
      <c r="U78" s="15"/>
      <c r="V78" s="40" t="str">
        <f>IFERROR(__xludf.DUMMYFUNCTION("TEXTJOIN("", "",TRUE,FILTER(D$1:S$1, D78:S78=""Absent""))"),"3, 10, 12, 16")</f>
        <v>3, 10, 12, 16</v>
      </c>
      <c r="W78" s="40">
        <f t="shared" si="2"/>
        <v>4</v>
      </c>
    </row>
    <row r="79">
      <c r="B79" s="113"/>
      <c r="C79" s="113"/>
      <c r="E79" s="114"/>
      <c r="F79" s="114"/>
      <c r="G79" s="114"/>
      <c r="H79" s="114"/>
    </row>
    <row r="80">
      <c r="B80" s="113"/>
      <c r="C80" s="113"/>
      <c r="D80" s="114"/>
    </row>
    <row r="81">
      <c r="B81" s="113"/>
      <c r="C81" s="113"/>
      <c r="D81" s="114"/>
    </row>
    <row r="82">
      <c r="B82" s="113"/>
      <c r="C82" s="113"/>
      <c r="D82" s="114"/>
    </row>
    <row r="83">
      <c r="B83" s="113"/>
      <c r="C83" s="113"/>
      <c r="D83" s="115"/>
      <c r="E83" s="115"/>
      <c r="F83" s="116"/>
      <c r="G83" s="116"/>
      <c r="H83" s="115"/>
    </row>
    <row r="84">
      <c r="B84" s="113"/>
      <c r="C84" s="113"/>
      <c r="D84" s="117"/>
      <c r="E84" s="117"/>
      <c r="H84" s="117"/>
    </row>
    <row r="85">
      <c r="B85" s="113"/>
      <c r="C85" s="113"/>
      <c r="D85" s="115"/>
      <c r="E85" s="116"/>
      <c r="F85" s="116"/>
      <c r="H85" s="115"/>
      <c r="I85" s="116"/>
      <c r="J85" s="116"/>
      <c r="K85" s="115"/>
      <c r="L85" s="116"/>
      <c r="M85" s="116"/>
    </row>
    <row r="86">
      <c r="B86" s="113"/>
      <c r="C86" s="113"/>
      <c r="D86" s="117"/>
      <c r="H86" s="117"/>
      <c r="K86" s="117"/>
    </row>
    <row r="87">
      <c r="B87" s="113"/>
      <c r="C87" s="116"/>
      <c r="D87" s="117"/>
      <c r="H87" s="117"/>
      <c r="K87" s="117"/>
    </row>
    <row r="88">
      <c r="B88" s="113"/>
      <c r="D88" s="117"/>
      <c r="H88" s="117"/>
      <c r="K88" s="117"/>
    </row>
    <row r="89">
      <c r="B89" s="113"/>
      <c r="D89" s="117"/>
      <c r="H89" s="117"/>
      <c r="K89" s="117"/>
    </row>
    <row r="90">
      <c r="B90" s="113"/>
      <c r="D90" s="117"/>
      <c r="H90" s="117"/>
      <c r="K90" s="117"/>
    </row>
    <row r="91">
      <c r="B91" s="113"/>
      <c r="D91" s="117"/>
      <c r="H91" s="117"/>
      <c r="K91" s="117"/>
    </row>
    <row r="92">
      <c r="B92" s="113"/>
      <c r="D92" s="117"/>
      <c r="H92" s="117"/>
      <c r="K92" s="117"/>
    </row>
    <row r="93">
      <c r="B93" s="113"/>
      <c r="D93" s="117"/>
      <c r="H93" s="117"/>
      <c r="K93" s="117"/>
    </row>
    <row r="94">
      <c r="B94" s="113"/>
      <c r="D94" s="117"/>
      <c r="H94" s="117"/>
      <c r="K94" s="117"/>
    </row>
    <row r="95">
      <c r="B95" s="113"/>
      <c r="D95" s="117"/>
      <c r="H95" s="117"/>
      <c r="K95" s="117"/>
    </row>
    <row r="96">
      <c r="B96" s="113"/>
      <c r="D96" s="117"/>
      <c r="H96" s="117"/>
      <c r="K96" s="117"/>
    </row>
    <row r="97">
      <c r="B97" s="113"/>
      <c r="D97" s="117"/>
      <c r="H97" s="117"/>
      <c r="K97" s="117"/>
    </row>
    <row r="98">
      <c r="B98" s="113"/>
      <c r="D98" s="117"/>
      <c r="H98" s="117"/>
      <c r="K98" s="117"/>
    </row>
    <row r="99">
      <c r="B99" s="113"/>
      <c r="D99" s="117"/>
      <c r="H99" s="117"/>
      <c r="K99" s="117"/>
    </row>
    <row r="100">
      <c r="B100" s="113"/>
      <c r="D100" s="117"/>
      <c r="H100" s="117"/>
      <c r="K100" s="117"/>
    </row>
    <row r="101">
      <c r="B101" s="113"/>
      <c r="D101" s="117"/>
      <c r="H101" s="117"/>
      <c r="K101" s="117"/>
    </row>
    <row r="102">
      <c r="B102" s="113"/>
      <c r="D102" s="117"/>
      <c r="H102" s="117"/>
      <c r="K102" s="117"/>
    </row>
    <row r="103">
      <c r="B103" s="113"/>
      <c r="D103" s="117"/>
      <c r="H103" s="117"/>
      <c r="K103" s="117"/>
    </row>
    <row r="104">
      <c r="B104" s="113"/>
      <c r="D104" s="117"/>
      <c r="H104" s="117"/>
      <c r="K104" s="117"/>
    </row>
    <row r="105">
      <c r="B105" s="113"/>
      <c r="D105" s="117"/>
      <c r="H105" s="117"/>
      <c r="K105" s="117"/>
    </row>
    <row r="106">
      <c r="B106" s="113"/>
      <c r="D106" s="117"/>
      <c r="H106" s="117"/>
      <c r="K106" s="117"/>
    </row>
    <row r="107">
      <c r="B107" s="113"/>
      <c r="D107" s="117"/>
      <c r="H107" s="117"/>
      <c r="K107" s="117"/>
    </row>
    <row r="108">
      <c r="B108" s="113"/>
      <c r="D108" s="117"/>
      <c r="H108" s="117"/>
      <c r="K108" s="117"/>
    </row>
    <row r="109">
      <c r="B109" s="113"/>
      <c r="D109" s="117"/>
      <c r="H109" s="117"/>
      <c r="K109" s="117"/>
    </row>
    <row r="110">
      <c r="B110" s="113"/>
      <c r="D110" s="117"/>
      <c r="H110" s="117"/>
      <c r="K110" s="117"/>
    </row>
    <row r="111">
      <c r="B111" s="113"/>
      <c r="D111" s="117"/>
      <c r="H111" s="117"/>
      <c r="K111" s="117"/>
    </row>
    <row r="112">
      <c r="B112" s="113"/>
      <c r="D112" s="117"/>
      <c r="H112" s="117"/>
      <c r="K112" s="117"/>
    </row>
    <row r="113">
      <c r="B113" s="113"/>
      <c r="D113" s="117"/>
      <c r="H113" s="117"/>
      <c r="K113" s="117"/>
    </row>
    <row r="114">
      <c r="B114" s="113"/>
      <c r="D114" s="117"/>
      <c r="H114" s="117"/>
      <c r="K114" s="117"/>
    </row>
    <row r="115">
      <c r="B115" s="113"/>
      <c r="D115" s="117"/>
      <c r="H115" s="117"/>
      <c r="K115" s="117"/>
    </row>
    <row r="116">
      <c r="B116" s="113"/>
      <c r="D116" s="117"/>
      <c r="H116" s="117"/>
      <c r="K116" s="117"/>
    </row>
    <row r="117">
      <c r="B117" s="113"/>
      <c r="D117" s="117"/>
      <c r="H117" s="117"/>
      <c r="K117" s="117"/>
    </row>
    <row r="118">
      <c r="B118" s="113"/>
      <c r="D118" s="117"/>
      <c r="H118" s="117"/>
      <c r="K118" s="117"/>
    </row>
    <row r="119">
      <c r="B119" s="113"/>
      <c r="D119" s="117"/>
      <c r="H119" s="117"/>
      <c r="K119" s="117"/>
    </row>
    <row r="120">
      <c r="B120" s="113"/>
      <c r="D120" s="117"/>
      <c r="H120" s="117"/>
      <c r="K120" s="117"/>
      <c r="N120" s="116"/>
      <c r="O120" s="116"/>
      <c r="P120" s="116"/>
      <c r="Q120" s="116"/>
      <c r="R120" s="116"/>
      <c r="S120" s="116"/>
      <c r="T120" s="116"/>
    </row>
    <row r="121">
      <c r="B121" s="113"/>
      <c r="D121" s="117"/>
      <c r="H121" s="117"/>
      <c r="K121" s="117"/>
    </row>
    <row r="122">
      <c r="B122" s="113"/>
      <c r="D122" s="117"/>
      <c r="H122" s="117"/>
      <c r="K122" s="117"/>
    </row>
    <row r="123">
      <c r="B123" s="113"/>
      <c r="D123" s="117"/>
      <c r="H123" s="117"/>
      <c r="K123" s="117"/>
    </row>
    <row r="124">
      <c r="B124" s="113"/>
      <c r="D124" s="117"/>
      <c r="H124" s="117"/>
      <c r="K124" s="117"/>
    </row>
    <row r="125">
      <c r="B125" s="113"/>
      <c r="D125" s="117"/>
      <c r="H125" s="117"/>
      <c r="K125" s="117"/>
    </row>
    <row r="126">
      <c r="B126" s="113"/>
      <c r="D126" s="117"/>
      <c r="H126" s="117"/>
      <c r="K126" s="117"/>
    </row>
    <row r="127">
      <c r="B127" s="113"/>
      <c r="D127" s="117"/>
      <c r="H127" s="117"/>
      <c r="K127" s="117"/>
    </row>
    <row r="128">
      <c r="B128" s="113"/>
      <c r="D128" s="117"/>
      <c r="H128" s="117"/>
      <c r="K128" s="117"/>
    </row>
    <row r="129">
      <c r="B129" s="113"/>
      <c r="D129" s="117"/>
      <c r="H129" s="117"/>
      <c r="K129" s="117"/>
    </row>
    <row r="130">
      <c r="B130" s="113"/>
      <c r="D130" s="117"/>
      <c r="H130" s="117"/>
      <c r="K130" s="117"/>
    </row>
    <row r="131">
      <c r="B131" s="113"/>
      <c r="D131" s="117"/>
      <c r="H131" s="117"/>
      <c r="K131" s="117"/>
    </row>
    <row r="132">
      <c r="B132" s="113"/>
      <c r="D132" s="117"/>
      <c r="H132" s="117"/>
      <c r="K132" s="117"/>
    </row>
    <row r="133">
      <c r="B133" s="113"/>
      <c r="D133" s="117"/>
      <c r="H133" s="117"/>
      <c r="K133" s="117"/>
    </row>
    <row r="134">
      <c r="B134" s="113"/>
      <c r="D134" s="117"/>
      <c r="H134" s="117"/>
      <c r="K134" s="117"/>
    </row>
    <row r="135">
      <c r="B135" s="113"/>
      <c r="D135" s="117"/>
      <c r="H135" s="117"/>
      <c r="K135" s="117"/>
    </row>
    <row r="136">
      <c r="B136" s="113"/>
      <c r="D136" s="117"/>
      <c r="H136" s="117"/>
      <c r="K136" s="117"/>
    </row>
    <row r="137">
      <c r="B137" s="113"/>
      <c r="D137" s="117"/>
      <c r="H137" s="117"/>
      <c r="K137" s="117"/>
    </row>
    <row r="138">
      <c r="B138" s="113"/>
      <c r="D138" s="117"/>
      <c r="H138" s="117"/>
      <c r="K138" s="117"/>
    </row>
    <row r="139">
      <c r="B139" s="113"/>
      <c r="D139" s="117"/>
      <c r="H139" s="117"/>
      <c r="K139" s="117"/>
    </row>
    <row r="140">
      <c r="B140" s="113"/>
      <c r="D140" s="117"/>
      <c r="H140" s="117"/>
      <c r="K140" s="117"/>
    </row>
    <row r="141">
      <c r="B141" s="113"/>
      <c r="D141" s="117"/>
      <c r="H141" s="117"/>
      <c r="K141" s="117"/>
    </row>
    <row r="142">
      <c r="B142" s="113"/>
      <c r="D142" s="117"/>
      <c r="H142" s="117"/>
      <c r="K142" s="117"/>
    </row>
    <row r="143">
      <c r="B143" s="113"/>
      <c r="D143" s="117"/>
      <c r="H143" s="117"/>
      <c r="K143" s="117"/>
    </row>
    <row r="144">
      <c r="B144" s="113"/>
      <c r="D144" s="117"/>
      <c r="H144" s="117"/>
      <c r="K144" s="117"/>
    </row>
    <row r="145">
      <c r="B145" s="113"/>
      <c r="D145" s="117"/>
      <c r="H145" s="117"/>
      <c r="K145" s="117"/>
    </row>
    <row r="146">
      <c r="B146" s="113"/>
      <c r="D146" s="117"/>
      <c r="H146" s="117"/>
      <c r="K146" s="117"/>
    </row>
    <row r="147">
      <c r="B147" s="113"/>
      <c r="D147" s="117"/>
      <c r="H147" s="117"/>
      <c r="K147" s="117"/>
    </row>
    <row r="148">
      <c r="B148" s="113"/>
      <c r="D148" s="117"/>
      <c r="H148" s="117"/>
      <c r="K148" s="117"/>
    </row>
    <row r="149">
      <c r="B149" s="113"/>
      <c r="D149" s="117"/>
      <c r="H149" s="117"/>
      <c r="K149" s="117"/>
    </row>
    <row r="150">
      <c r="B150" s="113"/>
      <c r="D150" s="117"/>
      <c r="H150" s="117"/>
      <c r="K150" s="117"/>
    </row>
    <row r="151">
      <c r="B151" s="113"/>
      <c r="D151" s="117"/>
      <c r="H151" s="117"/>
      <c r="K151" s="117"/>
    </row>
    <row r="152">
      <c r="B152" s="113"/>
      <c r="D152" s="117"/>
      <c r="H152" s="117"/>
      <c r="K152" s="117"/>
    </row>
    <row r="153">
      <c r="B153" s="113"/>
      <c r="D153" s="117"/>
      <c r="H153" s="117"/>
      <c r="K153" s="117"/>
    </row>
    <row r="154">
      <c r="B154" s="113"/>
      <c r="D154" s="117"/>
      <c r="H154" s="117"/>
      <c r="K154" s="117"/>
    </row>
    <row r="155">
      <c r="B155" s="113"/>
      <c r="D155" s="117"/>
      <c r="H155" s="117"/>
      <c r="K155" s="117"/>
    </row>
    <row r="156">
      <c r="B156" s="113"/>
      <c r="D156" s="117"/>
      <c r="H156" s="117"/>
      <c r="K156" s="117"/>
    </row>
    <row r="157">
      <c r="B157" s="113"/>
      <c r="D157" s="117"/>
      <c r="H157" s="117"/>
      <c r="K157" s="117"/>
    </row>
    <row r="158">
      <c r="B158" s="113"/>
      <c r="D158" s="117"/>
      <c r="H158" s="117"/>
      <c r="K158" s="117"/>
    </row>
    <row r="159">
      <c r="B159" s="113"/>
      <c r="D159" s="117"/>
      <c r="H159" s="117"/>
      <c r="K159" s="117"/>
    </row>
    <row r="160">
      <c r="B160" s="113"/>
      <c r="D160" s="117"/>
      <c r="H160" s="117"/>
      <c r="K160" s="117"/>
    </row>
    <row r="161">
      <c r="B161" s="113"/>
      <c r="D161" s="117"/>
      <c r="H161" s="117"/>
      <c r="K161" s="117"/>
    </row>
    <row r="162">
      <c r="B162" s="113"/>
      <c r="E162" s="117"/>
      <c r="H162" s="117"/>
    </row>
    <row r="163">
      <c r="B163" s="113"/>
      <c r="E163" s="117"/>
      <c r="H163" s="117"/>
    </row>
    <row r="164">
      <c r="B164" s="113"/>
      <c r="D164" s="119"/>
      <c r="E164" s="117"/>
      <c r="H164" s="117"/>
    </row>
    <row r="165">
      <c r="B165" s="113"/>
      <c r="D165" s="119"/>
      <c r="E165" s="117"/>
      <c r="H165" s="117"/>
    </row>
    <row r="166">
      <c r="B166" s="113"/>
      <c r="D166" s="119"/>
      <c r="E166" s="117"/>
      <c r="H166" s="117"/>
    </row>
    <row r="167">
      <c r="B167" s="113"/>
      <c r="D167" s="119"/>
      <c r="E167" s="117"/>
      <c r="H167" s="117"/>
    </row>
    <row r="168">
      <c r="B168" s="113"/>
      <c r="D168" s="119"/>
      <c r="E168" s="114"/>
    </row>
    <row r="169">
      <c r="B169" s="113"/>
      <c r="D169" s="119"/>
      <c r="E169" s="114"/>
    </row>
    <row r="170">
      <c r="B170" s="113"/>
      <c r="D170" s="119"/>
      <c r="E170" s="114"/>
    </row>
    <row r="171">
      <c r="B171" s="113"/>
      <c r="D171" s="119"/>
      <c r="E171" s="114"/>
    </row>
    <row r="172">
      <c r="B172" s="113"/>
      <c r="D172" s="119"/>
      <c r="E172" s="114"/>
    </row>
    <row r="173">
      <c r="B173" s="113"/>
      <c r="D173" s="119"/>
      <c r="E173" s="114"/>
    </row>
    <row r="174">
      <c r="B174" s="113"/>
      <c r="D174" s="119"/>
      <c r="E174" s="114"/>
    </row>
    <row r="175">
      <c r="B175" s="113"/>
      <c r="D175" s="119"/>
      <c r="E175" s="114"/>
    </row>
    <row r="176">
      <c r="B176" s="113"/>
      <c r="D176" s="119"/>
      <c r="E176" s="114"/>
    </row>
    <row r="177">
      <c r="B177" s="113"/>
      <c r="D177" s="119"/>
      <c r="E177" s="114"/>
    </row>
    <row r="178">
      <c r="B178" s="113"/>
      <c r="C178" s="113"/>
      <c r="D178" s="114"/>
      <c r="E178" s="114"/>
    </row>
    <row r="179">
      <c r="B179" s="113"/>
      <c r="C179" s="113"/>
      <c r="D179" s="114"/>
      <c r="E179" s="114"/>
    </row>
    <row r="180">
      <c r="B180" s="113"/>
      <c r="C180" s="113"/>
      <c r="D180" s="114"/>
      <c r="E180" s="114"/>
    </row>
    <row r="181">
      <c r="B181" s="113"/>
      <c r="C181" s="113"/>
      <c r="D181" s="114"/>
      <c r="E181" s="114"/>
    </row>
    <row r="182">
      <c r="B182" s="113"/>
      <c r="C182" s="113"/>
      <c r="D182" s="114"/>
      <c r="E182" s="114"/>
    </row>
    <row r="183">
      <c r="B183" s="113"/>
      <c r="C183" s="113"/>
      <c r="D183" s="114"/>
      <c r="E183" s="114"/>
    </row>
    <row r="184">
      <c r="B184" s="113"/>
      <c r="C184" s="113"/>
      <c r="D184" s="114"/>
      <c r="E184" s="114"/>
    </row>
    <row r="185">
      <c r="B185" s="113"/>
      <c r="C185" s="113"/>
      <c r="D185" s="114"/>
      <c r="E185" s="114"/>
    </row>
    <row r="186">
      <c r="B186" s="113"/>
      <c r="C186" s="113"/>
      <c r="D186" s="114"/>
      <c r="E186" s="114"/>
    </row>
    <row r="187">
      <c r="B187" s="113"/>
      <c r="C187" s="113"/>
      <c r="D187" s="114"/>
      <c r="E187" s="114"/>
    </row>
    <row r="188">
      <c r="B188" s="113"/>
      <c r="C188" s="113"/>
      <c r="D188" s="114"/>
      <c r="E188" s="114"/>
    </row>
    <row r="189">
      <c r="B189" s="113"/>
      <c r="C189" s="113"/>
      <c r="D189" s="114"/>
      <c r="E189" s="114"/>
    </row>
    <row r="190">
      <c r="B190" s="113"/>
      <c r="C190" s="113"/>
      <c r="D190" s="114"/>
      <c r="E190" s="114"/>
    </row>
    <row r="191">
      <c r="B191" s="113"/>
      <c r="C191" s="113"/>
      <c r="D191" s="114"/>
      <c r="E191" s="114"/>
    </row>
    <row r="192">
      <c r="B192" s="113"/>
      <c r="C192" s="113"/>
      <c r="D192" s="114"/>
      <c r="E192" s="114"/>
    </row>
    <row r="193">
      <c r="B193" s="113"/>
      <c r="C193" s="113"/>
      <c r="D193" s="114"/>
      <c r="E193" s="114"/>
    </row>
    <row r="194">
      <c r="B194" s="113"/>
      <c r="C194" s="113"/>
      <c r="D194" s="114"/>
      <c r="E194" s="114"/>
    </row>
    <row r="195">
      <c r="B195" s="113"/>
      <c r="C195" s="113"/>
      <c r="D195" s="114"/>
      <c r="E195" s="114"/>
    </row>
    <row r="196">
      <c r="B196" s="113"/>
      <c r="C196" s="113"/>
      <c r="D196" s="114"/>
      <c r="E196" s="114"/>
    </row>
    <row r="197">
      <c r="B197" s="113"/>
      <c r="C197" s="113"/>
      <c r="D197" s="114"/>
      <c r="E197" s="114"/>
    </row>
    <row r="198">
      <c r="B198" s="113"/>
      <c r="C198" s="113"/>
      <c r="D198" s="114"/>
      <c r="E198" s="114"/>
    </row>
    <row r="199">
      <c r="B199" s="113"/>
      <c r="C199" s="113"/>
      <c r="D199" s="114"/>
      <c r="E199" s="114"/>
    </row>
    <row r="200">
      <c r="B200" s="113"/>
      <c r="C200" s="113"/>
      <c r="D200" s="114"/>
      <c r="E200" s="114"/>
    </row>
    <row r="201">
      <c r="B201" s="113"/>
      <c r="C201" s="113"/>
      <c r="D201" s="114"/>
      <c r="E201" s="114"/>
    </row>
    <row r="202">
      <c r="B202" s="113"/>
      <c r="C202" s="113"/>
      <c r="D202" s="114"/>
      <c r="E202" s="114"/>
    </row>
    <row r="203">
      <c r="B203" s="113"/>
      <c r="C203" s="113"/>
      <c r="D203" s="114"/>
      <c r="E203" s="114"/>
    </row>
    <row r="204">
      <c r="B204" s="113"/>
      <c r="C204" s="113"/>
      <c r="D204" s="114"/>
      <c r="E204" s="114"/>
    </row>
    <row r="205">
      <c r="B205" s="113"/>
      <c r="C205" s="113"/>
      <c r="D205" s="114"/>
      <c r="E205" s="114"/>
    </row>
    <row r="206">
      <c r="B206" s="113"/>
      <c r="C206" s="113"/>
      <c r="D206" s="114"/>
      <c r="E206" s="114"/>
    </row>
    <row r="207">
      <c r="B207" s="113"/>
      <c r="C207" s="113"/>
      <c r="D207" s="114"/>
      <c r="E207" s="114"/>
    </row>
    <row r="208">
      <c r="B208" s="113"/>
      <c r="C208" s="113"/>
      <c r="D208" s="114"/>
      <c r="E208" s="114"/>
    </row>
    <row r="209">
      <c r="B209" s="113"/>
      <c r="C209" s="113"/>
      <c r="D209" s="114"/>
      <c r="E209" s="114"/>
    </row>
    <row r="210">
      <c r="B210" s="113"/>
      <c r="C210" s="113"/>
      <c r="D210" s="114"/>
      <c r="E210" s="114"/>
    </row>
    <row r="211">
      <c r="B211" s="113"/>
      <c r="C211" s="113"/>
      <c r="D211" s="114"/>
      <c r="E211" s="114"/>
    </row>
    <row r="212">
      <c r="B212" s="113"/>
      <c r="C212" s="113"/>
      <c r="D212" s="114"/>
      <c r="E212" s="114"/>
    </row>
    <row r="213">
      <c r="B213" s="113"/>
      <c r="C213" s="113"/>
      <c r="D213" s="114"/>
      <c r="E213" s="114"/>
    </row>
    <row r="214">
      <c r="B214" s="113"/>
      <c r="C214" s="113"/>
      <c r="D214" s="114"/>
      <c r="E214" s="114"/>
    </row>
    <row r="215">
      <c r="B215" s="113"/>
      <c r="C215" s="113"/>
      <c r="D215" s="114"/>
      <c r="E215" s="114"/>
    </row>
    <row r="216">
      <c r="B216" s="113"/>
      <c r="C216" s="113"/>
      <c r="D216" s="114"/>
      <c r="E216" s="114"/>
    </row>
    <row r="217">
      <c r="B217" s="113"/>
      <c r="C217" s="113"/>
      <c r="D217" s="114"/>
      <c r="E217" s="114"/>
    </row>
    <row r="218">
      <c r="B218" s="113"/>
      <c r="C218" s="113"/>
      <c r="D218" s="114"/>
      <c r="E218" s="114"/>
    </row>
    <row r="219">
      <c r="B219" s="113"/>
      <c r="C219" s="113"/>
      <c r="D219" s="114"/>
      <c r="E219" s="114"/>
    </row>
    <row r="220">
      <c r="B220" s="113"/>
      <c r="C220" s="113"/>
      <c r="D220" s="114"/>
      <c r="E220" s="114"/>
    </row>
    <row r="221">
      <c r="B221" s="113"/>
      <c r="C221" s="113"/>
      <c r="D221" s="114"/>
      <c r="E221" s="114"/>
    </row>
    <row r="222">
      <c r="B222" s="113"/>
      <c r="C222" s="113"/>
      <c r="D222" s="114"/>
      <c r="E222" s="114"/>
    </row>
    <row r="223">
      <c r="B223" s="113"/>
      <c r="C223" s="113"/>
      <c r="D223" s="114"/>
      <c r="E223" s="114"/>
    </row>
    <row r="224">
      <c r="B224" s="113"/>
      <c r="C224" s="113"/>
      <c r="D224" s="114"/>
      <c r="E224" s="114"/>
    </row>
    <row r="225">
      <c r="B225" s="113"/>
      <c r="C225" s="113"/>
      <c r="D225" s="114"/>
      <c r="E225" s="114"/>
    </row>
    <row r="226">
      <c r="B226" s="113"/>
      <c r="C226" s="113"/>
      <c r="D226" s="114"/>
      <c r="E226" s="114"/>
    </row>
    <row r="227">
      <c r="B227" s="113"/>
      <c r="C227" s="113"/>
      <c r="D227" s="114"/>
      <c r="E227" s="114"/>
    </row>
    <row r="228">
      <c r="B228" s="113"/>
      <c r="C228" s="113"/>
      <c r="D228" s="114"/>
      <c r="E228" s="114"/>
    </row>
    <row r="229">
      <c r="B229" s="113"/>
      <c r="C229" s="113"/>
      <c r="D229" s="114"/>
      <c r="E229" s="114"/>
    </row>
    <row r="230">
      <c r="B230" s="113"/>
      <c r="C230" s="113"/>
      <c r="D230" s="114"/>
      <c r="E230" s="114"/>
    </row>
    <row r="231">
      <c r="B231" s="113"/>
      <c r="C231" s="113"/>
      <c r="D231" s="114"/>
      <c r="E231" s="114"/>
    </row>
    <row r="232">
      <c r="B232" s="113"/>
      <c r="C232" s="113"/>
      <c r="D232" s="114"/>
      <c r="E232" s="114"/>
    </row>
    <row r="233">
      <c r="B233" s="113"/>
      <c r="C233" s="113"/>
      <c r="D233" s="114"/>
      <c r="E233" s="114"/>
    </row>
    <row r="234">
      <c r="B234" s="113"/>
      <c r="C234" s="113"/>
      <c r="D234" s="114"/>
      <c r="E234" s="114"/>
    </row>
    <row r="235">
      <c r="B235" s="113"/>
      <c r="C235" s="113"/>
      <c r="D235" s="114"/>
      <c r="E235" s="114"/>
    </row>
    <row r="236">
      <c r="B236" s="113"/>
      <c r="C236" s="113"/>
      <c r="D236" s="114"/>
      <c r="E236" s="114"/>
    </row>
    <row r="237">
      <c r="B237" s="113"/>
      <c r="C237" s="113"/>
      <c r="D237" s="114"/>
      <c r="E237" s="114"/>
    </row>
    <row r="238">
      <c r="B238" s="113"/>
      <c r="C238" s="113"/>
      <c r="D238" s="114"/>
      <c r="E238" s="114"/>
    </row>
    <row r="239">
      <c r="B239" s="113"/>
      <c r="C239" s="113"/>
      <c r="D239" s="114"/>
      <c r="E239" s="114"/>
    </row>
    <row r="240">
      <c r="B240" s="113"/>
      <c r="C240" s="113"/>
      <c r="D240" s="114"/>
      <c r="E240" s="114"/>
    </row>
    <row r="241">
      <c r="B241" s="113"/>
      <c r="C241" s="113"/>
      <c r="D241" s="114"/>
      <c r="E241" s="114"/>
    </row>
    <row r="242">
      <c r="B242" s="113"/>
      <c r="C242" s="113"/>
      <c r="D242" s="114"/>
      <c r="E242" s="114"/>
    </row>
    <row r="243">
      <c r="B243" s="113"/>
      <c r="C243" s="113"/>
      <c r="D243" s="114"/>
      <c r="E243" s="114"/>
    </row>
    <row r="244">
      <c r="B244" s="113"/>
      <c r="C244" s="113"/>
      <c r="D244" s="114"/>
      <c r="E244" s="114"/>
    </row>
    <row r="245">
      <c r="B245" s="113"/>
      <c r="C245" s="113"/>
      <c r="D245" s="114"/>
      <c r="E245" s="114"/>
    </row>
    <row r="246">
      <c r="B246" s="113"/>
      <c r="C246" s="113"/>
      <c r="D246" s="114"/>
      <c r="E246" s="114"/>
    </row>
    <row r="247">
      <c r="B247" s="113"/>
      <c r="C247" s="113"/>
      <c r="D247" s="114"/>
      <c r="E247" s="114"/>
    </row>
    <row r="248">
      <c r="B248" s="113"/>
      <c r="C248" s="113"/>
      <c r="D248" s="114"/>
      <c r="E248" s="114"/>
    </row>
    <row r="249">
      <c r="B249" s="113"/>
      <c r="C249" s="113"/>
      <c r="D249" s="114"/>
      <c r="E249" s="114"/>
    </row>
    <row r="250">
      <c r="B250" s="113"/>
      <c r="C250" s="113"/>
      <c r="D250" s="114"/>
      <c r="E250" s="114"/>
    </row>
    <row r="251">
      <c r="B251" s="113"/>
      <c r="C251" s="113"/>
      <c r="D251" s="114"/>
      <c r="E251" s="114"/>
    </row>
    <row r="252">
      <c r="B252" s="113"/>
      <c r="C252" s="113"/>
      <c r="D252" s="114"/>
      <c r="E252" s="114"/>
    </row>
    <row r="253">
      <c r="B253" s="113"/>
      <c r="C253" s="113"/>
      <c r="D253" s="114"/>
      <c r="E253" s="114"/>
    </row>
    <row r="254">
      <c r="B254" s="113"/>
      <c r="C254" s="113"/>
      <c r="D254" s="114"/>
      <c r="E254" s="114"/>
    </row>
    <row r="255">
      <c r="B255" s="113"/>
      <c r="C255" s="113"/>
      <c r="D255" s="114"/>
      <c r="E255" s="114"/>
    </row>
    <row r="256">
      <c r="B256" s="113"/>
      <c r="C256" s="113"/>
      <c r="D256" s="114"/>
      <c r="E256" s="114"/>
    </row>
    <row r="257">
      <c r="B257" s="113"/>
      <c r="C257" s="113"/>
      <c r="D257" s="114"/>
      <c r="E257" s="114"/>
    </row>
    <row r="258">
      <c r="B258" s="113"/>
      <c r="C258" s="113"/>
      <c r="D258" s="114"/>
      <c r="E258" s="114"/>
    </row>
    <row r="259">
      <c r="B259" s="113"/>
      <c r="C259" s="113"/>
      <c r="D259" s="114"/>
      <c r="E259" s="114"/>
    </row>
    <row r="260">
      <c r="B260" s="113"/>
      <c r="C260" s="113"/>
      <c r="D260" s="114"/>
      <c r="E260" s="114"/>
    </row>
    <row r="261">
      <c r="B261" s="113"/>
      <c r="C261" s="113"/>
      <c r="D261" s="114"/>
      <c r="E261" s="114"/>
    </row>
    <row r="262">
      <c r="B262" s="113"/>
      <c r="C262" s="113"/>
      <c r="D262" s="114"/>
      <c r="E262" s="114"/>
    </row>
    <row r="263">
      <c r="B263" s="113"/>
      <c r="C263" s="113"/>
      <c r="D263" s="114"/>
      <c r="E263" s="114"/>
    </row>
    <row r="264">
      <c r="B264" s="113"/>
      <c r="C264" s="113"/>
      <c r="D264" s="114"/>
      <c r="E264" s="114"/>
    </row>
    <row r="265">
      <c r="B265" s="113"/>
      <c r="C265" s="113"/>
      <c r="D265" s="114"/>
      <c r="E265" s="114"/>
    </row>
    <row r="266">
      <c r="B266" s="113"/>
      <c r="C266" s="113"/>
      <c r="D266" s="114"/>
      <c r="E266" s="114"/>
    </row>
    <row r="267">
      <c r="B267" s="113"/>
      <c r="C267" s="113"/>
      <c r="D267" s="114"/>
      <c r="E267" s="114"/>
    </row>
    <row r="268">
      <c r="B268" s="113"/>
      <c r="C268" s="113"/>
      <c r="D268" s="114"/>
      <c r="E268" s="114"/>
    </row>
    <row r="269">
      <c r="B269" s="113"/>
      <c r="C269" s="113"/>
      <c r="D269" s="114"/>
      <c r="E269" s="114"/>
    </row>
    <row r="270">
      <c r="B270" s="113"/>
      <c r="C270" s="113"/>
      <c r="D270" s="114"/>
      <c r="E270" s="114"/>
    </row>
    <row r="271">
      <c r="B271" s="113"/>
      <c r="C271" s="113"/>
      <c r="D271" s="114"/>
      <c r="E271" s="114"/>
    </row>
    <row r="272">
      <c r="B272" s="113"/>
      <c r="C272" s="113"/>
      <c r="D272" s="114"/>
      <c r="E272" s="114"/>
    </row>
    <row r="273">
      <c r="B273" s="113"/>
      <c r="C273" s="113"/>
      <c r="D273" s="114"/>
      <c r="E273" s="114"/>
    </row>
    <row r="274">
      <c r="B274" s="113"/>
      <c r="C274" s="113"/>
      <c r="D274" s="114"/>
      <c r="E274" s="114"/>
    </row>
    <row r="275">
      <c r="B275" s="113"/>
      <c r="C275" s="113"/>
      <c r="D275" s="114"/>
      <c r="E275" s="114"/>
    </row>
    <row r="276">
      <c r="B276" s="113"/>
      <c r="C276" s="113"/>
      <c r="D276" s="114"/>
      <c r="E276" s="114"/>
    </row>
    <row r="277">
      <c r="B277" s="113"/>
      <c r="C277" s="113"/>
      <c r="D277" s="114"/>
      <c r="E277" s="114"/>
    </row>
    <row r="278">
      <c r="B278" s="113"/>
      <c r="C278" s="113"/>
      <c r="D278" s="114"/>
      <c r="E278" s="114"/>
    </row>
    <row r="279">
      <c r="B279" s="113"/>
      <c r="C279" s="113"/>
      <c r="D279" s="114"/>
      <c r="E279" s="114"/>
    </row>
    <row r="280">
      <c r="B280" s="113"/>
      <c r="C280" s="113"/>
      <c r="D280" s="114"/>
      <c r="E280" s="114"/>
    </row>
    <row r="281">
      <c r="B281" s="113"/>
      <c r="C281" s="113"/>
      <c r="D281" s="114"/>
      <c r="E281" s="114"/>
    </row>
    <row r="282">
      <c r="B282" s="113"/>
      <c r="C282" s="113"/>
      <c r="D282" s="114"/>
      <c r="E282" s="114"/>
    </row>
    <row r="283">
      <c r="B283" s="113"/>
      <c r="C283" s="113"/>
      <c r="D283" s="114"/>
      <c r="E283" s="114"/>
    </row>
    <row r="284">
      <c r="B284" s="113"/>
      <c r="C284" s="113"/>
      <c r="D284" s="114"/>
      <c r="E284" s="114"/>
    </row>
    <row r="285">
      <c r="B285" s="113"/>
      <c r="C285" s="113"/>
      <c r="D285" s="114"/>
      <c r="E285" s="114"/>
    </row>
    <row r="286">
      <c r="B286" s="113"/>
      <c r="C286" s="113"/>
      <c r="D286" s="114"/>
      <c r="E286" s="114"/>
    </row>
    <row r="287">
      <c r="B287" s="113"/>
      <c r="C287" s="113"/>
      <c r="D287" s="114"/>
      <c r="E287" s="114"/>
    </row>
    <row r="288">
      <c r="B288" s="113"/>
      <c r="C288" s="113"/>
      <c r="D288" s="114"/>
      <c r="E288" s="114"/>
    </row>
    <row r="289">
      <c r="B289" s="113"/>
      <c r="C289" s="113"/>
      <c r="D289" s="114"/>
      <c r="E289" s="114"/>
    </row>
    <row r="290">
      <c r="B290" s="113"/>
      <c r="C290" s="113"/>
      <c r="D290" s="114"/>
      <c r="E290" s="114"/>
    </row>
    <row r="291">
      <c r="B291" s="113"/>
      <c r="C291" s="113"/>
      <c r="D291" s="114"/>
      <c r="E291" s="114"/>
    </row>
    <row r="292">
      <c r="B292" s="113"/>
      <c r="C292" s="113"/>
      <c r="D292" s="114"/>
      <c r="E292" s="114"/>
    </row>
    <row r="293">
      <c r="B293" s="113"/>
      <c r="C293" s="113"/>
      <c r="D293" s="114"/>
      <c r="E293" s="114"/>
    </row>
    <row r="294">
      <c r="B294" s="113"/>
      <c r="C294" s="113"/>
      <c r="D294" s="114"/>
      <c r="E294" s="114"/>
    </row>
    <row r="295">
      <c r="B295" s="113"/>
      <c r="C295" s="113"/>
      <c r="D295" s="114"/>
      <c r="E295" s="114"/>
    </row>
    <row r="296">
      <c r="B296" s="113"/>
      <c r="C296" s="113"/>
      <c r="D296" s="114"/>
      <c r="E296" s="114"/>
    </row>
    <row r="297">
      <c r="B297" s="113"/>
      <c r="C297" s="113"/>
      <c r="D297" s="114"/>
      <c r="E297" s="114"/>
    </row>
    <row r="298">
      <c r="B298" s="113"/>
      <c r="C298" s="113"/>
      <c r="D298" s="114"/>
      <c r="E298" s="114"/>
    </row>
    <row r="299">
      <c r="B299" s="113"/>
      <c r="C299" s="113"/>
      <c r="D299" s="114"/>
      <c r="E299" s="114"/>
    </row>
    <row r="300">
      <c r="B300" s="113"/>
      <c r="C300" s="113"/>
      <c r="D300" s="114"/>
      <c r="E300" s="114"/>
    </row>
    <row r="301">
      <c r="B301" s="113"/>
      <c r="C301" s="113"/>
      <c r="D301" s="114"/>
      <c r="E301" s="114"/>
    </row>
    <row r="302">
      <c r="B302" s="113"/>
      <c r="C302" s="113"/>
      <c r="D302" s="114"/>
      <c r="E302" s="114"/>
    </row>
    <row r="303">
      <c r="B303" s="113"/>
      <c r="C303" s="113"/>
      <c r="D303" s="114"/>
      <c r="E303" s="114"/>
    </row>
    <row r="304">
      <c r="B304" s="113"/>
      <c r="C304" s="113"/>
      <c r="D304" s="114"/>
      <c r="E304" s="114"/>
    </row>
    <row r="305">
      <c r="B305" s="113"/>
      <c r="C305" s="113"/>
      <c r="D305" s="114"/>
      <c r="E305" s="114"/>
    </row>
    <row r="306">
      <c r="B306" s="113"/>
      <c r="C306" s="113"/>
      <c r="D306" s="114"/>
      <c r="E306" s="114"/>
    </row>
    <row r="307">
      <c r="B307" s="113"/>
      <c r="C307" s="113"/>
      <c r="D307" s="114"/>
      <c r="E307" s="114"/>
    </row>
    <row r="308">
      <c r="B308" s="113"/>
      <c r="C308" s="113"/>
      <c r="D308" s="114"/>
      <c r="E308" s="114"/>
    </row>
    <row r="309">
      <c r="B309" s="113"/>
      <c r="C309" s="113"/>
      <c r="D309" s="114"/>
      <c r="E309" s="114"/>
    </row>
    <row r="310">
      <c r="B310" s="113"/>
      <c r="C310" s="113"/>
      <c r="D310" s="114"/>
      <c r="E310" s="114"/>
    </row>
    <row r="311">
      <c r="B311" s="113"/>
      <c r="C311" s="113"/>
      <c r="D311" s="114"/>
      <c r="E311" s="114"/>
    </row>
    <row r="312">
      <c r="B312" s="113"/>
      <c r="C312" s="113"/>
      <c r="D312" s="114"/>
      <c r="E312" s="114"/>
    </row>
    <row r="313">
      <c r="B313" s="113"/>
      <c r="C313" s="113"/>
      <c r="D313" s="114"/>
      <c r="E313" s="114"/>
    </row>
    <row r="314">
      <c r="B314" s="113"/>
      <c r="C314" s="113"/>
      <c r="D314" s="114"/>
      <c r="E314" s="114"/>
    </row>
    <row r="315">
      <c r="B315" s="113"/>
      <c r="C315" s="113"/>
      <c r="D315" s="114"/>
      <c r="E315" s="114"/>
    </row>
    <row r="316">
      <c r="B316" s="113"/>
      <c r="C316" s="113"/>
      <c r="D316" s="114"/>
      <c r="E316" s="114"/>
    </row>
    <row r="317">
      <c r="B317" s="113"/>
      <c r="C317" s="113"/>
      <c r="D317" s="114"/>
      <c r="E317" s="114"/>
    </row>
    <row r="318">
      <c r="B318" s="113"/>
      <c r="C318" s="113"/>
      <c r="D318" s="114"/>
      <c r="E318" s="114"/>
    </row>
    <row r="319">
      <c r="B319" s="113"/>
      <c r="C319" s="113"/>
      <c r="D319" s="114"/>
      <c r="E319" s="114"/>
    </row>
    <row r="320">
      <c r="B320" s="113"/>
      <c r="C320" s="113"/>
      <c r="D320" s="114"/>
      <c r="E320" s="114"/>
    </row>
    <row r="321">
      <c r="B321" s="113"/>
      <c r="C321" s="113"/>
      <c r="D321" s="114"/>
      <c r="E321" s="114"/>
    </row>
    <row r="322">
      <c r="B322" s="113"/>
      <c r="C322" s="113"/>
      <c r="D322" s="114"/>
      <c r="E322" s="114"/>
    </row>
    <row r="323">
      <c r="B323" s="113"/>
      <c r="C323" s="113"/>
      <c r="D323" s="114"/>
      <c r="E323" s="114"/>
    </row>
    <row r="324">
      <c r="B324" s="113"/>
      <c r="C324" s="113"/>
      <c r="D324" s="114"/>
      <c r="E324" s="114"/>
    </row>
    <row r="325">
      <c r="B325" s="113"/>
      <c r="C325" s="113"/>
      <c r="D325" s="114"/>
      <c r="E325" s="114"/>
    </row>
    <row r="326">
      <c r="B326" s="113"/>
      <c r="C326" s="113"/>
      <c r="D326" s="114"/>
      <c r="E326" s="114"/>
    </row>
    <row r="327">
      <c r="B327" s="113"/>
      <c r="C327" s="113"/>
      <c r="D327" s="114"/>
      <c r="E327" s="114"/>
    </row>
    <row r="328">
      <c r="B328" s="113"/>
      <c r="C328" s="113"/>
      <c r="D328" s="114"/>
      <c r="E328" s="114"/>
    </row>
    <row r="329">
      <c r="B329" s="113"/>
      <c r="C329" s="113"/>
      <c r="D329" s="114"/>
      <c r="E329" s="114"/>
    </row>
    <row r="330">
      <c r="B330" s="113"/>
      <c r="C330" s="113"/>
      <c r="D330" s="114"/>
      <c r="E330" s="114"/>
    </row>
    <row r="331">
      <c r="B331" s="113"/>
      <c r="C331" s="113"/>
      <c r="D331" s="114"/>
      <c r="E331" s="114"/>
    </row>
    <row r="332">
      <c r="B332" s="113"/>
      <c r="C332" s="113"/>
      <c r="D332" s="114"/>
      <c r="E332" s="114"/>
    </row>
    <row r="333">
      <c r="B333" s="113"/>
      <c r="C333" s="113"/>
      <c r="D333" s="114"/>
      <c r="E333" s="114"/>
    </row>
    <row r="334">
      <c r="B334" s="113"/>
      <c r="C334" s="113"/>
      <c r="D334" s="114"/>
      <c r="E334" s="114"/>
    </row>
    <row r="335">
      <c r="B335" s="113"/>
      <c r="C335" s="113"/>
      <c r="D335" s="114"/>
      <c r="E335" s="114"/>
    </row>
    <row r="336">
      <c r="B336" s="113"/>
      <c r="C336" s="113"/>
      <c r="D336" s="114"/>
      <c r="E336" s="114"/>
    </row>
    <row r="337">
      <c r="B337" s="113"/>
      <c r="C337" s="113"/>
      <c r="D337" s="114"/>
      <c r="E337" s="114"/>
    </row>
    <row r="338">
      <c r="B338" s="113"/>
      <c r="C338" s="113"/>
      <c r="D338" s="114"/>
      <c r="E338" s="114"/>
    </row>
    <row r="339">
      <c r="B339" s="113"/>
      <c r="C339" s="113"/>
      <c r="D339" s="114"/>
      <c r="E339" s="114"/>
    </row>
    <row r="340">
      <c r="B340" s="113"/>
      <c r="C340" s="113"/>
      <c r="D340" s="114"/>
      <c r="E340" s="114"/>
    </row>
    <row r="341">
      <c r="B341" s="113"/>
      <c r="C341" s="113"/>
      <c r="D341" s="114"/>
      <c r="E341" s="114"/>
    </row>
    <row r="342">
      <c r="B342" s="113"/>
      <c r="C342" s="113"/>
      <c r="D342" s="114"/>
      <c r="E342" s="114"/>
    </row>
    <row r="343">
      <c r="B343" s="113"/>
      <c r="C343" s="113"/>
      <c r="D343" s="114"/>
      <c r="E343" s="114"/>
    </row>
    <row r="344">
      <c r="B344" s="113"/>
      <c r="C344" s="113"/>
      <c r="D344" s="114"/>
      <c r="E344" s="114"/>
    </row>
    <row r="345">
      <c r="B345" s="113"/>
      <c r="C345" s="113"/>
      <c r="D345" s="114"/>
      <c r="E345" s="114"/>
    </row>
    <row r="346">
      <c r="B346" s="113"/>
      <c r="C346" s="113"/>
      <c r="D346" s="114"/>
      <c r="E346" s="114"/>
    </row>
    <row r="347">
      <c r="B347" s="113"/>
      <c r="C347" s="113"/>
      <c r="D347" s="114"/>
      <c r="E347" s="114"/>
    </row>
    <row r="348">
      <c r="B348" s="113"/>
      <c r="C348" s="113"/>
      <c r="D348" s="114"/>
      <c r="E348" s="114"/>
    </row>
    <row r="349">
      <c r="B349" s="113"/>
      <c r="C349" s="113"/>
      <c r="D349" s="114"/>
      <c r="E349" s="114"/>
    </row>
    <row r="350">
      <c r="B350" s="113"/>
      <c r="C350" s="113"/>
      <c r="D350" s="114"/>
      <c r="E350" s="114"/>
    </row>
    <row r="351">
      <c r="B351" s="113"/>
      <c r="C351" s="113"/>
      <c r="D351" s="114"/>
      <c r="E351" s="114"/>
    </row>
    <row r="352">
      <c r="B352" s="113"/>
      <c r="C352" s="113"/>
      <c r="D352" s="114"/>
      <c r="E352" s="114"/>
    </row>
    <row r="353">
      <c r="B353" s="113"/>
      <c r="C353" s="113"/>
      <c r="D353" s="114"/>
      <c r="E353" s="114"/>
    </row>
    <row r="354">
      <c r="B354" s="113"/>
      <c r="C354" s="113"/>
      <c r="D354" s="114"/>
      <c r="E354" s="114"/>
    </row>
    <row r="355">
      <c r="B355" s="113"/>
      <c r="C355" s="113"/>
      <c r="D355" s="114"/>
      <c r="E355" s="114"/>
    </row>
    <row r="356">
      <c r="B356" s="113"/>
      <c r="C356" s="113"/>
      <c r="D356" s="114"/>
      <c r="E356" s="114"/>
    </row>
    <row r="357">
      <c r="B357" s="113"/>
      <c r="C357" s="113"/>
      <c r="D357" s="114"/>
      <c r="E357" s="114"/>
    </row>
    <row r="358">
      <c r="B358" s="113"/>
      <c r="C358" s="113"/>
      <c r="D358" s="114"/>
      <c r="E358" s="114"/>
    </row>
    <row r="359">
      <c r="B359" s="113"/>
      <c r="C359" s="113"/>
      <c r="D359" s="114"/>
      <c r="E359" s="114"/>
    </row>
    <row r="360">
      <c r="B360" s="113"/>
      <c r="C360" s="113"/>
      <c r="D360" s="114"/>
      <c r="E360" s="114"/>
    </row>
    <row r="361">
      <c r="B361" s="113"/>
      <c r="C361" s="113"/>
      <c r="D361" s="114"/>
      <c r="E361" s="114"/>
    </row>
    <row r="362">
      <c r="B362" s="113"/>
      <c r="C362" s="113"/>
      <c r="D362" s="114"/>
      <c r="E362" s="114"/>
    </row>
    <row r="363">
      <c r="B363" s="113"/>
      <c r="C363" s="113"/>
      <c r="D363" s="114"/>
      <c r="E363" s="114"/>
    </row>
    <row r="364">
      <c r="B364" s="113"/>
      <c r="C364" s="113"/>
      <c r="D364" s="114"/>
      <c r="E364" s="114"/>
    </row>
    <row r="365">
      <c r="B365" s="113"/>
      <c r="C365" s="113"/>
      <c r="D365" s="114"/>
      <c r="E365" s="114"/>
    </row>
    <row r="366">
      <c r="B366" s="113"/>
      <c r="C366" s="113"/>
      <c r="D366" s="114"/>
      <c r="E366" s="114"/>
    </row>
    <row r="367">
      <c r="B367" s="113"/>
      <c r="C367" s="113"/>
      <c r="D367" s="114"/>
      <c r="E367" s="114"/>
    </row>
    <row r="368">
      <c r="B368" s="113"/>
      <c r="C368" s="113"/>
      <c r="D368" s="114"/>
      <c r="E368" s="114"/>
    </row>
    <row r="369">
      <c r="B369" s="113"/>
      <c r="C369" s="113"/>
      <c r="D369" s="114"/>
      <c r="E369" s="114"/>
    </row>
    <row r="370">
      <c r="B370" s="113"/>
      <c r="C370" s="113"/>
      <c r="D370" s="114"/>
      <c r="E370" s="114"/>
    </row>
    <row r="371">
      <c r="B371" s="113"/>
      <c r="C371" s="113"/>
      <c r="D371" s="114"/>
      <c r="E371" s="114"/>
    </row>
    <row r="372">
      <c r="B372" s="113"/>
      <c r="C372" s="113"/>
      <c r="D372" s="114"/>
      <c r="E372" s="114"/>
    </row>
    <row r="373">
      <c r="B373" s="113"/>
      <c r="C373" s="113"/>
      <c r="D373" s="114"/>
      <c r="E373" s="114"/>
    </row>
    <row r="374">
      <c r="B374" s="113"/>
      <c r="C374" s="113"/>
      <c r="D374" s="114"/>
      <c r="E374" s="114"/>
    </row>
    <row r="375">
      <c r="B375" s="113"/>
      <c r="C375" s="113"/>
      <c r="D375" s="114"/>
      <c r="E375" s="114"/>
    </row>
    <row r="376">
      <c r="B376" s="113"/>
      <c r="C376" s="113"/>
      <c r="D376" s="114"/>
      <c r="E376" s="114"/>
    </row>
    <row r="377">
      <c r="B377" s="113"/>
      <c r="C377" s="113"/>
      <c r="D377" s="114"/>
      <c r="E377" s="114"/>
    </row>
    <row r="378">
      <c r="B378" s="113"/>
      <c r="C378" s="113"/>
      <c r="D378" s="114"/>
      <c r="E378" s="114"/>
    </row>
    <row r="379">
      <c r="B379" s="113"/>
      <c r="C379" s="113"/>
      <c r="D379" s="114"/>
      <c r="E379" s="114"/>
    </row>
    <row r="380">
      <c r="B380" s="113"/>
      <c r="C380" s="113"/>
      <c r="D380" s="114"/>
      <c r="E380" s="114"/>
    </row>
    <row r="381">
      <c r="B381" s="113"/>
      <c r="C381" s="113"/>
      <c r="D381" s="114"/>
      <c r="E381" s="114"/>
    </row>
    <row r="382">
      <c r="B382" s="113"/>
      <c r="C382" s="113"/>
      <c r="D382" s="114"/>
      <c r="E382" s="114"/>
    </row>
    <row r="383">
      <c r="B383" s="113"/>
      <c r="C383" s="113"/>
      <c r="D383" s="114"/>
      <c r="E383" s="114"/>
    </row>
    <row r="384">
      <c r="B384" s="113"/>
      <c r="C384" s="113"/>
      <c r="D384" s="114"/>
      <c r="E384" s="114"/>
    </row>
    <row r="385">
      <c r="B385" s="113"/>
      <c r="C385" s="113"/>
      <c r="D385" s="114"/>
      <c r="E385" s="114"/>
    </row>
    <row r="386">
      <c r="B386" s="113"/>
      <c r="C386" s="113"/>
      <c r="D386" s="114"/>
      <c r="E386" s="114"/>
    </row>
    <row r="387">
      <c r="B387" s="113"/>
      <c r="C387" s="113"/>
      <c r="D387" s="114"/>
      <c r="E387" s="114"/>
    </row>
    <row r="388">
      <c r="B388" s="113"/>
      <c r="C388" s="113"/>
      <c r="D388" s="114"/>
      <c r="E388" s="114"/>
    </row>
    <row r="389">
      <c r="B389" s="113"/>
      <c r="C389" s="113"/>
      <c r="D389" s="114"/>
      <c r="E389" s="114"/>
    </row>
    <row r="390">
      <c r="B390" s="113"/>
      <c r="C390" s="113"/>
      <c r="D390" s="114"/>
      <c r="E390" s="114"/>
    </row>
    <row r="391">
      <c r="B391" s="113"/>
      <c r="C391" s="113"/>
      <c r="D391" s="114"/>
      <c r="E391" s="114"/>
    </row>
    <row r="392">
      <c r="B392" s="113"/>
      <c r="C392" s="113"/>
      <c r="D392" s="114"/>
      <c r="E392" s="114"/>
    </row>
    <row r="393">
      <c r="B393" s="113"/>
      <c r="C393" s="113"/>
      <c r="D393" s="114"/>
      <c r="E393" s="114"/>
    </row>
    <row r="394">
      <c r="B394" s="113"/>
      <c r="C394" s="113"/>
      <c r="D394" s="114"/>
      <c r="E394" s="114"/>
    </row>
    <row r="395">
      <c r="B395" s="113"/>
      <c r="C395" s="113"/>
      <c r="D395" s="114"/>
      <c r="E395" s="114"/>
    </row>
    <row r="396">
      <c r="B396" s="113"/>
      <c r="C396" s="113"/>
      <c r="D396" s="114"/>
      <c r="E396" s="114"/>
    </row>
    <row r="397">
      <c r="B397" s="113"/>
      <c r="C397" s="113"/>
      <c r="D397" s="114"/>
      <c r="E397" s="114"/>
    </row>
    <row r="398">
      <c r="B398" s="113"/>
      <c r="C398" s="113"/>
      <c r="D398" s="114"/>
      <c r="E398" s="114"/>
    </row>
    <row r="399">
      <c r="B399" s="113"/>
      <c r="C399" s="113"/>
      <c r="D399" s="114"/>
      <c r="E399" s="114"/>
    </row>
    <row r="400">
      <c r="B400" s="113"/>
      <c r="C400" s="113"/>
      <c r="D400" s="114"/>
      <c r="E400" s="114"/>
    </row>
    <row r="401">
      <c r="B401" s="113"/>
      <c r="C401" s="113"/>
      <c r="D401" s="114"/>
      <c r="E401" s="114"/>
    </row>
    <row r="402">
      <c r="B402" s="113"/>
      <c r="C402" s="113"/>
      <c r="D402" s="114"/>
      <c r="E402" s="114"/>
    </row>
    <row r="403">
      <c r="B403" s="113"/>
      <c r="C403" s="113"/>
      <c r="D403" s="114"/>
      <c r="E403" s="114"/>
    </row>
    <row r="404">
      <c r="B404" s="113"/>
      <c r="C404" s="113"/>
      <c r="D404" s="114"/>
      <c r="E404" s="114"/>
    </row>
    <row r="405">
      <c r="B405" s="113"/>
      <c r="C405" s="113"/>
      <c r="D405" s="114"/>
      <c r="E405" s="114"/>
    </row>
    <row r="406">
      <c r="B406" s="113"/>
      <c r="C406" s="113"/>
      <c r="D406" s="114"/>
      <c r="E406" s="114"/>
    </row>
    <row r="407">
      <c r="B407" s="113"/>
      <c r="C407" s="113"/>
      <c r="D407" s="114"/>
      <c r="E407" s="114"/>
    </row>
    <row r="408">
      <c r="B408" s="113"/>
      <c r="C408" s="113"/>
      <c r="D408" s="114"/>
      <c r="E408" s="114"/>
    </row>
    <row r="409">
      <c r="B409" s="113"/>
      <c r="C409" s="113"/>
      <c r="D409" s="114"/>
      <c r="E409" s="114"/>
    </row>
    <row r="410">
      <c r="B410" s="113"/>
      <c r="C410" s="113"/>
      <c r="D410" s="114"/>
      <c r="E410" s="114"/>
    </row>
    <row r="411">
      <c r="B411" s="113"/>
      <c r="C411" s="113"/>
      <c r="D411" s="114"/>
      <c r="E411" s="114"/>
    </row>
    <row r="412">
      <c r="B412" s="113"/>
      <c r="C412" s="113"/>
      <c r="D412" s="114"/>
      <c r="E412" s="114"/>
    </row>
    <row r="413">
      <c r="B413" s="113"/>
      <c r="C413" s="113"/>
      <c r="D413" s="114"/>
      <c r="E413" s="114"/>
    </row>
    <row r="414">
      <c r="B414" s="113"/>
      <c r="C414" s="113"/>
      <c r="D414" s="114"/>
      <c r="E414" s="114"/>
    </row>
    <row r="415">
      <c r="B415" s="113"/>
      <c r="C415" s="113"/>
      <c r="D415" s="114"/>
      <c r="E415" s="114"/>
    </row>
    <row r="416">
      <c r="B416" s="113"/>
      <c r="C416" s="113"/>
      <c r="D416" s="114"/>
      <c r="E416" s="114"/>
    </row>
    <row r="417">
      <c r="B417" s="113"/>
      <c r="C417" s="113"/>
      <c r="D417" s="114"/>
      <c r="E417" s="114"/>
    </row>
    <row r="418">
      <c r="B418" s="113"/>
      <c r="C418" s="113"/>
      <c r="D418" s="114"/>
      <c r="E418" s="114"/>
    </row>
    <row r="419">
      <c r="B419" s="113"/>
      <c r="C419" s="113"/>
      <c r="D419" s="114"/>
      <c r="E419" s="114"/>
    </row>
    <row r="420">
      <c r="B420" s="113"/>
      <c r="C420" s="113"/>
      <c r="D420" s="114"/>
      <c r="E420" s="114"/>
    </row>
    <row r="421">
      <c r="B421" s="113"/>
      <c r="C421" s="113"/>
      <c r="D421" s="114"/>
      <c r="E421" s="114"/>
    </row>
    <row r="422">
      <c r="B422" s="113"/>
      <c r="C422" s="113"/>
      <c r="D422" s="114"/>
      <c r="E422" s="114"/>
    </row>
    <row r="423">
      <c r="B423" s="113"/>
      <c r="C423" s="113"/>
      <c r="D423" s="114"/>
      <c r="E423" s="114"/>
    </row>
    <row r="424">
      <c r="B424" s="113"/>
      <c r="C424" s="113"/>
      <c r="D424" s="114"/>
      <c r="E424" s="114"/>
    </row>
    <row r="425">
      <c r="B425" s="113"/>
      <c r="C425" s="113"/>
      <c r="D425" s="114"/>
      <c r="E425" s="114"/>
    </row>
    <row r="426">
      <c r="B426" s="113"/>
      <c r="C426" s="113"/>
      <c r="D426" s="114"/>
      <c r="E426" s="114"/>
    </row>
    <row r="427">
      <c r="B427" s="113"/>
      <c r="C427" s="113"/>
      <c r="D427" s="114"/>
      <c r="E427" s="114"/>
    </row>
    <row r="428">
      <c r="B428" s="113"/>
      <c r="C428" s="113"/>
      <c r="D428" s="114"/>
      <c r="E428" s="114"/>
    </row>
    <row r="429">
      <c r="B429" s="113"/>
      <c r="C429" s="113"/>
      <c r="D429" s="114"/>
      <c r="E429" s="114"/>
    </row>
    <row r="430">
      <c r="B430" s="113"/>
      <c r="C430" s="113"/>
      <c r="D430" s="114"/>
      <c r="E430" s="114"/>
    </row>
    <row r="431">
      <c r="B431" s="113"/>
      <c r="C431" s="113"/>
      <c r="D431" s="114"/>
      <c r="E431" s="114"/>
    </row>
    <row r="432">
      <c r="B432" s="113"/>
      <c r="C432" s="113"/>
      <c r="D432" s="114"/>
      <c r="E432" s="114"/>
    </row>
    <row r="433">
      <c r="B433" s="113"/>
      <c r="C433" s="113"/>
      <c r="D433" s="114"/>
      <c r="E433" s="114"/>
    </row>
    <row r="434">
      <c r="B434" s="113"/>
      <c r="C434" s="113"/>
      <c r="D434" s="114"/>
      <c r="E434" s="114"/>
    </row>
    <row r="435">
      <c r="B435" s="113"/>
      <c r="C435" s="113"/>
      <c r="D435" s="114"/>
      <c r="E435" s="114"/>
    </row>
    <row r="436">
      <c r="B436" s="113"/>
      <c r="C436" s="113"/>
      <c r="D436" s="114"/>
      <c r="E436" s="114"/>
    </row>
    <row r="437">
      <c r="B437" s="113"/>
      <c r="C437" s="113"/>
      <c r="D437" s="114"/>
      <c r="E437" s="114"/>
    </row>
    <row r="438">
      <c r="B438" s="113"/>
      <c r="C438" s="113"/>
      <c r="D438" s="114"/>
      <c r="E438" s="114"/>
    </row>
    <row r="439">
      <c r="B439" s="113"/>
      <c r="C439" s="113"/>
      <c r="D439" s="114"/>
      <c r="E439" s="114"/>
    </row>
    <row r="440">
      <c r="B440" s="113"/>
      <c r="C440" s="113"/>
      <c r="D440" s="114"/>
      <c r="E440" s="114"/>
    </row>
    <row r="441">
      <c r="B441" s="113"/>
      <c r="C441" s="113"/>
      <c r="D441" s="114"/>
      <c r="E441" s="114"/>
    </row>
    <row r="442">
      <c r="B442" s="113"/>
      <c r="C442" s="113"/>
      <c r="D442" s="114"/>
      <c r="E442" s="114"/>
    </row>
    <row r="443">
      <c r="B443" s="113"/>
      <c r="C443" s="113"/>
      <c r="D443" s="114"/>
      <c r="E443" s="114"/>
    </row>
    <row r="444">
      <c r="B444" s="113"/>
      <c r="C444" s="113"/>
      <c r="D444" s="114"/>
      <c r="E444" s="114"/>
    </row>
    <row r="445">
      <c r="B445" s="113"/>
      <c r="C445" s="113"/>
      <c r="D445" s="114"/>
      <c r="E445" s="114"/>
    </row>
    <row r="446">
      <c r="B446" s="113"/>
      <c r="C446" s="113"/>
      <c r="D446" s="114"/>
      <c r="E446" s="114"/>
    </row>
    <row r="447">
      <c r="B447" s="113"/>
      <c r="C447" s="113"/>
      <c r="D447" s="114"/>
      <c r="E447" s="114"/>
    </row>
    <row r="448">
      <c r="B448" s="113"/>
      <c r="C448" s="113"/>
      <c r="D448" s="114"/>
      <c r="E448" s="114"/>
    </row>
    <row r="449">
      <c r="B449" s="113"/>
      <c r="C449" s="113"/>
      <c r="D449" s="114"/>
      <c r="E449" s="114"/>
    </row>
    <row r="450">
      <c r="B450" s="113"/>
      <c r="C450" s="113"/>
      <c r="D450" s="114"/>
      <c r="E450" s="114"/>
    </row>
    <row r="451">
      <c r="B451" s="113"/>
      <c r="C451" s="113"/>
      <c r="D451" s="114"/>
      <c r="E451" s="114"/>
    </row>
    <row r="452">
      <c r="B452" s="113"/>
      <c r="C452" s="113"/>
      <c r="D452" s="114"/>
      <c r="E452" s="114"/>
    </row>
    <row r="453">
      <c r="B453" s="113"/>
      <c r="C453" s="113"/>
      <c r="D453" s="114"/>
      <c r="E453" s="114"/>
    </row>
    <row r="454">
      <c r="B454" s="113"/>
      <c r="C454" s="113"/>
      <c r="D454" s="114"/>
      <c r="E454" s="114"/>
    </row>
    <row r="455">
      <c r="B455" s="113"/>
      <c r="C455" s="113"/>
      <c r="D455" s="114"/>
      <c r="E455" s="114"/>
    </row>
    <row r="456">
      <c r="B456" s="113"/>
      <c r="C456" s="113"/>
      <c r="D456" s="114"/>
      <c r="E456" s="114"/>
    </row>
    <row r="457">
      <c r="B457" s="113"/>
      <c r="C457" s="113"/>
      <c r="D457" s="114"/>
      <c r="E457" s="114"/>
    </row>
    <row r="458">
      <c r="B458" s="113"/>
      <c r="C458" s="113"/>
      <c r="D458" s="114"/>
      <c r="E458" s="114"/>
    </row>
    <row r="459">
      <c r="B459" s="113"/>
      <c r="C459" s="113"/>
      <c r="D459" s="114"/>
      <c r="E459" s="114"/>
    </row>
    <row r="460">
      <c r="B460" s="113"/>
      <c r="C460" s="113"/>
      <c r="D460" s="114"/>
      <c r="E460" s="114"/>
    </row>
    <row r="461">
      <c r="B461" s="113"/>
      <c r="C461" s="113"/>
      <c r="D461" s="114"/>
      <c r="E461" s="114"/>
    </row>
    <row r="462">
      <c r="B462" s="113"/>
      <c r="C462" s="113"/>
      <c r="D462" s="114"/>
      <c r="E462" s="114"/>
    </row>
    <row r="463">
      <c r="B463" s="113"/>
      <c r="C463" s="113"/>
      <c r="D463" s="114"/>
      <c r="E463" s="114"/>
    </row>
    <row r="464">
      <c r="B464" s="113"/>
      <c r="C464" s="113"/>
      <c r="D464" s="114"/>
      <c r="E464" s="114"/>
    </row>
    <row r="465">
      <c r="B465" s="113"/>
      <c r="C465" s="113"/>
      <c r="D465" s="114"/>
      <c r="E465" s="114"/>
    </row>
    <row r="466">
      <c r="B466" s="113"/>
      <c r="C466" s="113"/>
      <c r="D466" s="114"/>
      <c r="E466" s="114"/>
    </row>
    <row r="467">
      <c r="B467" s="113"/>
      <c r="C467" s="113"/>
      <c r="D467" s="114"/>
      <c r="E467" s="114"/>
    </row>
    <row r="468">
      <c r="B468" s="113"/>
      <c r="C468" s="113"/>
      <c r="D468" s="114"/>
      <c r="E468" s="114"/>
    </row>
    <row r="469">
      <c r="B469" s="113"/>
      <c r="C469" s="113"/>
      <c r="D469" s="114"/>
      <c r="E469" s="114"/>
    </row>
    <row r="470">
      <c r="B470" s="113"/>
      <c r="C470" s="113"/>
      <c r="D470" s="114"/>
      <c r="E470" s="114"/>
    </row>
    <row r="471">
      <c r="B471" s="113"/>
      <c r="C471" s="113"/>
      <c r="D471" s="114"/>
      <c r="E471" s="114"/>
    </row>
    <row r="472">
      <c r="B472" s="113"/>
      <c r="C472" s="113"/>
      <c r="D472" s="114"/>
      <c r="E472" s="114"/>
    </row>
    <row r="473">
      <c r="B473" s="113"/>
      <c r="C473" s="113"/>
      <c r="D473" s="114"/>
      <c r="E473" s="114"/>
    </row>
    <row r="474">
      <c r="B474" s="113"/>
      <c r="C474" s="113"/>
      <c r="D474" s="114"/>
      <c r="E474" s="114"/>
    </row>
    <row r="475">
      <c r="B475" s="113"/>
      <c r="C475" s="113"/>
      <c r="D475" s="114"/>
      <c r="E475" s="114"/>
    </row>
    <row r="476">
      <c r="B476" s="113"/>
      <c r="C476" s="113"/>
      <c r="D476" s="114"/>
      <c r="E476" s="114"/>
    </row>
    <row r="477">
      <c r="B477" s="113"/>
      <c r="C477" s="113"/>
      <c r="D477" s="114"/>
      <c r="E477" s="114"/>
    </row>
    <row r="478">
      <c r="B478" s="113"/>
      <c r="C478" s="113"/>
      <c r="D478" s="114"/>
      <c r="E478" s="114"/>
    </row>
    <row r="479">
      <c r="B479" s="113"/>
      <c r="C479" s="113"/>
      <c r="D479" s="114"/>
      <c r="E479" s="114"/>
    </row>
    <row r="480">
      <c r="B480" s="113"/>
      <c r="C480" s="113"/>
      <c r="D480" s="114"/>
      <c r="E480" s="114"/>
    </row>
    <row r="481">
      <c r="B481" s="113"/>
      <c r="C481" s="113"/>
      <c r="D481" s="114"/>
      <c r="E481" s="114"/>
    </row>
    <row r="482">
      <c r="B482" s="113"/>
      <c r="C482" s="113"/>
      <c r="D482" s="114"/>
      <c r="E482" s="114"/>
    </row>
    <row r="483">
      <c r="B483" s="113"/>
      <c r="C483" s="113"/>
      <c r="D483" s="114"/>
      <c r="E483" s="114"/>
    </row>
    <row r="484">
      <c r="B484" s="113"/>
      <c r="C484" s="113"/>
      <c r="D484" s="114"/>
      <c r="E484" s="114"/>
    </row>
    <row r="485">
      <c r="B485" s="113"/>
      <c r="C485" s="113"/>
      <c r="D485" s="114"/>
      <c r="E485" s="114"/>
    </row>
    <row r="486">
      <c r="B486" s="113"/>
      <c r="C486" s="113"/>
      <c r="D486" s="114"/>
      <c r="E486" s="114"/>
    </row>
    <row r="487">
      <c r="B487" s="113"/>
      <c r="C487" s="113"/>
      <c r="D487" s="114"/>
      <c r="E487" s="114"/>
    </row>
    <row r="488">
      <c r="B488" s="113"/>
      <c r="C488" s="113"/>
      <c r="D488" s="114"/>
      <c r="E488" s="114"/>
    </row>
    <row r="489">
      <c r="B489" s="113"/>
      <c r="C489" s="113"/>
      <c r="D489" s="114"/>
      <c r="E489" s="114"/>
    </row>
    <row r="490">
      <c r="B490" s="113"/>
      <c r="C490" s="113"/>
      <c r="D490" s="114"/>
      <c r="E490" s="114"/>
    </row>
    <row r="491">
      <c r="B491" s="113"/>
      <c r="C491" s="113"/>
      <c r="D491" s="114"/>
      <c r="E491" s="114"/>
    </row>
    <row r="492">
      <c r="B492" s="113"/>
      <c r="C492" s="113"/>
      <c r="D492" s="114"/>
      <c r="E492" s="114"/>
    </row>
    <row r="493">
      <c r="B493" s="113"/>
      <c r="C493" s="113"/>
      <c r="D493" s="114"/>
      <c r="E493" s="114"/>
    </row>
    <row r="494">
      <c r="B494" s="113"/>
      <c r="C494" s="113"/>
      <c r="D494" s="114"/>
      <c r="E494" s="114"/>
    </row>
    <row r="495">
      <c r="B495" s="113"/>
      <c r="C495" s="113"/>
      <c r="D495" s="114"/>
      <c r="E495" s="114"/>
    </row>
    <row r="496">
      <c r="B496" s="113"/>
      <c r="C496" s="113"/>
      <c r="D496" s="114"/>
      <c r="E496" s="114"/>
    </row>
    <row r="497">
      <c r="B497" s="113"/>
      <c r="C497" s="113"/>
      <c r="D497" s="114"/>
      <c r="E497" s="114"/>
    </row>
    <row r="498">
      <c r="B498" s="113"/>
      <c r="C498" s="113"/>
      <c r="D498" s="114"/>
      <c r="E498" s="114"/>
    </row>
    <row r="499">
      <c r="B499" s="113"/>
      <c r="C499" s="113"/>
      <c r="D499" s="114"/>
      <c r="E499" s="114"/>
    </row>
    <row r="500">
      <c r="B500" s="113"/>
      <c r="C500" s="113"/>
      <c r="D500" s="114"/>
      <c r="E500" s="114"/>
    </row>
    <row r="501">
      <c r="B501" s="113"/>
      <c r="C501" s="113"/>
      <c r="D501" s="114"/>
      <c r="E501" s="114"/>
    </row>
    <row r="502">
      <c r="B502" s="113"/>
      <c r="C502" s="113"/>
      <c r="D502" s="114"/>
      <c r="E502" s="114"/>
    </row>
    <row r="503">
      <c r="B503" s="113"/>
      <c r="C503" s="113"/>
      <c r="D503" s="114"/>
      <c r="E503" s="114"/>
    </row>
    <row r="504">
      <c r="B504" s="113"/>
      <c r="C504" s="113"/>
      <c r="D504" s="114"/>
      <c r="E504" s="114"/>
    </row>
    <row r="505">
      <c r="B505" s="113"/>
      <c r="C505" s="113"/>
      <c r="D505" s="114"/>
      <c r="E505" s="114"/>
    </row>
    <row r="506">
      <c r="B506" s="113"/>
      <c r="C506" s="113"/>
      <c r="D506" s="114"/>
      <c r="E506" s="114"/>
    </row>
    <row r="507">
      <c r="B507" s="113"/>
      <c r="C507" s="113"/>
      <c r="D507" s="114"/>
      <c r="E507" s="114"/>
    </row>
    <row r="508">
      <c r="B508" s="113"/>
      <c r="C508" s="113"/>
      <c r="D508" s="114"/>
      <c r="E508" s="114"/>
    </row>
    <row r="509">
      <c r="B509" s="113"/>
      <c r="C509" s="113"/>
      <c r="D509" s="114"/>
      <c r="E509" s="114"/>
    </row>
    <row r="510">
      <c r="B510" s="113"/>
      <c r="C510" s="113"/>
      <c r="D510" s="114"/>
      <c r="E510" s="114"/>
    </row>
    <row r="511">
      <c r="B511" s="113"/>
      <c r="C511" s="113"/>
      <c r="D511" s="114"/>
      <c r="E511" s="114"/>
    </row>
    <row r="512">
      <c r="B512" s="113"/>
      <c r="C512" s="113"/>
      <c r="D512" s="114"/>
      <c r="E512" s="114"/>
    </row>
    <row r="513">
      <c r="B513" s="113"/>
      <c r="C513" s="113"/>
      <c r="D513" s="114"/>
      <c r="E513" s="114"/>
    </row>
    <row r="514">
      <c r="B514" s="113"/>
      <c r="C514" s="113"/>
      <c r="D514" s="114"/>
      <c r="E514" s="114"/>
    </row>
    <row r="515">
      <c r="B515" s="113"/>
      <c r="C515" s="113"/>
      <c r="D515" s="114"/>
      <c r="E515" s="114"/>
    </row>
    <row r="516">
      <c r="B516" s="113"/>
      <c r="C516" s="113"/>
      <c r="D516" s="114"/>
      <c r="E516" s="114"/>
    </row>
    <row r="517">
      <c r="B517" s="113"/>
      <c r="C517" s="113"/>
      <c r="D517" s="114"/>
      <c r="E517" s="114"/>
    </row>
    <row r="518">
      <c r="B518" s="113"/>
      <c r="C518" s="113"/>
      <c r="D518" s="114"/>
      <c r="E518" s="114"/>
    </row>
    <row r="519">
      <c r="B519" s="113"/>
      <c r="C519" s="113"/>
      <c r="D519" s="114"/>
      <c r="E519" s="114"/>
    </row>
    <row r="520">
      <c r="B520" s="113"/>
      <c r="C520" s="113"/>
      <c r="D520" s="114"/>
      <c r="E520" s="114"/>
    </row>
    <row r="521">
      <c r="B521" s="113"/>
      <c r="C521" s="113"/>
      <c r="D521" s="114"/>
      <c r="E521" s="114"/>
    </row>
    <row r="522">
      <c r="B522" s="113"/>
      <c r="C522" s="113"/>
      <c r="D522" s="114"/>
      <c r="E522" s="114"/>
    </row>
    <row r="523">
      <c r="B523" s="113"/>
      <c r="C523" s="113"/>
      <c r="D523" s="114"/>
      <c r="E523" s="114"/>
    </row>
    <row r="524">
      <c r="B524" s="113"/>
      <c r="C524" s="113"/>
      <c r="D524" s="114"/>
      <c r="E524" s="114"/>
    </row>
    <row r="525">
      <c r="B525" s="113"/>
      <c r="C525" s="113"/>
      <c r="D525" s="114"/>
      <c r="E525" s="114"/>
    </row>
    <row r="526">
      <c r="B526" s="113"/>
      <c r="C526" s="113"/>
      <c r="D526" s="114"/>
      <c r="E526" s="114"/>
    </row>
    <row r="527">
      <c r="B527" s="113"/>
      <c r="C527" s="113"/>
      <c r="D527" s="114"/>
      <c r="E527" s="114"/>
    </row>
    <row r="528">
      <c r="B528" s="113"/>
      <c r="C528" s="113"/>
      <c r="D528" s="114"/>
      <c r="E528" s="114"/>
    </row>
    <row r="529">
      <c r="B529" s="113"/>
      <c r="C529" s="113"/>
      <c r="D529" s="114"/>
      <c r="E529" s="114"/>
    </row>
    <row r="530">
      <c r="B530" s="113"/>
      <c r="C530" s="113"/>
      <c r="D530" s="114"/>
      <c r="E530" s="114"/>
    </row>
    <row r="531">
      <c r="B531" s="113"/>
      <c r="C531" s="113"/>
      <c r="D531" s="114"/>
      <c r="E531" s="114"/>
    </row>
    <row r="532">
      <c r="B532" s="113"/>
      <c r="C532" s="113"/>
      <c r="D532" s="114"/>
      <c r="E532" s="114"/>
    </row>
    <row r="533">
      <c r="B533" s="113"/>
      <c r="C533" s="113"/>
      <c r="D533" s="114"/>
      <c r="E533" s="114"/>
    </row>
    <row r="534">
      <c r="B534" s="113"/>
      <c r="C534" s="113"/>
      <c r="D534" s="114"/>
      <c r="E534" s="114"/>
    </row>
    <row r="535">
      <c r="B535" s="113"/>
      <c r="C535" s="113"/>
      <c r="D535" s="114"/>
      <c r="E535" s="114"/>
    </row>
    <row r="536">
      <c r="B536" s="113"/>
      <c r="C536" s="113"/>
      <c r="D536" s="114"/>
      <c r="E536" s="114"/>
    </row>
    <row r="537">
      <c r="B537" s="113"/>
      <c r="C537" s="113"/>
      <c r="D537" s="114"/>
      <c r="E537" s="114"/>
    </row>
    <row r="538">
      <c r="B538" s="113"/>
      <c r="C538" s="113"/>
      <c r="D538" s="114"/>
      <c r="E538" s="114"/>
    </row>
    <row r="539">
      <c r="B539" s="113"/>
      <c r="C539" s="113"/>
      <c r="D539" s="114"/>
      <c r="E539" s="114"/>
    </row>
    <row r="540">
      <c r="B540" s="113"/>
      <c r="C540" s="113"/>
      <c r="D540" s="114"/>
      <c r="E540" s="114"/>
    </row>
    <row r="541">
      <c r="B541" s="113"/>
      <c r="C541" s="113"/>
      <c r="D541" s="114"/>
      <c r="E541" s="114"/>
    </row>
    <row r="542">
      <c r="B542" s="113"/>
      <c r="C542" s="113"/>
      <c r="D542" s="114"/>
      <c r="E542" s="114"/>
    </row>
    <row r="543">
      <c r="B543" s="113"/>
      <c r="C543" s="113"/>
      <c r="D543" s="114"/>
      <c r="E543" s="114"/>
    </row>
    <row r="544">
      <c r="B544" s="113"/>
      <c r="C544" s="113"/>
      <c r="D544" s="114"/>
      <c r="E544" s="114"/>
    </row>
    <row r="545">
      <c r="B545" s="113"/>
      <c r="C545" s="113"/>
      <c r="D545" s="114"/>
      <c r="E545" s="114"/>
    </row>
    <row r="546">
      <c r="B546" s="113"/>
      <c r="C546" s="113"/>
      <c r="D546" s="114"/>
      <c r="E546" s="114"/>
    </row>
    <row r="547">
      <c r="B547" s="113"/>
      <c r="C547" s="113"/>
      <c r="D547" s="114"/>
      <c r="E547" s="114"/>
    </row>
    <row r="548">
      <c r="B548" s="113"/>
      <c r="C548" s="113"/>
      <c r="D548" s="114"/>
      <c r="E548" s="114"/>
    </row>
    <row r="549">
      <c r="B549" s="113"/>
      <c r="C549" s="113"/>
      <c r="D549" s="114"/>
      <c r="E549" s="114"/>
    </row>
    <row r="550">
      <c r="B550" s="113"/>
      <c r="C550" s="113"/>
      <c r="D550" s="114"/>
      <c r="E550" s="114"/>
    </row>
    <row r="551">
      <c r="B551" s="113"/>
      <c r="C551" s="113"/>
      <c r="D551" s="114"/>
      <c r="E551" s="114"/>
    </row>
    <row r="552">
      <c r="B552" s="113"/>
      <c r="C552" s="113"/>
      <c r="D552" s="114"/>
      <c r="E552" s="114"/>
    </row>
    <row r="553">
      <c r="B553" s="113"/>
      <c r="C553" s="113"/>
      <c r="D553" s="114"/>
      <c r="E553" s="114"/>
    </row>
    <row r="554">
      <c r="B554" s="113"/>
      <c r="C554" s="113"/>
      <c r="D554" s="114"/>
      <c r="E554" s="114"/>
    </row>
    <row r="555">
      <c r="B555" s="113"/>
      <c r="C555" s="113"/>
      <c r="D555" s="114"/>
      <c r="E555" s="114"/>
    </row>
    <row r="556">
      <c r="B556" s="113"/>
      <c r="C556" s="113"/>
      <c r="D556" s="114"/>
      <c r="E556" s="114"/>
    </row>
    <row r="557">
      <c r="B557" s="113"/>
      <c r="C557" s="113"/>
      <c r="D557" s="114"/>
      <c r="E557" s="114"/>
    </row>
    <row r="558">
      <c r="B558" s="113"/>
      <c r="C558" s="113"/>
      <c r="D558" s="114"/>
      <c r="E558" s="114"/>
    </row>
    <row r="559">
      <c r="B559" s="113"/>
      <c r="C559" s="113"/>
      <c r="D559" s="114"/>
      <c r="E559" s="114"/>
    </row>
    <row r="560">
      <c r="B560" s="113"/>
      <c r="C560" s="113"/>
      <c r="D560" s="114"/>
      <c r="E560" s="114"/>
    </row>
    <row r="561">
      <c r="B561" s="113"/>
      <c r="C561" s="113"/>
      <c r="D561" s="114"/>
      <c r="E561" s="114"/>
    </row>
    <row r="562">
      <c r="B562" s="113"/>
      <c r="C562" s="113"/>
      <c r="D562" s="114"/>
      <c r="E562" s="114"/>
    </row>
    <row r="563">
      <c r="B563" s="113"/>
      <c r="C563" s="113"/>
      <c r="D563" s="114"/>
      <c r="E563" s="114"/>
    </row>
    <row r="564">
      <c r="B564" s="113"/>
      <c r="C564" s="113"/>
      <c r="D564" s="114"/>
      <c r="E564" s="114"/>
    </row>
    <row r="565">
      <c r="B565" s="113"/>
      <c r="C565" s="113"/>
      <c r="D565" s="114"/>
      <c r="E565" s="114"/>
    </row>
    <row r="566">
      <c r="B566" s="113"/>
      <c r="C566" s="113"/>
      <c r="D566" s="114"/>
      <c r="E566" s="114"/>
    </row>
    <row r="567">
      <c r="B567" s="113"/>
      <c r="C567" s="113"/>
      <c r="D567" s="114"/>
      <c r="E567" s="114"/>
    </row>
    <row r="568">
      <c r="B568" s="113"/>
      <c r="C568" s="113"/>
      <c r="D568" s="114"/>
      <c r="E568" s="114"/>
    </row>
    <row r="569">
      <c r="B569" s="113"/>
      <c r="C569" s="113"/>
      <c r="D569" s="114"/>
      <c r="E569" s="114"/>
    </row>
    <row r="570">
      <c r="B570" s="113"/>
      <c r="C570" s="113"/>
      <c r="D570" s="114"/>
      <c r="E570" s="114"/>
    </row>
    <row r="571">
      <c r="B571" s="113"/>
      <c r="C571" s="113"/>
      <c r="D571" s="114"/>
      <c r="E571" s="114"/>
    </row>
    <row r="572">
      <c r="B572" s="113"/>
      <c r="C572" s="113"/>
      <c r="D572" s="114"/>
      <c r="E572" s="114"/>
    </row>
    <row r="573">
      <c r="B573" s="113"/>
      <c r="C573" s="113"/>
      <c r="D573" s="114"/>
      <c r="E573" s="114"/>
    </row>
    <row r="574">
      <c r="B574" s="113"/>
      <c r="C574" s="113"/>
      <c r="D574" s="114"/>
      <c r="E574" s="114"/>
    </row>
    <row r="575">
      <c r="B575" s="113"/>
      <c r="C575" s="113"/>
      <c r="D575" s="114"/>
      <c r="E575" s="114"/>
    </row>
    <row r="576">
      <c r="B576" s="113"/>
      <c r="C576" s="113"/>
      <c r="D576" s="114"/>
      <c r="E576" s="114"/>
    </row>
    <row r="577">
      <c r="B577" s="113"/>
      <c r="C577" s="113"/>
      <c r="D577" s="114"/>
      <c r="E577" s="114"/>
    </row>
    <row r="578">
      <c r="B578" s="113"/>
      <c r="C578" s="113"/>
      <c r="D578" s="114"/>
      <c r="E578" s="114"/>
    </row>
    <row r="579">
      <c r="B579" s="113"/>
      <c r="C579" s="113"/>
      <c r="D579" s="114"/>
      <c r="E579" s="114"/>
    </row>
    <row r="580">
      <c r="B580" s="113"/>
      <c r="C580" s="113"/>
      <c r="D580" s="114"/>
      <c r="E580" s="114"/>
    </row>
    <row r="581">
      <c r="B581" s="113"/>
      <c r="C581" s="113"/>
      <c r="D581" s="114"/>
      <c r="E581" s="114"/>
    </row>
    <row r="582">
      <c r="B582" s="113"/>
      <c r="C582" s="113"/>
      <c r="D582" s="114"/>
      <c r="E582" s="114"/>
    </row>
    <row r="583">
      <c r="B583" s="113"/>
      <c r="C583" s="113"/>
      <c r="D583" s="114"/>
      <c r="E583" s="114"/>
    </row>
    <row r="584">
      <c r="B584" s="113"/>
      <c r="C584" s="113"/>
      <c r="D584" s="114"/>
      <c r="E584" s="114"/>
    </row>
    <row r="585">
      <c r="B585" s="113"/>
      <c r="C585" s="113"/>
      <c r="D585" s="114"/>
      <c r="E585" s="114"/>
    </row>
    <row r="586">
      <c r="B586" s="113"/>
      <c r="C586" s="113"/>
      <c r="D586" s="114"/>
      <c r="E586" s="114"/>
    </row>
    <row r="587">
      <c r="B587" s="113"/>
      <c r="C587" s="113"/>
      <c r="D587" s="114"/>
      <c r="E587" s="114"/>
    </row>
    <row r="588">
      <c r="B588" s="113"/>
      <c r="C588" s="113"/>
      <c r="D588" s="114"/>
      <c r="E588" s="114"/>
    </row>
    <row r="589">
      <c r="B589" s="113"/>
      <c r="C589" s="113"/>
      <c r="D589" s="114"/>
      <c r="E589" s="114"/>
    </row>
    <row r="590">
      <c r="B590" s="113"/>
      <c r="C590" s="113"/>
      <c r="D590" s="114"/>
      <c r="E590" s="114"/>
    </row>
    <row r="591">
      <c r="B591" s="113"/>
      <c r="C591" s="113"/>
      <c r="D591" s="114"/>
      <c r="E591" s="114"/>
    </row>
    <row r="592">
      <c r="B592" s="113"/>
      <c r="C592" s="113"/>
      <c r="D592" s="114"/>
      <c r="E592" s="114"/>
    </row>
    <row r="593">
      <c r="B593" s="113"/>
      <c r="C593" s="113"/>
      <c r="D593" s="114"/>
      <c r="E593" s="114"/>
    </row>
    <row r="594">
      <c r="B594" s="113"/>
      <c r="C594" s="113"/>
      <c r="D594" s="114"/>
      <c r="E594" s="114"/>
    </row>
    <row r="595">
      <c r="B595" s="113"/>
      <c r="C595" s="113"/>
      <c r="D595" s="114"/>
      <c r="E595" s="114"/>
    </row>
    <row r="596">
      <c r="B596" s="113"/>
      <c r="C596" s="113"/>
      <c r="D596" s="114"/>
      <c r="E596" s="114"/>
    </row>
    <row r="597">
      <c r="B597" s="113"/>
      <c r="C597" s="113"/>
      <c r="D597" s="114"/>
      <c r="E597" s="114"/>
    </row>
    <row r="598">
      <c r="B598" s="113"/>
      <c r="C598" s="113"/>
      <c r="D598" s="114"/>
      <c r="E598" s="114"/>
    </row>
    <row r="599">
      <c r="B599" s="113"/>
      <c r="C599" s="113"/>
      <c r="D599" s="114"/>
      <c r="E599" s="114"/>
    </row>
    <row r="600">
      <c r="B600" s="113"/>
      <c r="C600" s="113"/>
      <c r="D600" s="114"/>
      <c r="E600" s="114"/>
    </row>
    <row r="601">
      <c r="B601" s="113"/>
      <c r="C601" s="113"/>
      <c r="D601" s="114"/>
      <c r="E601" s="114"/>
    </row>
    <row r="602">
      <c r="B602" s="113"/>
      <c r="C602" s="113"/>
      <c r="D602" s="114"/>
      <c r="E602" s="114"/>
    </row>
    <row r="603">
      <c r="B603" s="113"/>
      <c r="C603" s="113"/>
      <c r="D603" s="114"/>
      <c r="E603" s="114"/>
    </row>
    <row r="604">
      <c r="B604" s="113"/>
      <c r="C604" s="113"/>
      <c r="D604" s="114"/>
      <c r="E604" s="114"/>
    </row>
    <row r="605">
      <c r="B605" s="113"/>
      <c r="C605" s="113"/>
      <c r="D605" s="114"/>
      <c r="E605" s="114"/>
    </row>
    <row r="606">
      <c r="B606" s="113"/>
      <c r="C606" s="113"/>
      <c r="D606" s="114"/>
      <c r="E606" s="114"/>
    </row>
    <row r="607">
      <c r="B607" s="113"/>
      <c r="C607" s="113"/>
      <c r="D607" s="114"/>
      <c r="E607" s="114"/>
    </row>
    <row r="608">
      <c r="B608" s="113"/>
      <c r="C608" s="113"/>
      <c r="D608" s="114"/>
      <c r="E608" s="114"/>
    </row>
    <row r="609">
      <c r="B609" s="113"/>
      <c r="C609" s="113"/>
      <c r="D609" s="114"/>
      <c r="E609" s="114"/>
    </row>
    <row r="610">
      <c r="B610" s="113"/>
      <c r="C610" s="113"/>
      <c r="D610" s="114"/>
      <c r="E610" s="114"/>
    </row>
    <row r="611">
      <c r="B611" s="113"/>
      <c r="C611" s="113"/>
      <c r="D611" s="114"/>
      <c r="E611" s="114"/>
    </row>
    <row r="612">
      <c r="B612" s="113"/>
      <c r="C612" s="113"/>
      <c r="D612" s="114"/>
      <c r="E612" s="114"/>
    </row>
    <row r="613">
      <c r="B613" s="113"/>
      <c r="C613" s="113"/>
      <c r="D613" s="114"/>
      <c r="E613" s="114"/>
    </row>
    <row r="614">
      <c r="B614" s="113"/>
      <c r="C614" s="113"/>
      <c r="D614" s="114"/>
      <c r="E614" s="114"/>
    </row>
    <row r="615">
      <c r="B615" s="113"/>
      <c r="C615" s="113"/>
      <c r="D615" s="114"/>
      <c r="E615" s="114"/>
    </row>
    <row r="616">
      <c r="B616" s="113"/>
      <c r="C616" s="113"/>
      <c r="D616" s="114"/>
      <c r="E616" s="114"/>
    </row>
    <row r="617">
      <c r="B617" s="113"/>
      <c r="C617" s="113"/>
      <c r="D617" s="114"/>
      <c r="E617" s="114"/>
    </row>
    <row r="618">
      <c r="B618" s="113"/>
      <c r="C618" s="113"/>
      <c r="D618" s="114"/>
      <c r="E618" s="114"/>
    </row>
    <row r="619">
      <c r="B619" s="113"/>
      <c r="C619" s="113"/>
      <c r="D619" s="114"/>
      <c r="E619" s="114"/>
    </row>
    <row r="620">
      <c r="B620" s="113"/>
      <c r="C620" s="113"/>
      <c r="D620" s="114"/>
      <c r="E620" s="114"/>
    </row>
    <row r="621">
      <c r="B621" s="113"/>
      <c r="C621" s="113"/>
      <c r="D621" s="114"/>
      <c r="E621" s="114"/>
    </row>
    <row r="622">
      <c r="B622" s="113"/>
      <c r="C622" s="113"/>
      <c r="D622" s="114"/>
      <c r="E622" s="114"/>
    </row>
    <row r="623">
      <c r="B623" s="113"/>
      <c r="C623" s="113"/>
      <c r="D623" s="114"/>
      <c r="E623" s="114"/>
    </row>
    <row r="624">
      <c r="B624" s="113"/>
      <c r="C624" s="113"/>
      <c r="D624" s="114"/>
      <c r="E624" s="114"/>
    </row>
    <row r="625">
      <c r="B625" s="113"/>
      <c r="C625" s="113"/>
      <c r="D625" s="114"/>
      <c r="E625" s="114"/>
    </row>
    <row r="626">
      <c r="B626" s="113"/>
      <c r="C626" s="113"/>
      <c r="D626" s="114"/>
      <c r="E626" s="114"/>
    </row>
    <row r="627">
      <c r="B627" s="113"/>
      <c r="C627" s="113"/>
      <c r="D627" s="114"/>
      <c r="E627" s="114"/>
    </row>
    <row r="628">
      <c r="B628" s="113"/>
      <c r="C628" s="113"/>
      <c r="D628" s="114"/>
      <c r="E628" s="114"/>
    </row>
    <row r="629">
      <c r="B629" s="113"/>
      <c r="C629" s="113"/>
      <c r="D629" s="114"/>
      <c r="E629" s="114"/>
    </row>
    <row r="630">
      <c r="B630" s="113"/>
      <c r="C630" s="113"/>
      <c r="D630" s="114"/>
      <c r="E630" s="114"/>
    </row>
    <row r="631">
      <c r="B631" s="113"/>
      <c r="C631" s="113"/>
      <c r="D631" s="114"/>
      <c r="E631" s="114"/>
    </row>
    <row r="632">
      <c r="B632" s="113"/>
      <c r="C632" s="113"/>
      <c r="D632" s="114"/>
      <c r="E632" s="114"/>
    </row>
    <row r="633">
      <c r="B633" s="113"/>
      <c r="C633" s="113"/>
      <c r="D633" s="114"/>
      <c r="E633" s="114"/>
    </row>
    <row r="634">
      <c r="B634" s="113"/>
      <c r="C634" s="113"/>
      <c r="D634" s="114"/>
      <c r="E634" s="114"/>
    </row>
    <row r="635">
      <c r="B635" s="113"/>
      <c r="C635" s="113"/>
      <c r="D635" s="114"/>
      <c r="E635" s="114"/>
    </row>
    <row r="636">
      <c r="B636" s="113"/>
      <c r="C636" s="113"/>
      <c r="D636" s="114"/>
      <c r="E636" s="114"/>
    </row>
    <row r="637">
      <c r="B637" s="113"/>
      <c r="C637" s="113"/>
      <c r="D637" s="114"/>
      <c r="E637" s="114"/>
    </row>
    <row r="638">
      <c r="B638" s="113"/>
      <c r="C638" s="113"/>
      <c r="D638" s="114"/>
      <c r="E638" s="114"/>
    </row>
    <row r="639">
      <c r="B639" s="113"/>
      <c r="C639" s="113"/>
      <c r="D639" s="114"/>
      <c r="E639" s="114"/>
    </row>
    <row r="640">
      <c r="B640" s="113"/>
      <c r="C640" s="113"/>
      <c r="D640" s="114"/>
      <c r="E640" s="114"/>
    </row>
    <row r="641">
      <c r="B641" s="113"/>
      <c r="C641" s="113"/>
      <c r="D641" s="114"/>
      <c r="E641" s="114"/>
    </row>
    <row r="642">
      <c r="B642" s="113"/>
      <c r="C642" s="113"/>
      <c r="D642" s="114"/>
      <c r="E642" s="114"/>
    </row>
    <row r="643">
      <c r="B643" s="113"/>
      <c r="C643" s="113"/>
      <c r="D643" s="114"/>
      <c r="E643" s="114"/>
    </row>
    <row r="644">
      <c r="B644" s="113"/>
      <c r="C644" s="113"/>
      <c r="D644" s="114"/>
      <c r="E644" s="114"/>
    </row>
    <row r="645">
      <c r="B645" s="113"/>
      <c r="C645" s="113"/>
      <c r="D645" s="114"/>
      <c r="E645" s="114"/>
    </row>
    <row r="646">
      <c r="B646" s="113"/>
      <c r="C646" s="113"/>
      <c r="D646" s="114"/>
      <c r="E646" s="114"/>
    </row>
    <row r="647">
      <c r="B647" s="113"/>
      <c r="C647" s="113"/>
      <c r="D647" s="114"/>
      <c r="E647" s="114"/>
    </row>
    <row r="648">
      <c r="B648" s="113"/>
      <c r="C648" s="113"/>
      <c r="D648" s="114"/>
      <c r="E648" s="114"/>
    </row>
    <row r="649">
      <c r="B649" s="113"/>
      <c r="C649" s="113"/>
      <c r="D649" s="114"/>
      <c r="E649" s="114"/>
    </row>
    <row r="650">
      <c r="B650" s="113"/>
      <c r="C650" s="113"/>
      <c r="D650" s="114"/>
      <c r="E650" s="114"/>
    </row>
    <row r="651">
      <c r="B651" s="113"/>
      <c r="C651" s="113"/>
      <c r="D651" s="114"/>
      <c r="E651" s="114"/>
    </row>
    <row r="652">
      <c r="B652" s="113"/>
      <c r="C652" s="113"/>
      <c r="D652" s="114"/>
      <c r="E652" s="114"/>
    </row>
    <row r="653">
      <c r="B653" s="113"/>
      <c r="C653" s="113"/>
      <c r="D653" s="114"/>
      <c r="E653" s="114"/>
    </row>
    <row r="654">
      <c r="B654" s="113"/>
      <c r="C654" s="113"/>
      <c r="D654" s="114"/>
      <c r="E654" s="114"/>
    </row>
    <row r="655">
      <c r="B655" s="113"/>
      <c r="C655" s="113"/>
      <c r="D655" s="114"/>
      <c r="E655" s="114"/>
    </row>
    <row r="656">
      <c r="B656" s="113"/>
      <c r="C656" s="113"/>
      <c r="D656" s="114"/>
      <c r="E656" s="114"/>
    </row>
    <row r="657">
      <c r="B657" s="113"/>
      <c r="C657" s="113"/>
      <c r="D657" s="114"/>
      <c r="E657" s="114"/>
    </row>
    <row r="658">
      <c r="B658" s="113"/>
      <c r="C658" s="113"/>
      <c r="D658" s="114"/>
      <c r="E658" s="114"/>
    </row>
    <row r="659">
      <c r="B659" s="113"/>
      <c r="C659" s="113"/>
      <c r="D659" s="114"/>
      <c r="E659" s="114"/>
    </row>
    <row r="660">
      <c r="B660" s="113"/>
      <c r="C660" s="113"/>
      <c r="D660" s="114"/>
      <c r="E660" s="114"/>
    </row>
    <row r="661">
      <c r="B661" s="113"/>
      <c r="C661" s="113"/>
      <c r="D661" s="114"/>
      <c r="E661" s="114"/>
    </row>
    <row r="662">
      <c r="B662" s="113"/>
      <c r="C662" s="113"/>
      <c r="D662" s="114"/>
      <c r="E662" s="114"/>
    </row>
    <row r="663">
      <c r="B663" s="113"/>
      <c r="C663" s="113"/>
      <c r="D663" s="114"/>
      <c r="E663" s="114"/>
    </row>
    <row r="664">
      <c r="B664" s="113"/>
      <c r="C664" s="113"/>
      <c r="D664" s="114"/>
      <c r="E664" s="114"/>
    </row>
    <row r="665">
      <c r="B665" s="113"/>
      <c r="C665" s="113"/>
      <c r="D665" s="114"/>
      <c r="E665" s="114"/>
    </row>
    <row r="666">
      <c r="B666" s="113"/>
      <c r="C666" s="113"/>
      <c r="D666" s="114"/>
      <c r="E666" s="114"/>
    </row>
    <row r="667">
      <c r="B667" s="113"/>
      <c r="C667" s="113"/>
      <c r="D667" s="114"/>
      <c r="E667" s="114"/>
    </row>
    <row r="668">
      <c r="B668" s="113"/>
      <c r="C668" s="113"/>
      <c r="D668" s="114"/>
      <c r="E668" s="114"/>
    </row>
    <row r="669">
      <c r="B669" s="113"/>
      <c r="C669" s="113"/>
      <c r="D669" s="114"/>
      <c r="E669" s="114"/>
    </row>
    <row r="670">
      <c r="B670" s="113"/>
      <c r="C670" s="113"/>
      <c r="D670" s="114"/>
      <c r="E670" s="114"/>
    </row>
    <row r="671">
      <c r="B671" s="113"/>
      <c r="C671" s="113"/>
      <c r="D671" s="114"/>
      <c r="E671" s="114"/>
    </row>
    <row r="672">
      <c r="B672" s="113"/>
      <c r="C672" s="113"/>
      <c r="D672" s="114"/>
      <c r="E672" s="114"/>
    </row>
    <row r="673">
      <c r="B673" s="113"/>
      <c r="C673" s="113"/>
      <c r="D673" s="114"/>
      <c r="E673" s="114"/>
    </row>
    <row r="674">
      <c r="B674" s="113"/>
      <c r="C674" s="113"/>
      <c r="D674" s="114"/>
      <c r="E674" s="114"/>
    </row>
    <row r="675">
      <c r="B675" s="113"/>
      <c r="C675" s="113"/>
      <c r="D675" s="114"/>
      <c r="E675" s="114"/>
    </row>
    <row r="676">
      <c r="B676" s="113"/>
      <c r="C676" s="113"/>
      <c r="D676" s="114"/>
      <c r="E676" s="114"/>
    </row>
    <row r="677">
      <c r="B677" s="113"/>
      <c r="C677" s="113"/>
      <c r="D677" s="114"/>
      <c r="E677" s="114"/>
    </row>
    <row r="678">
      <c r="B678" s="113"/>
      <c r="C678" s="113"/>
      <c r="D678" s="114"/>
      <c r="E678" s="114"/>
    </row>
    <row r="679">
      <c r="B679" s="113"/>
      <c r="C679" s="113"/>
      <c r="D679" s="114"/>
      <c r="E679" s="114"/>
    </row>
    <row r="680">
      <c r="B680" s="113"/>
      <c r="C680" s="113"/>
      <c r="D680" s="114"/>
      <c r="E680" s="114"/>
    </row>
    <row r="681">
      <c r="B681" s="113"/>
      <c r="C681" s="113"/>
      <c r="D681" s="114"/>
      <c r="E681" s="114"/>
    </row>
    <row r="682">
      <c r="B682" s="113"/>
      <c r="C682" s="113"/>
      <c r="D682" s="114"/>
      <c r="E682" s="114"/>
    </row>
    <row r="683">
      <c r="B683" s="113"/>
      <c r="C683" s="113"/>
      <c r="D683" s="114"/>
      <c r="E683" s="114"/>
    </row>
    <row r="684">
      <c r="B684" s="113"/>
      <c r="C684" s="113"/>
      <c r="D684" s="114"/>
      <c r="E684" s="114"/>
    </row>
    <row r="685">
      <c r="B685" s="113"/>
      <c r="C685" s="113"/>
      <c r="D685" s="114"/>
      <c r="E685" s="114"/>
    </row>
    <row r="686">
      <c r="B686" s="113"/>
      <c r="C686" s="113"/>
      <c r="D686" s="114"/>
      <c r="E686" s="114"/>
    </row>
    <row r="687">
      <c r="B687" s="113"/>
      <c r="C687" s="113"/>
      <c r="D687" s="114"/>
      <c r="E687" s="114"/>
    </row>
    <row r="688">
      <c r="B688" s="113"/>
      <c r="C688" s="113"/>
      <c r="D688" s="114"/>
      <c r="E688" s="114"/>
    </row>
    <row r="689">
      <c r="B689" s="113"/>
      <c r="C689" s="113"/>
      <c r="D689" s="114"/>
      <c r="E689" s="114"/>
    </row>
    <row r="690">
      <c r="B690" s="113"/>
      <c r="C690" s="113"/>
      <c r="D690" s="114"/>
      <c r="E690" s="114"/>
    </row>
    <row r="691">
      <c r="B691" s="113"/>
      <c r="C691" s="113"/>
      <c r="D691" s="114"/>
      <c r="E691" s="114"/>
    </row>
    <row r="692">
      <c r="B692" s="113"/>
      <c r="C692" s="113"/>
      <c r="D692" s="114"/>
      <c r="E692" s="114"/>
    </row>
    <row r="693">
      <c r="B693" s="113"/>
      <c r="C693" s="113"/>
      <c r="D693" s="114"/>
      <c r="E693" s="114"/>
    </row>
    <row r="694">
      <c r="B694" s="113"/>
      <c r="C694" s="113"/>
      <c r="D694" s="114"/>
      <c r="E694" s="114"/>
    </row>
    <row r="695">
      <c r="B695" s="113"/>
      <c r="C695" s="113"/>
      <c r="D695" s="114"/>
      <c r="E695" s="114"/>
    </row>
    <row r="696">
      <c r="B696" s="113"/>
      <c r="C696" s="113"/>
      <c r="D696" s="114"/>
      <c r="E696" s="114"/>
    </row>
    <row r="697">
      <c r="B697" s="113"/>
      <c r="C697" s="113"/>
      <c r="D697" s="114"/>
      <c r="E697" s="114"/>
    </row>
    <row r="698">
      <c r="B698" s="113"/>
      <c r="C698" s="113"/>
      <c r="D698" s="114"/>
      <c r="E698" s="114"/>
    </row>
    <row r="699">
      <c r="B699" s="113"/>
      <c r="C699" s="113"/>
      <c r="D699" s="114"/>
      <c r="E699" s="114"/>
    </row>
    <row r="700">
      <c r="B700" s="113"/>
      <c r="C700" s="113"/>
      <c r="D700" s="114"/>
      <c r="E700" s="114"/>
    </row>
    <row r="701">
      <c r="B701" s="113"/>
      <c r="C701" s="113"/>
      <c r="D701" s="114"/>
      <c r="E701" s="114"/>
    </row>
    <row r="702">
      <c r="B702" s="113"/>
      <c r="C702" s="113"/>
      <c r="D702" s="114"/>
      <c r="E702" s="114"/>
    </row>
    <row r="703">
      <c r="B703" s="113"/>
      <c r="C703" s="113"/>
      <c r="D703" s="114"/>
      <c r="E703" s="114"/>
    </row>
    <row r="704">
      <c r="B704" s="113"/>
      <c r="C704" s="113"/>
      <c r="D704" s="114"/>
      <c r="E704" s="114"/>
    </row>
    <row r="705">
      <c r="B705" s="113"/>
      <c r="C705" s="113"/>
      <c r="D705" s="114"/>
      <c r="E705" s="114"/>
    </row>
    <row r="706">
      <c r="B706" s="113"/>
      <c r="C706" s="113"/>
      <c r="D706" s="114"/>
      <c r="E706" s="114"/>
    </row>
    <row r="707">
      <c r="B707" s="113"/>
      <c r="C707" s="113"/>
      <c r="D707" s="114"/>
      <c r="E707" s="114"/>
    </row>
    <row r="708">
      <c r="B708" s="113"/>
      <c r="C708" s="113"/>
      <c r="D708" s="114"/>
      <c r="E708" s="114"/>
    </row>
    <row r="709">
      <c r="B709" s="113"/>
      <c r="C709" s="113"/>
      <c r="D709" s="114"/>
      <c r="E709" s="114"/>
    </row>
    <row r="710">
      <c r="B710" s="113"/>
      <c r="C710" s="113"/>
      <c r="D710" s="114"/>
      <c r="E710" s="114"/>
    </row>
    <row r="711">
      <c r="B711" s="113"/>
      <c r="C711" s="113"/>
      <c r="D711" s="114"/>
      <c r="E711" s="114"/>
    </row>
    <row r="712">
      <c r="B712" s="113"/>
      <c r="C712" s="113"/>
      <c r="D712" s="114"/>
      <c r="E712" s="114"/>
    </row>
    <row r="713">
      <c r="B713" s="113"/>
      <c r="C713" s="113"/>
      <c r="D713" s="114"/>
      <c r="E713" s="114"/>
    </row>
    <row r="714">
      <c r="B714" s="113"/>
      <c r="C714" s="113"/>
      <c r="D714" s="114"/>
      <c r="E714" s="114"/>
    </row>
    <row r="715">
      <c r="B715" s="113"/>
      <c r="C715" s="113"/>
      <c r="D715" s="114"/>
      <c r="E715" s="114"/>
    </row>
    <row r="716">
      <c r="B716" s="113"/>
      <c r="C716" s="113"/>
      <c r="D716" s="114"/>
      <c r="E716" s="114"/>
    </row>
    <row r="717">
      <c r="B717" s="113"/>
      <c r="C717" s="113"/>
      <c r="D717" s="114"/>
      <c r="E717" s="114"/>
    </row>
    <row r="718">
      <c r="B718" s="113"/>
      <c r="C718" s="113"/>
      <c r="D718" s="114"/>
      <c r="E718" s="114"/>
    </row>
    <row r="719">
      <c r="B719" s="113"/>
      <c r="C719" s="113"/>
      <c r="D719" s="114"/>
      <c r="E719" s="114"/>
    </row>
    <row r="720">
      <c r="B720" s="113"/>
      <c r="C720" s="113"/>
      <c r="D720" s="114"/>
      <c r="E720" s="114"/>
    </row>
    <row r="721">
      <c r="B721" s="113"/>
      <c r="C721" s="113"/>
      <c r="D721" s="114"/>
      <c r="E721" s="114"/>
    </row>
    <row r="722">
      <c r="B722" s="113"/>
      <c r="C722" s="113"/>
      <c r="D722" s="114"/>
      <c r="E722" s="114"/>
    </row>
    <row r="723">
      <c r="B723" s="113"/>
      <c r="C723" s="113"/>
      <c r="D723" s="114"/>
      <c r="E723" s="114"/>
    </row>
    <row r="724">
      <c r="B724" s="113"/>
      <c r="C724" s="113"/>
      <c r="D724" s="114"/>
      <c r="E724" s="114"/>
    </row>
    <row r="725">
      <c r="B725" s="113"/>
      <c r="C725" s="113"/>
      <c r="D725" s="114"/>
      <c r="E725" s="114"/>
    </row>
    <row r="726">
      <c r="B726" s="113"/>
      <c r="C726" s="113"/>
      <c r="D726" s="114"/>
      <c r="E726" s="114"/>
    </row>
    <row r="727">
      <c r="B727" s="113"/>
      <c r="C727" s="113"/>
      <c r="D727" s="114"/>
      <c r="E727" s="114"/>
    </row>
    <row r="728">
      <c r="B728" s="113"/>
      <c r="C728" s="113"/>
      <c r="D728" s="114"/>
      <c r="E728" s="114"/>
    </row>
    <row r="729">
      <c r="B729" s="113"/>
      <c r="C729" s="113"/>
      <c r="D729" s="114"/>
      <c r="E729" s="114"/>
    </row>
    <row r="730">
      <c r="B730" s="113"/>
      <c r="C730" s="113"/>
      <c r="D730" s="114"/>
      <c r="E730" s="114"/>
    </row>
    <row r="731">
      <c r="B731" s="113"/>
      <c r="C731" s="113"/>
      <c r="D731" s="114"/>
      <c r="E731" s="114"/>
    </row>
    <row r="732">
      <c r="B732" s="113"/>
      <c r="C732" s="113"/>
      <c r="D732" s="114"/>
      <c r="E732" s="114"/>
    </row>
    <row r="733">
      <c r="B733" s="113"/>
      <c r="C733" s="113"/>
      <c r="D733" s="114"/>
      <c r="E733" s="114"/>
    </row>
    <row r="734">
      <c r="B734" s="113"/>
      <c r="C734" s="113"/>
      <c r="D734" s="114"/>
      <c r="E734" s="114"/>
    </row>
    <row r="735">
      <c r="B735" s="113"/>
      <c r="C735" s="113"/>
      <c r="D735" s="114"/>
      <c r="E735" s="114"/>
    </row>
    <row r="736">
      <c r="B736" s="113"/>
      <c r="C736" s="113"/>
      <c r="D736" s="114"/>
      <c r="E736" s="114"/>
    </row>
    <row r="737">
      <c r="B737" s="113"/>
      <c r="C737" s="113"/>
      <c r="D737" s="114"/>
      <c r="E737" s="114"/>
    </row>
    <row r="738">
      <c r="B738" s="113"/>
      <c r="C738" s="113"/>
      <c r="D738" s="114"/>
      <c r="E738" s="114"/>
    </row>
    <row r="739">
      <c r="B739" s="113"/>
      <c r="C739" s="113"/>
      <c r="D739" s="114"/>
      <c r="E739" s="114"/>
    </row>
    <row r="740">
      <c r="B740" s="113"/>
      <c r="C740" s="113"/>
      <c r="D740" s="114"/>
      <c r="E740" s="114"/>
    </row>
    <row r="741">
      <c r="B741" s="113"/>
      <c r="C741" s="113"/>
      <c r="D741" s="114"/>
      <c r="E741" s="114"/>
    </row>
    <row r="742">
      <c r="B742" s="113"/>
      <c r="C742" s="113"/>
      <c r="D742" s="114"/>
      <c r="E742" s="114"/>
    </row>
    <row r="743">
      <c r="B743" s="113"/>
      <c r="C743" s="113"/>
      <c r="D743" s="114"/>
      <c r="E743" s="114"/>
    </row>
    <row r="744">
      <c r="B744" s="113"/>
      <c r="C744" s="113"/>
      <c r="D744" s="114"/>
      <c r="E744" s="114"/>
    </row>
    <row r="745">
      <c r="B745" s="113"/>
      <c r="C745" s="113"/>
      <c r="D745" s="114"/>
      <c r="E745" s="114"/>
    </row>
    <row r="746">
      <c r="B746" s="113"/>
      <c r="C746" s="113"/>
      <c r="D746" s="114"/>
      <c r="E746" s="114"/>
    </row>
    <row r="747">
      <c r="B747" s="113"/>
      <c r="C747" s="113"/>
      <c r="D747" s="114"/>
      <c r="E747" s="114"/>
    </row>
    <row r="748">
      <c r="B748" s="113"/>
      <c r="C748" s="113"/>
      <c r="D748" s="114"/>
      <c r="E748" s="114"/>
    </row>
    <row r="749">
      <c r="B749" s="113"/>
      <c r="C749" s="113"/>
      <c r="D749" s="114"/>
      <c r="E749" s="114"/>
    </row>
    <row r="750">
      <c r="B750" s="113"/>
      <c r="C750" s="113"/>
      <c r="D750" s="114"/>
      <c r="E750" s="114"/>
    </row>
    <row r="751">
      <c r="B751" s="113"/>
      <c r="C751" s="113"/>
      <c r="D751" s="114"/>
      <c r="E751" s="114"/>
    </row>
    <row r="752">
      <c r="B752" s="113"/>
      <c r="C752" s="113"/>
      <c r="D752" s="114"/>
      <c r="E752" s="114"/>
    </row>
    <row r="753">
      <c r="B753" s="113"/>
      <c r="C753" s="113"/>
      <c r="D753" s="114"/>
      <c r="E753" s="114"/>
    </row>
    <row r="754">
      <c r="B754" s="113"/>
      <c r="C754" s="113"/>
      <c r="D754" s="114"/>
      <c r="E754" s="114"/>
    </row>
    <row r="755">
      <c r="B755" s="113"/>
      <c r="C755" s="113"/>
      <c r="D755" s="114"/>
      <c r="E755" s="114"/>
    </row>
    <row r="756">
      <c r="B756" s="113"/>
      <c r="C756" s="113"/>
      <c r="D756" s="114"/>
      <c r="E756" s="114"/>
    </row>
    <row r="757">
      <c r="B757" s="113"/>
      <c r="C757" s="113"/>
      <c r="D757" s="114"/>
      <c r="E757" s="114"/>
    </row>
    <row r="758">
      <c r="B758" s="113"/>
      <c r="C758" s="113"/>
      <c r="D758" s="114"/>
      <c r="E758" s="114"/>
    </row>
    <row r="759">
      <c r="B759" s="113"/>
      <c r="C759" s="113"/>
      <c r="D759" s="114"/>
      <c r="E759" s="114"/>
    </row>
    <row r="760">
      <c r="B760" s="113"/>
      <c r="C760" s="113"/>
      <c r="D760" s="114"/>
      <c r="E760" s="114"/>
    </row>
    <row r="761">
      <c r="B761" s="113"/>
      <c r="C761" s="113"/>
      <c r="D761" s="114"/>
      <c r="E761" s="114"/>
    </row>
    <row r="762">
      <c r="B762" s="113"/>
      <c r="C762" s="113"/>
      <c r="D762" s="114"/>
      <c r="E762" s="114"/>
    </row>
    <row r="763">
      <c r="B763" s="113"/>
      <c r="C763" s="113"/>
      <c r="D763" s="114"/>
      <c r="E763" s="114"/>
    </row>
    <row r="764">
      <c r="B764" s="113"/>
      <c r="C764" s="113"/>
      <c r="D764" s="114"/>
      <c r="E764" s="114"/>
    </row>
    <row r="765">
      <c r="B765" s="113"/>
      <c r="C765" s="113"/>
      <c r="D765" s="114"/>
      <c r="E765" s="114"/>
    </row>
    <row r="766">
      <c r="B766" s="113"/>
      <c r="C766" s="113"/>
      <c r="D766" s="114"/>
      <c r="E766" s="114"/>
    </row>
    <row r="767">
      <c r="B767" s="113"/>
      <c r="C767" s="113"/>
      <c r="D767" s="114"/>
      <c r="E767" s="114"/>
    </row>
    <row r="768">
      <c r="B768" s="113"/>
      <c r="C768" s="113"/>
      <c r="D768" s="114"/>
      <c r="E768" s="114"/>
    </row>
    <row r="769">
      <c r="B769" s="113"/>
      <c r="C769" s="113"/>
      <c r="D769" s="114"/>
      <c r="E769" s="114"/>
    </row>
    <row r="770">
      <c r="B770" s="113"/>
      <c r="C770" s="113"/>
      <c r="D770" s="114"/>
      <c r="E770" s="114"/>
    </row>
    <row r="771">
      <c r="B771" s="113"/>
      <c r="C771" s="113"/>
      <c r="D771" s="114"/>
      <c r="E771" s="114"/>
    </row>
    <row r="772">
      <c r="B772" s="113"/>
      <c r="C772" s="113"/>
      <c r="D772" s="114"/>
      <c r="E772" s="114"/>
    </row>
    <row r="773">
      <c r="B773" s="113"/>
      <c r="C773" s="113"/>
      <c r="D773" s="114"/>
      <c r="E773" s="114"/>
    </row>
    <row r="774">
      <c r="B774" s="113"/>
      <c r="C774" s="113"/>
      <c r="D774" s="114"/>
      <c r="E774" s="114"/>
    </row>
    <row r="775">
      <c r="B775" s="113"/>
      <c r="C775" s="113"/>
      <c r="D775" s="114"/>
      <c r="E775" s="114"/>
    </row>
    <row r="776">
      <c r="B776" s="113"/>
      <c r="C776" s="113"/>
      <c r="D776" s="114"/>
      <c r="E776" s="114"/>
    </row>
    <row r="777">
      <c r="B777" s="113"/>
      <c r="C777" s="113"/>
      <c r="D777" s="114"/>
      <c r="E777" s="114"/>
    </row>
    <row r="778">
      <c r="B778" s="113"/>
      <c r="C778" s="113"/>
      <c r="D778" s="114"/>
      <c r="E778" s="114"/>
    </row>
    <row r="779">
      <c r="B779" s="113"/>
      <c r="C779" s="113"/>
      <c r="D779" s="114"/>
      <c r="E779" s="114"/>
    </row>
    <row r="780">
      <c r="B780" s="113"/>
      <c r="C780" s="113"/>
      <c r="D780" s="114"/>
      <c r="E780" s="114"/>
    </row>
    <row r="781">
      <c r="B781" s="113"/>
      <c r="C781" s="113"/>
      <c r="D781" s="114"/>
      <c r="E781" s="114"/>
    </row>
    <row r="782">
      <c r="B782" s="113"/>
      <c r="C782" s="113"/>
      <c r="D782" s="114"/>
      <c r="E782" s="114"/>
    </row>
    <row r="783">
      <c r="B783" s="113"/>
      <c r="C783" s="113"/>
      <c r="D783" s="114"/>
      <c r="E783" s="114"/>
    </row>
    <row r="784">
      <c r="B784" s="113"/>
      <c r="C784" s="113"/>
      <c r="D784" s="114"/>
      <c r="E784" s="114"/>
    </row>
    <row r="785">
      <c r="B785" s="113"/>
      <c r="C785" s="113"/>
      <c r="D785" s="114"/>
      <c r="E785" s="114"/>
    </row>
    <row r="786">
      <c r="B786" s="113"/>
      <c r="C786" s="113"/>
      <c r="D786" s="114"/>
      <c r="E786" s="114"/>
    </row>
    <row r="787">
      <c r="B787" s="113"/>
      <c r="C787" s="113"/>
      <c r="D787" s="114"/>
      <c r="E787" s="114"/>
    </row>
    <row r="788">
      <c r="B788" s="113"/>
      <c r="C788" s="113"/>
      <c r="D788" s="114"/>
      <c r="E788" s="114"/>
    </row>
    <row r="789">
      <c r="B789" s="113"/>
      <c r="C789" s="113"/>
      <c r="D789" s="114"/>
      <c r="E789" s="114"/>
    </row>
    <row r="790">
      <c r="B790" s="113"/>
      <c r="C790" s="113"/>
      <c r="D790" s="114"/>
      <c r="E790" s="114"/>
    </row>
    <row r="791">
      <c r="B791" s="113"/>
      <c r="C791" s="113"/>
      <c r="D791" s="114"/>
      <c r="E791" s="114"/>
    </row>
    <row r="792">
      <c r="B792" s="113"/>
      <c r="C792" s="113"/>
      <c r="D792" s="114"/>
      <c r="E792" s="114"/>
    </row>
    <row r="793">
      <c r="B793" s="113"/>
      <c r="C793" s="113"/>
      <c r="D793" s="114"/>
      <c r="E793" s="114"/>
    </row>
    <row r="794">
      <c r="B794" s="113"/>
      <c r="C794" s="113"/>
      <c r="D794" s="114"/>
      <c r="E794" s="114"/>
    </row>
    <row r="795">
      <c r="B795" s="113"/>
      <c r="C795" s="113"/>
      <c r="D795" s="114"/>
      <c r="E795" s="114"/>
    </row>
    <row r="796">
      <c r="B796" s="113"/>
      <c r="C796" s="113"/>
      <c r="D796" s="114"/>
      <c r="E796" s="114"/>
    </row>
    <row r="797">
      <c r="B797" s="113"/>
      <c r="C797" s="113"/>
      <c r="D797" s="114"/>
      <c r="E797" s="114"/>
    </row>
    <row r="798">
      <c r="B798" s="113"/>
      <c r="C798" s="113"/>
      <c r="D798" s="114"/>
      <c r="E798" s="114"/>
    </row>
    <row r="799">
      <c r="B799" s="113"/>
      <c r="C799" s="113"/>
      <c r="D799" s="114"/>
      <c r="E799" s="114"/>
    </row>
    <row r="800">
      <c r="B800" s="113"/>
      <c r="C800" s="113"/>
      <c r="D800" s="114"/>
      <c r="E800" s="114"/>
    </row>
    <row r="801">
      <c r="B801" s="113"/>
      <c r="C801" s="113"/>
      <c r="D801" s="114"/>
      <c r="E801" s="114"/>
    </row>
    <row r="802">
      <c r="B802" s="113"/>
      <c r="C802" s="113"/>
      <c r="D802" s="114"/>
      <c r="E802" s="114"/>
    </row>
    <row r="803">
      <c r="B803" s="113"/>
      <c r="C803" s="113"/>
      <c r="D803" s="114"/>
      <c r="E803" s="114"/>
    </row>
    <row r="804">
      <c r="B804" s="113"/>
      <c r="C804" s="113"/>
      <c r="D804" s="114"/>
      <c r="E804" s="114"/>
    </row>
    <row r="805">
      <c r="B805" s="113"/>
      <c r="C805" s="113"/>
      <c r="D805" s="114"/>
      <c r="E805" s="114"/>
    </row>
    <row r="806">
      <c r="B806" s="113"/>
      <c r="C806" s="113"/>
      <c r="D806" s="114"/>
      <c r="E806" s="114"/>
    </row>
    <row r="807">
      <c r="B807" s="113"/>
      <c r="C807" s="113"/>
      <c r="D807" s="114"/>
      <c r="E807" s="114"/>
    </row>
    <row r="808">
      <c r="B808" s="113"/>
      <c r="C808" s="113"/>
      <c r="D808" s="114"/>
      <c r="E808" s="114"/>
    </row>
    <row r="809">
      <c r="B809" s="113"/>
      <c r="C809" s="113"/>
      <c r="D809" s="114"/>
      <c r="E809" s="114"/>
    </row>
    <row r="810">
      <c r="B810" s="113"/>
      <c r="C810" s="113"/>
      <c r="D810" s="114"/>
      <c r="E810" s="114"/>
    </row>
    <row r="811">
      <c r="B811" s="113"/>
      <c r="C811" s="113"/>
      <c r="D811" s="114"/>
      <c r="E811" s="114"/>
    </row>
    <row r="812">
      <c r="B812" s="113"/>
      <c r="C812" s="113"/>
      <c r="D812" s="114"/>
      <c r="E812" s="114"/>
    </row>
    <row r="813">
      <c r="B813" s="113"/>
      <c r="C813" s="113"/>
      <c r="D813" s="114"/>
      <c r="E813" s="114"/>
    </row>
    <row r="814">
      <c r="B814" s="113"/>
      <c r="C814" s="113"/>
      <c r="D814" s="114"/>
      <c r="E814" s="114"/>
    </row>
    <row r="815">
      <c r="B815" s="113"/>
      <c r="C815" s="113"/>
      <c r="D815" s="114"/>
      <c r="E815" s="114"/>
    </row>
    <row r="816">
      <c r="B816" s="113"/>
      <c r="C816" s="113"/>
      <c r="D816" s="114"/>
      <c r="E816" s="114"/>
    </row>
    <row r="817">
      <c r="B817" s="113"/>
      <c r="C817" s="113"/>
      <c r="D817" s="114"/>
      <c r="E817" s="114"/>
    </row>
    <row r="818">
      <c r="B818" s="113"/>
      <c r="C818" s="113"/>
      <c r="D818" s="114"/>
      <c r="E818" s="114"/>
    </row>
    <row r="819">
      <c r="B819" s="113"/>
      <c r="C819" s="113"/>
      <c r="D819" s="114"/>
      <c r="E819" s="114"/>
    </row>
    <row r="820">
      <c r="B820" s="113"/>
      <c r="C820" s="113"/>
      <c r="D820" s="114"/>
      <c r="E820" s="114"/>
    </row>
    <row r="821">
      <c r="B821" s="113"/>
      <c r="C821" s="113"/>
      <c r="D821" s="114"/>
      <c r="E821" s="114"/>
    </row>
    <row r="822">
      <c r="B822" s="113"/>
      <c r="C822" s="113"/>
      <c r="D822" s="114"/>
      <c r="E822" s="114"/>
    </row>
    <row r="823">
      <c r="B823" s="113"/>
      <c r="C823" s="113"/>
      <c r="D823" s="114"/>
      <c r="E823" s="114"/>
    </row>
    <row r="824">
      <c r="B824" s="113"/>
      <c r="C824" s="113"/>
      <c r="D824" s="114"/>
      <c r="E824" s="114"/>
    </row>
    <row r="825">
      <c r="B825" s="113"/>
      <c r="C825" s="113"/>
      <c r="D825" s="114"/>
      <c r="E825" s="114"/>
    </row>
    <row r="826">
      <c r="B826" s="113"/>
      <c r="C826" s="113"/>
      <c r="D826" s="114"/>
      <c r="E826" s="114"/>
    </row>
    <row r="827">
      <c r="B827" s="113"/>
      <c r="C827" s="113"/>
      <c r="D827" s="114"/>
      <c r="E827" s="114"/>
    </row>
    <row r="828">
      <c r="B828" s="113"/>
      <c r="C828" s="113"/>
      <c r="D828" s="114"/>
      <c r="E828" s="114"/>
    </row>
    <row r="829">
      <c r="B829" s="113"/>
      <c r="C829" s="113"/>
      <c r="D829" s="114"/>
      <c r="E829" s="114"/>
    </row>
    <row r="830">
      <c r="B830" s="113"/>
      <c r="C830" s="113"/>
      <c r="D830" s="114"/>
      <c r="E830" s="114"/>
    </row>
    <row r="831">
      <c r="B831" s="113"/>
      <c r="C831" s="113"/>
      <c r="D831" s="114"/>
      <c r="E831" s="114"/>
    </row>
    <row r="832">
      <c r="B832" s="113"/>
      <c r="C832" s="113"/>
      <c r="D832" s="114"/>
      <c r="E832" s="114"/>
    </row>
    <row r="833">
      <c r="B833" s="113"/>
      <c r="C833" s="113"/>
      <c r="D833" s="114"/>
      <c r="E833" s="114"/>
    </row>
    <row r="834">
      <c r="B834" s="113"/>
      <c r="C834" s="113"/>
      <c r="D834" s="114"/>
      <c r="E834" s="114"/>
    </row>
    <row r="835">
      <c r="B835" s="113"/>
      <c r="C835" s="113"/>
      <c r="D835" s="114"/>
      <c r="E835" s="114"/>
    </row>
    <row r="836">
      <c r="B836" s="113"/>
      <c r="C836" s="113"/>
      <c r="D836" s="114"/>
      <c r="E836" s="114"/>
    </row>
    <row r="837">
      <c r="B837" s="113"/>
      <c r="C837" s="113"/>
      <c r="D837" s="114"/>
      <c r="E837" s="114"/>
    </row>
    <row r="838">
      <c r="B838" s="113"/>
      <c r="C838" s="113"/>
      <c r="D838" s="114"/>
      <c r="E838" s="114"/>
    </row>
    <row r="839">
      <c r="B839" s="113"/>
      <c r="C839" s="113"/>
      <c r="D839" s="114"/>
      <c r="E839" s="114"/>
    </row>
    <row r="840">
      <c r="B840" s="113"/>
      <c r="C840" s="113"/>
      <c r="D840" s="114"/>
      <c r="E840" s="114"/>
    </row>
    <row r="841">
      <c r="B841" s="113"/>
      <c r="C841" s="113"/>
      <c r="D841" s="114"/>
      <c r="E841" s="114"/>
    </row>
    <row r="842">
      <c r="B842" s="113"/>
      <c r="C842" s="113"/>
      <c r="D842" s="114"/>
      <c r="E842" s="114"/>
    </row>
    <row r="843">
      <c r="B843" s="113"/>
      <c r="C843" s="113"/>
      <c r="D843" s="114"/>
      <c r="E843" s="114"/>
    </row>
    <row r="844">
      <c r="B844" s="113"/>
      <c r="C844" s="113"/>
      <c r="D844" s="114"/>
      <c r="E844" s="114"/>
    </row>
    <row r="845">
      <c r="B845" s="113"/>
      <c r="C845" s="113"/>
      <c r="D845" s="114"/>
      <c r="E845" s="114"/>
    </row>
    <row r="846">
      <c r="B846" s="113"/>
      <c r="C846" s="113"/>
      <c r="D846" s="114"/>
      <c r="E846" s="114"/>
    </row>
    <row r="847">
      <c r="B847" s="113"/>
      <c r="C847" s="113"/>
      <c r="D847" s="114"/>
      <c r="E847" s="114"/>
    </row>
    <row r="848">
      <c r="B848" s="113"/>
      <c r="C848" s="113"/>
      <c r="D848" s="114"/>
      <c r="E848" s="114"/>
    </row>
    <row r="849">
      <c r="B849" s="113"/>
      <c r="C849" s="113"/>
      <c r="D849" s="114"/>
      <c r="E849" s="114"/>
    </row>
    <row r="850">
      <c r="B850" s="113"/>
      <c r="C850" s="113"/>
      <c r="D850" s="114"/>
      <c r="E850" s="114"/>
    </row>
    <row r="851">
      <c r="B851" s="113"/>
      <c r="C851" s="113"/>
      <c r="D851" s="114"/>
      <c r="E851" s="114"/>
    </row>
    <row r="852">
      <c r="B852" s="113"/>
      <c r="C852" s="113"/>
      <c r="D852" s="114"/>
      <c r="E852" s="114"/>
    </row>
    <row r="853">
      <c r="B853" s="113"/>
      <c r="C853" s="113"/>
      <c r="D853" s="114"/>
      <c r="E853" s="114"/>
    </row>
    <row r="854">
      <c r="B854" s="113"/>
      <c r="C854" s="113"/>
      <c r="D854" s="114"/>
      <c r="E854" s="114"/>
    </row>
    <row r="855">
      <c r="B855" s="113"/>
      <c r="C855" s="113"/>
      <c r="D855" s="114"/>
      <c r="E855" s="114"/>
    </row>
    <row r="856">
      <c r="B856" s="113"/>
      <c r="C856" s="113"/>
      <c r="D856" s="114"/>
      <c r="E856" s="114"/>
    </row>
    <row r="857">
      <c r="B857" s="113"/>
      <c r="C857" s="113"/>
      <c r="D857" s="114"/>
      <c r="E857" s="114"/>
    </row>
    <row r="858">
      <c r="B858" s="113"/>
      <c r="C858" s="113"/>
      <c r="D858" s="114"/>
      <c r="E858" s="114"/>
    </row>
    <row r="859">
      <c r="B859" s="113"/>
      <c r="C859" s="113"/>
      <c r="D859" s="114"/>
      <c r="E859" s="114"/>
    </row>
    <row r="860">
      <c r="B860" s="113"/>
      <c r="C860" s="113"/>
      <c r="D860" s="114"/>
      <c r="E860" s="114"/>
    </row>
    <row r="861">
      <c r="B861" s="113"/>
      <c r="C861" s="113"/>
      <c r="D861" s="114"/>
      <c r="E861" s="114"/>
    </row>
    <row r="862">
      <c r="B862" s="113"/>
      <c r="C862" s="113"/>
      <c r="D862" s="114"/>
      <c r="E862" s="114"/>
    </row>
    <row r="863">
      <c r="B863" s="113"/>
      <c r="C863" s="113"/>
      <c r="D863" s="114"/>
      <c r="E863" s="114"/>
    </row>
    <row r="864">
      <c r="B864" s="113"/>
      <c r="C864" s="113"/>
      <c r="D864" s="114"/>
      <c r="E864" s="114"/>
    </row>
    <row r="865">
      <c r="B865" s="113"/>
      <c r="C865" s="113"/>
      <c r="D865" s="114"/>
      <c r="E865" s="114"/>
    </row>
    <row r="866">
      <c r="B866" s="113"/>
      <c r="C866" s="113"/>
      <c r="D866" s="114"/>
      <c r="E866" s="114"/>
    </row>
    <row r="867">
      <c r="B867" s="113"/>
      <c r="C867" s="113"/>
      <c r="D867" s="114"/>
      <c r="E867" s="114"/>
    </row>
    <row r="868">
      <c r="B868" s="113"/>
      <c r="C868" s="113"/>
      <c r="D868" s="114"/>
      <c r="E868" s="114"/>
    </row>
    <row r="869">
      <c r="B869" s="113"/>
      <c r="C869" s="113"/>
      <c r="D869" s="114"/>
      <c r="E869" s="114"/>
    </row>
    <row r="870">
      <c r="B870" s="113"/>
      <c r="C870" s="113"/>
      <c r="D870" s="114"/>
      <c r="E870" s="114"/>
    </row>
    <row r="871">
      <c r="B871" s="113"/>
      <c r="C871" s="113"/>
      <c r="D871" s="114"/>
      <c r="E871" s="114"/>
    </row>
    <row r="872">
      <c r="B872" s="113"/>
      <c r="C872" s="113"/>
      <c r="D872" s="114"/>
      <c r="E872" s="114"/>
    </row>
    <row r="873">
      <c r="B873" s="113"/>
      <c r="C873" s="113"/>
      <c r="D873" s="114"/>
      <c r="E873" s="114"/>
    </row>
    <row r="874">
      <c r="B874" s="113"/>
      <c r="C874" s="113"/>
      <c r="D874" s="114"/>
      <c r="E874" s="114"/>
    </row>
    <row r="875">
      <c r="B875" s="113"/>
      <c r="C875" s="113"/>
      <c r="D875" s="114"/>
      <c r="E875" s="114"/>
    </row>
    <row r="876">
      <c r="B876" s="113"/>
      <c r="C876" s="113"/>
      <c r="D876" s="114"/>
      <c r="E876" s="114"/>
    </row>
    <row r="877">
      <c r="B877" s="113"/>
      <c r="C877" s="113"/>
      <c r="D877" s="114"/>
      <c r="E877" s="114"/>
    </row>
    <row r="878">
      <c r="B878" s="113"/>
      <c r="C878" s="113"/>
      <c r="D878" s="114"/>
      <c r="E878" s="114"/>
    </row>
    <row r="879">
      <c r="B879" s="113"/>
      <c r="C879" s="113"/>
      <c r="D879" s="114"/>
      <c r="E879" s="114"/>
    </row>
    <row r="880">
      <c r="B880" s="113"/>
      <c r="C880" s="113"/>
      <c r="D880" s="114"/>
      <c r="E880" s="114"/>
    </row>
    <row r="881">
      <c r="B881" s="113"/>
      <c r="C881" s="113"/>
      <c r="D881" s="114"/>
      <c r="E881" s="114"/>
    </row>
    <row r="882">
      <c r="B882" s="113"/>
      <c r="C882" s="113"/>
      <c r="D882" s="114"/>
      <c r="E882" s="114"/>
    </row>
    <row r="883">
      <c r="B883" s="113"/>
      <c r="C883" s="113"/>
      <c r="D883" s="114"/>
      <c r="E883" s="114"/>
    </row>
    <row r="884">
      <c r="B884" s="113"/>
      <c r="C884" s="113"/>
      <c r="D884" s="114"/>
      <c r="E884" s="114"/>
    </row>
    <row r="885">
      <c r="B885" s="113"/>
      <c r="C885" s="113"/>
      <c r="D885" s="114"/>
      <c r="E885" s="114"/>
    </row>
    <row r="886">
      <c r="B886" s="113"/>
      <c r="C886" s="113"/>
      <c r="D886" s="114"/>
      <c r="E886" s="114"/>
    </row>
    <row r="887">
      <c r="B887" s="113"/>
      <c r="C887" s="113"/>
      <c r="D887" s="114"/>
      <c r="E887" s="114"/>
    </row>
    <row r="888">
      <c r="B888" s="113"/>
      <c r="C888" s="113"/>
      <c r="D888" s="114"/>
      <c r="E888" s="114"/>
    </row>
    <row r="889">
      <c r="B889" s="113"/>
      <c r="C889" s="113"/>
      <c r="D889" s="114"/>
      <c r="E889" s="114"/>
    </row>
    <row r="890">
      <c r="B890" s="113"/>
      <c r="C890" s="113"/>
      <c r="D890" s="114"/>
      <c r="E890" s="114"/>
    </row>
    <row r="891">
      <c r="B891" s="113"/>
      <c r="C891" s="113"/>
      <c r="D891" s="114"/>
      <c r="E891" s="114"/>
    </row>
    <row r="892">
      <c r="B892" s="113"/>
      <c r="C892" s="113"/>
      <c r="D892" s="114"/>
      <c r="E892" s="114"/>
    </row>
    <row r="893">
      <c r="B893" s="113"/>
      <c r="C893" s="113"/>
      <c r="D893" s="114"/>
      <c r="E893" s="114"/>
    </row>
    <row r="894">
      <c r="B894" s="113"/>
      <c r="C894" s="113"/>
      <c r="D894" s="114"/>
      <c r="E894" s="114"/>
    </row>
    <row r="895">
      <c r="B895" s="113"/>
      <c r="C895" s="113"/>
      <c r="D895" s="114"/>
      <c r="E895" s="114"/>
    </row>
    <row r="896">
      <c r="B896" s="113"/>
      <c r="C896" s="113"/>
      <c r="D896" s="114"/>
      <c r="E896" s="114"/>
    </row>
    <row r="897">
      <c r="B897" s="113"/>
      <c r="C897" s="113"/>
      <c r="D897" s="114"/>
      <c r="E897" s="114"/>
    </row>
    <row r="898">
      <c r="B898" s="113"/>
      <c r="C898" s="113"/>
      <c r="D898" s="114"/>
      <c r="E898" s="114"/>
    </row>
    <row r="899">
      <c r="B899" s="113"/>
      <c r="C899" s="113"/>
      <c r="D899" s="114"/>
      <c r="E899" s="114"/>
    </row>
    <row r="900">
      <c r="B900" s="113"/>
      <c r="C900" s="113"/>
      <c r="D900" s="114"/>
      <c r="E900" s="114"/>
    </row>
    <row r="901">
      <c r="B901" s="113"/>
      <c r="C901" s="113"/>
      <c r="D901" s="114"/>
      <c r="E901" s="114"/>
    </row>
    <row r="902">
      <c r="B902" s="113"/>
      <c r="C902" s="113"/>
      <c r="D902" s="114"/>
      <c r="E902" s="114"/>
    </row>
    <row r="903">
      <c r="B903" s="113"/>
      <c r="C903" s="113"/>
      <c r="D903" s="114"/>
      <c r="E903" s="114"/>
    </row>
    <row r="904">
      <c r="B904" s="113"/>
      <c r="C904" s="113"/>
      <c r="D904" s="114"/>
      <c r="E904" s="114"/>
    </row>
    <row r="905">
      <c r="B905" s="113"/>
      <c r="C905" s="113"/>
      <c r="D905" s="114"/>
      <c r="E905" s="114"/>
    </row>
    <row r="906">
      <c r="B906" s="113"/>
      <c r="C906" s="113"/>
      <c r="D906" s="114"/>
      <c r="E906" s="114"/>
    </row>
    <row r="907">
      <c r="B907" s="113"/>
      <c r="C907" s="113"/>
      <c r="D907" s="114"/>
      <c r="E907" s="114"/>
    </row>
    <row r="908">
      <c r="B908" s="113"/>
      <c r="C908" s="113"/>
      <c r="D908" s="114"/>
      <c r="E908" s="114"/>
    </row>
    <row r="909">
      <c r="B909" s="113"/>
      <c r="C909" s="113"/>
      <c r="D909" s="114"/>
      <c r="E909" s="114"/>
    </row>
    <row r="910">
      <c r="B910" s="113"/>
      <c r="C910" s="113"/>
      <c r="D910" s="114"/>
      <c r="E910" s="114"/>
    </row>
    <row r="911">
      <c r="B911" s="113"/>
      <c r="C911" s="113"/>
      <c r="D911" s="114"/>
      <c r="E911" s="114"/>
    </row>
    <row r="912">
      <c r="B912" s="113"/>
      <c r="C912" s="113"/>
      <c r="D912" s="114"/>
      <c r="E912" s="114"/>
    </row>
    <row r="913">
      <c r="B913" s="113"/>
      <c r="C913" s="113"/>
      <c r="D913" s="114"/>
      <c r="E913" s="114"/>
    </row>
    <row r="914">
      <c r="B914" s="113"/>
      <c r="C914" s="113"/>
      <c r="D914" s="114"/>
      <c r="E914" s="114"/>
    </row>
    <row r="915">
      <c r="B915" s="113"/>
      <c r="C915" s="113"/>
      <c r="D915" s="114"/>
      <c r="E915" s="114"/>
    </row>
    <row r="916">
      <c r="B916" s="113"/>
      <c r="C916" s="113"/>
      <c r="D916" s="114"/>
      <c r="E916" s="114"/>
    </row>
    <row r="917">
      <c r="B917" s="113"/>
      <c r="C917" s="113"/>
      <c r="D917" s="114"/>
      <c r="E917" s="114"/>
    </row>
    <row r="918">
      <c r="B918" s="113"/>
      <c r="C918" s="113"/>
      <c r="D918" s="114"/>
      <c r="E918" s="114"/>
    </row>
    <row r="919">
      <c r="B919" s="113"/>
      <c r="C919" s="113"/>
      <c r="D919" s="114"/>
      <c r="E919" s="114"/>
    </row>
    <row r="920">
      <c r="B920" s="113"/>
      <c r="C920" s="113"/>
      <c r="D920" s="114"/>
      <c r="E920" s="114"/>
    </row>
    <row r="921">
      <c r="B921" s="113"/>
      <c r="C921" s="113"/>
      <c r="D921" s="114"/>
      <c r="E921" s="114"/>
    </row>
    <row r="922">
      <c r="B922" s="113"/>
      <c r="C922" s="113"/>
      <c r="D922" s="114"/>
      <c r="E922" s="114"/>
    </row>
    <row r="923">
      <c r="B923" s="113"/>
      <c r="C923" s="113"/>
      <c r="D923" s="114"/>
      <c r="E923" s="114"/>
    </row>
    <row r="924">
      <c r="B924" s="113"/>
      <c r="C924" s="113"/>
      <c r="D924" s="114"/>
      <c r="E924" s="114"/>
    </row>
    <row r="925">
      <c r="B925" s="113"/>
      <c r="C925" s="113"/>
      <c r="D925" s="114"/>
      <c r="E925" s="114"/>
    </row>
    <row r="926">
      <c r="B926" s="113"/>
      <c r="C926" s="113"/>
      <c r="D926" s="114"/>
      <c r="E926" s="114"/>
    </row>
    <row r="927">
      <c r="B927" s="113"/>
      <c r="C927" s="113"/>
      <c r="D927" s="114"/>
      <c r="E927" s="114"/>
    </row>
    <row r="928">
      <c r="B928" s="113"/>
      <c r="C928" s="113"/>
      <c r="D928" s="114"/>
      <c r="E928" s="114"/>
    </row>
    <row r="929">
      <c r="B929" s="113"/>
      <c r="C929" s="113"/>
      <c r="D929" s="114"/>
      <c r="E929" s="114"/>
    </row>
    <row r="930">
      <c r="B930" s="113"/>
      <c r="C930" s="113"/>
      <c r="D930" s="114"/>
      <c r="E930" s="114"/>
    </row>
    <row r="931">
      <c r="B931" s="113"/>
      <c r="C931" s="113"/>
      <c r="D931" s="114"/>
      <c r="E931" s="114"/>
    </row>
    <row r="932">
      <c r="B932" s="113"/>
      <c r="C932" s="113"/>
      <c r="D932" s="114"/>
      <c r="E932" s="114"/>
    </row>
    <row r="933">
      <c r="B933" s="113"/>
      <c r="C933" s="113"/>
      <c r="D933" s="114"/>
      <c r="E933" s="114"/>
    </row>
    <row r="934">
      <c r="B934" s="113"/>
      <c r="C934" s="113"/>
      <c r="D934" s="114"/>
      <c r="E934" s="114"/>
    </row>
    <row r="935">
      <c r="B935" s="113"/>
      <c r="C935" s="113"/>
      <c r="D935" s="114"/>
      <c r="E935" s="114"/>
    </row>
    <row r="936">
      <c r="B936" s="113"/>
      <c r="C936" s="113"/>
      <c r="D936" s="114"/>
      <c r="E936" s="114"/>
    </row>
    <row r="937">
      <c r="B937" s="113"/>
      <c r="C937" s="113"/>
      <c r="D937" s="114"/>
      <c r="E937" s="114"/>
    </row>
    <row r="938">
      <c r="B938" s="113"/>
      <c r="C938" s="113"/>
      <c r="D938" s="114"/>
      <c r="E938" s="114"/>
    </row>
    <row r="939">
      <c r="B939" s="113"/>
      <c r="C939" s="113"/>
      <c r="D939" s="114"/>
      <c r="E939" s="114"/>
    </row>
    <row r="940">
      <c r="B940" s="113"/>
      <c r="C940" s="113"/>
      <c r="D940" s="114"/>
      <c r="E940" s="114"/>
    </row>
    <row r="941">
      <c r="B941" s="113"/>
      <c r="C941" s="113"/>
      <c r="D941" s="114"/>
      <c r="E941" s="114"/>
    </row>
    <row r="942">
      <c r="B942" s="113"/>
      <c r="C942" s="113"/>
      <c r="D942" s="114"/>
      <c r="E942" s="114"/>
    </row>
    <row r="943">
      <c r="B943" s="113"/>
      <c r="C943" s="113"/>
      <c r="D943" s="114"/>
      <c r="E943" s="114"/>
    </row>
    <row r="944">
      <c r="B944" s="113"/>
      <c r="C944" s="113"/>
      <c r="D944" s="114"/>
      <c r="E944" s="114"/>
    </row>
    <row r="945">
      <c r="B945" s="113"/>
      <c r="C945" s="113"/>
      <c r="D945" s="114"/>
      <c r="E945" s="114"/>
    </row>
    <row r="946">
      <c r="B946" s="113"/>
      <c r="C946" s="113"/>
      <c r="D946" s="114"/>
      <c r="E946" s="114"/>
    </row>
    <row r="947">
      <c r="B947" s="113"/>
      <c r="C947" s="113"/>
      <c r="D947" s="114"/>
      <c r="E947" s="114"/>
    </row>
    <row r="948">
      <c r="B948" s="113"/>
      <c r="C948" s="113"/>
      <c r="D948" s="114"/>
      <c r="E948" s="114"/>
    </row>
    <row r="949">
      <c r="B949" s="113"/>
      <c r="C949" s="113"/>
      <c r="D949" s="114"/>
      <c r="E949" s="114"/>
    </row>
    <row r="950">
      <c r="B950" s="113"/>
      <c r="D950" s="114"/>
      <c r="E950" s="114"/>
    </row>
    <row r="951">
      <c r="B951" s="113"/>
      <c r="D951" s="114"/>
      <c r="E951" s="114"/>
    </row>
    <row r="952">
      <c r="B952" s="113"/>
      <c r="D952" s="114"/>
      <c r="E952" s="114"/>
    </row>
    <row r="953">
      <c r="B953" s="113"/>
      <c r="D953" s="114"/>
      <c r="E953" s="114"/>
    </row>
    <row r="954">
      <c r="B954" s="113"/>
      <c r="D954" s="114"/>
      <c r="E954" s="114"/>
    </row>
    <row r="955">
      <c r="B955" s="113"/>
      <c r="D955" s="114"/>
      <c r="E955" s="114"/>
    </row>
    <row r="956">
      <c r="B956" s="113"/>
      <c r="D956" s="114"/>
      <c r="E956" s="114"/>
    </row>
    <row r="957">
      <c r="B957" s="113"/>
      <c r="D957" s="114"/>
      <c r="E957" s="114"/>
    </row>
    <row r="958">
      <c r="B958" s="113"/>
      <c r="D958" s="114"/>
      <c r="E958" s="114"/>
    </row>
    <row r="959">
      <c r="B959" s="113"/>
      <c r="D959" s="114"/>
      <c r="E959" s="114"/>
    </row>
    <row r="960">
      <c r="B960" s="113"/>
      <c r="D960" s="114"/>
      <c r="E960" s="114"/>
    </row>
    <row r="961">
      <c r="B961" s="113"/>
      <c r="D961" s="114"/>
      <c r="E961" s="114"/>
    </row>
    <row r="962">
      <c r="B962" s="113"/>
      <c r="D962" s="114"/>
      <c r="E962" s="114"/>
    </row>
    <row r="963">
      <c r="B963" s="113"/>
      <c r="D963" s="114"/>
      <c r="E963" s="114"/>
    </row>
    <row r="964">
      <c r="B964" s="113"/>
      <c r="D964" s="114"/>
      <c r="E964" s="114"/>
    </row>
    <row r="965">
      <c r="B965" s="113"/>
      <c r="D965" s="114"/>
      <c r="E965" s="114"/>
    </row>
    <row r="966">
      <c r="B966" s="113"/>
      <c r="D966" s="114"/>
      <c r="E966" s="114"/>
    </row>
    <row r="967">
      <c r="B967" s="113"/>
      <c r="D967" s="114"/>
      <c r="E967" s="114"/>
    </row>
    <row r="968">
      <c r="B968" s="113"/>
      <c r="D968" s="114"/>
      <c r="E968" s="114"/>
    </row>
    <row r="969">
      <c r="B969" s="113"/>
      <c r="D969" s="114"/>
      <c r="E969" s="114"/>
    </row>
    <row r="970">
      <c r="B970" s="113"/>
      <c r="D970" s="114"/>
      <c r="E970" s="114"/>
    </row>
    <row r="971">
      <c r="B971" s="113"/>
      <c r="D971" s="114"/>
      <c r="E971" s="114"/>
    </row>
    <row r="972">
      <c r="B972" s="113"/>
      <c r="D972" s="114"/>
      <c r="E972" s="114"/>
    </row>
    <row r="973">
      <c r="B973" s="113"/>
      <c r="D973" s="114"/>
      <c r="E973" s="114"/>
    </row>
    <row r="974">
      <c r="B974" s="113"/>
      <c r="D974" s="114"/>
      <c r="E974" s="114"/>
    </row>
    <row r="975">
      <c r="B975" s="113"/>
      <c r="D975" s="114"/>
      <c r="E975" s="114"/>
    </row>
    <row r="976">
      <c r="B976" s="113"/>
      <c r="D976" s="114"/>
      <c r="E976" s="114"/>
    </row>
    <row r="977">
      <c r="B977" s="113"/>
      <c r="D977" s="114"/>
      <c r="E977" s="114"/>
    </row>
    <row r="978">
      <c r="B978" s="113"/>
      <c r="D978" s="114"/>
      <c r="E978" s="114"/>
    </row>
    <row r="979">
      <c r="B979" s="113"/>
      <c r="D979" s="114"/>
      <c r="E979" s="114"/>
    </row>
    <row r="980">
      <c r="B980" s="113"/>
      <c r="D980" s="114"/>
      <c r="E980" s="114"/>
    </row>
    <row r="981">
      <c r="B981" s="113"/>
      <c r="D981" s="114"/>
      <c r="E981" s="114"/>
    </row>
    <row r="982">
      <c r="B982" s="113"/>
      <c r="D982" s="114"/>
      <c r="E982" s="114"/>
    </row>
    <row r="983">
      <c r="B983" s="113"/>
      <c r="D983" s="114"/>
      <c r="E983" s="114"/>
    </row>
    <row r="984">
      <c r="B984" s="113"/>
      <c r="D984" s="114"/>
      <c r="E984" s="114"/>
    </row>
    <row r="985">
      <c r="B985" s="113"/>
      <c r="D985" s="114"/>
      <c r="E985" s="114"/>
    </row>
    <row r="986">
      <c r="B986" s="113"/>
      <c r="D986" s="114"/>
      <c r="E986" s="114"/>
    </row>
    <row r="987">
      <c r="B987" s="113"/>
      <c r="D987" s="114"/>
      <c r="E987" s="114"/>
    </row>
    <row r="988">
      <c r="B988" s="113"/>
      <c r="D988" s="114"/>
      <c r="E988" s="114"/>
    </row>
    <row r="989">
      <c r="B989" s="113"/>
      <c r="D989" s="114"/>
      <c r="E989" s="114"/>
    </row>
    <row r="990">
      <c r="B990" s="113"/>
      <c r="D990" s="114"/>
      <c r="E990" s="114"/>
    </row>
    <row r="991">
      <c r="B991" s="113"/>
      <c r="D991" s="114"/>
      <c r="E991" s="114"/>
    </row>
    <row r="992">
      <c r="B992" s="113"/>
      <c r="D992" s="114"/>
      <c r="E992" s="114"/>
    </row>
    <row r="993">
      <c r="B993" s="113"/>
      <c r="D993" s="114"/>
      <c r="E993" s="114"/>
    </row>
    <row r="994">
      <c r="B994" s="113"/>
      <c r="D994" s="114"/>
      <c r="E994" s="114"/>
    </row>
    <row r="995">
      <c r="B995" s="113"/>
      <c r="D995" s="114"/>
      <c r="E995" s="114"/>
    </row>
    <row r="996">
      <c r="B996" s="113"/>
      <c r="D996" s="114"/>
      <c r="E996" s="114"/>
    </row>
  </sheetData>
  <mergeCells count="118">
    <mergeCell ref="T2:U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100:U100"/>
    <mergeCell ref="T101:U101"/>
    <mergeCell ref="T102:U102"/>
    <mergeCell ref="T103:U103"/>
    <mergeCell ref="T104:U104"/>
    <mergeCell ref="T105:U105"/>
    <mergeCell ref="T106:U106"/>
    <mergeCell ref="T114:U114"/>
    <mergeCell ref="T115:U115"/>
    <mergeCell ref="T116:U116"/>
    <mergeCell ref="T117:U117"/>
    <mergeCell ref="T118:U118"/>
    <mergeCell ref="T119:U119"/>
    <mergeCell ref="T107:U107"/>
    <mergeCell ref="T108:U108"/>
    <mergeCell ref="T109:U109"/>
    <mergeCell ref="T110:U110"/>
    <mergeCell ref="T111:U111"/>
    <mergeCell ref="T112:U112"/>
    <mergeCell ref="T113:U113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</mergeCells>
  <conditionalFormatting sqref="D3:N78 P4:P5 P7:P8 P10:P13 P15:P20 P23 P25:P26 P28:P30 P32 P35:P37 P40 P44:P45 P47 P54:P55 P58:P59 P64:P66 P68:P69 P71:P72 P74">
    <cfRule type="beginsWith" dxfId="3" priority="1" operator="beginsWith" text="a">
      <formula>LEFT((D3),LEN("a"))=("a")</formula>
    </cfRule>
  </conditionalFormatting>
  <conditionalFormatting sqref="D3:M78">
    <cfRule type="cellIs" dxfId="3" priority="2" operator="equal">
      <formula>"Absent"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4" max="8" width="16.38"/>
  </cols>
  <sheetData>
    <row r="1" ht="15.0" customHeight="1">
      <c r="A1" s="92"/>
      <c r="B1" s="14"/>
      <c r="C1" s="14"/>
      <c r="D1" s="14"/>
      <c r="E1" s="14"/>
      <c r="F1" s="14"/>
      <c r="G1" s="93"/>
      <c r="H1" s="94"/>
    </row>
    <row r="2" ht="33.75" customHeight="1">
      <c r="A2" s="95" t="s">
        <v>2</v>
      </c>
      <c r="B2" s="95" t="s">
        <v>5</v>
      </c>
      <c r="C2" s="96" t="s">
        <v>6</v>
      </c>
      <c r="D2" s="97" t="s">
        <v>640</v>
      </c>
      <c r="E2" s="98" t="s">
        <v>641</v>
      </c>
      <c r="F2" s="99" t="s">
        <v>642</v>
      </c>
      <c r="G2" s="100"/>
      <c r="H2" s="101"/>
    </row>
    <row r="3" ht="33.75" customHeight="1">
      <c r="A3" s="22"/>
      <c r="B3" s="22"/>
      <c r="C3" s="22"/>
      <c r="D3" s="22"/>
      <c r="E3" s="22"/>
      <c r="F3" s="102"/>
      <c r="G3" s="100"/>
      <c r="H3" s="101"/>
    </row>
    <row r="4" ht="33.75" customHeight="1">
      <c r="A4" s="43"/>
      <c r="B4" s="43"/>
      <c r="C4" s="43"/>
      <c r="D4" s="43"/>
      <c r="E4" s="43"/>
      <c r="F4" s="103"/>
      <c r="G4" s="100"/>
      <c r="H4" s="101"/>
    </row>
    <row r="5">
      <c r="A5" s="104">
        <v>1.0</v>
      </c>
      <c r="B5" s="105" t="s">
        <v>342</v>
      </c>
      <c r="C5" s="105" t="s">
        <v>345</v>
      </c>
      <c r="D5" s="106" t="s">
        <v>645</v>
      </c>
      <c r="E5" s="106" t="s">
        <v>648</v>
      </c>
      <c r="F5" s="106" t="s">
        <v>649</v>
      </c>
      <c r="G5" s="107"/>
      <c r="H5" s="108"/>
    </row>
    <row r="6">
      <c r="A6" s="104">
        <v>2.0</v>
      </c>
      <c r="B6" s="105" t="s">
        <v>205</v>
      </c>
      <c r="C6" s="105" t="s">
        <v>206</v>
      </c>
      <c r="D6" s="106" t="s">
        <v>652</v>
      </c>
      <c r="E6" s="106" t="s">
        <v>653</v>
      </c>
      <c r="F6" s="106" t="s">
        <v>654</v>
      </c>
      <c r="G6" s="107"/>
      <c r="H6" s="108"/>
    </row>
    <row r="7">
      <c r="A7" s="104">
        <v>3.0</v>
      </c>
      <c r="B7" s="105" t="s">
        <v>657</v>
      </c>
      <c r="C7" s="105" t="s">
        <v>658</v>
      </c>
      <c r="D7" s="106" t="s">
        <v>659</v>
      </c>
      <c r="E7" s="106" t="s">
        <v>660</v>
      </c>
      <c r="F7" s="106" t="s">
        <v>661</v>
      </c>
      <c r="G7" s="109"/>
    </row>
    <row r="8">
      <c r="A8" s="104">
        <v>4.0</v>
      </c>
      <c r="B8" s="105" t="s">
        <v>390</v>
      </c>
      <c r="C8" s="105" t="s">
        <v>391</v>
      </c>
      <c r="D8" s="106" t="s">
        <v>664</v>
      </c>
      <c r="E8" s="106" t="s">
        <v>665</v>
      </c>
      <c r="F8" s="106" t="s">
        <v>668</v>
      </c>
      <c r="G8" s="109"/>
    </row>
    <row r="9">
      <c r="A9" s="104">
        <v>5.0</v>
      </c>
      <c r="B9" s="105" t="s">
        <v>669</v>
      </c>
      <c r="C9" s="105" t="s">
        <v>507</v>
      </c>
      <c r="D9" s="106" t="s">
        <v>670</v>
      </c>
      <c r="E9" s="106" t="s">
        <v>673</v>
      </c>
      <c r="F9" s="106" t="s">
        <v>674</v>
      </c>
      <c r="G9" s="109"/>
    </row>
    <row r="10">
      <c r="A10" s="104">
        <v>6.0</v>
      </c>
      <c r="B10" s="105" t="s">
        <v>437</v>
      </c>
      <c r="C10" s="105" t="s">
        <v>438</v>
      </c>
      <c r="D10" s="106" t="s">
        <v>677</v>
      </c>
      <c r="E10" s="106" t="s">
        <v>678</v>
      </c>
      <c r="F10" s="106" t="s">
        <v>679</v>
      </c>
      <c r="G10" s="109"/>
    </row>
    <row r="11">
      <c r="A11" s="104">
        <v>7.0</v>
      </c>
      <c r="B11" s="105" t="s">
        <v>682</v>
      </c>
      <c r="C11" s="105" t="s">
        <v>683</v>
      </c>
      <c r="D11" s="106" t="s">
        <v>684</v>
      </c>
      <c r="E11" s="106" t="s">
        <v>685</v>
      </c>
      <c r="F11" s="106" t="s">
        <v>687</v>
      </c>
      <c r="G11" s="109"/>
    </row>
    <row r="12">
      <c r="A12" s="104">
        <v>8.0</v>
      </c>
      <c r="B12" s="105" t="s">
        <v>690</v>
      </c>
      <c r="C12" s="105" t="s">
        <v>689</v>
      </c>
      <c r="D12" s="106" t="s">
        <v>691</v>
      </c>
      <c r="E12" s="106" t="s">
        <v>692</v>
      </c>
      <c r="F12" s="106" t="s">
        <v>695</v>
      </c>
      <c r="G12" s="109"/>
    </row>
    <row r="13">
      <c r="A13" s="104">
        <v>9.0</v>
      </c>
      <c r="B13" s="105" t="s">
        <v>696</v>
      </c>
      <c r="C13" s="105" t="s">
        <v>697</v>
      </c>
      <c r="D13" s="106" t="s">
        <v>698</v>
      </c>
      <c r="E13" s="106" t="s">
        <v>701</v>
      </c>
      <c r="F13" s="106" t="s">
        <v>702</v>
      </c>
      <c r="G13" s="109"/>
    </row>
    <row r="14">
      <c r="A14" s="31">
        <v>10.0</v>
      </c>
      <c r="B14" s="105" t="s">
        <v>703</v>
      </c>
      <c r="C14" s="105" t="s">
        <v>635</v>
      </c>
      <c r="D14" s="106" t="s">
        <v>704</v>
      </c>
      <c r="E14" s="106" t="s">
        <v>707</v>
      </c>
      <c r="F14" s="106" t="s">
        <v>708</v>
      </c>
      <c r="G14" s="109"/>
    </row>
    <row r="15">
      <c r="A15" s="31">
        <v>11.0</v>
      </c>
      <c r="B15" s="105" t="s">
        <v>586</v>
      </c>
      <c r="C15" s="105" t="s">
        <v>587</v>
      </c>
      <c r="D15" s="106" t="s">
        <v>711</v>
      </c>
      <c r="E15" s="106" t="s">
        <v>712</v>
      </c>
      <c r="F15" s="106" t="s">
        <v>713</v>
      </c>
      <c r="G15" s="109"/>
    </row>
    <row r="16">
      <c r="A16" s="31">
        <v>12.0</v>
      </c>
      <c r="B16" s="105" t="s">
        <v>716</v>
      </c>
      <c r="C16" s="105" t="s">
        <v>717</v>
      </c>
      <c r="D16" s="106" t="s">
        <v>718</v>
      </c>
      <c r="E16" s="106" t="s">
        <v>719</v>
      </c>
      <c r="F16" s="106" t="s">
        <v>722</v>
      </c>
      <c r="G16" s="109"/>
    </row>
    <row r="17">
      <c r="A17" s="31">
        <v>13.0</v>
      </c>
      <c r="B17" s="105" t="s">
        <v>724</v>
      </c>
      <c r="C17" s="105" t="s">
        <v>120</v>
      </c>
      <c r="D17" s="106" t="s">
        <v>725</v>
      </c>
      <c r="E17" s="106" t="s">
        <v>726</v>
      </c>
      <c r="F17" s="106" t="s">
        <v>729</v>
      </c>
      <c r="G17" s="109"/>
    </row>
    <row r="18">
      <c r="A18" s="31">
        <v>14.0</v>
      </c>
      <c r="B18" s="105" t="s">
        <v>730</v>
      </c>
      <c r="C18" s="105" t="s">
        <v>731</v>
      </c>
      <c r="D18" s="106" t="s">
        <v>732</v>
      </c>
      <c r="E18" s="106" t="s">
        <v>733</v>
      </c>
      <c r="F18" s="106" t="s">
        <v>736</v>
      </c>
      <c r="G18" s="109"/>
    </row>
    <row r="19">
      <c r="A19" s="31">
        <v>15.0</v>
      </c>
      <c r="B19" s="105" t="s">
        <v>515</v>
      </c>
      <c r="C19" s="105" t="s">
        <v>516</v>
      </c>
      <c r="D19" s="106" t="s">
        <v>737</v>
      </c>
      <c r="E19" s="106" t="s">
        <v>740</v>
      </c>
      <c r="F19" s="106" t="s">
        <v>741</v>
      </c>
      <c r="G19" s="109"/>
    </row>
    <row r="20">
      <c r="A20" s="31">
        <v>16.0</v>
      </c>
      <c r="B20" s="105" t="s">
        <v>359</v>
      </c>
      <c r="C20" s="105" t="s">
        <v>361</v>
      </c>
      <c r="D20" s="106" t="s">
        <v>742</v>
      </c>
      <c r="E20" s="106" t="s">
        <v>745</v>
      </c>
      <c r="F20" s="106" t="s">
        <v>746</v>
      </c>
      <c r="G20" s="109"/>
    </row>
    <row r="21">
      <c r="A21" s="31">
        <v>17.0</v>
      </c>
      <c r="B21" s="111" t="s">
        <v>748</v>
      </c>
      <c r="C21" s="111" t="s">
        <v>639</v>
      </c>
      <c r="D21" s="112" t="s">
        <v>749</v>
      </c>
      <c r="E21" s="112" t="s">
        <v>750</v>
      </c>
      <c r="F21" s="112" t="s">
        <v>751</v>
      </c>
      <c r="G21" s="109"/>
    </row>
    <row r="22">
      <c r="A22" s="31">
        <v>18.0</v>
      </c>
      <c r="B22" s="111" t="s">
        <v>754</v>
      </c>
      <c r="C22" s="111" t="s">
        <v>551</v>
      </c>
      <c r="D22" s="112" t="s">
        <v>755</v>
      </c>
      <c r="E22" s="112" t="s">
        <v>756</v>
      </c>
      <c r="F22" s="112" t="s">
        <v>757</v>
      </c>
      <c r="G22" s="109"/>
    </row>
    <row r="23">
      <c r="A23" s="31">
        <v>19.0</v>
      </c>
      <c r="B23" s="111" t="s">
        <v>421</v>
      </c>
      <c r="C23" s="111" t="s">
        <v>422</v>
      </c>
      <c r="D23" s="112" t="s">
        <v>760</v>
      </c>
      <c r="E23" s="112" t="s">
        <v>761</v>
      </c>
      <c r="F23" s="112" t="s">
        <v>762</v>
      </c>
      <c r="G23" s="109"/>
    </row>
    <row r="24">
      <c r="A24" s="31">
        <v>20.0</v>
      </c>
      <c r="B24" s="111" t="s">
        <v>220</v>
      </c>
      <c r="C24" s="111" t="s">
        <v>222</v>
      </c>
      <c r="D24" s="112" t="s">
        <v>764</v>
      </c>
      <c r="E24" s="112" t="s">
        <v>765</v>
      </c>
      <c r="F24" s="112" t="s">
        <v>768</v>
      </c>
      <c r="G24" s="109"/>
    </row>
    <row r="25">
      <c r="A25" s="31">
        <v>21.0</v>
      </c>
      <c r="B25" s="111" t="s">
        <v>61</v>
      </c>
      <c r="C25" s="111" t="s">
        <v>63</v>
      </c>
      <c r="D25" s="112" t="s">
        <v>769</v>
      </c>
      <c r="E25" s="112" t="s">
        <v>770</v>
      </c>
      <c r="F25" s="112" t="s">
        <v>771</v>
      </c>
      <c r="G25" s="109"/>
    </row>
    <row r="26">
      <c r="A26" s="31">
        <v>22.0</v>
      </c>
      <c r="B26" s="111" t="s">
        <v>758</v>
      </c>
      <c r="C26" s="118" t="s">
        <v>759</v>
      </c>
      <c r="D26" s="112" t="s">
        <v>772</v>
      </c>
      <c r="E26" s="112" t="s">
        <v>773</v>
      </c>
      <c r="F26" s="112" t="s">
        <v>774</v>
      </c>
      <c r="G26" s="109"/>
    </row>
    <row r="27">
      <c r="A27" s="31">
        <v>23.0</v>
      </c>
      <c r="B27" s="111" t="s">
        <v>623</v>
      </c>
      <c r="C27" s="111" t="s">
        <v>625</v>
      </c>
      <c r="D27" s="112" t="s">
        <v>775</v>
      </c>
      <c r="E27" s="112" t="s">
        <v>776</v>
      </c>
      <c r="F27" s="112" t="s">
        <v>777</v>
      </c>
      <c r="G27" s="109"/>
    </row>
    <row r="28">
      <c r="A28" s="31">
        <v>24.0</v>
      </c>
      <c r="B28" s="111" t="s">
        <v>680</v>
      </c>
      <c r="C28" s="111" t="s">
        <v>681</v>
      </c>
      <c r="D28" s="112" t="s">
        <v>778</v>
      </c>
      <c r="E28" s="112" t="s">
        <v>779</v>
      </c>
      <c r="F28" s="112" t="s">
        <v>780</v>
      </c>
      <c r="G28" s="109"/>
    </row>
    <row r="29">
      <c r="A29" s="31">
        <v>25.0</v>
      </c>
      <c r="B29" s="111" t="s">
        <v>781</v>
      </c>
      <c r="C29" s="111" t="s">
        <v>163</v>
      </c>
      <c r="D29" s="112" t="s">
        <v>782</v>
      </c>
      <c r="E29" s="112" t="s">
        <v>783</v>
      </c>
      <c r="F29" s="112" t="s">
        <v>784</v>
      </c>
      <c r="G29" s="109"/>
    </row>
    <row r="30">
      <c r="A30" s="31">
        <v>26.0</v>
      </c>
      <c r="B30" s="111" t="s">
        <v>175</v>
      </c>
      <c r="C30" s="111" t="s">
        <v>176</v>
      </c>
      <c r="D30" s="112" t="s">
        <v>785</v>
      </c>
      <c r="E30" s="112" t="s">
        <v>786</v>
      </c>
      <c r="F30" s="112" t="s">
        <v>787</v>
      </c>
      <c r="G30" s="109"/>
    </row>
    <row r="31">
      <c r="A31" s="31">
        <v>27.0</v>
      </c>
      <c r="B31" s="111" t="s">
        <v>300</v>
      </c>
      <c r="C31" s="111" t="s">
        <v>301</v>
      </c>
      <c r="D31" s="112" t="s">
        <v>788</v>
      </c>
      <c r="E31" s="112" t="s">
        <v>789</v>
      </c>
      <c r="F31" s="112" t="s">
        <v>790</v>
      </c>
      <c r="G31" s="109"/>
    </row>
    <row r="32">
      <c r="A32" s="31">
        <v>28.0</v>
      </c>
      <c r="B32" s="111" t="s">
        <v>190</v>
      </c>
      <c r="C32" s="111" t="s">
        <v>192</v>
      </c>
      <c r="D32" s="112" t="s">
        <v>791</v>
      </c>
      <c r="E32" s="112" t="s">
        <v>792</v>
      </c>
      <c r="F32" s="112" t="s">
        <v>793</v>
      </c>
      <c r="G32" s="109"/>
    </row>
    <row r="33">
      <c r="A33" s="31">
        <v>29.0</v>
      </c>
      <c r="B33" s="111" t="s">
        <v>372</v>
      </c>
      <c r="C33" s="111" t="s">
        <v>373</v>
      </c>
      <c r="D33" s="112" t="s">
        <v>794</v>
      </c>
      <c r="E33" s="112" t="s">
        <v>795</v>
      </c>
      <c r="F33" s="112" t="s">
        <v>796</v>
      </c>
      <c r="G33" s="109"/>
    </row>
    <row r="34">
      <c r="A34" s="31">
        <v>30.0</v>
      </c>
      <c r="B34" s="111" t="s">
        <v>643</v>
      </c>
      <c r="C34" s="111" t="s">
        <v>644</v>
      </c>
      <c r="D34" s="112" t="s">
        <v>797</v>
      </c>
      <c r="E34" s="112" t="s">
        <v>798</v>
      </c>
      <c r="F34" s="112" t="s">
        <v>799</v>
      </c>
      <c r="G34" s="109"/>
    </row>
    <row r="35">
      <c r="A35" s="31">
        <v>31.0</v>
      </c>
      <c r="B35" s="111" t="s">
        <v>800</v>
      </c>
      <c r="C35" s="111" t="s">
        <v>656</v>
      </c>
      <c r="D35" s="112" t="s">
        <v>801</v>
      </c>
      <c r="E35" s="112" t="s">
        <v>802</v>
      </c>
      <c r="F35" s="112" t="s">
        <v>803</v>
      </c>
      <c r="G35" s="109"/>
    </row>
    <row r="36">
      <c r="A36" s="31">
        <v>32.0</v>
      </c>
      <c r="B36" s="111" t="s">
        <v>804</v>
      </c>
      <c r="C36" s="118" t="s">
        <v>753</v>
      </c>
      <c r="D36" s="112" t="s">
        <v>805</v>
      </c>
      <c r="E36" s="112" t="s">
        <v>806</v>
      </c>
      <c r="F36" s="112" t="s">
        <v>807</v>
      </c>
      <c r="G36" s="109"/>
    </row>
    <row r="37">
      <c r="A37" s="31">
        <v>33.0</v>
      </c>
      <c r="B37" s="111" t="s">
        <v>808</v>
      </c>
      <c r="C37" s="111" t="s">
        <v>330</v>
      </c>
      <c r="D37" s="112" t="s">
        <v>809</v>
      </c>
      <c r="E37" s="112" t="s">
        <v>810</v>
      </c>
      <c r="F37" s="112" t="s">
        <v>811</v>
      </c>
      <c r="G37" s="109"/>
    </row>
    <row r="38">
      <c r="A38" s="31">
        <v>34.0</v>
      </c>
      <c r="B38" s="120" t="s">
        <v>812</v>
      </c>
      <c r="C38" s="120" t="s">
        <v>629</v>
      </c>
      <c r="D38" s="112" t="s">
        <v>813</v>
      </c>
      <c r="E38" s="112" t="s">
        <v>814</v>
      </c>
      <c r="F38" s="112" t="s">
        <v>815</v>
      </c>
      <c r="G38" s="109"/>
    </row>
    <row r="39">
      <c r="A39" s="31">
        <v>35.0</v>
      </c>
      <c r="B39" s="111" t="s">
        <v>129</v>
      </c>
      <c r="C39" s="118" t="s">
        <v>131</v>
      </c>
      <c r="D39" s="112" t="s">
        <v>816</v>
      </c>
      <c r="E39" s="112" t="s">
        <v>817</v>
      </c>
      <c r="F39" s="112" t="s">
        <v>818</v>
      </c>
      <c r="G39" s="109"/>
    </row>
    <row r="40">
      <c r="A40" s="31">
        <v>36.0</v>
      </c>
      <c r="B40" s="111" t="s">
        <v>273</v>
      </c>
      <c r="C40" s="111" t="s">
        <v>275</v>
      </c>
      <c r="D40" s="112" t="s">
        <v>819</v>
      </c>
      <c r="E40" s="112" t="s">
        <v>820</v>
      </c>
      <c r="F40" s="112" t="s">
        <v>821</v>
      </c>
      <c r="G40" s="109"/>
    </row>
    <row r="41">
      <c r="A41" s="31">
        <v>37.0</v>
      </c>
      <c r="B41" s="111" t="s">
        <v>822</v>
      </c>
      <c r="C41" s="111" t="s">
        <v>700</v>
      </c>
      <c r="D41" s="112" t="s">
        <v>823</v>
      </c>
      <c r="E41" s="112" t="s">
        <v>824</v>
      </c>
      <c r="F41" s="112" t="s">
        <v>825</v>
      </c>
      <c r="G41" s="109"/>
    </row>
    <row r="42">
      <c r="A42" s="31">
        <v>38.0</v>
      </c>
      <c r="B42" s="41"/>
      <c r="C42" s="41"/>
      <c r="D42" s="86"/>
      <c r="E42" s="86"/>
      <c r="F42" s="39"/>
      <c r="G42" s="109"/>
    </row>
    <row r="43">
      <c r="A43" s="31">
        <v>39.0</v>
      </c>
      <c r="B43" s="32"/>
      <c r="C43" s="32"/>
      <c r="D43" s="86"/>
      <c r="E43" s="86"/>
      <c r="F43" s="39"/>
      <c r="G43" s="109"/>
    </row>
    <row r="44">
      <c r="A44" s="31">
        <v>40.0</v>
      </c>
      <c r="B44" s="32"/>
      <c r="C44" s="32"/>
      <c r="D44" s="86"/>
      <c r="E44" s="86"/>
      <c r="F44" s="39"/>
      <c r="G44" s="109"/>
    </row>
    <row r="45">
      <c r="A45" s="31">
        <v>41.0</v>
      </c>
      <c r="B45" s="32"/>
      <c r="C45" s="32"/>
      <c r="D45" s="86"/>
      <c r="E45" s="86"/>
      <c r="F45" s="39"/>
      <c r="G45" s="109"/>
    </row>
    <row r="46">
      <c r="A46" s="31">
        <v>42.0</v>
      </c>
      <c r="B46" s="32"/>
      <c r="C46" s="32"/>
      <c r="D46" s="86"/>
      <c r="E46" s="86"/>
      <c r="F46" s="39"/>
      <c r="G46" s="109"/>
    </row>
    <row r="47">
      <c r="A47" s="31">
        <v>43.0</v>
      </c>
      <c r="B47" s="41"/>
      <c r="C47" s="41"/>
      <c r="D47" s="86"/>
      <c r="E47" s="86"/>
      <c r="F47" s="39"/>
      <c r="G47" s="109"/>
    </row>
    <row r="48">
      <c r="A48" s="31">
        <v>44.0</v>
      </c>
      <c r="B48" s="41"/>
      <c r="C48" s="41"/>
      <c r="D48" s="86"/>
      <c r="E48" s="86"/>
      <c r="F48" s="39"/>
      <c r="G48" s="109"/>
    </row>
    <row r="49">
      <c r="A49" s="31">
        <v>45.0</v>
      </c>
      <c r="B49" s="32"/>
      <c r="C49" s="32"/>
      <c r="D49" s="86"/>
      <c r="E49" s="86"/>
      <c r="F49" s="39"/>
      <c r="G49" s="109"/>
    </row>
    <row r="50">
      <c r="A50" s="31">
        <v>46.0</v>
      </c>
      <c r="B50" s="32"/>
      <c r="C50" s="32"/>
      <c r="D50" s="86"/>
      <c r="E50" s="86"/>
      <c r="F50" s="39"/>
      <c r="G50" s="109"/>
    </row>
    <row r="51">
      <c r="A51" s="31">
        <v>47.0</v>
      </c>
      <c r="B51" s="32"/>
      <c r="C51" s="32"/>
      <c r="D51" s="86"/>
      <c r="E51" s="86"/>
      <c r="F51" s="39"/>
      <c r="G51" s="109"/>
    </row>
    <row r="52">
      <c r="A52" s="31">
        <v>48.0</v>
      </c>
      <c r="B52" s="32"/>
      <c r="C52" s="32"/>
      <c r="D52" s="86"/>
      <c r="E52" s="86"/>
      <c r="F52" s="39"/>
      <c r="G52" s="109"/>
    </row>
    <row r="53">
      <c r="A53" s="31">
        <v>49.0</v>
      </c>
      <c r="B53" s="32"/>
      <c r="C53" s="32"/>
      <c r="D53" s="86"/>
      <c r="E53" s="86"/>
      <c r="F53" s="39"/>
      <c r="G53" s="109"/>
    </row>
    <row r="54">
      <c r="A54" s="31">
        <v>50.0</v>
      </c>
      <c r="B54" s="32"/>
      <c r="C54" s="32"/>
      <c r="D54" s="86"/>
      <c r="E54" s="86"/>
      <c r="F54" s="39"/>
      <c r="G54" s="109"/>
    </row>
    <row r="55">
      <c r="A55" s="31">
        <v>51.0</v>
      </c>
      <c r="B55" s="32"/>
      <c r="C55" s="32"/>
      <c r="D55" s="86"/>
      <c r="E55" s="86"/>
      <c r="F55" s="39"/>
      <c r="G55" s="109"/>
    </row>
    <row r="56">
      <c r="A56" s="31">
        <v>52.0</v>
      </c>
      <c r="B56" s="32"/>
      <c r="C56" s="32"/>
      <c r="D56" s="86"/>
      <c r="E56" s="86"/>
      <c r="F56" s="39"/>
      <c r="G56" s="109"/>
    </row>
    <row r="57">
      <c r="A57" s="31">
        <v>53.0</v>
      </c>
      <c r="B57" s="32"/>
      <c r="C57" s="79"/>
      <c r="D57" s="86"/>
      <c r="E57" s="86"/>
      <c r="F57" s="39"/>
      <c r="G57" s="109"/>
    </row>
    <row r="58">
      <c r="A58" s="31">
        <v>54.0</v>
      </c>
      <c r="B58" s="32"/>
      <c r="C58" s="32"/>
      <c r="D58" s="86"/>
      <c r="E58" s="86"/>
      <c r="F58" s="39"/>
      <c r="G58" s="109"/>
    </row>
    <row r="59">
      <c r="A59" s="31">
        <v>55.0</v>
      </c>
      <c r="B59" s="32"/>
      <c r="C59" s="32"/>
      <c r="D59" s="86"/>
      <c r="E59" s="86"/>
      <c r="F59" s="39"/>
      <c r="G59" s="109"/>
    </row>
    <row r="60">
      <c r="A60" s="31">
        <v>56.0</v>
      </c>
      <c r="B60" s="41"/>
      <c r="C60" s="41"/>
      <c r="D60" s="86"/>
      <c r="E60" s="86"/>
      <c r="F60" s="39"/>
      <c r="G60" s="109"/>
    </row>
    <row r="61">
      <c r="A61" s="31">
        <v>57.0</v>
      </c>
      <c r="B61" s="32"/>
      <c r="C61" s="32"/>
      <c r="D61" s="86"/>
      <c r="E61" s="86"/>
      <c r="F61" s="39"/>
      <c r="G61" s="109"/>
    </row>
    <row r="62">
      <c r="A62" s="31">
        <v>58.0</v>
      </c>
      <c r="B62" s="32"/>
      <c r="C62" s="32"/>
      <c r="D62" s="86"/>
      <c r="E62" s="86"/>
      <c r="F62" s="39"/>
      <c r="G62" s="109"/>
    </row>
    <row r="63">
      <c r="A63" s="31">
        <v>59.0</v>
      </c>
      <c r="B63" s="41"/>
      <c r="C63" s="41"/>
      <c r="D63" s="86"/>
      <c r="E63" s="86"/>
      <c r="F63" s="39"/>
      <c r="G63" s="109"/>
    </row>
    <row r="64">
      <c r="A64" s="31">
        <v>60.0</v>
      </c>
      <c r="B64" s="32"/>
      <c r="C64" s="32"/>
      <c r="D64" s="86"/>
      <c r="E64" s="86"/>
      <c r="F64" s="39"/>
      <c r="G64" s="109"/>
    </row>
    <row r="65">
      <c r="A65" s="31">
        <v>61.0</v>
      </c>
      <c r="B65" s="32"/>
      <c r="C65" s="32"/>
      <c r="D65" s="86"/>
      <c r="E65" s="86"/>
      <c r="F65" s="39"/>
      <c r="G65" s="109"/>
    </row>
    <row r="66">
      <c r="A66" s="31">
        <v>62.0</v>
      </c>
      <c r="B66" s="41"/>
      <c r="C66" s="41"/>
      <c r="D66" s="86"/>
      <c r="E66" s="86"/>
      <c r="F66" s="39"/>
      <c r="G66" s="109"/>
    </row>
    <row r="67">
      <c r="A67" s="31">
        <v>63.0</v>
      </c>
      <c r="B67" s="32"/>
      <c r="C67" s="32"/>
      <c r="D67" s="86"/>
      <c r="E67" s="86"/>
      <c r="F67" s="39"/>
      <c r="G67" s="109"/>
    </row>
    <row r="68">
      <c r="A68" s="31">
        <v>64.0</v>
      </c>
      <c r="B68" s="32"/>
      <c r="C68" s="32"/>
      <c r="D68" s="86"/>
      <c r="E68" s="86"/>
      <c r="F68" s="39"/>
      <c r="G68" s="109"/>
    </row>
    <row r="69">
      <c r="A69" s="31">
        <v>65.0</v>
      </c>
      <c r="B69" s="32"/>
      <c r="C69" s="32"/>
      <c r="D69" s="86"/>
      <c r="E69" s="86"/>
      <c r="F69" s="39"/>
      <c r="G69" s="109"/>
    </row>
    <row r="70">
      <c r="A70" s="31">
        <v>66.0</v>
      </c>
      <c r="B70" s="41"/>
      <c r="C70" s="41"/>
      <c r="D70" s="86"/>
      <c r="E70" s="86"/>
      <c r="F70" s="39"/>
      <c r="G70" s="109"/>
    </row>
    <row r="71">
      <c r="A71" s="31">
        <v>67.0</v>
      </c>
      <c r="B71" s="32"/>
      <c r="C71" s="32"/>
      <c r="D71" s="86"/>
      <c r="E71" s="86"/>
      <c r="F71" s="39"/>
      <c r="G71" s="109"/>
    </row>
    <row r="72">
      <c r="A72" s="31">
        <v>68.0</v>
      </c>
      <c r="B72" s="32"/>
      <c r="C72" s="32"/>
      <c r="D72" s="86"/>
      <c r="E72" s="86"/>
      <c r="F72" s="39"/>
      <c r="G72" s="109"/>
    </row>
    <row r="73">
      <c r="A73" s="31">
        <v>69.0</v>
      </c>
      <c r="B73" s="32"/>
      <c r="C73" s="32"/>
      <c r="D73" s="86"/>
      <c r="E73" s="86"/>
      <c r="F73" s="39"/>
      <c r="G73" s="109"/>
    </row>
    <row r="74">
      <c r="A74" s="31">
        <v>70.0</v>
      </c>
      <c r="B74" s="32"/>
      <c r="C74" s="32"/>
      <c r="D74" s="86"/>
      <c r="E74" s="86"/>
      <c r="F74" s="39"/>
      <c r="G74" s="109"/>
    </row>
    <row r="75">
      <c r="A75" s="31">
        <v>71.0</v>
      </c>
      <c r="B75" s="32"/>
      <c r="C75" s="32"/>
      <c r="D75" s="86"/>
      <c r="E75" s="86"/>
      <c r="F75" s="39"/>
      <c r="G75" s="109"/>
    </row>
    <row r="76">
      <c r="A76" s="31">
        <v>72.0</v>
      </c>
      <c r="B76" s="32"/>
      <c r="C76" s="32"/>
      <c r="D76" s="86"/>
      <c r="E76" s="86"/>
      <c r="F76" s="39"/>
      <c r="G76" s="109"/>
    </row>
    <row r="77">
      <c r="A77" s="31">
        <v>73.0</v>
      </c>
      <c r="B77" s="41"/>
      <c r="C77" s="41"/>
      <c r="D77" s="86"/>
      <c r="E77" s="86"/>
      <c r="F77" s="39"/>
      <c r="G77" s="109"/>
    </row>
    <row r="78">
      <c r="A78" s="31">
        <v>74.0</v>
      </c>
      <c r="B78" s="41"/>
      <c r="C78" s="41"/>
      <c r="D78" s="86"/>
      <c r="E78" s="86"/>
      <c r="F78" s="39"/>
      <c r="G78" s="109"/>
    </row>
    <row r="79">
      <c r="A79" s="31">
        <v>75.0</v>
      </c>
      <c r="B79" s="121"/>
      <c r="C79" s="121"/>
      <c r="D79" s="86"/>
      <c r="E79" s="86"/>
      <c r="F79" s="39"/>
      <c r="G79" s="109"/>
    </row>
    <row r="80">
      <c r="A80" s="31">
        <v>76.0</v>
      </c>
      <c r="B80" s="32"/>
      <c r="C80" s="32"/>
      <c r="D80" s="86"/>
      <c r="E80" s="86"/>
      <c r="F80" s="39"/>
      <c r="G80" s="109"/>
    </row>
  </sheetData>
  <mergeCells count="7">
    <mergeCell ref="A1:F1"/>
    <mergeCell ref="A2:A4"/>
    <mergeCell ref="B2:B4"/>
    <mergeCell ref="C2:C4"/>
    <mergeCell ref="D2:D4"/>
    <mergeCell ref="E2:E4"/>
    <mergeCell ref="F2:F4"/>
  </mergeCells>
  <hyperlinks>
    <hyperlink r:id="rId1" ref="D5"/>
    <hyperlink r:id="rId2" ref="E5"/>
    <hyperlink r:id="rId3" ref="F5"/>
    <hyperlink r:id="rId4" ref="D6"/>
    <hyperlink r:id="rId5" ref="E6"/>
    <hyperlink r:id="rId6" ref="F6"/>
    <hyperlink r:id="rId7" ref="D7"/>
    <hyperlink r:id="rId8" ref="E7"/>
    <hyperlink r:id="rId9" ref="F7"/>
    <hyperlink r:id="rId10" ref="D8"/>
    <hyperlink r:id="rId11" ref="E8"/>
    <hyperlink r:id="rId12" ref="F8"/>
    <hyperlink r:id="rId13" ref="D9"/>
    <hyperlink r:id="rId14" ref="E9"/>
    <hyperlink r:id="rId15" ref="F9"/>
    <hyperlink r:id="rId16" ref="D10"/>
    <hyperlink r:id="rId17" ref="E10"/>
    <hyperlink r:id="rId18" ref="F10"/>
    <hyperlink r:id="rId19" ref="D11"/>
    <hyperlink r:id="rId20" ref="E11"/>
    <hyperlink r:id="rId21" ref="F11"/>
    <hyperlink r:id="rId22" ref="D12"/>
    <hyperlink r:id="rId23" ref="E12"/>
    <hyperlink r:id="rId24" ref="F12"/>
    <hyperlink r:id="rId25" ref="D13"/>
    <hyperlink r:id="rId26" ref="E13"/>
    <hyperlink r:id="rId27" ref="F13"/>
    <hyperlink r:id="rId28" ref="D14"/>
    <hyperlink r:id="rId29" ref="E14"/>
    <hyperlink r:id="rId30" ref="F14"/>
    <hyperlink r:id="rId31" ref="D15"/>
    <hyperlink r:id="rId32" ref="E15"/>
    <hyperlink r:id="rId33" ref="F15"/>
    <hyperlink r:id="rId34" ref="D16"/>
    <hyperlink r:id="rId35" ref="E16"/>
    <hyperlink r:id="rId36" ref="F16"/>
    <hyperlink r:id="rId37" ref="D17"/>
    <hyperlink r:id="rId38" ref="E17"/>
    <hyperlink r:id="rId39" ref="F17"/>
    <hyperlink r:id="rId40" ref="D18"/>
    <hyperlink r:id="rId41" ref="E18"/>
    <hyperlink r:id="rId42" ref="F18"/>
    <hyperlink r:id="rId43" ref="D19"/>
    <hyperlink r:id="rId44" ref="E19"/>
    <hyperlink r:id="rId45" ref="F19"/>
    <hyperlink r:id="rId46" ref="D20"/>
    <hyperlink r:id="rId47" ref="E20"/>
    <hyperlink r:id="rId48" ref="F20"/>
    <hyperlink r:id="rId49" ref="D21"/>
    <hyperlink r:id="rId50" ref="E21"/>
    <hyperlink r:id="rId51" ref="F21"/>
    <hyperlink r:id="rId52" ref="D22"/>
    <hyperlink r:id="rId53" ref="E22"/>
    <hyperlink r:id="rId54" ref="F22"/>
    <hyperlink r:id="rId55" ref="D23"/>
    <hyperlink r:id="rId56" ref="E23"/>
    <hyperlink r:id="rId57" ref="F23"/>
    <hyperlink r:id="rId58" ref="D24"/>
    <hyperlink r:id="rId59" ref="E24"/>
    <hyperlink r:id="rId60" ref="F24"/>
    <hyperlink r:id="rId61" ref="D25"/>
    <hyperlink r:id="rId62" ref="E25"/>
    <hyperlink r:id="rId63" ref="F25"/>
    <hyperlink r:id="rId64" ref="D26"/>
    <hyperlink r:id="rId65" ref="E26"/>
    <hyperlink r:id="rId66" ref="F26"/>
    <hyperlink r:id="rId67" ref="D27"/>
    <hyperlink r:id="rId68" ref="E27"/>
    <hyperlink r:id="rId69" ref="F27"/>
    <hyperlink r:id="rId70" ref="D28"/>
    <hyperlink r:id="rId71" ref="E28"/>
    <hyperlink r:id="rId72" ref="F28"/>
    <hyperlink r:id="rId73" ref="D29"/>
    <hyperlink r:id="rId74" ref="E29"/>
    <hyperlink r:id="rId75" ref="F29"/>
    <hyperlink r:id="rId76" ref="D30"/>
    <hyperlink r:id="rId77" ref="E30"/>
    <hyperlink r:id="rId78" ref="F30"/>
    <hyperlink r:id="rId79" ref="D31"/>
    <hyperlink r:id="rId80" ref="E31"/>
    <hyperlink r:id="rId81" ref="F31"/>
    <hyperlink r:id="rId82" ref="D32"/>
    <hyperlink r:id="rId83" ref="E32"/>
    <hyperlink r:id="rId84" ref="F32"/>
    <hyperlink r:id="rId85" ref="D33"/>
    <hyperlink r:id="rId86" ref="E33"/>
    <hyperlink r:id="rId87" ref="F33"/>
    <hyperlink r:id="rId88" ref="D34"/>
    <hyperlink r:id="rId89" ref="E34"/>
    <hyperlink r:id="rId90" ref="F34"/>
    <hyperlink r:id="rId91" ref="D35"/>
    <hyperlink r:id="rId92" ref="E35"/>
    <hyperlink r:id="rId93" ref="F35"/>
    <hyperlink r:id="rId94" ref="D36"/>
    <hyperlink r:id="rId95" ref="E36"/>
    <hyperlink r:id="rId96" ref="F36"/>
    <hyperlink r:id="rId97" ref="D37"/>
    <hyperlink r:id="rId98" ref="E37"/>
    <hyperlink r:id="rId99" ref="F37"/>
    <hyperlink r:id="rId100" ref="D38"/>
    <hyperlink r:id="rId101" ref="E38"/>
    <hyperlink r:id="rId102" ref="F38"/>
    <hyperlink r:id="rId103" ref="D39"/>
    <hyperlink r:id="rId104" ref="E39"/>
    <hyperlink r:id="rId105" ref="F39"/>
    <hyperlink r:id="rId106" ref="D40"/>
    <hyperlink r:id="rId107" ref="E40"/>
    <hyperlink r:id="rId108" ref="F40"/>
    <hyperlink r:id="rId109" ref="D41"/>
    <hyperlink r:id="rId110" ref="E41"/>
    <hyperlink r:id="rId111" ref="F41"/>
  </hyperlinks>
  <drawing r:id="rId112"/>
  <tableParts count="1">
    <tablePart r:id="rId114"/>
  </tableParts>
</worksheet>
</file>