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DSR" sheetId="2" r:id="rId6"/>
    <sheet state="visible" name="Assesment" sheetId="3" r:id="rId7"/>
    <sheet state="visible" name="Course Time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<sst xmlns="http://schemas.openxmlformats.org/spreadsheetml/2006/main" count="1863" uniqueCount="602">
  <si>
    <t>ARYA COLLEGE OF ENGINEERING</t>
  </si>
  <si>
    <t>SNO</t>
  </si>
  <si>
    <t>S NO</t>
  </si>
  <si>
    <t>Student Name</t>
  </si>
  <si>
    <t>RTU Roll No.</t>
  </si>
  <si>
    <t xml:space="preserve">Total Present </t>
  </si>
  <si>
    <t>Date</t>
  </si>
  <si>
    <t xml:space="preserve">Total Absent </t>
  </si>
  <si>
    <t>Topic Cover</t>
  </si>
  <si>
    <t xml:space="preserve">Total Class </t>
  </si>
  <si>
    <t>Student Count Online Offline</t>
  </si>
  <si>
    <t xml:space="preserve">Trainer Name </t>
  </si>
  <si>
    <t>Attendance Percent</t>
  </si>
  <si>
    <t>BLOWN UP SYLLABUS</t>
  </si>
  <si>
    <t>25-05-2026</t>
  </si>
  <si>
    <t>Introduction to Cybersecurity &amp; SOC</t>
  </si>
  <si>
    <t>6 (ONLINE)</t>
  </si>
  <si>
    <t>Assesment 1 (SOC BASICS) Out of  50</t>
  </si>
  <si>
    <t>EC-COUNCIL CERTIFIED SOC ANALYST (CSA v2) — Exam 312-39</t>
  </si>
  <si>
    <t>SACHIN KUMAR</t>
  </si>
  <si>
    <t>Assesment 2 ( ATTACKS ) Out of  40</t>
  </si>
  <si>
    <t>Lecturer Name:</t>
  </si>
  <si>
    <t>Assesment 3 ( IOCs) Out of 40</t>
  </si>
  <si>
    <t>Assesment 4 ( log management ) Out of  40</t>
  </si>
  <si>
    <t>Assesment 5 ( SIEM Tool ) Out of 40</t>
  </si>
  <si>
    <t>Assesment 6 ( Splunk ) Out of 40</t>
  </si>
  <si>
    <t>No. of Lectures Required: 60</t>
  </si>
  <si>
    <t>Assesment 7 ( Splunk advance ) Out of 40</t>
  </si>
  <si>
    <t>Assesment 8 ( Splunk Forwarder, use cases ) Out of 40</t>
  </si>
  <si>
    <t>Assesment 9 ( CTI  ) Out of 40</t>
  </si>
  <si>
    <t>26-05-2026</t>
  </si>
  <si>
    <t>Assesment 10( CTI platform, threat hunting ) Out of 40</t>
  </si>
  <si>
    <t>SOC Capabilities &amp; Workflow</t>
  </si>
  <si>
    <t>Assesment 11( Incident Response ) Out of 40</t>
  </si>
  <si>
    <t>Lecture No.</t>
  </si>
  <si>
    <t>Total Assessments Missed</t>
  </si>
  <si>
    <t>27-05-2026</t>
  </si>
  <si>
    <t>SOC Components, Models &amp; Maturity</t>
  </si>
  <si>
    <t>BLOWN UP TOPICS</t>
  </si>
  <si>
    <t>Status</t>
  </si>
  <si>
    <t>28-05-2026</t>
  </si>
  <si>
    <t>Network attacks and detection</t>
  </si>
  <si>
    <t>3 (ONLINE)</t>
  </si>
  <si>
    <t>UNIT 1: SECURITY OPERATIONS &amp; SOC MANAGEMENT (Module 1)</t>
  </si>
  <si>
    <t>Jayendra choudhary</t>
  </si>
  <si>
    <t>29-05-2026</t>
  </si>
  <si>
    <t>24EACAD047</t>
  </si>
  <si>
    <t>9 (ONLINE)</t>
  </si>
  <si>
    <t>30-05-2026</t>
  </si>
  <si>
    <t>Done</t>
  </si>
  <si>
    <t xml:space="preserve">Assessment </t>
  </si>
  <si>
    <t>8 (ONLINE)</t>
  </si>
  <si>
    <t>31-05-2026</t>
  </si>
  <si>
    <t>SUNDAY</t>
  </si>
  <si>
    <t>1. Introduction to Cybersecurity &amp; SOC</t>
  </si>
  <si>
    <t>ABSENT</t>
  </si>
  <si>
    <t>1.1 What is Cybersecurity</t>
  </si>
  <si>
    <t xml:space="preserve">Web attacks </t>
  </si>
  <si>
    <t>1.1.1 CIA Triad (Confidentiality, Integrity, Availability)</t>
  </si>
  <si>
    <t>host attacks + sysmon</t>
  </si>
  <si>
    <t>1.1.2 AAA Framework (Authentication, Authorization, Accounting)</t>
  </si>
  <si>
    <t>Assessment + Event Viewer</t>
  </si>
  <si>
    <t>1.2 Introduction to SOC</t>
  </si>
  <si>
    <t>types of malware and malware behavior</t>
  </si>
  <si>
    <t>2 (ONLINE) 3 (OFFLINE)</t>
  </si>
  <si>
    <t>1.2.1 Need for SOC in Modern Enterprises</t>
  </si>
  <si>
    <t>IOCs, Web IOCs</t>
  </si>
  <si>
    <t>5 (ONLINE) 3(OFFLINE)</t>
  </si>
  <si>
    <t>1.2.2 SOC vs NOC vs CSIRT</t>
  </si>
  <si>
    <t>Sweta</t>
  </si>
  <si>
    <t xml:space="preserve">Assessment + Network IOCs </t>
  </si>
  <si>
    <t>1.3 CSA Certification Overview</t>
  </si>
  <si>
    <t>11 (ONLINE)</t>
  </si>
  <si>
    <t>24EACCA113</t>
  </si>
  <si>
    <t>1.3.1 Exam 312-39 Details (100 Q, 3 Hours)</t>
  </si>
  <si>
    <t>1.3.2 Career Path of a SOC Analyst</t>
  </si>
  <si>
    <t>Log management</t>
  </si>
  <si>
    <t>Log centraliztion and normalization</t>
  </si>
  <si>
    <t>Sahil Suman</t>
  </si>
  <si>
    <t>2. SOC Capabilities &amp; Workflow</t>
  </si>
  <si>
    <t>24EACAD009</t>
  </si>
  <si>
    <t xml:space="preserve">Intrusion Detection System </t>
  </si>
  <si>
    <t>2.1 SOC Capabilities</t>
  </si>
  <si>
    <t>7 (ONLINE)</t>
  </si>
  <si>
    <t>SIEM Tools ( Wazuh )</t>
  </si>
  <si>
    <t>2.1.1 Monitoring, Detection, Response</t>
  </si>
  <si>
    <t>13-06-2026</t>
  </si>
  <si>
    <t xml:space="preserve">SIEM Tools ( Wazuh dashboard, agents ) </t>
  </si>
  <si>
    <t>2.1.2 Threat Intelligence &amp; Hunting</t>
  </si>
  <si>
    <t>Anukshi Yadav</t>
  </si>
  <si>
    <t>24EACAD015</t>
  </si>
  <si>
    <t>14-06-2026</t>
  </si>
  <si>
    <t>2.2 SOC Operations</t>
  </si>
  <si>
    <t>15-06-2026</t>
  </si>
  <si>
    <t>2.2.1 Tier 1, 2, 3 Analyst Roles</t>
  </si>
  <si>
    <t>SPLUNK Intro and setup</t>
  </si>
  <si>
    <t>2.2.2 SOC Manager &amp; Engineer Roles</t>
  </si>
  <si>
    <t>16-06-2026</t>
  </si>
  <si>
    <t>SPLUNK ( SPL, dashboard  )</t>
  </si>
  <si>
    <t>2.3 SOC Workflow</t>
  </si>
  <si>
    <t>17-06-2026</t>
  </si>
  <si>
    <t>Amrita</t>
  </si>
  <si>
    <t>24EACAD017</t>
  </si>
  <si>
    <t>e</t>
  </si>
  <si>
    <t>10 (ONLINE)</t>
  </si>
  <si>
    <t>2.3.1 Event → Alert → Incident Flow</t>
  </si>
  <si>
    <t>18-06-2026</t>
  </si>
  <si>
    <t>SPLUNK ( SPL on a dataset )</t>
  </si>
  <si>
    <t>2.3.2 Escalation Procedures</t>
  </si>
  <si>
    <t>19-06-2026</t>
  </si>
  <si>
    <t>SIEM Deployment, SIEM architecture</t>
  </si>
  <si>
    <t>3. SOC Components, Models &amp; Maturity</t>
  </si>
  <si>
    <t>20-06-2026</t>
  </si>
  <si>
    <t>SPLUNK UNIVERSAL FORWARDER, ASSESSMENT</t>
  </si>
  <si>
    <t>Azlee Jameel</t>
  </si>
  <si>
    <t>3.1 Components of a SOC</t>
  </si>
  <si>
    <t>24EACAD002</t>
  </si>
  <si>
    <t>21-06-2026</t>
  </si>
  <si>
    <t>3.1.1 People, Process, Technology</t>
  </si>
  <si>
    <t>22-06-2026</t>
  </si>
  <si>
    <t>SPLUNK UNIVERSAL FORWARDER</t>
  </si>
  <si>
    <t>3.2 SOC Models</t>
  </si>
  <si>
    <t>23-06-2026</t>
  </si>
  <si>
    <t>SIGMA RULES</t>
  </si>
  <si>
    <t>Sanjiv Kumar</t>
  </si>
  <si>
    <t>3.2.1 In-House SOC</t>
  </si>
  <si>
    <t>24EACAD091</t>
  </si>
  <si>
    <t>24-06-2026</t>
  </si>
  <si>
    <t>Alert Triage , Cyber Threat Intelligence + ASSESSMENT</t>
  </si>
  <si>
    <t>3.2.2 Virtual SOC</t>
  </si>
  <si>
    <t>25-06-2026</t>
  </si>
  <si>
    <t xml:space="preserve">open source Intelligence </t>
  </si>
  <si>
    <t>3.2.3 Outsourced / MSSP SOC</t>
  </si>
  <si>
    <t>26-06-2026</t>
  </si>
  <si>
    <t>A</t>
  </si>
  <si>
    <t>3.2.4 Hybrid SOC</t>
  </si>
  <si>
    <t xml:space="preserve">CTI Platforms, CTI importance in SOC </t>
  </si>
  <si>
    <t>3.3 SOC Maturity Models (SOC-CMM)</t>
  </si>
  <si>
    <t>27-06-2026</t>
  </si>
  <si>
    <t>MISP Platform + ASSESSMENT</t>
  </si>
  <si>
    <t>Mohit sharma</t>
  </si>
  <si>
    <t>24EACCS147</t>
  </si>
  <si>
    <t>3.4 SOC Generations (1st to 5th Gen)</t>
  </si>
  <si>
    <t>28-06-2026</t>
  </si>
  <si>
    <t>3.5 SOC KPIs and Metrics (MTTD, MTTR, MTTC)</t>
  </si>
  <si>
    <t>29-06-2026</t>
  </si>
  <si>
    <t>MISP Platform</t>
  </si>
  <si>
    <t>3.6 SOC Challenges &amp; Limitations</t>
  </si>
  <si>
    <t>30-06-2026</t>
  </si>
  <si>
    <t>Threat feeds, threat hunting</t>
  </si>
  <si>
    <t>UNIT 2: CYBER THREATS, IoCs &amp; ATTACK METHODOLOGY (Module 2)</t>
  </si>
  <si>
    <t>Yogi karan kumar</t>
  </si>
  <si>
    <t>24EACAD075</t>
  </si>
  <si>
    <t>1. Cyber Threats &amp; TTPs</t>
  </si>
  <si>
    <t>threat hunting frameworks (TaHiTi , PEAK ) + ASSESSMENT</t>
  </si>
  <si>
    <t>1.1 Types of Cyber Threats</t>
  </si>
  <si>
    <t>1.1.1 Network-Level Threats</t>
  </si>
  <si>
    <t>Incident response phases</t>
  </si>
  <si>
    <t>1.1.2 Host-Level Threats</t>
  </si>
  <si>
    <t>Rohit Rajput</t>
  </si>
  <si>
    <t>1.1.3 Application-Level Threats</t>
  </si>
  <si>
    <t>24EACCS025</t>
  </si>
  <si>
    <t>1.2 Tactics, Techniques &amp; Procedures (TTPs)</t>
  </si>
  <si>
    <t>SOAR , EDR, XDR + ASSESSMENT</t>
  </si>
  <si>
    <t>1.3 Reconnaissance Attacks</t>
  </si>
  <si>
    <t>Forensic Investigation</t>
  </si>
  <si>
    <t>ILTAF RAJA</t>
  </si>
  <si>
    <t>24EACAD078</t>
  </si>
  <si>
    <t>1.3.1 Active vs Passive Reconnaissance</t>
  </si>
  <si>
    <t xml:space="preserve"> Forensic Investigation and Malware Analysis</t>
  </si>
  <si>
    <t>1.4 Man-in-the-Middle (MITM) Attacks</t>
  </si>
  <si>
    <t xml:space="preserve"> Malware Analysis</t>
  </si>
  <si>
    <t>1.5 Password Attack Techniques</t>
  </si>
  <si>
    <t>ELK</t>
  </si>
  <si>
    <t>1.5.1 Brute Force, Dictionary, Rainbow Table</t>
  </si>
  <si>
    <t>ELK , KQL</t>
  </si>
  <si>
    <t>1.5.2 Credential Stuffing</t>
  </si>
  <si>
    <t>Srawan Mali</t>
  </si>
  <si>
    <t>Cloudtrail, cloudwatch</t>
  </si>
  <si>
    <t>23EACCC054</t>
  </si>
  <si>
    <t>2. Malware &amp; Advanced Attacks</t>
  </si>
  <si>
    <t>13-07-2026</t>
  </si>
  <si>
    <t>2.1 Malware Attacks</t>
  </si>
  <si>
    <t xml:space="preserve">PROJECT </t>
  </si>
  <si>
    <t>2.1.1 Virus, Worm, Trojan</t>
  </si>
  <si>
    <t>2.1.2 Ransomware, Spyware, Rootkit</t>
  </si>
  <si>
    <t>Sagar mahawar</t>
  </si>
  <si>
    <t>23EACCC050</t>
  </si>
  <si>
    <t>2.1.3 Fileless Malware</t>
  </si>
  <si>
    <t>2.2 Advanced Persistent Threat (APT) Lifecycle</t>
  </si>
  <si>
    <t>2.3 Host-Based DoS &amp; DDoS Attacks</t>
  </si>
  <si>
    <t>2.4 Ransomware Attack Patterns</t>
  </si>
  <si>
    <t>Mohammed Sami Khan</t>
  </si>
  <si>
    <t>2.5 Insider Attacks</t>
  </si>
  <si>
    <t>23EACCC034</t>
  </si>
  <si>
    <t>2.5.1 Malicious vs Negligent Insiders</t>
  </si>
  <si>
    <t>3. Web Application &amp; Social Engineering Attacks</t>
  </si>
  <si>
    <t>3.1 SQL Injection Attacks</t>
  </si>
  <si>
    <t>3.2 Cross-Site Scripting (XSS) Attacks</t>
  </si>
  <si>
    <t>Mohit Sharma</t>
  </si>
  <si>
    <t>3.3 Cross-Site Request Forgery (CSRF) Attacks</t>
  </si>
  <si>
    <t>23EACCC036</t>
  </si>
  <si>
    <t>3.4 Session Hijacking Attacks</t>
  </si>
  <si>
    <t>23EACCC007</t>
  </si>
  <si>
    <t>3.5 Social Engineering Attacks</t>
  </si>
  <si>
    <t>3.5.1 Phishing, Spear Phishing, Whaling</t>
  </si>
  <si>
    <t>3.5.2 Vishing, Smishing, Pretexting</t>
  </si>
  <si>
    <t>3.6 Email-Based Attacks</t>
  </si>
  <si>
    <t>3.6.1 BEC (Business Email Compromise)</t>
  </si>
  <si>
    <t>4. Indicators of Compromise (IoCs) &amp; Frameworks</t>
  </si>
  <si>
    <t>4.1 What are IoCs</t>
  </si>
  <si>
    <t>P</t>
  </si>
  <si>
    <t>4.2 Categories of IoCs</t>
  </si>
  <si>
    <t>4.2.1 Host-Based IoCs</t>
  </si>
  <si>
    <t>4.2.2 Network-Based IoCs</t>
  </si>
  <si>
    <t>4.2.3 Email IoCs</t>
  </si>
  <si>
    <t>4.2.4 Behavioral IoCs</t>
  </si>
  <si>
    <t>OP</t>
  </si>
  <si>
    <t>4.3 Attacker's Hacking Methodology</t>
  </si>
  <si>
    <t>4.3.1 Cyber Kill Chain (Lockheed Martin)</t>
  </si>
  <si>
    <t>4.4 MITRE ATT&amp;CK Framework</t>
  </si>
  <si>
    <t>4.5 MITRE D3FEND Framework</t>
  </si>
  <si>
    <t>4.6 Diamond Model of Intrusion Analysis</t>
  </si>
  <si>
    <t>📁 MINI PROJECT 1: Attack Simulation &amp; IoC Detection (Half Day)</t>
  </si>
  <si>
    <t>Simulate SQL Injection, XSS &amp; Brute Force attacks (in lab)</t>
  </si>
  <si>
    <t>Capture network traffic using Wireshark</t>
  </si>
  <si>
    <t xml:space="preserve">PROJECT 1 ( SOC home Lab  ) Out of </t>
  </si>
  <si>
    <t xml:space="preserve">PROJECT 2 (  ) Out of </t>
  </si>
  <si>
    <t>Identify TTPs &amp; IoCs from captured data</t>
  </si>
  <si>
    <t>Document findings in attack analysis report</t>
  </si>
  <si>
    <t>23EACCC009</t>
  </si>
  <si>
    <t>🏭 INDUSTRY LECTURE 1 (1 Hour)</t>
  </si>
  <si>
    <t>23EACCC014</t>
  </si>
  <si>
    <t>Topic: Day in the Life of a SOC Analyst — Industry Perspective</t>
  </si>
  <si>
    <t>23EACCC025</t>
  </si>
  <si>
    <t>Format: Guest Lecture + Q&amp;A Session</t>
  </si>
  <si>
    <t>23EACCC028</t>
  </si>
  <si>
    <t>UNIT 3: LOG MANAGEMENT (Module 3)</t>
  </si>
  <si>
    <t>1. Incidents, Events &amp; Logs</t>
  </si>
  <si>
    <t>23eacad078</t>
  </si>
  <si>
    <t>1.1 Difference Between Incident, Event &amp; Alert</t>
  </si>
  <si>
    <t>23EACAD101</t>
  </si>
  <si>
    <t>1.2 Importance of Logs in Security Monitoring</t>
  </si>
  <si>
    <t>1.3 Log Sources in an Enterprise</t>
  </si>
  <si>
    <t>23EACCS889</t>
  </si>
  <si>
    <t>1.3.1 OS, Network Devices, Applications, Cloud</t>
  </si>
  <si>
    <t>23EACCC052</t>
  </si>
  <si>
    <t>1.4 Log Formats</t>
  </si>
  <si>
    <t>1.4.1 Syslog Format</t>
  </si>
  <si>
    <t>1.4.2 CEF (Common Event Format)</t>
  </si>
  <si>
    <t>23EACCCO56</t>
  </si>
  <si>
    <t>1.4.3 LEEF, JSON-based Logs</t>
  </si>
  <si>
    <t>23EACCC059</t>
  </si>
  <si>
    <t>2. Local Logging — Windows, Linux &amp; Mac</t>
  </si>
  <si>
    <t>2.1 Windows Event Logs</t>
  </si>
  <si>
    <t>2.1.1 Security, System, Application Logs</t>
  </si>
  <si>
    <t>2.1.2 Event Viewer &amp; Event IDs</t>
  </si>
  <si>
    <t>2.1.3 PowerShell Logging</t>
  </si>
  <si>
    <t>2.2 Linux Logs</t>
  </si>
  <si>
    <t>2.2.1 /var/log/ Directory Structure</t>
  </si>
  <si>
    <t>2.2.2 auth.log, syslog, kern.log</t>
  </si>
  <si>
    <t>2.2.3 journalctl &amp; systemd Logs</t>
  </si>
  <si>
    <t>2.3 Mac OS Logs (Console.app, Unified Logging)</t>
  </si>
  <si>
    <t>3. Network &amp; Application Logs</t>
  </si>
  <si>
    <t>3.1 Firewall Logs</t>
  </si>
  <si>
    <t>3.1.1 Cisco ASA, Palo Alto Logs</t>
  </si>
  <si>
    <t>3.1.2 iptables Logs</t>
  </si>
  <si>
    <t>3.2 Router &amp; Switch Logs</t>
  </si>
  <si>
    <t>3.3 Web Server Logs</t>
  </si>
  <si>
    <t>3.3.1 IIS Logs</t>
  </si>
  <si>
    <t>3.3.2 Apache &amp; Nginx Access/Error Logs</t>
  </si>
  <si>
    <t>3.4 Database Logs (MySQL, MSSQL, Oracle)</t>
  </si>
  <si>
    <t>3.5 DNS, DHCP &amp; Proxy Logs</t>
  </si>
  <si>
    <t>4. Centralized Log Management (CLM)</t>
  </si>
  <si>
    <t>4.1 Why Centralized Logging</t>
  </si>
  <si>
    <t>4.2 Log Collection Methods</t>
  </si>
  <si>
    <t>4.2.1 Agent-Based Collection</t>
  </si>
  <si>
    <t>4.2.2 Agentless Collection</t>
  </si>
  <si>
    <t>4.3 Log Transmission</t>
  </si>
  <si>
    <t>4.3.1 Syslog, SNMP</t>
  </si>
  <si>
    <t>4.3.2 Secure Transmission (TLS, Encrypted Syslog)</t>
  </si>
  <si>
    <t>4.4 Log Storage Considerations</t>
  </si>
  <si>
    <t>4.4.1 Retention Policies</t>
  </si>
  <si>
    <t>4.4.2 Compliance Requirements (PCI-DSS, HIPAA)</t>
  </si>
  <si>
    <t>4.5 AI-Powered Log Storage &amp; Compression</t>
  </si>
  <si>
    <t>5. Log Normalization, Parsing &amp; Correlation</t>
  </si>
  <si>
    <t>5.1 Log Normalization</t>
  </si>
  <si>
    <t>5.1.1 Why Normalize? Common Schema</t>
  </si>
  <si>
    <t>5.2 Log Parsing</t>
  </si>
  <si>
    <t>5.2.1 Regex-Based Parsing</t>
  </si>
  <si>
    <t>5.2.2 Field Extraction</t>
  </si>
  <si>
    <t>5.3 Log Correlation</t>
  </si>
  <si>
    <t>5.3.1 Rule-Based Correlation</t>
  </si>
  <si>
    <t>5.3.2 Statistical Correlation</t>
  </si>
  <si>
    <t>5.4 Log Analysis Techniques</t>
  </si>
  <si>
    <t>5.5 Alerting &amp; Reporting Basics</t>
  </si>
  <si>
    <t>📁 MINI PROJECT 2: Centralized Logging with Splunk (Half Day)</t>
  </si>
  <si>
    <t>Install Splunk Free / Enterprise Trial</t>
  </si>
  <si>
    <t>Configure Universal Forwarder on Windows &amp; Linux</t>
  </si>
  <si>
    <t>Centrally collect logs from multiple sources</t>
  </si>
  <si>
    <t>Build basic searches &amp; dashboards</t>
  </si>
  <si>
    <t>🔴 TEST 1: SOC Basics + Threats + Log Management (Half Day)</t>
  </si>
  <si>
    <t>MCQ (25 Marks) + Scenario-Based (25 Marks)</t>
  </si>
  <si>
    <t>Duration: 1 to 1.5 Hours</t>
  </si>
  <si>
    <t>🏭 INDUSTRY LECTURE 2 (1 Hour)</t>
  </si>
  <si>
    <t>Topic: Log Management Best Practices in Enterprise Environments</t>
  </si>
  <si>
    <t>UNIT 4: INCIDENT DETECTION &amp; TRIAGE WITH SIEM (Module 4)</t>
  </si>
  <si>
    <t>1. Introduction to SIEM</t>
  </si>
  <si>
    <t>1.1 What is SIEM</t>
  </si>
  <si>
    <t>1.1.1 SIM vs SEM vs SIEM Evolution</t>
  </si>
  <si>
    <t>1.2 SIEM Architecture &amp; Components</t>
  </si>
  <si>
    <t>1.2.1 Log Collector, Parser, Correlation Engine</t>
  </si>
  <si>
    <t>1.2.2 Storage &amp; Search Engine</t>
  </si>
  <si>
    <t>1.2.3 Dashboards &amp; Reporting Module</t>
  </si>
  <si>
    <t>1.3 Types of SIEM Solutions</t>
  </si>
  <si>
    <t>1.3.1 On-Premise SIEM</t>
  </si>
  <si>
    <t>1.3.2 Cloud-Based SIEM</t>
  </si>
  <si>
    <t>1.3.3 Hybrid SIEM</t>
  </si>
  <si>
    <t>1.3.4 AI-Enabled SIEM</t>
  </si>
  <si>
    <t>2. SIEM Deployment &amp; Architecture</t>
  </si>
  <si>
    <t>2.1 SIEM Deployment Considerations</t>
  </si>
  <si>
    <t>2.1.1 Sizing &amp; Capacity Planning</t>
  </si>
  <si>
    <t>2.1.2 EPS (Events Per Second) Calculation</t>
  </si>
  <si>
    <t>2.2 SIEM Deployment Architectures</t>
  </si>
  <si>
    <t>2.2.1 Single-Tier Deployment</t>
  </si>
  <si>
    <t>2.2.2 Multi-Tier Deployment</t>
  </si>
  <si>
    <t>2.2.3 Distributed Deployment</t>
  </si>
  <si>
    <t>2.3 Popular SIEM Tools Overview</t>
  </si>
  <si>
    <t>2.3.1 Splunk Enterprise Security</t>
  </si>
  <si>
    <t>2.3.2 IBM QRadar</t>
  </si>
  <si>
    <t>2.3.3 ArcSight, LogRhythm</t>
  </si>
  <si>
    <t>2.3.4 ELK Stack (Elastic SIEM)</t>
  </si>
  <si>
    <t>2.3.5 ManageEngine Log360, AlienVault OSSIM</t>
  </si>
  <si>
    <t>3. SIEM Use Cases — Application &amp; Insider Level</t>
  </si>
  <si>
    <t>3.1 SIEM Use Case Lifecycle</t>
  </si>
  <si>
    <t>3.1.1 Use Case Identification</t>
  </si>
  <si>
    <t>3.1.2 Rule Development &amp; Testing</t>
  </si>
  <si>
    <t>3.1.3 Tuning &amp; Optimization</t>
  </si>
  <si>
    <t>3.2 Application-Level Incident Detection Use Cases</t>
  </si>
  <si>
    <t>3.2.1 Detecting SQL Injection Attempts</t>
  </si>
  <si>
    <t>3.2.2 Detecting XSS Attempts</t>
  </si>
  <si>
    <t>3.2.3 Broken Access Control Detection</t>
  </si>
  <si>
    <t>3.2.4 Application Crashes via RCE</t>
  </si>
  <si>
    <t>3.3 Insider Incident Detection Use Cases</t>
  </si>
  <si>
    <t>3.3.1 Data Exfiltration Patterns</t>
  </si>
  <si>
    <t>3.3.2 Privilege Misuse</t>
  </si>
  <si>
    <t>4. SIEM Use Cases — Network &amp; Compliance</t>
  </si>
  <si>
    <t>4.1 Network-Level Incident Detection Use Cases</t>
  </si>
  <si>
    <t>4.1.1 Brute-Force Detection</t>
  </si>
  <si>
    <t>4.1.2 Port Scanning Detection</t>
  </si>
  <si>
    <t>4.1.3 HTTP Flood / DoS Detection</t>
  </si>
  <si>
    <t>4.1.4 Insecure Ports &amp; Services Monitoring</t>
  </si>
  <si>
    <t>4.2 Host-Level Detection</t>
  </si>
  <si>
    <t>4.2.1 Windows Audit Log Tampering</t>
  </si>
  <si>
    <t>4.2.2 Malicious PowerShell Execution</t>
  </si>
  <si>
    <t>4.2.3 Ransomware Behavior Detection</t>
  </si>
  <si>
    <t>4.3 Compliance Use Cases</t>
  </si>
  <si>
    <t>4.3.1 PCI-DSS, HIPAA, GDPR Logging Requirements</t>
  </si>
  <si>
    <t>5. Splunk Deep Dive</t>
  </si>
  <si>
    <t>5.1 Splunk Architecture</t>
  </si>
  <si>
    <t>5.1.1 Forwarders, Indexers, Search Heads</t>
  </si>
  <si>
    <t>5.2 Splunk SPL (Search Processing Language)</t>
  </si>
  <si>
    <t>5.2.1 Basic Search Commands</t>
  </si>
  <si>
    <t>5.2.2 stats, table, eval, where</t>
  </si>
  <si>
    <t>5.3 Building Detection Rules in Splunk</t>
  </si>
  <si>
    <t>5.4 Splunk Dashboards &amp; Visualizations</t>
  </si>
  <si>
    <t>5.5 Splunk AI Features</t>
  </si>
  <si>
    <t>5.6 SIGMA Rules for Splunk Queries</t>
  </si>
  <si>
    <t>6. ELK Stack &amp; Other SIEM Tools</t>
  </si>
  <si>
    <t>6.1 ELK Stack Components</t>
  </si>
  <si>
    <t>6.1.1 Elasticsearch, Logstash, Kibana</t>
  </si>
  <si>
    <t>6.1.2 Beats (Filebeat, Winlogbeat)</t>
  </si>
  <si>
    <t>6.2 ELK Use Cases</t>
  </si>
  <si>
    <t>6.2.1 Monitoring Trusted Binaries to Internet</t>
  </si>
  <si>
    <t>6.2.2 Credential Dumping (Mimikatz) Detection</t>
  </si>
  <si>
    <t>6.2.3 Malware Activity Monitoring</t>
  </si>
  <si>
    <t>6.3 ELK Dashboards</t>
  </si>
  <si>
    <t>6.4 ManageEngine Log360 — Correlation Rules</t>
  </si>
  <si>
    <t>6.5 AlienVault OSSIM Overview</t>
  </si>
  <si>
    <t>7. Alert Triage &amp; SOC Reporting</t>
  </si>
  <si>
    <t>7.1 Alert Triage Process</t>
  </si>
  <si>
    <t>7.1.1 True Positive vs False Positive</t>
  </si>
  <si>
    <t>7.1.2 Severity Classification</t>
  </si>
  <si>
    <t>7.1.3 Prioritization Techniques</t>
  </si>
  <si>
    <t>7.2 Alert Triage with AI</t>
  </si>
  <si>
    <t>7.2.1 Splunk AI for Triage</t>
  </si>
  <si>
    <t>7.2.2 Elasticsearch AI</t>
  </si>
  <si>
    <t>7.3 SOC Dashboards</t>
  </si>
  <si>
    <t>7.3.1 Tier 1, 2, 3 Dashboards</t>
  </si>
  <si>
    <t>7.3.2 Executive Dashboards</t>
  </si>
  <si>
    <t>7.4 SOC Reports Generation</t>
  </si>
  <si>
    <t>📁 MINI PROJECT 3: SIEM Use Case Development (Half Day)</t>
  </si>
  <si>
    <t>Create Splunk use cases for brute-force &amp; ransomware detection</t>
  </si>
  <si>
    <t>Build ELK use case for credential dumping (Mimikatz)</t>
  </si>
  <si>
    <t>Apply SIGMA rules for enhanced triage</t>
  </si>
  <si>
    <t>Build a SOC dashboard with key metrics</t>
  </si>
  <si>
    <t>🔴 TEST 2: SIEM &amp; Incident Detection (Half Day)</t>
  </si>
  <si>
    <t>🏭 INDUSTRY LECTURE 3 (1 Hour)</t>
  </si>
  <si>
    <t>Topic: Building Effective SIEM Use Cases at Scale</t>
  </si>
  <si>
    <t>UNIT 5: PROACTIVE THREAT DETECTION (Module 5)</t>
  </si>
  <si>
    <t>1. Cyber Threat Intelligence (CTI) Fundamentals</t>
  </si>
  <si>
    <t>1.1 What is Threat Intelligence</t>
  </si>
  <si>
    <t>1.2 Threat Intelligence Lifecycle</t>
  </si>
  <si>
    <t>1.2.1 Planning &amp; Direction</t>
  </si>
  <si>
    <t>1.2.2 Collection &amp; Processing</t>
  </si>
  <si>
    <t>1.2.3 Analysis &amp; Dissemination</t>
  </si>
  <si>
    <t>1.2.4 Feedback</t>
  </si>
  <si>
    <t>1.3 Types of Threat Intelligence</t>
  </si>
  <si>
    <t>1.3.1 Strategic Intelligence</t>
  </si>
  <si>
    <t>1.3.2 Tactical Intelligence</t>
  </si>
  <si>
    <t>1.3.3 Operational Intelligence</t>
  </si>
  <si>
    <t>1.3.4 Technical Intelligence</t>
  </si>
  <si>
    <t>2. Threat Intelligence Sources &amp; Platforms</t>
  </si>
  <si>
    <t>2.1 Threat Intelligence Sources</t>
  </si>
  <si>
    <t>2.1.1 OSINT (Open-Source Intelligence)</t>
  </si>
  <si>
    <t>2.1.2 Commercial Feeds</t>
  </si>
  <si>
    <t>2.1.3 ISACs &amp; Sharing Communities</t>
  </si>
  <si>
    <t>2.1.4 Dark Web Sources</t>
  </si>
  <si>
    <t>2.2 Threat Intelligence Platforms (TIP)</t>
  </si>
  <si>
    <t>2.2.1 MISP (Open Source)</t>
  </si>
  <si>
    <t>2.2.2 ThreatConnect, Anomali</t>
  </si>
  <si>
    <t>2.2.3 AlienVault OTX</t>
  </si>
  <si>
    <t>2.3 Threat Intelligence-Driven SOC</t>
  </si>
  <si>
    <t>2.4 STIX &amp; TAXII Standards</t>
  </si>
  <si>
    <t>2.5 Enhanced Threat Detection with AI</t>
  </si>
  <si>
    <t>3. Threat Hunting Fundamentals</t>
  </si>
  <si>
    <t>3.1 What is Threat Hunting</t>
  </si>
  <si>
    <t>3.1.1 Reactive vs Proactive Defense</t>
  </si>
  <si>
    <t>3.1.2 Hunter Mindset</t>
  </si>
  <si>
    <t>3.2 Threat Hunting Process</t>
  </si>
  <si>
    <t>3.2.1 Hypothesis Formation</t>
  </si>
  <si>
    <t>3.2.2 Investigation &amp; Validation</t>
  </si>
  <si>
    <t>3.2.3 Documentation &amp; Knowledge Sharing</t>
  </si>
  <si>
    <t>3.3 Threat Hunting Frameworks</t>
  </si>
  <si>
    <t>3.3.1 TaHiTI Methodology</t>
  </si>
  <si>
    <t>3.3.2 PEAK Framework</t>
  </si>
  <si>
    <t>3.3.3 MITRE ATT&amp;CK-Based Hunting</t>
  </si>
  <si>
    <t>4. Threat Hunting Tools &amp; Techniques</t>
  </si>
  <si>
    <t>4.1 Threat Hunting with PowerShell Scripts</t>
  </si>
  <si>
    <t>4.2 PowerShell AI Module</t>
  </si>
  <si>
    <t>4.3 Threat Hunting with YARA Rules</t>
  </si>
  <si>
    <t>4.3.1 Writing YARA Rules</t>
  </si>
  <si>
    <t>4.3.2 Detecting Malware Patterns</t>
  </si>
  <si>
    <t>4.4 Velociraptor — Endpoint Threat Hunting</t>
  </si>
  <si>
    <t>4.5 Sophos Central for Hunting</t>
  </si>
  <si>
    <t>4.6 Log360 UEBA (User Entity Behavior Analytics)</t>
  </si>
  <si>
    <t>4.7 Threat Hunting with AI/ML</t>
  </si>
  <si>
    <t>📁 MINI PROJECT 4: Threat Hunting Lab (Half Day)</t>
  </si>
  <si>
    <t>Integrate IoCs into ELK Stack</t>
  </si>
  <si>
    <t>Integrate AlienVault OTX with OSSIM</t>
  </si>
  <si>
    <t>Detect incidents in Windows Server using YARA</t>
  </si>
  <si>
    <t>Conduct threat hunt using PowerShell &amp; Velociraptor</t>
  </si>
  <si>
    <t>UNIT 6: INCIDENT RESPONSE (Module 6)</t>
  </si>
  <si>
    <t>1. Incident Response (IR) Fundamentals</t>
  </si>
  <si>
    <t>1.1 Incident Response Process (NIST 800-61)</t>
  </si>
  <si>
    <t>1.1.1 Preparation</t>
  </si>
  <si>
    <t>1.1.2 Detection &amp; Analysis</t>
  </si>
  <si>
    <t>1.1.3 Containment, Eradication, Recovery</t>
  </si>
  <si>
    <t>1.1.4 Post-Incident Activity</t>
  </si>
  <si>
    <t>1.2 Incident Response Team (IRT)</t>
  </si>
  <si>
    <t>1.2.1 IRT Roles &amp; Responsibilities</t>
  </si>
  <si>
    <t>1.2.2 SOC and IRT Collaboration</t>
  </si>
  <si>
    <t>1.3 Ticketing Systems for IR</t>
  </si>
  <si>
    <t>1.3.1 ServiceNow, Jira, TheHive</t>
  </si>
  <si>
    <t>2. Incident Handling Phases — Triage to Containment</t>
  </si>
  <si>
    <t>2.1 Incident Triage</t>
  </si>
  <si>
    <t>2.1.1 Initial Assessment</t>
  </si>
  <si>
    <t>2.1.2 Categorization &amp; Prioritization</t>
  </si>
  <si>
    <t>2.2 Notification &amp; Escalation</t>
  </si>
  <si>
    <t>2.2.1 Communication Channels</t>
  </si>
  <si>
    <t>2.2.2 Stakeholder Management</t>
  </si>
  <si>
    <t>LT</t>
  </si>
  <si>
    <t>2.3 Containment Strategies</t>
  </si>
  <si>
    <t>2.3.1 Short-Term Containment</t>
  </si>
  <si>
    <t>2.3.2 Long-Term Containment</t>
  </si>
  <si>
    <t>2.3.3 Network Isolation Techniques</t>
  </si>
  <si>
    <t>3. Incident Response — Specific Scenarios</t>
  </si>
  <si>
    <t>3.1 Network Security Incident Response</t>
  </si>
  <si>
    <t>3.1.1 DDoS Response</t>
  </si>
  <si>
    <t>3.1.2 Network Intrusion Response</t>
  </si>
  <si>
    <t>3.2 Application Security Incident Response</t>
  </si>
  <si>
    <t>3.2.1 SQL Injection Response</t>
  </si>
  <si>
    <t>3.2.2 XSS Response</t>
  </si>
  <si>
    <t>3.3 Email Security Incident Response</t>
  </si>
  <si>
    <t>3.3.1 Phishing Response</t>
  </si>
  <si>
    <t>3.3.2 BEC Response</t>
  </si>
  <si>
    <t>3.4 Insider Threat Incident Response</t>
  </si>
  <si>
    <t>3.5 Malware Threat Incident Response</t>
  </si>
  <si>
    <t>4. Eradication, Recovery &amp; Modern Response Tools</t>
  </si>
  <si>
    <t>4.1 Eradication Techniques</t>
  </si>
  <si>
    <t>4.1.1 Root Cause Analysis</t>
  </si>
  <si>
    <t>4.1.2 Malware Removal</t>
  </si>
  <si>
    <t>4.1.3 System Hardening</t>
  </si>
  <si>
    <t>4.2 Recovery Procedures</t>
  </si>
  <si>
    <t>4.2.1 System Restoration</t>
  </si>
  <si>
    <t>4.2.2 Validation &amp; Monitoring</t>
  </si>
  <si>
    <t>4.3 SOC Playbooks</t>
  </si>
  <si>
    <t>4.3.1 Playbook Design</t>
  </si>
  <si>
    <t>4.3.2 Standard Operating Procedures (SOPs)</t>
  </si>
  <si>
    <t>4.4 Endpoint Detection &amp; Response (EDR)</t>
  </si>
  <si>
    <t>4.5 Extended Detection &amp; Response (XDR)</t>
  </si>
  <si>
    <t>4.6 SOAR (Security Orchestration, Automation, Response)</t>
  </si>
  <si>
    <t>4.6.1 SOAR Playbook Examples</t>
  </si>
  <si>
    <t>📁 MINI PROJECT 5: Incident Response Workflow (Half Day)</t>
  </si>
  <si>
    <t>Generate tickets for simulated incidents</t>
  </si>
  <si>
    <t>Perform containment of data loss incident</t>
  </si>
  <si>
    <t>Eradicate SQL Injection &amp; XSS incidents</t>
  </si>
  <si>
    <t>Create incident report using OSSIM</t>
  </si>
  <si>
    <t>Automate detection &amp; response using Wazuh</t>
  </si>
  <si>
    <t>UNIT 7: FORENSIC INVESTIGATION &amp; MALWARE ANALYSIS (Module 7)</t>
  </si>
  <si>
    <t>1. Forensic Investigation Fundamentals</t>
  </si>
  <si>
    <t>1.1 Importance of Forensics in SOC</t>
  </si>
  <si>
    <t>1.2 Forensics Investigation Methodology</t>
  </si>
  <si>
    <t>1.2.1 Identification, Preservation, Collection</t>
  </si>
  <si>
    <t>1.2.2 Examination, Analysis, Presentation</t>
  </si>
  <si>
    <t>1.3 Chain of Custody</t>
  </si>
  <si>
    <t>1.4 Forensics Investigation Process</t>
  </si>
  <si>
    <t>1.4.1 Imaging &amp; Acquisition</t>
  </si>
  <si>
    <t>1.4.2 Evidence Handling</t>
  </si>
  <si>
    <t>1.5 Legal Considerations &amp; Compliance</t>
  </si>
  <si>
    <t>2. Forensic Investigation Scenarios</t>
  </si>
  <si>
    <t>2.1 Forensic Investigation of Network Security Incidents</t>
  </si>
  <si>
    <t>2.1.1 Packet Capture Analysis</t>
  </si>
  <si>
    <t>2.1.2 NetFlow Analysis</t>
  </si>
  <si>
    <t>2.2 Forensic Investigation of Application Security Incidents</t>
  </si>
  <si>
    <t>2.2.1 Web Server Log Analysis</t>
  </si>
  <si>
    <t>2.2.2 SQL Injection Forensics</t>
  </si>
  <si>
    <t>2.3 Forensic Investigation of Email Security Incidents</t>
  </si>
  <si>
    <t>2.3.1 Email Header Analysis</t>
  </si>
  <si>
    <t>2.4 Forensic Investigation of Insider Incidents</t>
  </si>
  <si>
    <t>2.4.1 User Activity Analysis</t>
  </si>
  <si>
    <t>2.5 Velociraptor for System Forensics</t>
  </si>
  <si>
    <t>2.6 RAM Analysis using Redline</t>
  </si>
  <si>
    <t>3. Malware Analysis</t>
  </si>
  <si>
    <t>3.1 What is Malware Analysis</t>
  </si>
  <si>
    <t>3.2 Types of Malware Analysis</t>
  </si>
  <si>
    <t>3.2.1 Static Analysis</t>
  </si>
  <si>
    <t>3.2.2 Dynamic Analysis</t>
  </si>
  <si>
    <t>3.2.3 Hybrid Analysis</t>
  </si>
  <si>
    <t>3.3 Malware Analysis Tools</t>
  </si>
  <si>
    <t>3.3.1 PeStudio (Static Analysis)</t>
  </si>
  <si>
    <t>3.3.2 Process Hacker (Dynamic Analysis)</t>
  </si>
  <si>
    <t>3.3.3 VirusTotal (Online Analysis)</t>
  </si>
  <si>
    <t>3.3.4 Sandbox Environments (Cuckoo, ANY.RUN)</t>
  </si>
  <si>
    <t>3.4 Malware Behavior Patterns</t>
  </si>
  <si>
    <t>3.5 Reporting Findings</t>
  </si>
  <si>
    <t>UNIT 8: SOC FOR CLOUD ENVIRONMENTS (Module 8)</t>
  </si>
  <si>
    <t>1. Cloud SOC Overview</t>
  </si>
  <si>
    <t>1.1 Cloud Security Challenges</t>
  </si>
  <si>
    <t>1.1.1 Shared Responsibility Model</t>
  </si>
  <si>
    <t>1.1.2 Multi-Tenancy Risks</t>
  </si>
  <si>
    <t>1.2 Cloud SOC vs Traditional SOC</t>
  </si>
  <si>
    <t>1.3 Cloud Logging &amp; Monitoring Concepts</t>
  </si>
  <si>
    <t>2. AWS SOC Architecture</t>
  </si>
  <si>
    <t>2.1 AWS Security Hub</t>
  </si>
  <si>
    <t>2.2 Amazon GuardDuty (Threat Detection)</t>
  </si>
  <si>
    <t>2.3 AWS CloudTrail &amp; CloudWatch</t>
  </si>
  <si>
    <t>2.4 Centralized Logging with Amazon OpenSearch</t>
  </si>
  <si>
    <t>2.5 AWS Macie for Data Security</t>
  </si>
  <si>
    <t>3. Azure &amp; GCP SOC Architecture</t>
  </si>
  <si>
    <t>3.1 Azure SOC Architecture</t>
  </si>
  <si>
    <t>3.1.1 Microsoft Sentinel (Cloud-Native SIEM)</t>
  </si>
  <si>
    <t>3.1.2 Microsoft Defender for Cloud</t>
  </si>
  <si>
    <t>3.1.3 Azure Monitor &amp; Log Analytics</t>
  </si>
  <si>
    <t>3.2 Google Cloud Platform (GCP) SOC</t>
  </si>
  <si>
    <t>3.2.1 Security Command Center</t>
  </si>
  <si>
    <t>3.2.2 Chronicle (Google's SIEM)</t>
  </si>
  <si>
    <t>3.2.3 Cloud Logging &amp; Cloud Audit Logs</t>
  </si>
  <si>
    <t>3.3 Multi-Cloud Security Monitoring</t>
  </si>
  <si>
    <t>3.4 Implement Microsoft Sentinel in Azure (Lab)</t>
  </si>
  <si>
    <t>🔴 TEST 3: IR + Forensics + Cloud SOC (Half Day)</t>
  </si>
  <si>
    <t>🏭 INDUSTRY LECTURE 4 (1 Hour)</t>
  </si>
  <si>
    <t>Topic: Cloud SOC Operations — AWS, Azure &amp; GCP in Practice</t>
  </si>
  <si>
    <t>UNIT 9: EXAM PREPARATION &amp; FULL-LENGTH PRACTICE</t>
  </si>
  <si>
    <t>1. Full-Length Mock Exam — Day 1</t>
  </si>
  <si>
    <t>1.1 100 Questions, 3 Hours (Exam 312-39 Conditions)</t>
  </si>
  <si>
    <t>1.2 Module-wise Score Analysis</t>
  </si>
  <si>
    <t>1.3 Identifying Weak Areas</t>
  </si>
  <si>
    <t>2. Module Revision — Part 1</t>
  </si>
  <si>
    <t>2.1 Module 1: SOC Operations &amp; Management</t>
  </si>
  <si>
    <t>2.2 Module 2: Threats, IoCs &amp; Attack Methodology</t>
  </si>
  <si>
    <t>2.3 Module 3: Log Management</t>
  </si>
  <si>
    <t>2.4 Module 4: Incident Detection with SIEM</t>
  </si>
  <si>
    <t>3. Tool Comparison Revision</t>
  </si>
  <si>
    <t>3.1 Splunk vs ELK vs QRadar vs ArcSight</t>
  </si>
  <si>
    <t>3.2 EDR vs XDR vs SOAR</t>
  </si>
  <si>
    <t>3.3 MITRE ATT&amp;CK vs Cyber Kill Chain vs Diamond Model</t>
  </si>
  <si>
    <t>4. Full-Length Mock Exam — Day 2 &amp; Final Strategy</t>
  </si>
  <si>
    <t>4.1 Second Mock Test under Exam Conditions</t>
  </si>
  <si>
    <t>4.2 Detailed Review of Wrong Answers</t>
  </si>
  <si>
    <t>5. Module Revision — Part 2</t>
  </si>
  <si>
    <t>5.1 Module 5: Threat Intelligence &amp; Hunting</t>
  </si>
  <si>
    <t>5.2 Module 6: Incident Response</t>
  </si>
  <si>
    <t>5.3 Module 7: Forensics &amp; Malware Analysis</t>
  </si>
  <si>
    <t>5.4 Module 8: Cloud SOC</t>
  </si>
  <si>
    <t>6. Exam Day Strategy</t>
  </si>
  <si>
    <t>6.1 Time Management (1.8 min per question)</t>
  </si>
  <si>
    <t>6.2 Question Marking &amp; Review Strategy</t>
  </si>
  <si>
    <t>6.3 Elimination Technique for MCQs</t>
  </si>
  <si>
    <t>6.4 EC-Council Exam Portal Tips (eccexam.com)</t>
  </si>
  <si>
    <t>46-60</t>
  </si>
  <si>
    <t>🎯 FINAL CERTIFICATION EXAM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</si>
</sst>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mm yyyy"/>
    <numFmt numFmtId="166" formatCode="mm-dd-yyyy"/>
    <numFmt numFmtId="167" formatCode="d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sz val="11.0"/>
      <color rgb="FF000000"/>
      <name val="Calibri"/>
    </font>
    <font/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ptos Narrow"/>
    </font>
    <font>
      <b/>
      <color theme="1"/>
      <name val="Times New Roman"/>
    </font>
    <font>
      <color theme="1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 readingOrder="0" shrinkToFit="0" wrapText="1"/>
    </xf>
    <xf borderId="1" fillId="3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2" fillId="0" fontId="3" numFmtId="0" xfId="0" applyAlignment="1" applyBorder="1" applyFont="1">
      <alignment readingOrder="0" vertical="bottom"/>
    </xf>
    <xf borderId="2" fillId="2" fontId="1" numFmtId="0" xfId="0" applyAlignment="1" applyBorder="1" applyFont="1">
      <alignment horizontal="center" vertical="center"/>
    </xf>
    <xf borderId="3" fillId="3" fontId="1" numFmtId="165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4" fillId="0" fontId="5" numFmtId="0" xfId="0" applyBorder="1" applyFont="1"/>
    <xf borderId="2" fillId="0" fontId="1" numFmtId="0" xfId="0" applyAlignment="1" applyBorder="1" applyFont="1">
      <alignment horizontal="center" readingOrder="0" shrinkToFit="0" vertical="top" wrapText="1"/>
    </xf>
    <xf borderId="5" fillId="0" fontId="5" numFmtId="0" xfId="0" applyBorder="1" applyFont="1"/>
    <xf borderId="0" fillId="0" fontId="2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6" fillId="3" fontId="7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shrinkToFit="0" vertical="top" wrapText="0"/>
    </xf>
    <xf borderId="2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left" readingOrder="0" shrinkToFit="0" vertical="top" wrapText="0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/>
    </xf>
    <xf borderId="6" fillId="0" fontId="4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/>
    </xf>
    <xf borderId="6" fillId="0" fontId="4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center" readingOrder="0" vertical="bottom"/>
    </xf>
    <xf borderId="2" fillId="0" fontId="3" numFmtId="166" xfId="0" applyAlignment="1" applyBorder="1" applyFont="1" applyNumberFormat="1">
      <alignment horizontal="left" readingOrder="0" vertical="bottom"/>
    </xf>
    <xf borderId="0" fillId="0" fontId="6" numFmtId="0" xfId="0" applyFont="1"/>
    <xf borderId="2" fillId="0" fontId="9" numFmtId="0" xfId="0" applyAlignment="1" applyBorder="1" applyFont="1">
      <alignment horizontal="center" vertical="center"/>
    </xf>
    <xf borderId="7" fillId="0" fontId="5" numFmtId="0" xfId="0" applyBorder="1" applyFont="1"/>
    <xf borderId="2" fillId="2" fontId="1" numFmtId="167" xfId="0" applyAlignment="1" applyBorder="1" applyFont="1" applyNumberFormat="1">
      <alignment horizontal="center" vertical="bottom"/>
    </xf>
    <xf borderId="2" fillId="0" fontId="6" numFmtId="0" xfId="0" applyBorder="1" applyFont="1"/>
    <xf borderId="2" fillId="0" fontId="3" numFmtId="0" xfId="0" applyAlignment="1" applyBorder="1" applyFont="1">
      <alignment horizontal="left" readingOrder="0" vertical="bottom"/>
    </xf>
    <xf borderId="8" fillId="0" fontId="5" numFmtId="0" xfId="0" applyBorder="1" applyFont="1"/>
    <xf borderId="2" fillId="2" fontId="1" numFmtId="165" xfId="0" applyAlignment="1" applyBorder="1" applyFont="1" applyNumberFormat="1">
      <alignment horizontal="center" vertical="bottom"/>
    </xf>
    <xf borderId="2" fillId="0" fontId="6" numFmtId="166" xfId="0" applyAlignment="1" applyBorder="1" applyFont="1" applyNumberFormat="1">
      <alignment horizontal="left" readingOrder="0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bottom"/>
    </xf>
    <xf borderId="2" fillId="0" fontId="6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2" fillId="0" fontId="6" numFmtId="0" xfId="0" applyAlignment="1" applyBorder="1" applyFont="1">
      <alignment vertical="center"/>
    </xf>
    <xf borderId="2" fillId="0" fontId="3" numFmtId="2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readingOrder="0" vertical="center"/>
    </xf>
    <xf borderId="7" fillId="4" fontId="1" numFmtId="0" xfId="0" applyAlignment="1" applyBorder="1" applyFill="1" applyFont="1">
      <alignment horizontal="center" textRotation="255" vertical="center"/>
    </xf>
    <xf borderId="0" fillId="0" fontId="6" numFmtId="0" xfId="0" applyAlignment="1" applyFont="1">
      <alignment vertical="center"/>
    </xf>
    <xf borderId="2" fillId="2" fontId="1" numFmtId="0" xfId="0" applyAlignment="1" applyBorder="1" applyFont="1">
      <alignment horizontal="center" vertical="bottom"/>
    </xf>
    <xf borderId="2" fillId="2" fontId="10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8" numFmtId="11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bottom"/>
    </xf>
    <xf borderId="0" fillId="0" fontId="8" numFmtId="11" xfId="0" applyAlignment="1" applyFont="1" applyNumberFormat="1">
      <alignment horizontal="center" vertical="bottom"/>
    </xf>
    <xf borderId="2" fillId="0" fontId="6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/>
    </xf>
    <xf borderId="5" fillId="0" fontId="6" numFmtId="0" xfId="0" applyAlignment="1" applyBorder="1" applyFont="1">
      <alignment vertical="center"/>
    </xf>
    <xf borderId="0" fillId="0" fontId="6" numFmtId="0" xfId="0" applyAlignment="1" applyFont="1">
      <alignment horizontal="center"/>
    </xf>
    <xf borderId="0" fillId="0" fontId="3" numFmtId="2" xfId="0" applyAlignment="1" applyFont="1" applyNumberFormat="1">
      <alignment horizontal="center" vertical="bottom"/>
    </xf>
    <xf borderId="6" fillId="0" fontId="12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5.88"/>
    <col customWidth="1" min="7" max="7" width="16.63"/>
    <col customWidth="1" min="8" max="44" width="4.63"/>
    <col customWidth="1" min="45" max="74" width="4.75"/>
  </cols>
  <sheetData>
    <row r="1">
      <c r="A1" s="2" t="s">
        <v>2</v>
      </c>
      <c r="B1" s="4" t="s">
        <v>3</v>
      </c>
      <c r="C1" s="4" t="s">
        <v>4</v>
      </c>
      <c r="D1" s="4" t="s">
        <v>5</v>
      </c>
      <c r="E1" s="4" t="s">
        <v>7</v>
      </c>
      <c r="F1" s="4" t="s">
        <v>9</v>
      </c>
      <c r="G1" s="4" t="s">
        <v>12</v>
      </c>
      <c r="H1" s="12">
        <v>46143.0</v>
      </c>
      <c r="I1" s="14"/>
      <c r="J1" s="14"/>
      <c r="K1" s="14"/>
      <c r="L1" s="14"/>
      <c r="M1" s="14"/>
      <c r="N1" s="16"/>
      <c r="O1" s="12">
        <v>46174.0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2">
        <v>46204.0</v>
      </c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</row>
    <row r="2">
      <c r="A2" s="33"/>
      <c r="B2" s="33"/>
      <c r="C2" s="33"/>
      <c r="D2" s="33"/>
      <c r="E2" s="33"/>
      <c r="F2" s="33"/>
      <c r="G2" s="33"/>
      <c r="H2" s="34">
        <v>46167.0</v>
      </c>
      <c r="I2" s="34">
        <v>46168.0</v>
      </c>
      <c r="J2" s="34">
        <v>46169.0</v>
      </c>
      <c r="K2" s="34">
        <v>46170.0</v>
      </c>
      <c r="L2" s="34">
        <v>46171.0</v>
      </c>
      <c r="M2" s="34">
        <v>46172.0</v>
      </c>
      <c r="N2" s="34">
        <v>46173.0</v>
      </c>
      <c r="O2" s="34">
        <v>46174.0</v>
      </c>
      <c r="P2" s="34">
        <v>46175.0</v>
      </c>
      <c r="Q2" s="34">
        <v>46176.0</v>
      </c>
      <c r="R2" s="34">
        <v>46177.0</v>
      </c>
      <c r="S2" s="34">
        <v>46178.0</v>
      </c>
      <c r="T2" s="34">
        <v>46179.0</v>
      </c>
      <c r="U2" s="34">
        <v>46180.0</v>
      </c>
      <c r="V2" s="34">
        <v>46181.0</v>
      </c>
      <c r="W2" s="34">
        <v>46182.0</v>
      </c>
      <c r="X2" s="34">
        <v>46183.0</v>
      </c>
      <c r="Y2" s="34">
        <v>46184.0</v>
      </c>
      <c r="Z2" s="34">
        <v>46185.0</v>
      </c>
      <c r="AA2" s="34">
        <v>46186.0</v>
      </c>
      <c r="AB2" s="34">
        <v>46187.0</v>
      </c>
      <c r="AC2" s="34">
        <v>46188.0</v>
      </c>
      <c r="AD2" s="34">
        <v>46189.0</v>
      </c>
      <c r="AE2" s="34">
        <v>46190.0</v>
      </c>
      <c r="AF2" s="34">
        <v>46191.0</v>
      </c>
      <c r="AG2" s="34">
        <v>46192.0</v>
      </c>
      <c r="AH2" s="34">
        <v>46193.0</v>
      </c>
      <c r="AI2" s="34">
        <v>46194.0</v>
      </c>
      <c r="AJ2" s="34">
        <v>46195.0</v>
      </c>
      <c r="AK2" s="34">
        <v>46196.0</v>
      </c>
      <c r="AL2" s="34">
        <v>46197.0</v>
      </c>
      <c r="AM2" s="34">
        <v>46198.0</v>
      </c>
      <c r="AN2" s="34">
        <v>46199.0</v>
      </c>
      <c r="AO2" s="34">
        <v>46200.0</v>
      </c>
      <c r="AP2" s="34">
        <v>46201.0</v>
      </c>
      <c r="AQ2" s="34">
        <v>46202.0</v>
      </c>
      <c r="AR2" s="34">
        <v>46203.0</v>
      </c>
      <c r="AS2" s="34">
        <v>46204.0</v>
      </c>
      <c r="AT2" s="34">
        <v>46205.0</v>
      </c>
      <c r="AU2" s="34">
        <v>46206.0</v>
      </c>
      <c r="AV2" s="34">
        <v>46207.0</v>
      </c>
      <c r="AW2" s="34">
        <v>46208.0</v>
      </c>
      <c r="AX2" s="34">
        <v>46209.0</v>
      </c>
      <c r="AY2" s="34">
        <v>46210.0</v>
      </c>
      <c r="AZ2" s="34">
        <v>46211.0</v>
      </c>
      <c r="BA2" s="34">
        <v>46212.0</v>
      </c>
      <c r="BB2" s="34">
        <v>46213.0</v>
      </c>
      <c r="BC2" s="34">
        <v>46214.0</v>
      </c>
      <c r="BD2" s="34">
        <v>46215.0</v>
      </c>
      <c r="BE2" s="34">
        <v>46216.0</v>
      </c>
      <c r="BF2" s="34">
        <v>46217.0</v>
      </c>
      <c r="BG2" s="34">
        <v>46218.0</v>
      </c>
      <c r="BH2" s="34">
        <v>46219.0</v>
      </c>
      <c r="BI2" s="34">
        <v>46220.0</v>
      </c>
      <c r="BJ2" s="34">
        <v>46221.0</v>
      </c>
      <c r="BK2" s="34">
        <v>46222.0</v>
      </c>
      <c r="BL2" s="34">
        <v>46223.0</v>
      </c>
      <c r="BM2" s="34">
        <v>46224.0</v>
      </c>
      <c r="BN2" s="34">
        <v>46225.0</v>
      </c>
      <c r="BO2" s="34">
        <v>46226.0</v>
      </c>
      <c r="BP2" s="34">
        <v>46227.0</v>
      </c>
      <c r="BQ2" s="34">
        <v>46228.0</v>
      </c>
      <c r="BR2" s="34">
        <v>46229.0</v>
      </c>
      <c r="BS2" s="34">
        <v>46230.0</v>
      </c>
      <c r="BT2" s="34">
        <v>46231.0</v>
      </c>
      <c r="BU2" s="34">
        <v>46232.0</v>
      </c>
      <c r="BV2" s="34">
        <v>46233.0</v>
      </c>
    </row>
    <row r="3">
      <c r="A3" s="37"/>
      <c r="B3" s="37"/>
      <c r="C3" s="37"/>
      <c r="D3" s="37"/>
      <c r="E3" s="37"/>
      <c r="F3" s="37"/>
      <c r="G3" s="37"/>
      <c r="H3" s="38" t="str">
        <f t="shared" ref="H3:BV3" si="1">TEXT(H2,"ddd")</f>
        <v>Mon</v>
      </c>
      <c r="I3" s="38" t="str">
        <f t="shared" si="1"/>
        <v>Tue</v>
      </c>
      <c r="J3" s="38" t="str">
        <f t="shared" si="1"/>
        <v>Wed</v>
      </c>
      <c r="K3" s="38" t="str">
        <f t="shared" si="1"/>
        <v>Thu</v>
      </c>
      <c r="L3" s="38" t="str">
        <f t="shared" si="1"/>
        <v>Fri</v>
      </c>
      <c r="M3" s="38" t="str">
        <f t="shared" si="1"/>
        <v>Sat</v>
      </c>
      <c r="N3" s="38" t="str">
        <f t="shared" si="1"/>
        <v>Sun</v>
      </c>
      <c r="O3" s="38" t="str">
        <f t="shared" si="1"/>
        <v>Mon</v>
      </c>
      <c r="P3" s="38" t="str">
        <f t="shared" si="1"/>
        <v>Tue</v>
      </c>
      <c r="Q3" s="38" t="str">
        <f t="shared" si="1"/>
        <v>Wed</v>
      </c>
      <c r="R3" s="38" t="str">
        <f t="shared" si="1"/>
        <v>Thu</v>
      </c>
      <c r="S3" s="38" t="str">
        <f t="shared" si="1"/>
        <v>Fri</v>
      </c>
      <c r="T3" s="38" t="str">
        <f t="shared" si="1"/>
        <v>Sat</v>
      </c>
      <c r="U3" s="38" t="str">
        <f t="shared" si="1"/>
        <v>Sun</v>
      </c>
      <c r="V3" s="38" t="str">
        <f t="shared" si="1"/>
        <v>Mon</v>
      </c>
      <c r="W3" s="38" t="str">
        <f t="shared" si="1"/>
        <v>Tue</v>
      </c>
      <c r="X3" s="38" t="str">
        <f t="shared" si="1"/>
        <v>Wed</v>
      </c>
      <c r="Y3" s="38" t="str">
        <f t="shared" si="1"/>
        <v>Thu</v>
      </c>
      <c r="Z3" s="38" t="str">
        <f t="shared" si="1"/>
        <v>Fri</v>
      </c>
      <c r="AA3" s="38" t="str">
        <f t="shared" si="1"/>
        <v>Sat</v>
      </c>
      <c r="AB3" s="38" t="str">
        <f t="shared" si="1"/>
        <v>Sun</v>
      </c>
      <c r="AC3" s="38" t="str">
        <f t="shared" si="1"/>
        <v>Mon</v>
      </c>
      <c r="AD3" s="38" t="str">
        <f t="shared" si="1"/>
        <v>Tue</v>
      </c>
      <c r="AE3" s="38" t="str">
        <f t="shared" si="1"/>
        <v>Wed</v>
      </c>
      <c r="AF3" s="38" t="str">
        <f t="shared" si="1"/>
        <v>Thu</v>
      </c>
      <c r="AG3" s="38" t="str">
        <f t="shared" si="1"/>
        <v>Fri</v>
      </c>
      <c r="AH3" s="38" t="str">
        <f t="shared" si="1"/>
        <v>Sat</v>
      </c>
      <c r="AI3" s="38" t="str">
        <f t="shared" si="1"/>
        <v>Sun</v>
      </c>
      <c r="AJ3" s="38" t="str">
        <f t="shared" si="1"/>
        <v>Mon</v>
      </c>
      <c r="AK3" s="38" t="str">
        <f t="shared" si="1"/>
        <v>Tue</v>
      </c>
      <c r="AL3" s="38" t="str">
        <f t="shared" si="1"/>
        <v>Wed</v>
      </c>
      <c r="AM3" s="38" t="str">
        <f t="shared" si="1"/>
        <v>Thu</v>
      </c>
      <c r="AN3" s="38" t="str">
        <f t="shared" si="1"/>
        <v>Fri</v>
      </c>
      <c r="AO3" s="38" t="str">
        <f t="shared" si="1"/>
        <v>Sat</v>
      </c>
      <c r="AP3" s="38" t="str">
        <f t="shared" si="1"/>
        <v>Sun</v>
      </c>
      <c r="AQ3" s="38" t="str">
        <f t="shared" si="1"/>
        <v>Mon</v>
      </c>
      <c r="AR3" s="38" t="str">
        <f t="shared" si="1"/>
        <v>Tue</v>
      </c>
      <c r="AS3" s="38" t="str">
        <f t="shared" si="1"/>
        <v>Wed</v>
      </c>
      <c r="AT3" s="38" t="str">
        <f t="shared" si="1"/>
        <v>Thu</v>
      </c>
      <c r="AU3" s="38" t="str">
        <f t="shared" si="1"/>
        <v>Fri</v>
      </c>
      <c r="AV3" s="38" t="str">
        <f t="shared" si="1"/>
        <v>Sat</v>
      </c>
      <c r="AW3" s="38" t="str">
        <f t="shared" si="1"/>
        <v>Sun</v>
      </c>
      <c r="AX3" s="38" t="str">
        <f t="shared" si="1"/>
        <v>Mon</v>
      </c>
      <c r="AY3" s="38" t="str">
        <f t="shared" si="1"/>
        <v>Tue</v>
      </c>
      <c r="AZ3" s="38" t="str">
        <f t="shared" si="1"/>
        <v>Wed</v>
      </c>
      <c r="BA3" s="38" t="str">
        <f t="shared" si="1"/>
        <v>Thu</v>
      </c>
      <c r="BB3" s="38" t="str">
        <f t="shared" si="1"/>
        <v>Fri</v>
      </c>
      <c r="BC3" s="38" t="str">
        <f t="shared" si="1"/>
        <v>Sat</v>
      </c>
      <c r="BD3" s="38" t="str">
        <f t="shared" si="1"/>
        <v>Sun</v>
      </c>
      <c r="BE3" s="38" t="str">
        <f t="shared" si="1"/>
        <v>Mon</v>
      </c>
      <c r="BF3" s="38" t="str">
        <f t="shared" si="1"/>
        <v>Tue</v>
      </c>
      <c r="BG3" s="38" t="str">
        <f t="shared" si="1"/>
        <v>Wed</v>
      </c>
      <c r="BH3" s="38" t="str">
        <f t="shared" si="1"/>
        <v>Thu</v>
      </c>
      <c r="BI3" s="38" t="str">
        <f t="shared" si="1"/>
        <v>Fri</v>
      </c>
      <c r="BJ3" s="38" t="str">
        <f t="shared" si="1"/>
        <v>Sat</v>
      </c>
      <c r="BK3" s="38" t="str">
        <f t="shared" si="1"/>
        <v>Sun</v>
      </c>
      <c r="BL3" s="38" t="str">
        <f t="shared" si="1"/>
        <v>Mon</v>
      </c>
      <c r="BM3" s="38" t="str">
        <f t="shared" si="1"/>
        <v>Tue</v>
      </c>
      <c r="BN3" s="38" t="str">
        <f t="shared" si="1"/>
        <v>Wed</v>
      </c>
      <c r="BO3" s="38" t="str">
        <f t="shared" si="1"/>
        <v>Thu</v>
      </c>
      <c r="BP3" s="38" t="str">
        <f t="shared" si="1"/>
        <v>Fri</v>
      </c>
      <c r="BQ3" s="38" t="str">
        <f t="shared" si="1"/>
        <v>Sat</v>
      </c>
      <c r="BR3" s="38" t="str">
        <f t="shared" si="1"/>
        <v>Sun</v>
      </c>
      <c r="BS3" s="38" t="str">
        <f t="shared" si="1"/>
        <v>Mon</v>
      </c>
      <c r="BT3" s="38" t="str">
        <f t="shared" si="1"/>
        <v>Tue</v>
      </c>
      <c r="BU3" s="38" t="str">
        <f t="shared" si="1"/>
        <v>Wed</v>
      </c>
      <c r="BV3" s="38" t="str">
        <f t="shared" si="1"/>
        <v>Thu</v>
      </c>
    </row>
    <row r="4">
      <c r="A4" s="44">
        <v>1.0</v>
      </c>
      <c r="B4" s="47" t="s">
        <v>101</v>
      </c>
      <c r="C4" s="48" t="s">
        <v>203</v>
      </c>
      <c r="D4" s="44">
        <f t="shared" ref="D4:D18" si="2">COUNTIF(H4:BV4,"p") + COUNTIF(H4:BV4,"op")</f>
        <v>42</v>
      </c>
      <c r="E4" s="44">
        <f t="shared" ref="E4:E18" si="3">COUNTIF(H4:BV4,"A") + COUNTIF(H4:BV4,"oA")</f>
        <v>1</v>
      </c>
      <c r="F4" s="44">
        <f t="shared" ref="F4:F18" si="4">E4+D4</f>
        <v>43</v>
      </c>
      <c r="G4" s="50">
        <f t="shared" ref="G4:G18" si="5">(D4/F4)*100</f>
        <v>97.6744186</v>
      </c>
      <c r="H4" s="51" t="s">
        <v>211</v>
      </c>
      <c r="I4" s="51" t="s">
        <v>211</v>
      </c>
      <c r="J4" s="51" t="s">
        <v>211</v>
      </c>
      <c r="K4" s="51" t="s">
        <v>211</v>
      </c>
      <c r="L4" s="51" t="s">
        <v>211</v>
      </c>
      <c r="M4" s="51" t="s">
        <v>211</v>
      </c>
      <c r="N4" s="52" t="s">
        <v>53</v>
      </c>
      <c r="O4" s="51" t="s">
        <v>211</v>
      </c>
      <c r="P4" s="51" t="s">
        <v>211</v>
      </c>
      <c r="Q4" s="51" t="s">
        <v>211</v>
      </c>
      <c r="R4" s="51" t="s">
        <v>217</v>
      </c>
      <c r="S4" s="51" t="s">
        <v>217</v>
      </c>
      <c r="T4" s="51" t="s">
        <v>211</v>
      </c>
      <c r="U4" s="52" t="s">
        <v>53</v>
      </c>
      <c r="V4" s="51" t="s">
        <v>211</v>
      </c>
      <c r="W4" s="51" t="s">
        <v>211</v>
      </c>
      <c r="X4" s="51" t="s">
        <v>211</v>
      </c>
      <c r="Y4" s="51" t="s">
        <v>211</v>
      </c>
      <c r="Z4" s="51" t="s">
        <v>211</v>
      </c>
      <c r="AA4" s="51" t="s">
        <v>211</v>
      </c>
      <c r="AB4" s="52" t="s">
        <v>53</v>
      </c>
      <c r="AC4" s="51" t="s">
        <v>134</v>
      </c>
      <c r="AD4" s="51" t="s">
        <v>211</v>
      </c>
      <c r="AE4" s="51" t="s">
        <v>211</v>
      </c>
      <c r="AF4" s="51" t="s">
        <v>211</v>
      </c>
      <c r="AG4" s="51" t="s">
        <v>211</v>
      </c>
      <c r="AH4" s="51" t="s">
        <v>211</v>
      </c>
      <c r="AI4" s="52" t="s">
        <v>53</v>
      </c>
      <c r="AJ4" s="51" t="s">
        <v>211</v>
      </c>
      <c r="AK4" s="51" t="s">
        <v>211</v>
      </c>
      <c r="AL4" s="51" t="s">
        <v>211</v>
      </c>
      <c r="AM4" s="51" t="s">
        <v>211</v>
      </c>
      <c r="AN4" s="51" t="s">
        <v>211</v>
      </c>
      <c r="AO4" s="51" t="s">
        <v>211</v>
      </c>
      <c r="AP4" s="52" t="s">
        <v>53</v>
      </c>
      <c r="AQ4" s="51" t="s">
        <v>211</v>
      </c>
      <c r="AR4" s="51" t="s">
        <v>211</v>
      </c>
      <c r="AS4" s="51" t="s">
        <v>211</v>
      </c>
      <c r="AT4" s="51" t="s">
        <v>211</v>
      </c>
      <c r="AU4" s="51" t="s">
        <v>211</v>
      </c>
      <c r="AV4" s="51" t="s">
        <v>211</v>
      </c>
      <c r="AW4" s="52" t="s">
        <v>53</v>
      </c>
      <c r="AX4" s="51" t="s">
        <v>211</v>
      </c>
      <c r="AY4" s="51" t="s">
        <v>211</v>
      </c>
      <c r="AZ4" s="51" t="s">
        <v>211</v>
      </c>
      <c r="BA4" s="51" t="s">
        <v>211</v>
      </c>
      <c r="BB4" s="51" t="s">
        <v>211</v>
      </c>
      <c r="BC4" s="51" t="s">
        <v>211</v>
      </c>
      <c r="BD4" s="52" t="s">
        <v>53</v>
      </c>
      <c r="BE4" s="51" t="s">
        <v>211</v>
      </c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</row>
    <row r="5">
      <c r="A5" s="44">
        <v>2.0</v>
      </c>
      <c r="B5" s="47" t="s">
        <v>89</v>
      </c>
      <c r="C5" s="48" t="s">
        <v>230</v>
      </c>
      <c r="D5" s="44">
        <f t="shared" si="2"/>
        <v>36</v>
      </c>
      <c r="E5" s="44">
        <f t="shared" si="3"/>
        <v>7</v>
      </c>
      <c r="F5" s="44">
        <f t="shared" si="4"/>
        <v>43</v>
      </c>
      <c r="G5" s="50">
        <f t="shared" si="5"/>
        <v>83.72093023</v>
      </c>
      <c r="H5" s="51" t="s">
        <v>211</v>
      </c>
      <c r="I5" s="51" t="s">
        <v>211</v>
      </c>
      <c r="J5" s="51" t="s">
        <v>211</v>
      </c>
      <c r="K5" s="51" t="s">
        <v>211</v>
      </c>
      <c r="L5" s="51" t="s">
        <v>211</v>
      </c>
      <c r="M5" s="51" t="s">
        <v>211</v>
      </c>
      <c r="N5" s="33"/>
      <c r="O5" s="51" t="s">
        <v>211</v>
      </c>
      <c r="P5" s="51" t="s">
        <v>211</v>
      </c>
      <c r="Q5" s="51" t="s">
        <v>211</v>
      </c>
      <c r="R5" s="51" t="s">
        <v>217</v>
      </c>
      <c r="S5" s="51" t="s">
        <v>217</v>
      </c>
      <c r="T5" s="51" t="s">
        <v>211</v>
      </c>
      <c r="U5" s="33"/>
      <c r="V5" s="51" t="s">
        <v>134</v>
      </c>
      <c r="W5" s="51" t="s">
        <v>134</v>
      </c>
      <c r="X5" s="51" t="s">
        <v>134</v>
      </c>
      <c r="Y5" s="51" t="s">
        <v>134</v>
      </c>
      <c r="Z5" s="51" t="s">
        <v>134</v>
      </c>
      <c r="AA5" s="51" t="s">
        <v>134</v>
      </c>
      <c r="AB5" s="33"/>
      <c r="AC5" s="51" t="s">
        <v>211</v>
      </c>
      <c r="AD5" s="51" t="s">
        <v>211</v>
      </c>
      <c r="AE5" s="51" t="s">
        <v>211</v>
      </c>
      <c r="AF5" s="51" t="s">
        <v>211</v>
      </c>
      <c r="AG5" s="51" t="s">
        <v>211</v>
      </c>
      <c r="AH5" s="51" t="s">
        <v>211</v>
      </c>
      <c r="AI5" s="33"/>
      <c r="AJ5" s="51" t="s">
        <v>211</v>
      </c>
      <c r="AK5" s="51" t="s">
        <v>211</v>
      </c>
      <c r="AL5" s="51" t="s">
        <v>211</v>
      </c>
      <c r="AM5" s="51" t="s">
        <v>211</v>
      </c>
      <c r="AN5" s="51" t="s">
        <v>211</v>
      </c>
      <c r="AO5" s="51" t="s">
        <v>211</v>
      </c>
      <c r="AP5" s="33"/>
      <c r="AQ5" s="51" t="s">
        <v>211</v>
      </c>
      <c r="AR5" s="51" t="s">
        <v>211</v>
      </c>
      <c r="AS5" s="51" t="s">
        <v>211</v>
      </c>
      <c r="AT5" s="51" t="s">
        <v>211</v>
      </c>
      <c r="AU5" s="51" t="s">
        <v>211</v>
      </c>
      <c r="AV5" s="51" t="s">
        <v>211</v>
      </c>
      <c r="AW5" s="33"/>
      <c r="AX5" s="51" t="s">
        <v>134</v>
      </c>
      <c r="AY5" s="51" t="s">
        <v>211</v>
      </c>
      <c r="AZ5" s="51" t="s">
        <v>211</v>
      </c>
      <c r="BA5" s="51" t="s">
        <v>211</v>
      </c>
      <c r="BB5" s="51" t="s">
        <v>211</v>
      </c>
      <c r="BC5" s="51" t="s">
        <v>211</v>
      </c>
      <c r="BD5" s="33"/>
      <c r="BE5" s="51" t="s">
        <v>211</v>
      </c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</row>
    <row r="6">
      <c r="A6" s="44">
        <v>3.0</v>
      </c>
      <c r="B6" s="47" t="s">
        <v>114</v>
      </c>
      <c r="C6" s="48" t="s">
        <v>232</v>
      </c>
      <c r="D6" s="44">
        <f t="shared" si="2"/>
        <v>42</v>
      </c>
      <c r="E6" s="44">
        <f t="shared" si="3"/>
        <v>1</v>
      </c>
      <c r="F6" s="44">
        <f t="shared" si="4"/>
        <v>43</v>
      </c>
      <c r="G6" s="50">
        <f t="shared" si="5"/>
        <v>97.6744186</v>
      </c>
      <c r="H6" s="51" t="s">
        <v>211</v>
      </c>
      <c r="I6" s="51" t="s">
        <v>211</v>
      </c>
      <c r="J6" s="51" t="s">
        <v>211</v>
      </c>
      <c r="K6" s="51" t="s">
        <v>134</v>
      </c>
      <c r="L6" s="51" t="s">
        <v>211</v>
      </c>
      <c r="M6" s="51" t="s">
        <v>211</v>
      </c>
      <c r="N6" s="33"/>
      <c r="O6" s="51" t="s">
        <v>211</v>
      </c>
      <c r="P6" s="51" t="s">
        <v>211</v>
      </c>
      <c r="Q6" s="51" t="s">
        <v>211</v>
      </c>
      <c r="R6" s="51" t="s">
        <v>217</v>
      </c>
      <c r="S6" s="51" t="s">
        <v>217</v>
      </c>
      <c r="T6" s="51" t="s">
        <v>211</v>
      </c>
      <c r="U6" s="33"/>
      <c r="V6" s="51" t="s">
        <v>211</v>
      </c>
      <c r="W6" s="51" t="s">
        <v>211</v>
      </c>
      <c r="X6" s="51" t="s">
        <v>211</v>
      </c>
      <c r="Y6" s="51" t="s">
        <v>211</v>
      </c>
      <c r="Z6" s="51" t="s">
        <v>211</v>
      </c>
      <c r="AA6" s="51" t="s">
        <v>211</v>
      </c>
      <c r="AB6" s="33"/>
      <c r="AC6" s="51" t="s">
        <v>211</v>
      </c>
      <c r="AD6" s="51" t="s">
        <v>211</v>
      </c>
      <c r="AE6" s="51" t="s">
        <v>211</v>
      </c>
      <c r="AF6" s="51" t="s">
        <v>211</v>
      </c>
      <c r="AG6" s="51" t="s">
        <v>211</v>
      </c>
      <c r="AH6" s="51" t="s">
        <v>211</v>
      </c>
      <c r="AI6" s="33"/>
      <c r="AJ6" s="51" t="s">
        <v>211</v>
      </c>
      <c r="AK6" s="51" t="s">
        <v>211</v>
      </c>
      <c r="AL6" s="51" t="s">
        <v>211</v>
      </c>
      <c r="AM6" s="51" t="s">
        <v>211</v>
      </c>
      <c r="AN6" s="51" t="s">
        <v>211</v>
      </c>
      <c r="AO6" s="51" t="s">
        <v>211</v>
      </c>
      <c r="AP6" s="33"/>
      <c r="AQ6" s="51" t="s">
        <v>211</v>
      </c>
      <c r="AR6" s="51" t="s">
        <v>211</v>
      </c>
      <c r="AS6" s="51" t="s">
        <v>211</v>
      </c>
      <c r="AT6" s="51" t="s">
        <v>211</v>
      </c>
      <c r="AU6" s="51" t="s">
        <v>211</v>
      </c>
      <c r="AV6" s="51" t="s">
        <v>211</v>
      </c>
      <c r="AW6" s="33"/>
      <c r="AX6" s="51" t="s">
        <v>211</v>
      </c>
      <c r="AY6" s="51" t="s">
        <v>211</v>
      </c>
      <c r="AZ6" s="51" t="s">
        <v>211</v>
      </c>
      <c r="BA6" s="51" t="s">
        <v>211</v>
      </c>
      <c r="BB6" s="51" t="s">
        <v>211</v>
      </c>
      <c r="BC6" s="51" t="s">
        <v>211</v>
      </c>
      <c r="BD6" s="33"/>
      <c r="BE6" s="51" t="s">
        <v>211</v>
      </c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</row>
    <row r="7">
      <c r="A7" s="44">
        <v>4.0</v>
      </c>
      <c r="B7" s="47" t="s">
        <v>166</v>
      </c>
      <c r="C7" s="48" t="s">
        <v>234</v>
      </c>
      <c r="D7" s="44">
        <f t="shared" si="2"/>
        <v>36</v>
      </c>
      <c r="E7" s="44">
        <f t="shared" si="3"/>
        <v>7</v>
      </c>
      <c r="F7" s="44">
        <f t="shared" si="4"/>
        <v>43</v>
      </c>
      <c r="G7" s="50">
        <f t="shared" si="5"/>
        <v>83.72093023</v>
      </c>
      <c r="H7" s="51" t="s">
        <v>134</v>
      </c>
      <c r="I7" s="51" t="s">
        <v>134</v>
      </c>
      <c r="J7" s="51" t="s">
        <v>134</v>
      </c>
      <c r="K7" s="51" t="s">
        <v>134</v>
      </c>
      <c r="L7" s="51" t="s">
        <v>211</v>
      </c>
      <c r="M7" s="51" t="s">
        <v>211</v>
      </c>
      <c r="N7" s="33"/>
      <c r="O7" s="51" t="s">
        <v>211</v>
      </c>
      <c r="P7" s="51" t="s">
        <v>211</v>
      </c>
      <c r="Q7" s="51" t="s">
        <v>134</v>
      </c>
      <c r="R7" s="51" t="s">
        <v>134</v>
      </c>
      <c r="S7" s="51" t="s">
        <v>211</v>
      </c>
      <c r="T7" s="51" t="s">
        <v>211</v>
      </c>
      <c r="U7" s="33"/>
      <c r="V7" s="51" t="s">
        <v>211</v>
      </c>
      <c r="W7" s="51" t="s">
        <v>211</v>
      </c>
      <c r="X7" s="51" t="s">
        <v>211</v>
      </c>
      <c r="Y7" s="51" t="s">
        <v>211</v>
      </c>
      <c r="Z7" s="51" t="s">
        <v>211</v>
      </c>
      <c r="AA7" s="51" t="s">
        <v>211</v>
      </c>
      <c r="AB7" s="33"/>
      <c r="AC7" s="51" t="s">
        <v>211</v>
      </c>
      <c r="AD7" s="51" t="s">
        <v>211</v>
      </c>
      <c r="AE7" s="51" t="s">
        <v>211</v>
      </c>
      <c r="AF7" s="51" t="s">
        <v>134</v>
      </c>
      <c r="AG7" s="51" t="s">
        <v>211</v>
      </c>
      <c r="AH7" s="51" t="s">
        <v>211</v>
      </c>
      <c r="AI7" s="33"/>
      <c r="AJ7" s="51" t="s">
        <v>211</v>
      </c>
      <c r="AK7" s="51" t="s">
        <v>211</v>
      </c>
      <c r="AL7" s="51" t="s">
        <v>211</v>
      </c>
      <c r="AM7" s="51" t="s">
        <v>211</v>
      </c>
      <c r="AN7" s="51" t="s">
        <v>211</v>
      </c>
      <c r="AO7" s="51" t="s">
        <v>211</v>
      </c>
      <c r="AP7" s="33"/>
      <c r="AQ7" s="51" t="s">
        <v>211</v>
      </c>
      <c r="AR7" s="51" t="s">
        <v>211</v>
      </c>
      <c r="AS7" s="51" t="s">
        <v>211</v>
      </c>
      <c r="AT7" s="51" t="s">
        <v>211</v>
      </c>
      <c r="AU7" s="51" t="s">
        <v>211</v>
      </c>
      <c r="AV7" s="51" t="s">
        <v>211</v>
      </c>
      <c r="AW7" s="33"/>
      <c r="AX7" s="51" t="s">
        <v>211</v>
      </c>
      <c r="AY7" s="51" t="s">
        <v>211</v>
      </c>
      <c r="AZ7" s="51" t="s">
        <v>211</v>
      </c>
      <c r="BA7" s="51" t="s">
        <v>211</v>
      </c>
      <c r="BB7" s="51" t="s">
        <v>211</v>
      </c>
      <c r="BC7" s="51" t="s">
        <v>211</v>
      </c>
      <c r="BD7" s="33"/>
      <c r="BE7" s="51" t="s">
        <v>211</v>
      </c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</row>
    <row r="8" ht="21.75" customHeight="1">
      <c r="A8" s="44">
        <v>5.0</v>
      </c>
      <c r="B8" s="47" t="s">
        <v>44</v>
      </c>
      <c r="C8" s="60" t="s">
        <v>236</v>
      </c>
      <c r="D8" s="44">
        <f t="shared" si="2"/>
        <v>33</v>
      </c>
      <c r="E8" s="44">
        <f t="shared" si="3"/>
        <v>10</v>
      </c>
      <c r="F8" s="44">
        <f t="shared" si="4"/>
        <v>43</v>
      </c>
      <c r="G8" s="50">
        <f t="shared" si="5"/>
        <v>76.74418605</v>
      </c>
      <c r="H8" s="51" t="s">
        <v>211</v>
      </c>
      <c r="I8" s="51" t="s">
        <v>211</v>
      </c>
      <c r="J8" s="51" t="s">
        <v>134</v>
      </c>
      <c r="K8" s="51" t="s">
        <v>211</v>
      </c>
      <c r="L8" s="51" t="s">
        <v>211</v>
      </c>
      <c r="M8" s="51" t="s">
        <v>211</v>
      </c>
      <c r="N8" s="33"/>
      <c r="O8" s="51" t="s">
        <v>211</v>
      </c>
      <c r="P8" s="51" t="s">
        <v>211</v>
      </c>
      <c r="Q8" s="51" t="s">
        <v>211</v>
      </c>
      <c r="R8" s="51" t="s">
        <v>134</v>
      </c>
      <c r="S8" s="51" t="s">
        <v>211</v>
      </c>
      <c r="T8" s="51" t="s">
        <v>211</v>
      </c>
      <c r="U8" s="33"/>
      <c r="V8" s="51" t="s">
        <v>211</v>
      </c>
      <c r="W8" s="51" t="s">
        <v>211</v>
      </c>
      <c r="X8" s="51" t="s">
        <v>211</v>
      </c>
      <c r="Y8" s="51" t="s">
        <v>211</v>
      </c>
      <c r="Z8" s="51" t="s">
        <v>211</v>
      </c>
      <c r="AA8" s="51" t="s">
        <v>211</v>
      </c>
      <c r="AB8" s="33"/>
      <c r="AC8" s="51" t="s">
        <v>211</v>
      </c>
      <c r="AD8" s="51" t="s">
        <v>134</v>
      </c>
      <c r="AE8" s="51" t="s">
        <v>134</v>
      </c>
      <c r="AF8" s="51" t="s">
        <v>211</v>
      </c>
      <c r="AG8" s="51" t="s">
        <v>211</v>
      </c>
      <c r="AH8" s="51" t="s">
        <v>211</v>
      </c>
      <c r="AI8" s="33"/>
      <c r="AJ8" s="51" t="s">
        <v>211</v>
      </c>
      <c r="AK8" s="51" t="s">
        <v>211</v>
      </c>
      <c r="AL8" s="51" t="s">
        <v>134</v>
      </c>
      <c r="AM8" s="51" t="s">
        <v>211</v>
      </c>
      <c r="AN8" s="51" t="s">
        <v>211</v>
      </c>
      <c r="AO8" s="51" t="s">
        <v>211</v>
      </c>
      <c r="AP8" s="33"/>
      <c r="AQ8" s="51" t="s">
        <v>211</v>
      </c>
      <c r="AR8" s="51" t="s">
        <v>211</v>
      </c>
      <c r="AS8" s="51" t="s">
        <v>211</v>
      </c>
      <c r="AT8" s="51" t="s">
        <v>134</v>
      </c>
      <c r="AU8" s="51" t="s">
        <v>211</v>
      </c>
      <c r="AV8" s="51" t="s">
        <v>211</v>
      </c>
      <c r="AW8" s="33"/>
      <c r="AX8" s="51" t="s">
        <v>134</v>
      </c>
      <c r="AY8" s="51" t="s">
        <v>211</v>
      </c>
      <c r="AZ8" s="51" t="s">
        <v>211</v>
      </c>
      <c r="BA8" s="51" t="s">
        <v>134</v>
      </c>
      <c r="BB8" s="51" t="s">
        <v>134</v>
      </c>
      <c r="BC8" s="51" t="s">
        <v>211</v>
      </c>
      <c r="BD8" s="33"/>
      <c r="BE8" s="51" t="s">
        <v>134</v>
      </c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</row>
    <row r="9">
      <c r="A9" s="44">
        <v>6.0</v>
      </c>
      <c r="B9" s="47" t="s">
        <v>192</v>
      </c>
      <c r="C9" s="48" t="s">
        <v>194</v>
      </c>
      <c r="D9" s="44">
        <f t="shared" si="2"/>
        <v>1</v>
      </c>
      <c r="E9" s="44">
        <f t="shared" si="3"/>
        <v>30</v>
      </c>
      <c r="F9" s="44">
        <f t="shared" si="4"/>
        <v>31</v>
      </c>
      <c r="G9" s="50">
        <f t="shared" si="5"/>
        <v>3.225806452</v>
      </c>
      <c r="H9" s="61"/>
      <c r="I9" s="61"/>
      <c r="J9" s="61"/>
      <c r="K9" s="61"/>
      <c r="L9" s="61"/>
      <c r="M9" s="61"/>
      <c r="N9" s="33"/>
      <c r="O9" s="61"/>
      <c r="P9" s="61"/>
      <c r="Q9" s="61"/>
      <c r="R9" s="61"/>
      <c r="S9" s="61"/>
      <c r="T9" s="61"/>
      <c r="U9" s="33"/>
      <c r="V9" s="41" t="s">
        <v>134</v>
      </c>
      <c r="W9" s="41" t="s">
        <v>134</v>
      </c>
      <c r="X9" s="41" t="s">
        <v>134</v>
      </c>
      <c r="Y9" s="41" t="s">
        <v>134</v>
      </c>
      <c r="Z9" s="41" t="s">
        <v>134</v>
      </c>
      <c r="AA9" s="41" t="s">
        <v>134</v>
      </c>
      <c r="AB9" s="33"/>
      <c r="AC9" s="41" t="s">
        <v>134</v>
      </c>
      <c r="AD9" s="41" t="s">
        <v>134</v>
      </c>
      <c r="AE9" s="41" t="s">
        <v>134</v>
      </c>
      <c r="AF9" s="41" t="s">
        <v>134</v>
      </c>
      <c r="AG9" s="41" t="s">
        <v>134</v>
      </c>
      <c r="AH9" s="41" t="s">
        <v>134</v>
      </c>
      <c r="AI9" s="33"/>
      <c r="AJ9" s="41" t="s">
        <v>211</v>
      </c>
      <c r="AK9" s="41" t="s">
        <v>134</v>
      </c>
      <c r="AL9" s="41" t="s">
        <v>134</v>
      </c>
      <c r="AM9" s="41" t="s">
        <v>134</v>
      </c>
      <c r="AN9" s="41" t="s">
        <v>134</v>
      </c>
      <c r="AO9" s="41" t="s">
        <v>134</v>
      </c>
      <c r="AP9" s="33"/>
      <c r="AQ9" s="41" t="s">
        <v>134</v>
      </c>
      <c r="AR9" s="41" t="s">
        <v>134</v>
      </c>
      <c r="AS9" s="41" t="s">
        <v>134</v>
      </c>
      <c r="AT9" s="41" t="s">
        <v>134</v>
      </c>
      <c r="AU9" s="41" t="s">
        <v>134</v>
      </c>
      <c r="AV9" s="41" t="s">
        <v>134</v>
      </c>
      <c r="AW9" s="33"/>
      <c r="AX9" s="41" t="s">
        <v>134</v>
      </c>
      <c r="AY9" s="41" t="s">
        <v>134</v>
      </c>
      <c r="AZ9" s="41" t="s">
        <v>134</v>
      </c>
      <c r="BA9" s="41" t="s">
        <v>134</v>
      </c>
      <c r="BB9" s="41" t="s">
        <v>134</v>
      </c>
      <c r="BC9" s="41" t="s">
        <v>134</v>
      </c>
      <c r="BD9" s="33"/>
      <c r="BE9" s="41" t="s">
        <v>134</v>
      </c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</row>
    <row r="10">
      <c r="A10" s="44">
        <v>7.0</v>
      </c>
      <c r="B10" s="47" t="s">
        <v>140</v>
      </c>
      <c r="C10" s="48" t="s">
        <v>239</v>
      </c>
      <c r="D10" s="44">
        <f t="shared" si="2"/>
        <v>17</v>
      </c>
      <c r="E10" s="44">
        <f t="shared" si="3"/>
        <v>26</v>
      </c>
      <c r="F10" s="44">
        <f t="shared" si="4"/>
        <v>43</v>
      </c>
      <c r="G10" s="50">
        <f t="shared" si="5"/>
        <v>39.53488372</v>
      </c>
      <c r="H10" s="51" t="s">
        <v>134</v>
      </c>
      <c r="I10" s="51" t="s">
        <v>134</v>
      </c>
      <c r="J10" s="51" t="s">
        <v>134</v>
      </c>
      <c r="K10" s="51" t="s">
        <v>134</v>
      </c>
      <c r="L10" s="51" t="s">
        <v>211</v>
      </c>
      <c r="M10" s="51" t="s">
        <v>134</v>
      </c>
      <c r="N10" s="33"/>
      <c r="O10" s="51" t="s">
        <v>134</v>
      </c>
      <c r="P10" s="51" t="s">
        <v>134</v>
      </c>
      <c r="Q10" s="51" t="s">
        <v>134</v>
      </c>
      <c r="R10" s="51" t="s">
        <v>134</v>
      </c>
      <c r="S10" s="51" t="s">
        <v>134</v>
      </c>
      <c r="T10" s="51" t="s">
        <v>134</v>
      </c>
      <c r="U10" s="33"/>
      <c r="V10" s="51" t="s">
        <v>134</v>
      </c>
      <c r="W10" s="51" t="s">
        <v>134</v>
      </c>
      <c r="X10" s="51" t="s">
        <v>134</v>
      </c>
      <c r="Y10" s="51" t="s">
        <v>134</v>
      </c>
      <c r="Z10" s="51" t="s">
        <v>211</v>
      </c>
      <c r="AA10" s="51" t="s">
        <v>211</v>
      </c>
      <c r="AB10" s="33"/>
      <c r="AC10" s="51" t="s">
        <v>211</v>
      </c>
      <c r="AD10" s="51" t="s">
        <v>211</v>
      </c>
      <c r="AE10" s="51" t="s">
        <v>211</v>
      </c>
      <c r="AF10" s="51" t="s">
        <v>134</v>
      </c>
      <c r="AG10" s="51" t="s">
        <v>211</v>
      </c>
      <c r="AH10" s="51" t="s">
        <v>211</v>
      </c>
      <c r="AI10" s="33"/>
      <c r="AJ10" s="51" t="s">
        <v>134</v>
      </c>
      <c r="AK10" s="51" t="s">
        <v>211</v>
      </c>
      <c r="AL10" s="51" t="s">
        <v>211</v>
      </c>
      <c r="AM10" s="51" t="s">
        <v>134</v>
      </c>
      <c r="AN10" s="51" t="s">
        <v>211</v>
      </c>
      <c r="AO10" s="51" t="s">
        <v>211</v>
      </c>
      <c r="AP10" s="33"/>
      <c r="AQ10" s="51" t="s">
        <v>211</v>
      </c>
      <c r="AR10" s="51" t="s">
        <v>211</v>
      </c>
      <c r="AS10" s="51" t="s">
        <v>211</v>
      </c>
      <c r="AT10" s="51" t="s">
        <v>134</v>
      </c>
      <c r="AU10" s="51" t="s">
        <v>211</v>
      </c>
      <c r="AV10" s="51" t="s">
        <v>211</v>
      </c>
      <c r="AW10" s="33"/>
      <c r="AX10" s="51" t="s">
        <v>134</v>
      </c>
      <c r="AY10" s="51" t="s">
        <v>134</v>
      </c>
      <c r="AZ10" s="51" t="s">
        <v>134</v>
      </c>
      <c r="BA10" s="51" t="s">
        <v>134</v>
      </c>
      <c r="BB10" s="51" t="s">
        <v>134</v>
      </c>
      <c r="BC10" s="51" t="s">
        <v>134</v>
      </c>
      <c r="BD10" s="33"/>
      <c r="BE10" s="51" t="s">
        <v>134</v>
      </c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</row>
    <row r="11">
      <c r="A11" s="44">
        <v>8.0</v>
      </c>
      <c r="B11" s="47" t="s">
        <v>159</v>
      </c>
      <c r="C11" s="48" t="s">
        <v>241</v>
      </c>
      <c r="D11" s="44">
        <f t="shared" si="2"/>
        <v>23</v>
      </c>
      <c r="E11" s="44">
        <f t="shared" si="3"/>
        <v>20</v>
      </c>
      <c r="F11" s="44">
        <f t="shared" si="4"/>
        <v>43</v>
      </c>
      <c r="G11" s="50">
        <f t="shared" si="5"/>
        <v>53.48837209</v>
      </c>
      <c r="H11" s="51" t="s">
        <v>134</v>
      </c>
      <c r="I11" s="51" t="s">
        <v>134</v>
      </c>
      <c r="J11" s="51" t="s">
        <v>134</v>
      </c>
      <c r="K11" s="51" t="s">
        <v>134</v>
      </c>
      <c r="L11" s="51" t="s">
        <v>134</v>
      </c>
      <c r="M11" s="51" t="s">
        <v>211</v>
      </c>
      <c r="N11" s="33"/>
      <c r="O11" s="51" t="s">
        <v>134</v>
      </c>
      <c r="P11" s="51" t="s">
        <v>211</v>
      </c>
      <c r="Q11" s="51" t="s">
        <v>211</v>
      </c>
      <c r="R11" s="51" t="s">
        <v>134</v>
      </c>
      <c r="S11" s="51" t="s">
        <v>211</v>
      </c>
      <c r="T11" s="51" t="s">
        <v>211</v>
      </c>
      <c r="U11" s="33"/>
      <c r="V11" s="51" t="s">
        <v>134</v>
      </c>
      <c r="W11" s="51" t="s">
        <v>211</v>
      </c>
      <c r="X11" s="51" t="s">
        <v>211</v>
      </c>
      <c r="Y11" s="51" t="s">
        <v>211</v>
      </c>
      <c r="Z11" s="51" t="s">
        <v>211</v>
      </c>
      <c r="AA11" s="51" t="s">
        <v>211</v>
      </c>
      <c r="AB11" s="33"/>
      <c r="AC11" s="51" t="s">
        <v>134</v>
      </c>
      <c r="AD11" s="51" t="s">
        <v>211</v>
      </c>
      <c r="AE11" s="51" t="s">
        <v>211</v>
      </c>
      <c r="AF11" s="51" t="s">
        <v>211</v>
      </c>
      <c r="AG11" s="51" t="s">
        <v>211</v>
      </c>
      <c r="AH11" s="51" t="s">
        <v>211</v>
      </c>
      <c r="AI11" s="33"/>
      <c r="AJ11" s="51" t="s">
        <v>211</v>
      </c>
      <c r="AK11" s="51" t="s">
        <v>211</v>
      </c>
      <c r="AL11" s="51" t="s">
        <v>211</v>
      </c>
      <c r="AM11" s="51" t="s">
        <v>134</v>
      </c>
      <c r="AN11" s="51" t="s">
        <v>211</v>
      </c>
      <c r="AO11" s="51" t="s">
        <v>211</v>
      </c>
      <c r="AP11" s="33"/>
      <c r="AQ11" s="51" t="s">
        <v>134</v>
      </c>
      <c r="AR11" s="51" t="s">
        <v>211</v>
      </c>
      <c r="AS11" s="51" t="s">
        <v>211</v>
      </c>
      <c r="AT11" s="51" t="s">
        <v>134</v>
      </c>
      <c r="AU11" s="51" t="s">
        <v>211</v>
      </c>
      <c r="AV11" s="51" t="s">
        <v>134</v>
      </c>
      <c r="AW11" s="33"/>
      <c r="AX11" s="51" t="s">
        <v>134</v>
      </c>
      <c r="AY11" s="51" t="s">
        <v>134</v>
      </c>
      <c r="AZ11" s="51" t="s">
        <v>134</v>
      </c>
      <c r="BA11" s="51" t="s">
        <v>134</v>
      </c>
      <c r="BB11" s="51" t="s">
        <v>134</v>
      </c>
      <c r="BC11" s="51" t="s">
        <v>134</v>
      </c>
      <c r="BD11" s="33"/>
      <c r="BE11" s="51" t="s">
        <v>134</v>
      </c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</row>
    <row r="12">
      <c r="A12" s="44">
        <v>9.0</v>
      </c>
      <c r="B12" s="47" t="s">
        <v>186</v>
      </c>
      <c r="C12" s="48" t="s">
        <v>187</v>
      </c>
      <c r="D12" s="44">
        <f t="shared" si="2"/>
        <v>20</v>
      </c>
      <c r="E12" s="44">
        <f t="shared" si="3"/>
        <v>12</v>
      </c>
      <c r="F12" s="44">
        <f t="shared" si="4"/>
        <v>32</v>
      </c>
      <c r="G12" s="50">
        <f t="shared" si="5"/>
        <v>62.5</v>
      </c>
      <c r="H12" s="61"/>
      <c r="I12" s="61"/>
      <c r="J12" s="61"/>
      <c r="K12" s="61"/>
      <c r="L12" s="61"/>
      <c r="M12" s="61"/>
      <c r="N12" s="33"/>
      <c r="O12" s="61"/>
      <c r="P12" s="61"/>
      <c r="Q12" s="61"/>
      <c r="R12" s="61"/>
      <c r="S12" s="61"/>
      <c r="T12" s="41" t="s">
        <v>211</v>
      </c>
      <c r="U12" s="33"/>
      <c r="V12" s="41" t="s">
        <v>134</v>
      </c>
      <c r="W12" s="41" t="s">
        <v>134</v>
      </c>
      <c r="X12" s="41" t="s">
        <v>134</v>
      </c>
      <c r="Y12" s="41" t="s">
        <v>134</v>
      </c>
      <c r="Z12" s="41" t="s">
        <v>134</v>
      </c>
      <c r="AA12" s="41" t="s">
        <v>134</v>
      </c>
      <c r="AB12" s="33"/>
      <c r="AC12" s="41" t="s">
        <v>211</v>
      </c>
      <c r="AD12" s="41" t="s">
        <v>211</v>
      </c>
      <c r="AE12" s="41" t="s">
        <v>211</v>
      </c>
      <c r="AF12" s="41" t="s">
        <v>211</v>
      </c>
      <c r="AG12" s="41" t="s">
        <v>211</v>
      </c>
      <c r="AH12" s="41" t="s">
        <v>211</v>
      </c>
      <c r="AI12" s="33"/>
      <c r="AJ12" s="41" t="s">
        <v>211</v>
      </c>
      <c r="AK12" s="41" t="s">
        <v>134</v>
      </c>
      <c r="AL12" s="41" t="s">
        <v>211</v>
      </c>
      <c r="AM12" s="41" t="s">
        <v>211</v>
      </c>
      <c r="AN12" s="41" t="s">
        <v>211</v>
      </c>
      <c r="AO12" s="41" t="s">
        <v>211</v>
      </c>
      <c r="AP12" s="33"/>
      <c r="AQ12" s="41" t="s">
        <v>134</v>
      </c>
      <c r="AR12" s="41" t="s">
        <v>134</v>
      </c>
      <c r="AS12" s="41" t="s">
        <v>134</v>
      </c>
      <c r="AT12" s="41" t="s">
        <v>134</v>
      </c>
      <c r="AU12" s="41" t="s">
        <v>211</v>
      </c>
      <c r="AV12" s="41" t="s">
        <v>134</v>
      </c>
      <c r="AW12" s="33"/>
      <c r="AX12" s="41" t="s">
        <v>211</v>
      </c>
      <c r="AY12" s="41" t="s">
        <v>211</v>
      </c>
      <c r="AZ12" s="41" t="s">
        <v>211</v>
      </c>
      <c r="BA12" s="41" t="s">
        <v>211</v>
      </c>
      <c r="BB12" s="41" t="s">
        <v>211</v>
      </c>
      <c r="BC12" s="41" t="s">
        <v>211</v>
      </c>
      <c r="BD12" s="33"/>
      <c r="BE12" s="41" t="s">
        <v>211</v>
      </c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</row>
    <row r="13">
      <c r="A13" s="44">
        <v>10.0</v>
      </c>
      <c r="B13" s="47" t="s">
        <v>78</v>
      </c>
      <c r="C13" s="62" t="s">
        <v>244</v>
      </c>
      <c r="D13" s="44">
        <f t="shared" si="2"/>
        <v>28</v>
      </c>
      <c r="E13" s="44">
        <f t="shared" si="3"/>
        <v>15</v>
      </c>
      <c r="F13" s="44">
        <f t="shared" si="4"/>
        <v>43</v>
      </c>
      <c r="G13" s="50">
        <f t="shared" si="5"/>
        <v>65.11627907</v>
      </c>
      <c r="H13" s="51" t="s">
        <v>211</v>
      </c>
      <c r="I13" s="51" t="s">
        <v>211</v>
      </c>
      <c r="J13" s="51" t="s">
        <v>211</v>
      </c>
      <c r="K13" s="51" t="s">
        <v>134</v>
      </c>
      <c r="L13" s="51" t="s">
        <v>211</v>
      </c>
      <c r="M13" s="51" t="s">
        <v>134</v>
      </c>
      <c r="N13" s="33"/>
      <c r="O13" s="51" t="s">
        <v>211</v>
      </c>
      <c r="P13" s="51" t="s">
        <v>211</v>
      </c>
      <c r="Q13" s="51" t="s">
        <v>211</v>
      </c>
      <c r="R13" s="51" t="s">
        <v>211</v>
      </c>
      <c r="S13" s="51" t="s">
        <v>211</v>
      </c>
      <c r="T13" s="51" t="s">
        <v>211</v>
      </c>
      <c r="U13" s="33"/>
      <c r="V13" s="51" t="s">
        <v>211</v>
      </c>
      <c r="W13" s="51" t="s">
        <v>211</v>
      </c>
      <c r="X13" s="51" t="s">
        <v>211</v>
      </c>
      <c r="Y13" s="51" t="s">
        <v>134</v>
      </c>
      <c r="Z13" s="51" t="s">
        <v>134</v>
      </c>
      <c r="AA13" s="51" t="s">
        <v>134</v>
      </c>
      <c r="AB13" s="33"/>
      <c r="AC13" s="51" t="s">
        <v>211</v>
      </c>
      <c r="AD13" s="51" t="s">
        <v>134</v>
      </c>
      <c r="AE13" s="51" t="s">
        <v>211</v>
      </c>
      <c r="AF13" s="51" t="s">
        <v>211</v>
      </c>
      <c r="AG13" s="51" t="s">
        <v>134</v>
      </c>
      <c r="AH13" s="51" t="s">
        <v>134</v>
      </c>
      <c r="AI13" s="33"/>
      <c r="AJ13" s="51" t="s">
        <v>211</v>
      </c>
      <c r="AK13" s="51" t="s">
        <v>134</v>
      </c>
      <c r="AL13" s="51" t="s">
        <v>211</v>
      </c>
      <c r="AM13" s="51" t="s">
        <v>211</v>
      </c>
      <c r="AN13" s="51" t="s">
        <v>211</v>
      </c>
      <c r="AO13" s="51" t="s">
        <v>211</v>
      </c>
      <c r="AP13" s="33"/>
      <c r="AQ13" s="51" t="s">
        <v>134</v>
      </c>
      <c r="AR13" s="51" t="s">
        <v>134</v>
      </c>
      <c r="AS13" s="51" t="s">
        <v>134</v>
      </c>
      <c r="AT13" s="51" t="s">
        <v>211</v>
      </c>
      <c r="AU13" s="51" t="s">
        <v>134</v>
      </c>
      <c r="AV13" s="51" t="s">
        <v>211</v>
      </c>
      <c r="AW13" s="33"/>
      <c r="AX13" s="51" t="s">
        <v>134</v>
      </c>
      <c r="AY13" s="51" t="s">
        <v>211</v>
      </c>
      <c r="AZ13" s="51" t="s">
        <v>134</v>
      </c>
      <c r="BA13" s="51" t="s">
        <v>211</v>
      </c>
      <c r="BB13" s="51" t="s">
        <v>211</v>
      </c>
      <c r="BC13" s="51" t="s">
        <v>211</v>
      </c>
      <c r="BD13" s="33"/>
      <c r="BE13" s="51" t="s">
        <v>211</v>
      </c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</row>
    <row r="14">
      <c r="A14" s="44">
        <v>11.0</v>
      </c>
      <c r="B14" s="47" t="s">
        <v>124</v>
      </c>
      <c r="C14" s="48" t="s">
        <v>246</v>
      </c>
      <c r="D14" s="44">
        <f t="shared" si="2"/>
        <v>0</v>
      </c>
      <c r="E14" s="44">
        <f t="shared" si="3"/>
        <v>43</v>
      </c>
      <c r="F14" s="44">
        <f t="shared" si="4"/>
        <v>43</v>
      </c>
      <c r="G14" s="50">
        <f t="shared" si="5"/>
        <v>0</v>
      </c>
      <c r="H14" s="51" t="s">
        <v>134</v>
      </c>
      <c r="I14" s="51" t="s">
        <v>134</v>
      </c>
      <c r="J14" s="51" t="s">
        <v>134</v>
      </c>
      <c r="K14" s="51" t="s">
        <v>134</v>
      </c>
      <c r="L14" s="51" t="s">
        <v>134</v>
      </c>
      <c r="M14" s="51" t="s">
        <v>134</v>
      </c>
      <c r="N14" s="33"/>
      <c r="O14" s="51" t="s">
        <v>134</v>
      </c>
      <c r="P14" s="51" t="s">
        <v>134</v>
      </c>
      <c r="Q14" s="51" t="s">
        <v>134</v>
      </c>
      <c r="R14" s="51" t="s">
        <v>134</v>
      </c>
      <c r="S14" s="51" t="s">
        <v>134</v>
      </c>
      <c r="T14" s="51" t="s">
        <v>134</v>
      </c>
      <c r="U14" s="33"/>
      <c r="V14" s="51" t="s">
        <v>134</v>
      </c>
      <c r="W14" s="51" t="s">
        <v>134</v>
      </c>
      <c r="X14" s="51" t="s">
        <v>134</v>
      </c>
      <c r="Y14" s="51" t="s">
        <v>134</v>
      </c>
      <c r="Z14" s="51" t="s">
        <v>134</v>
      </c>
      <c r="AA14" s="51" t="s">
        <v>134</v>
      </c>
      <c r="AB14" s="33"/>
      <c r="AC14" s="51" t="s">
        <v>134</v>
      </c>
      <c r="AD14" s="51" t="s">
        <v>134</v>
      </c>
      <c r="AE14" s="51" t="s">
        <v>134</v>
      </c>
      <c r="AF14" s="51" t="s">
        <v>134</v>
      </c>
      <c r="AG14" s="51" t="s">
        <v>134</v>
      </c>
      <c r="AH14" s="51" t="s">
        <v>134</v>
      </c>
      <c r="AI14" s="33"/>
      <c r="AJ14" s="51" t="s">
        <v>134</v>
      </c>
      <c r="AK14" s="51" t="s">
        <v>134</v>
      </c>
      <c r="AL14" s="51" t="s">
        <v>134</v>
      </c>
      <c r="AM14" s="51" t="s">
        <v>134</v>
      </c>
      <c r="AN14" s="51" t="s">
        <v>134</v>
      </c>
      <c r="AO14" s="51" t="s">
        <v>134</v>
      </c>
      <c r="AP14" s="33"/>
      <c r="AQ14" s="51" t="s">
        <v>134</v>
      </c>
      <c r="AR14" s="51" t="s">
        <v>134</v>
      </c>
      <c r="AS14" s="51" t="s">
        <v>134</v>
      </c>
      <c r="AT14" s="51" t="s">
        <v>134</v>
      </c>
      <c r="AU14" s="51" t="s">
        <v>134</v>
      </c>
      <c r="AV14" s="51" t="s">
        <v>134</v>
      </c>
      <c r="AW14" s="33"/>
      <c r="AX14" s="51" t="s">
        <v>134</v>
      </c>
      <c r="AY14" s="51" t="s">
        <v>134</v>
      </c>
      <c r="AZ14" s="51" t="s">
        <v>134</v>
      </c>
      <c r="BA14" s="51" t="s">
        <v>134</v>
      </c>
      <c r="BB14" s="51" t="s">
        <v>134</v>
      </c>
      <c r="BC14" s="51" t="s">
        <v>134</v>
      </c>
      <c r="BD14" s="33"/>
      <c r="BE14" s="51" t="s">
        <v>134</v>
      </c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</row>
    <row r="15">
      <c r="A15" s="44">
        <v>12.0</v>
      </c>
      <c r="B15" s="47" t="s">
        <v>177</v>
      </c>
      <c r="C15" s="48" t="s">
        <v>179</v>
      </c>
      <c r="D15" s="44">
        <f t="shared" si="2"/>
        <v>22</v>
      </c>
      <c r="E15" s="44">
        <f t="shared" si="3"/>
        <v>14</v>
      </c>
      <c r="F15" s="44">
        <f t="shared" si="4"/>
        <v>36</v>
      </c>
      <c r="G15" s="50">
        <f t="shared" si="5"/>
        <v>61.11111111</v>
      </c>
      <c r="H15" s="61"/>
      <c r="I15" s="61"/>
      <c r="J15" s="61"/>
      <c r="K15" s="61"/>
      <c r="L15" s="61"/>
      <c r="M15" s="61"/>
      <c r="N15" s="33"/>
      <c r="O15" s="61"/>
      <c r="P15" s="41" t="s">
        <v>211</v>
      </c>
      <c r="Q15" s="41" t="s">
        <v>134</v>
      </c>
      <c r="R15" s="41" t="s">
        <v>134</v>
      </c>
      <c r="S15" s="41" t="s">
        <v>134</v>
      </c>
      <c r="T15" s="41" t="s">
        <v>211</v>
      </c>
      <c r="U15" s="33"/>
      <c r="V15" s="41" t="s">
        <v>134</v>
      </c>
      <c r="W15" s="41" t="s">
        <v>211</v>
      </c>
      <c r="X15" s="41" t="s">
        <v>211</v>
      </c>
      <c r="Y15" s="41" t="s">
        <v>134</v>
      </c>
      <c r="Z15" s="41" t="s">
        <v>134</v>
      </c>
      <c r="AA15" s="41" t="s">
        <v>134</v>
      </c>
      <c r="AB15" s="33"/>
      <c r="AC15" s="41" t="s">
        <v>134</v>
      </c>
      <c r="AD15" s="41" t="s">
        <v>134</v>
      </c>
      <c r="AE15" s="41" t="s">
        <v>134</v>
      </c>
      <c r="AF15" s="41" t="s">
        <v>134</v>
      </c>
      <c r="AG15" s="41" t="s">
        <v>211</v>
      </c>
      <c r="AH15" s="41" t="s">
        <v>211</v>
      </c>
      <c r="AI15" s="33"/>
      <c r="AJ15" s="41" t="s">
        <v>211</v>
      </c>
      <c r="AK15" s="41" t="s">
        <v>211</v>
      </c>
      <c r="AL15" s="41" t="s">
        <v>211</v>
      </c>
      <c r="AM15" s="41" t="s">
        <v>134</v>
      </c>
      <c r="AN15" s="41" t="s">
        <v>211</v>
      </c>
      <c r="AO15" s="41" t="s">
        <v>134</v>
      </c>
      <c r="AP15" s="33"/>
      <c r="AQ15" s="41" t="s">
        <v>211</v>
      </c>
      <c r="AR15" s="41" t="s">
        <v>211</v>
      </c>
      <c r="AS15" s="41" t="s">
        <v>211</v>
      </c>
      <c r="AT15" s="41" t="s">
        <v>134</v>
      </c>
      <c r="AU15" s="41" t="s">
        <v>211</v>
      </c>
      <c r="AV15" s="41" t="s">
        <v>211</v>
      </c>
      <c r="AW15" s="33"/>
      <c r="AX15" s="41" t="s">
        <v>211</v>
      </c>
      <c r="AY15" s="41" t="s">
        <v>211</v>
      </c>
      <c r="AZ15" s="41" t="s">
        <v>211</v>
      </c>
      <c r="BA15" s="41" t="s">
        <v>211</v>
      </c>
      <c r="BB15" s="41" t="s">
        <v>211</v>
      </c>
      <c r="BC15" s="41" t="s">
        <v>211</v>
      </c>
      <c r="BD15" s="33"/>
      <c r="BE15" s="41" t="s">
        <v>211</v>
      </c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</row>
    <row r="16">
      <c r="A16" s="44">
        <v>13.0</v>
      </c>
      <c r="B16" s="47" t="s">
        <v>69</v>
      </c>
      <c r="C16" s="62" t="s">
        <v>250</v>
      </c>
      <c r="D16" s="44">
        <f t="shared" si="2"/>
        <v>39</v>
      </c>
      <c r="E16" s="44">
        <f t="shared" si="3"/>
        <v>4</v>
      </c>
      <c r="F16" s="44">
        <f t="shared" si="4"/>
        <v>43</v>
      </c>
      <c r="G16" s="63">
        <f t="shared" si="5"/>
        <v>90.69767442</v>
      </c>
      <c r="H16" s="51" t="s">
        <v>211</v>
      </c>
      <c r="I16" s="51" t="s">
        <v>211</v>
      </c>
      <c r="J16" s="51" t="s">
        <v>211</v>
      </c>
      <c r="K16" s="51" t="s">
        <v>134</v>
      </c>
      <c r="L16" s="51" t="s">
        <v>211</v>
      </c>
      <c r="M16" s="51" t="s">
        <v>211</v>
      </c>
      <c r="N16" s="33"/>
      <c r="O16" s="51" t="s">
        <v>211</v>
      </c>
      <c r="P16" s="51" t="s">
        <v>211</v>
      </c>
      <c r="Q16" s="51" t="s">
        <v>211</v>
      </c>
      <c r="R16" s="51" t="s">
        <v>211</v>
      </c>
      <c r="S16" s="51" t="s">
        <v>211</v>
      </c>
      <c r="T16" s="51" t="s">
        <v>211</v>
      </c>
      <c r="U16" s="33"/>
      <c r="V16" s="51" t="s">
        <v>211</v>
      </c>
      <c r="W16" s="51" t="s">
        <v>211</v>
      </c>
      <c r="X16" s="51" t="s">
        <v>211</v>
      </c>
      <c r="Y16" s="51" t="s">
        <v>211</v>
      </c>
      <c r="Z16" s="51" t="s">
        <v>211</v>
      </c>
      <c r="AA16" s="51" t="s">
        <v>211</v>
      </c>
      <c r="AB16" s="33"/>
      <c r="AC16" s="51" t="s">
        <v>211</v>
      </c>
      <c r="AD16" s="51" t="s">
        <v>211</v>
      </c>
      <c r="AE16" s="51" t="s">
        <v>211</v>
      </c>
      <c r="AF16" s="51" t="s">
        <v>211</v>
      </c>
      <c r="AG16" s="51" t="s">
        <v>211</v>
      </c>
      <c r="AH16" s="51" t="s">
        <v>211</v>
      </c>
      <c r="AI16" s="33"/>
      <c r="AJ16" s="51" t="s">
        <v>134</v>
      </c>
      <c r="AK16" s="51" t="s">
        <v>211</v>
      </c>
      <c r="AL16" s="51" t="s">
        <v>211</v>
      </c>
      <c r="AM16" s="51" t="s">
        <v>211</v>
      </c>
      <c r="AN16" s="51" t="s">
        <v>134</v>
      </c>
      <c r="AO16" s="51" t="s">
        <v>211</v>
      </c>
      <c r="AP16" s="33"/>
      <c r="AQ16" s="51" t="s">
        <v>134</v>
      </c>
      <c r="AR16" s="51" t="s">
        <v>211</v>
      </c>
      <c r="AS16" s="51" t="s">
        <v>211</v>
      </c>
      <c r="AT16" s="51" t="s">
        <v>211</v>
      </c>
      <c r="AU16" s="51" t="s">
        <v>211</v>
      </c>
      <c r="AV16" s="51" t="s">
        <v>211</v>
      </c>
      <c r="AW16" s="33"/>
      <c r="AX16" s="51" t="s">
        <v>211</v>
      </c>
      <c r="AY16" s="51" t="s">
        <v>211</v>
      </c>
      <c r="AZ16" s="51" t="s">
        <v>211</v>
      </c>
      <c r="BA16" s="51" t="s">
        <v>211</v>
      </c>
      <c r="BB16" s="51" t="s">
        <v>211</v>
      </c>
      <c r="BC16" s="51" t="s">
        <v>211</v>
      </c>
      <c r="BD16" s="33"/>
      <c r="BE16" s="51" t="s">
        <v>211</v>
      </c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</row>
    <row r="17">
      <c r="A17" s="44">
        <v>14.0</v>
      </c>
      <c r="B17" s="48" t="s">
        <v>151</v>
      </c>
      <c r="C17" s="48" t="s">
        <v>252</v>
      </c>
      <c r="D17" s="44">
        <f t="shared" si="2"/>
        <v>32</v>
      </c>
      <c r="E17" s="44">
        <f t="shared" si="3"/>
        <v>11</v>
      </c>
      <c r="F17" s="64">
        <f t="shared" si="4"/>
        <v>43</v>
      </c>
      <c r="G17" s="50">
        <f t="shared" si="5"/>
        <v>74.41860465</v>
      </c>
      <c r="H17" s="65" t="s">
        <v>134</v>
      </c>
      <c r="I17" s="51" t="s">
        <v>134</v>
      </c>
      <c r="J17" s="51" t="s">
        <v>211</v>
      </c>
      <c r="K17" s="51" t="s">
        <v>134</v>
      </c>
      <c r="L17" s="51" t="s">
        <v>211</v>
      </c>
      <c r="M17" s="51" t="s">
        <v>211</v>
      </c>
      <c r="N17" s="33"/>
      <c r="O17" s="51" t="s">
        <v>211</v>
      </c>
      <c r="P17" s="51" t="s">
        <v>211</v>
      </c>
      <c r="Q17" s="51" t="s">
        <v>211</v>
      </c>
      <c r="R17" s="51" t="s">
        <v>134</v>
      </c>
      <c r="S17" s="51" t="s">
        <v>134</v>
      </c>
      <c r="T17" s="51" t="s">
        <v>211</v>
      </c>
      <c r="U17" s="33"/>
      <c r="V17" s="51" t="s">
        <v>211</v>
      </c>
      <c r="W17" s="51" t="s">
        <v>134</v>
      </c>
      <c r="X17" s="51" t="s">
        <v>211</v>
      </c>
      <c r="Y17" s="51" t="s">
        <v>211</v>
      </c>
      <c r="Z17" s="51" t="s">
        <v>211</v>
      </c>
      <c r="AA17" s="51" t="s">
        <v>134</v>
      </c>
      <c r="AB17" s="33"/>
      <c r="AC17" s="51" t="s">
        <v>211</v>
      </c>
      <c r="AD17" s="51" t="s">
        <v>211</v>
      </c>
      <c r="AE17" s="51" t="s">
        <v>211</v>
      </c>
      <c r="AF17" s="51" t="s">
        <v>211</v>
      </c>
      <c r="AG17" s="51" t="s">
        <v>211</v>
      </c>
      <c r="AH17" s="51" t="s">
        <v>211</v>
      </c>
      <c r="AI17" s="33"/>
      <c r="AJ17" s="51" t="s">
        <v>134</v>
      </c>
      <c r="AK17" s="51" t="s">
        <v>211</v>
      </c>
      <c r="AL17" s="51" t="s">
        <v>211</v>
      </c>
      <c r="AM17" s="51" t="s">
        <v>134</v>
      </c>
      <c r="AN17" s="51" t="s">
        <v>211</v>
      </c>
      <c r="AO17" s="51" t="s">
        <v>211</v>
      </c>
      <c r="AP17" s="33"/>
      <c r="AQ17" s="51" t="s">
        <v>211</v>
      </c>
      <c r="AR17" s="51" t="s">
        <v>211</v>
      </c>
      <c r="AS17" s="51" t="s">
        <v>211</v>
      </c>
      <c r="AT17" s="51" t="s">
        <v>134</v>
      </c>
      <c r="AU17" s="51" t="s">
        <v>211</v>
      </c>
      <c r="AV17" s="51" t="s">
        <v>211</v>
      </c>
      <c r="AW17" s="33"/>
      <c r="AX17" s="51" t="s">
        <v>134</v>
      </c>
      <c r="AY17" s="51" t="s">
        <v>211</v>
      </c>
      <c r="AZ17" s="51" t="s">
        <v>211</v>
      </c>
      <c r="BA17" s="51" t="s">
        <v>211</v>
      </c>
      <c r="BB17" s="51" t="s">
        <v>211</v>
      </c>
      <c r="BC17" s="51" t="s">
        <v>211</v>
      </c>
      <c r="BD17" s="33"/>
      <c r="BE17" s="51" t="s">
        <v>211</v>
      </c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</row>
    <row r="18">
      <c r="A18" s="44">
        <v>15.0</v>
      </c>
      <c r="B18" s="45" t="s">
        <v>199</v>
      </c>
      <c r="C18" s="46" t="s">
        <v>201</v>
      </c>
      <c r="D18" s="44">
        <f t="shared" si="2"/>
        <v>0</v>
      </c>
      <c r="E18" s="44">
        <f t="shared" si="3"/>
        <v>26</v>
      </c>
      <c r="F18" s="64">
        <f t="shared" si="4"/>
        <v>26</v>
      </c>
      <c r="G18" s="50">
        <f t="shared" si="5"/>
        <v>0</v>
      </c>
      <c r="H18" s="66" t="s">
        <v>471</v>
      </c>
      <c r="I18" s="66" t="s">
        <v>471</v>
      </c>
      <c r="J18" s="66" t="s">
        <v>471</v>
      </c>
      <c r="K18" s="66" t="s">
        <v>471</v>
      </c>
      <c r="L18" s="66" t="s">
        <v>471</v>
      </c>
      <c r="M18" s="66" t="s">
        <v>471</v>
      </c>
      <c r="N18" s="33"/>
      <c r="O18" s="66" t="s">
        <v>471</v>
      </c>
      <c r="P18" s="66" t="s">
        <v>471</v>
      </c>
      <c r="Q18" s="66" t="s">
        <v>471</v>
      </c>
      <c r="R18" s="66" t="s">
        <v>471</v>
      </c>
      <c r="S18" s="66" t="s">
        <v>471</v>
      </c>
      <c r="T18" s="66" t="s">
        <v>471</v>
      </c>
      <c r="U18" s="33"/>
      <c r="V18" s="41" t="s">
        <v>471</v>
      </c>
      <c r="W18" s="41" t="s">
        <v>471</v>
      </c>
      <c r="X18" s="41" t="s">
        <v>471</v>
      </c>
      <c r="Y18" s="41" t="s">
        <v>471</v>
      </c>
      <c r="Z18" s="41" t="s">
        <v>471</v>
      </c>
      <c r="AA18" s="51" t="s">
        <v>134</v>
      </c>
      <c r="AB18" s="33"/>
      <c r="AC18" s="51" t="s">
        <v>134</v>
      </c>
      <c r="AD18" s="51" t="s">
        <v>134</v>
      </c>
      <c r="AE18" s="51" t="s">
        <v>134</v>
      </c>
      <c r="AF18" s="51" t="s">
        <v>134</v>
      </c>
      <c r="AG18" s="51" t="s">
        <v>134</v>
      </c>
      <c r="AH18" s="51" t="s">
        <v>134</v>
      </c>
      <c r="AI18" s="33"/>
      <c r="AJ18" s="51" t="s">
        <v>134</v>
      </c>
      <c r="AK18" s="51" t="s">
        <v>134</v>
      </c>
      <c r="AL18" s="51" t="s">
        <v>134</v>
      </c>
      <c r="AM18" s="51" t="s">
        <v>134</v>
      </c>
      <c r="AN18" s="51" t="s">
        <v>134</v>
      </c>
      <c r="AO18" s="51" t="s">
        <v>134</v>
      </c>
      <c r="AP18" s="33"/>
      <c r="AQ18" s="51" t="s">
        <v>134</v>
      </c>
      <c r="AR18" s="51" t="s">
        <v>134</v>
      </c>
      <c r="AS18" s="51" t="s">
        <v>134</v>
      </c>
      <c r="AT18" s="51" t="s">
        <v>134</v>
      </c>
      <c r="AU18" s="41" t="s">
        <v>134</v>
      </c>
      <c r="AV18" s="41" t="s">
        <v>134</v>
      </c>
      <c r="AW18" s="33"/>
      <c r="AX18" s="41" t="s">
        <v>134</v>
      </c>
      <c r="AY18" s="41" t="s">
        <v>134</v>
      </c>
      <c r="AZ18" s="41" t="s">
        <v>134</v>
      </c>
      <c r="BA18" s="41" t="s">
        <v>134</v>
      </c>
      <c r="BB18" s="41" t="s">
        <v>134</v>
      </c>
      <c r="BC18" s="41" t="s">
        <v>134</v>
      </c>
      <c r="BD18" s="33"/>
      <c r="BE18" s="41" t="s">
        <v>134</v>
      </c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</row>
    <row r="19">
      <c r="A19" s="44"/>
      <c r="B19" s="35"/>
      <c r="C19" s="35"/>
      <c r="D19" s="35"/>
      <c r="E19" s="35"/>
      <c r="F19" s="67"/>
      <c r="G19" s="50"/>
      <c r="H19" s="68"/>
      <c r="I19" s="49"/>
      <c r="J19" s="49"/>
      <c r="K19" s="49"/>
      <c r="L19" s="49"/>
      <c r="M19" s="49"/>
      <c r="N19" s="33"/>
      <c r="O19" s="49"/>
      <c r="P19" s="49"/>
      <c r="Q19" s="49"/>
      <c r="R19" s="49"/>
      <c r="S19" s="49"/>
      <c r="T19" s="49"/>
      <c r="U19" s="33"/>
      <c r="V19" s="49"/>
      <c r="W19" s="49"/>
      <c r="X19" s="49"/>
      <c r="Y19" s="49"/>
      <c r="Z19" s="49"/>
      <c r="AA19" s="49"/>
      <c r="AB19" s="33"/>
      <c r="AC19" s="49"/>
      <c r="AD19" s="49"/>
      <c r="AE19" s="49"/>
      <c r="AF19" s="49"/>
      <c r="AG19" s="49"/>
      <c r="AH19" s="49"/>
      <c r="AI19" s="33"/>
      <c r="AJ19" s="49"/>
      <c r="AK19" s="49"/>
      <c r="AL19" s="49"/>
      <c r="AM19" s="49"/>
      <c r="AN19" s="49"/>
      <c r="AO19" s="49"/>
      <c r="AP19" s="33"/>
      <c r="AQ19" s="49"/>
      <c r="AR19" s="49"/>
      <c r="AS19" s="49"/>
      <c r="AT19" s="49"/>
      <c r="AU19" s="49"/>
      <c r="AV19" s="49"/>
      <c r="AW19" s="33"/>
      <c r="AX19" s="49"/>
      <c r="AY19" s="49"/>
      <c r="AZ19" s="49"/>
      <c r="BA19" s="49"/>
      <c r="BB19" s="49"/>
      <c r="BC19" s="49"/>
      <c r="BD19" s="33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</row>
    <row r="20">
      <c r="A20" s="35"/>
      <c r="B20" s="35"/>
      <c r="C20" s="35"/>
      <c r="D20" s="35"/>
      <c r="E20" s="35"/>
      <c r="F20" s="67"/>
      <c r="G20" s="50"/>
      <c r="H20" s="68"/>
      <c r="I20" s="49"/>
      <c r="J20" s="49"/>
      <c r="K20" s="49"/>
      <c r="L20" s="49"/>
      <c r="M20" s="49"/>
      <c r="N20" s="37"/>
      <c r="O20" s="49"/>
      <c r="P20" s="49"/>
      <c r="Q20" s="49"/>
      <c r="R20" s="49"/>
      <c r="S20" s="49"/>
      <c r="T20" s="49"/>
      <c r="U20" s="37"/>
      <c r="V20" s="49"/>
      <c r="W20" s="49"/>
      <c r="X20" s="49"/>
      <c r="Y20" s="49"/>
      <c r="Z20" s="49"/>
      <c r="AA20" s="49"/>
      <c r="AB20" s="37"/>
      <c r="AC20" s="49"/>
      <c r="AD20" s="49"/>
      <c r="AE20" s="49"/>
      <c r="AF20" s="49"/>
      <c r="AG20" s="49"/>
      <c r="AH20" s="49"/>
      <c r="AI20" s="37"/>
      <c r="AJ20" s="49"/>
      <c r="AK20" s="49"/>
      <c r="AL20" s="49"/>
      <c r="AM20" s="49"/>
      <c r="AN20" s="49"/>
      <c r="AO20" s="49"/>
      <c r="AP20" s="37"/>
      <c r="AQ20" s="49"/>
      <c r="AR20" s="49"/>
      <c r="AS20" s="49"/>
      <c r="AT20" s="49"/>
      <c r="AU20" s="49"/>
      <c r="AV20" s="49"/>
      <c r="AW20" s="37"/>
      <c r="AX20" s="49"/>
      <c r="AY20" s="49"/>
      <c r="AZ20" s="49"/>
      <c r="BA20" s="49"/>
      <c r="BB20" s="49"/>
      <c r="BC20" s="49"/>
      <c r="BD20" s="37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</row>
    <row r="21">
      <c r="F21" s="69"/>
      <c r="G21" s="70"/>
    </row>
    <row r="22">
      <c r="F22" s="69"/>
      <c r="G22" s="70"/>
    </row>
    <row r="23">
      <c r="F23" s="69"/>
      <c r="G23" s="70"/>
    </row>
    <row r="24">
      <c r="F24" s="69"/>
      <c r="G24" s="70"/>
    </row>
    <row r="25">
      <c r="F25" s="69"/>
      <c r="G25" s="70"/>
    </row>
    <row r="26">
      <c r="F26" s="69"/>
      <c r="G26" s="70"/>
    </row>
    <row r="27">
      <c r="F27" s="69"/>
      <c r="G27" s="70"/>
    </row>
    <row r="28">
      <c r="F28" s="69"/>
      <c r="G28" s="70"/>
    </row>
    <row r="29">
      <c r="F29" s="69"/>
      <c r="G29" s="70"/>
    </row>
    <row r="30">
      <c r="F30" s="69"/>
      <c r="G30" s="70"/>
    </row>
    <row r="31">
      <c r="F31" s="69"/>
      <c r="G31" s="70"/>
    </row>
    <row r="32">
      <c r="F32" s="69"/>
      <c r="G32" s="70"/>
    </row>
    <row r="33">
      <c r="F33" s="69"/>
      <c r="G33" s="70"/>
    </row>
    <row r="34">
      <c r="F34" s="69"/>
      <c r="G34" s="70"/>
    </row>
    <row r="35">
      <c r="F35" s="69"/>
      <c r="G35" s="70"/>
    </row>
    <row r="36">
      <c r="F36" s="69"/>
      <c r="G36" s="70"/>
    </row>
    <row r="37">
      <c r="F37" s="69"/>
      <c r="G37" s="70"/>
    </row>
    <row r="38">
      <c r="F38" s="69"/>
      <c r="G38" s="70"/>
    </row>
    <row r="39">
      <c r="F39" s="69"/>
      <c r="G39" s="70"/>
    </row>
    <row r="40">
      <c r="F40" s="69"/>
      <c r="G40" s="70"/>
    </row>
    <row r="41">
      <c r="F41" s="69"/>
      <c r="G41" s="70"/>
    </row>
    <row r="42">
      <c r="F42" s="69"/>
      <c r="G42" s="70"/>
    </row>
    <row r="43">
      <c r="F43" s="69"/>
      <c r="G43" s="70"/>
    </row>
    <row r="44">
      <c r="F44" s="69"/>
      <c r="G44" s="70"/>
    </row>
    <row r="45">
      <c r="F45" s="69"/>
      <c r="G45" s="70"/>
    </row>
    <row r="46">
      <c r="F46" s="69"/>
    </row>
    <row r="47">
      <c r="F47" s="69"/>
    </row>
    <row r="48">
      <c r="F48" s="69"/>
    </row>
    <row r="49">
      <c r="F49" s="69"/>
    </row>
    <row r="50">
      <c r="F50" s="69"/>
    </row>
    <row r="51">
      <c r="F51" s="69"/>
    </row>
    <row r="52">
      <c r="F52" s="69"/>
    </row>
    <row r="53">
      <c r="F53" s="69"/>
    </row>
    <row r="54">
      <c r="F54" s="69"/>
    </row>
    <row r="55">
      <c r="F55" s="69"/>
    </row>
    <row r="56">
      <c r="F56" s="69"/>
    </row>
    <row r="57">
      <c r="F57" s="69"/>
    </row>
    <row r="58">
      <c r="F58" s="69"/>
    </row>
    <row r="59">
      <c r="F59" s="69"/>
    </row>
    <row r="60">
      <c r="F60" s="69"/>
    </row>
    <row r="61">
      <c r="F61" s="69"/>
    </row>
    <row r="62">
      <c r="F62" s="69"/>
    </row>
    <row r="63">
      <c r="F63" s="69"/>
    </row>
    <row r="64">
      <c r="F64" s="69"/>
    </row>
    <row r="65">
      <c r="F65" s="69"/>
    </row>
    <row r="66">
      <c r="F66" s="69"/>
    </row>
    <row r="67">
      <c r="F67" s="69"/>
    </row>
    <row r="68">
      <c r="F68" s="69"/>
    </row>
    <row r="69">
      <c r="F69" s="69"/>
    </row>
    <row r="70">
      <c r="F70" s="69"/>
    </row>
    <row r="71">
      <c r="F71" s="69"/>
    </row>
    <row r="72">
      <c r="F72" s="69"/>
    </row>
    <row r="73">
      <c r="F73" s="69"/>
    </row>
    <row r="74">
      <c r="F74" s="69"/>
    </row>
    <row r="75">
      <c r="F75" s="69"/>
    </row>
    <row r="76">
      <c r="F76" s="69"/>
    </row>
    <row r="77">
      <c r="F77" s="69"/>
    </row>
    <row r="78">
      <c r="F78" s="69"/>
    </row>
    <row r="79">
      <c r="F79" s="69"/>
    </row>
    <row r="80">
      <c r="F80" s="69"/>
    </row>
    <row r="81">
      <c r="F81" s="69"/>
    </row>
    <row r="82">
      <c r="F82" s="69"/>
    </row>
    <row r="83">
      <c r="F83" s="69"/>
    </row>
    <row r="84">
      <c r="F84" s="69"/>
    </row>
    <row r="85">
      <c r="F85" s="69"/>
    </row>
    <row r="86">
      <c r="F86" s="69"/>
    </row>
    <row r="87">
      <c r="F87" s="69"/>
    </row>
    <row r="88">
      <c r="F88" s="69"/>
    </row>
    <row r="89">
      <c r="F89" s="69"/>
    </row>
    <row r="90">
      <c r="F90" s="69"/>
    </row>
    <row r="91">
      <c r="F91" s="69"/>
    </row>
    <row r="92">
      <c r="F92" s="69"/>
    </row>
    <row r="93">
      <c r="F93" s="69"/>
    </row>
    <row r="94">
      <c r="F94" s="69"/>
    </row>
    <row r="95">
      <c r="F95" s="69"/>
    </row>
    <row r="96">
      <c r="F96" s="69"/>
    </row>
    <row r="97">
      <c r="F97" s="69"/>
    </row>
    <row r="98">
      <c r="F98" s="69"/>
    </row>
    <row r="99">
      <c r="F99" s="69"/>
    </row>
    <row r="100">
      <c r="F100" s="69"/>
    </row>
    <row r="101">
      <c r="F101" s="69"/>
    </row>
    <row r="102">
      <c r="F102" s="69"/>
    </row>
    <row r="103">
      <c r="F103" s="69"/>
    </row>
    <row r="104">
      <c r="F104" s="69"/>
    </row>
    <row r="105">
      <c r="F105" s="69"/>
    </row>
    <row r="106">
      <c r="F106" s="69"/>
    </row>
    <row r="107">
      <c r="F107" s="69"/>
    </row>
    <row r="108">
      <c r="F108" s="69"/>
    </row>
    <row r="109">
      <c r="F109" s="69"/>
    </row>
    <row r="110">
      <c r="F110" s="69"/>
    </row>
    <row r="111">
      <c r="F111" s="69"/>
    </row>
    <row r="112">
      <c r="F112" s="69"/>
    </row>
    <row r="113">
      <c r="F113" s="69"/>
    </row>
    <row r="114">
      <c r="F114" s="69"/>
    </row>
    <row r="115">
      <c r="F115" s="69"/>
    </row>
    <row r="116">
      <c r="F116" s="69"/>
    </row>
    <row r="117">
      <c r="F117" s="69"/>
    </row>
    <row r="118">
      <c r="F118" s="69"/>
    </row>
    <row r="119">
      <c r="F119" s="69"/>
    </row>
    <row r="120">
      <c r="F120" s="69"/>
    </row>
    <row r="121">
      <c r="F121" s="69"/>
    </row>
    <row r="122">
      <c r="F122" s="69"/>
    </row>
    <row r="123">
      <c r="F123" s="69"/>
    </row>
    <row r="124">
      <c r="F124" s="69"/>
    </row>
    <row r="125">
      <c r="F125" s="69"/>
    </row>
    <row r="126">
      <c r="F126" s="69"/>
    </row>
    <row r="127">
      <c r="F127" s="69"/>
    </row>
    <row r="128">
      <c r="F128" s="69"/>
    </row>
    <row r="129">
      <c r="F129" s="69"/>
    </row>
    <row r="130">
      <c r="F130" s="69"/>
    </row>
    <row r="131">
      <c r="F131" s="69"/>
    </row>
    <row r="132">
      <c r="F132" s="69"/>
    </row>
    <row r="133">
      <c r="F133" s="69"/>
    </row>
    <row r="134">
      <c r="F134" s="69"/>
    </row>
    <row r="135">
      <c r="F135" s="69"/>
    </row>
    <row r="136">
      <c r="F136" s="69"/>
    </row>
    <row r="137">
      <c r="F137" s="69"/>
    </row>
    <row r="138">
      <c r="F138" s="69"/>
    </row>
    <row r="139">
      <c r="F139" s="69"/>
    </row>
    <row r="140">
      <c r="F140" s="69"/>
    </row>
    <row r="141">
      <c r="F141" s="69"/>
    </row>
    <row r="142">
      <c r="F142" s="69"/>
    </row>
    <row r="143">
      <c r="F143" s="69"/>
    </row>
    <row r="144">
      <c r="F144" s="69"/>
    </row>
    <row r="145">
      <c r="F145" s="69"/>
    </row>
    <row r="146">
      <c r="F146" s="69"/>
    </row>
    <row r="147">
      <c r="F147" s="69"/>
    </row>
    <row r="148">
      <c r="F148" s="69"/>
    </row>
    <row r="149">
      <c r="F149" s="69"/>
    </row>
    <row r="150">
      <c r="F150" s="69"/>
    </row>
    <row r="151">
      <c r="F151" s="69"/>
    </row>
    <row r="152">
      <c r="F152" s="69"/>
    </row>
    <row r="153">
      <c r="F153" s="69"/>
    </row>
    <row r="154">
      <c r="F154" s="69"/>
    </row>
    <row r="155">
      <c r="F155" s="69"/>
    </row>
    <row r="156">
      <c r="F156" s="69"/>
    </row>
    <row r="157">
      <c r="F157" s="69"/>
    </row>
    <row r="158">
      <c r="F158" s="69"/>
    </row>
    <row r="159">
      <c r="F159" s="69"/>
    </row>
    <row r="160">
      <c r="F160" s="69"/>
    </row>
    <row r="161">
      <c r="F161" s="69"/>
    </row>
    <row r="162">
      <c r="F162" s="69"/>
    </row>
    <row r="163">
      <c r="F163" s="69"/>
    </row>
    <row r="164">
      <c r="F164" s="69"/>
    </row>
    <row r="165">
      <c r="F165" s="69"/>
    </row>
    <row r="166">
      <c r="F166" s="69"/>
    </row>
    <row r="167">
      <c r="F167" s="69"/>
    </row>
    <row r="168">
      <c r="F168" s="69"/>
    </row>
    <row r="169">
      <c r="F169" s="69"/>
    </row>
    <row r="170">
      <c r="F170" s="69"/>
    </row>
    <row r="171">
      <c r="F171" s="69"/>
    </row>
    <row r="172">
      <c r="F172" s="69"/>
    </row>
    <row r="173">
      <c r="F173" s="69"/>
    </row>
    <row r="174">
      <c r="F174" s="69"/>
    </row>
    <row r="175">
      <c r="F175" s="69"/>
    </row>
    <row r="176">
      <c r="F176" s="69"/>
    </row>
    <row r="177">
      <c r="F177" s="69"/>
    </row>
    <row r="178">
      <c r="F178" s="69"/>
    </row>
    <row r="179">
      <c r="F179" s="69"/>
    </row>
    <row r="180">
      <c r="F180" s="69"/>
    </row>
    <row r="181">
      <c r="F181" s="69"/>
    </row>
    <row r="182">
      <c r="F182" s="69"/>
    </row>
    <row r="183">
      <c r="F183" s="69"/>
    </row>
    <row r="184">
      <c r="F184" s="69"/>
    </row>
    <row r="185">
      <c r="F185" s="69"/>
    </row>
    <row r="186">
      <c r="F186" s="69"/>
    </row>
    <row r="187">
      <c r="F187" s="69"/>
    </row>
    <row r="188">
      <c r="F188" s="69"/>
    </row>
    <row r="189">
      <c r="F189" s="69"/>
    </row>
    <row r="190">
      <c r="F190" s="69"/>
    </row>
    <row r="191">
      <c r="F191" s="69"/>
    </row>
    <row r="192">
      <c r="F192" s="69"/>
    </row>
    <row r="193">
      <c r="F193" s="69"/>
    </row>
    <row r="194">
      <c r="F194" s="69"/>
    </row>
    <row r="195">
      <c r="F195" s="69"/>
    </row>
    <row r="196">
      <c r="F196" s="69"/>
    </row>
    <row r="197">
      <c r="F197" s="69"/>
    </row>
    <row r="198">
      <c r="F198" s="69"/>
    </row>
    <row r="199">
      <c r="F199" s="69"/>
    </row>
    <row r="200">
      <c r="F200" s="69"/>
    </row>
    <row r="201">
      <c r="F201" s="69"/>
    </row>
    <row r="202">
      <c r="F202" s="69"/>
    </row>
    <row r="203">
      <c r="F203" s="69"/>
    </row>
    <row r="204">
      <c r="F204" s="69"/>
    </row>
    <row r="205">
      <c r="F205" s="69"/>
    </row>
    <row r="206">
      <c r="F206" s="69"/>
    </row>
    <row r="207">
      <c r="F207" s="69"/>
    </row>
    <row r="208">
      <c r="F208" s="69"/>
    </row>
    <row r="209">
      <c r="F209" s="69"/>
    </row>
    <row r="210">
      <c r="F210" s="69"/>
    </row>
    <row r="211">
      <c r="F211" s="69"/>
    </row>
    <row r="212">
      <c r="F212" s="69"/>
    </row>
    <row r="213">
      <c r="F213" s="69"/>
    </row>
    <row r="214">
      <c r="F214" s="69"/>
    </row>
    <row r="215">
      <c r="F215" s="69"/>
    </row>
    <row r="216">
      <c r="F216" s="69"/>
    </row>
    <row r="217">
      <c r="F217" s="69"/>
    </row>
    <row r="218">
      <c r="F218" s="69"/>
    </row>
    <row r="219">
      <c r="F219" s="69"/>
    </row>
    <row r="220">
      <c r="F220" s="69"/>
    </row>
    <row r="221">
      <c r="F221" s="69"/>
    </row>
    <row r="222">
      <c r="F222" s="69"/>
    </row>
    <row r="223">
      <c r="F223" s="69"/>
    </row>
    <row r="224">
      <c r="F224" s="69"/>
    </row>
    <row r="225">
      <c r="F225" s="69"/>
    </row>
    <row r="226">
      <c r="F226" s="69"/>
    </row>
    <row r="227">
      <c r="F227" s="69"/>
    </row>
    <row r="228">
      <c r="F228" s="69"/>
    </row>
    <row r="229">
      <c r="F229" s="69"/>
    </row>
    <row r="230">
      <c r="F230" s="69"/>
    </row>
    <row r="231">
      <c r="F231" s="69"/>
    </row>
    <row r="232">
      <c r="F232" s="69"/>
    </row>
    <row r="233">
      <c r="F233" s="69"/>
    </row>
    <row r="234">
      <c r="F234" s="69"/>
    </row>
    <row r="235">
      <c r="F235" s="69"/>
    </row>
    <row r="236">
      <c r="F236" s="69"/>
    </row>
    <row r="237">
      <c r="F237" s="69"/>
    </row>
    <row r="238">
      <c r="F238" s="69"/>
    </row>
    <row r="239">
      <c r="F239" s="69"/>
    </row>
    <row r="240">
      <c r="F240" s="69"/>
    </row>
    <row r="241">
      <c r="F241" s="69"/>
    </row>
    <row r="242">
      <c r="F242" s="69"/>
    </row>
    <row r="243">
      <c r="F243" s="69"/>
    </row>
    <row r="244">
      <c r="F244" s="69"/>
    </row>
    <row r="245">
      <c r="F245" s="69"/>
    </row>
    <row r="246">
      <c r="F246" s="69"/>
    </row>
    <row r="247">
      <c r="F247" s="69"/>
    </row>
    <row r="248">
      <c r="F248" s="69"/>
    </row>
    <row r="249">
      <c r="F249" s="69"/>
    </row>
    <row r="250">
      <c r="F250" s="69"/>
    </row>
    <row r="251">
      <c r="F251" s="69"/>
    </row>
    <row r="252">
      <c r="F252" s="69"/>
    </row>
    <row r="253">
      <c r="F253" s="69"/>
    </row>
    <row r="254">
      <c r="F254" s="69"/>
    </row>
    <row r="255">
      <c r="F255" s="69"/>
    </row>
    <row r="256">
      <c r="F256" s="69"/>
    </row>
    <row r="257">
      <c r="F257" s="69"/>
    </row>
    <row r="258">
      <c r="F258" s="69"/>
    </row>
    <row r="259">
      <c r="F259" s="69"/>
    </row>
    <row r="260">
      <c r="F260" s="69"/>
    </row>
    <row r="261">
      <c r="F261" s="69"/>
    </row>
    <row r="262">
      <c r="F262" s="69"/>
    </row>
    <row r="263">
      <c r="F263" s="69"/>
    </row>
    <row r="264">
      <c r="F264" s="69"/>
    </row>
    <row r="265">
      <c r="F265" s="69"/>
    </row>
    <row r="266">
      <c r="F266" s="69"/>
    </row>
    <row r="267">
      <c r="F267" s="69"/>
    </row>
    <row r="268">
      <c r="F268" s="69"/>
    </row>
    <row r="269">
      <c r="F269" s="69"/>
    </row>
    <row r="270">
      <c r="F270" s="69"/>
    </row>
    <row r="271">
      <c r="F271" s="69"/>
    </row>
    <row r="272">
      <c r="F272" s="69"/>
    </row>
    <row r="273">
      <c r="F273" s="69"/>
    </row>
    <row r="274">
      <c r="F274" s="69"/>
    </row>
    <row r="275">
      <c r="F275" s="69"/>
    </row>
    <row r="276">
      <c r="F276" s="69"/>
    </row>
    <row r="277">
      <c r="F277" s="69"/>
    </row>
    <row r="278">
      <c r="F278" s="69"/>
    </row>
    <row r="279">
      <c r="F279" s="69"/>
    </row>
    <row r="280">
      <c r="F280" s="69"/>
    </row>
    <row r="281">
      <c r="F281" s="69"/>
    </row>
    <row r="282">
      <c r="F282" s="69"/>
    </row>
    <row r="283">
      <c r="F283" s="69"/>
    </row>
    <row r="284">
      <c r="F284" s="69"/>
    </row>
    <row r="285">
      <c r="F285" s="69"/>
    </row>
    <row r="286">
      <c r="F286" s="69"/>
    </row>
    <row r="287">
      <c r="F287" s="69"/>
    </row>
    <row r="288">
      <c r="F288" s="69"/>
    </row>
    <row r="289">
      <c r="F289" s="69"/>
    </row>
    <row r="290">
      <c r="F290" s="69"/>
    </row>
    <row r="291">
      <c r="F291" s="69"/>
    </row>
    <row r="292">
      <c r="F292" s="69"/>
    </row>
    <row r="293">
      <c r="F293" s="69"/>
    </row>
    <row r="294">
      <c r="F294" s="69"/>
    </row>
    <row r="295">
      <c r="F295" s="69"/>
    </row>
    <row r="296">
      <c r="F296" s="69"/>
    </row>
    <row r="297">
      <c r="F297" s="69"/>
    </row>
    <row r="298">
      <c r="F298" s="69"/>
    </row>
    <row r="299">
      <c r="F299" s="69"/>
    </row>
    <row r="300">
      <c r="F300" s="69"/>
    </row>
    <row r="301">
      <c r="F301" s="69"/>
    </row>
    <row r="302">
      <c r="F302" s="69"/>
    </row>
    <row r="303">
      <c r="F303" s="69"/>
    </row>
    <row r="304">
      <c r="F304" s="69"/>
    </row>
    <row r="305">
      <c r="F305" s="69"/>
    </row>
    <row r="306">
      <c r="F306" s="69"/>
    </row>
    <row r="307">
      <c r="F307" s="69"/>
    </row>
    <row r="308">
      <c r="F308" s="69"/>
    </row>
    <row r="309">
      <c r="F309" s="69"/>
    </row>
    <row r="310">
      <c r="F310" s="69"/>
    </row>
    <row r="311">
      <c r="F311" s="69"/>
    </row>
    <row r="312">
      <c r="F312" s="69"/>
    </row>
    <row r="313">
      <c r="F313" s="69"/>
    </row>
    <row r="314">
      <c r="F314" s="69"/>
    </row>
    <row r="315">
      <c r="F315" s="69"/>
    </row>
    <row r="316">
      <c r="F316" s="69"/>
    </row>
    <row r="317">
      <c r="F317" s="69"/>
    </row>
    <row r="318">
      <c r="F318" s="69"/>
    </row>
    <row r="319">
      <c r="F319" s="69"/>
    </row>
    <row r="320">
      <c r="F320" s="69"/>
    </row>
    <row r="321">
      <c r="F321" s="69"/>
    </row>
    <row r="322">
      <c r="F322" s="69"/>
    </row>
    <row r="323">
      <c r="F323" s="69"/>
    </row>
    <row r="324">
      <c r="F324" s="69"/>
    </row>
    <row r="325">
      <c r="F325" s="69"/>
    </row>
    <row r="326">
      <c r="F326" s="69"/>
    </row>
    <row r="327">
      <c r="F327" s="69"/>
    </row>
    <row r="328">
      <c r="F328" s="69"/>
    </row>
    <row r="329">
      <c r="F329" s="69"/>
    </row>
    <row r="330">
      <c r="F330" s="69"/>
    </row>
    <row r="331">
      <c r="F331" s="69"/>
    </row>
    <row r="332">
      <c r="F332" s="69"/>
    </row>
    <row r="333">
      <c r="F333" s="69"/>
    </row>
    <row r="334">
      <c r="F334" s="69"/>
    </row>
    <row r="335">
      <c r="F335" s="69"/>
    </row>
    <row r="336">
      <c r="F336" s="69"/>
    </row>
    <row r="337">
      <c r="F337" s="69"/>
    </row>
    <row r="338">
      <c r="F338" s="69"/>
    </row>
    <row r="339">
      <c r="F339" s="69"/>
    </row>
    <row r="340">
      <c r="F340" s="69"/>
    </row>
    <row r="341">
      <c r="F341" s="69"/>
    </row>
    <row r="342">
      <c r="F342" s="69"/>
    </row>
    <row r="343">
      <c r="F343" s="69"/>
    </row>
    <row r="344">
      <c r="F344" s="69"/>
    </row>
    <row r="345">
      <c r="F345" s="69"/>
    </row>
    <row r="346">
      <c r="F346" s="69"/>
    </row>
    <row r="347">
      <c r="F347" s="69"/>
    </row>
    <row r="348">
      <c r="F348" s="69"/>
    </row>
    <row r="349">
      <c r="F349" s="69"/>
    </row>
    <row r="350">
      <c r="F350" s="69"/>
    </row>
    <row r="351">
      <c r="F351" s="69"/>
    </row>
    <row r="352">
      <c r="F352" s="69"/>
    </row>
    <row r="353">
      <c r="F353" s="69"/>
    </row>
    <row r="354">
      <c r="F354" s="69"/>
    </row>
    <row r="355">
      <c r="F355" s="69"/>
    </row>
    <row r="356">
      <c r="F356" s="69"/>
    </row>
    <row r="357">
      <c r="F357" s="69"/>
    </row>
    <row r="358">
      <c r="F358" s="69"/>
    </row>
    <row r="359">
      <c r="F359" s="69"/>
    </row>
    <row r="360">
      <c r="F360" s="69"/>
    </row>
    <row r="361">
      <c r="F361" s="69"/>
    </row>
    <row r="362">
      <c r="F362" s="69"/>
    </row>
    <row r="363">
      <c r="F363" s="69"/>
    </row>
    <row r="364">
      <c r="F364" s="69"/>
    </row>
    <row r="365">
      <c r="F365" s="69"/>
    </row>
    <row r="366">
      <c r="F366" s="69"/>
    </row>
    <row r="367">
      <c r="F367" s="69"/>
    </row>
    <row r="368">
      <c r="F368" s="69"/>
    </row>
    <row r="369">
      <c r="F369" s="69"/>
    </row>
    <row r="370">
      <c r="F370" s="69"/>
    </row>
    <row r="371">
      <c r="F371" s="69"/>
    </row>
    <row r="372">
      <c r="F372" s="69"/>
    </row>
    <row r="373">
      <c r="F373" s="69"/>
    </row>
    <row r="374">
      <c r="F374" s="69"/>
    </row>
    <row r="375">
      <c r="F375" s="69"/>
    </row>
    <row r="376">
      <c r="F376" s="69"/>
    </row>
    <row r="377">
      <c r="F377" s="69"/>
    </row>
    <row r="378">
      <c r="F378" s="69"/>
    </row>
    <row r="379">
      <c r="F379" s="69"/>
    </row>
    <row r="380">
      <c r="F380" s="69"/>
    </row>
    <row r="381">
      <c r="F381" s="69"/>
    </row>
    <row r="382">
      <c r="F382" s="69"/>
    </row>
    <row r="383">
      <c r="F383" s="69"/>
    </row>
    <row r="384">
      <c r="F384" s="69"/>
    </row>
    <row r="385">
      <c r="F385" s="69"/>
    </row>
    <row r="386">
      <c r="F386" s="69"/>
    </row>
    <row r="387">
      <c r="F387" s="69"/>
    </row>
    <row r="388">
      <c r="F388" s="69"/>
    </row>
    <row r="389">
      <c r="F389" s="69"/>
    </row>
    <row r="390">
      <c r="F390" s="69"/>
    </row>
    <row r="391">
      <c r="F391" s="69"/>
    </row>
    <row r="392">
      <c r="F392" s="69"/>
    </row>
    <row r="393">
      <c r="F393" s="69"/>
    </row>
    <row r="394">
      <c r="F394" s="69"/>
    </row>
    <row r="395">
      <c r="F395" s="69"/>
    </row>
    <row r="396">
      <c r="F396" s="69"/>
    </row>
    <row r="397">
      <c r="F397" s="69"/>
    </row>
    <row r="398">
      <c r="F398" s="69"/>
    </row>
    <row r="399">
      <c r="F399" s="69"/>
    </row>
    <row r="400">
      <c r="F400" s="69"/>
    </row>
    <row r="401">
      <c r="F401" s="69"/>
    </row>
    <row r="402">
      <c r="F402" s="69"/>
    </row>
    <row r="403">
      <c r="F403" s="69"/>
    </row>
    <row r="404">
      <c r="F404" s="69"/>
    </row>
    <row r="405">
      <c r="F405" s="69"/>
    </row>
    <row r="406">
      <c r="F406" s="69"/>
    </row>
    <row r="407">
      <c r="F407" s="69"/>
    </row>
    <row r="408">
      <c r="F408" s="69"/>
    </row>
    <row r="409">
      <c r="F409" s="69"/>
    </row>
    <row r="410">
      <c r="F410" s="69"/>
    </row>
    <row r="411">
      <c r="F411" s="69"/>
    </row>
    <row r="412">
      <c r="F412" s="69"/>
    </row>
    <row r="413">
      <c r="F413" s="69"/>
    </row>
    <row r="414">
      <c r="F414" s="69"/>
    </row>
    <row r="415">
      <c r="F415" s="69"/>
    </row>
    <row r="416">
      <c r="F416" s="69"/>
    </row>
    <row r="417">
      <c r="F417" s="69"/>
    </row>
    <row r="418">
      <c r="F418" s="69"/>
    </row>
    <row r="419">
      <c r="F419" s="69"/>
    </row>
    <row r="420">
      <c r="F420" s="69"/>
    </row>
    <row r="421">
      <c r="F421" s="69"/>
    </row>
    <row r="422">
      <c r="F422" s="69"/>
    </row>
    <row r="423">
      <c r="F423" s="69"/>
    </row>
    <row r="424">
      <c r="F424" s="69"/>
    </row>
    <row r="425">
      <c r="F425" s="69"/>
    </row>
    <row r="426">
      <c r="F426" s="69"/>
    </row>
    <row r="427">
      <c r="F427" s="69"/>
    </row>
    <row r="428">
      <c r="F428" s="69"/>
    </row>
    <row r="429">
      <c r="F429" s="69"/>
    </row>
    <row r="430">
      <c r="F430" s="69"/>
    </row>
    <row r="431">
      <c r="F431" s="69"/>
    </row>
    <row r="432">
      <c r="F432" s="69"/>
    </row>
    <row r="433">
      <c r="F433" s="69"/>
    </row>
    <row r="434">
      <c r="F434" s="69"/>
    </row>
    <row r="435">
      <c r="F435" s="69"/>
    </row>
    <row r="436">
      <c r="F436" s="69"/>
    </row>
    <row r="437">
      <c r="F437" s="69"/>
    </row>
    <row r="438">
      <c r="F438" s="69"/>
    </row>
    <row r="439">
      <c r="F439" s="69"/>
    </row>
    <row r="440">
      <c r="F440" s="69"/>
    </row>
    <row r="441">
      <c r="F441" s="69"/>
    </row>
    <row r="442">
      <c r="F442" s="69"/>
    </row>
    <row r="443">
      <c r="F443" s="69"/>
    </row>
    <row r="444">
      <c r="F444" s="69"/>
    </row>
    <row r="445">
      <c r="F445" s="69"/>
    </row>
    <row r="446">
      <c r="F446" s="69"/>
    </row>
    <row r="447">
      <c r="F447" s="69"/>
    </row>
    <row r="448">
      <c r="F448" s="69"/>
    </row>
    <row r="449">
      <c r="F449" s="69"/>
    </row>
    <row r="450">
      <c r="F450" s="69"/>
    </row>
    <row r="451">
      <c r="F451" s="69"/>
    </row>
    <row r="452">
      <c r="F452" s="69"/>
    </row>
    <row r="453">
      <c r="F453" s="69"/>
    </row>
    <row r="454">
      <c r="F454" s="69"/>
    </row>
    <row r="455">
      <c r="F455" s="69"/>
    </row>
    <row r="456">
      <c r="F456" s="69"/>
    </row>
    <row r="457">
      <c r="F457" s="69"/>
    </row>
    <row r="458">
      <c r="F458" s="69"/>
    </row>
    <row r="459">
      <c r="F459" s="69"/>
    </row>
    <row r="460">
      <c r="F460" s="69"/>
    </row>
    <row r="461">
      <c r="F461" s="69"/>
    </row>
    <row r="462">
      <c r="F462" s="69"/>
    </row>
    <row r="463">
      <c r="F463" s="69"/>
    </row>
    <row r="464">
      <c r="F464" s="69"/>
    </row>
    <row r="465">
      <c r="F465" s="69"/>
    </row>
    <row r="466">
      <c r="F466" s="69"/>
    </row>
    <row r="467">
      <c r="F467" s="69"/>
    </row>
    <row r="468">
      <c r="F468" s="69"/>
    </row>
    <row r="469">
      <c r="F469" s="69"/>
    </row>
    <row r="470">
      <c r="F470" s="69"/>
    </row>
    <row r="471">
      <c r="F471" s="69"/>
    </row>
    <row r="472">
      <c r="F472" s="69"/>
    </row>
    <row r="473">
      <c r="F473" s="69"/>
    </row>
    <row r="474">
      <c r="F474" s="69"/>
    </row>
    <row r="475">
      <c r="F475" s="69"/>
    </row>
    <row r="476">
      <c r="F476" s="69"/>
    </row>
    <row r="477">
      <c r="F477" s="69"/>
    </row>
    <row r="478">
      <c r="F478" s="69"/>
    </row>
    <row r="479">
      <c r="F479" s="69"/>
    </row>
    <row r="480">
      <c r="F480" s="69"/>
    </row>
    <row r="481">
      <c r="F481" s="69"/>
    </row>
    <row r="482">
      <c r="F482" s="69"/>
    </row>
    <row r="483">
      <c r="F483" s="69"/>
    </row>
    <row r="484">
      <c r="F484" s="69"/>
    </row>
    <row r="485">
      <c r="F485" s="69"/>
    </row>
    <row r="486">
      <c r="F486" s="69"/>
    </row>
    <row r="487">
      <c r="F487" s="69"/>
    </row>
    <row r="488">
      <c r="F488" s="69"/>
    </row>
    <row r="489">
      <c r="F489" s="69"/>
    </row>
    <row r="490">
      <c r="F490" s="69"/>
    </row>
    <row r="491">
      <c r="F491" s="69"/>
    </row>
    <row r="492">
      <c r="F492" s="69"/>
    </row>
    <row r="493">
      <c r="F493" s="69"/>
    </row>
    <row r="494">
      <c r="F494" s="69"/>
    </row>
    <row r="495">
      <c r="F495" s="69"/>
    </row>
    <row r="496">
      <c r="F496" s="69"/>
    </row>
    <row r="497">
      <c r="F497" s="69"/>
    </row>
    <row r="498">
      <c r="F498" s="69"/>
    </row>
    <row r="499">
      <c r="F499" s="69"/>
    </row>
    <row r="500">
      <c r="F500" s="69"/>
    </row>
    <row r="501">
      <c r="F501" s="69"/>
    </row>
    <row r="502">
      <c r="F502" s="69"/>
    </row>
    <row r="503">
      <c r="F503" s="69"/>
    </row>
    <row r="504">
      <c r="F504" s="69"/>
    </row>
    <row r="505">
      <c r="F505" s="69"/>
    </row>
    <row r="506">
      <c r="F506" s="69"/>
    </row>
    <row r="507">
      <c r="F507" s="69"/>
    </row>
    <row r="508">
      <c r="F508" s="69"/>
    </row>
    <row r="509">
      <c r="F509" s="69"/>
    </row>
    <row r="510">
      <c r="F510" s="69"/>
    </row>
    <row r="511">
      <c r="F511" s="69"/>
    </row>
    <row r="512">
      <c r="F512" s="69"/>
    </row>
    <row r="513">
      <c r="F513" s="69"/>
    </row>
    <row r="514">
      <c r="F514" s="69"/>
    </row>
    <row r="515">
      <c r="F515" s="69"/>
    </row>
    <row r="516">
      <c r="F516" s="69"/>
    </row>
    <row r="517">
      <c r="F517" s="69"/>
    </row>
    <row r="518">
      <c r="F518" s="69"/>
    </row>
    <row r="519">
      <c r="F519" s="69"/>
    </row>
    <row r="520">
      <c r="F520" s="69"/>
    </row>
    <row r="521">
      <c r="F521" s="69"/>
    </row>
    <row r="522">
      <c r="F522" s="69"/>
    </row>
    <row r="523">
      <c r="F523" s="69"/>
    </row>
    <row r="524">
      <c r="F524" s="69"/>
    </row>
    <row r="525">
      <c r="F525" s="69"/>
    </row>
    <row r="526">
      <c r="F526" s="69"/>
    </row>
    <row r="527">
      <c r="F527" s="69"/>
    </row>
    <row r="528">
      <c r="F528" s="69"/>
    </row>
    <row r="529">
      <c r="F529" s="69"/>
    </row>
    <row r="530">
      <c r="F530" s="69"/>
    </row>
    <row r="531">
      <c r="F531" s="69"/>
    </row>
    <row r="532">
      <c r="F532" s="69"/>
    </row>
    <row r="533">
      <c r="F533" s="69"/>
    </row>
    <row r="534">
      <c r="F534" s="69"/>
    </row>
    <row r="535">
      <c r="F535" s="69"/>
    </row>
    <row r="536">
      <c r="F536" s="69"/>
    </row>
    <row r="537">
      <c r="F537" s="69"/>
    </row>
    <row r="538">
      <c r="F538" s="69"/>
    </row>
    <row r="539">
      <c r="F539" s="69"/>
    </row>
    <row r="540">
      <c r="F540" s="69"/>
    </row>
    <row r="541">
      <c r="F541" s="69"/>
    </row>
    <row r="542">
      <c r="F542" s="69"/>
    </row>
    <row r="543">
      <c r="F543" s="69"/>
    </row>
    <row r="544">
      <c r="F544" s="69"/>
    </row>
    <row r="545">
      <c r="F545" s="69"/>
    </row>
    <row r="546">
      <c r="F546" s="69"/>
    </row>
    <row r="547">
      <c r="F547" s="69"/>
    </row>
    <row r="548">
      <c r="F548" s="69"/>
    </row>
    <row r="549">
      <c r="F549" s="69"/>
    </row>
    <row r="550">
      <c r="F550" s="69"/>
    </row>
    <row r="551">
      <c r="F551" s="69"/>
    </row>
    <row r="552">
      <c r="F552" s="69"/>
    </row>
    <row r="553">
      <c r="F553" s="69"/>
    </row>
    <row r="554">
      <c r="F554" s="69"/>
    </row>
    <row r="555">
      <c r="F555" s="69"/>
    </row>
    <row r="556">
      <c r="F556" s="69"/>
    </row>
    <row r="557">
      <c r="F557" s="69"/>
    </row>
    <row r="558">
      <c r="F558" s="69"/>
    </row>
    <row r="559">
      <c r="F559" s="69"/>
    </row>
    <row r="560">
      <c r="F560" s="69"/>
    </row>
    <row r="561">
      <c r="F561" s="69"/>
    </row>
    <row r="562">
      <c r="F562" s="69"/>
    </row>
    <row r="563">
      <c r="F563" s="69"/>
    </row>
    <row r="564">
      <c r="F564" s="69"/>
    </row>
    <row r="565">
      <c r="F565" s="69"/>
    </row>
    <row r="566">
      <c r="F566" s="69"/>
    </row>
    <row r="567">
      <c r="F567" s="69"/>
    </row>
    <row r="568">
      <c r="F568" s="69"/>
    </row>
    <row r="569">
      <c r="F569" s="69"/>
    </row>
    <row r="570">
      <c r="F570" s="69"/>
    </row>
    <row r="571">
      <c r="F571" s="69"/>
    </row>
    <row r="572">
      <c r="F572" s="69"/>
    </row>
    <row r="573">
      <c r="F573" s="69"/>
    </row>
    <row r="574">
      <c r="F574" s="69"/>
    </row>
    <row r="575">
      <c r="F575" s="69"/>
    </row>
    <row r="576">
      <c r="F576" s="69"/>
    </row>
    <row r="577">
      <c r="F577" s="69"/>
    </row>
    <row r="578">
      <c r="F578" s="69"/>
    </row>
    <row r="579">
      <c r="F579" s="69"/>
    </row>
    <row r="580">
      <c r="F580" s="69"/>
    </row>
    <row r="581">
      <c r="F581" s="69"/>
    </row>
    <row r="582">
      <c r="F582" s="69"/>
    </row>
    <row r="583">
      <c r="F583" s="69"/>
    </row>
    <row r="584">
      <c r="F584" s="69"/>
    </row>
    <row r="585">
      <c r="F585" s="69"/>
    </row>
    <row r="586">
      <c r="F586" s="69"/>
    </row>
    <row r="587">
      <c r="F587" s="69"/>
    </row>
    <row r="588">
      <c r="F588" s="69"/>
    </row>
    <row r="589">
      <c r="F589" s="69"/>
    </row>
    <row r="590">
      <c r="F590" s="69"/>
    </row>
    <row r="591">
      <c r="F591" s="69"/>
    </row>
    <row r="592">
      <c r="F592" s="69"/>
    </row>
    <row r="593">
      <c r="F593" s="69"/>
    </row>
    <row r="594">
      <c r="F594" s="69"/>
    </row>
    <row r="595">
      <c r="F595" s="69"/>
    </row>
    <row r="596">
      <c r="F596" s="69"/>
    </row>
    <row r="597">
      <c r="F597" s="69"/>
    </row>
    <row r="598">
      <c r="F598" s="69"/>
    </row>
    <row r="599">
      <c r="F599" s="69"/>
    </row>
    <row r="600">
      <c r="F600" s="69"/>
    </row>
    <row r="601">
      <c r="F601" s="69"/>
    </row>
    <row r="602">
      <c r="F602" s="69"/>
    </row>
    <row r="603">
      <c r="F603" s="69"/>
    </row>
    <row r="604">
      <c r="F604" s="69"/>
    </row>
    <row r="605">
      <c r="F605" s="69"/>
    </row>
    <row r="606">
      <c r="F606" s="69"/>
    </row>
    <row r="607">
      <c r="F607" s="69"/>
    </row>
    <row r="608">
      <c r="F608" s="69"/>
    </row>
    <row r="609">
      <c r="F609" s="69"/>
    </row>
    <row r="610">
      <c r="F610" s="69"/>
    </row>
    <row r="611">
      <c r="F611" s="69"/>
    </row>
    <row r="612">
      <c r="F612" s="69"/>
    </row>
    <row r="613">
      <c r="F613" s="69"/>
    </row>
    <row r="614">
      <c r="F614" s="69"/>
    </row>
    <row r="615">
      <c r="F615" s="69"/>
    </row>
    <row r="616">
      <c r="F616" s="69"/>
    </row>
    <row r="617">
      <c r="F617" s="69"/>
    </row>
    <row r="618">
      <c r="F618" s="69"/>
    </row>
    <row r="619">
      <c r="F619" s="69"/>
    </row>
    <row r="620">
      <c r="F620" s="69"/>
    </row>
    <row r="621">
      <c r="F621" s="69"/>
    </row>
    <row r="622">
      <c r="F622" s="69"/>
    </row>
    <row r="623">
      <c r="F623" s="69"/>
    </row>
    <row r="624">
      <c r="F624" s="69"/>
    </row>
    <row r="625">
      <c r="F625" s="69"/>
    </row>
    <row r="626">
      <c r="F626" s="69"/>
    </row>
    <row r="627">
      <c r="F627" s="69"/>
    </row>
    <row r="628">
      <c r="F628" s="69"/>
    </row>
    <row r="629">
      <c r="F629" s="69"/>
    </row>
    <row r="630">
      <c r="F630" s="69"/>
    </row>
    <row r="631">
      <c r="F631" s="69"/>
    </row>
    <row r="632">
      <c r="F632" s="69"/>
    </row>
    <row r="633">
      <c r="F633" s="69"/>
    </row>
    <row r="634">
      <c r="F634" s="69"/>
    </row>
    <row r="635">
      <c r="F635" s="69"/>
    </row>
    <row r="636">
      <c r="F636" s="69"/>
    </row>
    <row r="637">
      <c r="F637" s="69"/>
    </row>
    <row r="638">
      <c r="F638" s="69"/>
    </row>
    <row r="639">
      <c r="F639" s="69"/>
    </row>
    <row r="640">
      <c r="F640" s="69"/>
    </row>
    <row r="641">
      <c r="F641" s="69"/>
    </row>
    <row r="642">
      <c r="F642" s="69"/>
    </row>
    <row r="643">
      <c r="F643" s="69"/>
    </row>
    <row r="644">
      <c r="F644" s="69"/>
    </row>
    <row r="645">
      <c r="F645" s="69"/>
    </row>
    <row r="646">
      <c r="F646" s="69"/>
    </row>
    <row r="647">
      <c r="F647" s="69"/>
    </row>
    <row r="648">
      <c r="F648" s="69"/>
    </row>
    <row r="649">
      <c r="F649" s="69"/>
    </row>
    <row r="650">
      <c r="F650" s="69"/>
    </row>
    <row r="651">
      <c r="F651" s="69"/>
    </row>
    <row r="652">
      <c r="F652" s="69"/>
    </row>
    <row r="653">
      <c r="F653" s="69"/>
    </row>
    <row r="654">
      <c r="F654" s="69"/>
    </row>
    <row r="655">
      <c r="F655" s="69"/>
    </row>
    <row r="656">
      <c r="F656" s="69"/>
    </row>
    <row r="657">
      <c r="F657" s="69"/>
    </row>
    <row r="658">
      <c r="F658" s="69"/>
    </row>
    <row r="659">
      <c r="F659" s="69"/>
    </row>
    <row r="660">
      <c r="F660" s="69"/>
    </row>
    <row r="661">
      <c r="F661" s="69"/>
    </row>
    <row r="662">
      <c r="F662" s="69"/>
    </row>
    <row r="663">
      <c r="F663" s="69"/>
    </row>
    <row r="664">
      <c r="F664" s="69"/>
    </row>
    <row r="665">
      <c r="F665" s="69"/>
    </row>
    <row r="666">
      <c r="F666" s="69"/>
    </row>
    <row r="667">
      <c r="F667" s="69"/>
    </row>
    <row r="668">
      <c r="F668" s="69"/>
    </row>
    <row r="669">
      <c r="F669" s="69"/>
    </row>
    <row r="670">
      <c r="F670" s="69"/>
    </row>
    <row r="671">
      <c r="F671" s="69"/>
    </row>
    <row r="672">
      <c r="F672" s="69"/>
    </row>
    <row r="673">
      <c r="F673" s="69"/>
    </row>
    <row r="674">
      <c r="F674" s="69"/>
    </row>
    <row r="675">
      <c r="F675" s="69"/>
    </row>
    <row r="676">
      <c r="F676" s="69"/>
    </row>
    <row r="677">
      <c r="F677" s="69"/>
    </row>
    <row r="678">
      <c r="F678" s="69"/>
    </row>
    <row r="679">
      <c r="F679" s="69"/>
    </row>
    <row r="680">
      <c r="F680" s="69"/>
    </row>
    <row r="681">
      <c r="F681" s="69"/>
    </row>
    <row r="682">
      <c r="F682" s="69"/>
    </row>
    <row r="683">
      <c r="F683" s="69"/>
    </row>
    <row r="684">
      <c r="F684" s="69"/>
    </row>
    <row r="685">
      <c r="F685" s="69"/>
    </row>
    <row r="686">
      <c r="F686" s="69"/>
    </row>
    <row r="687">
      <c r="F687" s="69"/>
    </row>
    <row r="688">
      <c r="F688" s="69"/>
    </row>
    <row r="689">
      <c r="F689" s="69"/>
    </row>
    <row r="690">
      <c r="F690" s="69"/>
    </row>
    <row r="691">
      <c r="F691" s="69"/>
    </row>
    <row r="692">
      <c r="F692" s="69"/>
    </row>
    <row r="693">
      <c r="F693" s="69"/>
    </row>
    <row r="694">
      <c r="F694" s="69"/>
    </row>
    <row r="695">
      <c r="F695" s="69"/>
    </row>
    <row r="696">
      <c r="F696" s="69"/>
    </row>
    <row r="697">
      <c r="F697" s="69"/>
    </row>
    <row r="698">
      <c r="F698" s="69"/>
    </row>
    <row r="699">
      <c r="F699" s="69"/>
    </row>
    <row r="700">
      <c r="F700" s="69"/>
    </row>
    <row r="701">
      <c r="F701" s="69"/>
    </row>
    <row r="702">
      <c r="F702" s="69"/>
    </row>
    <row r="703">
      <c r="F703" s="69"/>
    </row>
    <row r="704">
      <c r="F704" s="69"/>
    </row>
    <row r="705">
      <c r="F705" s="69"/>
    </row>
    <row r="706">
      <c r="F706" s="69"/>
    </row>
    <row r="707">
      <c r="F707" s="69"/>
    </row>
    <row r="708">
      <c r="F708" s="69"/>
    </row>
    <row r="709">
      <c r="F709" s="69"/>
    </row>
    <row r="710">
      <c r="F710" s="69"/>
    </row>
    <row r="711">
      <c r="F711" s="69"/>
    </row>
    <row r="712">
      <c r="F712" s="69"/>
    </row>
    <row r="713">
      <c r="F713" s="69"/>
    </row>
    <row r="714">
      <c r="F714" s="69"/>
    </row>
    <row r="715">
      <c r="F715" s="69"/>
    </row>
    <row r="716">
      <c r="F716" s="69"/>
    </row>
    <row r="717">
      <c r="F717" s="69"/>
    </row>
    <row r="718">
      <c r="F718" s="69"/>
    </row>
    <row r="719">
      <c r="F719" s="69"/>
    </row>
    <row r="720">
      <c r="F720" s="69"/>
    </row>
    <row r="721">
      <c r="F721" s="69"/>
    </row>
    <row r="722">
      <c r="F722" s="69"/>
    </row>
    <row r="723">
      <c r="F723" s="69"/>
    </row>
    <row r="724">
      <c r="F724" s="69"/>
    </row>
    <row r="725">
      <c r="F725" s="69"/>
    </row>
    <row r="726">
      <c r="F726" s="69"/>
    </row>
    <row r="727">
      <c r="F727" s="69"/>
    </row>
    <row r="728">
      <c r="F728" s="69"/>
    </row>
    <row r="729">
      <c r="F729" s="69"/>
    </row>
    <row r="730">
      <c r="F730" s="69"/>
    </row>
    <row r="731">
      <c r="F731" s="69"/>
    </row>
    <row r="732">
      <c r="F732" s="69"/>
    </row>
    <row r="733">
      <c r="F733" s="69"/>
    </row>
    <row r="734">
      <c r="F734" s="69"/>
    </row>
    <row r="735">
      <c r="F735" s="69"/>
    </row>
    <row r="736">
      <c r="F736" s="69"/>
    </row>
    <row r="737">
      <c r="F737" s="69"/>
    </row>
    <row r="738">
      <c r="F738" s="69"/>
    </row>
    <row r="739">
      <c r="F739" s="69"/>
    </row>
    <row r="740">
      <c r="F740" s="69"/>
    </row>
    <row r="741">
      <c r="F741" s="69"/>
    </row>
    <row r="742">
      <c r="F742" s="69"/>
    </row>
    <row r="743">
      <c r="F743" s="69"/>
    </row>
    <row r="744">
      <c r="F744" s="69"/>
    </row>
    <row r="745">
      <c r="F745" s="69"/>
    </row>
    <row r="746">
      <c r="F746" s="69"/>
    </row>
    <row r="747">
      <c r="F747" s="69"/>
    </row>
    <row r="748">
      <c r="F748" s="69"/>
    </row>
    <row r="749">
      <c r="F749" s="69"/>
    </row>
    <row r="750">
      <c r="F750" s="69"/>
    </row>
    <row r="751">
      <c r="F751" s="69"/>
    </row>
    <row r="752">
      <c r="F752" s="69"/>
    </row>
    <row r="753">
      <c r="F753" s="69"/>
    </row>
    <row r="754">
      <c r="F754" s="69"/>
    </row>
    <row r="755">
      <c r="F755" s="69"/>
    </row>
    <row r="756">
      <c r="F756" s="69"/>
    </row>
    <row r="757">
      <c r="F757" s="69"/>
    </row>
    <row r="758">
      <c r="F758" s="69"/>
    </row>
    <row r="759">
      <c r="F759" s="69"/>
    </row>
    <row r="760">
      <c r="F760" s="69"/>
    </row>
    <row r="761">
      <c r="F761" s="69"/>
    </row>
    <row r="762">
      <c r="F762" s="69"/>
    </row>
    <row r="763">
      <c r="F763" s="69"/>
    </row>
    <row r="764">
      <c r="F764" s="69"/>
    </row>
    <row r="765">
      <c r="F765" s="69"/>
    </row>
    <row r="766">
      <c r="F766" s="69"/>
    </row>
    <row r="767">
      <c r="F767" s="69"/>
    </row>
    <row r="768">
      <c r="F768" s="69"/>
    </row>
    <row r="769">
      <c r="F769" s="69"/>
    </row>
    <row r="770">
      <c r="F770" s="69"/>
    </row>
    <row r="771">
      <c r="F771" s="69"/>
    </row>
    <row r="772">
      <c r="F772" s="69"/>
    </row>
    <row r="773">
      <c r="F773" s="69"/>
    </row>
    <row r="774">
      <c r="F774" s="69"/>
    </row>
    <row r="775">
      <c r="F775" s="69"/>
    </row>
    <row r="776">
      <c r="F776" s="69"/>
    </row>
    <row r="777">
      <c r="F777" s="69"/>
    </row>
    <row r="778">
      <c r="F778" s="69"/>
    </row>
    <row r="779">
      <c r="F779" s="69"/>
    </row>
    <row r="780">
      <c r="F780" s="69"/>
    </row>
    <row r="781">
      <c r="F781" s="69"/>
    </row>
    <row r="782">
      <c r="F782" s="69"/>
    </row>
    <row r="783">
      <c r="F783" s="69"/>
    </row>
    <row r="784">
      <c r="F784" s="69"/>
    </row>
    <row r="785">
      <c r="F785" s="69"/>
    </row>
    <row r="786">
      <c r="F786" s="69"/>
    </row>
    <row r="787">
      <c r="F787" s="69"/>
    </row>
    <row r="788">
      <c r="F788" s="69"/>
    </row>
    <row r="789">
      <c r="F789" s="69"/>
    </row>
    <row r="790">
      <c r="F790" s="69"/>
    </row>
    <row r="791">
      <c r="F791" s="69"/>
    </row>
    <row r="792">
      <c r="F792" s="69"/>
    </row>
    <row r="793">
      <c r="F793" s="69"/>
    </row>
    <row r="794">
      <c r="F794" s="69"/>
    </row>
    <row r="795">
      <c r="F795" s="69"/>
    </row>
    <row r="796">
      <c r="F796" s="69"/>
    </row>
    <row r="797">
      <c r="F797" s="69"/>
    </row>
    <row r="798">
      <c r="F798" s="69"/>
    </row>
    <row r="799">
      <c r="F799" s="69"/>
    </row>
    <row r="800">
      <c r="F800" s="69"/>
    </row>
    <row r="801">
      <c r="F801" s="69"/>
    </row>
    <row r="802">
      <c r="F802" s="69"/>
    </row>
    <row r="803">
      <c r="F803" s="69"/>
    </row>
    <row r="804">
      <c r="F804" s="69"/>
    </row>
    <row r="805">
      <c r="F805" s="69"/>
    </row>
    <row r="806">
      <c r="F806" s="69"/>
    </row>
    <row r="807">
      <c r="F807" s="69"/>
    </row>
    <row r="808">
      <c r="F808" s="69"/>
    </row>
    <row r="809">
      <c r="F809" s="69"/>
    </row>
    <row r="810">
      <c r="F810" s="69"/>
    </row>
    <row r="811">
      <c r="F811" s="69"/>
    </row>
    <row r="812">
      <c r="F812" s="69"/>
    </row>
    <row r="813">
      <c r="F813" s="69"/>
    </row>
    <row r="814">
      <c r="F814" s="69"/>
    </row>
    <row r="815">
      <c r="F815" s="69"/>
    </row>
    <row r="816">
      <c r="F816" s="69"/>
    </row>
    <row r="817">
      <c r="F817" s="69"/>
    </row>
    <row r="818">
      <c r="F818" s="69"/>
    </row>
    <row r="819">
      <c r="F819" s="69"/>
    </row>
    <row r="820">
      <c r="F820" s="69"/>
    </row>
    <row r="821">
      <c r="F821" s="69"/>
    </row>
    <row r="822">
      <c r="F822" s="69"/>
    </row>
    <row r="823">
      <c r="F823" s="69"/>
    </row>
    <row r="824">
      <c r="F824" s="69"/>
    </row>
    <row r="825">
      <c r="F825" s="69"/>
    </row>
    <row r="826">
      <c r="F826" s="69"/>
    </row>
    <row r="827">
      <c r="F827" s="69"/>
    </row>
    <row r="828">
      <c r="F828" s="69"/>
    </row>
    <row r="829">
      <c r="F829" s="69"/>
    </row>
    <row r="830">
      <c r="F830" s="69"/>
    </row>
    <row r="831">
      <c r="F831" s="69"/>
    </row>
    <row r="832">
      <c r="F832" s="69"/>
    </row>
    <row r="833">
      <c r="F833" s="69"/>
    </row>
    <row r="834">
      <c r="F834" s="69"/>
    </row>
    <row r="835">
      <c r="F835" s="69"/>
    </row>
    <row r="836">
      <c r="F836" s="69"/>
    </row>
    <row r="837">
      <c r="F837" s="69"/>
    </row>
    <row r="838">
      <c r="F838" s="69"/>
    </row>
    <row r="839">
      <c r="F839" s="69"/>
    </row>
    <row r="840">
      <c r="F840" s="69"/>
    </row>
    <row r="841">
      <c r="F841" s="69"/>
    </row>
    <row r="842">
      <c r="F842" s="69"/>
    </row>
    <row r="843">
      <c r="F843" s="69"/>
    </row>
    <row r="844">
      <c r="F844" s="69"/>
    </row>
    <row r="845">
      <c r="F845" s="69"/>
    </row>
    <row r="846">
      <c r="F846" s="69"/>
    </row>
    <row r="847">
      <c r="F847" s="69"/>
    </row>
    <row r="848">
      <c r="F848" s="69"/>
    </row>
    <row r="849">
      <c r="F849" s="69"/>
    </row>
    <row r="850">
      <c r="F850" s="69"/>
    </row>
    <row r="851">
      <c r="F851" s="69"/>
    </row>
    <row r="852">
      <c r="F852" s="69"/>
    </row>
    <row r="853">
      <c r="F853" s="69"/>
    </row>
    <row r="854">
      <c r="F854" s="69"/>
    </row>
    <row r="855">
      <c r="F855" s="69"/>
    </row>
    <row r="856">
      <c r="F856" s="69"/>
    </row>
    <row r="857">
      <c r="F857" s="69"/>
    </row>
    <row r="858">
      <c r="F858" s="69"/>
    </row>
    <row r="859">
      <c r="F859" s="69"/>
    </row>
    <row r="860">
      <c r="F860" s="69"/>
    </row>
    <row r="861">
      <c r="F861" s="69"/>
    </row>
    <row r="862">
      <c r="F862" s="69"/>
    </row>
    <row r="863">
      <c r="F863" s="69"/>
    </row>
    <row r="864">
      <c r="F864" s="69"/>
    </row>
    <row r="865">
      <c r="F865" s="69"/>
    </row>
    <row r="866">
      <c r="F866" s="69"/>
    </row>
    <row r="867">
      <c r="F867" s="69"/>
    </row>
    <row r="868">
      <c r="F868" s="69"/>
    </row>
    <row r="869">
      <c r="F869" s="69"/>
    </row>
    <row r="870">
      <c r="F870" s="69"/>
    </row>
    <row r="871">
      <c r="F871" s="69"/>
    </row>
    <row r="872">
      <c r="F872" s="69"/>
    </row>
    <row r="873">
      <c r="F873" s="69"/>
    </row>
    <row r="874">
      <c r="F874" s="69"/>
    </row>
    <row r="875">
      <c r="F875" s="69"/>
    </row>
    <row r="876">
      <c r="F876" s="69"/>
    </row>
    <row r="877">
      <c r="F877" s="69"/>
    </row>
    <row r="878">
      <c r="F878" s="69"/>
    </row>
    <row r="879">
      <c r="F879" s="69"/>
    </row>
  </sheetData>
  <mergeCells count="17">
    <mergeCell ref="H1:N1"/>
    <mergeCell ref="O1:AR1"/>
    <mergeCell ref="AS1:BV1"/>
    <mergeCell ref="N4:N20"/>
    <mergeCell ref="U4:U20"/>
    <mergeCell ref="AB4:AB20"/>
    <mergeCell ref="AI4:AI20"/>
    <mergeCell ref="AP4:AP20"/>
    <mergeCell ref="AW4:AW20"/>
    <mergeCell ref="BD4:BD20"/>
    <mergeCell ref="A1:A3"/>
    <mergeCell ref="B1:B3"/>
    <mergeCell ref="C1:C3"/>
    <mergeCell ref="D1:D3"/>
    <mergeCell ref="E1:E3"/>
    <mergeCell ref="F1:F3"/>
    <mergeCell ref="G1:G3"/>
  </mergeCells>
  <conditionalFormatting sqref="G4:BV20">
    <cfRule type="beginsWith" dxfId="0" priority="1" operator="beginsWith" text="a">
      <formula>LEFT((G4),LEN("a"))=("a")</formula>
    </cfRule>
  </conditionalFormatting>
  <conditionalFormatting sqref="G4:BV20">
    <cfRule type="beginsWith" dxfId="1" priority="2" operator="beginsWith" text="p">
      <formula>LEFT((G4),LEN("p"))=("p")</formula>
    </cfRule>
  </conditionalFormatting>
  <conditionalFormatting sqref="G4:BV20">
    <cfRule type="beginsWith" dxfId="2" priority="3" operator="beginsWith" text="op">
      <formula>LEFT((G4),LEN("op"))=("op")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38"/>
    <col customWidth="1" min="4" max="4" width="29.13"/>
    <col customWidth="1" min="5" max="5" width="15.88"/>
  </cols>
  <sheetData>
    <row r="1">
      <c r="A1" s="5" t="s">
        <v>1</v>
      </c>
      <c r="B1" s="5" t="s">
        <v>6</v>
      </c>
      <c r="C1" s="5" t="s">
        <v>8</v>
      </c>
      <c r="D1" s="5" t="s">
        <v>10</v>
      </c>
      <c r="E1" s="5" t="s">
        <v>11</v>
      </c>
    </row>
    <row r="2">
      <c r="A2" s="10">
        <v>1.0</v>
      </c>
      <c r="B2" s="10" t="s">
        <v>14</v>
      </c>
      <c r="C2" s="10" t="s">
        <v>15</v>
      </c>
      <c r="D2" s="13" t="s">
        <v>16</v>
      </c>
      <c r="E2" s="10" t="s">
        <v>19</v>
      </c>
    </row>
    <row r="3">
      <c r="A3" s="10">
        <v>2.0</v>
      </c>
      <c r="B3" s="10" t="s">
        <v>30</v>
      </c>
      <c r="C3" s="18" t="s">
        <v>32</v>
      </c>
      <c r="D3" s="13" t="s">
        <v>16</v>
      </c>
      <c r="E3" s="10" t="s">
        <v>19</v>
      </c>
    </row>
    <row r="4">
      <c r="A4" s="10">
        <v>3.0</v>
      </c>
      <c r="B4" s="10" t="s">
        <v>36</v>
      </c>
      <c r="C4" s="18" t="s">
        <v>37</v>
      </c>
      <c r="D4" s="13" t="s">
        <v>16</v>
      </c>
      <c r="E4" s="10" t="s">
        <v>19</v>
      </c>
    </row>
    <row r="5">
      <c r="A5" s="10">
        <v>4.0</v>
      </c>
      <c r="B5" s="10" t="s">
        <v>40</v>
      </c>
      <c r="C5" s="10" t="s">
        <v>41</v>
      </c>
      <c r="D5" s="13" t="s">
        <v>42</v>
      </c>
      <c r="E5" s="10" t="s">
        <v>19</v>
      </c>
    </row>
    <row r="6">
      <c r="A6" s="10">
        <v>5.0</v>
      </c>
      <c r="B6" s="10" t="s">
        <v>45</v>
      </c>
      <c r="C6" s="10" t="s">
        <v>41</v>
      </c>
      <c r="D6" s="13" t="s">
        <v>47</v>
      </c>
      <c r="E6" s="10" t="s">
        <v>19</v>
      </c>
    </row>
    <row r="7">
      <c r="A7" s="10">
        <v>6.0</v>
      </c>
      <c r="B7" s="10" t="s">
        <v>48</v>
      </c>
      <c r="C7" s="10" t="s">
        <v>50</v>
      </c>
      <c r="D7" s="13" t="s">
        <v>51</v>
      </c>
      <c r="E7" s="10" t="s">
        <v>19</v>
      </c>
    </row>
    <row r="8">
      <c r="A8" s="10">
        <v>7.0</v>
      </c>
      <c r="B8" s="10" t="s">
        <v>52</v>
      </c>
      <c r="C8" s="29" t="s">
        <v>53</v>
      </c>
      <c r="D8" s="14"/>
      <c r="E8" s="16"/>
    </row>
    <row r="9">
      <c r="A9" s="10">
        <v>8.0</v>
      </c>
      <c r="B9" s="30">
        <v>46028.0</v>
      </c>
      <c r="C9" s="10" t="s">
        <v>57</v>
      </c>
      <c r="D9" s="13" t="s">
        <v>51</v>
      </c>
      <c r="E9" s="10" t="s">
        <v>19</v>
      </c>
    </row>
    <row r="10">
      <c r="A10" s="10">
        <v>9.0</v>
      </c>
      <c r="B10" s="30">
        <v>46059.0</v>
      </c>
      <c r="C10" s="10" t="s">
        <v>59</v>
      </c>
      <c r="D10" s="13" t="s">
        <v>47</v>
      </c>
      <c r="E10" s="10" t="s">
        <v>19</v>
      </c>
    </row>
    <row r="11">
      <c r="A11" s="10">
        <v>10.0</v>
      </c>
      <c r="B11" s="30">
        <v>46087.0</v>
      </c>
      <c r="C11" s="10" t="s">
        <v>61</v>
      </c>
      <c r="D11" s="13" t="s">
        <v>51</v>
      </c>
      <c r="E11" s="10" t="s">
        <v>19</v>
      </c>
    </row>
    <row r="12">
      <c r="A12" s="10">
        <v>11.0</v>
      </c>
      <c r="B12" s="30">
        <v>46118.0</v>
      </c>
      <c r="C12" s="10" t="s">
        <v>63</v>
      </c>
      <c r="D12" s="13" t="s">
        <v>64</v>
      </c>
      <c r="E12" s="10" t="s">
        <v>19</v>
      </c>
    </row>
    <row r="13">
      <c r="A13" s="10">
        <v>12.0</v>
      </c>
      <c r="B13" s="30">
        <v>46148.0</v>
      </c>
      <c r="C13" s="10" t="s">
        <v>66</v>
      </c>
      <c r="D13" s="13" t="s">
        <v>67</v>
      </c>
      <c r="E13" s="10" t="s">
        <v>19</v>
      </c>
    </row>
    <row r="14">
      <c r="A14" s="10">
        <v>13.0</v>
      </c>
      <c r="B14" s="30">
        <v>46179.0</v>
      </c>
      <c r="C14" s="10" t="s">
        <v>70</v>
      </c>
      <c r="D14" s="13" t="s">
        <v>72</v>
      </c>
      <c r="E14" s="10" t="s">
        <v>19</v>
      </c>
    </row>
    <row r="15">
      <c r="A15" s="10">
        <v>14.0</v>
      </c>
      <c r="B15" s="30">
        <v>46209.0</v>
      </c>
      <c r="C15" s="29" t="s">
        <v>53</v>
      </c>
      <c r="D15" s="14"/>
      <c r="E15" s="16"/>
    </row>
    <row r="16">
      <c r="A16" s="10">
        <v>15.0</v>
      </c>
      <c r="B16" s="30">
        <v>46240.0</v>
      </c>
      <c r="C16" s="10" t="s">
        <v>76</v>
      </c>
      <c r="D16" s="13" t="s">
        <v>16</v>
      </c>
      <c r="E16" s="10" t="s">
        <v>19</v>
      </c>
    </row>
    <row r="17">
      <c r="A17" s="10">
        <v>16.0</v>
      </c>
      <c r="B17" s="30">
        <v>46271.0</v>
      </c>
      <c r="C17" s="10" t="s">
        <v>77</v>
      </c>
      <c r="D17" s="13" t="s">
        <v>51</v>
      </c>
      <c r="E17" s="10" t="s">
        <v>19</v>
      </c>
    </row>
    <row r="18">
      <c r="A18" s="10">
        <v>17.0</v>
      </c>
      <c r="B18" s="30">
        <v>46301.0</v>
      </c>
      <c r="C18" s="10" t="s">
        <v>50</v>
      </c>
      <c r="D18" s="13" t="s">
        <v>47</v>
      </c>
      <c r="E18" s="10" t="s">
        <v>19</v>
      </c>
    </row>
    <row r="19">
      <c r="A19" s="10">
        <v>18.0</v>
      </c>
      <c r="B19" s="30">
        <v>46332.0</v>
      </c>
      <c r="C19" s="10" t="s">
        <v>81</v>
      </c>
      <c r="D19" s="13" t="s">
        <v>83</v>
      </c>
      <c r="E19" s="10" t="s">
        <v>19</v>
      </c>
    </row>
    <row r="20">
      <c r="A20" s="10">
        <v>19.0</v>
      </c>
      <c r="B20" s="30">
        <v>46362.0</v>
      </c>
      <c r="C20" s="10" t="s">
        <v>84</v>
      </c>
      <c r="D20" s="13" t="s">
        <v>51</v>
      </c>
      <c r="E20" s="10" t="s">
        <v>19</v>
      </c>
    </row>
    <row r="21">
      <c r="A21" s="10">
        <v>20.0</v>
      </c>
      <c r="B21" s="36" t="s">
        <v>86</v>
      </c>
      <c r="C21" s="10" t="s">
        <v>87</v>
      </c>
      <c r="D21" s="13" t="s">
        <v>83</v>
      </c>
      <c r="E21" s="10" t="s">
        <v>19</v>
      </c>
    </row>
    <row r="22">
      <c r="A22" s="10">
        <v>21.0</v>
      </c>
      <c r="B22" s="36" t="s">
        <v>91</v>
      </c>
      <c r="C22" s="29" t="s">
        <v>53</v>
      </c>
      <c r="D22" s="14"/>
      <c r="E22" s="16"/>
    </row>
    <row r="23">
      <c r="A23" s="10">
        <v>22.0</v>
      </c>
      <c r="B23" s="36" t="s">
        <v>93</v>
      </c>
      <c r="C23" s="10" t="s">
        <v>95</v>
      </c>
      <c r="D23" s="13" t="s">
        <v>47</v>
      </c>
      <c r="E23" s="10" t="s">
        <v>19</v>
      </c>
    </row>
    <row r="24">
      <c r="A24" s="10">
        <v>23.0</v>
      </c>
      <c r="B24" s="36" t="s">
        <v>97</v>
      </c>
      <c r="C24" s="10" t="s">
        <v>98</v>
      </c>
      <c r="D24" s="13" t="s">
        <v>47</v>
      </c>
      <c r="E24" s="10" t="s">
        <v>19</v>
      </c>
    </row>
    <row r="25">
      <c r="A25" s="10">
        <v>24.0</v>
      </c>
      <c r="B25" s="36" t="s">
        <v>100</v>
      </c>
      <c r="C25" s="10" t="s">
        <v>103</v>
      </c>
      <c r="D25" s="13" t="s">
        <v>104</v>
      </c>
      <c r="E25" s="10" t="s">
        <v>19</v>
      </c>
    </row>
    <row r="26">
      <c r="A26" s="10">
        <v>25.0</v>
      </c>
      <c r="B26" s="36" t="s">
        <v>106</v>
      </c>
      <c r="C26" s="10" t="s">
        <v>107</v>
      </c>
      <c r="D26" s="13" t="s">
        <v>47</v>
      </c>
      <c r="E26" s="10" t="s">
        <v>19</v>
      </c>
    </row>
    <row r="27">
      <c r="A27" s="10">
        <v>26.0</v>
      </c>
      <c r="B27" s="36" t="s">
        <v>109</v>
      </c>
      <c r="C27" s="10" t="s">
        <v>110</v>
      </c>
      <c r="D27" s="13" t="s">
        <v>72</v>
      </c>
      <c r="E27" s="10" t="s">
        <v>19</v>
      </c>
    </row>
    <row r="28">
      <c r="A28" s="10">
        <v>27.0</v>
      </c>
      <c r="B28" s="10" t="s">
        <v>112</v>
      </c>
      <c r="C28" s="10" t="s">
        <v>113</v>
      </c>
      <c r="D28" s="13" t="s">
        <v>72</v>
      </c>
      <c r="E28" s="10" t="s">
        <v>19</v>
      </c>
    </row>
    <row r="29">
      <c r="A29" s="10">
        <v>28.0</v>
      </c>
      <c r="B29" s="10" t="s">
        <v>117</v>
      </c>
      <c r="C29" s="29" t="s">
        <v>53</v>
      </c>
      <c r="D29" s="14"/>
      <c r="E29" s="16"/>
    </row>
    <row r="30">
      <c r="A30" s="10">
        <v>29.0</v>
      </c>
      <c r="B30" s="10" t="s">
        <v>119</v>
      </c>
      <c r="C30" s="10" t="s">
        <v>120</v>
      </c>
      <c r="D30" s="13" t="s">
        <v>104</v>
      </c>
      <c r="E30" s="10" t="s">
        <v>19</v>
      </c>
    </row>
    <row r="31">
      <c r="A31" s="27">
        <v>30.0</v>
      </c>
      <c r="B31" s="10" t="s">
        <v>122</v>
      </c>
      <c r="C31" s="27" t="s">
        <v>123</v>
      </c>
      <c r="D31" s="13" t="s">
        <v>104</v>
      </c>
      <c r="E31" s="10" t="s">
        <v>19</v>
      </c>
    </row>
    <row r="32">
      <c r="A32" s="27">
        <v>31.0</v>
      </c>
      <c r="B32" s="10" t="s">
        <v>127</v>
      </c>
      <c r="C32" s="27" t="s">
        <v>128</v>
      </c>
      <c r="D32" s="13" t="s">
        <v>104</v>
      </c>
      <c r="E32" s="10" t="s">
        <v>19</v>
      </c>
    </row>
    <row r="33">
      <c r="A33" s="27">
        <v>32.0</v>
      </c>
      <c r="B33" s="10" t="s">
        <v>130</v>
      </c>
      <c r="C33" s="27" t="s">
        <v>131</v>
      </c>
      <c r="D33" s="13" t="s">
        <v>51</v>
      </c>
      <c r="E33" s="10" t="s">
        <v>19</v>
      </c>
    </row>
    <row r="34">
      <c r="A34" s="27">
        <v>33.0</v>
      </c>
      <c r="B34" s="10" t="s">
        <v>133</v>
      </c>
      <c r="C34" s="27" t="s">
        <v>136</v>
      </c>
      <c r="D34" s="13" t="s">
        <v>72</v>
      </c>
      <c r="E34" s="10" t="s">
        <v>19</v>
      </c>
    </row>
    <row r="35">
      <c r="A35" s="27">
        <v>34.0</v>
      </c>
      <c r="B35" s="10" t="s">
        <v>138</v>
      </c>
      <c r="C35" s="27" t="s">
        <v>139</v>
      </c>
      <c r="D35" s="13"/>
      <c r="E35" s="13"/>
    </row>
    <row r="36">
      <c r="A36" s="27">
        <v>35.0</v>
      </c>
      <c r="B36" s="10" t="s">
        <v>143</v>
      </c>
      <c r="C36" s="29" t="s">
        <v>53</v>
      </c>
      <c r="D36" s="14"/>
      <c r="E36" s="16"/>
    </row>
    <row r="37">
      <c r="A37" s="27">
        <v>36.0</v>
      </c>
      <c r="B37" s="10" t="s">
        <v>145</v>
      </c>
      <c r="C37" s="27" t="s">
        <v>146</v>
      </c>
      <c r="D37" s="13" t="s">
        <v>47</v>
      </c>
      <c r="E37" s="10" t="s">
        <v>19</v>
      </c>
    </row>
    <row r="38">
      <c r="A38" s="18">
        <v>37.0</v>
      </c>
      <c r="B38" s="10" t="s">
        <v>148</v>
      </c>
      <c r="C38" s="27" t="s">
        <v>149</v>
      </c>
      <c r="D38" s="13" t="s">
        <v>104</v>
      </c>
      <c r="E38" s="10" t="s">
        <v>19</v>
      </c>
    </row>
    <row r="39">
      <c r="A39" s="27">
        <v>38.0</v>
      </c>
      <c r="B39" s="30">
        <v>46029.0</v>
      </c>
      <c r="C39" s="27" t="s">
        <v>154</v>
      </c>
      <c r="D39" s="13" t="s">
        <v>51</v>
      </c>
      <c r="E39" s="10" t="s">
        <v>19</v>
      </c>
    </row>
    <row r="40">
      <c r="A40" s="27">
        <v>39.0</v>
      </c>
      <c r="B40" s="39">
        <v>46060.0</v>
      </c>
      <c r="C40" s="27" t="s">
        <v>157</v>
      </c>
      <c r="D40" s="13" t="s">
        <v>16</v>
      </c>
      <c r="E40" s="10" t="s">
        <v>19</v>
      </c>
    </row>
    <row r="41">
      <c r="A41" s="27">
        <v>40.0</v>
      </c>
      <c r="B41" s="39">
        <v>46088.0</v>
      </c>
      <c r="C41" s="27" t="s">
        <v>157</v>
      </c>
      <c r="D41" s="13" t="s">
        <v>72</v>
      </c>
      <c r="E41" s="10" t="s">
        <v>19</v>
      </c>
    </row>
    <row r="42">
      <c r="A42" s="27">
        <v>41.0</v>
      </c>
      <c r="B42" s="39">
        <v>46119.0</v>
      </c>
      <c r="C42" s="27" t="s">
        <v>163</v>
      </c>
      <c r="D42" s="13" t="s">
        <v>104</v>
      </c>
      <c r="E42" s="10" t="s">
        <v>19</v>
      </c>
    </row>
    <row r="43">
      <c r="A43" s="27">
        <v>42.0</v>
      </c>
      <c r="B43" s="39">
        <v>46149.0</v>
      </c>
      <c r="C43" s="29" t="s">
        <v>53</v>
      </c>
      <c r="D43" s="14"/>
      <c r="E43" s="16"/>
    </row>
    <row r="44">
      <c r="A44" s="27">
        <v>43.0</v>
      </c>
      <c r="B44" s="39">
        <v>46180.0</v>
      </c>
      <c r="C44" s="27" t="s">
        <v>165</v>
      </c>
      <c r="D44" s="13" t="s">
        <v>16</v>
      </c>
      <c r="E44" s="10" t="s">
        <v>19</v>
      </c>
    </row>
    <row r="45">
      <c r="A45" s="27">
        <v>44.0</v>
      </c>
      <c r="B45" s="39">
        <v>46210.0</v>
      </c>
      <c r="C45" s="27" t="s">
        <v>169</v>
      </c>
      <c r="D45" s="13" t="s">
        <v>104</v>
      </c>
      <c r="E45" s="10" t="s">
        <v>19</v>
      </c>
    </row>
    <row r="46">
      <c r="A46" s="27">
        <v>45.0</v>
      </c>
      <c r="B46" s="39">
        <v>46241.0</v>
      </c>
      <c r="C46" s="27" t="s">
        <v>171</v>
      </c>
      <c r="D46" s="13" t="s">
        <v>47</v>
      </c>
      <c r="E46" s="10" t="s">
        <v>19</v>
      </c>
    </row>
    <row r="47">
      <c r="A47" s="18">
        <v>46.0</v>
      </c>
      <c r="B47" s="39">
        <v>46272.0</v>
      </c>
      <c r="C47" s="27" t="s">
        <v>173</v>
      </c>
      <c r="D47" s="13" t="s">
        <v>47</v>
      </c>
      <c r="E47" s="10" t="s">
        <v>19</v>
      </c>
    </row>
    <row r="48">
      <c r="A48" s="18">
        <v>47.0</v>
      </c>
      <c r="B48" s="39">
        <v>46302.0</v>
      </c>
      <c r="C48" s="27" t="s">
        <v>175</v>
      </c>
      <c r="D48" s="13" t="s">
        <v>47</v>
      </c>
      <c r="E48" s="10" t="s">
        <v>19</v>
      </c>
    </row>
    <row r="49">
      <c r="A49" s="18">
        <v>48.0</v>
      </c>
      <c r="B49" s="39">
        <v>46333.0</v>
      </c>
      <c r="C49" s="27" t="s">
        <v>178</v>
      </c>
      <c r="D49" s="35"/>
      <c r="E49" s="10" t="s">
        <v>19</v>
      </c>
    </row>
    <row r="50">
      <c r="A50" s="18">
        <v>49.0</v>
      </c>
      <c r="B50" s="39">
        <v>46363.0</v>
      </c>
      <c r="C50" s="29" t="s">
        <v>53</v>
      </c>
      <c r="D50" s="14"/>
      <c r="E50" s="16"/>
    </row>
    <row r="51">
      <c r="A51" s="18">
        <v>50.0</v>
      </c>
      <c r="B51" s="43" t="s">
        <v>181</v>
      </c>
      <c r="C51" s="27" t="s">
        <v>183</v>
      </c>
      <c r="D51" s="13" t="s">
        <v>47</v>
      </c>
      <c r="E51" s="10" t="s">
        <v>19</v>
      </c>
    </row>
  </sheetData>
  <mergeCells count="7">
    <mergeCell ref="C8:E8"/>
    <mergeCell ref="C15:E15"/>
    <mergeCell ref="C22:E22"/>
    <mergeCell ref="C29:E29"/>
    <mergeCell ref="C36:E36"/>
    <mergeCell ref="C43:E43"/>
    <mergeCell ref="C50:E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5.88"/>
  </cols>
  <sheetData>
    <row r="1">
      <c r="A1" s="1"/>
      <c r="B1" s="1"/>
      <c r="C1" s="1"/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11.0</v>
      </c>
      <c r="N1" s="3"/>
      <c r="O1" s="7"/>
      <c r="P1" s="7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11" t="s">
        <v>2</v>
      </c>
      <c r="B2" s="11" t="s">
        <v>3</v>
      </c>
      <c r="C2" s="11" t="s">
        <v>4</v>
      </c>
      <c r="D2" s="15" t="s">
        <v>17</v>
      </c>
      <c r="E2" s="15" t="s">
        <v>20</v>
      </c>
      <c r="F2" s="15" t="s">
        <v>22</v>
      </c>
      <c r="G2" s="15" t="s">
        <v>23</v>
      </c>
      <c r="H2" s="15" t="s">
        <v>24</v>
      </c>
      <c r="I2" s="15" t="s">
        <v>25</v>
      </c>
      <c r="J2" s="15" t="s">
        <v>27</v>
      </c>
      <c r="K2" s="15" t="s">
        <v>28</v>
      </c>
      <c r="L2" s="15" t="s">
        <v>29</v>
      </c>
      <c r="M2" s="15" t="s">
        <v>31</v>
      </c>
      <c r="N2" s="15" t="s">
        <v>33</v>
      </c>
      <c r="O2" s="20" t="s">
        <v>35</v>
      </c>
      <c r="P2" s="16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22">
        <v>1.0</v>
      </c>
      <c r="B3" s="24" t="s">
        <v>44</v>
      </c>
      <c r="C3" s="25" t="s">
        <v>46</v>
      </c>
      <c r="D3" s="27">
        <v>48.0</v>
      </c>
      <c r="E3" s="27">
        <v>40.0</v>
      </c>
      <c r="F3" s="27">
        <v>40.0</v>
      </c>
      <c r="G3" s="27">
        <v>37.0</v>
      </c>
      <c r="H3" s="27">
        <v>40.0</v>
      </c>
      <c r="I3" s="27" t="s">
        <v>55</v>
      </c>
      <c r="J3" s="27">
        <v>38.0</v>
      </c>
      <c r="K3" s="27">
        <v>38.0</v>
      </c>
      <c r="L3" s="27">
        <v>39.0</v>
      </c>
      <c r="M3" s="27">
        <v>40.0</v>
      </c>
      <c r="N3" s="27">
        <v>38.0</v>
      </c>
      <c r="O3" s="31">
        <f t="shared" ref="O3:O16" si="1">Countif(D3:N3,"Absent")</f>
        <v>1</v>
      </c>
      <c r="Q3" s="31" t="str">
        <f>IFERROR(__xludf.DUMMYFUNCTION("TEXTJOIN("", "",TRUE,FILTER(D$1:N$1, D3:N3=""Absent""))"),"6")</f>
        <v>6</v>
      </c>
      <c r="R3" s="31">
        <f t="shared" ref="R3:R17" si="2">countif(D3:N3,"Absent")</f>
        <v>1</v>
      </c>
    </row>
    <row r="4">
      <c r="A4" s="22">
        <v>2.0</v>
      </c>
      <c r="B4" s="32" t="s">
        <v>69</v>
      </c>
      <c r="C4" s="25" t="s">
        <v>73</v>
      </c>
      <c r="D4" s="27">
        <v>47.0</v>
      </c>
      <c r="E4" s="27">
        <v>40.0</v>
      </c>
      <c r="F4" s="27">
        <v>39.0</v>
      </c>
      <c r="G4" s="27">
        <v>33.0</v>
      </c>
      <c r="H4" s="27">
        <v>37.0</v>
      </c>
      <c r="I4" s="27">
        <v>36.0</v>
      </c>
      <c r="J4" s="27">
        <v>36.0</v>
      </c>
      <c r="K4" s="27">
        <v>35.0</v>
      </c>
      <c r="L4" s="27">
        <v>39.0</v>
      </c>
      <c r="M4" s="27">
        <v>40.0</v>
      </c>
      <c r="N4" s="27">
        <v>36.0</v>
      </c>
      <c r="O4" s="31">
        <f t="shared" si="1"/>
        <v>0</v>
      </c>
      <c r="Q4" s="31" t="str">
        <f>IFERROR(__xludf.DUMMYFUNCTION("TEXTJOIN("", "",TRUE,FILTER(D$1:N$1, D4:N4=""Absent""))"),"#N/A")</f>
        <v>#N/A</v>
      </c>
      <c r="R4" s="31">
        <f t="shared" si="2"/>
        <v>0</v>
      </c>
    </row>
    <row r="5">
      <c r="A5" s="22">
        <v>3.0</v>
      </c>
      <c r="B5" s="32" t="s">
        <v>78</v>
      </c>
      <c r="C5" s="25" t="s">
        <v>80</v>
      </c>
      <c r="D5" s="27">
        <v>47.0</v>
      </c>
      <c r="E5" s="27">
        <v>36.0</v>
      </c>
      <c r="F5" s="35"/>
      <c r="G5" s="27">
        <v>37.0</v>
      </c>
      <c r="H5" s="35"/>
      <c r="I5" s="27" t="s">
        <v>55</v>
      </c>
      <c r="J5" s="27">
        <v>35.0</v>
      </c>
      <c r="K5" s="27">
        <v>32.0</v>
      </c>
      <c r="L5" s="27">
        <v>31.0</v>
      </c>
      <c r="M5" s="35"/>
      <c r="N5" s="27">
        <v>35.0</v>
      </c>
      <c r="O5" s="31">
        <f t="shared" si="1"/>
        <v>1</v>
      </c>
      <c r="Q5" s="31" t="str">
        <f>IFERROR(__xludf.DUMMYFUNCTION("TEXTJOIN("", "",TRUE,FILTER(D$1:N$1, D5:N5=""Absent""))"),"6")</f>
        <v>6</v>
      </c>
      <c r="R5" s="31">
        <f t="shared" si="2"/>
        <v>1</v>
      </c>
    </row>
    <row r="6">
      <c r="A6" s="22">
        <v>4.0</v>
      </c>
      <c r="B6" s="24" t="s">
        <v>89</v>
      </c>
      <c r="C6" s="25" t="s">
        <v>90</v>
      </c>
      <c r="D6" s="27">
        <v>43.0</v>
      </c>
      <c r="E6" s="27">
        <v>39.0</v>
      </c>
      <c r="F6" s="27">
        <v>38.0</v>
      </c>
      <c r="G6" s="35"/>
      <c r="H6" s="35"/>
      <c r="I6" s="27">
        <v>39.0</v>
      </c>
      <c r="J6" s="27">
        <v>38.0</v>
      </c>
      <c r="K6" s="27">
        <v>40.0</v>
      </c>
      <c r="L6" s="27">
        <v>38.0</v>
      </c>
      <c r="M6" s="27">
        <v>40.0</v>
      </c>
      <c r="N6" s="27">
        <v>36.0</v>
      </c>
      <c r="O6" s="31">
        <f t="shared" si="1"/>
        <v>0</v>
      </c>
      <c r="Q6" s="31" t="str">
        <f>IFERROR(__xludf.DUMMYFUNCTION("TEXTJOIN("", "",TRUE,FILTER(D$1:N$1, D6:N6=""Absent""))"),"#N/A")</f>
        <v>#N/A</v>
      </c>
      <c r="R6" s="31">
        <f t="shared" si="2"/>
        <v>0</v>
      </c>
    </row>
    <row r="7">
      <c r="A7" s="22">
        <v>5.0</v>
      </c>
      <c r="B7" s="24" t="s">
        <v>101</v>
      </c>
      <c r="C7" s="25" t="s">
        <v>102</v>
      </c>
      <c r="D7" s="27">
        <v>46.0</v>
      </c>
      <c r="E7" s="27">
        <v>34.0</v>
      </c>
      <c r="F7" s="27">
        <v>37.0</v>
      </c>
      <c r="G7" s="27">
        <v>38.0</v>
      </c>
      <c r="H7" s="27">
        <v>38.0</v>
      </c>
      <c r="I7" s="27">
        <v>37.0</v>
      </c>
      <c r="J7" s="27">
        <v>32.0</v>
      </c>
      <c r="K7" s="27">
        <v>39.0</v>
      </c>
      <c r="L7" s="27">
        <v>39.0</v>
      </c>
      <c r="M7" s="27">
        <v>40.0</v>
      </c>
      <c r="N7" s="27">
        <v>38.0</v>
      </c>
      <c r="O7" s="31">
        <f t="shared" si="1"/>
        <v>0</v>
      </c>
      <c r="Q7" s="31" t="str">
        <f>IFERROR(__xludf.DUMMYFUNCTION("TEXTJOIN("", "",TRUE,FILTER(D$1:N$1, D7:N7=""Absent""))"),"#N/A")</f>
        <v>#N/A</v>
      </c>
      <c r="R7" s="31">
        <f t="shared" si="2"/>
        <v>0</v>
      </c>
    </row>
    <row r="8">
      <c r="A8" s="22">
        <v>6.0</v>
      </c>
      <c r="B8" s="24" t="s">
        <v>114</v>
      </c>
      <c r="C8" s="25" t="s">
        <v>116</v>
      </c>
      <c r="D8" s="27">
        <v>38.0</v>
      </c>
      <c r="E8" s="27">
        <v>37.0</v>
      </c>
      <c r="F8" s="27">
        <v>35.0</v>
      </c>
      <c r="G8" s="27">
        <v>35.0</v>
      </c>
      <c r="H8" s="27">
        <v>39.0</v>
      </c>
      <c r="I8" s="27">
        <v>38.0</v>
      </c>
      <c r="J8" s="27">
        <v>37.0</v>
      </c>
      <c r="K8" s="27">
        <v>39.0</v>
      </c>
      <c r="L8" s="27">
        <v>38.0</v>
      </c>
      <c r="M8" s="27">
        <v>40.0</v>
      </c>
      <c r="N8" s="27">
        <v>37.0</v>
      </c>
      <c r="O8" s="31">
        <f t="shared" si="1"/>
        <v>0</v>
      </c>
      <c r="Q8" s="31" t="str">
        <f>IFERROR(__xludf.DUMMYFUNCTION("TEXTJOIN("", "",TRUE,FILTER(D$1:N$1, D8:N8=""Absent""))"),"#N/A")</f>
        <v>#N/A</v>
      </c>
      <c r="R8" s="31">
        <f t="shared" si="2"/>
        <v>0</v>
      </c>
    </row>
    <row r="9">
      <c r="A9" s="22">
        <v>7.0</v>
      </c>
      <c r="B9" s="24" t="s">
        <v>124</v>
      </c>
      <c r="C9" s="25" t="s">
        <v>126</v>
      </c>
      <c r="D9" s="27" t="s">
        <v>55</v>
      </c>
      <c r="E9" s="27" t="s">
        <v>55</v>
      </c>
      <c r="F9" s="27" t="s">
        <v>55</v>
      </c>
      <c r="G9" s="27" t="s">
        <v>55</v>
      </c>
      <c r="H9" s="27" t="s">
        <v>55</v>
      </c>
      <c r="I9" s="27" t="s">
        <v>55</v>
      </c>
      <c r="J9" s="27" t="s">
        <v>55</v>
      </c>
      <c r="K9" s="27">
        <v>35.0</v>
      </c>
      <c r="L9" s="27" t="s">
        <v>134</v>
      </c>
      <c r="M9" s="27" t="s">
        <v>134</v>
      </c>
      <c r="N9" s="27" t="s">
        <v>134</v>
      </c>
      <c r="O9" s="31">
        <f t="shared" si="1"/>
        <v>7</v>
      </c>
      <c r="Q9" s="31" t="str">
        <f>IFERROR(__xludf.DUMMYFUNCTION("TEXTJOIN("", "",TRUE,FILTER(D$1:N$1, D9:N9=""Absent""))"),"1, 2, 3, 4, 5, 6, 7")</f>
        <v>1, 2, 3, 4, 5, 6, 7</v>
      </c>
      <c r="R9" s="31">
        <f t="shared" si="2"/>
        <v>7</v>
      </c>
    </row>
    <row r="10">
      <c r="A10" s="22">
        <v>8.0</v>
      </c>
      <c r="B10" s="24" t="s">
        <v>140</v>
      </c>
      <c r="C10" s="25" t="s">
        <v>141</v>
      </c>
      <c r="D10" s="27" t="s">
        <v>55</v>
      </c>
      <c r="E10" s="27" t="s">
        <v>55</v>
      </c>
      <c r="F10" s="27" t="s">
        <v>55</v>
      </c>
      <c r="G10" s="27" t="s">
        <v>55</v>
      </c>
      <c r="H10" s="27">
        <v>38.0</v>
      </c>
      <c r="I10" s="27">
        <v>37.0</v>
      </c>
      <c r="J10" s="27">
        <v>40.0</v>
      </c>
      <c r="K10" s="27" t="s">
        <v>55</v>
      </c>
      <c r="L10" s="27">
        <v>39.0</v>
      </c>
      <c r="M10" s="27">
        <v>35.0</v>
      </c>
      <c r="N10" s="27">
        <v>40.0</v>
      </c>
      <c r="O10" s="31">
        <f t="shared" si="1"/>
        <v>5</v>
      </c>
      <c r="Q10" s="31" t="str">
        <f>IFERROR(__xludf.DUMMYFUNCTION("TEXTJOIN("", "",TRUE,FILTER(D$1:N$1, D10:N10=""Absent""))"),"1, 2, 3, 4, 8")</f>
        <v>1, 2, 3, 4, 8</v>
      </c>
      <c r="R10" s="31">
        <f t="shared" si="2"/>
        <v>5</v>
      </c>
    </row>
    <row r="11">
      <c r="A11" s="22">
        <v>9.0</v>
      </c>
      <c r="B11" s="24" t="s">
        <v>151</v>
      </c>
      <c r="C11" s="25" t="s">
        <v>152</v>
      </c>
      <c r="D11" s="27">
        <v>47.0</v>
      </c>
      <c r="E11" s="27">
        <v>40.0</v>
      </c>
      <c r="F11" s="27">
        <v>40.0</v>
      </c>
      <c r="G11" s="27">
        <v>40.0</v>
      </c>
      <c r="H11" s="35"/>
      <c r="I11" s="27">
        <v>39.0</v>
      </c>
      <c r="J11" s="27">
        <v>39.0</v>
      </c>
      <c r="K11" s="27">
        <v>39.0</v>
      </c>
      <c r="L11" s="27">
        <v>38.0</v>
      </c>
      <c r="M11" s="27">
        <v>40.0</v>
      </c>
      <c r="N11" s="27">
        <v>40.0</v>
      </c>
      <c r="O11" s="31">
        <f t="shared" si="1"/>
        <v>0</v>
      </c>
      <c r="Q11" s="31" t="str">
        <f>IFERROR(__xludf.DUMMYFUNCTION("TEXTJOIN("", "",TRUE,FILTER(D$1:N$1, D11:N11=""Absent""))"),"#N/A")</f>
        <v>#N/A</v>
      </c>
      <c r="R11" s="31">
        <f t="shared" si="2"/>
        <v>0</v>
      </c>
    </row>
    <row r="12">
      <c r="A12" s="22">
        <v>10.0</v>
      </c>
      <c r="B12" s="24" t="s">
        <v>159</v>
      </c>
      <c r="C12" s="25" t="s">
        <v>161</v>
      </c>
      <c r="D12" s="27">
        <v>39.0</v>
      </c>
      <c r="E12" s="35"/>
      <c r="F12" s="27">
        <v>30.0</v>
      </c>
      <c r="G12" s="27">
        <v>21.0</v>
      </c>
      <c r="H12" s="27">
        <v>23.0</v>
      </c>
      <c r="I12" s="27" t="s">
        <v>55</v>
      </c>
      <c r="J12" s="27">
        <v>26.0</v>
      </c>
      <c r="K12" s="27">
        <v>27.0</v>
      </c>
      <c r="L12" s="27">
        <v>21.0</v>
      </c>
      <c r="M12" s="27">
        <v>27.0</v>
      </c>
      <c r="N12" s="27">
        <v>26.0</v>
      </c>
      <c r="O12" s="31">
        <f t="shared" si="1"/>
        <v>1</v>
      </c>
      <c r="Q12" s="31" t="str">
        <f>IFERROR(__xludf.DUMMYFUNCTION("TEXTJOIN("", "",TRUE,FILTER(D$1:N$1, D12:N12=""Absent""))"),"6")</f>
        <v>6</v>
      </c>
      <c r="R12" s="31">
        <f t="shared" si="2"/>
        <v>1</v>
      </c>
    </row>
    <row r="13">
      <c r="A13" s="22">
        <v>11.0</v>
      </c>
      <c r="B13" s="24" t="s">
        <v>166</v>
      </c>
      <c r="C13" s="25" t="s">
        <v>167</v>
      </c>
      <c r="D13" s="27">
        <v>44.0</v>
      </c>
      <c r="E13" s="27">
        <v>38.0</v>
      </c>
      <c r="F13" s="27">
        <v>37.0</v>
      </c>
      <c r="G13" s="27">
        <v>34.0</v>
      </c>
      <c r="H13" s="27">
        <v>37.0</v>
      </c>
      <c r="I13" s="27">
        <v>39.0</v>
      </c>
      <c r="J13" s="27">
        <v>39.0</v>
      </c>
      <c r="K13" s="27">
        <v>40.0</v>
      </c>
      <c r="L13" s="27">
        <v>39.0</v>
      </c>
      <c r="M13" s="27">
        <v>38.0</v>
      </c>
      <c r="N13" s="27">
        <v>40.0</v>
      </c>
      <c r="O13" s="31">
        <f t="shared" si="1"/>
        <v>0</v>
      </c>
      <c r="Q13" s="31" t="str">
        <f>IFERROR(__xludf.DUMMYFUNCTION("TEXTJOIN("", "",TRUE,FILTER(D$1:N$1, D13:N13=""Absent""))"),"#N/A")</f>
        <v>#N/A</v>
      </c>
      <c r="R13" s="31">
        <f t="shared" si="2"/>
        <v>0</v>
      </c>
    </row>
    <row r="14">
      <c r="A14" s="40">
        <v>12.0</v>
      </c>
      <c r="B14" s="41" t="s">
        <v>177</v>
      </c>
      <c r="C14" s="42" t="s">
        <v>179</v>
      </c>
      <c r="D14" s="27" t="s">
        <v>55</v>
      </c>
      <c r="E14" s="27" t="s">
        <v>55</v>
      </c>
      <c r="F14" s="27">
        <v>38.0</v>
      </c>
      <c r="G14" s="27">
        <v>37.0</v>
      </c>
      <c r="H14" s="35"/>
      <c r="I14" s="27" t="s">
        <v>55</v>
      </c>
      <c r="J14" s="27" t="s">
        <v>55</v>
      </c>
      <c r="K14" s="27">
        <v>39.0</v>
      </c>
      <c r="L14" s="27">
        <v>37.0</v>
      </c>
      <c r="M14" s="27">
        <v>40.0</v>
      </c>
      <c r="N14" s="27" t="s">
        <v>134</v>
      </c>
      <c r="O14" s="31">
        <f t="shared" si="1"/>
        <v>4</v>
      </c>
      <c r="Q14" s="31" t="str">
        <f>IFERROR(__xludf.DUMMYFUNCTION("TEXTJOIN("", "",TRUE,FILTER(D$1:N$1, D14:N14=""Absent""))"),"1, 2, 6, 7")</f>
        <v>1, 2, 6, 7</v>
      </c>
      <c r="R14" s="31">
        <f t="shared" si="2"/>
        <v>4</v>
      </c>
    </row>
    <row r="15">
      <c r="A15" s="22">
        <v>13.0</v>
      </c>
      <c r="B15" s="40" t="s">
        <v>186</v>
      </c>
      <c r="C15" s="42" t="s">
        <v>187</v>
      </c>
      <c r="D15" s="27" t="s">
        <v>55</v>
      </c>
      <c r="E15" s="27" t="s">
        <v>55</v>
      </c>
      <c r="F15" s="27" t="s">
        <v>55</v>
      </c>
      <c r="G15" s="27" t="s">
        <v>55</v>
      </c>
      <c r="H15" s="27" t="s">
        <v>55</v>
      </c>
      <c r="I15" s="27" t="s">
        <v>55</v>
      </c>
      <c r="J15" s="27">
        <v>37.0</v>
      </c>
      <c r="K15" s="27">
        <v>37.0</v>
      </c>
      <c r="L15" s="27">
        <v>37.0</v>
      </c>
      <c r="M15" s="27" t="s">
        <v>134</v>
      </c>
      <c r="N15" s="27">
        <v>37.0</v>
      </c>
      <c r="O15" s="31">
        <f t="shared" si="1"/>
        <v>6</v>
      </c>
      <c r="Q15" s="31" t="str">
        <f>IFERROR(__xludf.DUMMYFUNCTION("TEXTJOIN("", "",TRUE,FILTER(D$1:N$1, D15:N15=""Absent""))"),"1, 2, 3, 4, 5, 6")</f>
        <v>1, 2, 3, 4, 5, 6</v>
      </c>
      <c r="R15" s="31">
        <f t="shared" si="2"/>
        <v>6</v>
      </c>
    </row>
    <row r="16">
      <c r="A16" s="22">
        <v>14.0</v>
      </c>
      <c r="B16" s="42" t="s">
        <v>192</v>
      </c>
      <c r="C16" s="42" t="s">
        <v>194</v>
      </c>
      <c r="D16" s="27" t="s">
        <v>55</v>
      </c>
      <c r="E16" s="27" t="s">
        <v>55</v>
      </c>
      <c r="F16" s="27" t="s">
        <v>55</v>
      </c>
      <c r="G16" s="27" t="s">
        <v>55</v>
      </c>
      <c r="H16" s="27" t="s">
        <v>55</v>
      </c>
      <c r="I16" s="27" t="s">
        <v>55</v>
      </c>
      <c r="J16" s="27" t="s">
        <v>55</v>
      </c>
      <c r="K16" s="27" t="s">
        <v>55</v>
      </c>
      <c r="L16" s="27" t="s">
        <v>134</v>
      </c>
      <c r="M16" s="27" t="s">
        <v>134</v>
      </c>
      <c r="N16" s="27" t="s">
        <v>134</v>
      </c>
      <c r="O16" s="31">
        <f t="shared" si="1"/>
        <v>8</v>
      </c>
      <c r="Q16" s="31" t="str">
        <f>IFERROR(__xludf.DUMMYFUNCTION("TEXTJOIN("", "",TRUE,FILTER(D$1:N$1, D16:N16=""Absent""))"),"1, 2, 3, 4, 5, 6, 7, 8")</f>
        <v>1, 2, 3, 4, 5, 6, 7, 8</v>
      </c>
      <c r="R16" s="31">
        <f t="shared" si="2"/>
        <v>8</v>
      </c>
    </row>
    <row r="17">
      <c r="A17" s="44">
        <v>15.0</v>
      </c>
      <c r="B17" s="45" t="s">
        <v>199</v>
      </c>
      <c r="C17" s="46" t="s">
        <v>201</v>
      </c>
      <c r="D17" s="27" t="s">
        <v>55</v>
      </c>
      <c r="E17" s="27" t="s">
        <v>55</v>
      </c>
      <c r="F17" s="27" t="s">
        <v>55</v>
      </c>
      <c r="G17" s="27" t="s">
        <v>55</v>
      </c>
      <c r="H17" s="27" t="s">
        <v>55</v>
      </c>
      <c r="I17" s="27" t="s">
        <v>55</v>
      </c>
      <c r="J17" s="27" t="s">
        <v>55</v>
      </c>
      <c r="K17" s="27" t="s">
        <v>55</v>
      </c>
      <c r="L17" s="27" t="s">
        <v>134</v>
      </c>
      <c r="M17" s="27" t="s">
        <v>134</v>
      </c>
      <c r="N17" s="27" t="s">
        <v>134</v>
      </c>
      <c r="R17" s="31">
        <f t="shared" si="2"/>
        <v>8</v>
      </c>
    </row>
    <row r="18">
      <c r="A18" s="35"/>
      <c r="B18" s="49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>
      <c r="A19" s="35"/>
      <c r="B19" s="49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R19" s="31" t="str">
        <f>IFERROR(__xludf.DUMMYFUNCTION("FILTER(B3:C17,R3:R17)"),"Jayendra choudhary")</f>
        <v>Jayendra choudhary</v>
      </c>
      <c r="S19" s="31" t="str">
        <f>IFERROR(__xludf.DUMMYFUNCTION("""COMPUTED_VALUE"""),"24EACAD047")</f>
        <v>24EACAD047</v>
      </c>
    </row>
    <row r="20">
      <c r="A20" s="35"/>
      <c r="B20" s="49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R20" s="31" t="str">
        <f>IFERROR(__xludf.DUMMYFUNCTION("""COMPUTED_VALUE"""),"Sahil Suman")</f>
        <v>Sahil Suman</v>
      </c>
      <c r="S20" s="31" t="str">
        <f>IFERROR(__xludf.DUMMYFUNCTION("""COMPUTED_VALUE"""),"24EACAD009")</f>
        <v>24EACAD009</v>
      </c>
    </row>
    <row r="21">
      <c r="B21" s="53"/>
      <c r="R21" s="31" t="str">
        <f>IFERROR(__xludf.DUMMYFUNCTION("""COMPUTED_VALUE"""),"Sanjiv Kumar")</f>
        <v>Sanjiv Kumar</v>
      </c>
      <c r="S21" s="31" t="str">
        <f>IFERROR(__xludf.DUMMYFUNCTION("""COMPUTED_VALUE"""),"24EACAD091")</f>
        <v>24EACAD091</v>
      </c>
    </row>
    <row r="22">
      <c r="B22" s="53"/>
      <c r="R22" s="31" t="str">
        <f>IFERROR(__xludf.DUMMYFUNCTION("""COMPUTED_VALUE"""),"Mohit sharma")</f>
        <v>Mohit sharma</v>
      </c>
      <c r="S22" s="31" t="str">
        <f>IFERROR(__xludf.DUMMYFUNCTION("""COMPUTED_VALUE"""),"24EACCS147")</f>
        <v>24EACCS147</v>
      </c>
    </row>
    <row r="23">
      <c r="B23" s="53"/>
      <c r="R23" s="31" t="str">
        <f>IFERROR(__xludf.DUMMYFUNCTION("""COMPUTED_VALUE"""),"Rohit Rajput")</f>
        <v>Rohit Rajput</v>
      </c>
      <c r="S23" s="31" t="str">
        <f>IFERROR(__xludf.DUMMYFUNCTION("""COMPUTED_VALUE"""),"24EACCS025")</f>
        <v>24EACCS025</v>
      </c>
    </row>
    <row r="24">
      <c r="B24" s="53"/>
      <c r="R24" s="31" t="str">
        <f>IFERROR(__xludf.DUMMYFUNCTION("""COMPUTED_VALUE"""),"Srawan Mali")</f>
        <v>Srawan Mali</v>
      </c>
      <c r="S24" s="31" t="str">
        <f>IFERROR(__xludf.DUMMYFUNCTION("""COMPUTED_VALUE"""),"23EACCC054")</f>
        <v>23EACCC054</v>
      </c>
    </row>
    <row r="25">
      <c r="B25" s="53"/>
      <c r="R25" s="31" t="str">
        <f>IFERROR(__xludf.DUMMYFUNCTION("""COMPUTED_VALUE"""),"Sagar mahawar")</f>
        <v>Sagar mahawar</v>
      </c>
      <c r="S25" s="31" t="str">
        <f>IFERROR(__xludf.DUMMYFUNCTION("""COMPUTED_VALUE"""),"23EACCC050")</f>
        <v>23EACCC050</v>
      </c>
    </row>
    <row r="26">
      <c r="B26" s="53"/>
      <c r="R26" s="31" t="str">
        <f>IFERROR(__xludf.DUMMYFUNCTION("""COMPUTED_VALUE"""),"Mohammed Sami Khan")</f>
        <v>Mohammed Sami Khan</v>
      </c>
      <c r="S26" s="31" t="str">
        <f>IFERROR(__xludf.DUMMYFUNCTION("""COMPUTED_VALUE"""),"23EACCC034")</f>
        <v>23EACCC034</v>
      </c>
    </row>
    <row r="27">
      <c r="B27" s="53"/>
      <c r="R27" s="31" t="str">
        <f>IFERROR(__xludf.DUMMYFUNCTION("""COMPUTED_VALUE"""),"Mohit Sharma")</f>
        <v>Mohit Sharma</v>
      </c>
      <c r="S27" s="31" t="str">
        <f>IFERROR(__xludf.DUMMYFUNCTION("""COMPUTED_VALUE"""),"23EACCC036")</f>
        <v>23EACCC036</v>
      </c>
    </row>
    <row r="28">
      <c r="B28" s="53"/>
    </row>
    <row r="29">
      <c r="B29" s="53"/>
    </row>
    <row r="30">
      <c r="B30" s="53"/>
    </row>
    <row r="31">
      <c r="B31" s="53"/>
    </row>
    <row r="32">
      <c r="B32" s="53"/>
    </row>
    <row r="33">
      <c r="B33" s="53"/>
    </row>
    <row r="34">
      <c r="B34" s="53"/>
    </row>
    <row r="35">
      <c r="B35" s="53"/>
    </row>
    <row r="36">
      <c r="B36" s="53"/>
    </row>
    <row r="37">
      <c r="B37" s="53"/>
    </row>
    <row r="38">
      <c r="B38" s="53"/>
    </row>
    <row r="39">
      <c r="B39" s="53"/>
    </row>
    <row r="40">
      <c r="B40" s="53"/>
    </row>
    <row r="41">
      <c r="B41" s="53"/>
    </row>
    <row r="42">
      <c r="B42" s="53"/>
    </row>
    <row r="43">
      <c r="B43" s="53"/>
    </row>
    <row r="44">
      <c r="B44" s="53"/>
    </row>
    <row r="45">
      <c r="B45" s="53"/>
    </row>
    <row r="46">
      <c r="B46" s="53"/>
    </row>
    <row r="47">
      <c r="B47" s="53"/>
    </row>
    <row r="48">
      <c r="B48" s="53"/>
    </row>
    <row r="49">
      <c r="B49" s="53"/>
    </row>
    <row r="50">
      <c r="B50" s="53"/>
    </row>
    <row r="51">
      <c r="B51" s="53"/>
    </row>
    <row r="52">
      <c r="B52" s="53"/>
    </row>
    <row r="53">
      <c r="B53" s="53"/>
    </row>
    <row r="54">
      <c r="B54" s="53"/>
    </row>
    <row r="55">
      <c r="B55" s="53"/>
    </row>
    <row r="56">
      <c r="B56" s="53"/>
    </row>
    <row r="57">
      <c r="B57" s="53"/>
    </row>
    <row r="58">
      <c r="B58" s="53"/>
    </row>
    <row r="59">
      <c r="B59" s="53"/>
    </row>
    <row r="60">
      <c r="B60" s="53"/>
    </row>
    <row r="61">
      <c r="B61" s="53"/>
    </row>
    <row r="62">
      <c r="B62" s="53"/>
    </row>
    <row r="63">
      <c r="B63" s="53"/>
    </row>
    <row r="64">
      <c r="B64" s="53"/>
    </row>
    <row r="65">
      <c r="B65" s="53"/>
    </row>
    <row r="66">
      <c r="B66" s="53"/>
    </row>
    <row r="67">
      <c r="B67" s="53"/>
    </row>
    <row r="68">
      <c r="B68" s="53"/>
    </row>
    <row r="69">
      <c r="B69" s="53"/>
    </row>
    <row r="70">
      <c r="B70" s="53"/>
    </row>
    <row r="71">
      <c r="B71" s="53"/>
    </row>
    <row r="72">
      <c r="B72" s="53"/>
    </row>
    <row r="73">
      <c r="B73" s="53"/>
    </row>
    <row r="74">
      <c r="B74" s="53"/>
    </row>
    <row r="75">
      <c r="B75" s="53"/>
    </row>
    <row r="76">
      <c r="B76" s="53"/>
    </row>
    <row r="77">
      <c r="B77" s="53"/>
    </row>
    <row r="78">
      <c r="B78" s="53"/>
    </row>
    <row r="79">
      <c r="B79" s="53"/>
    </row>
    <row r="80">
      <c r="B80" s="53"/>
    </row>
    <row r="81">
      <c r="B81" s="53"/>
    </row>
    <row r="82">
      <c r="B82" s="53"/>
    </row>
    <row r="83">
      <c r="B83" s="53"/>
    </row>
    <row r="84">
      <c r="B84" s="53"/>
    </row>
    <row r="85">
      <c r="B85" s="53"/>
    </row>
    <row r="86">
      <c r="B86" s="53"/>
    </row>
    <row r="87">
      <c r="B87" s="53"/>
    </row>
    <row r="88">
      <c r="B88" s="53"/>
    </row>
    <row r="89">
      <c r="B89" s="53"/>
    </row>
    <row r="90">
      <c r="B90" s="53"/>
    </row>
    <row r="91">
      <c r="B91" s="53"/>
    </row>
    <row r="92">
      <c r="B92" s="53"/>
    </row>
    <row r="93">
      <c r="B93" s="53"/>
    </row>
    <row r="94">
      <c r="B94" s="53"/>
    </row>
    <row r="95">
      <c r="B95" s="53"/>
    </row>
    <row r="96">
      <c r="B96" s="53"/>
    </row>
    <row r="97">
      <c r="B97" s="53"/>
    </row>
    <row r="98">
      <c r="B98" s="53"/>
    </row>
    <row r="99">
      <c r="B99" s="53"/>
    </row>
    <row r="100">
      <c r="B100" s="53"/>
    </row>
    <row r="101">
      <c r="B101" s="53"/>
    </row>
    <row r="102">
      <c r="B102" s="53"/>
    </row>
    <row r="103">
      <c r="B103" s="53"/>
    </row>
    <row r="104">
      <c r="B104" s="53"/>
    </row>
    <row r="105">
      <c r="B105" s="53"/>
    </row>
    <row r="106">
      <c r="B106" s="53"/>
    </row>
    <row r="107">
      <c r="B107" s="53"/>
    </row>
    <row r="108">
      <c r="B108" s="53"/>
    </row>
    <row r="109">
      <c r="B109" s="53"/>
    </row>
    <row r="110">
      <c r="B110" s="53"/>
    </row>
    <row r="111">
      <c r="B111" s="53"/>
    </row>
    <row r="112">
      <c r="B112" s="53"/>
    </row>
    <row r="113">
      <c r="B113" s="53"/>
    </row>
    <row r="114">
      <c r="B114" s="53"/>
    </row>
    <row r="115">
      <c r="B115" s="53"/>
    </row>
    <row r="116">
      <c r="B116" s="53"/>
    </row>
    <row r="117">
      <c r="B117" s="53"/>
    </row>
    <row r="118">
      <c r="B118" s="53"/>
    </row>
    <row r="119">
      <c r="B119" s="53"/>
    </row>
    <row r="120">
      <c r="B120" s="53"/>
    </row>
    <row r="121">
      <c r="B121" s="53"/>
    </row>
    <row r="122">
      <c r="B122" s="53"/>
    </row>
    <row r="123">
      <c r="B123" s="53"/>
    </row>
    <row r="124">
      <c r="B124" s="53"/>
    </row>
    <row r="125">
      <c r="B125" s="53"/>
    </row>
    <row r="126">
      <c r="B126" s="53"/>
    </row>
    <row r="127">
      <c r="B127" s="53"/>
    </row>
    <row r="128">
      <c r="B128" s="53"/>
    </row>
    <row r="129">
      <c r="B129" s="53"/>
    </row>
    <row r="130">
      <c r="B130" s="53"/>
    </row>
    <row r="131">
      <c r="B131" s="53"/>
    </row>
    <row r="132">
      <c r="B132" s="53"/>
    </row>
    <row r="133">
      <c r="B133" s="53"/>
    </row>
    <row r="134">
      <c r="B134" s="53"/>
    </row>
    <row r="135">
      <c r="B135" s="53"/>
    </row>
    <row r="136">
      <c r="B136" s="53"/>
    </row>
    <row r="137">
      <c r="B137" s="53"/>
    </row>
    <row r="138">
      <c r="B138" s="53"/>
    </row>
    <row r="139">
      <c r="B139" s="53"/>
    </row>
    <row r="140">
      <c r="B140" s="53"/>
    </row>
    <row r="141">
      <c r="B141" s="53"/>
    </row>
    <row r="142">
      <c r="B142" s="53"/>
    </row>
    <row r="143">
      <c r="B143" s="53"/>
    </row>
    <row r="144">
      <c r="B144" s="53"/>
    </row>
    <row r="145">
      <c r="B145" s="53"/>
    </row>
    <row r="146">
      <c r="B146" s="53"/>
    </row>
    <row r="147">
      <c r="B147" s="53"/>
    </row>
    <row r="148">
      <c r="B148" s="53"/>
    </row>
    <row r="149">
      <c r="B149" s="53"/>
    </row>
    <row r="150">
      <c r="B150" s="53"/>
    </row>
    <row r="151">
      <c r="B151" s="53"/>
    </row>
    <row r="152">
      <c r="B152" s="53"/>
    </row>
    <row r="153">
      <c r="B153" s="53"/>
    </row>
    <row r="154">
      <c r="B154" s="53"/>
    </row>
    <row r="155">
      <c r="B155" s="53"/>
    </row>
    <row r="156">
      <c r="B156" s="53"/>
    </row>
    <row r="157">
      <c r="B157" s="53"/>
    </row>
    <row r="158">
      <c r="B158" s="53"/>
    </row>
    <row r="159">
      <c r="B159" s="53"/>
    </row>
    <row r="160">
      <c r="B160" s="53"/>
    </row>
    <row r="161">
      <c r="B161" s="53"/>
    </row>
    <row r="162">
      <c r="B162" s="53"/>
    </row>
    <row r="163">
      <c r="B163" s="53"/>
    </row>
    <row r="164">
      <c r="B164" s="53"/>
    </row>
    <row r="165">
      <c r="B165" s="53"/>
    </row>
    <row r="166">
      <c r="B166" s="53"/>
    </row>
    <row r="167">
      <c r="B167" s="53"/>
    </row>
    <row r="168">
      <c r="B168" s="53"/>
    </row>
    <row r="169">
      <c r="B169" s="53"/>
    </row>
    <row r="170">
      <c r="B170" s="53"/>
    </row>
    <row r="171">
      <c r="B171" s="53"/>
    </row>
    <row r="172">
      <c r="B172" s="53"/>
    </row>
    <row r="173">
      <c r="B173" s="53"/>
    </row>
    <row r="174">
      <c r="B174" s="53"/>
    </row>
    <row r="175">
      <c r="B175" s="53"/>
    </row>
    <row r="176">
      <c r="B176" s="53"/>
    </row>
    <row r="177">
      <c r="B177" s="53"/>
    </row>
    <row r="178">
      <c r="B178" s="53"/>
    </row>
    <row r="179">
      <c r="B179" s="53"/>
    </row>
    <row r="180">
      <c r="B180" s="53"/>
    </row>
    <row r="181">
      <c r="B181" s="53"/>
    </row>
    <row r="182">
      <c r="B182" s="53"/>
    </row>
    <row r="183">
      <c r="B183" s="53"/>
    </row>
    <row r="184">
      <c r="B184" s="53"/>
    </row>
    <row r="185">
      <c r="B185" s="53"/>
    </row>
    <row r="186">
      <c r="B186" s="53"/>
    </row>
    <row r="187">
      <c r="B187" s="53"/>
    </row>
    <row r="188">
      <c r="B188" s="53"/>
    </row>
    <row r="189">
      <c r="B189" s="53"/>
    </row>
    <row r="190">
      <c r="B190" s="53"/>
    </row>
    <row r="191">
      <c r="B191" s="53"/>
    </row>
    <row r="192">
      <c r="B192" s="53"/>
    </row>
    <row r="193">
      <c r="B193" s="53"/>
    </row>
    <row r="194">
      <c r="B194" s="53"/>
    </row>
    <row r="195">
      <c r="B195" s="53"/>
    </row>
    <row r="196">
      <c r="B196" s="53"/>
    </row>
    <row r="197">
      <c r="B197" s="53"/>
    </row>
    <row r="198">
      <c r="B198" s="53"/>
    </row>
    <row r="199">
      <c r="B199" s="53"/>
    </row>
    <row r="200">
      <c r="B200" s="53"/>
    </row>
    <row r="201">
      <c r="B201" s="53"/>
    </row>
    <row r="202">
      <c r="B202" s="53"/>
    </row>
    <row r="203">
      <c r="B203" s="53"/>
    </row>
    <row r="204">
      <c r="B204" s="53"/>
    </row>
    <row r="205">
      <c r="B205" s="53"/>
    </row>
    <row r="206">
      <c r="B206" s="53"/>
    </row>
    <row r="207">
      <c r="B207" s="53"/>
    </row>
    <row r="208">
      <c r="B208" s="53"/>
    </row>
    <row r="209">
      <c r="B209" s="53"/>
    </row>
    <row r="210">
      <c r="B210" s="53"/>
    </row>
    <row r="211">
      <c r="B211" s="53"/>
    </row>
    <row r="212">
      <c r="B212" s="53"/>
    </row>
    <row r="213">
      <c r="B213" s="53"/>
    </row>
    <row r="214">
      <c r="B214" s="53"/>
    </row>
    <row r="215">
      <c r="B215" s="53"/>
    </row>
    <row r="216">
      <c r="B216" s="53"/>
    </row>
    <row r="217">
      <c r="B217" s="53"/>
    </row>
    <row r="218">
      <c r="B218" s="53"/>
    </row>
    <row r="219">
      <c r="B219" s="53"/>
    </row>
    <row r="220">
      <c r="B220" s="53"/>
    </row>
    <row r="221">
      <c r="B221" s="53"/>
    </row>
    <row r="222">
      <c r="B222" s="53"/>
    </row>
    <row r="223">
      <c r="B223" s="53"/>
    </row>
    <row r="224">
      <c r="B224" s="53"/>
    </row>
    <row r="225">
      <c r="B225" s="53"/>
    </row>
    <row r="226">
      <c r="B226" s="53"/>
    </row>
    <row r="227">
      <c r="B227" s="53"/>
    </row>
    <row r="228">
      <c r="B228" s="53"/>
    </row>
    <row r="229">
      <c r="B229" s="53"/>
    </row>
    <row r="230">
      <c r="B230" s="53"/>
    </row>
    <row r="231">
      <c r="B231" s="53"/>
    </row>
    <row r="232">
      <c r="B232" s="53"/>
    </row>
    <row r="233">
      <c r="B233" s="53"/>
    </row>
    <row r="234">
      <c r="B234" s="53"/>
    </row>
    <row r="235">
      <c r="B235" s="53"/>
    </row>
    <row r="236">
      <c r="B236" s="53"/>
    </row>
    <row r="237">
      <c r="B237" s="53"/>
    </row>
    <row r="238">
      <c r="B238" s="53"/>
    </row>
    <row r="239">
      <c r="B239" s="53"/>
    </row>
    <row r="240">
      <c r="B240" s="53"/>
    </row>
    <row r="241">
      <c r="B241" s="53"/>
    </row>
    <row r="242">
      <c r="B242" s="53"/>
    </row>
    <row r="243">
      <c r="B243" s="53"/>
    </row>
    <row r="244">
      <c r="B244" s="53"/>
    </row>
    <row r="245">
      <c r="B245" s="53"/>
    </row>
    <row r="246">
      <c r="B246" s="53"/>
    </row>
    <row r="247">
      <c r="B247" s="53"/>
    </row>
    <row r="248">
      <c r="B248" s="53"/>
    </row>
    <row r="249">
      <c r="B249" s="53"/>
    </row>
    <row r="250">
      <c r="B250" s="53"/>
    </row>
    <row r="251">
      <c r="B251" s="53"/>
    </row>
    <row r="252">
      <c r="B252" s="53"/>
    </row>
    <row r="253">
      <c r="B253" s="53"/>
    </row>
    <row r="254">
      <c r="B254" s="53"/>
    </row>
    <row r="255">
      <c r="B255" s="53"/>
    </row>
    <row r="256">
      <c r="B256" s="53"/>
    </row>
    <row r="257">
      <c r="B257" s="53"/>
    </row>
    <row r="258">
      <c r="B258" s="53"/>
    </row>
    <row r="259">
      <c r="B259" s="53"/>
    </row>
    <row r="260">
      <c r="B260" s="53"/>
    </row>
    <row r="261">
      <c r="B261" s="53"/>
    </row>
    <row r="262">
      <c r="B262" s="53"/>
    </row>
    <row r="263">
      <c r="B263" s="53"/>
    </row>
    <row r="264">
      <c r="B264" s="53"/>
    </row>
    <row r="265">
      <c r="B265" s="53"/>
    </row>
    <row r="266">
      <c r="B266" s="53"/>
    </row>
    <row r="267">
      <c r="B267" s="53"/>
    </row>
    <row r="268">
      <c r="B268" s="53"/>
    </row>
    <row r="269">
      <c r="B269" s="53"/>
    </row>
    <row r="270">
      <c r="B270" s="53"/>
    </row>
    <row r="271">
      <c r="B271" s="53"/>
    </row>
    <row r="272">
      <c r="B272" s="53"/>
    </row>
    <row r="273">
      <c r="B273" s="53"/>
    </row>
    <row r="274">
      <c r="B274" s="53"/>
    </row>
    <row r="275">
      <c r="B275" s="53"/>
    </row>
    <row r="276">
      <c r="B276" s="53"/>
    </row>
    <row r="277">
      <c r="B277" s="53"/>
    </row>
    <row r="278">
      <c r="B278" s="53"/>
    </row>
    <row r="279">
      <c r="B279" s="53"/>
    </row>
    <row r="280">
      <c r="B280" s="53"/>
    </row>
    <row r="281">
      <c r="B281" s="53"/>
    </row>
    <row r="282">
      <c r="B282" s="53"/>
    </row>
    <row r="283">
      <c r="B283" s="53"/>
    </row>
    <row r="284">
      <c r="B284" s="53"/>
    </row>
    <row r="285">
      <c r="B285" s="53"/>
    </row>
    <row r="286">
      <c r="B286" s="53"/>
    </row>
    <row r="287">
      <c r="B287" s="53"/>
    </row>
    <row r="288">
      <c r="B288" s="53"/>
    </row>
    <row r="289">
      <c r="B289" s="53"/>
    </row>
    <row r="290">
      <c r="B290" s="53"/>
    </row>
    <row r="291">
      <c r="B291" s="53"/>
    </row>
    <row r="292">
      <c r="B292" s="53"/>
    </row>
    <row r="293">
      <c r="B293" s="53"/>
    </row>
    <row r="294">
      <c r="B294" s="53"/>
    </row>
    <row r="295">
      <c r="B295" s="53"/>
    </row>
    <row r="296">
      <c r="B296" s="53"/>
    </row>
    <row r="297">
      <c r="B297" s="53"/>
    </row>
    <row r="298">
      <c r="B298" s="53"/>
    </row>
    <row r="299">
      <c r="B299" s="53"/>
    </row>
    <row r="300">
      <c r="B300" s="53"/>
    </row>
    <row r="301">
      <c r="B301" s="53"/>
    </row>
    <row r="302">
      <c r="B302" s="53"/>
    </row>
    <row r="303">
      <c r="B303" s="53"/>
    </row>
    <row r="304">
      <c r="B304" s="53"/>
    </row>
    <row r="305">
      <c r="B305" s="53"/>
    </row>
    <row r="306">
      <c r="B306" s="53"/>
    </row>
    <row r="307">
      <c r="B307" s="53"/>
    </row>
    <row r="308">
      <c r="B308" s="53"/>
    </row>
    <row r="309">
      <c r="B309" s="53"/>
    </row>
    <row r="310">
      <c r="B310" s="53"/>
    </row>
    <row r="311">
      <c r="B311" s="53"/>
    </row>
    <row r="312">
      <c r="B312" s="53"/>
    </row>
    <row r="313">
      <c r="B313" s="53"/>
    </row>
    <row r="314">
      <c r="B314" s="53"/>
    </row>
    <row r="315">
      <c r="B315" s="53"/>
    </row>
    <row r="316">
      <c r="B316" s="53"/>
    </row>
    <row r="317">
      <c r="B317" s="53"/>
    </row>
    <row r="318">
      <c r="B318" s="53"/>
    </row>
    <row r="319">
      <c r="B319" s="53"/>
    </row>
    <row r="320">
      <c r="B320" s="53"/>
    </row>
    <row r="321">
      <c r="B321" s="53"/>
    </row>
    <row r="322">
      <c r="B322" s="53"/>
    </row>
    <row r="323">
      <c r="B323" s="53"/>
    </row>
    <row r="324">
      <c r="B324" s="53"/>
    </row>
    <row r="325">
      <c r="B325" s="53"/>
    </row>
    <row r="326">
      <c r="B326" s="53"/>
    </row>
    <row r="327">
      <c r="B327" s="53"/>
    </row>
    <row r="328">
      <c r="B328" s="53"/>
    </row>
    <row r="329">
      <c r="B329" s="53"/>
    </row>
    <row r="330">
      <c r="B330" s="53"/>
    </row>
    <row r="331">
      <c r="B331" s="53"/>
    </row>
    <row r="332">
      <c r="B332" s="53"/>
    </row>
    <row r="333">
      <c r="B333" s="53"/>
    </row>
    <row r="334">
      <c r="B334" s="53"/>
    </row>
    <row r="335">
      <c r="B335" s="53"/>
    </row>
    <row r="336">
      <c r="B336" s="53"/>
    </row>
    <row r="337">
      <c r="B337" s="53"/>
    </row>
    <row r="338">
      <c r="B338" s="53"/>
    </row>
    <row r="339">
      <c r="B339" s="53"/>
    </row>
    <row r="340">
      <c r="B340" s="53"/>
    </row>
    <row r="341">
      <c r="B341" s="53"/>
    </row>
    <row r="342">
      <c r="B342" s="53"/>
    </row>
    <row r="343">
      <c r="B343" s="53"/>
    </row>
    <row r="344">
      <c r="B344" s="53"/>
    </row>
    <row r="345">
      <c r="B345" s="53"/>
    </row>
    <row r="346">
      <c r="B346" s="53"/>
    </row>
    <row r="347">
      <c r="B347" s="53"/>
    </row>
    <row r="348">
      <c r="B348" s="53"/>
    </row>
    <row r="349">
      <c r="B349" s="53"/>
    </row>
    <row r="350">
      <c r="B350" s="53"/>
    </row>
    <row r="351">
      <c r="B351" s="53"/>
    </row>
    <row r="352">
      <c r="B352" s="53"/>
    </row>
    <row r="353">
      <c r="B353" s="53"/>
    </row>
    <row r="354">
      <c r="B354" s="53"/>
    </row>
    <row r="355">
      <c r="B355" s="53"/>
    </row>
    <row r="356">
      <c r="B356" s="53"/>
    </row>
    <row r="357">
      <c r="B357" s="53"/>
    </row>
    <row r="358">
      <c r="B358" s="53"/>
    </row>
    <row r="359">
      <c r="B359" s="53"/>
    </row>
    <row r="360">
      <c r="B360" s="53"/>
    </row>
    <row r="361">
      <c r="B361" s="53"/>
    </row>
    <row r="362">
      <c r="B362" s="53"/>
    </row>
    <row r="363">
      <c r="B363" s="53"/>
    </row>
    <row r="364">
      <c r="B364" s="53"/>
    </row>
    <row r="365">
      <c r="B365" s="53"/>
    </row>
    <row r="366">
      <c r="B366" s="53"/>
    </row>
    <row r="367">
      <c r="B367" s="53"/>
    </row>
    <row r="368">
      <c r="B368" s="53"/>
    </row>
    <row r="369">
      <c r="B369" s="53"/>
    </row>
    <row r="370">
      <c r="B370" s="53"/>
    </row>
    <row r="371">
      <c r="B371" s="53"/>
    </row>
    <row r="372">
      <c r="B372" s="53"/>
    </row>
    <row r="373">
      <c r="B373" s="53"/>
    </row>
    <row r="374">
      <c r="B374" s="53"/>
    </row>
    <row r="375">
      <c r="B375" s="53"/>
    </row>
    <row r="376">
      <c r="B376" s="53"/>
    </row>
    <row r="377">
      <c r="B377" s="53"/>
    </row>
    <row r="378">
      <c r="B378" s="53"/>
    </row>
    <row r="379">
      <c r="B379" s="53"/>
    </row>
    <row r="380">
      <c r="B380" s="53"/>
    </row>
    <row r="381">
      <c r="B381" s="53"/>
    </row>
    <row r="382">
      <c r="B382" s="53"/>
    </row>
    <row r="383">
      <c r="B383" s="53"/>
    </row>
    <row r="384">
      <c r="B384" s="53"/>
    </row>
    <row r="385">
      <c r="B385" s="53"/>
    </row>
    <row r="386">
      <c r="B386" s="53"/>
    </row>
    <row r="387">
      <c r="B387" s="53"/>
    </row>
    <row r="388">
      <c r="B388" s="53"/>
    </row>
    <row r="389">
      <c r="B389" s="53"/>
    </row>
    <row r="390">
      <c r="B390" s="53"/>
    </row>
    <row r="391">
      <c r="B391" s="53"/>
    </row>
    <row r="392">
      <c r="B392" s="53"/>
    </row>
    <row r="393">
      <c r="B393" s="53"/>
    </row>
    <row r="394">
      <c r="B394" s="53"/>
    </row>
    <row r="395">
      <c r="B395" s="53"/>
    </row>
    <row r="396">
      <c r="B396" s="53"/>
    </row>
    <row r="397">
      <c r="B397" s="53"/>
    </row>
    <row r="398">
      <c r="B398" s="53"/>
    </row>
    <row r="399">
      <c r="B399" s="53"/>
    </row>
    <row r="400">
      <c r="B400" s="53"/>
    </row>
    <row r="401">
      <c r="B401" s="53"/>
    </row>
    <row r="402">
      <c r="B402" s="53"/>
    </row>
    <row r="403">
      <c r="B403" s="53"/>
    </row>
    <row r="404">
      <c r="B404" s="53"/>
    </row>
    <row r="405">
      <c r="B405" s="53"/>
    </row>
    <row r="406">
      <c r="B406" s="53"/>
    </row>
    <row r="407">
      <c r="B407" s="53"/>
    </row>
    <row r="408">
      <c r="B408" s="53"/>
    </row>
    <row r="409">
      <c r="B409" s="53"/>
    </row>
    <row r="410">
      <c r="B410" s="53"/>
    </row>
    <row r="411">
      <c r="B411" s="53"/>
    </row>
    <row r="412">
      <c r="B412" s="53"/>
    </row>
    <row r="413">
      <c r="B413" s="53"/>
    </row>
    <row r="414">
      <c r="B414" s="53"/>
    </row>
    <row r="415">
      <c r="B415" s="53"/>
    </row>
    <row r="416">
      <c r="B416" s="53"/>
    </row>
    <row r="417">
      <c r="B417" s="53"/>
    </row>
    <row r="418">
      <c r="B418" s="53"/>
    </row>
    <row r="419">
      <c r="B419" s="53"/>
    </row>
    <row r="420">
      <c r="B420" s="53"/>
    </row>
    <row r="421">
      <c r="B421" s="53"/>
    </row>
    <row r="422">
      <c r="B422" s="53"/>
    </row>
    <row r="423">
      <c r="B423" s="53"/>
    </row>
    <row r="424">
      <c r="B424" s="53"/>
    </row>
    <row r="425">
      <c r="B425" s="53"/>
    </row>
    <row r="426">
      <c r="B426" s="53"/>
    </row>
    <row r="427">
      <c r="B427" s="53"/>
    </row>
    <row r="428">
      <c r="B428" s="53"/>
    </row>
    <row r="429">
      <c r="B429" s="53"/>
    </row>
    <row r="430">
      <c r="B430" s="53"/>
    </row>
    <row r="431">
      <c r="B431" s="53"/>
    </row>
    <row r="432">
      <c r="B432" s="53"/>
    </row>
    <row r="433">
      <c r="B433" s="53"/>
    </row>
    <row r="434">
      <c r="B434" s="53"/>
    </row>
    <row r="435">
      <c r="B435" s="53"/>
    </row>
    <row r="436">
      <c r="B436" s="53"/>
    </row>
    <row r="437">
      <c r="B437" s="53"/>
    </row>
    <row r="438">
      <c r="B438" s="53"/>
    </row>
    <row r="439">
      <c r="B439" s="53"/>
    </row>
    <row r="440">
      <c r="B440" s="53"/>
    </row>
    <row r="441">
      <c r="B441" s="53"/>
    </row>
    <row r="442">
      <c r="B442" s="53"/>
    </row>
    <row r="443">
      <c r="B443" s="53"/>
    </row>
    <row r="444">
      <c r="B444" s="53"/>
    </row>
    <row r="445">
      <c r="B445" s="53"/>
    </row>
    <row r="446">
      <c r="B446" s="53"/>
    </row>
    <row r="447">
      <c r="B447" s="53"/>
    </row>
    <row r="448">
      <c r="B448" s="53"/>
    </row>
    <row r="449">
      <c r="B449" s="53"/>
    </row>
    <row r="450">
      <c r="B450" s="53"/>
    </row>
    <row r="451">
      <c r="B451" s="53"/>
    </row>
    <row r="452">
      <c r="B452" s="53"/>
    </row>
    <row r="453">
      <c r="B453" s="53"/>
    </row>
    <row r="454">
      <c r="B454" s="53"/>
    </row>
    <row r="455">
      <c r="B455" s="53"/>
    </row>
    <row r="456">
      <c r="B456" s="53"/>
    </row>
    <row r="457">
      <c r="B457" s="53"/>
    </row>
    <row r="458">
      <c r="B458" s="53"/>
    </row>
    <row r="459">
      <c r="B459" s="53"/>
    </row>
    <row r="460">
      <c r="B460" s="53"/>
    </row>
    <row r="461">
      <c r="B461" s="53"/>
    </row>
    <row r="462">
      <c r="B462" s="53"/>
    </row>
    <row r="463">
      <c r="B463" s="53"/>
    </row>
    <row r="464">
      <c r="B464" s="53"/>
    </row>
    <row r="465">
      <c r="B465" s="53"/>
    </row>
    <row r="466">
      <c r="B466" s="53"/>
    </row>
    <row r="467">
      <c r="B467" s="53"/>
    </row>
    <row r="468">
      <c r="B468" s="53"/>
    </row>
    <row r="469">
      <c r="B469" s="53"/>
    </row>
    <row r="470">
      <c r="B470" s="53"/>
    </row>
    <row r="471">
      <c r="B471" s="53"/>
    </row>
    <row r="472">
      <c r="B472" s="53"/>
    </row>
    <row r="473">
      <c r="B473" s="53"/>
    </row>
    <row r="474">
      <c r="B474" s="53"/>
    </row>
    <row r="475">
      <c r="B475" s="53"/>
    </row>
    <row r="476">
      <c r="B476" s="53"/>
    </row>
    <row r="477">
      <c r="B477" s="53"/>
    </row>
    <row r="478">
      <c r="B478" s="53"/>
    </row>
    <row r="479">
      <c r="B479" s="53"/>
    </row>
    <row r="480">
      <c r="B480" s="53"/>
    </row>
    <row r="481">
      <c r="B481" s="53"/>
    </row>
    <row r="482">
      <c r="B482" s="53"/>
    </row>
    <row r="483">
      <c r="B483" s="53"/>
    </row>
    <row r="484">
      <c r="B484" s="53"/>
    </row>
    <row r="485">
      <c r="B485" s="53"/>
    </row>
    <row r="486">
      <c r="B486" s="53"/>
    </row>
    <row r="487">
      <c r="B487" s="53"/>
    </row>
    <row r="488">
      <c r="B488" s="53"/>
    </row>
    <row r="489">
      <c r="B489" s="53"/>
    </row>
    <row r="490">
      <c r="B490" s="53"/>
    </row>
    <row r="491">
      <c r="B491" s="53"/>
    </row>
    <row r="492">
      <c r="B492" s="53"/>
    </row>
    <row r="493">
      <c r="B493" s="53"/>
    </row>
    <row r="494">
      <c r="B494" s="53"/>
    </row>
    <row r="495">
      <c r="B495" s="53"/>
    </row>
    <row r="496">
      <c r="B496" s="53"/>
    </row>
    <row r="497">
      <c r="B497" s="53"/>
    </row>
    <row r="498">
      <c r="B498" s="53"/>
    </row>
    <row r="499">
      <c r="B499" s="53"/>
    </row>
    <row r="500">
      <c r="B500" s="53"/>
    </row>
    <row r="501">
      <c r="B501" s="53"/>
    </row>
    <row r="502">
      <c r="B502" s="53"/>
    </row>
    <row r="503">
      <c r="B503" s="53"/>
    </row>
    <row r="504">
      <c r="B504" s="53"/>
    </row>
    <row r="505">
      <c r="B505" s="53"/>
    </row>
    <row r="506">
      <c r="B506" s="53"/>
    </row>
    <row r="507">
      <c r="B507" s="53"/>
    </row>
    <row r="508">
      <c r="B508" s="53"/>
    </row>
    <row r="509">
      <c r="B509" s="53"/>
    </row>
    <row r="510">
      <c r="B510" s="53"/>
    </row>
    <row r="511">
      <c r="B511" s="53"/>
    </row>
    <row r="512">
      <c r="B512" s="53"/>
    </row>
    <row r="513">
      <c r="B513" s="53"/>
    </row>
    <row r="514">
      <c r="B514" s="53"/>
    </row>
    <row r="515">
      <c r="B515" s="53"/>
    </row>
    <row r="516">
      <c r="B516" s="53"/>
    </row>
    <row r="517">
      <c r="B517" s="53"/>
    </row>
    <row r="518">
      <c r="B518" s="53"/>
    </row>
    <row r="519">
      <c r="B519" s="53"/>
    </row>
    <row r="520">
      <c r="B520" s="53"/>
    </row>
    <row r="521">
      <c r="B521" s="53"/>
    </row>
    <row r="522">
      <c r="B522" s="53"/>
    </row>
    <row r="523">
      <c r="B523" s="53"/>
    </row>
    <row r="524">
      <c r="B524" s="53"/>
    </row>
    <row r="525">
      <c r="B525" s="53"/>
    </row>
    <row r="526">
      <c r="B526" s="53"/>
    </row>
    <row r="527">
      <c r="B527" s="53"/>
    </row>
    <row r="528">
      <c r="B528" s="53"/>
    </row>
    <row r="529">
      <c r="B529" s="53"/>
    </row>
    <row r="530">
      <c r="B530" s="53"/>
    </row>
    <row r="531">
      <c r="B531" s="53"/>
    </row>
    <row r="532">
      <c r="B532" s="53"/>
    </row>
    <row r="533">
      <c r="B533" s="53"/>
    </row>
    <row r="534">
      <c r="B534" s="53"/>
    </row>
    <row r="535">
      <c r="B535" s="53"/>
    </row>
    <row r="536">
      <c r="B536" s="53"/>
    </row>
    <row r="537">
      <c r="B537" s="53"/>
    </row>
    <row r="538">
      <c r="B538" s="53"/>
    </row>
    <row r="539">
      <c r="B539" s="53"/>
    </row>
    <row r="540">
      <c r="B540" s="53"/>
    </row>
    <row r="541">
      <c r="B541" s="53"/>
    </row>
    <row r="542">
      <c r="B542" s="53"/>
    </row>
    <row r="543">
      <c r="B543" s="53"/>
    </row>
    <row r="544">
      <c r="B544" s="53"/>
    </row>
    <row r="545">
      <c r="B545" s="53"/>
    </row>
    <row r="546">
      <c r="B546" s="53"/>
    </row>
    <row r="547">
      <c r="B547" s="53"/>
    </row>
    <row r="548">
      <c r="B548" s="53"/>
    </row>
    <row r="549">
      <c r="B549" s="53"/>
    </row>
    <row r="550">
      <c r="B550" s="53"/>
    </row>
    <row r="551">
      <c r="B551" s="53"/>
    </row>
    <row r="552">
      <c r="B552" s="53"/>
    </row>
    <row r="553">
      <c r="B553" s="53"/>
    </row>
    <row r="554">
      <c r="B554" s="53"/>
    </row>
    <row r="555">
      <c r="B555" s="53"/>
    </row>
    <row r="556">
      <c r="B556" s="53"/>
    </row>
    <row r="557">
      <c r="B557" s="53"/>
    </row>
    <row r="558">
      <c r="B558" s="53"/>
    </row>
    <row r="559">
      <c r="B559" s="53"/>
    </row>
    <row r="560">
      <c r="B560" s="53"/>
    </row>
    <row r="561">
      <c r="B561" s="53"/>
    </row>
    <row r="562">
      <c r="B562" s="53"/>
    </row>
    <row r="563">
      <c r="B563" s="53"/>
    </row>
    <row r="564">
      <c r="B564" s="53"/>
    </row>
    <row r="565">
      <c r="B565" s="53"/>
    </row>
    <row r="566">
      <c r="B566" s="53"/>
    </row>
    <row r="567">
      <c r="B567" s="53"/>
    </row>
    <row r="568">
      <c r="B568" s="53"/>
    </row>
    <row r="569">
      <c r="B569" s="53"/>
    </row>
    <row r="570">
      <c r="B570" s="53"/>
    </row>
    <row r="571">
      <c r="B571" s="53"/>
    </row>
    <row r="572">
      <c r="B572" s="53"/>
    </row>
    <row r="573">
      <c r="B573" s="53"/>
    </row>
    <row r="574">
      <c r="B574" s="53"/>
    </row>
    <row r="575">
      <c r="B575" s="53"/>
    </row>
    <row r="576">
      <c r="B576" s="53"/>
    </row>
    <row r="577">
      <c r="B577" s="53"/>
    </row>
    <row r="578">
      <c r="B578" s="53"/>
    </row>
    <row r="579">
      <c r="B579" s="53"/>
    </row>
    <row r="580">
      <c r="B580" s="53"/>
    </row>
    <row r="581">
      <c r="B581" s="53"/>
    </row>
    <row r="582">
      <c r="B582" s="53"/>
    </row>
    <row r="583">
      <c r="B583" s="53"/>
    </row>
    <row r="584">
      <c r="B584" s="53"/>
    </row>
    <row r="585">
      <c r="B585" s="53"/>
    </row>
    <row r="586">
      <c r="B586" s="53"/>
    </row>
    <row r="587">
      <c r="B587" s="53"/>
    </row>
    <row r="588">
      <c r="B588" s="53"/>
    </row>
    <row r="589">
      <c r="B589" s="53"/>
    </row>
    <row r="590">
      <c r="B590" s="53"/>
    </row>
    <row r="591">
      <c r="B591" s="53"/>
    </row>
    <row r="592">
      <c r="B592" s="53"/>
    </row>
    <row r="593">
      <c r="B593" s="53"/>
    </row>
    <row r="594">
      <c r="B594" s="53"/>
    </row>
    <row r="595">
      <c r="B595" s="53"/>
    </row>
    <row r="596">
      <c r="B596" s="53"/>
    </row>
    <row r="597">
      <c r="B597" s="53"/>
    </row>
    <row r="598">
      <c r="B598" s="53"/>
    </row>
    <row r="599">
      <c r="B599" s="53"/>
    </row>
    <row r="600">
      <c r="B600" s="53"/>
    </row>
    <row r="601">
      <c r="B601" s="53"/>
    </row>
    <row r="602">
      <c r="B602" s="53"/>
    </row>
    <row r="603">
      <c r="B603" s="53"/>
    </row>
    <row r="604">
      <c r="B604" s="53"/>
    </row>
    <row r="605">
      <c r="B605" s="53"/>
    </row>
    <row r="606">
      <c r="B606" s="53"/>
    </row>
    <row r="607">
      <c r="B607" s="53"/>
    </row>
    <row r="608">
      <c r="B608" s="53"/>
    </row>
    <row r="609">
      <c r="B609" s="53"/>
    </row>
    <row r="610">
      <c r="B610" s="53"/>
    </row>
    <row r="611">
      <c r="B611" s="53"/>
    </row>
    <row r="612">
      <c r="B612" s="53"/>
    </row>
    <row r="613">
      <c r="B613" s="53"/>
    </row>
    <row r="614">
      <c r="B614" s="53"/>
    </row>
    <row r="615">
      <c r="B615" s="53"/>
    </row>
    <row r="616">
      <c r="B616" s="53"/>
    </row>
    <row r="617">
      <c r="B617" s="53"/>
    </row>
    <row r="618">
      <c r="B618" s="53"/>
    </row>
    <row r="619">
      <c r="B619" s="53"/>
    </row>
    <row r="620">
      <c r="B620" s="53"/>
    </row>
    <row r="621">
      <c r="B621" s="53"/>
    </row>
    <row r="622">
      <c r="B622" s="53"/>
    </row>
    <row r="623">
      <c r="B623" s="53"/>
    </row>
    <row r="624">
      <c r="B624" s="53"/>
    </row>
    <row r="625">
      <c r="B625" s="53"/>
    </row>
    <row r="626">
      <c r="B626" s="53"/>
    </row>
    <row r="627">
      <c r="B627" s="53"/>
    </row>
    <row r="628">
      <c r="B628" s="53"/>
    </row>
    <row r="629">
      <c r="B629" s="53"/>
    </row>
    <row r="630">
      <c r="B630" s="53"/>
    </row>
    <row r="631">
      <c r="B631" s="53"/>
    </row>
    <row r="632">
      <c r="B632" s="53"/>
    </row>
    <row r="633">
      <c r="B633" s="53"/>
    </row>
    <row r="634">
      <c r="B634" s="53"/>
    </row>
    <row r="635">
      <c r="B635" s="53"/>
    </row>
    <row r="636">
      <c r="B636" s="53"/>
    </row>
    <row r="637">
      <c r="B637" s="53"/>
    </row>
    <row r="638">
      <c r="B638" s="53"/>
    </row>
    <row r="639">
      <c r="B639" s="53"/>
    </row>
    <row r="640">
      <c r="B640" s="53"/>
    </row>
    <row r="641">
      <c r="B641" s="53"/>
    </row>
    <row r="642">
      <c r="B642" s="53"/>
    </row>
    <row r="643">
      <c r="B643" s="53"/>
    </row>
    <row r="644">
      <c r="B644" s="53"/>
    </row>
    <row r="645">
      <c r="B645" s="53"/>
    </row>
    <row r="646">
      <c r="B646" s="53"/>
    </row>
    <row r="647">
      <c r="B647" s="53"/>
    </row>
    <row r="648">
      <c r="B648" s="53"/>
    </row>
    <row r="649">
      <c r="B649" s="53"/>
    </row>
    <row r="650">
      <c r="B650" s="53"/>
    </row>
    <row r="651">
      <c r="B651" s="53"/>
    </row>
    <row r="652">
      <c r="B652" s="53"/>
    </row>
    <row r="653">
      <c r="B653" s="53"/>
    </row>
    <row r="654">
      <c r="B654" s="53"/>
    </row>
    <row r="655">
      <c r="B655" s="53"/>
    </row>
    <row r="656">
      <c r="B656" s="53"/>
    </row>
    <row r="657">
      <c r="B657" s="53"/>
    </row>
    <row r="658">
      <c r="B658" s="53"/>
    </row>
    <row r="659">
      <c r="B659" s="53"/>
    </row>
    <row r="660">
      <c r="B660" s="53"/>
    </row>
    <row r="661">
      <c r="B661" s="53"/>
    </row>
    <row r="662">
      <c r="B662" s="53"/>
    </row>
    <row r="663">
      <c r="B663" s="53"/>
    </row>
    <row r="664">
      <c r="B664" s="53"/>
    </row>
    <row r="665">
      <c r="B665" s="53"/>
    </row>
    <row r="666">
      <c r="B666" s="53"/>
    </row>
    <row r="667">
      <c r="B667" s="53"/>
    </row>
    <row r="668">
      <c r="B668" s="53"/>
    </row>
    <row r="669">
      <c r="B669" s="53"/>
    </row>
    <row r="670">
      <c r="B670" s="53"/>
    </row>
    <row r="671">
      <c r="B671" s="53"/>
    </row>
    <row r="672">
      <c r="B672" s="53"/>
    </row>
    <row r="673">
      <c r="B673" s="53"/>
    </row>
    <row r="674">
      <c r="B674" s="53"/>
    </row>
    <row r="675">
      <c r="B675" s="53"/>
    </row>
    <row r="676">
      <c r="B676" s="53"/>
    </row>
    <row r="677">
      <c r="B677" s="53"/>
    </row>
    <row r="678">
      <c r="B678" s="53"/>
    </row>
    <row r="679">
      <c r="B679" s="53"/>
    </row>
    <row r="680">
      <c r="B680" s="53"/>
    </row>
    <row r="681">
      <c r="B681" s="53"/>
    </row>
    <row r="682">
      <c r="B682" s="53"/>
    </row>
    <row r="683">
      <c r="B683" s="53"/>
    </row>
    <row r="684">
      <c r="B684" s="53"/>
    </row>
    <row r="685">
      <c r="B685" s="53"/>
    </row>
    <row r="686">
      <c r="B686" s="53"/>
    </row>
    <row r="687">
      <c r="B687" s="53"/>
    </row>
    <row r="688">
      <c r="B688" s="53"/>
    </row>
    <row r="689">
      <c r="B689" s="53"/>
    </row>
    <row r="690">
      <c r="B690" s="53"/>
    </row>
    <row r="691">
      <c r="B691" s="53"/>
    </row>
    <row r="692">
      <c r="B692" s="53"/>
    </row>
    <row r="693">
      <c r="B693" s="53"/>
    </row>
    <row r="694">
      <c r="B694" s="53"/>
    </row>
    <row r="695">
      <c r="B695" s="53"/>
    </row>
    <row r="696">
      <c r="B696" s="53"/>
    </row>
    <row r="697">
      <c r="B697" s="53"/>
    </row>
    <row r="698">
      <c r="B698" s="53"/>
    </row>
    <row r="699">
      <c r="B699" s="53"/>
    </row>
    <row r="700">
      <c r="B700" s="53"/>
    </row>
    <row r="701">
      <c r="B701" s="53"/>
    </row>
    <row r="702">
      <c r="B702" s="53"/>
    </row>
    <row r="703">
      <c r="B703" s="53"/>
    </row>
    <row r="704">
      <c r="B704" s="53"/>
    </row>
    <row r="705">
      <c r="B705" s="53"/>
    </row>
    <row r="706">
      <c r="B706" s="53"/>
    </row>
    <row r="707">
      <c r="B707" s="53"/>
    </row>
    <row r="708">
      <c r="B708" s="53"/>
    </row>
    <row r="709">
      <c r="B709" s="53"/>
    </row>
    <row r="710">
      <c r="B710" s="53"/>
    </row>
    <row r="711">
      <c r="B711" s="53"/>
    </row>
    <row r="712">
      <c r="B712" s="53"/>
    </row>
    <row r="713">
      <c r="B713" s="53"/>
    </row>
    <row r="714">
      <c r="B714" s="53"/>
    </row>
    <row r="715">
      <c r="B715" s="53"/>
    </row>
    <row r="716">
      <c r="B716" s="53"/>
    </row>
    <row r="717">
      <c r="B717" s="53"/>
    </row>
    <row r="718">
      <c r="B718" s="53"/>
    </row>
    <row r="719">
      <c r="B719" s="53"/>
    </row>
    <row r="720">
      <c r="B720" s="53"/>
    </row>
    <row r="721">
      <c r="B721" s="53"/>
    </row>
    <row r="722">
      <c r="B722" s="53"/>
    </row>
    <row r="723">
      <c r="B723" s="53"/>
    </row>
    <row r="724">
      <c r="B724" s="53"/>
    </row>
    <row r="725">
      <c r="B725" s="53"/>
    </row>
    <row r="726">
      <c r="B726" s="53"/>
    </row>
    <row r="727">
      <c r="B727" s="53"/>
    </row>
    <row r="728">
      <c r="B728" s="53"/>
    </row>
    <row r="729">
      <c r="B729" s="53"/>
    </row>
    <row r="730">
      <c r="B730" s="53"/>
    </row>
    <row r="731">
      <c r="B731" s="53"/>
    </row>
    <row r="732">
      <c r="B732" s="53"/>
    </row>
    <row r="733">
      <c r="B733" s="53"/>
    </row>
    <row r="734">
      <c r="B734" s="53"/>
    </row>
    <row r="735">
      <c r="B735" s="53"/>
    </row>
    <row r="736">
      <c r="B736" s="53"/>
    </row>
    <row r="737">
      <c r="B737" s="53"/>
    </row>
    <row r="738">
      <c r="B738" s="53"/>
    </row>
    <row r="739">
      <c r="B739" s="53"/>
    </row>
    <row r="740">
      <c r="B740" s="53"/>
    </row>
    <row r="741">
      <c r="B741" s="53"/>
    </row>
    <row r="742">
      <c r="B742" s="53"/>
    </row>
    <row r="743">
      <c r="B743" s="53"/>
    </row>
    <row r="744">
      <c r="B744" s="53"/>
    </row>
    <row r="745">
      <c r="B745" s="53"/>
    </row>
    <row r="746">
      <c r="B746" s="53"/>
    </row>
    <row r="747">
      <c r="B747" s="53"/>
    </row>
    <row r="748">
      <c r="B748" s="53"/>
    </row>
    <row r="749">
      <c r="B749" s="53"/>
    </row>
    <row r="750">
      <c r="B750" s="53"/>
    </row>
    <row r="751">
      <c r="B751" s="53"/>
    </row>
    <row r="752">
      <c r="B752" s="53"/>
    </row>
    <row r="753">
      <c r="B753" s="53"/>
    </row>
    <row r="754">
      <c r="B754" s="53"/>
    </row>
    <row r="755">
      <c r="B755" s="53"/>
    </row>
    <row r="756">
      <c r="B756" s="53"/>
    </row>
    <row r="757">
      <c r="B757" s="53"/>
    </row>
    <row r="758">
      <c r="B758" s="53"/>
    </row>
    <row r="759">
      <c r="B759" s="53"/>
    </row>
    <row r="760">
      <c r="B760" s="53"/>
    </row>
    <row r="761">
      <c r="B761" s="53"/>
    </row>
    <row r="762">
      <c r="B762" s="53"/>
    </row>
    <row r="763">
      <c r="B763" s="53"/>
    </row>
    <row r="764">
      <c r="B764" s="53"/>
    </row>
    <row r="765">
      <c r="B765" s="53"/>
    </row>
    <row r="766">
      <c r="B766" s="53"/>
    </row>
    <row r="767">
      <c r="B767" s="53"/>
    </row>
    <row r="768">
      <c r="B768" s="53"/>
    </row>
    <row r="769">
      <c r="B769" s="53"/>
    </row>
    <row r="770">
      <c r="B770" s="53"/>
    </row>
    <row r="771">
      <c r="B771" s="53"/>
    </row>
    <row r="772">
      <c r="B772" s="53"/>
    </row>
    <row r="773">
      <c r="B773" s="53"/>
    </row>
    <row r="774">
      <c r="B774" s="53"/>
    </row>
    <row r="775">
      <c r="B775" s="53"/>
    </row>
    <row r="776">
      <c r="B776" s="53"/>
    </row>
    <row r="777">
      <c r="B777" s="53"/>
    </row>
    <row r="778">
      <c r="B778" s="53"/>
    </row>
    <row r="779">
      <c r="B779" s="53"/>
    </row>
    <row r="780">
      <c r="B780" s="53"/>
    </row>
    <row r="781">
      <c r="B781" s="53"/>
    </row>
    <row r="782">
      <c r="B782" s="53"/>
    </row>
    <row r="783">
      <c r="B783" s="53"/>
    </row>
    <row r="784">
      <c r="B784" s="53"/>
    </row>
    <row r="785">
      <c r="B785" s="53"/>
    </row>
    <row r="786">
      <c r="B786" s="53"/>
    </row>
    <row r="787">
      <c r="B787" s="53"/>
    </row>
    <row r="788">
      <c r="B788" s="53"/>
    </row>
    <row r="789">
      <c r="B789" s="53"/>
    </row>
    <row r="790">
      <c r="B790" s="53"/>
    </row>
    <row r="791">
      <c r="B791" s="53"/>
    </row>
    <row r="792">
      <c r="B792" s="53"/>
    </row>
    <row r="793">
      <c r="B793" s="53"/>
    </row>
    <row r="794">
      <c r="B794" s="53"/>
    </row>
    <row r="795">
      <c r="B795" s="53"/>
    </row>
    <row r="796">
      <c r="B796" s="53"/>
    </row>
    <row r="797">
      <c r="B797" s="53"/>
    </row>
    <row r="798">
      <c r="B798" s="53"/>
    </row>
    <row r="799">
      <c r="B799" s="53"/>
    </row>
    <row r="800">
      <c r="B800" s="53"/>
    </row>
    <row r="801">
      <c r="B801" s="53"/>
    </row>
    <row r="802">
      <c r="B802" s="53"/>
    </row>
    <row r="803">
      <c r="B803" s="53"/>
    </row>
    <row r="804">
      <c r="B804" s="53"/>
    </row>
    <row r="805">
      <c r="B805" s="53"/>
    </row>
    <row r="806">
      <c r="B806" s="53"/>
    </row>
    <row r="807">
      <c r="B807" s="53"/>
    </row>
    <row r="808">
      <c r="B808" s="53"/>
    </row>
    <row r="809">
      <c r="B809" s="53"/>
    </row>
    <row r="810">
      <c r="B810" s="53"/>
    </row>
    <row r="811">
      <c r="B811" s="53"/>
    </row>
    <row r="812">
      <c r="B812" s="53"/>
    </row>
    <row r="813">
      <c r="B813" s="53"/>
    </row>
    <row r="814">
      <c r="B814" s="53"/>
    </row>
    <row r="815">
      <c r="B815" s="53"/>
    </row>
    <row r="816">
      <c r="B816" s="53"/>
    </row>
    <row r="817">
      <c r="B817" s="53"/>
    </row>
    <row r="818">
      <c r="B818" s="53"/>
    </row>
    <row r="819">
      <c r="B819" s="53"/>
    </row>
    <row r="820">
      <c r="B820" s="53"/>
    </row>
    <row r="821">
      <c r="B821" s="53"/>
    </row>
    <row r="822">
      <c r="B822" s="53"/>
    </row>
    <row r="823">
      <c r="B823" s="53"/>
    </row>
    <row r="824">
      <c r="B824" s="53"/>
    </row>
    <row r="825">
      <c r="B825" s="53"/>
    </row>
    <row r="826">
      <c r="B826" s="53"/>
    </row>
    <row r="827">
      <c r="B827" s="53"/>
    </row>
    <row r="828">
      <c r="B828" s="53"/>
    </row>
    <row r="829">
      <c r="B829" s="53"/>
    </row>
    <row r="830">
      <c r="B830" s="53"/>
    </row>
    <row r="831">
      <c r="B831" s="53"/>
    </row>
    <row r="832">
      <c r="B832" s="53"/>
    </row>
    <row r="833">
      <c r="B833" s="53"/>
    </row>
    <row r="834">
      <c r="B834" s="53"/>
    </row>
    <row r="835">
      <c r="B835" s="53"/>
    </row>
    <row r="836">
      <c r="B836" s="53"/>
    </row>
    <row r="837">
      <c r="B837" s="53"/>
    </row>
    <row r="838">
      <c r="B838" s="53"/>
    </row>
    <row r="839">
      <c r="B839" s="53"/>
    </row>
    <row r="840">
      <c r="B840" s="53"/>
    </row>
    <row r="841">
      <c r="B841" s="53"/>
    </row>
    <row r="842">
      <c r="B842" s="53"/>
    </row>
    <row r="843">
      <c r="B843" s="53"/>
    </row>
    <row r="844">
      <c r="B844" s="53"/>
    </row>
    <row r="845">
      <c r="B845" s="53"/>
    </row>
    <row r="846">
      <c r="B846" s="53"/>
    </row>
    <row r="847">
      <c r="B847" s="53"/>
    </row>
    <row r="848">
      <c r="B848" s="53"/>
    </row>
    <row r="849">
      <c r="B849" s="53"/>
    </row>
    <row r="850">
      <c r="B850" s="53"/>
    </row>
    <row r="851">
      <c r="B851" s="53"/>
    </row>
    <row r="852">
      <c r="B852" s="53"/>
    </row>
    <row r="853">
      <c r="B853" s="53"/>
    </row>
    <row r="854">
      <c r="B854" s="53"/>
    </row>
    <row r="855">
      <c r="B855" s="53"/>
    </row>
    <row r="856">
      <c r="B856" s="53"/>
    </row>
    <row r="857">
      <c r="B857" s="53"/>
    </row>
    <row r="858">
      <c r="B858" s="53"/>
    </row>
    <row r="859">
      <c r="B859" s="53"/>
    </row>
    <row r="860">
      <c r="B860" s="53"/>
    </row>
    <row r="861">
      <c r="B861" s="53"/>
    </row>
    <row r="862">
      <c r="B862" s="53"/>
    </row>
    <row r="863">
      <c r="B863" s="53"/>
    </row>
    <row r="864">
      <c r="B864" s="53"/>
    </row>
    <row r="865">
      <c r="B865" s="53"/>
    </row>
    <row r="866">
      <c r="B866" s="53"/>
    </row>
    <row r="867">
      <c r="B867" s="53"/>
    </row>
    <row r="868">
      <c r="B868" s="53"/>
    </row>
    <row r="869">
      <c r="B869" s="53"/>
    </row>
    <row r="870">
      <c r="B870" s="53"/>
    </row>
    <row r="871">
      <c r="B871" s="53"/>
    </row>
    <row r="872">
      <c r="B872" s="53"/>
    </row>
    <row r="873">
      <c r="B873" s="53"/>
    </row>
    <row r="874">
      <c r="B874" s="53"/>
    </row>
    <row r="875">
      <c r="B875" s="53"/>
    </row>
    <row r="876">
      <c r="B876" s="53"/>
    </row>
    <row r="877">
      <c r="B877" s="53"/>
    </row>
    <row r="878">
      <c r="B878" s="53"/>
    </row>
    <row r="879">
      <c r="B879" s="53"/>
    </row>
  </sheetData>
  <mergeCells count="15">
    <mergeCell ref="O9:P9"/>
    <mergeCell ref="O10:P10"/>
    <mergeCell ref="O11:P11"/>
    <mergeCell ref="O12:P12"/>
    <mergeCell ref="O13:P13"/>
    <mergeCell ref="O14:P14"/>
    <mergeCell ref="O15:P15"/>
    <mergeCell ref="O16:P16"/>
    <mergeCell ref="O2:P2"/>
    <mergeCell ref="O3:P3"/>
    <mergeCell ref="O4:P4"/>
    <mergeCell ref="O5:P5"/>
    <mergeCell ref="O6:P6"/>
    <mergeCell ref="O7:P7"/>
    <mergeCell ref="O8:P8"/>
  </mergeCells>
  <conditionalFormatting sqref="D3:N20">
    <cfRule type="beginsWith" dxfId="0" priority="1" operator="beginsWith" text="a">
      <formula>LEFT((D3),LEN("a"))=("a")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25"/>
  </cols>
  <sheetData>
    <row r="1">
      <c r="A1" s="6" t="s">
        <v>0</v>
      </c>
      <c r="C1" s="9"/>
    </row>
    <row r="2">
      <c r="A2" s="6" t="s">
        <v>13</v>
      </c>
      <c r="C2" s="9"/>
    </row>
    <row r="3">
      <c r="A3" s="6" t="s">
        <v>18</v>
      </c>
      <c r="C3" s="9"/>
    </row>
    <row r="4">
      <c r="A4" s="17" t="s">
        <v>21</v>
      </c>
      <c r="B4" s="9"/>
      <c r="C4" s="9"/>
    </row>
    <row r="5">
      <c r="A5" s="17" t="s">
        <v>26</v>
      </c>
      <c r="B5" s="9"/>
      <c r="C5" s="9"/>
    </row>
    <row r="6">
      <c r="A6" s="9"/>
      <c r="B6" s="9"/>
      <c r="C6" s="9"/>
    </row>
    <row r="7">
      <c r="A7" s="19" t="s">
        <v>34</v>
      </c>
      <c r="B7" s="19" t="s">
        <v>38</v>
      </c>
      <c r="C7" s="19" t="s">
        <v>39</v>
      </c>
    </row>
    <row r="8">
      <c r="A8" s="21">
        <v>1.0</v>
      </c>
      <c r="B8" s="23" t="s">
        <v>43</v>
      </c>
      <c r="C8" s="26" t="s">
        <v>49</v>
      </c>
    </row>
    <row r="9">
      <c r="A9" s="28"/>
      <c r="B9" s="23" t="s">
        <v>54</v>
      </c>
      <c r="C9" s="26" t="s">
        <v>49</v>
      </c>
    </row>
    <row r="10">
      <c r="A10" s="28"/>
      <c r="B10" s="23" t="s">
        <v>56</v>
      </c>
      <c r="C10" s="26" t="s">
        <v>49</v>
      </c>
    </row>
    <row r="11">
      <c r="A11" s="28"/>
      <c r="B11" s="23" t="s">
        <v>58</v>
      </c>
      <c r="C11" s="26" t="s">
        <v>49</v>
      </c>
    </row>
    <row r="12">
      <c r="A12" s="28"/>
      <c r="B12" s="23" t="s">
        <v>60</v>
      </c>
      <c r="C12" s="26" t="s">
        <v>49</v>
      </c>
    </row>
    <row r="13">
      <c r="A13" s="28"/>
      <c r="B13" s="23" t="s">
        <v>62</v>
      </c>
      <c r="C13" s="26" t="s">
        <v>49</v>
      </c>
    </row>
    <row r="14">
      <c r="A14" s="28"/>
      <c r="B14" s="23" t="s">
        <v>65</v>
      </c>
      <c r="C14" s="26" t="s">
        <v>49</v>
      </c>
    </row>
    <row r="15">
      <c r="A15" s="28"/>
      <c r="B15" s="23" t="s">
        <v>68</v>
      </c>
      <c r="C15" s="26" t="s">
        <v>49</v>
      </c>
    </row>
    <row r="16">
      <c r="A16" s="28"/>
      <c r="B16" s="23" t="s">
        <v>71</v>
      </c>
      <c r="C16" s="26" t="s">
        <v>49</v>
      </c>
    </row>
    <row r="17">
      <c r="A17" s="28"/>
      <c r="B17" s="23" t="s">
        <v>74</v>
      </c>
      <c r="C17" s="26" t="s">
        <v>49</v>
      </c>
    </row>
    <row r="18">
      <c r="A18" s="28"/>
      <c r="B18" s="23" t="s">
        <v>75</v>
      </c>
      <c r="C18" s="26" t="s">
        <v>49</v>
      </c>
    </row>
    <row r="19">
      <c r="A19" s="21">
        <v>2.0</v>
      </c>
      <c r="B19" s="23" t="s">
        <v>79</v>
      </c>
      <c r="C19" s="26" t="s">
        <v>49</v>
      </c>
    </row>
    <row r="20">
      <c r="A20" s="28"/>
      <c r="B20" s="23" t="s">
        <v>82</v>
      </c>
      <c r="C20" s="26" t="s">
        <v>49</v>
      </c>
    </row>
    <row r="21">
      <c r="A21" s="28"/>
      <c r="B21" s="23" t="s">
        <v>85</v>
      </c>
      <c r="C21" s="26" t="s">
        <v>49</v>
      </c>
    </row>
    <row r="22">
      <c r="A22" s="28"/>
      <c r="B22" s="23" t="s">
        <v>88</v>
      </c>
      <c r="C22" s="26" t="s">
        <v>49</v>
      </c>
    </row>
    <row r="23">
      <c r="A23" s="28"/>
      <c r="B23" s="23" t="s">
        <v>92</v>
      </c>
      <c r="C23" s="26" t="s">
        <v>49</v>
      </c>
    </row>
    <row r="24">
      <c r="A24" s="28"/>
      <c r="B24" s="23" t="s">
        <v>94</v>
      </c>
      <c r="C24" s="26" t="s">
        <v>49</v>
      </c>
    </row>
    <row r="25">
      <c r="A25" s="28"/>
      <c r="B25" s="23" t="s">
        <v>96</v>
      </c>
      <c r="C25" s="26" t="s">
        <v>49</v>
      </c>
    </row>
    <row r="26">
      <c r="A26" s="28"/>
      <c r="B26" s="23" t="s">
        <v>99</v>
      </c>
      <c r="C26" s="26" t="s">
        <v>49</v>
      </c>
    </row>
    <row r="27">
      <c r="A27" s="28"/>
      <c r="B27" s="23" t="s">
        <v>105</v>
      </c>
      <c r="C27" s="26" t="s">
        <v>49</v>
      </c>
    </row>
    <row r="28">
      <c r="A28" s="28"/>
      <c r="B28" s="23" t="s">
        <v>108</v>
      </c>
      <c r="C28" s="26" t="s">
        <v>49</v>
      </c>
    </row>
    <row r="29">
      <c r="A29" s="21">
        <v>3.0</v>
      </c>
      <c r="B29" s="23" t="s">
        <v>111</v>
      </c>
      <c r="C29" s="26" t="s">
        <v>49</v>
      </c>
    </row>
    <row r="30">
      <c r="A30" s="28"/>
      <c r="B30" s="23" t="s">
        <v>115</v>
      </c>
      <c r="C30" s="26" t="s">
        <v>49</v>
      </c>
    </row>
    <row r="31">
      <c r="A31" s="28"/>
      <c r="B31" s="23" t="s">
        <v>118</v>
      </c>
      <c r="C31" s="26" t="s">
        <v>49</v>
      </c>
    </row>
    <row r="32">
      <c r="A32" s="28"/>
      <c r="B32" s="23" t="s">
        <v>121</v>
      </c>
      <c r="C32" s="26" t="s">
        <v>49</v>
      </c>
    </row>
    <row r="33">
      <c r="A33" s="28"/>
      <c r="B33" s="23" t="s">
        <v>125</v>
      </c>
      <c r="C33" s="26" t="s">
        <v>49</v>
      </c>
    </row>
    <row r="34">
      <c r="A34" s="28"/>
      <c r="B34" s="23" t="s">
        <v>129</v>
      </c>
      <c r="C34" s="26" t="s">
        <v>49</v>
      </c>
    </row>
    <row r="35">
      <c r="A35" s="28"/>
      <c r="B35" s="23" t="s">
        <v>132</v>
      </c>
      <c r="C35" s="26" t="s">
        <v>49</v>
      </c>
    </row>
    <row r="36">
      <c r="A36" s="28"/>
      <c r="B36" s="23" t="s">
        <v>135</v>
      </c>
      <c r="C36" s="26" t="s">
        <v>49</v>
      </c>
    </row>
    <row r="37">
      <c r="A37" s="28"/>
      <c r="B37" s="23" t="s">
        <v>137</v>
      </c>
      <c r="C37" s="26" t="s">
        <v>49</v>
      </c>
    </row>
    <row r="38">
      <c r="A38" s="28"/>
      <c r="B38" s="23" t="s">
        <v>142</v>
      </c>
      <c r="C38" s="26" t="s">
        <v>49</v>
      </c>
    </row>
    <row r="39">
      <c r="A39" s="28"/>
      <c r="B39" s="23" t="s">
        <v>144</v>
      </c>
      <c r="C39" s="26" t="s">
        <v>49</v>
      </c>
    </row>
    <row r="40">
      <c r="A40" s="28"/>
      <c r="B40" s="23" t="s">
        <v>147</v>
      </c>
      <c r="C40" s="26" t="s">
        <v>49</v>
      </c>
    </row>
    <row r="41">
      <c r="A41" s="21">
        <v>4.0</v>
      </c>
      <c r="B41" s="23" t="s">
        <v>150</v>
      </c>
      <c r="C41" s="26" t="s">
        <v>49</v>
      </c>
    </row>
    <row r="42">
      <c r="A42" s="28"/>
      <c r="B42" s="23" t="s">
        <v>153</v>
      </c>
      <c r="C42" s="26" t="s">
        <v>49</v>
      </c>
    </row>
    <row r="43">
      <c r="A43" s="28"/>
      <c r="B43" s="23" t="s">
        <v>155</v>
      </c>
      <c r="C43" s="26" t="s">
        <v>49</v>
      </c>
    </row>
    <row r="44">
      <c r="A44" s="28"/>
      <c r="B44" s="23" t="s">
        <v>156</v>
      </c>
      <c r="C44" s="26" t="s">
        <v>49</v>
      </c>
    </row>
    <row r="45">
      <c r="A45" s="28"/>
      <c r="B45" s="23" t="s">
        <v>158</v>
      </c>
      <c r="C45" s="26" t="s">
        <v>49</v>
      </c>
    </row>
    <row r="46">
      <c r="A46" s="28"/>
      <c r="B46" s="23" t="s">
        <v>160</v>
      </c>
      <c r="C46" s="26" t="s">
        <v>49</v>
      </c>
    </row>
    <row r="47">
      <c r="A47" s="28"/>
      <c r="B47" s="23" t="s">
        <v>162</v>
      </c>
      <c r="C47" s="26" t="s">
        <v>49</v>
      </c>
    </row>
    <row r="48">
      <c r="A48" s="28"/>
      <c r="B48" s="23" t="s">
        <v>164</v>
      </c>
      <c r="C48" s="26" t="s">
        <v>49</v>
      </c>
    </row>
    <row r="49">
      <c r="A49" s="28"/>
      <c r="B49" s="23" t="s">
        <v>168</v>
      </c>
      <c r="C49" s="26" t="s">
        <v>49</v>
      </c>
    </row>
    <row r="50">
      <c r="A50" s="28"/>
      <c r="B50" s="23" t="s">
        <v>170</v>
      </c>
      <c r="C50" s="26" t="s">
        <v>49</v>
      </c>
    </row>
    <row r="51">
      <c r="A51" s="28"/>
      <c r="B51" s="23" t="s">
        <v>172</v>
      </c>
      <c r="C51" s="26" t="s">
        <v>49</v>
      </c>
    </row>
    <row r="52">
      <c r="A52" s="28"/>
      <c r="B52" s="23" t="s">
        <v>174</v>
      </c>
      <c r="C52" s="26" t="s">
        <v>49</v>
      </c>
    </row>
    <row r="53">
      <c r="A53" s="28"/>
      <c r="B53" s="23" t="s">
        <v>176</v>
      </c>
      <c r="C53" s="26" t="s">
        <v>49</v>
      </c>
    </row>
    <row r="54">
      <c r="A54" s="21">
        <v>5.0</v>
      </c>
      <c r="B54" s="23" t="s">
        <v>180</v>
      </c>
      <c r="C54" s="26" t="s">
        <v>49</v>
      </c>
    </row>
    <row r="55">
      <c r="A55" s="28"/>
      <c r="B55" s="23" t="s">
        <v>182</v>
      </c>
      <c r="C55" s="26" t="s">
        <v>49</v>
      </c>
    </row>
    <row r="56">
      <c r="A56" s="28"/>
      <c r="B56" s="23" t="s">
        <v>184</v>
      </c>
      <c r="C56" s="26" t="s">
        <v>49</v>
      </c>
    </row>
    <row r="57">
      <c r="A57" s="28"/>
      <c r="B57" s="23" t="s">
        <v>185</v>
      </c>
      <c r="C57" s="26" t="s">
        <v>49</v>
      </c>
    </row>
    <row r="58">
      <c r="A58" s="28"/>
      <c r="B58" s="23" t="s">
        <v>188</v>
      </c>
      <c r="C58" s="26" t="s">
        <v>49</v>
      </c>
    </row>
    <row r="59">
      <c r="A59" s="28"/>
      <c r="B59" s="23" t="s">
        <v>189</v>
      </c>
      <c r="C59" s="26" t="s">
        <v>49</v>
      </c>
    </row>
    <row r="60">
      <c r="A60" s="28"/>
      <c r="B60" s="23" t="s">
        <v>190</v>
      </c>
      <c r="C60" s="26" t="s">
        <v>49</v>
      </c>
    </row>
    <row r="61">
      <c r="A61" s="28"/>
      <c r="B61" s="23" t="s">
        <v>191</v>
      </c>
      <c r="C61" s="26" t="s">
        <v>49</v>
      </c>
    </row>
    <row r="62">
      <c r="A62" s="28"/>
      <c r="B62" s="23" t="s">
        <v>193</v>
      </c>
      <c r="C62" s="26" t="s">
        <v>49</v>
      </c>
    </row>
    <row r="63">
      <c r="A63" s="28"/>
      <c r="B63" s="23" t="s">
        <v>195</v>
      </c>
      <c r="C63" s="26" t="s">
        <v>49</v>
      </c>
    </row>
    <row r="64">
      <c r="A64" s="21">
        <v>6.0</v>
      </c>
      <c r="B64" s="23" t="s">
        <v>196</v>
      </c>
      <c r="C64" s="26" t="s">
        <v>49</v>
      </c>
    </row>
    <row r="65">
      <c r="A65" s="28"/>
      <c r="B65" s="23" t="s">
        <v>197</v>
      </c>
      <c r="C65" s="26" t="s">
        <v>49</v>
      </c>
    </row>
    <row r="66">
      <c r="A66" s="28"/>
      <c r="B66" s="23" t="s">
        <v>198</v>
      </c>
      <c r="C66" s="26" t="s">
        <v>49</v>
      </c>
    </row>
    <row r="67">
      <c r="A67" s="28"/>
      <c r="B67" s="23" t="s">
        <v>200</v>
      </c>
      <c r="C67" s="26" t="s">
        <v>49</v>
      </c>
    </row>
    <row r="68">
      <c r="A68" s="28"/>
      <c r="B68" s="23" t="s">
        <v>202</v>
      </c>
      <c r="C68" s="26" t="s">
        <v>49</v>
      </c>
    </row>
    <row r="69">
      <c r="A69" s="28"/>
      <c r="B69" s="23" t="s">
        <v>204</v>
      </c>
      <c r="C69" s="26" t="s">
        <v>49</v>
      </c>
    </row>
    <row r="70">
      <c r="A70" s="28"/>
      <c r="B70" s="23" t="s">
        <v>205</v>
      </c>
      <c r="C70" s="26" t="s">
        <v>49</v>
      </c>
    </row>
    <row r="71">
      <c r="A71" s="28"/>
      <c r="B71" s="23" t="s">
        <v>206</v>
      </c>
      <c r="C71" s="26" t="s">
        <v>49</v>
      </c>
    </row>
    <row r="72">
      <c r="A72" s="28"/>
      <c r="B72" s="23" t="s">
        <v>207</v>
      </c>
      <c r="C72" s="26" t="s">
        <v>49</v>
      </c>
    </row>
    <row r="73">
      <c r="A73" s="28"/>
      <c r="B73" s="23" t="s">
        <v>208</v>
      </c>
      <c r="C73" s="26" t="s">
        <v>49</v>
      </c>
    </row>
    <row r="74">
      <c r="A74" s="21">
        <v>7.0</v>
      </c>
      <c r="B74" s="23" t="s">
        <v>209</v>
      </c>
      <c r="C74" s="26" t="s">
        <v>49</v>
      </c>
    </row>
    <row r="75">
      <c r="A75" s="28"/>
      <c r="B75" s="23" t="s">
        <v>210</v>
      </c>
      <c r="C75" s="26" t="s">
        <v>49</v>
      </c>
    </row>
    <row r="76">
      <c r="A76" s="28"/>
      <c r="B76" s="23" t="s">
        <v>212</v>
      </c>
      <c r="C76" s="26" t="s">
        <v>49</v>
      </c>
    </row>
    <row r="77">
      <c r="A77" s="28"/>
      <c r="B77" s="23" t="s">
        <v>213</v>
      </c>
      <c r="C77" s="26" t="s">
        <v>49</v>
      </c>
    </row>
    <row r="78">
      <c r="A78" s="28"/>
      <c r="B78" s="23" t="s">
        <v>214</v>
      </c>
      <c r="C78" s="26" t="s">
        <v>49</v>
      </c>
    </row>
    <row r="79">
      <c r="A79" s="28"/>
      <c r="B79" s="23" t="s">
        <v>215</v>
      </c>
      <c r="C79" s="26" t="s">
        <v>49</v>
      </c>
    </row>
    <row r="80">
      <c r="A80" s="28"/>
      <c r="B80" s="23" t="s">
        <v>216</v>
      </c>
      <c r="C80" s="26" t="s">
        <v>49</v>
      </c>
    </row>
    <row r="81">
      <c r="A81" s="28"/>
      <c r="B81" s="23" t="s">
        <v>218</v>
      </c>
      <c r="C81" s="26" t="s">
        <v>49</v>
      </c>
    </row>
    <row r="82">
      <c r="A82" s="28"/>
      <c r="B82" s="23" t="s">
        <v>219</v>
      </c>
      <c r="C82" s="26" t="s">
        <v>49</v>
      </c>
    </row>
    <row r="83">
      <c r="A83" s="28"/>
      <c r="B83" s="23" t="s">
        <v>220</v>
      </c>
      <c r="C83" s="26" t="s">
        <v>49</v>
      </c>
    </row>
    <row r="84">
      <c r="A84" s="28"/>
      <c r="B84" s="23" t="s">
        <v>221</v>
      </c>
      <c r="C84" s="26" t="s">
        <v>49</v>
      </c>
    </row>
    <row r="85">
      <c r="A85" s="28"/>
      <c r="B85" s="23" t="s">
        <v>222</v>
      </c>
      <c r="C85" s="26" t="s">
        <v>49</v>
      </c>
    </row>
    <row r="86">
      <c r="A86" s="21">
        <v>8.0</v>
      </c>
      <c r="B86" s="23" t="s">
        <v>223</v>
      </c>
      <c r="C86" s="26" t="s">
        <v>49</v>
      </c>
    </row>
    <row r="87">
      <c r="A87" s="28"/>
      <c r="B87" s="23" t="s">
        <v>224</v>
      </c>
      <c r="C87" s="26" t="s">
        <v>49</v>
      </c>
    </row>
    <row r="88">
      <c r="A88" s="28"/>
      <c r="B88" s="23" t="s">
        <v>225</v>
      </c>
      <c r="C88" s="26" t="s">
        <v>49</v>
      </c>
    </row>
    <row r="89">
      <c r="A89" s="28"/>
      <c r="B89" s="23" t="s">
        <v>228</v>
      </c>
      <c r="C89" s="26" t="s">
        <v>49</v>
      </c>
    </row>
    <row r="90">
      <c r="A90" s="28"/>
      <c r="B90" s="23" t="s">
        <v>229</v>
      </c>
      <c r="C90" s="26" t="s">
        <v>49</v>
      </c>
    </row>
    <row r="91">
      <c r="A91" s="21">
        <v>9.0</v>
      </c>
      <c r="B91" s="23" t="s">
        <v>231</v>
      </c>
      <c r="C91" s="26" t="s">
        <v>49</v>
      </c>
    </row>
    <row r="92">
      <c r="A92" s="28"/>
      <c r="B92" s="23" t="s">
        <v>233</v>
      </c>
      <c r="C92" s="26" t="s">
        <v>49</v>
      </c>
    </row>
    <row r="93">
      <c r="A93" s="28"/>
      <c r="B93" s="23" t="s">
        <v>235</v>
      </c>
      <c r="C93" s="26" t="s">
        <v>49</v>
      </c>
    </row>
    <row r="94">
      <c r="A94" s="21">
        <v>10.0</v>
      </c>
      <c r="B94" s="23" t="s">
        <v>237</v>
      </c>
      <c r="C94" s="26" t="s">
        <v>49</v>
      </c>
    </row>
    <row r="95">
      <c r="A95" s="28"/>
      <c r="B95" s="23" t="s">
        <v>238</v>
      </c>
      <c r="C95" s="26" t="s">
        <v>49</v>
      </c>
    </row>
    <row r="96">
      <c r="A96" s="28"/>
      <c r="B96" s="23" t="s">
        <v>240</v>
      </c>
      <c r="C96" s="26" t="s">
        <v>49</v>
      </c>
    </row>
    <row r="97">
      <c r="A97" s="28"/>
      <c r="B97" s="23" t="s">
        <v>242</v>
      </c>
      <c r="C97" s="26" t="s">
        <v>49</v>
      </c>
    </row>
    <row r="98">
      <c r="A98" s="28"/>
      <c r="B98" s="23" t="s">
        <v>243</v>
      </c>
      <c r="C98" s="26" t="s">
        <v>49</v>
      </c>
    </row>
    <row r="99">
      <c r="A99" s="28"/>
      <c r="B99" s="23" t="s">
        <v>245</v>
      </c>
      <c r="C99" s="26" t="s">
        <v>49</v>
      </c>
    </row>
    <row r="100">
      <c r="A100" s="28"/>
      <c r="B100" s="23" t="s">
        <v>247</v>
      </c>
      <c r="C100" s="26" t="s">
        <v>49</v>
      </c>
    </row>
    <row r="101">
      <c r="A101" s="28"/>
      <c r="B101" s="23" t="s">
        <v>248</v>
      </c>
      <c r="C101" s="26" t="s">
        <v>49</v>
      </c>
    </row>
    <row r="102">
      <c r="A102" s="28"/>
      <c r="B102" s="23" t="s">
        <v>249</v>
      </c>
      <c r="C102" s="26" t="s">
        <v>49</v>
      </c>
    </row>
    <row r="103">
      <c r="A103" s="28"/>
      <c r="B103" s="23" t="s">
        <v>251</v>
      </c>
      <c r="C103" s="26" t="s">
        <v>49</v>
      </c>
    </row>
    <row r="104">
      <c r="A104" s="21">
        <v>11.0</v>
      </c>
      <c r="B104" s="23" t="s">
        <v>253</v>
      </c>
      <c r="C104" s="26" t="s">
        <v>49</v>
      </c>
    </row>
    <row r="105">
      <c r="A105" s="28"/>
      <c r="B105" s="23" t="s">
        <v>254</v>
      </c>
      <c r="C105" s="26" t="s">
        <v>49</v>
      </c>
    </row>
    <row r="106">
      <c r="A106" s="28"/>
      <c r="B106" s="23" t="s">
        <v>255</v>
      </c>
      <c r="C106" s="26" t="s">
        <v>49</v>
      </c>
    </row>
    <row r="107">
      <c r="A107" s="28"/>
      <c r="B107" s="23" t="s">
        <v>256</v>
      </c>
      <c r="C107" s="26" t="s">
        <v>49</v>
      </c>
    </row>
    <row r="108">
      <c r="A108" s="28"/>
      <c r="B108" s="23" t="s">
        <v>257</v>
      </c>
      <c r="C108" s="26" t="s">
        <v>49</v>
      </c>
    </row>
    <row r="109">
      <c r="A109" s="28"/>
      <c r="B109" s="23" t="s">
        <v>258</v>
      </c>
      <c r="C109" s="26" t="s">
        <v>49</v>
      </c>
    </row>
    <row r="110">
      <c r="A110" s="28"/>
      <c r="B110" s="23" t="s">
        <v>259</v>
      </c>
      <c r="C110" s="26" t="s">
        <v>49</v>
      </c>
    </row>
    <row r="111">
      <c r="A111" s="28"/>
      <c r="B111" s="23" t="s">
        <v>260</v>
      </c>
      <c r="C111" s="26" t="s">
        <v>49</v>
      </c>
    </row>
    <row r="112">
      <c r="A112" s="28"/>
      <c r="B112" s="23" t="s">
        <v>261</v>
      </c>
      <c r="C112" s="26" t="s">
        <v>49</v>
      </c>
    </row>
    <row r="113">
      <c r="A113" s="28"/>
      <c r="B113" s="23" t="s">
        <v>262</v>
      </c>
      <c r="C113" s="26" t="s">
        <v>49</v>
      </c>
    </row>
    <row r="114">
      <c r="A114" s="21">
        <v>12.0</v>
      </c>
      <c r="B114" s="23" t="s">
        <v>263</v>
      </c>
      <c r="C114" s="26" t="s">
        <v>49</v>
      </c>
    </row>
    <row r="115">
      <c r="A115" s="28"/>
      <c r="B115" s="23" t="s">
        <v>264</v>
      </c>
      <c r="C115" s="26" t="s">
        <v>49</v>
      </c>
    </row>
    <row r="116">
      <c r="A116" s="28"/>
      <c r="B116" s="23" t="s">
        <v>265</v>
      </c>
      <c r="C116" s="26" t="s">
        <v>49</v>
      </c>
    </row>
    <row r="117">
      <c r="A117" s="28"/>
      <c r="B117" s="23" t="s">
        <v>266</v>
      </c>
      <c r="C117" s="26" t="s">
        <v>49</v>
      </c>
    </row>
    <row r="118">
      <c r="A118" s="28"/>
      <c r="B118" s="23" t="s">
        <v>267</v>
      </c>
      <c r="C118" s="26" t="s">
        <v>49</v>
      </c>
      <c r="E118" s="18"/>
    </row>
    <row r="119">
      <c r="A119" s="28"/>
      <c r="B119" s="23" t="s">
        <v>268</v>
      </c>
      <c r="C119" s="26" t="s">
        <v>49</v>
      </c>
    </row>
    <row r="120">
      <c r="A120" s="28"/>
      <c r="B120" s="23" t="s">
        <v>269</v>
      </c>
      <c r="C120" s="26" t="s">
        <v>49</v>
      </c>
    </row>
    <row r="121">
      <c r="A121" s="28"/>
      <c r="B121" s="23" t="s">
        <v>270</v>
      </c>
      <c r="C121" s="26" t="s">
        <v>49</v>
      </c>
    </row>
    <row r="122">
      <c r="A122" s="28"/>
      <c r="B122" s="23" t="s">
        <v>271</v>
      </c>
      <c r="C122" s="26" t="s">
        <v>49</v>
      </c>
    </row>
    <row r="123">
      <c r="A123" s="28"/>
      <c r="B123" s="23" t="s">
        <v>272</v>
      </c>
      <c r="C123" s="26" t="s">
        <v>49</v>
      </c>
    </row>
    <row r="124">
      <c r="A124" s="21">
        <v>13.0</v>
      </c>
      <c r="B124" s="23" t="s">
        <v>273</v>
      </c>
      <c r="C124" s="26" t="s">
        <v>49</v>
      </c>
    </row>
    <row r="125">
      <c r="A125" s="28"/>
      <c r="B125" s="23" t="s">
        <v>274</v>
      </c>
      <c r="C125" s="26" t="s">
        <v>49</v>
      </c>
    </row>
    <row r="126">
      <c r="A126" s="28"/>
      <c r="B126" s="23" t="s">
        <v>275</v>
      </c>
      <c r="C126" s="26" t="s">
        <v>49</v>
      </c>
    </row>
    <row r="127">
      <c r="A127" s="28"/>
      <c r="B127" s="23" t="s">
        <v>276</v>
      </c>
      <c r="C127" s="26" t="s">
        <v>49</v>
      </c>
    </row>
    <row r="128">
      <c r="A128" s="28"/>
      <c r="B128" s="23" t="s">
        <v>277</v>
      </c>
      <c r="C128" s="26" t="s">
        <v>49</v>
      </c>
    </row>
    <row r="129">
      <c r="A129" s="28"/>
      <c r="B129" s="23" t="s">
        <v>278</v>
      </c>
      <c r="C129" s="26" t="s">
        <v>49</v>
      </c>
    </row>
    <row r="130">
      <c r="A130" s="28"/>
      <c r="B130" s="23" t="s">
        <v>279</v>
      </c>
      <c r="C130" s="26" t="s">
        <v>49</v>
      </c>
    </row>
    <row r="131">
      <c r="A131" s="28"/>
      <c r="B131" s="23" t="s">
        <v>280</v>
      </c>
      <c r="C131" s="26" t="s">
        <v>49</v>
      </c>
    </row>
    <row r="132">
      <c r="A132" s="28"/>
      <c r="B132" s="23" t="s">
        <v>281</v>
      </c>
      <c r="C132" s="26" t="s">
        <v>49</v>
      </c>
    </row>
    <row r="133">
      <c r="A133" s="28"/>
      <c r="B133" s="23" t="s">
        <v>282</v>
      </c>
      <c r="C133" s="26" t="s">
        <v>49</v>
      </c>
    </row>
    <row r="134">
      <c r="A134" s="28"/>
      <c r="B134" s="23" t="s">
        <v>283</v>
      </c>
      <c r="C134" s="26" t="s">
        <v>49</v>
      </c>
    </row>
    <row r="135">
      <c r="A135" s="28"/>
      <c r="B135" s="23" t="s">
        <v>284</v>
      </c>
      <c r="C135" s="26" t="s">
        <v>49</v>
      </c>
    </row>
    <row r="136">
      <c r="A136" s="21">
        <v>14.0</v>
      </c>
      <c r="B136" s="23" t="s">
        <v>285</v>
      </c>
      <c r="C136" s="26" t="s">
        <v>49</v>
      </c>
    </row>
    <row r="137">
      <c r="A137" s="28"/>
      <c r="B137" s="23" t="s">
        <v>286</v>
      </c>
      <c r="C137" s="26" t="s">
        <v>49</v>
      </c>
    </row>
    <row r="138">
      <c r="A138" s="28"/>
      <c r="B138" s="23" t="s">
        <v>287</v>
      </c>
      <c r="C138" s="26" t="s">
        <v>49</v>
      </c>
    </row>
    <row r="139">
      <c r="A139" s="28"/>
      <c r="B139" s="23" t="s">
        <v>288</v>
      </c>
      <c r="C139" s="26" t="s">
        <v>49</v>
      </c>
    </row>
    <row r="140">
      <c r="A140" s="28"/>
      <c r="B140" s="23" t="s">
        <v>289</v>
      </c>
      <c r="C140" s="26" t="s">
        <v>49</v>
      </c>
    </row>
    <row r="141">
      <c r="A141" s="28"/>
      <c r="B141" s="23" t="s">
        <v>290</v>
      </c>
      <c r="C141" s="26" t="s">
        <v>49</v>
      </c>
    </row>
    <row r="142">
      <c r="A142" s="28"/>
      <c r="B142" s="23" t="s">
        <v>291</v>
      </c>
      <c r="C142" s="26" t="s">
        <v>49</v>
      </c>
    </row>
    <row r="143">
      <c r="A143" s="28"/>
      <c r="B143" s="23" t="s">
        <v>292</v>
      </c>
      <c r="C143" s="26" t="s">
        <v>49</v>
      </c>
    </row>
    <row r="144">
      <c r="A144" s="28"/>
      <c r="B144" s="23" t="s">
        <v>293</v>
      </c>
      <c r="C144" s="26" t="s">
        <v>49</v>
      </c>
    </row>
    <row r="145">
      <c r="A145" s="28"/>
      <c r="B145" s="23" t="s">
        <v>294</v>
      </c>
      <c r="C145" s="26" t="s">
        <v>49</v>
      </c>
    </row>
    <row r="146">
      <c r="A146" s="28"/>
      <c r="B146" s="23" t="s">
        <v>295</v>
      </c>
      <c r="C146" s="26" t="s">
        <v>49</v>
      </c>
    </row>
    <row r="147">
      <c r="A147" s="21">
        <v>15.0</v>
      </c>
      <c r="B147" s="23" t="s">
        <v>296</v>
      </c>
      <c r="C147" s="26" t="s">
        <v>49</v>
      </c>
    </row>
    <row r="148">
      <c r="A148" s="28"/>
      <c r="B148" s="23" t="s">
        <v>297</v>
      </c>
      <c r="C148" s="26" t="s">
        <v>49</v>
      </c>
    </row>
    <row r="149">
      <c r="A149" s="28"/>
      <c r="B149" s="23" t="s">
        <v>298</v>
      </c>
      <c r="C149" s="26" t="s">
        <v>49</v>
      </c>
    </row>
    <row r="150">
      <c r="A150" s="28"/>
      <c r="B150" s="23" t="s">
        <v>299</v>
      </c>
      <c r="C150" s="26" t="s">
        <v>49</v>
      </c>
    </row>
    <row r="151">
      <c r="A151" s="28"/>
      <c r="B151" s="23" t="s">
        <v>300</v>
      </c>
      <c r="C151" s="26" t="s">
        <v>49</v>
      </c>
    </row>
    <row r="152">
      <c r="A152" s="21">
        <v>16.0</v>
      </c>
      <c r="B152" s="23" t="s">
        <v>301</v>
      </c>
      <c r="C152" s="26" t="s">
        <v>49</v>
      </c>
    </row>
    <row r="153">
      <c r="A153" s="28"/>
      <c r="B153" s="23" t="s">
        <v>302</v>
      </c>
      <c r="C153" s="26" t="s">
        <v>49</v>
      </c>
    </row>
    <row r="154">
      <c r="A154" s="28"/>
      <c r="B154" s="23" t="s">
        <v>303</v>
      </c>
      <c r="C154" s="26" t="s">
        <v>49</v>
      </c>
    </row>
    <row r="155">
      <c r="A155" s="21">
        <v>17.0</v>
      </c>
      <c r="B155" s="23" t="s">
        <v>304</v>
      </c>
      <c r="C155" s="26" t="s">
        <v>49</v>
      </c>
    </row>
    <row r="156">
      <c r="A156" s="28"/>
      <c r="B156" s="23" t="s">
        <v>305</v>
      </c>
      <c r="C156" s="26" t="s">
        <v>49</v>
      </c>
    </row>
    <row r="157">
      <c r="A157" s="28"/>
      <c r="B157" s="23" t="s">
        <v>235</v>
      </c>
      <c r="C157" s="26" t="s">
        <v>49</v>
      </c>
    </row>
    <row r="158">
      <c r="A158" s="21">
        <v>18.0</v>
      </c>
      <c r="B158" s="23" t="s">
        <v>306</v>
      </c>
      <c r="C158" s="26" t="s">
        <v>49</v>
      </c>
    </row>
    <row r="159">
      <c r="A159" s="28"/>
      <c r="B159" s="23" t="s">
        <v>307</v>
      </c>
      <c r="C159" s="26" t="s">
        <v>49</v>
      </c>
    </row>
    <row r="160">
      <c r="A160" s="28"/>
      <c r="B160" s="23" t="s">
        <v>308</v>
      </c>
      <c r="C160" s="26" t="s">
        <v>49</v>
      </c>
    </row>
    <row r="161">
      <c r="A161" s="28"/>
      <c r="B161" s="23" t="s">
        <v>309</v>
      </c>
      <c r="C161" s="26" t="s">
        <v>49</v>
      </c>
    </row>
    <row r="162">
      <c r="A162" s="28"/>
      <c r="B162" s="23" t="s">
        <v>310</v>
      </c>
      <c r="C162" s="26" t="s">
        <v>49</v>
      </c>
    </row>
    <row r="163">
      <c r="A163" s="28"/>
      <c r="B163" s="23" t="s">
        <v>311</v>
      </c>
      <c r="C163" s="26" t="s">
        <v>49</v>
      </c>
    </row>
    <row r="164">
      <c r="A164" s="28"/>
      <c r="B164" s="23" t="s">
        <v>312</v>
      </c>
      <c r="C164" s="26" t="s">
        <v>49</v>
      </c>
    </row>
    <row r="165">
      <c r="A165" s="28"/>
      <c r="B165" s="23" t="s">
        <v>313</v>
      </c>
      <c r="C165" s="26" t="s">
        <v>49</v>
      </c>
    </row>
    <row r="166">
      <c r="A166" s="28"/>
      <c r="B166" s="23" t="s">
        <v>314</v>
      </c>
      <c r="C166" s="26" t="s">
        <v>49</v>
      </c>
    </row>
    <row r="167">
      <c r="A167" s="28"/>
      <c r="B167" s="23" t="s">
        <v>315</v>
      </c>
      <c r="C167" s="26" t="s">
        <v>49</v>
      </c>
    </row>
    <row r="168">
      <c r="A168" s="28"/>
      <c r="B168" s="23" t="s">
        <v>316</v>
      </c>
      <c r="C168" s="26" t="s">
        <v>49</v>
      </c>
    </row>
    <row r="169">
      <c r="A169" s="28"/>
      <c r="B169" s="23" t="s">
        <v>317</v>
      </c>
      <c r="C169" s="26" t="s">
        <v>49</v>
      </c>
    </row>
    <row r="170">
      <c r="A170" s="28"/>
      <c r="B170" s="23" t="s">
        <v>318</v>
      </c>
      <c r="C170" s="26" t="s">
        <v>49</v>
      </c>
    </row>
    <row r="171">
      <c r="A171" s="21">
        <v>19.0</v>
      </c>
      <c r="B171" s="23" t="s">
        <v>319</v>
      </c>
      <c r="C171" s="26" t="s">
        <v>49</v>
      </c>
    </row>
    <row r="172">
      <c r="A172" s="28"/>
      <c r="B172" s="23" t="s">
        <v>320</v>
      </c>
      <c r="C172" s="26" t="s">
        <v>49</v>
      </c>
    </row>
    <row r="173">
      <c r="A173" s="28"/>
      <c r="B173" s="23" t="s">
        <v>321</v>
      </c>
      <c r="C173" s="26" t="s">
        <v>49</v>
      </c>
    </row>
    <row r="174">
      <c r="A174" s="28"/>
      <c r="B174" s="23" t="s">
        <v>322</v>
      </c>
      <c r="C174" s="26" t="s">
        <v>49</v>
      </c>
    </row>
    <row r="175">
      <c r="A175" s="28"/>
      <c r="B175" s="23" t="s">
        <v>323</v>
      </c>
      <c r="C175" s="26" t="s">
        <v>49</v>
      </c>
    </row>
    <row r="176">
      <c r="A176" s="28"/>
      <c r="B176" s="23" t="s">
        <v>324</v>
      </c>
      <c r="C176" s="26" t="s">
        <v>49</v>
      </c>
    </row>
    <row r="177">
      <c r="A177" s="28"/>
      <c r="B177" s="23" t="s">
        <v>325</v>
      </c>
      <c r="C177" s="26" t="s">
        <v>49</v>
      </c>
    </row>
    <row r="178">
      <c r="A178" s="28"/>
      <c r="B178" s="23" t="s">
        <v>326</v>
      </c>
      <c r="C178" s="26" t="s">
        <v>49</v>
      </c>
    </row>
    <row r="179">
      <c r="A179" s="28"/>
      <c r="B179" s="23" t="s">
        <v>327</v>
      </c>
      <c r="C179" s="26" t="s">
        <v>49</v>
      </c>
    </row>
    <row r="180">
      <c r="A180" s="28"/>
      <c r="B180" s="23" t="s">
        <v>328</v>
      </c>
      <c r="C180" s="26" t="s">
        <v>49</v>
      </c>
    </row>
    <row r="181">
      <c r="A181" s="28"/>
      <c r="B181" s="23" t="s">
        <v>329</v>
      </c>
      <c r="C181" s="26" t="s">
        <v>49</v>
      </c>
    </row>
    <row r="182">
      <c r="A182" s="28"/>
      <c r="B182" s="23" t="s">
        <v>330</v>
      </c>
      <c r="C182" s="26" t="s">
        <v>49</v>
      </c>
    </row>
    <row r="183">
      <c r="A183" s="28"/>
      <c r="B183" s="23" t="s">
        <v>331</v>
      </c>
      <c r="C183" s="26" t="s">
        <v>49</v>
      </c>
    </row>
    <row r="184">
      <c r="A184" s="28"/>
      <c r="B184" s="23" t="s">
        <v>332</v>
      </c>
      <c r="C184" s="26" t="s">
        <v>49</v>
      </c>
    </row>
    <row r="185">
      <c r="A185" s="21">
        <v>20.0</v>
      </c>
      <c r="B185" s="23" t="s">
        <v>333</v>
      </c>
      <c r="C185" s="26" t="s">
        <v>49</v>
      </c>
    </row>
    <row r="186">
      <c r="A186" s="28"/>
      <c r="B186" s="23" t="s">
        <v>334</v>
      </c>
      <c r="C186" s="26" t="s">
        <v>49</v>
      </c>
    </row>
    <row r="187">
      <c r="A187" s="28"/>
      <c r="B187" s="23" t="s">
        <v>335</v>
      </c>
      <c r="C187" s="26" t="s">
        <v>49</v>
      </c>
    </row>
    <row r="188">
      <c r="A188" s="28"/>
      <c r="B188" s="23" t="s">
        <v>336</v>
      </c>
      <c r="C188" s="26" t="s">
        <v>49</v>
      </c>
    </row>
    <row r="189">
      <c r="A189" s="28"/>
      <c r="B189" s="23" t="s">
        <v>337</v>
      </c>
      <c r="C189" s="26" t="s">
        <v>49</v>
      </c>
    </row>
    <row r="190">
      <c r="A190" s="28"/>
      <c r="B190" s="23" t="s">
        <v>338</v>
      </c>
      <c r="C190" s="26" t="s">
        <v>49</v>
      </c>
    </row>
    <row r="191">
      <c r="A191" s="28"/>
      <c r="B191" s="23" t="s">
        <v>339</v>
      </c>
      <c r="C191" s="26" t="s">
        <v>49</v>
      </c>
    </row>
    <row r="192">
      <c r="A192" s="28"/>
      <c r="B192" s="23" t="s">
        <v>340</v>
      </c>
      <c r="C192" s="26" t="s">
        <v>49</v>
      </c>
    </row>
    <row r="193">
      <c r="A193" s="28"/>
      <c r="B193" s="23" t="s">
        <v>341</v>
      </c>
      <c r="C193" s="26" t="s">
        <v>49</v>
      </c>
    </row>
    <row r="194">
      <c r="A194" s="28"/>
      <c r="B194" s="23" t="s">
        <v>342</v>
      </c>
      <c r="C194" s="26" t="s">
        <v>49</v>
      </c>
    </row>
    <row r="195">
      <c r="A195" s="28"/>
      <c r="B195" s="23" t="s">
        <v>343</v>
      </c>
      <c r="C195" s="26" t="s">
        <v>49</v>
      </c>
    </row>
    <row r="196">
      <c r="A196" s="28"/>
      <c r="B196" s="23" t="s">
        <v>344</v>
      </c>
      <c r="C196" s="26" t="s">
        <v>49</v>
      </c>
    </row>
    <row r="197">
      <c r="A197" s="28"/>
      <c r="B197" s="23" t="s">
        <v>345</v>
      </c>
      <c r="C197" s="26" t="s">
        <v>49</v>
      </c>
    </row>
    <row r="198">
      <c r="A198" s="21">
        <v>21.0</v>
      </c>
      <c r="B198" s="23" t="s">
        <v>346</v>
      </c>
      <c r="C198" s="26" t="s">
        <v>49</v>
      </c>
    </row>
    <row r="199">
      <c r="A199" s="28"/>
      <c r="B199" s="23" t="s">
        <v>347</v>
      </c>
      <c r="C199" s="26" t="s">
        <v>49</v>
      </c>
    </row>
    <row r="200">
      <c r="A200" s="28"/>
      <c r="B200" s="23" t="s">
        <v>348</v>
      </c>
      <c r="C200" s="26" t="s">
        <v>49</v>
      </c>
    </row>
    <row r="201">
      <c r="A201" s="28"/>
      <c r="B201" s="23" t="s">
        <v>349</v>
      </c>
      <c r="C201" s="26" t="s">
        <v>49</v>
      </c>
    </row>
    <row r="202">
      <c r="A202" s="28"/>
      <c r="B202" s="23" t="s">
        <v>350</v>
      </c>
      <c r="C202" s="26" t="s">
        <v>49</v>
      </c>
    </row>
    <row r="203">
      <c r="A203" s="28"/>
      <c r="B203" s="23" t="s">
        <v>351</v>
      </c>
      <c r="C203" s="26" t="s">
        <v>49</v>
      </c>
    </row>
    <row r="204">
      <c r="A204" s="28"/>
      <c r="B204" s="23" t="s">
        <v>352</v>
      </c>
      <c r="C204" s="26" t="s">
        <v>49</v>
      </c>
    </row>
    <row r="205">
      <c r="A205" s="28"/>
      <c r="B205" s="23" t="s">
        <v>353</v>
      </c>
      <c r="C205" s="26" t="s">
        <v>49</v>
      </c>
    </row>
    <row r="206">
      <c r="A206" s="28"/>
      <c r="B206" s="23" t="s">
        <v>354</v>
      </c>
      <c r="C206" s="26" t="s">
        <v>49</v>
      </c>
    </row>
    <row r="207">
      <c r="A207" s="28"/>
      <c r="B207" s="23" t="s">
        <v>355</v>
      </c>
      <c r="C207" s="26" t="s">
        <v>49</v>
      </c>
    </row>
    <row r="208">
      <c r="A208" s="28"/>
      <c r="B208" s="23" t="s">
        <v>356</v>
      </c>
      <c r="C208" s="26" t="s">
        <v>49</v>
      </c>
    </row>
    <row r="209">
      <c r="A209" s="28"/>
      <c r="B209" s="23" t="s">
        <v>357</v>
      </c>
      <c r="C209" s="26" t="s">
        <v>49</v>
      </c>
    </row>
    <row r="210">
      <c r="A210" s="21">
        <v>22.0</v>
      </c>
      <c r="B210" s="23" t="s">
        <v>358</v>
      </c>
      <c r="C210" s="26" t="s">
        <v>49</v>
      </c>
    </row>
    <row r="211">
      <c r="A211" s="28"/>
      <c r="B211" s="23" t="s">
        <v>359</v>
      </c>
      <c r="C211" s="26" t="s">
        <v>49</v>
      </c>
    </row>
    <row r="212">
      <c r="A212" s="28"/>
      <c r="B212" s="23" t="s">
        <v>360</v>
      </c>
      <c r="C212" s="26" t="s">
        <v>49</v>
      </c>
    </row>
    <row r="213">
      <c r="A213" s="28"/>
      <c r="B213" s="23" t="s">
        <v>361</v>
      </c>
      <c r="C213" s="26" t="s">
        <v>49</v>
      </c>
    </row>
    <row r="214">
      <c r="A214" s="28"/>
      <c r="B214" s="23" t="s">
        <v>362</v>
      </c>
      <c r="C214" s="26" t="s">
        <v>49</v>
      </c>
    </row>
    <row r="215">
      <c r="A215" s="28"/>
      <c r="B215" s="23" t="s">
        <v>363</v>
      </c>
      <c r="C215" s="26" t="s">
        <v>49</v>
      </c>
    </row>
    <row r="216">
      <c r="A216" s="28"/>
      <c r="B216" s="23" t="s">
        <v>364</v>
      </c>
      <c r="C216" s="26" t="s">
        <v>49</v>
      </c>
    </row>
    <row r="217">
      <c r="A217" s="28"/>
      <c r="B217" s="23" t="s">
        <v>365</v>
      </c>
      <c r="C217" s="26" t="s">
        <v>49</v>
      </c>
    </row>
    <row r="218">
      <c r="A218" s="28"/>
      <c r="B218" s="23" t="s">
        <v>366</v>
      </c>
      <c r="C218" s="26" t="s">
        <v>49</v>
      </c>
    </row>
    <row r="219">
      <c r="A219" s="28"/>
      <c r="B219" s="23" t="s">
        <v>367</v>
      </c>
      <c r="C219" s="26" t="s">
        <v>49</v>
      </c>
    </row>
    <row r="220">
      <c r="A220" s="21">
        <v>23.0</v>
      </c>
      <c r="B220" s="23" t="s">
        <v>368</v>
      </c>
      <c r="C220" s="26" t="s">
        <v>49</v>
      </c>
    </row>
    <row r="221">
      <c r="A221" s="28"/>
      <c r="B221" s="23" t="s">
        <v>369</v>
      </c>
      <c r="C221" s="26" t="s">
        <v>49</v>
      </c>
    </row>
    <row r="222">
      <c r="A222" s="28"/>
      <c r="B222" s="23" t="s">
        <v>370</v>
      </c>
      <c r="C222" s="26" t="s">
        <v>49</v>
      </c>
    </row>
    <row r="223">
      <c r="A223" s="28"/>
      <c r="B223" s="23" t="s">
        <v>371</v>
      </c>
      <c r="C223" s="26" t="s">
        <v>49</v>
      </c>
    </row>
    <row r="224">
      <c r="A224" s="28"/>
      <c r="B224" s="23" t="s">
        <v>372</v>
      </c>
      <c r="C224" s="26" t="s">
        <v>49</v>
      </c>
    </row>
    <row r="225">
      <c r="A225" s="28"/>
      <c r="B225" s="23" t="s">
        <v>373</v>
      </c>
      <c r="C225" s="26" t="s">
        <v>49</v>
      </c>
    </row>
    <row r="226">
      <c r="A226" s="28"/>
      <c r="B226" s="23" t="s">
        <v>374</v>
      </c>
      <c r="C226" s="26" t="s">
        <v>49</v>
      </c>
    </row>
    <row r="227">
      <c r="A227" s="28"/>
      <c r="B227" s="23" t="s">
        <v>375</v>
      </c>
      <c r="C227" s="26" t="s">
        <v>49</v>
      </c>
    </row>
    <row r="228">
      <c r="A228" s="28"/>
      <c r="B228" s="23" t="s">
        <v>376</v>
      </c>
      <c r="C228" s="26" t="s">
        <v>49</v>
      </c>
    </row>
    <row r="229">
      <c r="A229" s="28"/>
      <c r="B229" s="23" t="s">
        <v>377</v>
      </c>
      <c r="C229" s="26" t="s">
        <v>49</v>
      </c>
    </row>
    <row r="230">
      <c r="A230" s="28"/>
      <c r="B230" s="23" t="s">
        <v>378</v>
      </c>
      <c r="C230" s="26" t="s">
        <v>49</v>
      </c>
    </row>
    <row r="231">
      <c r="A231" s="21">
        <v>24.0</v>
      </c>
      <c r="B231" s="23" t="s">
        <v>379</v>
      </c>
      <c r="C231" s="26" t="s">
        <v>49</v>
      </c>
    </row>
    <row r="232">
      <c r="A232" s="28"/>
      <c r="B232" s="23" t="s">
        <v>380</v>
      </c>
      <c r="C232" s="26" t="s">
        <v>49</v>
      </c>
    </row>
    <row r="233">
      <c r="A233" s="28"/>
      <c r="B233" s="23" t="s">
        <v>381</v>
      </c>
      <c r="C233" s="26" t="s">
        <v>49</v>
      </c>
    </row>
    <row r="234">
      <c r="A234" s="28"/>
      <c r="B234" s="23" t="s">
        <v>382</v>
      </c>
      <c r="C234" s="26" t="s">
        <v>49</v>
      </c>
    </row>
    <row r="235">
      <c r="A235" s="28"/>
      <c r="B235" s="23" t="s">
        <v>383</v>
      </c>
      <c r="C235" s="26" t="s">
        <v>49</v>
      </c>
    </row>
    <row r="236">
      <c r="A236" s="28"/>
      <c r="B236" s="23" t="s">
        <v>384</v>
      </c>
      <c r="C236" s="26" t="s">
        <v>49</v>
      </c>
    </row>
    <row r="237">
      <c r="A237" s="28"/>
      <c r="B237" s="23" t="s">
        <v>385</v>
      </c>
      <c r="C237" s="26" t="s">
        <v>49</v>
      </c>
    </row>
    <row r="238">
      <c r="A238" s="28"/>
      <c r="B238" s="23" t="s">
        <v>386</v>
      </c>
      <c r="C238" s="26" t="s">
        <v>49</v>
      </c>
    </row>
    <row r="239">
      <c r="A239" s="28"/>
      <c r="B239" s="23" t="s">
        <v>387</v>
      </c>
      <c r="C239" s="26" t="s">
        <v>49</v>
      </c>
    </row>
    <row r="240">
      <c r="A240" s="28"/>
      <c r="B240" s="23" t="s">
        <v>388</v>
      </c>
      <c r="C240" s="26" t="s">
        <v>49</v>
      </c>
    </row>
    <row r="241">
      <c r="A241" s="28"/>
      <c r="B241" s="23" t="s">
        <v>389</v>
      </c>
      <c r="C241" s="26" t="s">
        <v>49</v>
      </c>
    </row>
    <row r="242">
      <c r="A242" s="28"/>
      <c r="B242" s="23" t="s">
        <v>390</v>
      </c>
      <c r="C242" s="26" t="s">
        <v>49</v>
      </c>
    </row>
    <row r="243">
      <c r="A243" s="21">
        <v>25.0</v>
      </c>
      <c r="B243" s="23" t="s">
        <v>391</v>
      </c>
      <c r="C243" s="26" t="s">
        <v>49</v>
      </c>
    </row>
    <row r="244">
      <c r="A244" s="28"/>
      <c r="B244" s="23" t="s">
        <v>392</v>
      </c>
      <c r="C244" s="26" t="s">
        <v>49</v>
      </c>
    </row>
    <row r="245">
      <c r="A245" s="28"/>
      <c r="B245" s="23" t="s">
        <v>393</v>
      </c>
      <c r="C245" s="26" t="s">
        <v>49</v>
      </c>
    </row>
    <row r="246">
      <c r="A246" s="28"/>
      <c r="B246" s="23" t="s">
        <v>394</v>
      </c>
      <c r="C246" s="26" t="s">
        <v>49</v>
      </c>
    </row>
    <row r="247">
      <c r="A247" s="28"/>
      <c r="B247" s="23" t="s">
        <v>395</v>
      </c>
      <c r="C247" s="26" t="s">
        <v>49</v>
      </c>
    </row>
    <row r="248">
      <c r="A248" s="21">
        <v>26.0</v>
      </c>
      <c r="B248" s="23" t="s">
        <v>396</v>
      </c>
      <c r="C248" s="26" t="s">
        <v>49</v>
      </c>
    </row>
    <row r="249">
      <c r="A249" s="28"/>
      <c r="B249" s="23" t="s">
        <v>302</v>
      </c>
      <c r="C249" s="26" t="s">
        <v>49</v>
      </c>
    </row>
    <row r="250">
      <c r="A250" s="28"/>
      <c r="B250" s="23" t="s">
        <v>303</v>
      </c>
      <c r="C250" s="26" t="s">
        <v>49</v>
      </c>
    </row>
    <row r="251">
      <c r="A251" s="21">
        <v>27.0</v>
      </c>
      <c r="B251" s="23" t="s">
        <v>397</v>
      </c>
      <c r="C251" s="26" t="s">
        <v>49</v>
      </c>
    </row>
    <row r="252">
      <c r="A252" s="28"/>
      <c r="B252" s="23" t="s">
        <v>398</v>
      </c>
      <c r="C252" s="26" t="s">
        <v>49</v>
      </c>
    </row>
    <row r="253">
      <c r="A253" s="28"/>
      <c r="B253" s="23" t="s">
        <v>235</v>
      </c>
      <c r="C253" s="26" t="s">
        <v>49</v>
      </c>
    </row>
    <row r="254">
      <c r="A254" s="21">
        <v>28.0</v>
      </c>
      <c r="B254" s="23" t="s">
        <v>399</v>
      </c>
      <c r="C254" s="26" t="s">
        <v>49</v>
      </c>
    </row>
    <row r="255">
      <c r="A255" s="28"/>
      <c r="B255" s="23" t="s">
        <v>400</v>
      </c>
      <c r="C255" s="26" t="s">
        <v>49</v>
      </c>
    </row>
    <row r="256">
      <c r="A256" s="28"/>
      <c r="B256" s="23" t="s">
        <v>401</v>
      </c>
      <c r="C256" s="26" t="s">
        <v>49</v>
      </c>
    </row>
    <row r="257">
      <c r="A257" s="28"/>
      <c r="B257" s="23" t="s">
        <v>402</v>
      </c>
      <c r="C257" s="26" t="s">
        <v>49</v>
      </c>
    </row>
    <row r="258">
      <c r="A258" s="28"/>
      <c r="B258" s="23" t="s">
        <v>403</v>
      </c>
      <c r="C258" s="26" t="s">
        <v>49</v>
      </c>
    </row>
    <row r="259">
      <c r="A259" s="28"/>
      <c r="B259" s="23" t="s">
        <v>404</v>
      </c>
      <c r="C259" s="26" t="s">
        <v>49</v>
      </c>
    </row>
    <row r="260">
      <c r="A260" s="28"/>
      <c r="B260" s="23" t="s">
        <v>405</v>
      </c>
      <c r="C260" s="26" t="s">
        <v>49</v>
      </c>
    </row>
    <row r="261">
      <c r="A261" s="28"/>
      <c r="B261" s="23" t="s">
        <v>406</v>
      </c>
      <c r="C261" s="26" t="s">
        <v>49</v>
      </c>
    </row>
    <row r="262">
      <c r="A262" s="28"/>
      <c r="B262" s="23" t="s">
        <v>407</v>
      </c>
      <c r="C262" s="26" t="s">
        <v>49</v>
      </c>
    </row>
    <row r="263">
      <c r="A263" s="28"/>
      <c r="B263" s="23" t="s">
        <v>408</v>
      </c>
      <c r="C263" s="26" t="s">
        <v>49</v>
      </c>
    </row>
    <row r="264">
      <c r="A264" s="28"/>
      <c r="B264" s="23" t="s">
        <v>409</v>
      </c>
      <c r="C264" s="26" t="s">
        <v>49</v>
      </c>
    </row>
    <row r="265">
      <c r="A265" s="28"/>
      <c r="B265" s="23" t="s">
        <v>410</v>
      </c>
      <c r="C265" s="26" t="s">
        <v>49</v>
      </c>
    </row>
    <row r="266">
      <c r="A266" s="28"/>
      <c r="B266" s="23" t="s">
        <v>411</v>
      </c>
      <c r="C266" s="26" t="s">
        <v>49</v>
      </c>
    </row>
    <row r="267">
      <c r="A267" s="21">
        <v>29.0</v>
      </c>
      <c r="B267" s="23" t="s">
        <v>412</v>
      </c>
      <c r="C267" s="26" t="s">
        <v>49</v>
      </c>
    </row>
    <row r="268">
      <c r="A268" s="28"/>
      <c r="B268" s="23" t="s">
        <v>413</v>
      </c>
      <c r="C268" s="26" t="s">
        <v>49</v>
      </c>
    </row>
    <row r="269">
      <c r="A269" s="28"/>
      <c r="B269" s="23" t="s">
        <v>414</v>
      </c>
      <c r="C269" s="26" t="s">
        <v>49</v>
      </c>
    </row>
    <row r="270">
      <c r="A270" s="28"/>
      <c r="B270" s="23" t="s">
        <v>415</v>
      </c>
      <c r="C270" s="26" t="s">
        <v>49</v>
      </c>
    </row>
    <row r="271">
      <c r="A271" s="28"/>
      <c r="B271" s="23" t="s">
        <v>416</v>
      </c>
      <c r="C271" s="26" t="s">
        <v>49</v>
      </c>
    </row>
    <row r="272">
      <c r="A272" s="28"/>
      <c r="B272" s="23" t="s">
        <v>417</v>
      </c>
      <c r="C272" s="26" t="s">
        <v>49</v>
      </c>
    </row>
    <row r="273">
      <c r="A273" s="28"/>
      <c r="B273" s="23" t="s">
        <v>418</v>
      </c>
      <c r="C273" s="26" t="s">
        <v>49</v>
      </c>
    </row>
    <row r="274">
      <c r="A274" s="28"/>
      <c r="B274" s="23" t="s">
        <v>419</v>
      </c>
      <c r="C274" s="26" t="s">
        <v>49</v>
      </c>
    </row>
    <row r="275">
      <c r="A275" s="28"/>
      <c r="B275" s="23" t="s">
        <v>420</v>
      </c>
      <c r="C275" s="26" t="s">
        <v>49</v>
      </c>
    </row>
    <row r="276">
      <c r="A276" s="28"/>
      <c r="B276" s="23" t="s">
        <v>421</v>
      </c>
      <c r="C276" s="26" t="s">
        <v>49</v>
      </c>
    </row>
    <row r="277">
      <c r="A277" s="28"/>
      <c r="B277" s="23" t="s">
        <v>422</v>
      </c>
      <c r="C277" s="26" t="s">
        <v>49</v>
      </c>
    </row>
    <row r="278">
      <c r="A278" s="28"/>
      <c r="B278" s="23" t="s">
        <v>423</v>
      </c>
      <c r="C278" s="26" t="s">
        <v>49</v>
      </c>
    </row>
    <row r="279">
      <c r="A279" s="28"/>
      <c r="B279" s="23" t="s">
        <v>424</v>
      </c>
      <c r="C279" s="26" t="s">
        <v>49</v>
      </c>
    </row>
    <row r="280">
      <c r="A280" s="21">
        <v>30.0</v>
      </c>
      <c r="B280" s="23" t="s">
        <v>425</v>
      </c>
      <c r="C280" s="26" t="s">
        <v>49</v>
      </c>
    </row>
    <row r="281">
      <c r="A281" s="28"/>
      <c r="B281" s="23" t="s">
        <v>426</v>
      </c>
      <c r="C281" s="26" t="s">
        <v>49</v>
      </c>
    </row>
    <row r="282">
      <c r="A282" s="28"/>
      <c r="B282" s="23" t="s">
        <v>427</v>
      </c>
      <c r="C282" s="26" t="s">
        <v>49</v>
      </c>
    </row>
    <row r="283">
      <c r="A283" s="28"/>
      <c r="B283" s="23" t="s">
        <v>428</v>
      </c>
      <c r="C283" s="26" t="s">
        <v>49</v>
      </c>
    </row>
    <row r="284">
      <c r="A284" s="28"/>
      <c r="B284" s="23" t="s">
        <v>429</v>
      </c>
      <c r="C284" s="26" t="s">
        <v>49</v>
      </c>
    </row>
    <row r="285">
      <c r="A285" s="28"/>
      <c r="B285" s="23" t="s">
        <v>430</v>
      </c>
      <c r="C285" s="26" t="s">
        <v>49</v>
      </c>
    </row>
    <row r="286">
      <c r="A286" s="28"/>
      <c r="B286" s="23" t="s">
        <v>431</v>
      </c>
      <c r="C286" s="26" t="s">
        <v>49</v>
      </c>
    </row>
    <row r="287">
      <c r="A287" s="28"/>
      <c r="B287" s="23" t="s">
        <v>432</v>
      </c>
      <c r="C287" s="26" t="s">
        <v>49</v>
      </c>
    </row>
    <row r="288">
      <c r="A288" s="28"/>
      <c r="B288" s="23" t="s">
        <v>433</v>
      </c>
      <c r="C288" s="26" t="s">
        <v>49</v>
      </c>
    </row>
    <row r="289">
      <c r="A289" s="28"/>
      <c r="B289" s="23" t="s">
        <v>434</v>
      </c>
      <c r="C289" s="26" t="s">
        <v>49</v>
      </c>
    </row>
    <row r="290">
      <c r="A290" s="28"/>
      <c r="B290" s="23" t="s">
        <v>435</v>
      </c>
      <c r="C290" s="26" t="s">
        <v>49</v>
      </c>
    </row>
    <row r="291">
      <c r="A291" s="28"/>
      <c r="B291" s="23" t="s">
        <v>436</v>
      </c>
      <c r="C291" s="26" t="s">
        <v>49</v>
      </c>
    </row>
    <row r="292">
      <c r="A292" s="21">
        <v>31.0</v>
      </c>
      <c r="B292" s="23" t="s">
        <v>437</v>
      </c>
      <c r="C292" s="26" t="s">
        <v>49</v>
      </c>
    </row>
    <row r="293">
      <c r="A293" s="28"/>
      <c r="B293" s="23" t="s">
        <v>438</v>
      </c>
      <c r="C293" s="26" t="s">
        <v>49</v>
      </c>
    </row>
    <row r="294">
      <c r="A294" s="28"/>
      <c r="B294" s="23" t="s">
        <v>439</v>
      </c>
      <c r="C294" s="26" t="s">
        <v>49</v>
      </c>
    </row>
    <row r="295">
      <c r="A295" s="28"/>
      <c r="B295" s="23" t="s">
        <v>440</v>
      </c>
      <c r="C295" s="26" t="s">
        <v>49</v>
      </c>
    </row>
    <row r="296">
      <c r="A296" s="28"/>
      <c r="B296" s="23" t="s">
        <v>441</v>
      </c>
      <c r="C296" s="26" t="s">
        <v>49</v>
      </c>
    </row>
    <row r="297">
      <c r="A297" s="28"/>
      <c r="B297" s="23" t="s">
        <v>442</v>
      </c>
      <c r="C297" s="26" t="s">
        <v>49</v>
      </c>
    </row>
    <row r="298">
      <c r="A298" s="28"/>
      <c r="B298" s="23" t="s">
        <v>443</v>
      </c>
      <c r="C298" s="26" t="s">
        <v>49</v>
      </c>
    </row>
    <row r="299">
      <c r="A299" s="28"/>
      <c r="B299" s="23" t="s">
        <v>444</v>
      </c>
      <c r="C299" s="26" t="s">
        <v>49</v>
      </c>
    </row>
    <row r="300">
      <c r="A300" s="28"/>
      <c r="B300" s="23" t="s">
        <v>445</v>
      </c>
      <c r="C300" s="26" t="s">
        <v>49</v>
      </c>
    </row>
    <row r="301">
      <c r="A301" s="28"/>
      <c r="B301" s="23" t="s">
        <v>446</v>
      </c>
      <c r="C301" s="26" t="s">
        <v>49</v>
      </c>
    </row>
    <row r="302">
      <c r="A302" s="21">
        <v>32.0</v>
      </c>
      <c r="B302" s="23" t="s">
        <v>447</v>
      </c>
      <c r="C302" s="26" t="s">
        <v>49</v>
      </c>
    </row>
    <row r="303">
      <c r="A303" s="28"/>
      <c r="B303" s="23" t="s">
        <v>448</v>
      </c>
      <c r="C303" s="26" t="s">
        <v>49</v>
      </c>
    </row>
    <row r="304">
      <c r="A304" s="28"/>
      <c r="B304" s="23" t="s">
        <v>449</v>
      </c>
      <c r="C304" s="26" t="s">
        <v>49</v>
      </c>
    </row>
    <row r="305">
      <c r="A305" s="28"/>
      <c r="B305" s="23" t="s">
        <v>450</v>
      </c>
      <c r="C305" s="26" t="s">
        <v>49</v>
      </c>
    </row>
    <row r="306">
      <c r="A306" s="28"/>
      <c r="B306" s="23" t="s">
        <v>451</v>
      </c>
      <c r="C306" s="26" t="s">
        <v>49</v>
      </c>
    </row>
    <row r="307">
      <c r="A307" s="21">
        <v>33.0</v>
      </c>
      <c r="B307" s="23" t="s">
        <v>452</v>
      </c>
      <c r="C307" s="26" t="s">
        <v>49</v>
      </c>
    </row>
    <row r="308">
      <c r="A308" s="28"/>
      <c r="B308" s="23" t="s">
        <v>453</v>
      </c>
      <c r="C308" s="26" t="s">
        <v>49</v>
      </c>
    </row>
    <row r="309">
      <c r="A309" s="28"/>
      <c r="B309" s="23" t="s">
        <v>454</v>
      </c>
      <c r="C309" s="26" t="s">
        <v>49</v>
      </c>
    </row>
    <row r="310">
      <c r="A310" s="28"/>
      <c r="B310" s="23" t="s">
        <v>455</v>
      </c>
      <c r="C310" s="26" t="s">
        <v>49</v>
      </c>
    </row>
    <row r="311">
      <c r="A311" s="28"/>
      <c r="B311" s="23" t="s">
        <v>456</v>
      </c>
      <c r="C311" s="26" t="s">
        <v>49</v>
      </c>
    </row>
    <row r="312">
      <c r="A312" s="28"/>
      <c r="B312" s="23" t="s">
        <v>457</v>
      </c>
      <c r="C312" s="26" t="s">
        <v>49</v>
      </c>
    </row>
    <row r="313">
      <c r="A313" s="28"/>
      <c r="B313" s="23" t="s">
        <v>458</v>
      </c>
      <c r="C313" s="26" t="s">
        <v>49</v>
      </c>
    </row>
    <row r="314">
      <c r="A314" s="28"/>
      <c r="B314" s="23" t="s">
        <v>459</v>
      </c>
      <c r="C314" s="26" t="s">
        <v>49</v>
      </c>
    </row>
    <row r="315">
      <c r="A315" s="28"/>
      <c r="B315" s="23" t="s">
        <v>460</v>
      </c>
      <c r="C315" s="26" t="s">
        <v>49</v>
      </c>
    </row>
    <row r="316">
      <c r="A316" s="28"/>
      <c r="B316" s="23" t="s">
        <v>461</v>
      </c>
      <c r="C316" s="26" t="s">
        <v>49</v>
      </c>
    </row>
    <row r="317">
      <c r="A317" s="28"/>
      <c r="B317" s="23" t="s">
        <v>462</v>
      </c>
      <c r="C317" s="26" t="s">
        <v>49</v>
      </c>
    </row>
    <row r="318">
      <c r="A318" s="28"/>
      <c r="B318" s="23" t="s">
        <v>463</v>
      </c>
      <c r="C318" s="26" t="s">
        <v>49</v>
      </c>
    </row>
    <row r="319">
      <c r="A319" s="21">
        <v>34.0</v>
      </c>
      <c r="B319" s="23" t="s">
        <v>464</v>
      </c>
      <c r="C319" s="26" t="s">
        <v>49</v>
      </c>
    </row>
    <row r="320">
      <c r="A320" s="28"/>
      <c r="B320" s="23" t="s">
        <v>465</v>
      </c>
      <c r="C320" s="26" t="s">
        <v>49</v>
      </c>
    </row>
    <row r="321">
      <c r="A321" s="28"/>
      <c r="B321" s="23" t="s">
        <v>466</v>
      </c>
      <c r="C321" s="26" t="s">
        <v>49</v>
      </c>
    </row>
    <row r="322">
      <c r="A322" s="28"/>
      <c r="B322" s="23" t="s">
        <v>467</v>
      </c>
      <c r="C322" s="26" t="s">
        <v>49</v>
      </c>
    </row>
    <row r="323">
      <c r="A323" s="28"/>
      <c r="B323" s="23" t="s">
        <v>468</v>
      </c>
      <c r="C323" s="26" t="s">
        <v>49</v>
      </c>
    </row>
    <row r="324">
      <c r="A324" s="28"/>
      <c r="B324" s="23" t="s">
        <v>469</v>
      </c>
      <c r="C324" s="26" t="s">
        <v>49</v>
      </c>
    </row>
    <row r="325">
      <c r="A325" s="28"/>
      <c r="B325" s="23" t="s">
        <v>470</v>
      </c>
      <c r="C325" s="26" t="s">
        <v>49</v>
      </c>
    </row>
    <row r="326">
      <c r="A326" s="28"/>
      <c r="B326" s="23" t="s">
        <v>472</v>
      </c>
      <c r="C326" s="26" t="s">
        <v>49</v>
      </c>
    </row>
    <row r="327">
      <c r="A327" s="28"/>
      <c r="B327" s="23" t="s">
        <v>473</v>
      </c>
      <c r="C327" s="26" t="s">
        <v>49</v>
      </c>
    </row>
    <row r="328">
      <c r="A328" s="28"/>
      <c r="B328" s="23" t="s">
        <v>474</v>
      </c>
      <c r="C328" s="26" t="s">
        <v>49</v>
      </c>
    </row>
    <row r="329">
      <c r="A329" s="28"/>
      <c r="B329" s="23" t="s">
        <v>475</v>
      </c>
      <c r="C329" s="26" t="s">
        <v>49</v>
      </c>
    </row>
    <row r="330">
      <c r="A330" s="21">
        <v>35.0</v>
      </c>
      <c r="B330" s="23" t="s">
        <v>476</v>
      </c>
      <c r="C330" s="26" t="s">
        <v>49</v>
      </c>
    </row>
    <row r="331">
      <c r="A331" s="28"/>
      <c r="B331" s="23" t="s">
        <v>477</v>
      </c>
      <c r="C331" s="26" t="s">
        <v>49</v>
      </c>
    </row>
    <row r="332">
      <c r="A332" s="28"/>
      <c r="B332" s="23" t="s">
        <v>478</v>
      </c>
      <c r="C332" s="26" t="s">
        <v>49</v>
      </c>
    </row>
    <row r="333">
      <c r="A333" s="28"/>
      <c r="B333" s="23" t="s">
        <v>479</v>
      </c>
      <c r="C333" s="26" t="s">
        <v>49</v>
      </c>
    </row>
    <row r="334">
      <c r="A334" s="28"/>
      <c r="B334" s="23" t="s">
        <v>480</v>
      </c>
      <c r="C334" s="26" t="s">
        <v>49</v>
      </c>
    </row>
    <row r="335">
      <c r="A335" s="28"/>
      <c r="B335" s="23" t="s">
        <v>481</v>
      </c>
      <c r="C335" s="26" t="s">
        <v>49</v>
      </c>
    </row>
    <row r="336">
      <c r="A336" s="28"/>
      <c r="B336" s="23" t="s">
        <v>482</v>
      </c>
      <c r="C336" s="26" t="s">
        <v>49</v>
      </c>
    </row>
    <row r="337">
      <c r="A337" s="28"/>
      <c r="B337" s="23" t="s">
        <v>483</v>
      </c>
      <c r="C337" s="26" t="s">
        <v>49</v>
      </c>
    </row>
    <row r="338">
      <c r="A338" s="28"/>
      <c r="B338" s="23" t="s">
        <v>484</v>
      </c>
      <c r="C338" s="26" t="s">
        <v>49</v>
      </c>
    </row>
    <row r="339">
      <c r="A339" s="28"/>
      <c r="B339" s="23" t="s">
        <v>485</v>
      </c>
      <c r="C339" s="26" t="s">
        <v>49</v>
      </c>
    </row>
    <row r="340">
      <c r="A340" s="28"/>
      <c r="B340" s="23" t="s">
        <v>486</v>
      </c>
      <c r="C340" s="26" t="s">
        <v>49</v>
      </c>
    </row>
    <row r="341">
      <c r="A341" s="28"/>
      <c r="B341" s="23" t="s">
        <v>487</v>
      </c>
      <c r="C341" s="26" t="s">
        <v>49</v>
      </c>
    </row>
    <row r="342">
      <c r="A342" s="21">
        <v>36.0</v>
      </c>
      <c r="B342" s="23" t="s">
        <v>488</v>
      </c>
      <c r="C342" s="26" t="s">
        <v>49</v>
      </c>
    </row>
    <row r="343">
      <c r="A343" s="28"/>
      <c r="B343" s="23" t="s">
        <v>489</v>
      </c>
      <c r="C343" s="26" t="s">
        <v>49</v>
      </c>
    </row>
    <row r="344">
      <c r="A344" s="28"/>
      <c r="B344" s="23" t="s">
        <v>490</v>
      </c>
      <c r="C344" s="26" t="s">
        <v>49</v>
      </c>
    </row>
    <row r="345">
      <c r="A345" s="28"/>
      <c r="B345" s="23" t="s">
        <v>491</v>
      </c>
      <c r="C345" s="26" t="s">
        <v>49</v>
      </c>
    </row>
    <row r="346">
      <c r="A346" s="28"/>
      <c r="B346" s="23" t="s">
        <v>492</v>
      </c>
      <c r="C346" s="26" t="s">
        <v>49</v>
      </c>
    </row>
    <row r="347">
      <c r="A347" s="28"/>
      <c r="B347" s="23" t="s">
        <v>493</v>
      </c>
      <c r="C347" s="26" t="s">
        <v>49</v>
      </c>
    </row>
    <row r="348">
      <c r="A348" s="28"/>
      <c r="B348" s="23" t="s">
        <v>494</v>
      </c>
      <c r="C348" s="26" t="s">
        <v>49</v>
      </c>
    </row>
    <row r="349">
      <c r="A349" s="28"/>
      <c r="B349" s="23" t="s">
        <v>495</v>
      </c>
      <c r="C349" s="26" t="s">
        <v>49</v>
      </c>
    </row>
    <row r="350">
      <c r="A350" s="28"/>
      <c r="B350" s="23" t="s">
        <v>496</v>
      </c>
      <c r="C350" s="26" t="s">
        <v>49</v>
      </c>
    </row>
    <row r="351">
      <c r="A351" s="28"/>
      <c r="B351" s="23" t="s">
        <v>497</v>
      </c>
      <c r="C351" s="26" t="s">
        <v>49</v>
      </c>
    </row>
    <row r="352">
      <c r="A352" s="28"/>
      <c r="B352" s="23" t="s">
        <v>498</v>
      </c>
      <c r="C352" s="26" t="s">
        <v>49</v>
      </c>
    </row>
    <row r="353">
      <c r="A353" s="28"/>
      <c r="B353" s="23" t="s">
        <v>499</v>
      </c>
      <c r="C353" s="26" t="s">
        <v>49</v>
      </c>
    </row>
    <row r="354">
      <c r="A354" s="28"/>
      <c r="B354" s="23" t="s">
        <v>500</v>
      </c>
      <c r="C354" s="26" t="s">
        <v>49</v>
      </c>
    </row>
    <row r="355">
      <c r="A355" s="28"/>
      <c r="B355" s="23" t="s">
        <v>501</v>
      </c>
      <c r="C355" s="26" t="s">
        <v>49</v>
      </c>
    </row>
    <row r="356">
      <c r="A356" s="28"/>
      <c r="B356" s="23" t="s">
        <v>502</v>
      </c>
      <c r="C356" s="26" t="s">
        <v>49</v>
      </c>
    </row>
    <row r="357">
      <c r="A357" s="21">
        <v>37.0</v>
      </c>
      <c r="B357" s="23" t="s">
        <v>503</v>
      </c>
      <c r="C357" s="26" t="s">
        <v>49</v>
      </c>
    </row>
    <row r="358">
      <c r="A358" s="28"/>
      <c r="B358" s="23" t="s">
        <v>504</v>
      </c>
      <c r="C358" s="26" t="s">
        <v>49</v>
      </c>
    </row>
    <row r="359">
      <c r="A359" s="28"/>
      <c r="B359" s="23" t="s">
        <v>505</v>
      </c>
      <c r="C359" s="26" t="s">
        <v>49</v>
      </c>
    </row>
    <row r="360">
      <c r="A360" s="28"/>
      <c r="B360" s="23" t="s">
        <v>506</v>
      </c>
      <c r="C360" s="26" t="s">
        <v>49</v>
      </c>
    </row>
    <row r="361">
      <c r="A361" s="28"/>
      <c r="B361" s="23" t="s">
        <v>507</v>
      </c>
      <c r="C361" s="26" t="s">
        <v>49</v>
      </c>
    </row>
    <row r="362">
      <c r="A362" s="28"/>
      <c r="B362" s="23" t="s">
        <v>508</v>
      </c>
      <c r="C362" s="26" t="s">
        <v>49</v>
      </c>
    </row>
    <row r="363">
      <c r="A363" s="21">
        <v>38.0</v>
      </c>
      <c r="B363" s="23" t="s">
        <v>509</v>
      </c>
      <c r="C363" s="26" t="s">
        <v>49</v>
      </c>
    </row>
    <row r="364">
      <c r="A364" s="28"/>
      <c r="B364" s="23" t="s">
        <v>510</v>
      </c>
      <c r="C364" s="26" t="s">
        <v>49</v>
      </c>
    </row>
    <row r="365">
      <c r="A365" s="28"/>
      <c r="B365" s="23" t="s">
        <v>511</v>
      </c>
      <c r="C365" s="26" t="s">
        <v>49</v>
      </c>
    </row>
    <row r="366">
      <c r="A366" s="28"/>
      <c r="B366" s="23" t="s">
        <v>512</v>
      </c>
      <c r="C366" s="26" t="s">
        <v>49</v>
      </c>
    </row>
    <row r="367">
      <c r="A367" s="28"/>
      <c r="B367" s="23" t="s">
        <v>513</v>
      </c>
      <c r="C367" s="26" t="s">
        <v>49</v>
      </c>
    </row>
    <row r="368">
      <c r="A368" s="28"/>
      <c r="B368" s="23" t="s">
        <v>514</v>
      </c>
      <c r="C368" s="26" t="s">
        <v>49</v>
      </c>
    </row>
    <row r="369">
      <c r="A369" s="28"/>
      <c r="B369" s="23" t="s">
        <v>515</v>
      </c>
      <c r="C369" s="26" t="s">
        <v>49</v>
      </c>
    </row>
    <row r="370">
      <c r="A370" s="28"/>
      <c r="B370" s="23" t="s">
        <v>516</v>
      </c>
      <c r="C370" s="26" t="s">
        <v>49</v>
      </c>
    </row>
    <row r="371">
      <c r="A371" s="28"/>
      <c r="B371" s="23" t="s">
        <v>517</v>
      </c>
      <c r="C371" s="26" t="s">
        <v>49</v>
      </c>
    </row>
    <row r="372">
      <c r="A372" s="28"/>
      <c r="B372" s="23" t="s">
        <v>518</v>
      </c>
      <c r="C372" s="26" t="s">
        <v>49</v>
      </c>
    </row>
    <row r="373">
      <c r="A373" s="28"/>
      <c r="B373" s="23" t="s">
        <v>519</v>
      </c>
      <c r="C373" s="26" t="s">
        <v>49</v>
      </c>
    </row>
    <row r="374">
      <c r="A374" s="21">
        <v>39.0</v>
      </c>
      <c r="B374" s="23" t="s">
        <v>520</v>
      </c>
      <c r="C374" s="26" t="s">
        <v>49</v>
      </c>
    </row>
    <row r="375">
      <c r="A375" s="28"/>
      <c r="B375" s="23" t="s">
        <v>521</v>
      </c>
      <c r="C375" s="26" t="s">
        <v>49</v>
      </c>
    </row>
    <row r="376">
      <c r="A376" s="28"/>
      <c r="B376" s="23" t="s">
        <v>522</v>
      </c>
      <c r="C376" s="26" t="s">
        <v>49</v>
      </c>
    </row>
    <row r="377">
      <c r="A377" s="28"/>
      <c r="B377" s="23" t="s">
        <v>523</v>
      </c>
      <c r="C377" s="26" t="s">
        <v>49</v>
      </c>
    </row>
    <row r="378">
      <c r="A378" s="28"/>
      <c r="B378" s="23" t="s">
        <v>524</v>
      </c>
      <c r="C378" s="26" t="s">
        <v>49</v>
      </c>
    </row>
    <row r="379">
      <c r="A379" s="28"/>
      <c r="B379" s="23" t="s">
        <v>525</v>
      </c>
      <c r="C379" s="26" t="s">
        <v>49</v>
      </c>
    </row>
    <row r="380">
      <c r="A380" s="28"/>
      <c r="B380" s="23" t="s">
        <v>526</v>
      </c>
      <c r="C380" s="26" t="s">
        <v>49</v>
      </c>
    </row>
    <row r="381">
      <c r="A381" s="28"/>
      <c r="B381" s="23" t="s">
        <v>527</v>
      </c>
      <c r="C381" s="26" t="s">
        <v>49</v>
      </c>
    </row>
    <row r="382">
      <c r="A382" s="28"/>
      <c r="B382" s="23" t="s">
        <v>528</v>
      </c>
      <c r="C382" s="26" t="s">
        <v>49</v>
      </c>
    </row>
    <row r="383">
      <c r="A383" s="28"/>
      <c r="B383" s="23" t="s">
        <v>529</v>
      </c>
      <c r="C383" s="26" t="s">
        <v>49</v>
      </c>
    </row>
    <row r="384">
      <c r="A384" s="28"/>
      <c r="B384" s="23" t="s">
        <v>530</v>
      </c>
      <c r="C384" s="26" t="s">
        <v>49</v>
      </c>
    </row>
    <row r="385">
      <c r="A385" s="28"/>
      <c r="B385" s="23" t="s">
        <v>531</v>
      </c>
      <c r="C385" s="26" t="s">
        <v>49</v>
      </c>
    </row>
    <row r="386">
      <c r="A386" s="28"/>
      <c r="B386" s="23" t="s">
        <v>532</v>
      </c>
      <c r="C386" s="26" t="s">
        <v>49</v>
      </c>
    </row>
    <row r="387">
      <c r="A387" s="21">
        <v>40.0</v>
      </c>
      <c r="B387" s="23" t="s">
        <v>533</v>
      </c>
      <c r="C387" s="26" t="s">
        <v>49</v>
      </c>
    </row>
    <row r="388">
      <c r="A388" s="28"/>
      <c r="B388" s="23" t="s">
        <v>534</v>
      </c>
      <c r="C388" s="26" t="s">
        <v>49</v>
      </c>
    </row>
    <row r="389">
      <c r="A389" s="28"/>
      <c r="B389" s="23" t="s">
        <v>535</v>
      </c>
      <c r="C389" s="26" t="s">
        <v>49</v>
      </c>
    </row>
    <row r="390">
      <c r="A390" s="28"/>
      <c r="B390" s="23" t="s">
        <v>536</v>
      </c>
      <c r="C390" s="26" t="s">
        <v>49</v>
      </c>
    </row>
    <row r="391">
      <c r="A391" s="28"/>
      <c r="B391" s="23" t="s">
        <v>537</v>
      </c>
      <c r="C391" s="26" t="s">
        <v>49</v>
      </c>
    </row>
    <row r="392">
      <c r="A392" s="28"/>
      <c r="B392" s="23" t="s">
        <v>538</v>
      </c>
      <c r="C392" s="26" t="s">
        <v>49</v>
      </c>
    </row>
    <row r="393">
      <c r="A393" s="28"/>
      <c r="B393" s="23" t="s">
        <v>539</v>
      </c>
      <c r="C393" s="26" t="s">
        <v>49</v>
      </c>
    </row>
    <row r="394">
      <c r="A394" s="28"/>
      <c r="B394" s="23" t="s">
        <v>540</v>
      </c>
      <c r="C394" s="26" t="s">
        <v>49</v>
      </c>
    </row>
    <row r="395">
      <c r="A395" s="28"/>
      <c r="B395" s="23" t="s">
        <v>541</v>
      </c>
      <c r="C395" s="26" t="s">
        <v>49</v>
      </c>
    </row>
    <row r="396">
      <c r="A396" s="28"/>
      <c r="B396" s="23" t="s">
        <v>542</v>
      </c>
      <c r="C396" s="26" t="s">
        <v>49</v>
      </c>
    </row>
    <row r="397">
      <c r="A397" s="28"/>
      <c r="B397" s="23" t="s">
        <v>543</v>
      </c>
      <c r="C397" s="26" t="s">
        <v>49</v>
      </c>
    </row>
    <row r="398">
      <c r="A398" s="28"/>
      <c r="B398" s="23" t="s">
        <v>544</v>
      </c>
      <c r="C398" s="26" t="s">
        <v>49</v>
      </c>
    </row>
    <row r="399">
      <c r="A399" s="28"/>
      <c r="B399" s="23" t="s">
        <v>545</v>
      </c>
      <c r="C399" s="26" t="s">
        <v>49</v>
      </c>
    </row>
    <row r="400">
      <c r="A400" s="21">
        <v>41.0</v>
      </c>
      <c r="B400" s="23" t="s">
        <v>546</v>
      </c>
      <c r="C400" s="26" t="s">
        <v>49</v>
      </c>
    </row>
    <row r="401">
      <c r="A401" s="28"/>
      <c r="B401" s="23" t="s">
        <v>547</v>
      </c>
      <c r="C401" s="26" t="s">
        <v>49</v>
      </c>
    </row>
    <row r="402">
      <c r="A402" s="28"/>
      <c r="B402" s="23" t="s">
        <v>548</v>
      </c>
      <c r="C402" s="26" t="s">
        <v>49</v>
      </c>
    </row>
    <row r="403">
      <c r="A403" s="28"/>
      <c r="B403" s="23" t="s">
        <v>549</v>
      </c>
      <c r="C403" s="26" t="s">
        <v>49</v>
      </c>
    </row>
    <row r="404">
      <c r="A404" s="28"/>
      <c r="B404" s="23" t="s">
        <v>550</v>
      </c>
      <c r="C404" s="26" t="s">
        <v>49</v>
      </c>
    </row>
    <row r="405">
      <c r="A405" s="28"/>
      <c r="B405" s="23" t="s">
        <v>551</v>
      </c>
      <c r="C405" s="26" t="s">
        <v>49</v>
      </c>
    </row>
    <row r="406">
      <c r="A406" s="28"/>
      <c r="B406" s="23" t="s">
        <v>552</v>
      </c>
      <c r="C406" s="26" t="s">
        <v>49</v>
      </c>
    </row>
    <row r="407">
      <c r="A407" s="28"/>
      <c r="B407" s="23" t="s">
        <v>553</v>
      </c>
      <c r="C407" s="26" t="s">
        <v>49</v>
      </c>
    </row>
    <row r="408">
      <c r="A408" s="28"/>
      <c r="B408" s="23" t="s">
        <v>554</v>
      </c>
      <c r="C408" s="26" t="s">
        <v>49</v>
      </c>
    </row>
    <row r="409">
      <c r="A409" s="28"/>
      <c r="B409" s="23" t="s">
        <v>555</v>
      </c>
      <c r="C409" s="26" t="s">
        <v>49</v>
      </c>
    </row>
    <row r="410">
      <c r="A410" s="28"/>
      <c r="B410" s="23" t="s">
        <v>556</v>
      </c>
      <c r="C410" s="26" t="s">
        <v>49</v>
      </c>
    </row>
    <row r="411">
      <c r="A411" s="28"/>
      <c r="B411" s="23" t="s">
        <v>557</v>
      </c>
      <c r="C411" s="26" t="s">
        <v>49</v>
      </c>
    </row>
    <row r="412">
      <c r="A412" s="28"/>
      <c r="B412" s="23" t="s">
        <v>558</v>
      </c>
      <c r="C412" s="26" t="s">
        <v>49</v>
      </c>
    </row>
    <row r="413">
      <c r="A413" s="21">
        <v>42.0</v>
      </c>
      <c r="B413" s="23" t="s">
        <v>559</v>
      </c>
      <c r="C413" s="26" t="s">
        <v>49</v>
      </c>
    </row>
    <row r="414">
      <c r="A414" s="28"/>
      <c r="B414" s="23" t="s">
        <v>560</v>
      </c>
      <c r="C414" s="26" t="s">
        <v>49</v>
      </c>
    </row>
    <row r="415">
      <c r="A415" s="28"/>
      <c r="B415" s="23" t="s">
        <v>561</v>
      </c>
      <c r="C415" s="26" t="s">
        <v>49</v>
      </c>
    </row>
    <row r="416">
      <c r="A416" s="28"/>
      <c r="B416" s="23" t="s">
        <v>562</v>
      </c>
      <c r="C416" s="26" t="s">
        <v>49</v>
      </c>
    </row>
    <row r="417">
      <c r="A417" s="28"/>
      <c r="B417" s="23" t="s">
        <v>563</v>
      </c>
      <c r="C417" s="26" t="s">
        <v>49</v>
      </c>
    </row>
    <row r="418">
      <c r="A418" s="28"/>
      <c r="B418" s="23" t="s">
        <v>564</v>
      </c>
      <c r="C418" s="26" t="s">
        <v>49</v>
      </c>
    </row>
    <row r="419">
      <c r="A419" s="28"/>
      <c r="B419" s="23" t="s">
        <v>565</v>
      </c>
      <c r="C419" s="26" t="s">
        <v>49</v>
      </c>
    </row>
    <row r="420">
      <c r="A420" s="28"/>
      <c r="B420" s="23" t="s">
        <v>566</v>
      </c>
      <c r="C420" s="26" t="s">
        <v>49</v>
      </c>
    </row>
    <row r="421">
      <c r="A421" s="28"/>
      <c r="B421" s="23" t="s">
        <v>567</v>
      </c>
      <c r="C421" s="26" t="s">
        <v>49</v>
      </c>
    </row>
    <row r="422">
      <c r="A422" s="28"/>
      <c r="B422" s="23" t="s">
        <v>568</v>
      </c>
      <c r="C422" s="26" t="s">
        <v>49</v>
      </c>
    </row>
    <row r="423">
      <c r="A423" s="28"/>
      <c r="B423" s="23" t="s">
        <v>569</v>
      </c>
      <c r="C423" s="26" t="s">
        <v>49</v>
      </c>
    </row>
    <row r="424">
      <c r="A424" s="21">
        <v>43.0</v>
      </c>
      <c r="B424" s="23" t="s">
        <v>570</v>
      </c>
      <c r="C424" s="26" t="s">
        <v>49</v>
      </c>
    </row>
    <row r="425">
      <c r="A425" s="28"/>
      <c r="B425" s="23" t="s">
        <v>302</v>
      </c>
      <c r="C425" s="26" t="s">
        <v>49</v>
      </c>
    </row>
    <row r="426">
      <c r="A426" s="28"/>
      <c r="B426" s="23" t="s">
        <v>303</v>
      </c>
      <c r="C426" s="26" t="s">
        <v>49</v>
      </c>
    </row>
    <row r="427">
      <c r="A427" s="28"/>
      <c r="B427" s="23" t="s">
        <v>571</v>
      </c>
      <c r="C427" s="26" t="s">
        <v>49</v>
      </c>
    </row>
    <row r="428">
      <c r="A428" s="28"/>
      <c r="B428" s="23" t="s">
        <v>572</v>
      </c>
      <c r="C428" s="26" t="s">
        <v>49</v>
      </c>
    </row>
    <row r="429">
      <c r="A429" s="28"/>
      <c r="B429" s="23" t="s">
        <v>235</v>
      </c>
      <c r="C429" s="26" t="s">
        <v>49</v>
      </c>
    </row>
    <row r="430">
      <c r="A430" s="21">
        <v>44.0</v>
      </c>
      <c r="B430" s="23" t="s">
        <v>573</v>
      </c>
      <c r="C430" s="26" t="s">
        <v>49</v>
      </c>
    </row>
    <row r="431">
      <c r="A431" s="28"/>
      <c r="B431" s="23" t="s">
        <v>574</v>
      </c>
      <c r="C431" s="26" t="s">
        <v>49</v>
      </c>
    </row>
    <row r="432">
      <c r="A432" s="28"/>
      <c r="B432" s="23" t="s">
        <v>575</v>
      </c>
      <c r="C432" s="26" t="s">
        <v>49</v>
      </c>
    </row>
    <row r="433">
      <c r="A433" s="28"/>
      <c r="B433" s="23" t="s">
        <v>576</v>
      </c>
      <c r="C433" s="26" t="s">
        <v>49</v>
      </c>
    </row>
    <row r="434">
      <c r="A434" s="28"/>
      <c r="B434" s="23" t="s">
        <v>577</v>
      </c>
      <c r="C434" s="26" t="s">
        <v>49</v>
      </c>
    </row>
    <row r="435">
      <c r="A435" s="28"/>
      <c r="B435" s="23" t="s">
        <v>578</v>
      </c>
      <c r="C435" s="26" t="s">
        <v>49</v>
      </c>
    </row>
    <row r="436">
      <c r="A436" s="28"/>
      <c r="B436" s="23" t="s">
        <v>579</v>
      </c>
      <c r="C436" s="26" t="s">
        <v>49</v>
      </c>
    </row>
    <row r="437">
      <c r="A437" s="28"/>
      <c r="B437" s="23" t="s">
        <v>580</v>
      </c>
      <c r="C437" s="26" t="s">
        <v>49</v>
      </c>
    </row>
    <row r="438">
      <c r="A438" s="28"/>
      <c r="B438" s="23" t="s">
        <v>581</v>
      </c>
      <c r="C438" s="26" t="s">
        <v>49</v>
      </c>
    </row>
    <row r="439">
      <c r="A439" s="28"/>
      <c r="B439" s="23" t="s">
        <v>582</v>
      </c>
      <c r="C439" s="26" t="s">
        <v>49</v>
      </c>
    </row>
    <row r="440">
      <c r="A440" s="28"/>
      <c r="B440" s="23" t="s">
        <v>583</v>
      </c>
      <c r="C440" s="26" t="s">
        <v>49</v>
      </c>
    </row>
    <row r="441">
      <c r="A441" s="28"/>
      <c r="B441" s="23" t="s">
        <v>584</v>
      </c>
      <c r="C441" s="26" t="s">
        <v>49</v>
      </c>
    </row>
    <row r="442">
      <c r="A442" s="28"/>
      <c r="B442" s="23" t="s">
        <v>585</v>
      </c>
      <c r="C442" s="26" t="s">
        <v>49</v>
      </c>
    </row>
    <row r="443">
      <c r="A443" s="28"/>
      <c r="B443" s="23" t="s">
        <v>586</v>
      </c>
      <c r="C443" s="26" t="s">
        <v>49</v>
      </c>
    </row>
    <row r="444">
      <c r="A444" s="21">
        <v>45.0</v>
      </c>
      <c r="B444" s="23" t="s">
        <v>587</v>
      </c>
      <c r="C444" s="26" t="s">
        <v>49</v>
      </c>
    </row>
    <row r="445">
      <c r="A445" s="28"/>
      <c r="B445" s="23" t="s">
        <v>588</v>
      </c>
      <c r="C445" s="26" t="s">
        <v>49</v>
      </c>
    </row>
    <row r="446">
      <c r="A446" s="28"/>
      <c r="B446" s="23" t="s">
        <v>589</v>
      </c>
      <c r="C446" s="26" t="s">
        <v>49</v>
      </c>
    </row>
    <row r="447">
      <c r="A447" s="28"/>
      <c r="B447" s="23" t="s">
        <v>590</v>
      </c>
      <c r="C447" s="26" t="s">
        <v>49</v>
      </c>
    </row>
    <row r="448">
      <c r="A448" s="28"/>
      <c r="B448" s="23" t="s">
        <v>591</v>
      </c>
      <c r="C448" s="26" t="s">
        <v>49</v>
      </c>
    </row>
    <row r="449">
      <c r="A449" s="28"/>
      <c r="B449" s="23" t="s">
        <v>592</v>
      </c>
      <c r="C449" s="26" t="s">
        <v>49</v>
      </c>
    </row>
    <row r="450">
      <c r="A450" s="28"/>
      <c r="B450" s="23" t="s">
        <v>593</v>
      </c>
      <c r="C450" s="26" t="s">
        <v>49</v>
      </c>
    </row>
    <row r="451">
      <c r="A451" s="28"/>
      <c r="B451" s="23" t="s">
        <v>594</v>
      </c>
      <c r="C451" s="26" t="s">
        <v>49</v>
      </c>
    </row>
    <row r="452">
      <c r="A452" s="28"/>
      <c r="B452" s="23" t="s">
        <v>595</v>
      </c>
      <c r="C452" s="26" t="s">
        <v>49</v>
      </c>
    </row>
    <row r="453">
      <c r="A453" s="28"/>
      <c r="B453" s="23" t="s">
        <v>596</v>
      </c>
      <c r="C453" s="26" t="s">
        <v>49</v>
      </c>
    </row>
    <row r="454">
      <c r="A454" s="28"/>
      <c r="B454" s="23" t="s">
        <v>597</v>
      </c>
      <c r="C454" s="26" t="s">
        <v>49</v>
      </c>
    </row>
    <row r="455">
      <c r="A455" s="28"/>
      <c r="B455" s="23" t="s">
        <v>598</v>
      </c>
      <c r="C455" s="26" t="s">
        <v>49</v>
      </c>
    </row>
    <row r="456">
      <c r="A456" s="28"/>
      <c r="B456" s="23" t="s">
        <v>599</v>
      </c>
      <c r="C456" s="26" t="s">
        <v>49</v>
      </c>
    </row>
    <row r="457">
      <c r="A457" s="71" t="s">
        <v>600</v>
      </c>
      <c r="B457" s="72" t="s">
        <v>601</v>
      </c>
      <c r="C457" s="28"/>
    </row>
  </sheetData>
  <mergeCells count="3">
    <mergeCell ref="A1:B1"/>
    <mergeCell ref="A2:B2"/>
    <mergeCell ref="A3:B3"/>
  </mergeCells>
  <dataValidations>
    <dataValidation type="list" allowBlank="1" showErrorMessage="1" sqref="C8:C457">
      <formula1>"Done,Pending"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4" t="s">
        <v>2</v>
      </c>
      <c r="B2" s="54" t="s">
        <v>3</v>
      </c>
      <c r="C2" s="55" t="s">
        <v>4</v>
      </c>
      <c r="D2" s="56" t="s">
        <v>226</v>
      </c>
      <c r="E2" s="56" t="s">
        <v>227</v>
      </c>
    </row>
    <row r="3">
      <c r="A3" s="44">
        <v>1.0</v>
      </c>
      <c r="B3" s="47" t="s">
        <v>101</v>
      </c>
      <c r="C3" s="47" t="s">
        <v>203</v>
      </c>
      <c r="D3" s="35"/>
      <c r="E3" s="35"/>
    </row>
    <row r="4">
      <c r="A4" s="44">
        <v>2.0</v>
      </c>
      <c r="B4" s="47" t="s">
        <v>89</v>
      </c>
      <c r="C4" s="47" t="s">
        <v>230</v>
      </c>
      <c r="D4" s="35"/>
      <c r="E4" s="35"/>
    </row>
    <row r="5">
      <c r="A5" s="44">
        <v>3.0</v>
      </c>
      <c r="B5" s="47" t="s">
        <v>114</v>
      </c>
      <c r="C5" s="47" t="s">
        <v>232</v>
      </c>
      <c r="D5" s="35"/>
      <c r="E5" s="35"/>
    </row>
    <row r="6">
      <c r="A6" s="44">
        <v>4.0</v>
      </c>
      <c r="B6" s="47" t="s">
        <v>166</v>
      </c>
      <c r="C6" s="47" t="s">
        <v>234</v>
      </c>
      <c r="D6" s="35"/>
      <c r="E6" s="35"/>
    </row>
    <row r="7">
      <c r="A7" s="44">
        <v>5.0</v>
      </c>
      <c r="B7" s="47" t="s">
        <v>44</v>
      </c>
      <c r="C7" s="57" t="s">
        <v>236</v>
      </c>
      <c r="D7" s="35"/>
      <c r="E7" s="35"/>
    </row>
    <row r="8">
      <c r="A8" s="44">
        <v>6.0</v>
      </c>
      <c r="B8" s="47" t="s">
        <v>192</v>
      </c>
      <c r="C8" s="47" t="s">
        <v>194</v>
      </c>
      <c r="D8" s="35"/>
      <c r="E8" s="35"/>
    </row>
    <row r="9">
      <c r="A9" s="44">
        <v>7.0</v>
      </c>
      <c r="B9" s="47" t="s">
        <v>140</v>
      </c>
      <c r="C9" s="47" t="s">
        <v>239</v>
      </c>
      <c r="D9" s="35"/>
      <c r="E9" s="35"/>
    </row>
    <row r="10">
      <c r="A10" s="44">
        <v>8.0</v>
      </c>
      <c r="B10" s="47" t="s">
        <v>159</v>
      </c>
      <c r="C10" s="47" t="s">
        <v>241</v>
      </c>
      <c r="D10" s="35"/>
      <c r="E10" s="35"/>
    </row>
    <row r="11">
      <c r="A11" s="44">
        <v>9.0</v>
      </c>
      <c r="B11" s="47" t="s">
        <v>186</v>
      </c>
      <c r="C11" s="47" t="s">
        <v>187</v>
      </c>
      <c r="D11" s="35"/>
      <c r="E11" s="35"/>
    </row>
    <row r="12">
      <c r="A12" s="44">
        <v>10.0</v>
      </c>
      <c r="B12" s="47" t="s">
        <v>78</v>
      </c>
      <c r="C12" s="59" t="s">
        <v>244</v>
      </c>
      <c r="D12" s="35"/>
      <c r="E12" s="35"/>
    </row>
    <row r="13">
      <c r="A13" s="44">
        <v>11.0</v>
      </c>
      <c r="B13" s="47" t="s">
        <v>124</v>
      </c>
      <c r="C13" s="47" t="s">
        <v>246</v>
      </c>
      <c r="D13" s="35"/>
      <c r="E13" s="35"/>
    </row>
    <row r="14">
      <c r="A14" s="44">
        <v>12.0</v>
      </c>
      <c r="B14" s="47" t="s">
        <v>177</v>
      </c>
      <c r="C14" s="47" t="s">
        <v>179</v>
      </c>
      <c r="D14" s="35"/>
      <c r="E14" s="35"/>
    </row>
    <row r="15">
      <c r="A15" s="44">
        <v>13.0</v>
      </c>
      <c r="B15" s="47" t="s">
        <v>69</v>
      </c>
      <c r="C15" s="59" t="s">
        <v>250</v>
      </c>
      <c r="D15" s="35"/>
      <c r="E15" s="35"/>
    </row>
    <row r="16">
      <c r="A16" s="44">
        <v>14.0</v>
      </c>
      <c r="B16" s="47" t="s">
        <v>151</v>
      </c>
      <c r="C16" s="47" t="s">
        <v>252</v>
      </c>
      <c r="D16" s="35"/>
      <c r="E16" s="35"/>
    </row>
    <row r="17">
      <c r="A17" s="44">
        <v>15.0</v>
      </c>
      <c r="B17" s="45" t="s">
        <v>199</v>
      </c>
      <c r="C17" s="45" t="s">
        <v>201</v>
      </c>
      <c r="D17" s="35"/>
      <c r="E17" s="35"/>
    </row>
  </sheetData>
  <drawing r:id="rId1"/>
</worksheet>
</file>