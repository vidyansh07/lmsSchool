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tendence" sheetId="1" r:id="rId5"/>
    <sheet state="visible" name="DSR" sheetId="2" r:id="rId6"/>
    <sheet state="visible" name="ASSESSMEMT" sheetId="3" r:id="rId7"/>
    <sheet state="visible" name="Course Time Line" sheetId="4" r:id="rId8"/>
    <sheet state="visible" name="Project" sheetId="5" r:id="rId9"/>
  </sheets>
  <definedNames/>
  <calcPr/>
</workbook>
</file>

<file path=xl/sharedStrings.xml><?xml version="1.0" encoding="utf-8"?>
<sst xmlns="http://schemas.openxmlformats.org/spreadsheetml/2006/main" count="5913" uniqueCount="619">
  <si>
    <t>SNO</t>
  </si>
  <si>
    <t>Date</t>
  </si>
  <si>
    <t>Topic Cover</t>
  </si>
  <si>
    <t>Student Count Online Offline</t>
  </si>
  <si>
    <t xml:space="preserve">ARYA COLLEGE OF ENGINEERING </t>
  </si>
  <si>
    <t xml:space="preserve">Trainer Name </t>
  </si>
  <si>
    <t>introduction to aws and mL</t>
  </si>
  <si>
    <t xml:space="preserve">AWS CERTIFIED MACHINE LEARNING ENGINEER - ASSOCIATE (MLA-C01)	</t>
  </si>
  <si>
    <t>Rajendra jangid</t>
  </si>
  <si>
    <t>S NO</t>
  </si>
  <si>
    <t>Student Name</t>
  </si>
  <si>
    <t>RTU Roll No.</t>
  </si>
  <si>
    <t>Assesment 1 (aws services[iam,s3,rds] ) Out of 50</t>
  </si>
  <si>
    <t>Assesment 2  (AWS S3, SQS, IAM )  Out of 50</t>
  </si>
  <si>
    <t>Assesment 3 (Python fundamentals ) Out of 20</t>
  </si>
  <si>
    <t>aws account creation and describe aws services</t>
  </si>
  <si>
    <t>Assesment 4 (python fundamental + aws services ) Out of 100</t>
  </si>
  <si>
    <t>Assesment 5 (python quiz + numpy) Out of 30</t>
  </si>
  <si>
    <t>Assesment 6 ( etl pipeline using s3 data ) Out of 20</t>
  </si>
  <si>
    <t>Lecture No.</t>
  </si>
  <si>
    <t>Assesment 7 (Churn prediction using pipeline) Out of 30</t>
  </si>
  <si>
    <t>BLOWN UP TOPICS</t>
  </si>
  <si>
    <t>Total Assessments Missed</t>
  </si>
  <si>
    <t xml:space="preserve">s3 bucket </t>
  </si>
  <si>
    <t xml:space="preserve">Status </t>
  </si>
  <si>
    <t>Aashish Saini</t>
  </si>
  <si>
    <t>23EACAD001</t>
  </si>
  <si>
    <t>Absent</t>
  </si>
  <si>
    <t xml:space="preserve">sqs (notification) + s3 bucket </t>
  </si>
  <si>
    <t>20/20</t>
  </si>
  <si>
    <t>UNIT 1: AWS &amp; ML FOUNDATIONS</t>
  </si>
  <si>
    <t>Done</t>
  </si>
  <si>
    <t>IAM</t>
  </si>
  <si>
    <t>1. Introduction to AWS ML Engineer Certification</t>
  </si>
  <si>
    <t>PROJECT+assessment</t>
  </si>
  <si>
    <t>1.1 Exam Overview (MLA-C01)</t>
  </si>
  <si>
    <t xml:space="preserve">Total Present </t>
  </si>
  <si>
    <t xml:space="preserve">Total Absent </t>
  </si>
  <si>
    <t xml:space="preserve">Total Class </t>
  </si>
  <si>
    <t xml:space="preserve">sunday </t>
  </si>
  <si>
    <t>sunday</t>
  </si>
  <si>
    <t>Abhishek Pareta</t>
  </si>
  <si>
    <t>Attendance Percent</t>
  </si>
  <si>
    <t>1.1.1 Exam Pattern, Duration, Passing Score</t>
  </si>
  <si>
    <t>23EACCA005</t>
  </si>
  <si>
    <t>41/50</t>
  </si>
  <si>
    <t>42/50</t>
  </si>
  <si>
    <t>eC2</t>
  </si>
  <si>
    <t>19/20</t>
  </si>
  <si>
    <t>1.1.2 4 Domains &amp; Weightage</t>
  </si>
  <si>
    <t>eC2(rdp)</t>
  </si>
  <si>
    <t>1.2 Role of an ML Engineer in AWS</t>
  </si>
  <si>
    <t>Aditya rao</t>
  </si>
  <si>
    <t>23EACCS013</t>
  </si>
  <si>
    <t>rds</t>
  </si>
  <si>
    <t>1.3 AWS Free Tier &amp; Account Setup</t>
  </si>
  <si>
    <t>project (s3+iam+rds)</t>
  </si>
  <si>
    <t>ADITYA SHARMA</t>
  </si>
  <si>
    <t>23EACCS016</t>
  </si>
  <si>
    <t>45/50</t>
  </si>
  <si>
    <t>1.4 AWS Global Infrastructure</t>
  </si>
  <si>
    <t>lambda function</t>
  </si>
  <si>
    <t>1.4.1 Regions &amp; Availability Zones</t>
  </si>
  <si>
    <t>ADITYA YADAV</t>
  </si>
  <si>
    <t>23EACCS017</t>
  </si>
  <si>
    <t xml:space="preserve"> lambda function + api gateway + project+ assessment </t>
  </si>
  <si>
    <t>1.4.2 Edge Locations</t>
  </si>
  <si>
    <t>Ahetesham</t>
  </si>
  <si>
    <t>23EACCS018</t>
  </si>
  <si>
    <t>2. AWS Core Services for ML</t>
  </si>
  <si>
    <t>47/50</t>
  </si>
  <si>
    <t>44/50</t>
  </si>
  <si>
    <t>python variable,env setup</t>
  </si>
  <si>
    <t>2.1 IAM — Identity &amp; Access Management</t>
  </si>
  <si>
    <t>Amit Pratap Singh</t>
  </si>
  <si>
    <t>python data types</t>
  </si>
  <si>
    <t>23EACCS034</t>
  </si>
  <si>
    <t>2.1.1 Users, Groups, Roles, Policies</t>
  </si>
  <si>
    <t>M</t>
  </si>
  <si>
    <t>python operators</t>
  </si>
  <si>
    <t>T</t>
  </si>
  <si>
    <t>W</t>
  </si>
  <si>
    <t>2.1.2 IAM Best Practices</t>
  </si>
  <si>
    <t>F</t>
  </si>
  <si>
    <t>S</t>
  </si>
  <si>
    <t>python list,dictionary</t>
  </si>
  <si>
    <t>Amjad khan</t>
  </si>
  <si>
    <t>23EACAD015</t>
  </si>
  <si>
    <t>2.2 Amazon S3 — Storage Backbone</t>
  </si>
  <si>
    <t>28/50</t>
  </si>
  <si>
    <t>32/50</t>
  </si>
  <si>
    <t>python loop</t>
  </si>
  <si>
    <t>2.2.1 Buckets, Objects, Versioning</t>
  </si>
  <si>
    <t>python function + assessment</t>
  </si>
  <si>
    <t>Aryan Raj</t>
  </si>
  <si>
    <t>23EACAD020</t>
  </si>
  <si>
    <t>2.2.2 Storage Classes (Standard, IA, Glacier)</t>
  </si>
  <si>
    <t>2.2.3 Lifecycle Policies &amp; Encryption (SSE-S3, SSE-KMS)</t>
  </si>
  <si>
    <t>23EACCS061</t>
  </si>
  <si>
    <t>43/50</t>
  </si>
  <si>
    <t>python lambda function + oops class method</t>
  </si>
  <si>
    <t>2.3 AWS CLI &amp; SDK (boto3) Basics</t>
  </si>
  <si>
    <t>python oops inheritance</t>
  </si>
  <si>
    <t>Atul Sharma</t>
  </si>
  <si>
    <t>23EACCS063</t>
  </si>
  <si>
    <t>3. Compute &amp; Networking for ML Workloads</t>
  </si>
  <si>
    <t>18/20</t>
  </si>
  <si>
    <t xml:space="preserve">python oops </t>
  </si>
  <si>
    <t>3.1 EC2 Instance Families</t>
  </si>
  <si>
    <t>python numpy</t>
  </si>
  <si>
    <t>Ayush Kumar</t>
  </si>
  <si>
    <t>23EACCS065</t>
  </si>
  <si>
    <t>3.1.1 General Purpose, Compute Optimized</t>
  </si>
  <si>
    <t>numpy (arange,zeros,ones,flatten,arange)</t>
  </si>
  <si>
    <t>3.1.2 GPU Instances (P3, P4, G4dn, G5)</t>
  </si>
  <si>
    <t>numpy (slicing)</t>
  </si>
  <si>
    <t>Ayush Saini</t>
  </si>
  <si>
    <t>23EACAD025</t>
  </si>
  <si>
    <t>3.2 AWS Lambda — Serverless Compute</t>
  </si>
  <si>
    <t>3.3 Amazon ECR — Container Registry</t>
  </si>
  <si>
    <t>babulal sidh</t>
  </si>
  <si>
    <t>23EACAD026</t>
  </si>
  <si>
    <t>14/20</t>
  </si>
  <si>
    <t>numpy fancing indexing,filter,handle missing values</t>
  </si>
  <si>
    <t>3.4 VPC Basics</t>
  </si>
  <si>
    <t>a</t>
  </si>
  <si>
    <t>pandas(read files)</t>
  </si>
  <si>
    <t>p</t>
  </si>
  <si>
    <t>Chandan Kumar</t>
  </si>
  <si>
    <t>23EACCS076</t>
  </si>
  <si>
    <t>3.4.1 Subnets, Security Groups</t>
  </si>
  <si>
    <t>36/50</t>
  </si>
  <si>
    <t>pandas(read files using github and export file)</t>
  </si>
  <si>
    <t>3.4.2 VPC Endpoints for SageMaker</t>
  </si>
  <si>
    <t>pandas(tail,head,info,rename,describe)</t>
  </si>
  <si>
    <t>Deepandra Singh</t>
  </si>
  <si>
    <t>4. Machine Learning Fundamentals — Part 1</t>
  </si>
  <si>
    <t>23EACCS085</t>
  </si>
  <si>
    <t>SUNDAY</t>
  </si>
  <si>
    <t>AWS S3 Overview &amp; Static Website Hosting</t>
  </si>
  <si>
    <t>4.1 What is Machine Learning</t>
  </si>
  <si>
    <t>Deepanshu Saini</t>
  </si>
  <si>
    <t>23EACAD037</t>
  </si>
  <si>
    <t>Project 1: Deploy Static Website using S3 Bucket</t>
  </si>
  <si>
    <t>4.2 Types of Machine Learning</t>
  </si>
  <si>
    <t>Project 2: Create S3 Image Uploader using Boto3</t>
  </si>
  <si>
    <t>4.2.1 Supervised Learning</t>
  </si>
  <si>
    <t>DEVENDRA KUMAWAT</t>
  </si>
  <si>
    <t>23EACCA020</t>
  </si>
  <si>
    <t>Sunday</t>
  </si>
  <si>
    <t>4.2.2 Unsupervised Learning</t>
  </si>
  <si>
    <t>AWS RDS Overview &amp; Database Connectivity</t>
  </si>
  <si>
    <t>4.2.3 Reinforcement Learning</t>
  </si>
  <si>
    <t>Gouransh jangid</t>
  </si>
  <si>
    <t>23EACAD046</t>
  </si>
  <si>
    <t>op</t>
  </si>
  <si>
    <t>4.3 ML Workflow &amp; Lifecycle</t>
  </si>
  <si>
    <t>Project 3: Backend Deployment using AWS RDS</t>
  </si>
  <si>
    <t>4.4 Features, Labels, Training Data</t>
  </si>
  <si>
    <t>Goutam Baid</t>
  </si>
  <si>
    <t>Project 4: User Profile Application (S3 + RDS)</t>
  </si>
  <si>
    <t>23EACCS068</t>
  </si>
  <si>
    <t>4.5 Train, Validation &amp; Test Split</t>
  </si>
  <si>
    <t>EC2 Overview &amp; Launching Linux Instances</t>
  </si>
  <si>
    <t>Guddu Kumar</t>
  </si>
  <si>
    <t>23EACCS112</t>
  </si>
  <si>
    <t>4. Machine Learning Fundamentals — Part 2</t>
  </si>
  <si>
    <t>Project 5: Website Deployment using EC2</t>
  </si>
  <si>
    <t>4.6 Overfitting vs Underfitting</t>
  </si>
  <si>
    <t>Gungun Goyal</t>
  </si>
  <si>
    <t>23EACCA023</t>
  </si>
  <si>
    <t>Project 6: Create Ubuntu, Amazon Linux &amp; Windows EC2 Instances</t>
  </si>
  <si>
    <t>4.7 Bias-Variance Tradeoff</t>
  </si>
  <si>
    <t>4.8 Cross Validation Techniques</t>
  </si>
  <si>
    <t>Harshit Mohan</t>
  </si>
  <si>
    <t>23EACCS121</t>
  </si>
  <si>
    <t>EC2 Connectivity (SSH, RDP &amp; Key Pair Management)</t>
  </si>
  <si>
    <t>4.9 Evaluation Metrics Overview</t>
  </si>
  <si>
    <t>AWS Glue Overview &amp; ETL Concepts</t>
  </si>
  <si>
    <t>Hemant</t>
  </si>
  <si>
    <t>23EACCS122</t>
  </si>
  <si>
    <t>4.9.1 Classification: Accuracy, Precision, Recall, F1</t>
  </si>
  <si>
    <t>16/20</t>
  </si>
  <si>
    <t>Project 7: ETL Pipeline (Glue + S3 + Lambda + EventBridge)</t>
  </si>
  <si>
    <t>4.9.2 Regression: MAE, MSE, RMSE, R²</t>
  </si>
  <si>
    <t>himanshu sen</t>
  </si>
  <si>
    <t>23EACAD052</t>
  </si>
  <si>
    <t>CloudWatch Monitoring &amp; SNS Integration</t>
  </si>
  <si>
    <t>4.9.3 ROC-AUC Curve</t>
  </si>
  <si>
    <t>Project 8: SNS + SQS Email Notification System</t>
  </si>
  <si>
    <t>Hitesh Gourana</t>
  </si>
  <si>
    <t>23EACCS127</t>
  </si>
  <si>
    <t>Set up IAM users, roles &amp; MFA</t>
  </si>
  <si>
    <t>Project 9: Live Cricket Score using AWS Lambda</t>
  </si>
  <si>
    <t>Create S3 bucket with versioning &amp; encryption</t>
  </si>
  <si>
    <t>hridyesh kaushik</t>
  </si>
  <si>
    <t>23EAOCS039</t>
  </si>
  <si>
    <t>Upload datasets via Console &amp; CLI</t>
  </si>
  <si>
    <t>FastAPI Overview &amp; REST API Development</t>
  </si>
  <si>
    <t>Kartik sharma</t>
  </si>
  <si>
    <t>23EACAD061</t>
  </si>
  <si>
    <t>Configure billing alerts</t>
  </si>
  <si>
    <t>House Price Prediction ML Model Development</t>
  </si>
  <si>
    <t>🏭 INDUSTRY LECTURE 1 (1 Hour)</t>
  </si>
  <si>
    <t>khushal saini</t>
  </si>
  <si>
    <t>23EACAD064</t>
  </si>
  <si>
    <t>Project 10: House Price Prediction using FastAPI + MLOps</t>
  </si>
  <si>
    <t>Topic: ML Engineer Role in AWS Cloud — Industry Perspective</t>
  </si>
  <si>
    <t>Docker Fundamentals &amp; Containerization</t>
  </si>
  <si>
    <t>Format: Guest Lecture + Q&amp;A Session</t>
  </si>
  <si>
    <t>Krishna Choudhary</t>
  </si>
  <si>
    <t>23EACAD067</t>
  </si>
  <si>
    <t>Project 11: Blue-Green Deployment using Docker</t>
  </si>
  <si>
    <t>UNIT 2: DATA PREPARATION FOR ML (Domain 1 — 28%)</t>
  </si>
  <si>
    <t>Kuldeep soni</t>
  </si>
  <si>
    <t>Terraform Basics &amp; AWS Infrastructure as Code</t>
  </si>
  <si>
    <t>23EACCS157</t>
  </si>
  <si>
    <t>1. Data Ingestion Services</t>
  </si>
  <si>
    <t>1.1 Amazon Kinesis Family</t>
  </si>
  <si>
    <t>KUMAR PRANAV</t>
  </si>
  <si>
    <t>23EACCS159</t>
  </si>
  <si>
    <t>45/51</t>
  </si>
  <si>
    <t>40/51</t>
  </si>
  <si>
    <t>Project 12: Deploy Coffee Website on EC2 using Terraform</t>
  </si>
  <si>
    <t>18/21</t>
  </si>
  <si>
    <t>1.1.1 Kinesis Data Streams</t>
  </si>
  <si>
    <t>Amazon Athena Overview &amp; Querying Data on S3</t>
  </si>
  <si>
    <t>1.1.2 Kinesis Data Firehose</t>
  </si>
  <si>
    <t>Kunal sakhwaya</t>
  </si>
  <si>
    <t>23EACAD068</t>
  </si>
  <si>
    <t/>
  </si>
  <si>
    <t>Continue Project: Athena with S3 Data Analysis</t>
  </si>
  <si>
    <t>1.1.3 Kinesis Data Analytics</t>
  </si>
  <si>
    <t>Lokesh kumar</t>
  </si>
  <si>
    <t>1.2 AWS Data Migration Service (DMS)</t>
  </si>
  <si>
    <t>23EACCS170</t>
  </si>
  <si>
    <t>1.3 AWS Transfer Family</t>
  </si>
  <si>
    <t>Manas Jain</t>
  </si>
  <si>
    <t>23EACCS173</t>
  </si>
  <si>
    <t>1.4 AWS Snow Family (Snowcone, Snowball, Snowmobile)</t>
  </si>
  <si>
    <t>1.5 Batch vs Streaming Ingestion</t>
  </si>
  <si>
    <t>Manish Kumar</t>
  </si>
  <si>
    <t>23EACAD071</t>
  </si>
  <si>
    <t>2. AWS Glue — ETL Service</t>
  </si>
  <si>
    <t>Manoj kumar</t>
  </si>
  <si>
    <t>23EACAD073</t>
  </si>
  <si>
    <t>38/50</t>
  </si>
  <si>
    <t>2.1 Glue Data Catalog</t>
  </si>
  <si>
    <t>2.2 Glue Crawlers &amp; Classifiers</t>
  </si>
  <si>
    <t>naveen singh</t>
  </si>
  <si>
    <t>23EACCS806</t>
  </si>
  <si>
    <t>2.3 Glue Jobs</t>
  </si>
  <si>
    <t>2.3.1 Python Shell Jobs</t>
  </si>
  <si>
    <t>NIKHIL SAINI</t>
  </si>
  <si>
    <t>23EACCA036</t>
  </si>
  <si>
    <t>2.3.2 Spark Jobs</t>
  </si>
  <si>
    <t>2.4 Glue Studio (Visual ETL)</t>
  </si>
  <si>
    <t>Nilesh Kumar</t>
  </si>
  <si>
    <t>23EACCS813</t>
  </si>
  <si>
    <t>2.5 Glue DataBrew (No-Code Data Prep)</t>
  </si>
  <si>
    <t>Param Dev Kumar</t>
  </si>
  <si>
    <t>2.6 Glue Data Quality</t>
  </si>
  <si>
    <t>23eacad086</t>
  </si>
  <si>
    <t>3. Querying &amp; Storage Optimization</t>
  </si>
  <si>
    <t>Piyush Mer</t>
  </si>
  <si>
    <t>23EACIT038</t>
  </si>
  <si>
    <t>3.1 Amazon Athena</t>
  </si>
  <si>
    <t>3.1.1 Serverless SQL on S3</t>
  </si>
  <si>
    <t>Prince Kumar</t>
  </si>
  <si>
    <t>23EACCS840</t>
  </si>
  <si>
    <t>3.1.2 Athena Workgroups</t>
  </si>
  <si>
    <t>priyanshu jaiswal</t>
  </si>
  <si>
    <t>23EACAD090</t>
  </si>
  <si>
    <t>3.2 Data Formats for ML</t>
  </si>
  <si>
    <t>3.2.1 CSV vs JSON vs Parquet vs ORC vs Avro</t>
  </si>
  <si>
    <t>PRIYANSHU KUMAR</t>
  </si>
  <si>
    <t>23EACCS847</t>
  </si>
  <si>
    <t>3.2.2 Columnar vs Row-based Storage</t>
  </si>
  <si>
    <t>3.3 Partitioning &amp; Compression Strategies</t>
  </si>
  <si>
    <t>Priyanshu Raj</t>
  </si>
  <si>
    <t>23EACCS849</t>
  </si>
  <si>
    <t>3.4 Amazon EMR Basics (Spark on AWS)</t>
  </si>
  <si>
    <t>Raghav Vijay</t>
  </si>
  <si>
    <t>23EACCS855</t>
  </si>
  <si>
    <t>4. Data Transformation &amp; Feature Engineering</t>
  </si>
  <si>
    <t>39/50</t>
  </si>
  <si>
    <t>4.1 Handling Missing Values</t>
  </si>
  <si>
    <t>RAJ MAYUKH KUMAR</t>
  </si>
  <si>
    <t>23EACAD092</t>
  </si>
  <si>
    <t>4.2 Handling Outliers</t>
  </si>
  <si>
    <t>4.2.1 IQR Method, Z-Score Method</t>
  </si>
  <si>
    <t>RAJVEER SINGH</t>
  </si>
  <si>
    <t>23EAOCS070</t>
  </si>
  <si>
    <t>17/20</t>
  </si>
  <si>
    <t>4.3 Encoding Categorical Data</t>
  </si>
  <si>
    <t>Rakshita Kanwar</t>
  </si>
  <si>
    <t>23EACCA040</t>
  </si>
  <si>
    <t>4.3.1 Label Encoding, One-Hot Encoding</t>
  </si>
  <si>
    <t>4.3.2 Target / Binary / Ordinal Encoding</t>
  </si>
  <si>
    <t>Ritik Kumar</t>
  </si>
  <si>
    <t>23EACAD098</t>
  </si>
  <si>
    <t>4.4 Feature Scaling</t>
  </si>
  <si>
    <t>4.4.1 Normalization (Min-Max)</t>
  </si>
  <si>
    <t>Rudhra Pratap Singh Naruka</t>
  </si>
  <si>
    <t>23EACCS884</t>
  </si>
  <si>
    <t>Rudra Pratap Singh</t>
  </si>
  <si>
    <t>23EACCS885</t>
  </si>
  <si>
    <t>Sahil sharma</t>
  </si>
  <si>
    <t>23EACCS888</t>
  </si>
  <si>
    <t>Sameer Kumar</t>
  </si>
  <si>
    <t>23EACCS897</t>
  </si>
  <si>
    <t>Samiksha Jain</t>
  </si>
  <si>
    <t>4.4.2 Standardization (Z-Score)</t>
  </si>
  <si>
    <t>23EACCS898</t>
  </si>
  <si>
    <t>4.5 Handling Class Imbalance (SMOTE, Undersampling)</t>
  </si>
  <si>
    <t>Shiv bari</t>
  </si>
  <si>
    <t>23EAOCS085</t>
  </si>
  <si>
    <t>5. SageMaker Data Wrangler &amp; Feature Store</t>
  </si>
  <si>
    <t>shivam kumar</t>
  </si>
  <si>
    <t>23eacad107</t>
  </si>
  <si>
    <t>34/50</t>
  </si>
  <si>
    <t>5.1 SageMaker Data Wrangler</t>
  </si>
  <si>
    <t>5.1.1 Visual Data Preparation</t>
  </si>
  <si>
    <t>Shivani Mandora</t>
  </si>
  <si>
    <t>23EACAD108</t>
  </si>
  <si>
    <t>5.1.2 Built-in Transformations</t>
  </si>
  <si>
    <t>5.1.3 Export to Feature Store / S3 / Pipeline</t>
  </si>
  <si>
    <t>Shivendra sharma</t>
  </si>
  <si>
    <t>23EACAD109</t>
  </si>
  <si>
    <t>5.2 SageMaker Feature Store</t>
  </si>
  <si>
    <t>Shubham Kumar</t>
  </si>
  <si>
    <t>23EACCS928</t>
  </si>
  <si>
    <t>5.2.1 Online vs Offline Store</t>
  </si>
  <si>
    <t>5.2.2 Feature Groups &amp; Feature Versioning</t>
  </si>
  <si>
    <t>Subham Kumar</t>
  </si>
  <si>
    <t>23EACAD114</t>
  </si>
  <si>
    <t>5.2.3 Real-time vs Batch Use Cases</t>
  </si>
  <si>
    <t>Subrato Dutta</t>
  </si>
  <si>
    <t>23EACAD115</t>
  </si>
  <si>
    <t>6. Data Validation &amp; Bias Detection</t>
  </si>
  <si>
    <t>6.1 SageMaker Clarify</t>
  </si>
  <si>
    <t>tarun soni</t>
  </si>
  <si>
    <t>23EACCS950</t>
  </si>
  <si>
    <t>6.1.1 Pre-training Bias Metrics (CI, DPL, KL, JS)</t>
  </si>
  <si>
    <t>6.1.2 Post-training Bias Detection</t>
  </si>
  <si>
    <t>6.2 Data Drift Concepts</t>
  </si>
  <si>
    <t>6.3 Schema Validation</t>
  </si>
  <si>
    <t>6.4 SageMaker Processing Jobs</t>
  </si>
  <si>
    <t>6.4.1 Spark Processing</t>
  </si>
  <si>
    <t>6.4.2 Scikit-learn Processing</t>
  </si>
  <si>
    <t>🔴 TEST 1: Data Preparation for ML (Half Day)</t>
  </si>
  <si>
    <t>MCQ (20 Marks) + Scenario-Based (30 Marks)</t>
  </si>
  <si>
    <t>Duration: 1 to 1.5 Hours</t>
  </si>
  <si>
    <t>🏭 INDUSTRY LECTURE 2 (1 Hour)</t>
  </si>
  <si>
    <t>Topic: Building Production-Grade Data Pipelines on AWS</t>
  </si>
  <si>
    <t>Tushar Sharma</t>
  </si>
  <si>
    <t>23EACAD119</t>
  </si>
  <si>
    <t>40/50</t>
  </si>
  <si>
    <t>UNIT 3: ML MODEL DEVELOPMENT (Domain 2 — 26%)</t>
  </si>
  <si>
    <t>1. Amazon SageMaker Overview</t>
  </si>
  <si>
    <t>Uday Kumar Das</t>
  </si>
  <si>
    <t>23EACIT060</t>
  </si>
  <si>
    <t>1.1 SageMaker Architecture &amp; Components</t>
  </si>
  <si>
    <t>1.2 SageMaker Studio</t>
  </si>
  <si>
    <t>uday singh</t>
  </si>
  <si>
    <t>23EACCS953</t>
  </si>
  <si>
    <t>1.2.1 Studio vs Notebook Instances vs Studio Lab</t>
  </si>
  <si>
    <t>1.2.2 Domains &amp; User Profiles</t>
  </si>
  <si>
    <t>Vidhan Singh</t>
  </si>
  <si>
    <t>23EACCS962</t>
  </si>
  <si>
    <t>1.3 SageMaker Pricing &amp; Cost Control</t>
  </si>
  <si>
    <t>1.4 Lifecycle Configurations</t>
  </si>
  <si>
    <t>Vikash Kumar Yadav</t>
  </si>
  <si>
    <t>23EACCS964</t>
  </si>
  <si>
    <t>2. SageMaker Built-in Algorithms — Part 1 (Tabular)</t>
  </si>
  <si>
    <t>2.1 Linear Learner</t>
  </si>
  <si>
    <t>Vinay Laxkar</t>
  </si>
  <si>
    <t>24EACCS207</t>
  </si>
  <si>
    <t>2.2 XGBoost</t>
  </si>
  <si>
    <t>Vinay Sharma</t>
  </si>
  <si>
    <t>23EACCA054</t>
  </si>
  <si>
    <t>46/50</t>
  </si>
  <si>
    <t>2.3 K-Means Clustering</t>
  </si>
  <si>
    <t>2.4 K-Nearest Neighbors (KNN)</t>
  </si>
  <si>
    <t>Vishesh Sharma</t>
  </si>
  <si>
    <t>2.5 Principal Component Analysis (PCA)</t>
  </si>
  <si>
    <t>23EACAD123</t>
  </si>
  <si>
    <t>2.6 Factorization Machines</t>
  </si>
  <si>
    <t>Vishnu kumar jat</t>
  </si>
  <si>
    <t>23EACCA058</t>
  </si>
  <si>
    <t>2.7 Input Formats (CSV, RecordIO-Protobuf, LibSVM)</t>
  </si>
  <si>
    <t>Yash Mishra</t>
  </si>
  <si>
    <t>3. SageMaker Built-in Algorithms — Part 2 (Vision &amp; NLP)</t>
  </si>
  <si>
    <t>23EACCS975</t>
  </si>
  <si>
    <t>3.1 Image Algorithms</t>
  </si>
  <si>
    <t>Yashwant</t>
  </si>
  <si>
    <t>23EACAD125</t>
  </si>
  <si>
    <t>3.1.1 Image Classification</t>
  </si>
  <si>
    <t>3.1.2 Object Detection</t>
  </si>
  <si>
    <t>Yuvraj Singh</t>
  </si>
  <si>
    <t>23EACCC060</t>
  </si>
  <si>
    <t>3.1.3 Semantic Segmentation</t>
  </si>
  <si>
    <t>Yuvraj Singh Ranawat</t>
  </si>
  <si>
    <t>23EACAD126</t>
  </si>
  <si>
    <t>3.2 NLP Algorithms</t>
  </si>
  <si>
    <t>3.2.1 BlazingText</t>
  </si>
  <si>
    <t>Saurav Kumar</t>
  </si>
  <si>
    <t>23EACCS907</t>
  </si>
  <si>
    <t>3.2.2 Seq2Seq</t>
  </si>
  <si>
    <t>Salaz Anand</t>
  </si>
  <si>
    <t>23EACCS895</t>
  </si>
  <si>
    <t>45/52</t>
  </si>
  <si>
    <t>40/52</t>
  </si>
  <si>
    <t>3.2.3 Object2Vec</t>
  </si>
  <si>
    <t>Yash Saini</t>
  </si>
  <si>
    <t>3.3 Time-Series Algorithms</t>
  </si>
  <si>
    <t>Late Join</t>
  </si>
  <si>
    <t>3.3.1 DeepAR</t>
  </si>
  <si>
    <t>3.3.2 Forecasting Patterns</t>
  </si>
  <si>
    <t>4. SageMaker Training Jobs</t>
  </si>
  <si>
    <t>4.1 Training Job Lifecycle</t>
  </si>
  <si>
    <t>4.2 Input Modes</t>
  </si>
  <si>
    <t>4.2.1 File Mode</t>
  </si>
  <si>
    <t>4.2.2 Pipe Mode</t>
  </si>
  <si>
    <t>4.2.3 FastFile Mode</t>
  </si>
  <si>
    <t>4.3 Distributed Training</t>
  </si>
  <si>
    <t>4.3.1 Data Parallelism</t>
  </si>
  <si>
    <t>4.3.2 Model Parallelism</t>
  </si>
  <si>
    <t>4.4 Managed Spot Training &amp; Checkpointing</t>
  </si>
  <si>
    <t>4.5 Warm Pools</t>
  </si>
  <si>
    <t>5. Custom Training — Script Mode &amp; BYOC</t>
  </si>
  <si>
    <t>5.1 Script Mode (TensorFlow, PyTorch, Scikit-learn)</t>
  </si>
  <si>
    <t>5.2 Bring Your Own Container (BYOC)</t>
  </si>
  <si>
    <t>5.2.1 Docker Basics for SageMaker</t>
  </si>
  <si>
    <t>5.2.2 Pushing Images to ECR</t>
  </si>
  <si>
    <t>5.3 Framework Extension Containers</t>
  </si>
  <si>
    <t>5.4 Local Mode for Development</t>
  </si>
  <si>
    <t>6. Hyperparameter Tuning</t>
  </si>
  <si>
    <t>6.1 SageMaker Automatic Model Tuning (HPO)</t>
  </si>
  <si>
    <t>6.2 Tuning Strategies</t>
  </si>
  <si>
    <t>6.2.1 Random Search</t>
  </si>
  <si>
    <t>6.2.2 Bayesian Optimization</t>
  </si>
  <si>
    <t>6.2.3 Hyperband</t>
  </si>
  <si>
    <t>6.2.4 Grid Search</t>
  </si>
  <si>
    <t>6.3 Warm Start Tuning</t>
  </si>
  <si>
    <t>6.4 Early Stopping</t>
  </si>
  <si>
    <t>7. SageMaker Experiments &amp; Debugger</t>
  </si>
  <si>
    <t>7.1 SageMaker Experiments</t>
  </si>
  <si>
    <t>7.1.1 Trials &amp; Trial Components</t>
  </si>
  <si>
    <t>7.1.2 Metric Tracking</t>
  </si>
  <si>
    <t>7.2 SageMaker Debugger</t>
  </si>
  <si>
    <t>7.2.1 Built-in Rules</t>
  </si>
  <si>
    <t>7.2.2 Profiling</t>
  </si>
  <si>
    <t>7.2.3 TensorBoard Integration</t>
  </si>
  <si>
    <t>7.3 Detecting Vanishing Gradients &amp; Overfitting</t>
  </si>
  <si>
    <t>8. AutoML on SageMaker</t>
  </si>
  <si>
    <t>8.1 SageMaker Autopilot</t>
  </si>
  <si>
    <t>8.1.1 AutoML for Tabular Data</t>
  </si>
  <si>
    <t>8.1.2 Autopilot Notebooks (Candidate Generation)</t>
  </si>
  <si>
    <t>8.2 SageMaker Canvas (No-Code ML)</t>
  </si>
  <si>
    <t>8.3 SageMaker JumpStart</t>
  </si>
  <si>
    <t>8.3.1 Pre-trained Models &amp; Foundation Models</t>
  </si>
  <si>
    <t>8.3.2 Fine-Tuning JumpStart Models</t>
  </si>
  <si>
    <t>📁 MINI PROJECT 2: End-to-End Model Training (Half Day)</t>
  </si>
  <si>
    <t>Build a classification model using XGBoost on SageMaker</t>
  </si>
  <si>
    <t>Run a Hyperparameter Tuning job</t>
  </si>
  <si>
    <t>Track experiments using SageMaker Experiments</t>
  </si>
  <si>
    <t>Generate evaluation report</t>
  </si>
  <si>
    <t>🔴 TEST 2: ML Model Development (Half Day)</t>
  </si>
  <si>
    <t>🏭 INDUSTRY LECTURE 3 (1 Hour)</t>
  </si>
  <si>
    <t>Topic: Model Selection &amp; Training Best Practices in Real Projects</t>
  </si>
  <si>
    <t>UNIT 4: DEPLOYMENT &amp; ORCHESTRATION OF ML WORKFLOWS (Domain 3 — 22%)</t>
  </si>
  <si>
    <t>1. SageMaker Real-Time Inference</t>
  </si>
  <si>
    <t>1.1 Real-Time Endpoint Architecture</t>
  </si>
  <si>
    <t>1.2 Instance Types for Inference</t>
  </si>
  <si>
    <t>1.3 Auto Scaling Policies</t>
  </si>
  <si>
    <t>1.3.1 Target Tracking Scaling</t>
  </si>
  <si>
    <t>1.3.2 Step Scaling</t>
  </si>
  <si>
    <t>1.4 Blue/Green &amp; Canary Deployments</t>
  </si>
  <si>
    <t>1.5 Production Variants &amp; A/B Testing</t>
  </si>
  <si>
    <t>2. Other SageMaker Inference Options</t>
  </si>
  <si>
    <t>2.1 Serverless Inference</t>
  </si>
  <si>
    <t>2.1.1 Use Cases for Intermittent Traffic</t>
  </si>
  <si>
    <t>2.2 Asynchronous Inference</t>
  </si>
  <si>
    <t>2.2.1 Large Payloads &amp; Long Processing</t>
  </si>
  <si>
    <t>2.3 Batch Transform</t>
  </si>
  <si>
    <t>2.3.1 Offline / Bulk Scoring</t>
  </si>
  <si>
    <t>2.4 Multi-Model Endpoints (MME)</t>
  </si>
  <si>
    <t>2.5 Multi-Container Endpoints</t>
  </si>
  <si>
    <t>2.6 Inference Pipelines</t>
  </si>
  <si>
    <t>3. Inference Optimization</t>
  </si>
  <si>
    <t>3.1 SageMaker Neo</t>
  </si>
  <si>
    <t>3.1.1 Model Compilation</t>
  </si>
  <si>
    <t>3.1.2 Edge Deployment</t>
  </si>
  <si>
    <t>3.2 SageMaker Inference Recommender</t>
  </si>
  <si>
    <t>3.3 Model Quantization &amp; Pruning Concepts</t>
  </si>
  <si>
    <t>3.4 Cost Optimization for Inference</t>
  </si>
  <si>
    <t>4. SageMaker Pipelines — Native MLOps</t>
  </si>
  <si>
    <t>4.1 Pipeline Concepts &amp; DAG</t>
  </si>
  <si>
    <t>4.2 Pipeline Steps</t>
  </si>
  <si>
    <t>4.2.1 Processing Step</t>
  </si>
  <si>
    <t>4.2.2 Training Step</t>
  </si>
  <si>
    <t>4.2.3 Tuning Step</t>
  </si>
  <si>
    <t>4.2.4 Model Step</t>
  </si>
  <si>
    <t>4.2.5 Transform Step</t>
  </si>
  <si>
    <t>4.2.6 Condition Step</t>
  </si>
  <si>
    <t>4.3 Step Caching</t>
  </si>
  <si>
    <t>4.4 Pipeline Parameters</t>
  </si>
  <si>
    <t>5. CI/CD for ML on AWS</t>
  </si>
  <si>
    <t>5.1 AWS CodeCommit (Source Control)</t>
  </si>
  <si>
    <t>5.2 AWS CodeBuild (Build &amp; Test)</t>
  </si>
  <si>
    <t>5.3 AWS CodePipeline (Orchestration)</t>
  </si>
  <si>
    <t>5.4 AWS CodeDeploy</t>
  </si>
  <si>
    <t>5.5 SageMaker Projects</t>
  </si>
  <si>
    <t>5.5.1 Pre-built MLOps Templates</t>
  </si>
  <si>
    <t>5.5.2 Project Lifecycle</t>
  </si>
  <si>
    <t>6. Model Registry &amp; Workflow Orchestration</t>
  </si>
  <si>
    <t>6.1 SageMaker Model Registry</t>
  </si>
  <si>
    <t>6.1.1 Model Versioning</t>
  </si>
  <si>
    <t>6.1.2 Approval Workflow (Pending → Approved / Rejected)</t>
  </si>
  <si>
    <t>6.2 AWS Step Functions</t>
  </si>
  <si>
    <t>6.2.1 Data Science SDK</t>
  </si>
  <si>
    <t>6.2.2 State Machines for ML Workflows</t>
  </si>
  <si>
    <t>6.3 Amazon EventBridge</t>
  </si>
  <si>
    <t>6.3.1 Scheduled Retraining</t>
  </si>
  <si>
    <t>6.3.2 Event-Driven ML Pipelines</t>
  </si>
  <si>
    <t>7. Infrastructure as Code (IaC) for ML</t>
  </si>
  <si>
    <t>7.1 AWS CloudFormation Basics</t>
  </si>
  <si>
    <t>7.2 AWS CDK (Cloud Development Kit)</t>
  </si>
  <si>
    <t>7.3 Terraform with SageMaker (Overview)</t>
  </si>
  <si>
    <t>7.4 Reproducible ML Environments</t>
  </si>
  <si>
    <t>📁 MINI PROJECT 3: ML Pipeline &amp; Deployment (Half Day)</t>
  </si>
  <si>
    <t>Build a 3-step SageMaker Pipeline (Process → Train → Register)</t>
  </si>
  <si>
    <t>Deploy a Real-Time Endpoint with Auto Scaling</t>
  </si>
  <si>
    <t>Test inference via Postman / boto3</t>
  </si>
  <si>
    <t>Compare Real-Time vs Serverless deployment</t>
  </si>
  <si>
    <t>🔴 TEST 3: Deployment &amp; Orchestration (Half Day)</t>
  </si>
  <si>
    <t>🏭 INDUSTRY LECTURE 4 (1 Hour)</t>
  </si>
  <si>
    <t>Topic: MLOps in Production — CI/CD Pipelines at Scale</t>
  </si>
  <si>
    <t>UNIT 5: ML SOLUTION MONITORING, MAINTENANCE &amp; SECURITY (Domain 4 — 24%)</t>
  </si>
  <si>
    <t>1. SageMaker Model Monitor</t>
  </si>
  <si>
    <t>1.1 Types of Monitoring</t>
  </si>
  <si>
    <t>1.1.1 Data Quality Drift</t>
  </si>
  <si>
    <t>1.1.2 Model Quality Drift</t>
  </si>
  <si>
    <t>1.1.3 Bias Drift</t>
  </si>
  <si>
    <t>1.1.4 Feature Attribution Drift</t>
  </si>
  <si>
    <t>1.2 Baseline Creation &amp; Constraints</t>
  </si>
  <si>
    <t>1.3 Scheduled Monitoring Jobs</t>
  </si>
  <si>
    <t>1.4 Integration with CloudWatch Alarms</t>
  </si>
  <si>
    <t>2. Monitoring &amp; Logging Services</t>
  </si>
  <si>
    <t>2.1 Amazon CloudWatch</t>
  </si>
  <si>
    <t>2.1.1 Metrics, Logs &amp; Alarms</t>
  </si>
  <si>
    <t>2.1.2 Custom Metrics for SageMaker</t>
  </si>
  <si>
    <t>2.1.3 CloudWatch Dashboards</t>
  </si>
  <si>
    <t>2.2 AWS CloudTrail</t>
  </si>
  <si>
    <t>2.2.1 API Auditing</t>
  </si>
  <si>
    <t>2.2.2 Compliance Use Cases</t>
  </si>
  <si>
    <t>2.3 AWS X-Ray (Tracing for ML APIs)</t>
  </si>
  <si>
    <t>3. ML Security — Part 1 (Identity &amp; Encryption)</t>
  </si>
  <si>
    <t>3.1 IAM for SageMaker (Execution Roles)</t>
  </si>
  <si>
    <t>3.2 Encryption at Rest</t>
  </si>
  <si>
    <t>3.2.1 KMS Customer Managed Keys</t>
  </si>
  <si>
    <t>3.2.2 Encrypting SageMaker Volumes &amp; S3</t>
  </si>
  <si>
    <t>3.3 Encryption in Transit (TLS / Inter-Container)</t>
  </si>
  <si>
    <t>3.4 AWS Secrets Manager for ML Credentials</t>
  </si>
  <si>
    <t>4. ML Security — Part 2 (Network &amp; Compliance)</t>
  </si>
  <si>
    <t>4.1 VPC Mode for SageMaker</t>
  </si>
  <si>
    <t>4.2 Network Isolation (No Internet Access)</t>
  </si>
  <si>
    <t>4.3 AWS PrivateLink &amp; VPC Endpoints</t>
  </si>
  <si>
    <t>4.4 Amazon Macie (PII Detection in S3)</t>
  </si>
  <si>
    <t>4.5 SageMaker Role Manager</t>
  </si>
  <si>
    <t>4.6 Model Cards &amp; Model Dashboard</t>
  </si>
  <si>
    <t>4.7 Compliance Standards (HIPAA, GDPR Awareness)</t>
  </si>
  <si>
    <t>5. Cost Optimization &amp; Maintenance</t>
  </si>
  <si>
    <t>5.1 SageMaker Savings Plans</t>
  </si>
  <si>
    <t>Rajveer Singh</t>
  </si>
  <si>
    <t>5.2 Spot Training for Cost Reduction</t>
  </si>
  <si>
    <t>5.3 Multi-Model Endpoints for Cost Saving</t>
  </si>
  <si>
    <t>5.4 Serverless Inference for Sporadic Traffic</t>
  </si>
  <si>
    <t>5.5 Stopping Idle Notebooks (Lifecycle Configs)</t>
  </si>
  <si>
    <t>5.6 AWS Cost Explorer &amp; Budgets</t>
  </si>
  <si>
    <t>6. Model Retraining &amp; Maintenance Strategies</t>
  </si>
  <si>
    <t>6.1 Trigger-Based Retraining</t>
  </si>
  <si>
    <t>6.2 Schedule-Based Retraining</t>
  </si>
  <si>
    <t>6.3 Champion-Challenger Pattern</t>
  </si>
  <si>
    <t>6.4 Shadow Deployment Pattern</t>
  </si>
  <si>
    <t>6.5 Rollback Strategies</t>
  </si>
  <si>
    <t>🔴 TEST 4: Monitoring, Security &amp; Cost (Half Day)</t>
  </si>
  <si>
    <t>🏭 INDUSTRY LECTURE 5 (1 Hour)</t>
  </si>
  <si>
    <t>Topic: Securing &amp; Monitoring ML Systems in Enterprise</t>
  </si>
  <si>
    <t>UNIT 6: EXAM PREPARATION &amp; FULL-LENGTH PRACTICE</t>
  </si>
  <si>
    <t>1. Full-Length Mock Exam — Day 1</t>
  </si>
  <si>
    <t>1.1 65 Questions, 130 Minutes (Exam Conditions)</t>
  </si>
  <si>
    <t>1.2 Domain-wise Score Analysis</t>
  </si>
  <si>
    <t>1.3 Identifying Weak Areas</t>
  </si>
  <si>
    <t>2. Service Comparison Revision</t>
  </si>
  <si>
    <t>2.1 Glue vs EMR vs Athena</t>
  </si>
  <si>
    <t>2.2 Real-Time vs Serverless vs Async vs Batch</t>
  </si>
  <si>
    <t>2.3 Pipelines vs Step Functions</t>
  </si>
  <si>
    <t>2.4 Data Wrangler vs DataBrew</t>
  </si>
  <si>
    <t>2.5 Model Monitor vs Clarify</t>
  </si>
  <si>
    <t>3. Final Revision &amp; Exam Strategy</t>
  </si>
  <si>
    <t>3.1 Full-Length Mock Exam — Day 2</t>
  </si>
  <si>
    <t>3.2 Cheat Sheet Walkthrough (All 4 Domains)</t>
  </si>
  <si>
    <t>3.3 Common Confusion Pairs Review</t>
  </si>
  <si>
    <t>3.4 Exam Day Strategy</t>
  </si>
  <si>
    <t>3.4.1 Time Management (2 min per question)</t>
  </si>
  <si>
    <t>3.4.2 Flag-and-Review Technique</t>
  </si>
  <si>
    <t>3.4.3 Elimination Method for MCQs</t>
  </si>
  <si>
    <t>3.5 Scheduling the Real Exam</t>
  </si>
  <si>
    <t>46-60</t>
  </si>
  <si>
    <t>🎯 FINAL CERTIFICATION EXAM PREPARATION</t>
  </si>
  <si>
    <t>P</t>
  </si>
  <si>
    <t>A</t>
  </si>
  <si>
    <t>23EACCS976</t>
  </si>
  <si>
    <t>LT</t>
  </si>
  <si>
    <t>📁 MINI PROJECT 1:ETL pipeline using ( AWS glue + cloud watch + S3 + sns + lambda function + event bridge)</t>
  </si>
  <si>
    <t xml:space="preserve">📁 MINI PROJECT 2: End-to-End Model Training </t>
  </si>
  <si>
    <t xml:space="preserve">📁 Major PROJECT 3: Churn prediction using ML Pipeline &amp; Deployment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</si>
</sst>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m yyyy"/>
    <numFmt numFmtId="165" formatCode="mm-dd-yyyy"/>
    <numFmt numFmtId="166" formatCode="d"/>
  </numFmts>
  <fonts count="1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sz val="12.0"/>
      <color theme="1"/>
      <name val="Arial"/>
    </font>
    <font/>
    <font>
      <b/>
      <sz val="11.0"/>
      <color theme="1"/>
      <name val="Arial"/>
    </font>
    <font>
      <sz val="11.0"/>
      <color theme="1"/>
      <name val="Calibri"/>
    </font>
    <font>
      <color theme="1"/>
      <name val="Calibri"/>
    </font>
    <font>
      <sz val="11.0"/>
      <color theme="1"/>
      <name val="Aptos Narrow"/>
    </font>
    <font>
      <sz val="10.0"/>
      <color theme="1"/>
      <name val="Arial"/>
    </font>
    <font>
      <color theme="1"/>
      <name val="Roboto"/>
    </font>
    <font>
      <b/>
      <color theme="1"/>
      <name val="Calibri"/>
    </font>
    <font>
      <b/>
      <sz val="11.0"/>
      <color theme="1"/>
      <name val="Calibri"/>
    </font>
    <font>
      <sz val="11.0"/>
      <color rgb="FF000000"/>
      <name val="Calibri"/>
    </font>
    <font>
      <b/>
      <color theme="1"/>
      <name val="Times New Roman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E1F2"/>
        <bgColor rgb="FFD9E1F2"/>
      </patternFill>
    </fill>
    <fill>
      <patternFill patternType="solid">
        <fgColor rgb="FFFF0000"/>
        <bgColor rgb="FFFF0000"/>
      </patternFill>
    </fill>
    <fill>
      <patternFill patternType="solid">
        <fgColor rgb="FF6AA84F"/>
        <bgColor rgb="FF6AA84F"/>
      </patternFill>
    </fill>
    <fill>
      <patternFill patternType="solid">
        <fgColor rgb="FFF8F9FA"/>
        <bgColor rgb="FFF8F9FA"/>
      </patternFill>
    </fill>
    <fill>
      <patternFill patternType="solid">
        <fgColor rgb="FFF1C232"/>
        <bgColor rgb="FFF1C232"/>
      </patternFill>
    </fill>
    <fill>
      <patternFill patternType="solid">
        <fgColor rgb="FFE7FFE7"/>
        <bgColor rgb="FFE7FFE7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0" fillId="2" fontId="2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2" fillId="0" fontId="3" numFmtId="0" xfId="0" applyAlignment="1" applyBorder="1" applyFont="1">
      <alignment horizontal="center" vertical="bottom"/>
    </xf>
    <xf borderId="0" fillId="2" fontId="1" numFmtId="0" xfId="0" applyAlignment="1" applyFont="1">
      <alignment horizontal="center" vertical="bottom"/>
    </xf>
    <xf borderId="3" fillId="0" fontId="4" numFmtId="0" xfId="0" applyBorder="1" applyFont="1"/>
    <xf borderId="0" fillId="2" fontId="2" numFmtId="11" xfId="0" applyAlignment="1" applyFont="1" applyNumberFormat="1">
      <alignment vertical="bottom"/>
    </xf>
    <xf borderId="4" fillId="0" fontId="4" numFmtId="0" xfId="0" applyBorder="1" applyFont="1"/>
    <xf borderId="0" fillId="0" fontId="2" numFmtId="0" xfId="0" applyAlignment="1" applyFont="1">
      <alignment vertical="bottom"/>
    </xf>
    <xf borderId="0" fillId="0" fontId="1" numFmtId="0" xfId="0" applyAlignment="1" applyFont="1">
      <alignment readingOrder="0" shrinkToFit="0" vertical="bottom" wrapText="1"/>
    </xf>
    <xf borderId="0" fillId="2" fontId="2" numFmtId="164" xfId="0" applyAlignment="1" applyFont="1" applyNumberFormat="1">
      <alignment vertical="bottom"/>
    </xf>
    <xf borderId="0" fillId="0" fontId="1" numFmtId="0" xfId="0" applyAlignment="1" applyFont="1">
      <alignment horizontal="center" readingOrder="0" shrinkToFit="0" vertical="bottom" wrapText="1"/>
    </xf>
    <xf borderId="1" fillId="0" fontId="2" numFmtId="0" xfId="0" applyAlignment="1" applyBorder="1" applyFont="1">
      <alignment horizontal="center"/>
    </xf>
    <xf borderId="2" fillId="2" fontId="1" numFmtId="164" xfId="0" applyAlignment="1" applyBorder="1" applyFont="1" applyNumberFormat="1">
      <alignment horizontal="center" vertical="bottom"/>
    </xf>
    <xf borderId="1" fillId="0" fontId="2" numFmtId="165" xfId="0" applyAlignment="1" applyBorder="1" applyFont="1" applyNumberFormat="1">
      <alignment horizontal="center" vertical="bottom"/>
    </xf>
    <xf borderId="0" fillId="0" fontId="1" numFmtId="0" xfId="0" applyAlignment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1" fillId="2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shrinkToFit="0" vertical="bottom" wrapText="1"/>
    </xf>
    <xf borderId="1" fillId="0" fontId="1" numFmtId="0" xfId="0" applyAlignment="1" applyBorder="1" applyFont="1">
      <alignment horizontal="center" shrinkToFit="0" vertical="bottom" wrapText="1"/>
    </xf>
    <xf borderId="1" fillId="0" fontId="2" numFmtId="0" xfId="0" applyAlignment="1" applyBorder="1" applyFont="1">
      <alignment horizontal="center" vertical="bottom"/>
    </xf>
    <xf borderId="1" fillId="0" fontId="1" numFmtId="0" xfId="0" applyAlignment="1" applyBorder="1" applyFont="1">
      <alignment readingOrder="0" shrinkToFit="0" vertical="bottom" wrapText="1"/>
    </xf>
    <xf borderId="1" fillId="3" fontId="5" numFmtId="0" xfId="0" applyAlignment="1" applyBorder="1" applyFill="1" applyFont="1">
      <alignment horizontal="center" vertical="bottom"/>
    </xf>
    <xf borderId="1" fillId="0" fontId="1" numFmtId="0" xfId="0" applyAlignment="1" applyBorder="1" applyFont="1">
      <alignment horizontal="center" readingOrder="0" shrinkToFit="0" vertical="bottom" wrapText="1"/>
    </xf>
    <xf borderId="2" fillId="0" fontId="1" numFmtId="0" xfId="0" applyAlignment="1" applyBorder="1" applyFont="1">
      <alignment horizontal="center" vertical="bottom"/>
    </xf>
    <xf borderId="3" fillId="2" fontId="1" numFmtId="164" xfId="0" applyAlignment="1" applyBorder="1" applyFont="1" applyNumberFormat="1">
      <alignment horizontal="center" vertical="bottom"/>
    </xf>
    <xf borderId="1" fillId="0" fontId="1" numFmtId="0" xfId="0" applyAlignment="1" applyBorder="1" applyFont="1">
      <alignment vertical="bottom"/>
    </xf>
    <xf borderId="1" fillId="0" fontId="6" numFmtId="0" xfId="0" applyAlignment="1" applyBorder="1" applyFont="1">
      <alignment horizontal="center" vertical="bottom"/>
    </xf>
    <xf borderId="1" fillId="4" fontId="7" numFmtId="0" xfId="0" applyAlignment="1" applyBorder="1" applyFill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center" vertical="top"/>
    </xf>
    <xf borderId="1" fillId="0" fontId="1" numFmtId="0" xfId="0" applyAlignment="1" applyBorder="1" applyFont="1">
      <alignment vertical="top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vertical="top"/>
    </xf>
    <xf borderId="2" fillId="0" fontId="7" numFmtId="0" xfId="0" applyAlignment="1" applyBorder="1" applyFont="1">
      <alignment horizontal="right" vertical="bottom"/>
    </xf>
    <xf borderId="5" fillId="2" fontId="1" numFmtId="0" xfId="0" applyAlignment="1" applyBorder="1" applyFont="1">
      <alignment horizontal="center" vertical="bottom"/>
    </xf>
    <xf borderId="0" fillId="0" fontId="2" numFmtId="0" xfId="0" applyAlignment="1" applyFont="1">
      <alignment horizontal="center" vertical="bottom"/>
    </xf>
    <xf borderId="5" fillId="2" fontId="1" numFmtId="11" xfId="0" applyAlignment="1" applyBorder="1" applyFont="1" applyNumberFormat="1">
      <alignment horizontal="center" vertical="bottom"/>
    </xf>
    <xf borderId="1" fillId="2" fontId="6" numFmtId="0" xfId="0" applyAlignment="1" applyBorder="1" applyFont="1">
      <alignment horizontal="center" shrinkToFit="0" vertical="bottom" wrapText="0"/>
    </xf>
    <xf borderId="5" fillId="2" fontId="1" numFmtId="2" xfId="0" applyAlignment="1" applyBorder="1" applyFont="1" applyNumberFormat="1">
      <alignment horizontal="center" vertical="bottom"/>
    </xf>
    <xf borderId="1" fillId="2" fontId="6" numFmtId="11" xfId="0" applyAlignment="1" applyBorder="1" applyFont="1" applyNumberFormat="1">
      <alignment horizontal="center" shrinkToFit="0" vertical="bottom" wrapText="0"/>
    </xf>
    <xf borderId="1" fillId="0" fontId="7" numFmtId="0" xfId="0" applyAlignment="1" applyBorder="1" applyFont="1">
      <alignment horizontal="center" vertical="bottom"/>
    </xf>
    <xf borderId="1" fillId="2" fontId="1" numFmtId="166" xfId="0" applyAlignment="1" applyBorder="1" applyFont="1" applyNumberFormat="1">
      <alignment horizontal="center" vertical="bottom"/>
    </xf>
    <xf borderId="1" fillId="0" fontId="7" numFmtId="0" xfId="0" applyAlignment="1" applyBorder="1" applyFont="1">
      <alignment horizontal="center" readingOrder="0" vertical="bottom"/>
    </xf>
    <xf borderId="1" fillId="0" fontId="7" numFmtId="0" xfId="0" applyAlignment="1" applyBorder="1" applyFont="1">
      <alignment vertical="bottom"/>
    </xf>
    <xf borderId="1" fillId="0" fontId="6" numFmtId="11" xfId="0" applyAlignment="1" applyBorder="1" applyFont="1" applyNumberFormat="1">
      <alignment horizontal="center" vertical="bottom"/>
    </xf>
    <xf borderId="6" fillId="0" fontId="4" numFmtId="0" xfId="0" applyBorder="1" applyFont="1"/>
    <xf borderId="1" fillId="4" fontId="7" numFmtId="0" xfId="0" applyAlignment="1" applyBorder="1" applyFont="1">
      <alignment horizontal="center" vertical="bottom"/>
    </xf>
    <xf borderId="1" fillId="2" fontId="1" numFmtId="164" xfId="0" applyAlignment="1" applyBorder="1" applyFont="1" applyNumberFormat="1">
      <alignment horizontal="center" vertical="bottom"/>
    </xf>
    <xf borderId="1" fillId="0" fontId="8" numFmtId="0" xfId="0" applyAlignment="1" applyBorder="1" applyFont="1">
      <alignment horizontal="center" vertical="bottom"/>
    </xf>
    <xf borderId="1" fillId="0" fontId="8" numFmtId="11" xfId="0" applyAlignment="1" applyBorder="1" applyFont="1" applyNumberFormat="1">
      <alignment horizontal="center" vertical="bottom"/>
    </xf>
    <xf borderId="1" fillId="0" fontId="2" numFmtId="2" xfId="0" applyAlignment="1" applyBorder="1" applyFont="1" applyNumberFormat="1">
      <alignment horizontal="center" vertical="bottom"/>
    </xf>
    <xf borderId="1" fillId="4" fontId="2" numFmtId="0" xfId="0" applyAlignment="1" applyBorder="1" applyFont="1">
      <alignment horizontal="center" vertical="bottom"/>
    </xf>
    <xf borderId="1" fillId="5" fontId="2" numFmtId="0" xfId="0" applyAlignment="1" applyBorder="1" applyFill="1" applyFont="1">
      <alignment horizontal="center" vertical="bottom"/>
    </xf>
    <xf borderId="1" fillId="5" fontId="2" numFmtId="0" xfId="0" applyAlignment="1" applyBorder="1" applyFont="1">
      <alignment horizontal="center" vertical="bottom"/>
    </xf>
    <xf borderId="5" fillId="4" fontId="2" numFmtId="0" xfId="0" applyAlignment="1" applyBorder="1" applyFont="1">
      <alignment vertical="bottom"/>
    </xf>
    <xf borderId="5" fillId="0" fontId="2" numFmtId="0" xfId="0" applyAlignment="1" applyBorder="1" applyFont="1">
      <alignment vertical="bottom"/>
    </xf>
    <xf borderId="5" fillId="4" fontId="2" numFmtId="0" xfId="0" applyBorder="1" applyFont="1"/>
    <xf borderId="0" fillId="4" fontId="2" numFmtId="0" xfId="0" applyAlignment="1" applyFont="1">
      <alignment vertical="bottom"/>
    </xf>
    <xf borderId="5" fillId="4" fontId="1" numFmtId="0" xfId="0" applyAlignment="1" applyBorder="1" applyFont="1">
      <alignment horizontal="center" textRotation="255"/>
    </xf>
    <xf borderId="6" fillId="0" fontId="2" numFmtId="0" xfId="0" applyAlignment="1" applyBorder="1" applyFont="1">
      <alignment vertical="bottom"/>
    </xf>
    <xf borderId="1" fillId="0" fontId="9" numFmtId="0" xfId="0" applyAlignment="1" applyBorder="1" applyFont="1">
      <alignment horizontal="center" vertical="bottom"/>
    </xf>
    <xf borderId="1" fillId="6" fontId="6" numFmtId="0" xfId="0" applyAlignment="1" applyBorder="1" applyFill="1" applyFont="1">
      <alignment horizontal="center" shrinkToFit="0" vertical="bottom" wrapText="0"/>
    </xf>
    <xf borderId="1" fillId="2" fontId="10" numFmtId="0" xfId="0" applyAlignment="1" applyBorder="1" applyFont="1">
      <alignment horizontal="center" shrinkToFit="0" vertical="bottom" wrapText="0"/>
    </xf>
    <xf borderId="1" fillId="2" fontId="10" numFmtId="11" xfId="0" applyAlignment="1" applyBorder="1" applyFont="1" applyNumberFormat="1">
      <alignment horizontal="center" shrinkToFit="0" vertical="bottom" wrapText="0"/>
    </xf>
    <xf borderId="1" fillId="7" fontId="2" numFmtId="0" xfId="0" applyAlignment="1" applyBorder="1" applyFill="1" applyFont="1">
      <alignment horizontal="center" vertical="bottom"/>
    </xf>
    <xf borderId="7" fillId="4" fontId="2" numFmtId="0" xfId="0" applyAlignment="1" applyBorder="1" applyFont="1">
      <alignment vertical="bottom"/>
    </xf>
    <xf borderId="7" fillId="4" fontId="2" numFmtId="0" xfId="0" applyBorder="1" applyFont="1"/>
    <xf borderId="0" fillId="7" fontId="2" numFmtId="0" xfId="0" applyAlignment="1" applyFont="1">
      <alignment horizontal="center" vertical="bottom"/>
    </xf>
    <xf borderId="0" fillId="7" fontId="2" numFmtId="0" xfId="0" applyAlignment="1" applyFont="1">
      <alignment vertical="bottom"/>
    </xf>
    <xf borderId="0" fillId="5" fontId="2" numFmtId="0" xfId="0" applyAlignment="1" applyFont="1">
      <alignment vertical="bottom"/>
    </xf>
    <xf borderId="1" fillId="4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vertical="bottom"/>
    </xf>
    <xf borderId="1" fillId="0" fontId="5" numFmtId="0" xfId="0" applyAlignment="1" applyBorder="1" applyFont="1">
      <alignment horizontal="center" vertical="top"/>
    </xf>
    <xf borderId="1" fillId="0" fontId="2" numFmtId="0" xfId="0" applyBorder="1" applyFont="1"/>
    <xf borderId="1" fillId="6" fontId="6" numFmtId="11" xfId="0" applyAlignment="1" applyBorder="1" applyFont="1" applyNumberFormat="1">
      <alignment horizontal="center" shrinkToFit="0" vertical="bottom" wrapText="0"/>
    </xf>
    <xf borderId="0" fillId="0" fontId="7" numFmtId="0" xfId="0" applyAlignment="1" applyFont="1">
      <alignment vertical="bottom"/>
    </xf>
    <xf borderId="1" fillId="6" fontId="10" numFmtId="0" xfId="0" applyAlignment="1" applyBorder="1" applyFont="1">
      <alignment horizontal="center" shrinkToFit="0" vertical="bottom" wrapText="0"/>
    </xf>
    <xf borderId="1" fillId="0" fontId="6" numFmtId="0" xfId="0" applyAlignment="1" applyBorder="1" applyFont="1">
      <alignment horizontal="center" vertical="bottom"/>
    </xf>
    <xf borderId="1" fillId="2" fontId="6" numFmtId="0" xfId="0" applyAlignment="1" applyBorder="1" applyFont="1">
      <alignment horizontal="center" vertical="bottom"/>
    </xf>
    <xf borderId="1" fillId="2" fontId="6" numFmtId="0" xfId="0" applyAlignment="1" applyBorder="1" applyFont="1">
      <alignment horizontal="center" vertical="bottom"/>
    </xf>
    <xf borderId="1" fillId="0" fontId="11" numFmtId="0" xfId="0" applyAlignment="1" applyBorder="1" applyFont="1">
      <alignment horizontal="center" vertical="bottom"/>
    </xf>
    <xf borderId="1" fillId="2" fontId="6" numFmtId="0" xfId="0" applyAlignment="1" applyBorder="1" applyFont="1">
      <alignment horizontal="center" shrinkToFit="0" vertical="bottom" wrapText="0"/>
    </xf>
    <xf borderId="0" fillId="0" fontId="6" numFmtId="0" xfId="0" applyAlignment="1" applyFont="1">
      <alignment horizontal="center" vertical="bottom"/>
    </xf>
    <xf borderId="1" fillId="2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readingOrder="0" vertical="bottom"/>
    </xf>
    <xf borderId="1" fillId="8" fontId="2" numFmtId="0" xfId="0" applyAlignment="1" applyBorder="1" applyFill="1" applyFont="1">
      <alignment vertical="bottom"/>
    </xf>
    <xf borderId="7" fillId="4" fontId="1" numFmtId="0" xfId="0" applyAlignment="1" applyBorder="1" applyFont="1">
      <alignment horizontal="center" textRotation="255" vertical="bottom"/>
    </xf>
    <xf borderId="7" fillId="4" fontId="1" numFmtId="0" xfId="0" applyAlignment="1" applyBorder="1" applyFont="1">
      <alignment horizontal="center" textRotation="255"/>
    </xf>
    <xf borderId="0" fillId="4" fontId="2" numFmtId="0" xfId="0" applyAlignment="1" applyFont="1">
      <alignment horizontal="center" vertical="bottom"/>
    </xf>
    <xf borderId="1" fillId="0" fontId="12" numFmtId="0" xfId="0" applyAlignment="1" applyBorder="1" applyFont="1">
      <alignment horizontal="center" vertical="bottom"/>
    </xf>
    <xf borderId="1" fillId="0" fontId="12" numFmtId="0" xfId="0" applyAlignment="1" applyBorder="1" applyFont="1">
      <alignment horizontal="center" vertical="bottom"/>
    </xf>
    <xf borderId="7" fillId="4" fontId="2" numFmtId="0" xfId="0" applyAlignment="1" applyBorder="1" applyFont="1">
      <alignment vertical="bottom"/>
    </xf>
    <xf borderId="6" fillId="4" fontId="2" numFmtId="0" xfId="0" applyBorder="1" applyFont="1"/>
    <xf borderId="1" fillId="6" fontId="6" numFmtId="0" xfId="0" applyAlignment="1" applyBorder="1" applyFont="1">
      <alignment horizontal="center" vertical="bottom"/>
    </xf>
    <xf borderId="6" fillId="4" fontId="2" numFmtId="0" xfId="0" applyAlignment="1" applyBorder="1" applyFont="1">
      <alignment vertical="bottom"/>
    </xf>
    <xf borderId="1" fillId="4" fontId="2" numFmtId="0" xfId="0" applyAlignment="1" applyBorder="1" applyFont="1">
      <alignment vertical="bottom"/>
    </xf>
    <xf borderId="1" fillId="2" fontId="8" numFmtId="0" xfId="0" applyAlignment="1" applyBorder="1" applyFont="1">
      <alignment horizontal="center" vertical="bottom"/>
    </xf>
    <xf borderId="1" fillId="6" fontId="10" numFmtId="0" xfId="0" applyAlignment="1" applyBorder="1" applyFont="1">
      <alignment horizontal="center" shrinkToFit="0" vertical="bottom" wrapText="0"/>
    </xf>
    <xf borderId="0" fillId="7" fontId="2" numFmtId="0" xfId="0" applyAlignment="1" applyFont="1">
      <alignment vertical="bottom"/>
    </xf>
    <xf borderId="1" fillId="2" fontId="6" numFmtId="0" xfId="0" applyAlignment="1" applyBorder="1" applyFont="1">
      <alignment horizontal="center" vertical="bottom"/>
    </xf>
    <xf borderId="1" fillId="2" fontId="6" numFmtId="11" xfId="0" applyAlignment="1" applyBorder="1" applyFont="1" applyNumberFormat="1">
      <alignment horizontal="center" vertical="bottom"/>
    </xf>
    <xf borderId="1" fillId="5" fontId="2" numFmtId="0" xfId="0" applyAlignment="1" applyBorder="1" applyFont="1">
      <alignment vertical="bottom"/>
    </xf>
    <xf borderId="0" fillId="5" fontId="2" numFmtId="0" xfId="0" applyAlignment="1" applyFont="1">
      <alignment vertical="bottom"/>
    </xf>
    <xf borderId="1" fillId="2" fontId="6" numFmtId="0" xfId="0" applyAlignment="1" applyBorder="1" applyFont="1">
      <alignment horizontal="center" vertical="bottom"/>
    </xf>
    <xf borderId="6" fillId="4" fontId="2" numFmtId="0" xfId="0" applyAlignment="1" applyBorder="1" applyFont="1">
      <alignment vertical="bottom"/>
    </xf>
    <xf borderId="1" fillId="2" fontId="2" numFmtId="0" xfId="0" applyAlignment="1" applyBorder="1" applyFont="1">
      <alignment horizontal="center" vertical="bottom"/>
    </xf>
    <xf borderId="1" fillId="5" fontId="2" numFmtId="0" xfId="0" applyAlignment="1" applyBorder="1" applyFont="1">
      <alignment readingOrder="0" vertical="bottom"/>
    </xf>
    <xf borderId="1" fillId="4" fontId="2" numFmtId="0" xfId="0" applyAlignment="1" applyBorder="1" applyFont="1">
      <alignment readingOrder="0" vertical="bottom"/>
    </xf>
    <xf borderId="1" fillId="5" fontId="2" numFmtId="0" xfId="0" applyAlignment="1" applyBorder="1" applyFont="1">
      <alignment horizontal="center" readingOrder="0" vertical="bottom"/>
    </xf>
    <xf borderId="6" fillId="4" fontId="2" numFmtId="0" xfId="0" applyBorder="1" applyFont="1"/>
    <xf borderId="1" fillId="4" fontId="2" numFmtId="0" xfId="0" applyAlignment="1" applyBorder="1" applyFont="1">
      <alignment vertical="bottom"/>
    </xf>
    <xf borderId="1" fillId="6" fontId="2" numFmtId="0" xfId="0" applyAlignment="1" applyBorder="1" applyFont="1">
      <alignment horizontal="center" vertical="bottom"/>
    </xf>
    <xf borderId="0" fillId="0" fontId="2" numFmtId="0" xfId="0" applyAlignment="1" applyFont="1">
      <alignment readingOrder="0" vertical="bottom"/>
    </xf>
    <xf borderId="0" fillId="0" fontId="13" numFmtId="0" xfId="0" applyAlignment="1" applyFont="1">
      <alignment readingOrder="0" shrinkToFit="0" vertical="bottom" wrapText="0"/>
    </xf>
    <xf borderId="0" fillId="4" fontId="1" numFmtId="0" xfId="0" applyAlignment="1" applyFont="1">
      <alignment horizontal="center" textRotation="255"/>
    </xf>
    <xf borderId="1" fillId="2" fontId="1" numFmtId="0" xfId="0" applyAlignment="1" applyBorder="1" applyFont="1">
      <alignment horizontal="center"/>
    </xf>
    <xf borderId="1" fillId="2" fontId="14" numFmtId="0" xfId="0" applyAlignment="1" applyBorder="1" applyFont="1">
      <alignment horizontal="center"/>
    </xf>
    <xf borderId="1" fillId="0" fontId="1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2">
    <tableStyle count="2" pivot="0" name="Attendence-style">
      <tableStyleElement dxfId="1" type="firstRowStripe"/>
      <tableStyleElement dxfId="2" type="secondRowStripe"/>
    </tableStyle>
    <tableStyle count="2" pivot="0" name="Project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71:C74" displayName="Table_1" name="Table_1" id="1">
  <tableColumns count="2">
    <tableColumn name="Column1" id="1"/>
    <tableColumn name="Column2" id="2"/>
  </tableColumns>
  <tableStyleInfo name="Attendence-style" showColumnStripes="0" showFirstColumn="1" showLastColumn="1" showRowStripes="1"/>
</table>
</file>

<file path=xl/tables/table2.xml><?xml version="1.0" encoding="utf-8"?>
<table xmlns="http://schemas.openxmlformats.org/spreadsheetml/2006/main" headerRowCount="0" ref="B70:F73" displayName="Table_2" name="Table_2" id="2">
  <tableColumns count="5">
    <tableColumn name="Column1" id="1"/>
    <tableColumn name="Column2" id="2"/>
    <tableColumn name="Column3" id="3"/>
    <tableColumn name="Column4" id="4"/>
    <tableColumn name="Column5" id="5"/>
  </tableColumns>
  <tableStyleInfo name="Projec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1.88"/>
    <col customWidth="1" min="3" max="3" width="15.13"/>
    <col customWidth="1" min="7" max="7" width="16.63"/>
    <col customWidth="1" min="8" max="44" width="4.63"/>
    <col customWidth="1" min="45" max="74" width="6.13"/>
  </cols>
  <sheetData>
    <row r="1">
      <c r="A1" s="2"/>
      <c r="B1" s="2"/>
      <c r="C1" s="7"/>
      <c r="D1" s="2"/>
      <c r="E1" s="2"/>
      <c r="F1" s="2"/>
      <c r="G1" s="11"/>
      <c r="H1" s="14">
        <v>46143.0</v>
      </c>
      <c r="I1" s="6"/>
      <c r="J1" s="6"/>
      <c r="K1" s="6"/>
      <c r="L1" s="6"/>
      <c r="M1" s="6"/>
      <c r="N1" s="8"/>
      <c r="O1" s="14">
        <v>46174.0</v>
      </c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8"/>
      <c r="AS1" s="14">
        <v>46204.0</v>
      </c>
      <c r="AT1" s="6"/>
      <c r="AU1" s="6"/>
      <c r="AV1" s="6"/>
      <c r="AW1" s="6"/>
      <c r="AX1" s="6"/>
      <c r="AY1" s="6"/>
      <c r="AZ1" s="6"/>
      <c r="BA1" s="6"/>
      <c r="BB1" s="8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26"/>
      <c r="BO1" s="26"/>
      <c r="BP1" s="26"/>
      <c r="BQ1" s="26"/>
      <c r="BR1" s="26"/>
      <c r="BS1" s="26"/>
      <c r="BT1" s="26"/>
      <c r="BU1" s="26"/>
      <c r="BV1" s="26"/>
    </row>
    <row r="2">
      <c r="A2" s="37" t="s">
        <v>9</v>
      </c>
      <c r="B2" s="37" t="s">
        <v>10</v>
      </c>
      <c r="C2" s="39" t="s">
        <v>11</v>
      </c>
      <c r="D2" s="37" t="s">
        <v>36</v>
      </c>
      <c r="E2" s="37" t="s">
        <v>37</v>
      </c>
      <c r="F2" s="37" t="s">
        <v>38</v>
      </c>
      <c r="G2" s="41" t="s">
        <v>42</v>
      </c>
      <c r="H2" s="44">
        <v>25.0</v>
      </c>
      <c r="I2" s="44">
        <v>26.0</v>
      </c>
      <c r="J2" s="44">
        <v>27.0</v>
      </c>
      <c r="K2" s="44">
        <v>28.0</v>
      </c>
      <c r="L2" s="44">
        <v>29.0</v>
      </c>
      <c r="M2" s="44">
        <v>30.0</v>
      </c>
      <c r="N2" s="44">
        <v>31.0</v>
      </c>
      <c r="O2" s="44">
        <v>1.0</v>
      </c>
      <c r="P2" s="44">
        <v>2.0</v>
      </c>
      <c r="Q2" s="44">
        <v>3.0</v>
      </c>
      <c r="R2" s="44">
        <v>4.0</v>
      </c>
      <c r="S2" s="44">
        <v>5.0</v>
      </c>
      <c r="T2" s="44">
        <v>6.0</v>
      </c>
      <c r="U2" s="44">
        <v>7.0</v>
      </c>
      <c r="V2" s="44">
        <v>8.0</v>
      </c>
      <c r="W2" s="44">
        <v>9.0</v>
      </c>
      <c r="X2" s="44">
        <v>10.0</v>
      </c>
      <c r="Y2" s="44">
        <v>11.0</v>
      </c>
      <c r="Z2" s="44">
        <v>12.0</v>
      </c>
      <c r="AA2" s="44">
        <v>13.0</v>
      </c>
      <c r="AB2" s="44">
        <v>14.0</v>
      </c>
      <c r="AC2" s="44">
        <v>15.0</v>
      </c>
      <c r="AD2" s="44">
        <v>16.0</v>
      </c>
      <c r="AE2" s="44">
        <v>17.0</v>
      </c>
      <c r="AF2" s="44">
        <v>18.0</v>
      </c>
      <c r="AG2" s="44">
        <v>19.0</v>
      </c>
      <c r="AH2" s="44">
        <v>20.0</v>
      </c>
      <c r="AI2" s="44">
        <v>21.0</v>
      </c>
      <c r="AJ2" s="44">
        <v>22.0</v>
      </c>
      <c r="AK2" s="44">
        <v>23.0</v>
      </c>
      <c r="AL2" s="44">
        <v>24.0</v>
      </c>
      <c r="AM2" s="44">
        <v>25.0</v>
      </c>
      <c r="AN2" s="44">
        <v>26.0</v>
      </c>
      <c r="AO2" s="44">
        <v>27.0</v>
      </c>
      <c r="AP2" s="44">
        <v>28.0</v>
      </c>
      <c r="AQ2" s="44">
        <v>29.0</v>
      </c>
      <c r="AR2" s="44">
        <v>30.0</v>
      </c>
      <c r="AS2" s="44">
        <v>1.0</v>
      </c>
      <c r="AT2" s="44">
        <v>2.0</v>
      </c>
      <c r="AU2" s="44">
        <v>3.0</v>
      </c>
      <c r="AV2" s="44">
        <v>4.0</v>
      </c>
      <c r="AW2" s="44">
        <v>5.0</v>
      </c>
      <c r="AX2" s="44">
        <v>6.0</v>
      </c>
      <c r="AY2" s="44">
        <v>7.0</v>
      </c>
      <c r="AZ2" s="44">
        <v>8.0</v>
      </c>
      <c r="BA2" s="44">
        <v>9.0</v>
      </c>
      <c r="BB2" s="44">
        <v>10.0</v>
      </c>
      <c r="BC2" s="44">
        <v>46214.0</v>
      </c>
      <c r="BD2" s="44">
        <v>46215.0</v>
      </c>
      <c r="BE2" s="44">
        <v>46216.0</v>
      </c>
      <c r="BF2" s="44">
        <v>46217.0</v>
      </c>
      <c r="BG2" s="44">
        <v>46218.0</v>
      </c>
      <c r="BH2" s="44">
        <v>46219.0</v>
      </c>
      <c r="BI2" s="44">
        <v>46220.0</v>
      </c>
      <c r="BJ2" s="44">
        <v>46221.0</v>
      </c>
      <c r="BK2" s="44">
        <v>46222.0</v>
      </c>
      <c r="BL2" s="44">
        <v>46223.0</v>
      </c>
      <c r="BM2" s="44">
        <v>46224.0</v>
      </c>
      <c r="BN2" s="44">
        <v>46225.0</v>
      </c>
      <c r="BO2" s="44">
        <v>46226.0</v>
      </c>
      <c r="BP2" s="44">
        <v>46227.0</v>
      </c>
      <c r="BQ2" s="44">
        <v>46228.0</v>
      </c>
      <c r="BR2" s="44">
        <v>46229.0</v>
      </c>
      <c r="BS2" s="44">
        <v>46230.0</v>
      </c>
      <c r="BT2" s="44">
        <v>46231.0</v>
      </c>
      <c r="BU2" s="44">
        <v>46232.0</v>
      </c>
      <c r="BV2" s="44">
        <v>46233.0</v>
      </c>
    </row>
    <row r="3">
      <c r="A3" s="48"/>
      <c r="B3" s="48"/>
      <c r="C3" s="48"/>
      <c r="D3" s="48"/>
      <c r="E3" s="48"/>
      <c r="F3" s="48"/>
      <c r="G3" s="48"/>
      <c r="H3" s="50" t="s">
        <v>78</v>
      </c>
      <c r="I3" s="50" t="s">
        <v>80</v>
      </c>
      <c r="J3" s="50" t="s">
        <v>81</v>
      </c>
      <c r="K3" s="50" t="s">
        <v>80</v>
      </c>
      <c r="L3" s="50" t="s">
        <v>83</v>
      </c>
      <c r="M3" s="50" t="s">
        <v>84</v>
      </c>
      <c r="N3" s="50" t="s">
        <v>84</v>
      </c>
      <c r="O3" s="50" t="s">
        <v>78</v>
      </c>
      <c r="P3" s="50" t="s">
        <v>80</v>
      </c>
      <c r="Q3" s="50" t="s">
        <v>81</v>
      </c>
      <c r="R3" s="50" t="s">
        <v>80</v>
      </c>
      <c r="S3" s="50" t="s">
        <v>83</v>
      </c>
      <c r="T3" s="50" t="s">
        <v>84</v>
      </c>
      <c r="U3" s="50" t="s">
        <v>84</v>
      </c>
      <c r="V3" s="50" t="s">
        <v>78</v>
      </c>
      <c r="W3" s="50" t="s">
        <v>80</v>
      </c>
      <c r="X3" s="50" t="s">
        <v>81</v>
      </c>
      <c r="Y3" s="50" t="s">
        <v>80</v>
      </c>
      <c r="Z3" s="50" t="s">
        <v>83</v>
      </c>
      <c r="AA3" s="50" t="s">
        <v>84</v>
      </c>
      <c r="AB3" s="50" t="s">
        <v>84</v>
      </c>
      <c r="AC3" s="50" t="s">
        <v>78</v>
      </c>
      <c r="AD3" s="50" t="s">
        <v>80</v>
      </c>
      <c r="AE3" s="50" t="s">
        <v>81</v>
      </c>
      <c r="AF3" s="50" t="s">
        <v>80</v>
      </c>
      <c r="AG3" s="50" t="s">
        <v>83</v>
      </c>
      <c r="AH3" s="50" t="s">
        <v>84</v>
      </c>
      <c r="AI3" s="50" t="s">
        <v>84</v>
      </c>
      <c r="AJ3" s="50" t="s">
        <v>78</v>
      </c>
      <c r="AK3" s="50" t="s">
        <v>80</v>
      </c>
      <c r="AL3" s="50" t="s">
        <v>81</v>
      </c>
      <c r="AM3" s="50" t="s">
        <v>80</v>
      </c>
      <c r="AN3" s="50" t="s">
        <v>83</v>
      </c>
      <c r="AO3" s="50" t="s">
        <v>84</v>
      </c>
      <c r="AP3" s="50" t="s">
        <v>84</v>
      </c>
      <c r="AQ3" s="50" t="s">
        <v>78</v>
      </c>
      <c r="AR3" s="50" t="s">
        <v>80</v>
      </c>
      <c r="AS3" s="50" t="s">
        <v>81</v>
      </c>
      <c r="AT3" s="50" t="s">
        <v>80</v>
      </c>
      <c r="AU3" s="50" t="s">
        <v>83</v>
      </c>
      <c r="AV3" s="50" t="s">
        <v>84</v>
      </c>
      <c r="AW3" s="50" t="s">
        <v>84</v>
      </c>
      <c r="AX3" s="50" t="s">
        <v>78</v>
      </c>
      <c r="AY3" s="50" t="s">
        <v>80</v>
      </c>
      <c r="AZ3" s="50" t="s">
        <v>81</v>
      </c>
      <c r="BA3" s="50" t="s">
        <v>80</v>
      </c>
      <c r="BB3" s="50" t="s">
        <v>83</v>
      </c>
      <c r="BC3" s="50" t="str">
        <f t="shared" ref="BC3:BV3" si="1">TEXT(BC2,"ddd")</f>
        <v>Sat</v>
      </c>
      <c r="BD3" s="50" t="str">
        <f t="shared" si="1"/>
        <v>Sun</v>
      </c>
      <c r="BE3" s="50" t="str">
        <f t="shared" si="1"/>
        <v>Mon</v>
      </c>
      <c r="BF3" s="50" t="str">
        <f t="shared" si="1"/>
        <v>Tue</v>
      </c>
      <c r="BG3" s="50" t="str">
        <f t="shared" si="1"/>
        <v>Wed</v>
      </c>
      <c r="BH3" s="50" t="str">
        <f t="shared" si="1"/>
        <v>Thu</v>
      </c>
      <c r="BI3" s="50" t="str">
        <f t="shared" si="1"/>
        <v>Fri</v>
      </c>
      <c r="BJ3" s="50" t="str">
        <f t="shared" si="1"/>
        <v>Sat</v>
      </c>
      <c r="BK3" s="50" t="str">
        <f t="shared" si="1"/>
        <v>Sun</v>
      </c>
      <c r="BL3" s="50" t="str">
        <f t="shared" si="1"/>
        <v>Mon</v>
      </c>
      <c r="BM3" s="50" t="str">
        <f t="shared" si="1"/>
        <v>Tue</v>
      </c>
      <c r="BN3" s="50" t="str">
        <f t="shared" si="1"/>
        <v>Wed</v>
      </c>
      <c r="BO3" s="50" t="str">
        <f t="shared" si="1"/>
        <v>Thu</v>
      </c>
      <c r="BP3" s="50" t="str">
        <f t="shared" si="1"/>
        <v>Fri</v>
      </c>
      <c r="BQ3" s="50" t="str">
        <f t="shared" si="1"/>
        <v>Sat</v>
      </c>
      <c r="BR3" s="50" t="str">
        <f t="shared" si="1"/>
        <v>Sun</v>
      </c>
      <c r="BS3" s="50" t="str">
        <f t="shared" si="1"/>
        <v>Mon</v>
      </c>
      <c r="BT3" s="50" t="str">
        <f t="shared" si="1"/>
        <v>Tue</v>
      </c>
      <c r="BU3" s="50" t="str">
        <f t="shared" si="1"/>
        <v>Wed</v>
      </c>
      <c r="BV3" s="50" t="str">
        <f t="shared" si="1"/>
        <v>Thu</v>
      </c>
    </row>
    <row r="4" ht="27.0" customHeight="1">
      <c r="A4" s="21">
        <v>1.0</v>
      </c>
      <c r="B4" s="51" t="s">
        <v>25</v>
      </c>
      <c r="C4" s="52" t="s">
        <v>26</v>
      </c>
      <c r="D4" s="21">
        <f t="shared" ref="D4:D83" si="2">COUNTIF(H4:BV4,"p") + COUNTIF(H4:BV4,"op")</f>
        <v>13</v>
      </c>
      <c r="E4" s="21">
        <f t="shared" ref="E4:E83" si="3">COUNTIF(H4:BV4,"A") + COUNTIF(H4:BV4,"oA")</f>
        <v>39</v>
      </c>
      <c r="F4" s="21">
        <f t="shared" ref="F4:F83" si="4">E4+D4</f>
        <v>52</v>
      </c>
      <c r="G4" s="53">
        <f t="shared" ref="G4:G83" si="5">(D4/F4)*100</f>
        <v>25</v>
      </c>
      <c r="H4" s="54" t="s">
        <v>125</v>
      </c>
      <c r="I4" s="55" t="s">
        <v>127</v>
      </c>
      <c r="J4" s="56" t="s">
        <v>127</v>
      </c>
      <c r="K4" s="56" t="s">
        <v>127</v>
      </c>
      <c r="L4" s="56" t="s">
        <v>127</v>
      </c>
      <c r="M4" s="56" t="s">
        <v>127</v>
      </c>
      <c r="N4" s="57"/>
      <c r="O4" s="56" t="s">
        <v>127</v>
      </c>
      <c r="P4" s="56" t="s">
        <v>127</v>
      </c>
      <c r="Q4" s="56" t="s">
        <v>127</v>
      </c>
      <c r="R4" s="56" t="s">
        <v>127</v>
      </c>
      <c r="S4" s="56" t="s">
        <v>127</v>
      </c>
      <c r="T4" s="56" t="s">
        <v>127</v>
      </c>
      <c r="U4" s="59"/>
      <c r="V4" s="56" t="s">
        <v>127</v>
      </c>
      <c r="W4" s="56" t="s">
        <v>127</v>
      </c>
      <c r="X4" s="60" t="s">
        <v>125</v>
      </c>
      <c r="Y4" s="60" t="s">
        <v>125</v>
      </c>
      <c r="Z4" s="60" t="s">
        <v>125</v>
      </c>
      <c r="AA4" s="60" t="s">
        <v>125</v>
      </c>
      <c r="AB4" s="59"/>
      <c r="AC4" s="60" t="s">
        <v>125</v>
      </c>
      <c r="AD4" s="60" t="s">
        <v>125</v>
      </c>
      <c r="AE4" s="60" t="s">
        <v>125</v>
      </c>
      <c r="AF4" s="60" t="s">
        <v>125</v>
      </c>
      <c r="AG4" s="60" t="s">
        <v>125</v>
      </c>
      <c r="AH4" s="60" t="s">
        <v>125</v>
      </c>
      <c r="AI4" s="61" t="s">
        <v>138</v>
      </c>
      <c r="AJ4" s="60" t="s">
        <v>125</v>
      </c>
      <c r="AK4" s="60" t="s">
        <v>125</v>
      </c>
      <c r="AL4" s="60" t="s">
        <v>125</v>
      </c>
      <c r="AM4" s="60" t="s">
        <v>125</v>
      </c>
      <c r="AN4" s="60" t="s">
        <v>125</v>
      </c>
      <c r="AO4" s="60" t="s">
        <v>125</v>
      </c>
      <c r="AP4" s="61" t="s">
        <v>138</v>
      </c>
      <c r="AQ4" s="60" t="s">
        <v>125</v>
      </c>
      <c r="AR4" s="60" t="s">
        <v>125</v>
      </c>
      <c r="AS4" s="60" t="s">
        <v>125</v>
      </c>
      <c r="AT4" s="60" t="s">
        <v>125</v>
      </c>
      <c r="AU4" s="60" t="s">
        <v>125</v>
      </c>
      <c r="AV4" s="60" t="s">
        <v>125</v>
      </c>
      <c r="AW4" s="59"/>
      <c r="AX4" s="60" t="s">
        <v>125</v>
      </c>
      <c r="AY4" s="60" t="s">
        <v>125</v>
      </c>
      <c r="AZ4" s="60" t="s">
        <v>125</v>
      </c>
      <c r="BA4" s="60" t="s">
        <v>125</v>
      </c>
      <c r="BB4" s="60" t="s">
        <v>125</v>
      </c>
      <c r="BC4" s="60" t="s">
        <v>125</v>
      </c>
      <c r="BD4" s="59"/>
      <c r="BE4" s="60" t="s">
        <v>125</v>
      </c>
      <c r="BF4" s="60" t="s">
        <v>125</v>
      </c>
      <c r="BG4" s="60" t="s">
        <v>125</v>
      </c>
      <c r="BH4" s="60" t="s">
        <v>125</v>
      </c>
      <c r="BI4" s="60" t="s">
        <v>125</v>
      </c>
      <c r="BJ4" s="60" t="s">
        <v>125</v>
      </c>
      <c r="BK4" s="59"/>
      <c r="BL4" s="60" t="s">
        <v>125</v>
      </c>
      <c r="BM4" s="60" t="s">
        <v>125</v>
      </c>
      <c r="BN4" s="60" t="s">
        <v>125</v>
      </c>
      <c r="BO4" s="60" t="s">
        <v>125</v>
      </c>
      <c r="BP4" s="63"/>
      <c r="BQ4" s="63"/>
      <c r="BR4" s="63"/>
      <c r="BS4" s="63"/>
      <c r="BT4" s="63"/>
      <c r="BU4" s="63"/>
      <c r="BV4" s="63"/>
    </row>
    <row r="5">
      <c r="A5" s="21">
        <v>2.0</v>
      </c>
      <c r="B5" s="65" t="s">
        <v>41</v>
      </c>
      <c r="C5" s="66" t="s">
        <v>44</v>
      </c>
      <c r="D5" s="21">
        <f t="shared" si="2"/>
        <v>51</v>
      </c>
      <c r="E5" s="21">
        <f t="shared" si="3"/>
        <v>1</v>
      </c>
      <c r="F5" s="21">
        <f t="shared" si="4"/>
        <v>52</v>
      </c>
      <c r="G5" s="53">
        <f t="shared" si="5"/>
        <v>98.07692308</v>
      </c>
      <c r="H5" s="54" t="s">
        <v>125</v>
      </c>
      <c r="I5" s="67" t="s">
        <v>155</v>
      </c>
      <c r="J5" s="67" t="s">
        <v>155</v>
      </c>
      <c r="K5" s="67" t="s">
        <v>155</v>
      </c>
      <c r="L5" s="67" t="s">
        <v>155</v>
      </c>
      <c r="M5" s="67" t="s">
        <v>155</v>
      </c>
      <c r="N5" s="68"/>
      <c r="O5" s="67" t="s">
        <v>155</v>
      </c>
      <c r="P5" s="67" t="s">
        <v>155</v>
      </c>
      <c r="Q5" s="67" t="s">
        <v>155</v>
      </c>
      <c r="R5" s="67" t="s">
        <v>155</v>
      </c>
      <c r="S5" s="67" t="s">
        <v>155</v>
      </c>
      <c r="T5" s="67" t="s">
        <v>155</v>
      </c>
      <c r="U5" s="69"/>
      <c r="V5" s="67" t="s">
        <v>155</v>
      </c>
      <c r="W5" s="67" t="s">
        <v>155</v>
      </c>
      <c r="X5" s="70" t="s">
        <v>155</v>
      </c>
      <c r="Y5" s="70" t="s">
        <v>155</v>
      </c>
      <c r="Z5" s="71" t="s">
        <v>155</v>
      </c>
      <c r="AA5" s="72" t="s">
        <v>127</v>
      </c>
      <c r="AB5" s="69"/>
      <c r="AC5" s="71" t="s">
        <v>155</v>
      </c>
      <c r="AD5" s="71" t="s">
        <v>155</v>
      </c>
      <c r="AE5" s="71" t="s">
        <v>155</v>
      </c>
      <c r="AF5" s="71" t="s">
        <v>155</v>
      </c>
      <c r="AG5" s="72" t="s">
        <v>127</v>
      </c>
      <c r="AH5" s="72" t="s">
        <v>127</v>
      </c>
      <c r="AI5" s="69"/>
      <c r="AJ5" s="72" t="s">
        <v>127</v>
      </c>
      <c r="AK5" s="72" t="s">
        <v>127</v>
      </c>
      <c r="AL5" s="72" t="s">
        <v>127</v>
      </c>
      <c r="AM5" s="72" t="s">
        <v>127</v>
      </c>
      <c r="AN5" s="72" t="s">
        <v>127</v>
      </c>
      <c r="AO5" s="72" t="s">
        <v>127</v>
      </c>
      <c r="AP5" s="69"/>
      <c r="AQ5" s="72" t="s">
        <v>127</v>
      </c>
      <c r="AR5" s="72" t="s">
        <v>127</v>
      </c>
      <c r="AS5" s="72" t="s">
        <v>127</v>
      </c>
      <c r="AT5" s="72" t="s">
        <v>127</v>
      </c>
      <c r="AU5" s="72" t="s">
        <v>127</v>
      </c>
      <c r="AV5" s="72" t="s">
        <v>127</v>
      </c>
      <c r="AW5" s="69"/>
      <c r="AX5" s="72" t="s">
        <v>127</v>
      </c>
      <c r="AY5" s="72" t="s">
        <v>127</v>
      </c>
      <c r="AZ5" s="72" t="s">
        <v>127</v>
      </c>
      <c r="BA5" s="72" t="s">
        <v>127</v>
      </c>
      <c r="BB5" s="72" t="s">
        <v>127</v>
      </c>
      <c r="BC5" s="72" t="s">
        <v>127</v>
      </c>
      <c r="BD5" s="69"/>
      <c r="BE5" s="72" t="s">
        <v>127</v>
      </c>
      <c r="BF5" s="72" t="s">
        <v>127</v>
      </c>
      <c r="BG5" s="72" t="s">
        <v>127</v>
      </c>
      <c r="BH5" s="72" t="s">
        <v>127</v>
      </c>
      <c r="BI5" s="72" t="s">
        <v>127</v>
      </c>
      <c r="BJ5" s="72" t="s">
        <v>127</v>
      </c>
      <c r="BK5" s="69"/>
      <c r="BL5" s="72" t="s">
        <v>127</v>
      </c>
      <c r="BM5" s="72" t="s">
        <v>127</v>
      </c>
      <c r="BN5" s="72" t="s">
        <v>127</v>
      </c>
      <c r="BO5" s="72" t="s">
        <v>127</v>
      </c>
      <c r="BP5" s="63"/>
      <c r="BQ5" s="63"/>
      <c r="BR5" s="63"/>
      <c r="BS5" s="63"/>
      <c r="BT5" s="63"/>
      <c r="BU5" s="63"/>
      <c r="BV5" s="63"/>
    </row>
    <row r="6">
      <c r="A6" s="21">
        <v>3.0</v>
      </c>
      <c r="B6" s="28" t="s">
        <v>52</v>
      </c>
      <c r="C6" s="47" t="s">
        <v>53</v>
      </c>
      <c r="D6" s="21">
        <f t="shared" si="2"/>
        <v>51</v>
      </c>
      <c r="E6" s="21">
        <f t="shared" si="3"/>
        <v>1</v>
      </c>
      <c r="F6" s="21">
        <f t="shared" si="4"/>
        <v>52</v>
      </c>
      <c r="G6" s="53">
        <f t="shared" si="5"/>
        <v>98.07692308</v>
      </c>
      <c r="H6" s="55" t="s">
        <v>127</v>
      </c>
      <c r="I6" s="56" t="s">
        <v>127</v>
      </c>
      <c r="J6" s="56" t="s">
        <v>127</v>
      </c>
      <c r="K6" s="73" t="s">
        <v>125</v>
      </c>
      <c r="L6" s="56" t="s">
        <v>127</v>
      </c>
      <c r="M6" s="56" t="s">
        <v>127</v>
      </c>
      <c r="N6" s="68"/>
      <c r="O6" s="56" t="s">
        <v>127</v>
      </c>
      <c r="P6" s="56" t="s">
        <v>127</v>
      </c>
      <c r="Q6" s="56" t="s">
        <v>127</v>
      </c>
      <c r="R6" s="56" t="s">
        <v>127</v>
      </c>
      <c r="S6" s="56" t="s">
        <v>127</v>
      </c>
      <c r="T6" s="56" t="s">
        <v>127</v>
      </c>
      <c r="U6" s="69"/>
      <c r="V6" s="56" t="s">
        <v>127</v>
      </c>
      <c r="W6" s="56" t="s">
        <v>127</v>
      </c>
      <c r="X6" s="72" t="s">
        <v>127</v>
      </c>
      <c r="Y6" s="72" t="s">
        <v>127</v>
      </c>
      <c r="Z6" s="72" t="s">
        <v>127</v>
      </c>
      <c r="AA6" s="72" t="s">
        <v>127</v>
      </c>
      <c r="AB6" s="69"/>
      <c r="AC6" s="72" t="s">
        <v>127</v>
      </c>
      <c r="AD6" s="72" t="s">
        <v>127</v>
      </c>
      <c r="AE6" s="72" t="s">
        <v>127</v>
      </c>
      <c r="AF6" s="72" t="s">
        <v>127</v>
      </c>
      <c r="AG6" s="72" t="s">
        <v>127</v>
      </c>
      <c r="AH6" s="72" t="s">
        <v>127</v>
      </c>
      <c r="AI6" s="69"/>
      <c r="AJ6" s="72" t="s">
        <v>127</v>
      </c>
      <c r="AK6" s="72" t="s">
        <v>127</v>
      </c>
      <c r="AL6" s="72" t="s">
        <v>127</v>
      </c>
      <c r="AM6" s="72" t="s">
        <v>127</v>
      </c>
      <c r="AN6" s="72" t="s">
        <v>127</v>
      </c>
      <c r="AO6" s="72" t="s">
        <v>127</v>
      </c>
      <c r="AP6" s="69"/>
      <c r="AQ6" s="72" t="s">
        <v>127</v>
      </c>
      <c r="AR6" s="72" t="s">
        <v>127</v>
      </c>
      <c r="AS6" s="72" t="s">
        <v>127</v>
      </c>
      <c r="AT6" s="72" t="s">
        <v>127</v>
      </c>
      <c r="AU6" s="72" t="s">
        <v>127</v>
      </c>
      <c r="AV6" s="72" t="s">
        <v>127</v>
      </c>
      <c r="AW6" s="69"/>
      <c r="AX6" s="72" t="s">
        <v>127</v>
      </c>
      <c r="AY6" s="72" t="s">
        <v>127</v>
      </c>
      <c r="AZ6" s="72" t="s">
        <v>127</v>
      </c>
      <c r="BA6" s="72" t="s">
        <v>127</v>
      </c>
      <c r="BB6" s="72" t="s">
        <v>127</v>
      </c>
      <c r="BC6" s="72" t="s">
        <v>127</v>
      </c>
      <c r="BD6" s="69"/>
      <c r="BE6" s="72" t="s">
        <v>127</v>
      </c>
      <c r="BF6" s="72" t="s">
        <v>127</v>
      </c>
      <c r="BG6" s="72" t="s">
        <v>127</v>
      </c>
      <c r="BH6" s="72" t="s">
        <v>127</v>
      </c>
      <c r="BI6" s="72" t="s">
        <v>127</v>
      </c>
      <c r="BJ6" s="72" t="s">
        <v>127</v>
      </c>
      <c r="BK6" s="69"/>
      <c r="BL6" s="72" t="s">
        <v>127</v>
      </c>
      <c r="BM6" s="72" t="s">
        <v>127</v>
      </c>
      <c r="BN6" s="72" t="s">
        <v>127</v>
      </c>
      <c r="BO6" s="72" t="s">
        <v>127</v>
      </c>
      <c r="BP6" s="63"/>
      <c r="BQ6" s="63"/>
      <c r="BR6" s="63"/>
      <c r="BS6" s="63"/>
      <c r="BT6" s="63"/>
      <c r="BU6" s="63"/>
      <c r="BV6" s="63"/>
    </row>
    <row r="7">
      <c r="A7" s="21">
        <v>4.0</v>
      </c>
      <c r="B7" s="28" t="s">
        <v>57</v>
      </c>
      <c r="C7" s="47" t="s">
        <v>58</v>
      </c>
      <c r="D7" s="21">
        <f t="shared" si="2"/>
        <v>51</v>
      </c>
      <c r="E7" s="21">
        <f t="shared" si="3"/>
        <v>1</v>
      </c>
      <c r="F7" s="21">
        <f t="shared" si="4"/>
        <v>52</v>
      </c>
      <c r="G7" s="53">
        <f t="shared" si="5"/>
        <v>98.07692308</v>
      </c>
      <c r="H7" s="55" t="s">
        <v>127</v>
      </c>
      <c r="I7" s="56" t="s">
        <v>127</v>
      </c>
      <c r="J7" s="56" t="s">
        <v>127</v>
      </c>
      <c r="K7" s="56" t="s">
        <v>127</v>
      </c>
      <c r="L7" s="56" t="s">
        <v>127</v>
      </c>
      <c r="M7" s="56" t="s">
        <v>127</v>
      </c>
      <c r="N7" s="68"/>
      <c r="O7" s="56" t="s">
        <v>127</v>
      </c>
      <c r="P7" s="56" t="s">
        <v>127</v>
      </c>
      <c r="Q7" s="56" t="s">
        <v>127</v>
      </c>
      <c r="R7" s="56" t="s">
        <v>127</v>
      </c>
      <c r="S7" s="56" t="s">
        <v>127</v>
      </c>
      <c r="T7" s="56" t="s">
        <v>127</v>
      </c>
      <c r="U7" s="69"/>
      <c r="V7" s="56" t="s">
        <v>127</v>
      </c>
      <c r="W7" s="56" t="s">
        <v>127</v>
      </c>
      <c r="X7" s="72" t="s">
        <v>127</v>
      </c>
      <c r="Y7" s="72" t="s">
        <v>127</v>
      </c>
      <c r="Z7" s="72" t="s">
        <v>127</v>
      </c>
      <c r="AA7" s="72" t="s">
        <v>127</v>
      </c>
      <c r="AB7" s="69"/>
      <c r="AC7" s="72" t="s">
        <v>127</v>
      </c>
      <c r="AD7" s="72" t="s">
        <v>127</v>
      </c>
      <c r="AE7" s="72" t="s">
        <v>127</v>
      </c>
      <c r="AF7" s="72" t="s">
        <v>127</v>
      </c>
      <c r="AG7" s="72" t="s">
        <v>127</v>
      </c>
      <c r="AH7" s="72" t="s">
        <v>127</v>
      </c>
      <c r="AI7" s="69"/>
      <c r="AJ7" s="72" t="s">
        <v>127</v>
      </c>
      <c r="AK7" s="72" t="s">
        <v>127</v>
      </c>
      <c r="AL7" s="72" t="s">
        <v>127</v>
      </c>
      <c r="AM7" s="60" t="s">
        <v>125</v>
      </c>
      <c r="AN7" s="72" t="s">
        <v>127</v>
      </c>
      <c r="AO7" s="72" t="s">
        <v>127</v>
      </c>
      <c r="AP7" s="69"/>
      <c r="AQ7" s="72" t="s">
        <v>127</v>
      </c>
      <c r="AR7" s="72" t="s">
        <v>127</v>
      </c>
      <c r="AS7" s="72" t="s">
        <v>127</v>
      </c>
      <c r="AT7" s="72" t="s">
        <v>127</v>
      </c>
      <c r="AU7" s="72" t="s">
        <v>127</v>
      </c>
      <c r="AV7" s="72" t="s">
        <v>127</v>
      </c>
      <c r="AW7" s="69"/>
      <c r="AX7" s="72" t="s">
        <v>127</v>
      </c>
      <c r="AY7" s="72" t="s">
        <v>127</v>
      </c>
      <c r="AZ7" s="72" t="s">
        <v>127</v>
      </c>
      <c r="BA7" s="72" t="s">
        <v>127</v>
      </c>
      <c r="BB7" s="72" t="s">
        <v>127</v>
      </c>
      <c r="BC7" s="72" t="s">
        <v>127</v>
      </c>
      <c r="BD7" s="69"/>
      <c r="BE7" s="72" t="s">
        <v>127</v>
      </c>
      <c r="BF7" s="72" t="s">
        <v>127</v>
      </c>
      <c r="BG7" s="72" t="s">
        <v>127</v>
      </c>
      <c r="BH7" s="72" t="s">
        <v>127</v>
      </c>
      <c r="BI7" s="72" t="s">
        <v>127</v>
      </c>
      <c r="BJ7" s="72" t="s">
        <v>127</v>
      </c>
      <c r="BK7" s="69"/>
      <c r="BL7" s="72" t="s">
        <v>127</v>
      </c>
      <c r="BM7" s="72" t="s">
        <v>127</v>
      </c>
      <c r="BN7" s="72" t="s">
        <v>127</v>
      </c>
      <c r="BO7" s="72" t="s">
        <v>127</v>
      </c>
      <c r="BP7" s="63"/>
      <c r="BQ7" s="63"/>
      <c r="BR7" s="63"/>
      <c r="BS7" s="63"/>
      <c r="BT7" s="63"/>
      <c r="BU7" s="63"/>
      <c r="BV7" s="63"/>
    </row>
    <row r="8">
      <c r="A8" s="21">
        <v>5.0</v>
      </c>
      <c r="B8" s="51" t="s">
        <v>63</v>
      </c>
      <c r="C8" s="51" t="s">
        <v>64</v>
      </c>
      <c r="D8" s="21">
        <f t="shared" si="2"/>
        <v>49</v>
      </c>
      <c r="E8" s="21">
        <f t="shared" si="3"/>
        <v>3</v>
      </c>
      <c r="F8" s="21">
        <f t="shared" si="4"/>
        <v>52</v>
      </c>
      <c r="G8" s="53">
        <f t="shared" si="5"/>
        <v>94.23076923</v>
      </c>
      <c r="H8" s="73" t="s">
        <v>125</v>
      </c>
      <c r="I8" s="73" t="s">
        <v>125</v>
      </c>
      <c r="J8" s="73" t="s">
        <v>125</v>
      </c>
      <c r="K8" s="56" t="s">
        <v>127</v>
      </c>
      <c r="L8" s="56" t="s">
        <v>127</v>
      </c>
      <c r="M8" s="56" t="s">
        <v>127</v>
      </c>
      <c r="N8" s="68"/>
      <c r="O8" s="56" t="s">
        <v>127</v>
      </c>
      <c r="P8" s="56" t="s">
        <v>127</v>
      </c>
      <c r="Q8" s="56" t="s">
        <v>127</v>
      </c>
      <c r="R8" s="56" t="s">
        <v>127</v>
      </c>
      <c r="S8" s="56" t="s">
        <v>127</v>
      </c>
      <c r="T8" s="56" t="s">
        <v>127</v>
      </c>
      <c r="U8" s="69"/>
      <c r="V8" s="56" t="s">
        <v>127</v>
      </c>
      <c r="W8" s="56" t="s">
        <v>127</v>
      </c>
      <c r="X8" s="72" t="s">
        <v>127</v>
      </c>
      <c r="Y8" s="72" t="s">
        <v>127</v>
      </c>
      <c r="Z8" s="72" t="s">
        <v>127</v>
      </c>
      <c r="AA8" s="72" t="s">
        <v>127</v>
      </c>
      <c r="AB8" s="69"/>
      <c r="AC8" s="72" t="s">
        <v>127</v>
      </c>
      <c r="AD8" s="72" t="s">
        <v>127</v>
      </c>
      <c r="AE8" s="72" t="s">
        <v>127</v>
      </c>
      <c r="AF8" s="72" t="s">
        <v>127</v>
      </c>
      <c r="AG8" s="72" t="s">
        <v>127</v>
      </c>
      <c r="AH8" s="72" t="s">
        <v>127</v>
      </c>
      <c r="AI8" s="69"/>
      <c r="AJ8" s="72" t="s">
        <v>127</v>
      </c>
      <c r="AK8" s="72" t="s">
        <v>127</v>
      </c>
      <c r="AL8" s="72" t="s">
        <v>127</v>
      </c>
      <c r="AM8" s="72" t="s">
        <v>127</v>
      </c>
      <c r="AN8" s="72" t="s">
        <v>127</v>
      </c>
      <c r="AO8" s="72" t="s">
        <v>127</v>
      </c>
      <c r="AP8" s="69"/>
      <c r="AQ8" s="72" t="s">
        <v>127</v>
      </c>
      <c r="AR8" s="72" t="s">
        <v>127</v>
      </c>
      <c r="AS8" s="72" t="s">
        <v>127</v>
      </c>
      <c r="AT8" s="72" t="s">
        <v>127</v>
      </c>
      <c r="AU8" s="72" t="s">
        <v>127</v>
      </c>
      <c r="AV8" s="72" t="s">
        <v>127</v>
      </c>
      <c r="AW8" s="69"/>
      <c r="AX8" s="72" t="s">
        <v>127</v>
      </c>
      <c r="AY8" s="72" t="s">
        <v>127</v>
      </c>
      <c r="AZ8" s="72" t="s">
        <v>127</v>
      </c>
      <c r="BA8" s="72" t="s">
        <v>127</v>
      </c>
      <c r="BB8" s="72" t="s">
        <v>127</v>
      </c>
      <c r="BC8" s="72" t="s">
        <v>127</v>
      </c>
      <c r="BD8" s="69"/>
      <c r="BE8" s="72" t="s">
        <v>127</v>
      </c>
      <c r="BF8" s="72" t="s">
        <v>127</v>
      </c>
      <c r="BG8" s="72" t="s">
        <v>127</v>
      </c>
      <c r="BH8" s="72" t="s">
        <v>127</v>
      </c>
      <c r="BI8" s="72" t="s">
        <v>127</v>
      </c>
      <c r="BJ8" s="72" t="s">
        <v>127</v>
      </c>
      <c r="BK8" s="69"/>
      <c r="BL8" s="72" t="s">
        <v>127</v>
      </c>
      <c r="BM8" s="72" t="s">
        <v>127</v>
      </c>
      <c r="BN8" s="72" t="s">
        <v>127</v>
      </c>
      <c r="BO8" s="72" t="s">
        <v>127</v>
      </c>
      <c r="BP8" s="63"/>
      <c r="BQ8" s="63"/>
      <c r="BR8" s="63"/>
      <c r="BS8" s="63"/>
      <c r="BT8" s="63"/>
      <c r="BU8" s="63"/>
      <c r="BV8" s="63"/>
    </row>
    <row r="9">
      <c r="A9" s="21">
        <v>6.0</v>
      </c>
      <c r="B9" s="51" t="s">
        <v>67</v>
      </c>
      <c r="C9" s="51" t="s">
        <v>68</v>
      </c>
      <c r="D9" s="21">
        <f t="shared" si="2"/>
        <v>16</v>
      </c>
      <c r="E9" s="21">
        <f t="shared" si="3"/>
        <v>36</v>
      </c>
      <c r="F9" s="21">
        <f t="shared" si="4"/>
        <v>52</v>
      </c>
      <c r="G9" s="53">
        <f t="shared" si="5"/>
        <v>30.76923077</v>
      </c>
      <c r="H9" s="56" t="s">
        <v>127</v>
      </c>
      <c r="I9" s="56" t="s">
        <v>127</v>
      </c>
      <c r="J9" s="56" t="s">
        <v>127</v>
      </c>
      <c r="K9" s="56" t="s">
        <v>127</v>
      </c>
      <c r="L9" s="56" t="s">
        <v>127</v>
      </c>
      <c r="M9" s="56" t="s">
        <v>127</v>
      </c>
      <c r="N9" s="68"/>
      <c r="O9" s="56" t="s">
        <v>127</v>
      </c>
      <c r="P9" s="56" t="s">
        <v>127</v>
      </c>
      <c r="Q9" s="56" t="s">
        <v>127</v>
      </c>
      <c r="R9" s="56" t="s">
        <v>127</v>
      </c>
      <c r="S9" s="56" t="s">
        <v>127</v>
      </c>
      <c r="T9" s="56" t="s">
        <v>127</v>
      </c>
      <c r="U9" s="69"/>
      <c r="V9" s="56" t="s">
        <v>127</v>
      </c>
      <c r="W9" s="56" t="s">
        <v>127</v>
      </c>
      <c r="X9" s="60" t="s">
        <v>125</v>
      </c>
      <c r="Y9" s="60" t="s">
        <v>125</v>
      </c>
      <c r="Z9" s="60" t="s">
        <v>125</v>
      </c>
      <c r="AA9" s="60" t="s">
        <v>125</v>
      </c>
      <c r="AB9" s="69"/>
      <c r="AC9" s="60" t="s">
        <v>125</v>
      </c>
      <c r="AD9" s="60" t="s">
        <v>125</v>
      </c>
      <c r="AE9" s="60" t="s">
        <v>125</v>
      </c>
      <c r="AF9" s="60" t="s">
        <v>125</v>
      </c>
      <c r="AG9" s="60" t="s">
        <v>125</v>
      </c>
      <c r="AH9" s="60" t="s">
        <v>125</v>
      </c>
      <c r="AI9" s="69"/>
      <c r="AJ9" s="60" t="s">
        <v>125</v>
      </c>
      <c r="AK9" s="60" t="s">
        <v>125</v>
      </c>
      <c r="AL9" s="60" t="s">
        <v>125</v>
      </c>
      <c r="AM9" s="60" t="s">
        <v>125</v>
      </c>
      <c r="AN9" s="60" t="s">
        <v>125</v>
      </c>
      <c r="AO9" s="60" t="s">
        <v>125</v>
      </c>
      <c r="AP9" s="69"/>
      <c r="AQ9" s="72" t="s">
        <v>127</v>
      </c>
      <c r="AR9" s="72" t="s">
        <v>127</v>
      </c>
      <c r="AS9" s="60" t="s">
        <v>125</v>
      </c>
      <c r="AT9" s="60" t="s">
        <v>125</v>
      </c>
      <c r="AU9" s="60" t="s">
        <v>125</v>
      </c>
      <c r="AV9" s="60" t="s">
        <v>125</v>
      </c>
      <c r="AW9" s="69"/>
      <c r="AX9" s="60" t="s">
        <v>125</v>
      </c>
      <c r="AY9" s="60" t="s">
        <v>125</v>
      </c>
      <c r="AZ9" s="60" t="s">
        <v>125</v>
      </c>
      <c r="BA9" s="60" t="s">
        <v>125</v>
      </c>
      <c r="BB9" s="60" t="s">
        <v>125</v>
      </c>
      <c r="BC9" s="60" t="s">
        <v>125</v>
      </c>
      <c r="BD9" s="69"/>
      <c r="BE9" s="60" t="s">
        <v>125</v>
      </c>
      <c r="BF9" s="60" t="s">
        <v>125</v>
      </c>
      <c r="BG9" s="60" t="s">
        <v>125</v>
      </c>
      <c r="BH9" s="60" t="s">
        <v>125</v>
      </c>
      <c r="BI9" s="60" t="s">
        <v>125</v>
      </c>
      <c r="BJ9" s="60" t="s">
        <v>125</v>
      </c>
      <c r="BK9" s="69"/>
      <c r="BL9" s="60" t="s">
        <v>125</v>
      </c>
      <c r="BM9" s="60" t="s">
        <v>125</v>
      </c>
      <c r="BN9" s="60" t="s">
        <v>125</v>
      </c>
      <c r="BO9" s="60" t="s">
        <v>125</v>
      </c>
      <c r="BP9" s="63"/>
      <c r="BQ9" s="63"/>
      <c r="BR9" s="63"/>
      <c r="BS9" s="63"/>
      <c r="BT9" s="63"/>
      <c r="BU9" s="63"/>
      <c r="BV9" s="63"/>
    </row>
    <row r="10">
      <c r="A10" s="21">
        <v>7.0</v>
      </c>
      <c r="B10" s="28" t="s">
        <v>74</v>
      </c>
      <c r="C10" s="28" t="s">
        <v>76</v>
      </c>
      <c r="D10" s="21">
        <f t="shared" si="2"/>
        <v>48</v>
      </c>
      <c r="E10" s="21">
        <f t="shared" si="3"/>
        <v>4</v>
      </c>
      <c r="F10" s="21">
        <f t="shared" si="4"/>
        <v>52</v>
      </c>
      <c r="G10" s="53">
        <f t="shared" si="5"/>
        <v>92.30769231</v>
      </c>
      <c r="H10" s="56" t="s">
        <v>127</v>
      </c>
      <c r="I10" s="56" t="s">
        <v>127</v>
      </c>
      <c r="J10" s="56" t="s">
        <v>127</v>
      </c>
      <c r="K10" s="56" t="s">
        <v>127</v>
      </c>
      <c r="L10" s="56" t="s">
        <v>127</v>
      </c>
      <c r="M10" s="56" t="s">
        <v>127</v>
      </c>
      <c r="N10" s="68"/>
      <c r="O10" s="56" t="s">
        <v>127</v>
      </c>
      <c r="P10" s="56" t="s">
        <v>127</v>
      </c>
      <c r="Q10" s="56" t="s">
        <v>127</v>
      </c>
      <c r="R10" s="56" t="s">
        <v>127</v>
      </c>
      <c r="S10" s="56" t="s">
        <v>127</v>
      </c>
      <c r="T10" s="56" t="s">
        <v>127</v>
      </c>
      <c r="U10" s="69"/>
      <c r="V10" s="56" t="s">
        <v>127</v>
      </c>
      <c r="W10" s="56" t="s">
        <v>127</v>
      </c>
      <c r="X10" s="72" t="s">
        <v>127</v>
      </c>
      <c r="Y10" s="72" t="s">
        <v>127</v>
      </c>
      <c r="Z10" s="72" t="s">
        <v>127</v>
      </c>
      <c r="AA10" s="72" t="s">
        <v>127</v>
      </c>
      <c r="AB10" s="69"/>
      <c r="AC10" s="60" t="s">
        <v>125</v>
      </c>
      <c r="AD10" s="72" t="s">
        <v>127</v>
      </c>
      <c r="AE10" s="72" t="s">
        <v>127</v>
      </c>
      <c r="AF10" s="60" t="s">
        <v>125</v>
      </c>
      <c r="AG10" s="60" t="s">
        <v>125</v>
      </c>
      <c r="AH10" s="72" t="s">
        <v>127</v>
      </c>
      <c r="AI10" s="69"/>
      <c r="AJ10" s="72" t="s">
        <v>127</v>
      </c>
      <c r="AK10" s="72" t="s">
        <v>127</v>
      </c>
      <c r="AL10" s="72" t="s">
        <v>127</v>
      </c>
      <c r="AM10" s="72" t="s">
        <v>127</v>
      </c>
      <c r="AN10" s="72" t="s">
        <v>127</v>
      </c>
      <c r="AO10" s="72" t="s">
        <v>127</v>
      </c>
      <c r="AP10" s="69"/>
      <c r="AQ10" s="60" t="s">
        <v>125</v>
      </c>
      <c r="AR10" s="72" t="s">
        <v>127</v>
      </c>
      <c r="AS10" s="72" t="s">
        <v>127</v>
      </c>
      <c r="AT10" s="72" t="s">
        <v>127</v>
      </c>
      <c r="AU10" s="72" t="s">
        <v>127</v>
      </c>
      <c r="AV10" s="72" t="s">
        <v>127</v>
      </c>
      <c r="AW10" s="69"/>
      <c r="AX10" s="72" t="s">
        <v>127</v>
      </c>
      <c r="AY10" s="72" t="s">
        <v>127</v>
      </c>
      <c r="AZ10" s="72" t="s">
        <v>127</v>
      </c>
      <c r="BA10" s="72" t="s">
        <v>127</v>
      </c>
      <c r="BB10" s="72" t="s">
        <v>127</v>
      </c>
      <c r="BC10" s="72" t="s">
        <v>127</v>
      </c>
      <c r="BD10" s="69"/>
      <c r="BE10" s="72" t="s">
        <v>127</v>
      </c>
      <c r="BF10" s="72" t="s">
        <v>127</v>
      </c>
      <c r="BG10" s="72" t="s">
        <v>127</v>
      </c>
      <c r="BH10" s="72" t="s">
        <v>127</v>
      </c>
      <c r="BI10" s="72" t="s">
        <v>127</v>
      </c>
      <c r="BJ10" s="72" t="s">
        <v>127</v>
      </c>
      <c r="BK10" s="69"/>
      <c r="BL10" s="72" t="s">
        <v>127</v>
      </c>
      <c r="BM10" s="72" t="s">
        <v>127</v>
      </c>
      <c r="BN10" s="72" t="s">
        <v>127</v>
      </c>
      <c r="BO10" s="72" t="s">
        <v>127</v>
      </c>
      <c r="BP10" s="63"/>
      <c r="BQ10" s="63"/>
      <c r="BR10" s="63"/>
      <c r="BS10" s="63"/>
      <c r="BT10" s="63"/>
      <c r="BU10" s="63"/>
      <c r="BV10" s="63"/>
    </row>
    <row r="11">
      <c r="A11" s="21">
        <v>8.0</v>
      </c>
      <c r="B11" s="28" t="s">
        <v>86</v>
      </c>
      <c r="C11" s="28" t="s">
        <v>87</v>
      </c>
      <c r="D11" s="21">
        <f t="shared" si="2"/>
        <v>33</v>
      </c>
      <c r="E11" s="21">
        <f t="shared" si="3"/>
        <v>19</v>
      </c>
      <c r="F11" s="21">
        <f t="shared" si="4"/>
        <v>52</v>
      </c>
      <c r="G11" s="53">
        <f t="shared" si="5"/>
        <v>63.46153846</v>
      </c>
      <c r="H11" s="73" t="s">
        <v>125</v>
      </c>
      <c r="I11" s="73" t="s">
        <v>125</v>
      </c>
      <c r="J11" s="73" t="s">
        <v>125</v>
      </c>
      <c r="K11" s="73" t="s">
        <v>125</v>
      </c>
      <c r="L11" s="54" t="s">
        <v>125</v>
      </c>
      <c r="M11" s="73" t="s">
        <v>125</v>
      </c>
      <c r="N11" s="68"/>
      <c r="O11" s="73" t="s">
        <v>125</v>
      </c>
      <c r="P11" s="73" t="s">
        <v>125</v>
      </c>
      <c r="Q11" s="73" t="s">
        <v>125</v>
      </c>
      <c r="R11" s="73" t="s">
        <v>125</v>
      </c>
      <c r="S11" s="73" t="s">
        <v>125</v>
      </c>
      <c r="T11" s="73" t="s">
        <v>125</v>
      </c>
      <c r="U11" s="69"/>
      <c r="V11" s="73" t="s">
        <v>125</v>
      </c>
      <c r="W11" s="73" t="s">
        <v>125</v>
      </c>
      <c r="X11" s="72" t="s">
        <v>127</v>
      </c>
      <c r="Y11" s="72" t="s">
        <v>127</v>
      </c>
      <c r="Z11" s="72" t="s">
        <v>127</v>
      </c>
      <c r="AA11" s="72" t="s">
        <v>127</v>
      </c>
      <c r="AB11" s="69"/>
      <c r="AC11" s="60" t="s">
        <v>125</v>
      </c>
      <c r="AD11" s="72" t="s">
        <v>127</v>
      </c>
      <c r="AE11" s="72" t="s">
        <v>127</v>
      </c>
      <c r="AF11" s="72" t="s">
        <v>127</v>
      </c>
      <c r="AG11" s="72" t="s">
        <v>127</v>
      </c>
      <c r="AH11" s="72" t="s">
        <v>127</v>
      </c>
      <c r="AI11" s="69"/>
      <c r="AJ11" s="60" t="s">
        <v>125</v>
      </c>
      <c r="AK11" s="72" t="s">
        <v>127</v>
      </c>
      <c r="AL11" s="60" t="s">
        <v>125</v>
      </c>
      <c r="AM11" s="60" t="s">
        <v>125</v>
      </c>
      <c r="AN11" s="60" t="s">
        <v>125</v>
      </c>
      <c r="AO11" s="72" t="s">
        <v>127</v>
      </c>
      <c r="AP11" s="69"/>
      <c r="AQ11" s="72" t="s">
        <v>127</v>
      </c>
      <c r="AR11" s="72" t="s">
        <v>127</v>
      </c>
      <c r="AS11" s="72" t="s">
        <v>127</v>
      </c>
      <c r="AT11" s="72" t="s">
        <v>127</v>
      </c>
      <c r="AU11" s="72" t="s">
        <v>127</v>
      </c>
      <c r="AV11" s="72" t="s">
        <v>127</v>
      </c>
      <c r="AW11" s="69"/>
      <c r="AX11" s="72" t="s">
        <v>127</v>
      </c>
      <c r="AY11" s="72" t="s">
        <v>127</v>
      </c>
      <c r="AZ11" s="72" t="s">
        <v>127</v>
      </c>
      <c r="BA11" s="72" t="s">
        <v>127</v>
      </c>
      <c r="BB11" s="72" t="s">
        <v>127</v>
      </c>
      <c r="BC11" s="72" t="s">
        <v>127</v>
      </c>
      <c r="BD11" s="69"/>
      <c r="BE11" s="72" t="s">
        <v>127</v>
      </c>
      <c r="BF11" s="72" t="s">
        <v>127</v>
      </c>
      <c r="BG11" s="72" t="s">
        <v>127</v>
      </c>
      <c r="BH11" s="72" t="s">
        <v>127</v>
      </c>
      <c r="BI11" s="72" t="s">
        <v>127</v>
      </c>
      <c r="BJ11" s="72" t="s">
        <v>127</v>
      </c>
      <c r="BK11" s="69"/>
      <c r="BL11" s="72" t="s">
        <v>127</v>
      </c>
      <c r="BM11" s="72" t="s">
        <v>127</v>
      </c>
      <c r="BN11" s="72" t="s">
        <v>127</v>
      </c>
      <c r="BO11" s="72" t="s">
        <v>127</v>
      </c>
      <c r="BP11" s="63"/>
      <c r="BQ11" s="63"/>
      <c r="BR11" s="63"/>
      <c r="BS11" s="63"/>
      <c r="BT11" s="63"/>
      <c r="BU11" s="63"/>
      <c r="BV11" s="63"/>
    </row>
    <row r="12">
      <c r="A12" s="21">
        <v>9.0</v>
      </c>
      <c r="B12" s="51" t="s">
        <v>94</v>
      </c>
      <c r="C12" s="51" t="s">
        <v>95</v>
      </c>
      <c r="D12" s="21">
        <f t="shared" si="2"/>
        <v>14</v>
      </c>
      <c r="E12" s="21">
        <f t="shared" si="3"/>
        <v>38</v>
      </c>
      <c r="F12" s="21">
        <f t="shared" si="4"/>
        <v>52</v>
      </c>
      <c r="G12" s="53">
        <f t="shared" si="5"/>
        <v>26.92307692</v>
      </c>
      <c r="H12" s="56" t="s">
        <v>127</v>
      </c>
      <c r="I12" s="56" t="s">
        <v>127</v>
      </c>
      <c r="J12" s="56" t="s">
        <v>127</v>
      </c>
      <c r="K12" s="56" t="s">
        <v>127</v>
      </c>
      <c r="L12" s="56" t="s">
        <v>127</v>
      </c>
      <c r="M12" s="56" t="s">
        <v>127</v>
      </c>
      <c r="N12" s="68"/>
      <c r="O12" s="56" t="s">
        <v>127</v>
      </c>
      <c r="P12" s="56" t="s">
        <v>127</v>
      </c>
      <c r="Q12" s="56" t="s">
        <v>127</v>
      </c>
      <c r="R12" s="56" t="s">
        <v>127</v>
      </c>
      <c r="S12" s="56" t="s">
        <v>127</v>
      </c>
      <c r="T12" s="56" t="s">
        <v>127</v>
      </c>
      <c r="U12" s="69"/>
      <c r="V12" s="73" t="s">
        <v>125</v>
      </c>
      <c r="W12" s="56" t="s">
        <v>127</v>
      </c>
      <c r="X12" s="60" t="s">
        <v>125</v>
      </c>
      <c r="Y12" s="60" t="s">
        <v>125</v>
      </c>
      <c r="Z12" s="60" t="s">
        <v>125</v>
      </c>
      <c r="AA12" s="72" t="s">
        <v>127</v>
      </c>
      <c r="AB12" s="69"/>
      <c r="AC12" s="60" t="s">
        <v>125</v>
      </c>
      <c r="AD12" s="60" t="s">
        <v>125</v>
      </c>
      <c r="AE12" s="60" t="s">
        <v>125</v>
      </c>
      <c r="AF12" s="60" t="s">
        <v>125</v>
      </c>
      <c r="AG12" s="60" t="s">
        <v>125</v>
      </c>
      <c r="AH12" s="60" t="s">
        <v>125</v>
      </c>
      <c r="AI12" s="69"/>
      <c r="AJ12" s="60" t="s">
        <v>125</v>
      </c>
      <c r="AK12" s="60" t="s">
        <v>125</v>
      </c>
      <c r="AL12" s="60" t="s">
        <v>125</v>
      </c>
      <c r="AM12" s="60" t="s">
        <v>125</v>
      </c>
      <c r="AN12" s="60" t="s">
        <v>125</v>
      </c>
      <c r="AO12" s="60" t="s">
        <v>125</v>
      </c>
      <c r="AP12" s="69"/>
      <c r="AQ12" s="60" t="s">
        <v>125</v>
      </c>
      <c r="AR12" s="60" t="s">
        <v>125</v>
      </c>
      <c r="AS12" s="60" t="s">
        <v>125</v>
      </c>
      <c r="AT12" s="60" t="s">
        <v>125</v>
      </c>
      <c r="AU12" s="60" t="s">
        <v>125</v>
      </c>
      <c r="AV12" s="60" t="s">
        <v>125</v>
      </c>
      <c r="AW12" s="69"/>
      <c r="AX12" s="60" t="s">
        <v>125</v>
      </c>
      <c r="AY12" s="60" t="s">
        <v>125</v>
      </c>
      <c r="AZ12" s="60" t="s">
        <v>125</v>
      </c>
      <c r="BA12" s="60" t="s">
        <v>125</v>
      </c>
      <c r="BB12" s="60" t="s">
        <v>125</v>
      </c>
      <c r="BC12" s="60" t="s">
        <v>125</v>
      </c>
      <c r="BD12" s="69"/>
      <c r="BE12" s="60" t="s">
        <v>125</v>
      </c>
      <c r="BF12" s="60" t="s">
        <v>125</v>
      </c>
      <c r="BG12" s="60" t="s">
        <v>125</v>
      </c>
      <c r="BH12" s="60" t="s">
        <v>125</v>
      </c>
      <c r="BI12" s="60" t="s">
        <v>125</v>
      </c>
      <c r="BJ12" s="60" t="s">
        <v>125</v>
      </c>
      <c r="BK12" s="69"/>
      <c r="BL12" s="60" t="s">
        <v>125</v>
      </c>
      <c r="BM12" s="60" t="s">
        <v>125</v>
      </c>
      <c r="BN12" s="60" t="s">
        <v>125</v>
      </c>
      <c r="BO12" s="60" t="s">
        <v>125</v>
      </c>
      <c r="BP12" s="63"/>
      <c r="BQ12" s="63"/>
      <c r="BR12" s="63"/>
      <c r="BS12" s="63"/>
      <c r="BT12" s="63"/>
      <c r="BU12" s="63"/>
      <c r="BV12" s="63"/>
    </row>
    <row r="13">
      <c r="A13" s="21">
        <v>10.0</v>
      </c>
      <c r="B13" s="28" t="s">
        <v>94</v>
      </c>
      <c r="C13" s="28" t="s">
        <v>98</v>
      </c>
      <c r="D13" s="21">
        <f t="shared" si="2"/>
        <v>44</v>
      </c>
      <c r="E13" s="21">
        <f t="shared" si="3"/>
        <v>8</v>
      </c>
      <c r="F13" s="21">
        <f t="shared" si="4"/>
        <v>52</v>
      </c>
      <c r="G13" s="53">
        <f t="shared" si="5"/>
        <v>84.61538462</v>
      </c>
      <c r="H13" s="73" t="s">
        <v>125</v>
      </c>
      <c r="I13" s="73" t="s">
        <v>125</v>
      </c>
      <c r="J13" s="73" t="s">
        <v>125</v>
      </c>
      <c r="K13" s="56" t="s">
        <v>127</v>
      </c>
      <c r="L13" s="56" t="s">
        <v>127</v>
      </c>
      <c r="M13" s="56" t="s">
        <v>127</v>
      </c>
      <c r="N13" s="68"/>
      <c r="O13" s="56" t="s">
        <v>127</v>
      </c>
      <c r="P13" s="56" t="s">
        <v>127</v>
      </c>
      <c r="Q13" s="56" t="s">
        <v>127</v>
      </c>
      <c r="R13" s="56" t="s">
        <v>127</v>
      </c>
      <c r="S13" s="56" t="s">
        <v>127</v>
      </c>
      <c r="T13" s="56" t="s">
        <v>127</v>
      </c>
      <c r="U13" s="69"/>
      <c r="V13" s="56" t="s">
        <v>127</v>
      </c>
      <c r="W13" s="56" t="s">
        <v>127</v>
      </c>
      <c r="X13" s="56" t="s">
        <v>127</v>
      </c>
      <c r="Y13" s="56" t="s">
        <v>127</v>
      </c>
      <c r="Z13" s="56" t="s">
        <v>127</v>
      </c>
      <c r="AA13" s="60" t="s">
        <v>125</v>
      </c>
      <c r="AB13" s="69"/>
      <c r="AC13" s="60" t="s">
        <v>125</v>
      </c>
      <c r="AD13" s="60" t="s">
        <v>125</v>
      </c>
      <c r="AE13" s="60" t="s">
        <v>125</v>
      </c>
      <c r="AF13" s="72" t="s">
        <v>127</v>
      </c>
      <c r="AG13" s="72" t="s">
        <v>127</v>
      </c>
      <c r="AH13" s="72" t="s">
        <v>127</v>
      </c>
      <c r="AI13" s="69"/>
      <c r="AJ13" s="60" t="s">
        <v>125</v>
      </c>
      <c r="AK13" s="72" t="s">
        <v>127</v>
      </c>
      <c r="AL13" s="72" t="s">
        <v>127</v>
      </c>
      <c r="AM13" s="72" t="s">
        <v>127</v>
      </c>
      <c r="AN13" s="72" t="s">
        <v>127</v>
      </c>
      <c r="AO13" s="72" t="s">
        <v>127</v>
      </c>
      <c r="AP13" s="69"/>
      <c r="AQ13" s="72" t="s">
        <v>127</v>
      </c>
      <c r="AR13" s="72" t="s">
        <v>127</v>
      </c>
      <c r="AS13" s="72" t="s">
        <v>127</v>
      </c>
      <c r="AT13" s="72" t="s">
        <v>127</v>
      </c>
      <c r="AU13" s="72" t="s">
        <v>127</v>
      </c>
      <c r="AV13" s="72" t="s">
        <v>127</v>
      </c>
      <c r="AW13" s="69"/>
      <c r="AX13" s="72" t="s">
        <v>127</v>
      </c>
      <c r="AY13" s="72" t="s">
        <v>127</v>
      </c>
      <c r="AZ13" s="72" t="s">
        <v>127</v>
      </c>
      <c r="BA13" s="72" t="s">
        <v>127</v>
      </c>
      <c r="BB13" s="72" t="s">
        <v>127</v>
      </c>
      <c r="BC13" s="72" t="s">
        <v>127</v>
      </c>
      <c r="BD13" s="69"/>
      <c r="BE13" s="72" t="s">
        <v>127</v>
      </c>
      <c r="BF13" s="72" t="s">
        <v>127</v>
      </c>
      <c r="BG13" s="72" t="s">
        <v>127</v>
      </c>
      <c r="BH13" s="72" t="s">
        <v>127</v>
      </c>
      <c r="BI13" s="72" t="s">
        <v>127</v>
      </c>
      <c r="BJ13" s="72" t="s">
        <v>127</v>
      </c>
      <c r="BK13" s="59"/>
      <c r="BL13" s="72" t="s">
        <v>127</v>
      </c>
      <c r="BM13" s="72" t="s">
        <v>127</v>
      </c>
      <c r="BN13" s="72" t="s">
        <v>127</v>
      </c>
      <c r="BO13" s="72" t="s">
        <v>127</v>
      </c>
      <c r="BP13" s="63"/>
      <c r="BQ13" s="63"/>
      <c r="BR13" s="63"/>
      <c r="BS13" s="63"/>
      <c r="BT13" s="63"/>
      <c r="BU13" s="63"/>
      <c r="BV13" s="63"/>
    </row>
    <row r="14">
      <c r="A14" s="21">
        <v>11.0</v>
      </c>
      <c r="B14" s="28" t="s">
        <v>103</v>
      </c>
      <c r="C14" s="28" t="s">
        <v>104</v>
      </c>
      <c r="D14" s="21">
        <f t="shared" si="2"/>
        <v>48</v>
      </c>
      <c r="E14" s="21">
        <f t="shared" si="3"/>
        <v>4</v>
      </c>
      <c r="F14" s="21">
        <f t="shared" si="4"/>
        <v>52</v>
      </c>
      <c r="G14" s="53">
        <f t="shared" si="5"/>
        <v>92.30769231</v>
      </c>
      <c r="H14" s="56" t="s">
        <v>127</v>
      </c>
      <c r="I14" s="56" t="s">
        <v>127</v>
      </c>
      <c r="J14" s="56" t="s">
        <v>127</v>
      </c>
      <c r="K14" s="56" t="s">
        <v>127</v>
      </c>
      <c r="L14" s="56" t="s">
        <v>127</v>
      </c>
      <c r="M14" s="56" t="s">
        <v>127</v>
      </c>
      <c r="N14" s="68"/>
      <c r="O14" s="56" t="s">
        <v>127</v>
      </c>
      <c r="P14" s="73" t="s">
        <v>125</v>
      </c>
      <c r="Q14" s="56" t="s">
        <v>127</v>
      </c>
      <c r="R14" s="73" t="s">
        <v>125</v>
      </c>
      <c r="S14" s="56" t="s">
        <v>127</v>
      </c>
      <c r="T14" s="73" t="s">
        <v>125</v>
      </c>
      <c r="U14" s="69"/>
      <c r="V14" s="56" t="s">
        <v>127</v>
      </c>
      <c r="W14" s="73" t="s">
        <v>125</v>
      </c>
      <c r="X14" s="72" t="s">
        <v>127</v>
      </c>
      <c r="Y14" s="72" t="s">
        <v>127</v>
      </c>
      <c r="Z14" s="72" t="s">
        <v>127</v>
      </c>
      <c r="AA14" s="72" t="s">
        <v>127</v>
      </c>
      <c r="AB14" s="69"/>
      <c r="AC14" s="72" t="s">
        <v>127</v>
      </c>
      <c r="AD14" s="72" t="s">
        <v>127</v>
      </c>
      <c r="AE14" s="72" t="s">
        <v>127</v>
      </c>
      <c r="AF14" s="72" t="s">
        <v>127</v>
      </c>
      <c r="AG14" s="72" t="s">
        <v>127</v>
      </c>
      <c r="AH14" s="72" t="s">
        <v>127</v>
      </c>
      <c r="AI14" s="69"/>
      <c r="AJ14" s="72" t="s">
        <v>127</v>
      </c>
      <c r="AK14" s="72" t="s">
        <v>127</v>
      </c>
      <c r="AL14" s="72" t="s">
        <v>127</v>
      </c>
      <c r="AM14" s="72" t="s">
        <v>127</v>
      </c>
      <c r="AN14" s="72" t="s">
        <v>127</v>
      </c>
      <c r="AO14" s="72" t="s">
        <v>127</v>
      </c>
      <c r="AP14" s="69"/>
      <c r="AQ14" s="72" t="s">
        <v>127</v>
      </c>
      <c r="AR14" s="72" t="s">
        <v>127</v>
      </c>
      <c r="AS14" s="72" t="s">
        <v>127</v>
      </c>
      <c r="AT14" s="72" t="s">
        <v>127</v>
      </c>
      <c r="AU14" s="72" t="s">
        <v>127</v>
      </c>
      <c r="AV14" s="72" t="s">
        <v>127</v>
      </c>
      <c r="AW14" s="69"/>
      <c r="AX14" s="72" t="s">
        <v>127</v>
      </c>
      <c r="AY14" s="72" t="s">
        <v>127</v>
      </c>
      <c r="AZ14" s="72" t="s">
        <v>127</v>
      </c>
      <c r="BA14" s="72" t="s">
        <v>127</v>
      </c>
      <c r="BB14" s="72" t="s">
        <v>127</v>
      </c>
      <c r="BC14" s="72" t="s">
        <v>127</v>
      </c>
      <c r="BD14" s="69"/>
      <c r="BE14" s="72" t="s">
        <v>127</v>
      </c>
      <c r="BF14" s="72" t="s">
        <v>127</v>
      </c>
      <c r="BG14" s="72" t="s">
        <v>127</v>
      </c>
      <c r="BH14" s="72" t="s">
        <v>127</v>
      </c>
      <c r="BI14" s="72" t="s">
        <v>127</v>
      </c>
      <c r="BJ14" s="72" t="s">
        <v>127</v>
      </c>
      <c r="BK14" s="69"/>
      <c r="BL14" s="72" t="s">
        <v>127</v>
      </c>
      <c r="BM14" s="72" t="s">
        <v>127</v>
      </c>
      <c r="BN14" s="72" t="s">
        <v>127</v>
      </c>
      <c r="BO14" s="72" t="s">
        <v>127</v>
      </c>
      <c r="BP14" s="63"/>
      <c r="BQ14" s="63"/>
      <c r="BR14" s="63"/>
      <c r="BS14" s="63"/>
      <c r="BT14" s="63"/>
      <c r="BU14" s="63"/>
      <c r="BV14" s="63"/>
    </row>
    <row r="15">
      <c r="A15" s="21">
        <v>12.0</v>
      </c>
      <c r="B15" s="28" t="s">
        <v>110</v>
      </c>
      <c r="C15" s="28" t="s">
        <v>111</v>
      </c>
      <c r="D15" s="21">
        <f t="shared" si="2"/>
        <v>48</v>
      </c>
      <c r="E15" s="21">
        <f t="shared" si="3"/>
        <v>4</v>
      </c>
      <c r="F15" s="21">
        <f t="shared" si="4"/>
        <v>52</v>
      </c>
      <c r="G15" s="53">
        <f t="shared" si="5"/>
        <v>92.30769231</v>
      </c>
      <c r="H15" s="56" t="s">
        <v>127</v>
      </c>
      <c r="I15" s="56" t="s">
        <v>127</v>
      </c>
      <c r="J15" s="56" t="s">
        <v>127</v>
      </c>
      <c r="K15" s="56" t="s">
        <v>127</v>
      </c>
      <c r="L15" s="56" t="s">
        <v>127</v>
      </c>
      <c r="M15" s="56" t="s">
        <v>127</v>
      </c>
      <c r="N15" s="68"/>
      <c r="O15" s="56" t="s">
        <v>127</v>
      </c>
      <c r="P15" s="56" t="s">
        <v>127</v>
      </c>
      <c r="Q15" s="56" t="s">
        <v>127</v>
      </c>
      <c r="R15" s="56" t="s">
        <v>127</v>
      </c>
      <c r="S15" s="56" t="s">
        <v>127</v>
      </c>
      <c r="T15" s="56" t="s">
        <v>127</v>
      </c>
      <c r="U15" s="69"/>
      <c r="V15" s="56" t="s">
        <v>127</v>
      </c>
      <c r="W15" s="56" t="s">
        <v>127</v>
      </c>
      <c r="X15" s="72" t="s">
        <v>127</v>
      </c>
      <c r="Y15" s="72" t="s">
        <v>127</v>
      </c>
      <c r="Z15" s="72" t="s">
        <v>127</v>
      </c>
      <c r="AA15" s="60" t="s">
        <v>125</v>
      </c>
      <c r="AB15" s="69"/>
      <c r="AC15" s="60" t="s">
        <v>125</v>
      </c>
      <c r="AD15" s="72" t="s">
        <v>127</v>
      </c>
      <c r="AE15" s="72" t="s">
        <v>127</v>
      </c>
      <c r="AF15" s="72" t="s">
        <v>127</v>
      </c>
      <c r="AG15" s="60" t="s">
        <v>125</v>
      </c>
      <c r="AH15" s="72" t="s">
        <v>127</v>
      </c>
      <c r="AI15" s="69"/>
      <c r="AJ15" s="60" t="s">
        <v>125</v>
      </c>
      <c r="AK15" s="72" t="s">
        <v>127</v>
      </c>
      <c r="AL15" s="72" t="s">
        <v>127</v>
      </c>
      <c r="AM15" s="72" t="s">
        <v>127</v>
      </c>
      <c r="AN15" s="72" t="s">
        <v>127</v>
      </c>
      <c r="AO15" s="72" t="s">
        <v>127</v>
      </c>
      <c r="AP15" s="69"/>
      <c r="AQ15" s="72" t="s">
        <v>127</v>
      </c>
      <c r="AR15" s="72" t="s">
        <v>127</v>
      </c>
      <c r="AS15" s="72" t="s">
        <v>127</v>
      </c>
      <c r="AT15" s="72" t="s">
        <v>127</v>
      </c>
      <c r="AU15" s="72" t="s">
        <v>127</v>
      </c>
      <c r="AV15" s="72" t="s">
        <v>127</v>
      </c>
      <c r="AW15" s="69"/>
      <c r="AX15" s="72" t="s">
        <v>127</v>
      </c>
      <c r="AY15" s="72" t="s">
        <v>127</v>
      </c>
      <c r="AZ15" s="72" t="s">
        <v>127</v>
      </c>
      <c r="BA15" s="72" t="s">
        <v>127</v>
      </c>
      <c r="BB15" s="72" t="s">
        <v>127</v>
      </c>
      <c r="BC15" s="72" t="s">
        <v>127</v>
      </c>
      <c r="BD15" s="69"/>
      <c r="BE15" s="72" t="s">
        <v>127</v>
      </c>
      <c r="BF15" s="72" t="s">
        <v>127</v>
      </c>
      <c r="BG15" s="72" t="s">
        <v>127</v>
      </c>
      <c r="BH15" s="72" t="s">
        <v>127</v>
      </c>
      <c r="BI15" s="72" t="s">
        <v>127</v>
      </c>
      <c r="BJ15" s="72" t="s">
        <v>127</v>
      </c>
      <c r="BK15" s="69"/>
      <c r="BL15" s="72" t="s">
        <v>127</v>
      </c>
      <c r="BM15" s="72" t="s">
        <v>127</v>
      </c>
      <c r="BN15" s="72" t="s">
        <v>127</v>
      </c>
      <c r="BO15" s="72" t="s">
        <v>127</v>
      </c>
      <c r="BP15" s="63"/>
      <c r="BQ15" s="63"/>
      <c r="BR15" s="63"/>
      <c r="BS15" s="63"/>
      <c r="BT15" s="63"/>
      <c r="BU15" s="63"/>
      <c r="BV15" s="63"/>
    </row>
    <row r="16">
      <c r="A16" s="21">
        <v>13.0</v>
      </c>
      <c r="B16" s="28" t="s">
        <v>116</v>
      </c>
      <c r="C16" s="28" t="s">
        <v>117</v>
      </c>
      <c r="D16" s="21">
        <f t="shared" si="2"/>
        <v>37</v>
      </c>
      <c r="E16" s="21">
        <f t="shared" si="3"/>
        <v>15</v>
      </c>
      <c r="F16" s="21">
        <f t="shared" si="4"/>
        <v>52</v>
      </c>
      <c r="G16" s="53">
        <f t="shared" si="5"/>
        <v>71.15384615</v>
      </c>
      <c r="H16" s="73" t="s">
        <v>125</v>
      </c>
      <c r="I16" s="73" t="s">
        <v>125</v>
      </c>
      <c r="J16" s="73" t="s">
        <v>125</v>
      </c>
      <c r="K16" s="73" t="s">
        <v>125</v>
      </c>
      <c r="L16" s="56" t="s">
        <v>127</v>
      </c>
      <c r="M16" s="73" t="s">
        <v>125</v>
      </c>
      <c r="N16" s="68"/>
      <c r="O16" s="73" t="s">
        <v>125</v>
      </c>
      <c r="P16" s="73" t="s">
        <v>125</v>
      </c>
      <c r="Q16" s="73" t="s">
        <v>125</v>
      </c>
      <c r="R16" s="73" t="s">
        <v>125</v>
      </c>
      <c r="S16" s="73" t="s">
        <v>125</v>
      </c>
      <c r="T16" s="73" t="s">
        <v>125</v>
      </c>
      <c r="U16" s="69"/>
      <c r="V16" s="73" t="s">
        <v>125</v>
      </c>
      <c r="W16" s="73" t="s">
        <v>125</v>
      </c>
      <c r="X16" s="60" t="s">
        <v>125</v>
      </c>
      <c r="Y16" s="60" t="s">
        <v>125</v>
      </c>
      <c r="Z16" s="72" t="s">
        <v>127</v>
      </c>
      <c r="AA16" s="72" t="s">
        <v>127</v>
      </c>
      <c r="AB16" s="69"/>
      <c r="AC16" s="72" t="s">
        <v>127</v>
      </c>
      <c r="AD16" s="72" t="s">
        <v>127</v>
      </c>
      <c r="AE16" s="72" t="s">
        <v>127</v>
      </c>
      <c r="AF16" s="72" t="s">
        <v>127</v>
      </c>
      <c r="AG16" s="72" t="s">
        <v>127</v>
      </c>
      <c r="AH16" s="72" t="s">
        <v>127</v>
      </c>
      <c r="AI16" s="69"/>
      <c r="AJ16" s="72" t="s">
        <v>127</v>
      </c>
      <c r="AK16" s="72" t="s">
        <v>127</v>
      </c>
      <c r="AL16" s="72" t="s">
        <v>127</v>
      </c>
      <c r="AM16" s="72" t="s">
        <v>127</v>
      </c>
      <c r="AN16" s="72" t="s">
        <v>127</v>
      </c>
      <c r="AO16" s="72" t="s">
        <v>127</v>
      </c>
      <c r="AP16" s="69"/>
      <c r="AQ16" s="72" t="s">
        <v>127</v>
      </c>
      <c r="AR16" s="72" t="s">
        <v>127</v>
      </c>
      <c r="AS16" s="72" t="s">
        <v>127</v>
      </c>
      <c r="AT16" s="72" t="s">
        <v>127</v>
      </c>
      <c r="AU16" s="72" t="s">
        <v>127</v>
      </c>
      <c r="AV16" s="72" t="s">
        <v>127</v>
      </c>
      <c r="AW16" s="69"/>
      <c r="AX16" s="72" t="s">
        <v>127</v>
      </c>
      <c r="AY16" s="72" t="s">
        <v>127</v>
      </c>
      <c r="AZ16" s="72" t="s">
        <v>127</v>
      </c>
      <c r="BA16" s="72" t="s">
        <v>127</v>
      </c>
      <c r="BB16" s="72" t="s">
        <v>127</v>
      </c>
      <c r="BC16" s="72" t="s">
        <v>127</v>
      </c>
      <c r="BD16" s="69"/>
      <c r="BE16" s="72" t="s">
        <v>127</v>
      </c>
      <c r="BF16" s="72" t="s">
        <v>127</v>
      </c>
      <c r="BG16" s="72" t="s">
        <v>127</v>
      </c>
      <c r="BH16" s="72" t="s">
        <v>127</v>
      </c>
      <c r="BI16" s="72" t="s">
        <v>127</v>
      </c>
      <c r="BJ16" s="72" t="s">
        <v>127</v>
      </c>
      <c r="BK16" s="69"/>
      <c r="BL16" s="72" t="s">
        <v>127</v>
      </c>
      <c r="BM16" s="72" t="s">
        <v>127</v>
      </c>
      <c r="BN16" s="72" t="s">
        <v>127</v>
      </c>
      <c r="BO16" s="72" t="s">
        <v>127</v>
      </c>
      <c r="BP16" s="63"/>
      <c r="BQ16" s="63"/>
      <c r="BR16" s="63"/>
      <c r="BS16" s="63"/>
      <c r="BT16" s="63"/>
      <c r="BU16" s="63"/>
      <c r="BV16" s="63"/>
    </row>
    <row r="17">
      <c r="A17" s="21">
        <v>14.0</v>
      </c>
      <c r="B17" s="28" t="s">
        <v>120</v>
      </c>
      <c r="C17" s="28" t="s">
        <v>121</v>
      </c>
      <c r="D17" s="21">
        <f t="shared" si="2"/>
        <v>34</v>
      </c>
      <c r="E17" s="21">
        <f t="shared" si="3"/>
        <v>18</v>
      </c>
      <c r="F17" s="21">
        <f t="shared" si="4"/>
        <v>52</v>
      </c>
      <c r="G17" s="53">
        <f t="shared" si="5"/>
        <v>65.38461538</v>
      </c>
      <c r="H17" s="73" t="s">
        <v>125</v>
      </c>
      <c r="I17" s="73" t="s">
        <v>125</v>
      </c>
      <c r="J17" s="73" t="s">
        <v>125</v>
      </c>
      <c r="K17" s="73" t="s">
        <v>125</v>
      </c>
      <c r="L17" s="56" t="s">
        <v>127</v>
      </c>
      <c r="M17" s="56" t="s">
        <v>127</v>
      </c>
      <c r="N17" s="68"/>
      <c r="O17" s="73" t="s">
        <v>125</v>
      </c>
      <c r="P17" s="73" t="s">
        <v>125</v>
      </c>
      <c r="Q17" s="73" t="s">
        <v>125</v>
      </c>
      <c r="R17" s="73" t="s">
        <v>125</v>
      </c>
      <c r="S17" s="73" t="s">
        <v>125</v>
      </c>
      <c r="T17" s="73" t="s">
        <v>125</v>
      </c>
      <c r="U17" s="69"/>
      <c r="V17" s="73" t="s">
        <v>125</v>
      </c>
      <c r="W17" s="73" t="s">
        <v>125</v>
      </c>
      <c r="X17" s="60" t="s">
        <v>125</v>
      </c>
      <c r="Y17" s="60" t="s">
        <v>125</v>
      </c>
      <c r="Z17" s="60" t="s">
        <v>125</v>
      </c>
      <c r="AA17" s="72" t="s">
        <v>127</v>
      </c>
      <c r="AB17" s="69"/>
      <c r="AC17" s="60" t="s">
        <v>125</v>
      </c>
      <c r="AD17" s="72" t="s">
        <v>127</v>
      </c>
      <c r="AE17" s="72" t="s">
        <v>127</v>
      </c>
      <c r="AF17" s="72" t="s">
        <v>127</v>
      </c>
      <c r="AG17" s="72" t="s">
        <v>127</v>
      </c>
      <c r="AH17" s="72" t="s">
        <v>127</v>
      </c>
      <c r="AI17" s="69"/>
      <c r="AJ17" s="72" t="s">
        <v>127</v>
      </c>
      <c r="AK17" s="60" t="s">
        <v>125</v>
      </c>
      <c r="AL17" s="72" t="s">
        <v>127</v>
      </c>
      <c r="AM17" s="72" t="s">
        <v>127</v>
      </c>
      <c r="AN17" s="60" t="s">
        <v>125</v>
      </c>
      <c r="AO17" s="72" t="s">
        <v>127</v>
      </c>
      <c r="AP17" s="69"/>
      <c r="AQ17" s="72" t="s">
        <v>127</v>
      </c>
      <c r="AR17" s="72" t="s">
        <v>127</v>
      </c>
      <c r="AS17" s="72" t="s">
        <v>127</v>
      </c>
      <c r="AT17" s="72" t="s">
        <v>127</v>
      </c>
      <c r="AU17" s="72" t="s">
        <v>127</v>
      </c>
      <c r="AV17" s="72" t="s">
        <v>127</v>
      </c>
      <c r="AW17" s="69"/>
      <c r="AX17" s="72" t="s">
        <v>127</v>
      </c>
      <c r="AY17" s="72" t="s">
        <v>127</v>
      </c>
      <c r="AZ17" s="72" t="s">
        <v>127</v>
      </c>
      <c r="BA17" s="72" t="s">
        <v>127</v>
      </c>
      <c r="BB17" s="72" t="s">
        <v>127</v>
      </c>
      <c r="BC17" s="72" t="s">
        <v>127</v>
      </c>
      <c r="BD17" s="69"/>
      <c r="BE17" s="72" t="s">
        <v>127</v>
      </c>
      <c r="BF17" s="72" t="s">
        <v>127</v>
      </c>
      <c r="BG17" s="72" t="s">
        <v>127</v>
      </c>
      <c r="BH17" s="72" t="s">
        <v>127</v>
      </c>
      <c r="BI17" s="72" t="s">
        <v>127</v>
      </c>
      <c r="BJ17" s="72" t="s">
        <v>127</v>
      </c>
      <c r="BK17" s="69"/>
      <c r="BL17" s="72" t="s">
        <v>127</v>
      </c>
      <c r="BM17" s="72" t="s">
        <v>127</v>
      </c>
      <c r="BN17" s="72" t="s">
        <v>127</v>
      </c>
      <c r="BO17" s="72" t="s">
        <v>127</v>
      </c>
      <c r="BP17" s="63"/>
      <c r="BQ17" s="63"/>
      <c r="BR17" s="63"/>
      <c r="BS17" s="63"/>
      <c r="BT17" s="63"/>
      <c r="BU17" s="63"/>
      <c r="BV17" s="63"/>
    </row>
    <row r="18">
      <c r="A18" s="21">
        <v>15.0</v>
      </c>
      <c r="B18" s="51" t="s">
        <v>128</v>
      </c>
      <c r="C18" s="51" t="s">
        <v>129</v>
      </c>
      <c r="D18" s="21">
        <f t="shared" si="2"/>
        <v>47</v>
      </c>
      <c r="E18" s="21">
        <f t="shared" si="3"/>
        <v>5</v>
      </c>
      <c r="F18" s="21">
        <f t="shared" si="4"/>
        <v>52</v>
      </c>
      <c r="G18" s="53">
        <f t="shared" si="5"/>
        <v>90.38461538</v>
      </c>
      <c r="H18" s="56" t="s">
        <v>127</v>
      </c>
      <c r="I18" s="56" t="s">
        <v>127</v>
      </c>
      <c r="J18" s="56" t="s">
        <v>127</v>
      </c>
      <c r="K18" s="56" t="s">
        <v>127</v>
      </c>
      <c r="L18" s="56" t="s">
        <v>127</v>
      </c>
      <c r="M18" s="56" t="s">
        <v>127</v>
      </c>
      <c r="N18" s="68"/>
      <c r="O18" s="56" t="s">
        <v>127</v>
      </c>
      <c r="P18" s="56" t="s">
        <v>127</v>
      </c>
      <c r="Q18" s="56" t="s">
        <v>127</v>
      </c>
      <c r="R18" s="56" t="s">
        <v>127</v>
      </c>
      <c r="S18" s="56" t="s">
        <v>127</v>
      </c>
      <c r="T18" s="56" t="s">
        <v>127</v>
      </c>
      <c r="U18" s="69"/>
      <c r="V18" s="56" t="s">
        <v>127</v>
      </c>
      <c r="W18" s="56" t="s">
        <v>127</v>
      </c>
      <c r="X18" s="60" t="s">
        <v>125</v>
      </c>
      <c r="Y18" s="60" t="s">
        <v>125</v>
      </c>
      <c r="Z18" s="60" t="s">
        <v>125</v>
      </c>
      <c r="AA18" s="72" t="s">
        <v>127</v>
      </c>
      <c r="AB18" s="69"/>
      <c r="AC18" s="72" t="s">
        <v>127</v>
      </c>
      <c r="AD18" s="60" t="s">
        <v>125</v>
      </c>
      <c r="AE18" s="72" t="s">
        <v>127</v>
      </c>
      <c r="AF18" s="72" t="s">
        <v>127</v>
      </c>
      <c r="AG18" s="72" t="s">
        <v>127</v>
      </c>
      <c r="AH18" s="72" t="s">
        <v>127</v>
      </c>
      <c r="AI18" s="69"/>
      <c r="AJ18" s="60" t="s">
        <v>125</v>
      </c>
      <c r="AK18" s="72" t="s">
        <v>127</v>
      </c>
      <c r="AL18" s="72" t="s">
        <v>127</v>
      </c>
      <c r="AM18" s="72" t="s">
        <v>127</v>
      </c>
      <c r="AN18" s="72" t="s">
        <v>127</v>
      </c>
      <c r="AO18" s="72" t="s">
        <v>127</v>
      </c>
      <c r="AP18" s="69"/>
      <c r="AQ18" s="72" t="s">
        <v>127</v>
      </c>
      <c r="AR18" s="72" t="s">
        <v>127</v>
      </c>
      <c r="AS18" s="72" t="s">
        <v>127</v>
      </c>
      <c r="AT18" s="72" t="s">
        <v>127</v>
      </c>
      <c r="AU18" s="72" t="s">
        <v>127</v>
      </c>
      <c r="AV18" s="72" t="s">
        <v>127</v>
      </c>
      <c r="AW18" s="69"/>
      <c r="AX18" s="72" t="s">
        <v>127</v>
      </c>
      <c r="AY18" s="72" t="s">
        <v>127</v>
      </c>
      <c r="AZ18" s="72" t="s">
        <v>127</v>
      </c>
      <c r="BA18" s="72" t="s">
        <v>127</v>
      </c>
      <c r="BB18" s="72" t="s">
        <v>127</v>
      </c>
      <c r="BC18" s="72" t="s">
        <v>127</v>
      </c>
      <c r="BD18" s="69"/>
      <c r="BE18" s="72" t="s">
        <v>127</v>
      </c>
      <c r="BF18" s="72" t="s">
        <v>127</v>
      </c>
      <c r="BG18" s="72" t="s">
        <v>127</v>
      </c>
      <c r="BH18" s="72" t="s">
        <v>127</v>
      </c>
      <c r="BI18" s="72" t="s">
        <v>127</v>
      </c>
      <c r="BJ18" s="72" t="s">
        <v>127</v>
      </c>
      <c r="BK18" s="69"/>
      <c r="BL18" s="72" t="s">
        <v>127</v>
      </c>
      <c r="BM18" s="72" t="s">
        <v>127</v>
      </c>
      <c r="BN18" s="72" t="s">
        <v>127</v>
      </c>
      <c r="BO18" s="72" t="s">
        <v>127</v>
      </c>
      <c r="BP18" s="63"/>
      <c r="BQ18" s="63"/>
      <c r="BR18" s="63"/>
      <c r="BS18" s="63"/>
      <c r="BT18" s="63"/>
      <c r="BU18" s="63"/>
      <c r="BV18" s="63"/>
    </row>
    <row r="19">
      <c r="A19" s="21">
        <v>16.0</v>
      </c>
      <c r="B19" s="28" t="s">
        <v>135</v>
      </c>
      <c r="C19" s="28" t="s">
        <v>137</v>
      </c>
      <c r="D19" s="21">
        <f t="shared" si="2"/>
        <v>51</v>
      </c>
      <c r="E19" s="21">
        <f t="shared" si="3"/>
        <v>1</v>
      </c>
      <c r="F19" s="21">
        <f t="shared" si="4"/>
        <v>52</v>
      </c>
      <c r="G19" s="53">
        <f t="shared" si="5"/>
        <v>98.07692308</v>
      </c>
      <c r="H19" s="73" t="s">
        <v>125</v>
      </c>
      <c r="I19" s="56" t="s">
        <v>127</v>
      </c>
      <c r="J19" s="56" t="s">
        <v>127</v>
      </c>
      <c r="K19" s="56" t="s">
        <v>127</v>
      </c>
      <c r="L19" s="56" t="s">
        <v>127</v>
      </c>
      <c r="M19" s="56" t="s">
        <v>127</v>
      </c>
      <c r="N19" s="68"/>
      <c r="O19" s="56" t="s">
        <v>127</v>
      </c>
      <c r="P19" s="56" t="s">
        <v>127</v>
      </c>
      <c r="Q19" s="56" t="s">
        <v>127</v>
      </c>
      <c r="R19" s="56" t="s">
        <v>127</v>
      </c>
      <c r="S19" s="56" t="s">
        <v>127</v>
      </c>
      <c r="T19" s="56" t="s">
        <v>127</v>
      </c>
      <c r="U19" s="69"/>
      <c r="V19" s="56" t="s">
        <v>127</v>
      </c>
      <c r="W19" s="56" t="s">
        <v>127</v>
      </c>
      <c r="X19" s="72" t="s">
        <v>127</v>
      </c>
      <c r="Y19" s="72" t="s">
        <v>127</v>
      </c>
      <c r="Z19" s="72" t="s">
        <v>127</v>
      </c>
      <c r="AA19" s="72" t="s">
        <v>127</v>
      </c>
      <c r="AB19" s="69"/>
      <c r="AC19" s="72" t="s">
        <v>127</v>
      </c>
      <c r="AD19" s="72" t="s">
        <v>127</v>
      </c>
      <c r="AE19" s="72" t="s">
        <v>127</v>
      </c>
      <c r="AF19" s="72" t="s">
        <v>127</v>
      </c>
      <c r="AG19" s="72" t="s">
        <v>127</v>
      </c>
      <c r="AH19" s="72" t="s">
        <v>127</v>
      </c>
      <c r="AI19" s="69"/>
      <c r="AJ19" s="72" t="s">
        <v>127</v>
      </c>
      <c r="AK19" s="72" t="s">
        <v>127</v>
      </c>
      <c r="AL19" s="72" t="s">
        <v>127</v>
      </c>
      <c r="AM19" s="72" t="s">
        <v>127</v>
      </c>
      <c r="AN19" s="72" t="s">
        <v>127</v>
      </c>
      <c r="AO19" s="72" t="s">
        <v>127</v>
      </c>
      <c r="AP19" s="69"/>
      <c r="AQ19" s="72" t="s">
        <v>127</v>
      </c>
      <c r="AR19" s="72" t="s">
        <v>127</v>
      </c>
      <c r="AS19" s="72" t="s">
        <v>127</v>
      </c>
      <c r="AT19" s="72" t="s">
        <v>127</v>
      </c>
      <c r="AU19" s="72" t="s">
        <v>127</v>
      </c>
      <c r="AV19" s="72" t="s">
        <v>127</v>
      </c>
      <c r="AW19" s="69"/>
      <c r="AX19" s="72" t="s">
        <v>127</v>
      </c>
      <c r="AY19" s="72" t="s">
        <v>127</v>
      </c>
      <c r="AZ19" s="72" t="s">
        <v>127</v>
      </c>
      <c r="BA19" s="72" t="s">
        <v>127</v>
      </c>
      <c r="BB19" s="72" t="s">
        <v>127</v>
      </c>
      <c r="BC19" s="72" t="s">
        <v>127</v>
      </c>
      <c r="BD19" s="69"/>
      <c r="BE19" s="72" t="s">
        <v>127</v>
      </c>
      <c r="BF19" s="72" t="s">
        <v>127</v>
      </c>
      <c r="BG19" s="72" t="s">
        <v>127</v>
      </c>
      <c r="BH19" s="72" t="s">
        <v>127</v>
      </c>
      <c r="BI19" s="72" t="s">
        <v>127</v>
      </c>
      <c r="BJ19" s="72" t="s">
        <v>127</v>
      </c>
      <c r="BK19" s="69"/>
      <c r="BL19" s="72" t="s">
        <v>127</v>
      </c>
      <c r="BM19" s="72" t="s">
        <v>127</v>
      </c>
      <c r="BN19" s="72" t="s">
        <v>127</v>
      </c>
      <c r="BO19" s="72" t="s">
        <v>127</v>
      </c>
      <c r="BP19" s="63"/>
      <c r="BQ19" s="63"/>
      <c r="BR19" s="63"/>
      <c r="BS19" s="63"/>
      <c r="BT19" s="63"/>
      <c r="BU19" s="63"/>
      <c r="BV19" s="63"/>
    </row>
    <row r="20">
      <c r="A20" s="21">
        <v>17.0</v>
      </c>
      <c r="B20" s="28" t="s">
        <v>141</v>
      </c>
      <c r="C20" s="28" t="s">
        <v>142</v>
      </c>
      <c r="D20" s="21">
        <f t="shared" si="2"/>
        <v>43</v>
      </c>
      <c r="E20" s="21">
        <f t="shared" si="3"/>
        <v>9</v>
      </c>
      <c r="F20" s="21">
        <f t="shared" si="4"/>
        <v>52</v>
      </c>
      <c r="G20" s="53">
        <f t="shared" si="5"/>
        <v>82.69230769</v>
      </c>
      <c r="H20" s="56" t="s">
        <v>127</v>
      </c>
      <c r="I20" s="56" t="s">
        <v>127</v>
      </c>
      <c r="J20" s="56" t="s">
        <v>127</v>
      </c>
      <c r="K20" s="56" t="s">
        <v>127</v>
      </c>
      <c r="L20" s="56" t="s">
        <v>127</v>
      </c>
      <c r="M20" s="56" t="s">
        <v>127</v>
      </c>
      <c r="N20" s="68"/>
      <c r="O20" s="56" t="s">
        <v>127</v>
      </c>
      <c r="P20" s="56" t="s">
        <v>127</v>
      </c>
      <c r="Q20" s="56" t="s">
        <v>127</v>
      </c>
      <c r="R20" s="56" t="s">
        <v>127</v>
      </c>
      <c r="S20" s="56" t="s">
        <v>127</v>
      </c>
      <c r="T20" s="56" t="s">
        <v>127</v>
      </c>
      <c r="U20" s="69"/>
      <c r="V20" s="73" t="s">
        <v>125</v>
      </c>
      <c r="W20" s="56" t="s">
        <v>127</v>
      </c>
      <c r="X20" s="60" t="s">
        <v>125</v>
      </c>
      <c r="Y20" s="60" t="s">
        <v>125</v>
      </c>
      <c r="Z20" s="72" t="s">
        <v>127</v>
      </c>
      <c r="AA20" s="72" t="s">
        <v>127</v>
      </c>
      <c r="AB20" s="69"/>
      <c r="AC20" s="60" t="s">
        <v>125</v>
      </c>
      <c r="AD20" s="72" t="s">
        <v>127</v>
      </c>
      <c r="AE20" s="72" t="s">
        <v>127</v>
      </c>
      <c r="AF20" s="72" t="s">
        <v>127</v>
      </c>
      <c r="AG20" s="60" t="s">
        <v>125</v>
      </c>
      <c r="AH20" s="60" t="s">
        <v>125</v>
      </c>
      <c r="AI20" s="69"/>
      <c r="AJ20" s="60" t="s">
        <v>125</v>
      </c>
      <c r="AK20" s="60" t="s">
        <v>125</v>
      </c>
      <c r="AL20" s="72" t="s">
        <v>127</v>
      </c>
      <c r="AM20" s="60" t="s">
        <v>125</v>
      </c>
      <c r="AN20" s="72" t="s">
        <v>127</v>
      </c>
      <c r="AO20" s="72" t="s">
        <v>127</v>
      </c>
      <c r="AP20" s="69"/>
      <c r="AQ20" s="72" t="s">
        <v>127</v>
      </c>
      <c r="AR20" s="72" t="s">
        <v>127</v>
      </c>
      <c r="AS20" s="72" t="s">
        <v>127</v>
      </c>
      <c r="AT20" s="72" t="s">
        <v>127</v>
      </c>
      <c r="AU20" s="72" t="s">
        <v>127</v>
      </c>
      <c r="AV20" s="72" t="s">
        <v>127</v>
      </c>
      <c r="AW20" s="69"/>
      <c r="AX20" s="72" t="s">
        <v>127</v>
      </c>
      <c r="AY20" s="72" t="s">
        <v>127</v>
      </c>
      <c r="AZ20" s="72" t="s">
        <v>127</v>
      </c>
      <c r="BA20" s="72" t="s">
        <v>127</v>
      </c>
      <c r="BB20" s="72" t="s">
        <v>127</v>
      </c>
      <c r="BC20" s="72" t="s">
        <v>127</v>
      </c>
      <c r="BD20" s="69"/>
      <c r="BE20" s="72" t="s">
        <v>127</v>
      </c>
      <c r="BF20" s="72" t="s">
        <v>127</v>
      </c>
      <c r="BG20" s="72" t="s">
        <v>127</v>
      </c>
      <c r="BH20" s="72" t="s">
        <v>127</v>
      </c>
      <c r="BI20" s="72" t="s">
        <v>127</v>
      </c>
      <c r="BJ20" s="72" t="s">
        <v>127</v>
      </c>
      <c r="BK20" s="69"/>
      <c r="BL20" s="72" t="s">
        <v>127</v>
      </c>
      <c r="BM20" s="72" t="s">
        <v>127</v>
      </c>
      <c r="BN20" s="72" t="s">
        <v>127</v>
      </c>
      <c r="BO20" s="72" t="s">
        <v>127</v>
      </c>
      <c r="BP20" s="63"/>
      <c r="BQ20" s="63"/>
      <c r="BR20" s="63"/>
      <c r="BS20" s="63"/>
      <c r="BT20" s="63"/>
      <c r="BU20" s="63"/>
      <c r="BV20" s="63"/>
    </row>
    <row r="21">
      <c r="A21" s="21">
        <v>18.0</v>
      </c>
      <c r="B21" s="79" t="s">
        <v>147</v>
      </c>
      <c r="C21" s="79" t="s">
        <v>148</v>
      </c>
      <c r="D21" s="21">
        <f t="shared" si="2"/>
        <v>51</v>
      </c>
      <c r="E21" s="21">
        <f t="shared" si="3"/>
        <v>1</v>
      </c>
      <c r="F21" s="21">
        <f t="shared" si="4"/>
        <v>52</v>
      </c>
      <c r="G21" s="53">
        <f t="shared" si="5"/>
        <v>98.07692308</v>
      </c>
      <c r="H21" s="73" t="s">
        <v>125</v>
      </c>
      <c r="I21" s="67" t="s">
        <v>155</v>
      </c>
      <c r="J21" s="67" t="s">
        <v>155</v>
      </c>
      <c r="K21" s="67" t="s">
        <v>155</v>
      </c>
      <c r="L21" s="67" t="s">
        <v>155</v>
      </c>
      <c r="M21" s="67" t="s">
        <v>155</v>
      </c>
      <c r="N21" s="68"/>
      <c r="O21" s="67" t="s">
        <v>155</v>
      </c>
      <c r="P21" s="67" t="s">
        <v>155</v>
      </c>
      <c r="Q21" s="67" t="s">
        <v>155</v>
      </c>
      <c r="R21" s="67" t="s">
        <v>155</v>
      </c>
      <c r="S21" s="67" t="s">
        <v>155</v>
      </c>
      <c r="T21" s="67" t="s">
        <v>155</v>
      </c>
      <c r="U21" s="69"/>
      <c r="V21" s="67" t="s">
        <v>155</v>
      </c>
      <c r="W21" s="67" t="s">
        <v>155</v>
      </c>
      <c r="X21" s="70" t="s">
        <v>155</v>
      </c>
      <c r="Y21" s="70" t="s">
        <v>155</v>
      </c>
      <c r="Z21" s="71" t="s">
        <v>155</v>
      </c>
      <c r="AA21" s="72" t="s">
        <v>127</v>
      </c>
      <c r="AB21" s="69"/>
      <c r="AC21" s="71" t="s">
        <v>155</v>
      </c>
      <c r="AD21" s="72" t="s">
        <v>127</v>
      </c>
      <c r="AE21" s="72" t="s">
        <v>127</v>
      </c>
      <c r="AF21" s="72" t="s">
        <v>127</v>
      </c>
      <c r="AG21" s="72" t="s">
        <v>127</v>
      </c>
      <c r="AH21" s="72" t="s">
        <v>127</v>
      </c>
      <c r="AI21" s="69"/>
      <c r="AJ21" s="72" t="s">
        <v>127</v>
      </c>
      <c r="AK21" s="72" t="s">
        <v>127</v>
      </c>
      <c r="AL21" s="72" t="s">
        <v>127</v>
      </c>
      <c r="AM21" s="72" t="s">
        <v>127</v>
      </c>
      <c r="AN21" s="72" t="s">
        <v>127</v>
      </c>
      <c r="AO21" s="72" t="s">
        <v>127</v>
      </c>
      <c r="AP21" s="69"/>
      <c r="AQ21" s="72" t="s">
        <v>127</v>
      </c>
      <c r="AR21" s="72" t="s">
        <v>127</v>
      </c>
      <c r="AS21" s="72" t="s">
        <v>127</v>
      </c>
      <c r="AT21" s="72" t="s">
        <v>127</v>
      </c>
      <c r="AU21" s="72" t="s">
        <v>127</v>
      </c>
      <c r="AV21" s="72" t="s">
        <v>127</v>
      </c>
      <c r="AW21" s="69"/>
      <c r="AX21" s="72" t="s">
        <v>127</v>
      </c>
      <c r="AY21" s="72" t="s">
        <v>127</v>
      </c>
      <c r="AZ21" s="72" t="s">
        <v>127</v>
      </c>
      <c r="BA21" s="72" t="s">
        <v>127</v>
      </c>
      <c r="BB21" s="72" t="s">
        <v>127</v>
      </c>
      <c r="BC21" s="72" t="s">
        <v>127</v>
      </c>
      <c r="BD21" s="69"/>
      <c r="BE21" s="72" t="s">
        <v>127</v>
      </c>
      <c r="BF21" s="72" t="s">
        <v>127</v>
      </c>
      <c r="BG21" s="72" t="s">
        <v>127</v>
      </c>
      <c r="BH21" s="72" t="s">
        <v>127</v>
      </c>
      <c r="BI21" s="72" t="s">
        <v>127</v>
      </c>
      <c r="BJ21" s="72" t="s">
        <v>127</v>
      </c>
      <c r="BK21" s="69"/>
      <c r="BL21" s="72" t="s">
        <v>127</v>
      </c>
      <c r="BM21" s="72" t="s">
        <v>127</v>
      </c>
      <c r="BN21" s="72" t="s">
        <v>127</v>
      </c>
      <c r="BO21" s="72" t="s">
        <v>127</v>
      </c>
      <c r="BP21" s="63"/>
      <c r="BQ21" s="63"/>
      <c r="BR21" s="63"/>
      <c r="BS21" s="63"/>
      <c r="BT21" s="63"/>
      <c r="BU21" s="63"/>
      <c r="BV21" s="63"/>
    </row>
    <row r="22">
      <c r="A22" s="21">
        <v>19.0</v>
      </c>
      <c r="B22" s="28" t="s">
        <v>153</v>
      </c>
      <c r="C22" s="28" t="s">
        <v>154</v>
      </c>
      <c r="D22" s="21">
        <f t="shared" si="2"/>
        <v>14</v>
      </c>
      <c r="E22" s="21">
        <f t="shared" si="3"/>
        <v>38</v>
      </c>
      <c r="F22" s="21">
        <f t="shared" si="4"/>
        <v>52</v>
      </c>
      <c r="G22" s="53">
        <f t="shared" si="5"/>
        <v>26.92307692</v>
      </c>
      <c r="H22" s="56" t="s">
        <v>127</v>
      </c>
      <c r="I22" s="56" t="s">
        <v>127</v>
      </c>
      <c r="J22" s="56" t="s">
        <v>127</v>
      </c>
      <c r="K22" s="56" t="s">
        <v>127</v>
      </c>
      <c r="L22" s="56" t="s">
        <v>127</v>
      </c>
      <c r="M22" s="56" t="s">
        <v>127</v>
      </c>
      <c r="N22" s="68"/>
      <c r="O22" s="56" t="s">
        <v>127</v>
      </c>
      <c r="P22" s="56" t="s">
        <v>127</v>
      </c>
      <c r="Q22" s="56" t="s">
        <v>127</v>
      </c>
      <c r="R22" s="56" t="s">
        <v>127</v>
      </c>
      <c r="S22" s="56" t="s">
        <v>127</v>
      </c>
      <c r="T22" s="56" t="s">
        <v>127</v>
      </c>
      <c r="U22" s="69"/>
      <c r="V22" s="56" t="s">
        <v>127</v>
      </c>
      <c r="W22" s="56" t="s">
        <v>127</v>
      </c>
      <c r="X22" s="60" t="s">
        <v>125</v>
      </c>
      <c r="Y22" s="60" t="s">
        <v>125</v>
      </c>
      <c r="Z22" s="60" t="s">
        <v>125</v>
      </c>
      <c r="AA22" s="60" t="s">
        <v>125</v>
      </c>
      <c r="AB22" s="69"/>
      <c r="AC22" s="60" t="s">
        <v>125</v>
      </c>
      <c r="AD22" s="60" t="s">
        <v>125</v>
      </c>
      <c r="AE22" s="60" t="s">
        <v>125</v>
      </c>
      <c r="AF22" s="60" t="s">
        <v>125</v>
      </c>
      <c r="AG22" s="60" t="s">
        <v>125</v>
      </c>
      <c r="AH22" s="60" t="s">
        <v>125</v>
      </c>
      <c r="AI22" s="69"/>
      <c r="AJ22" s="60" t="s">
        <v>125</v>
      </c>
      <c r="AK22" s="60" t="s">
        <v>125</v>
      </c>
      <c r="AL22" s="60" t="s">
        <v>125</v>
      </c>
      <c r="AM22" s="60" t="s">
        <v>125</v>
      </c>
      <c r="AN22" s="60" t="s">
        <v>125</v>
      </c>
      <c r="AO22" s="60" t="s">
        <v>125</v>
      </c>
      <c r="AP22" s="69"/>
      <c r="AQ22" s="60" t="s">
        <v>125</v>
      </c>
      <c r="AR22" s="60" t="s">
        <v>125</v>
      </c>
      <c r="AS22" s="60" t="s">
        <v>125</v>
      </c>
      <c r="AT22" s="60" t="s">
        <v>125</v>
      </c>
      <c r="AU22" s="60" t="s">
        <v>125</v>
      </c>
      <c r="AV22" s="60" t="s">
        <v>125</v>
      </c>
      <c r="AW22" s="69"/>
      <c r="AX22" s="60" t="s">
        <v>125</v>
      </c>
      <c r="AY22" s="60" t="s">
        <v>125</v>
      </c>
      <c r="AZ22" s="60" t="s">
        <v>125</v>
      </c>
      <c r="BA22" s="60" t="s">
        <v>125</v>
      </c>
      <c r="BB22" s="60" t="s">
        <v>125</v>
      </c>
      <c r="BC22" s="60" t="s">
        <v>125</v>
      </c>
      <c r="BD22" s="69"/>
      <c r="BE22" s="60" t="s">
        <v>125</v>
      </c>
      <c r="BF22" s="60" t="s">
        <v>125</v>
      </c>
      <c r="BG22" s="60" t="s">
        <v>125</v>
      </c>
      <c r="BH22" s="60" t="s">
        <v>125</v>
      </c>
      <c r="BI22" s="60" t="s">
        <v>125</v>
      </c>
      <c r="BJ22" s="60" t="s">
        <v>125</v>
      </c>
      <c r="BK22" s="69"/>
      <c r="BL22" s="60" t="s">
        <v>125</v>
      </c>
      <c r="BM22" s="60" t="s">
        <v>125</v>
      </c>
      <c r="BN22" s="60" t="s">
        <v>125</v>
      </c>
      <c r="BO22" s="60" t="s">
        <v>125</v>
      </c>
      <c r="BP22" s="63"/>
      <c r="BQ22" s="63"/>
      <c r="BR22" s="63"/>
      <c r="BS22" s="63"/>
      <c r="BT22" s="63"/>
      <c r="BU22" s="63"/>
      <c r="BV22" s="63"/>
    </row>
    <row r="23">
      <c r="A23" s="21">
        <v>20.0</v>
      </c>
      <c r="B23" s="28" t="s">
        <v>159</v>
      </c>
      <c r="C23" s="28" t="s">
        <v>161</v>
      </c>
      <c r="D23" s="21">
        <f t="shared" si="2"/>
        <v>48</v>
      </c>
      <c r="E23" s="21">
        <f t="shared" si="3"/>
        <v>4</v>
      </c>
      <c r="F23" s="21">
        <f t="shared" si="4"/>
        <v>52</v>
      </c>
      <c r="G23" s="53">
        <f t="shared" si="5"/>
        <v>92.30769231</v>
      </c>
      <c r="H23" s="56" t="s">
        <v>127</v>
      </c>
      <c r="I23" s="56" t="s">
        <v>127</v>
      </c>
      <c r="J23" s="56" t="s">
        <v>127</v>
      </c>
      <c r="K23" s="56" t="s">
        <v>127</v>
      </c>
      <c r="L23" s="56" t="s">
        <v>127</v>
      </c>
      <c r="M23" s="56" t="s">
        <v>127</v>
      </c>
      <c r="N23" s="68"/>
      <c r="O23" s="56" t="s">
        <v>127</v>
      </c>
      <c r="P23" s="56" t="s">
        <v>127</v>
      </c>
      <c r="Q23" s="56" t="s">
        <v>127</v>
      </c>
      <c r="R23" s="56" t="s">
        <v>127</v>
      </c>
      <c r="S23" s="56" t="s">
        <v>127</v>
      </c>
      <c r="T23" s="56" t="s">
        <v>127</v>
      </c>
      <c r="U23" s="69"/>
      <c r="V23" s="56" t="s">
        <v>127</v>
      </c>
      <c r="W23" s="56" t="s">
        <v>127</v>
      </c>
      <c r="X23" s="72" t="s">
        <v>127</v>
      </c>
      <c r="Y23" s="72" t="s">
        <v>127</v>
      </c>
      <c r="Z23" s="72" t="s">
        <v>127</v>
      </c>
      <c r="AA23" s="72" t="s">
        <v>127</v>
      </c>
      <c r="AB23" s="69"/>
      <c r="AC23" s="72" t="s">
        <v>127</v>
      </c>
      <c r="AD23" s="72" t="s">
        <v>127</v>
      </c>
      <c r="AE23" s="60" t="s">
        <v>125</v>
      </c>
      <c r="AF23" s="60" t="s">
        <v>125</v>
      </c>
      <c r="AG23" s="72" t="s">
        <v>127</v>
      </c>
      <c r="AH23" s="72" t="s">
        <v>127</v>
      </c>
      <c r="AI23" s="69"/>
      <c r="AJ23" s="72" t="s">
        <v>127</v>
      </c>
      <c r="AK23" s="72" t="s">
        <v>127</v>
      </c>
      <c r="AL23" s="72" t="s">
        <v>127</v>
      </c>
      <c r="AM23" s="72" t="s">
        <v>127</v>
      </c>
      <c r="AN23" s="72" t="s">
        <v>127</v>
      </c>
      <c r="AO23" s="60" t="s">
        <v>125</v>
      </c>
      <c r="AP23" s="69"/>
      <c r="AQ23" s="72" t="s">
        <v>127</v>
      </c>
      <c r="AR23" s="60" t="s">
        <v>125</v>
      </c>
      <c r="AS23" s="72" t="s">
        <v>127</v>
      </c>
      <c r="AT23" s="72" t="s">
        <v>127</v>
      </c>
      <c r="AU23" s="72" t="s">
        <v>127</v>
      </c>
      <c r="AV23" s="72" t="s">
        <v>127</v>
      </c>
      <c r="AW23" s="69"/>
      <c r="AX23" s="72" t="s">
        <v>127</v>
      </c>
      <c r="AY23" s="72" t="s">
        <v>127</v>
      </c>
      <c r="AZ23" s="72" t="s">
        <v>127</v>
      </c>
      <c r="BA23" s="72" t="s">
        <v>127</v>
      </c>
      <c r="BB23" s="72" t="s">
        <v>127</v>
      </c>
      <c r="BC23" s="72" t="s">
        <v>127</v>
      </c>
      <c r="BD23" s="69"/>
      <c r="BE23" s="72" t="s">
        <v>127</v>
      </c>
      <c r="BF23" s="72" t="s">
        <v>127</v>
      </c>
      <c r="BG23" s="72" t="s">
        <v>127</v>
      </c>
      <c r="BH23" s="72" t="s">
        <v>127</v>
      </c>
      <c r="BI23" s="72" t="s">
        <v>127</v>
      </c>
      <c r="BJ23" s="72" t="s">
        <v>127</v>
      </c>
      <c r="BK23" s="69"/>
      <c r="BL23" s="72" t="s">
        <v>127</v>
      </c>
      <c r="BM23" s="72" t="s">
        <v>127</v>
      </c>
      <c r="BN23" s="72" t="s">
        <v>127</v>
      </c>
      <c r="BO23" s="72" t="s">
        <v>127</v>
      </c>
      <c r="BP23" s="63"/>
      <c r="BQ23" s="63"/>
      <c r="BR23" s="63"/>
      <c r="BS23" s="63"/>
      <c r="BT23" s="63"/>
      <c r="BU23" s="63"/>
      <c r="BV23" s="63"/>
    </row>
    <row r="24">
      <c r="A24" s="21">
        <v>21.0</v>
      </c>
      <c r="B24" s="28" t="s">
        <v>164</v>
      </c>
      <c r="C24" s="28" t="s">
        <v>165</v>
      </c>
      <c r="D24" s="21">
        <f t="shared" si="2"/>
        <v>40</v>
      </c>
      <c r="E24" s="21">
        <f t="shared" si="3"/>
        <v>12</v>
      </c>
      <c r="F24" s="21">
        <f t="shared" si="4"/>
        <v>52</v>
      </c>
      <c r="G24" s="53">
        <f t="shared" si="5"/>
        <v>76.92307692</v>
      </c>
      <c r="H24" s="56" t="s">
        <v>127</v>
      </c>
      <c r="I24" s="56" t="s">
        <v>127</v>
      </c>
      <c r="J24" s="56" t="s">
        <v>127</v>
      </c>
      <c r="K24" s="56" t="s">
        <v>127</v>
      </c>
      <c r="L24" s="56" t="s">
        <v>127</v>
      </c>
      <c r="M24" s="56" t="s">
        <v>127</v>
      </c>
      <c r="N24" s="68"/>
      <c r="O24" s="56" t="s">
        <v>127</v>
      </c>
      <c r="P24" s="73" t="s">
        <v>125</v>
      </c>
      <c r="Q24" s="56" t="s">
        <v>127</v>
      </c>
      <c r="R24" s="56" t="s">
        <v>127</v>
      </c>
      <c r="S24" s="56" t="s">
        <v>127</v>
      </c>
      <c r="T24" s="56" t="s">
        <v>127</v>
      </c>
      <c r="U24" s="69"/>
      <c r="V24" s="56" t="s">
        <v>127</v>
      </c>
      <c r="W24" s="56" t="s">
        <v>127</v>
      </c>
      <c r="X24" s="60" t="s">
        <v>125</v>
      </c>
      <c r="Y24" s="60" t="s">
        <v>125</v>
      </c>
      <c r="Z24" s="60" t="s">
        <v>125</v>
      </c>
      <c r="AA24" s="72" t="s">
        <v>127</v>
      </c>
      <c r="AB24" s="69"/>
      <c r="AC24" s="60" t="s">
        <v>125</v>
      </c>
      <c r="AD24" s="72" t="s">
        <v>127</v>
      </c>
      <c r="AE24" s="72" t="s">
        <v>127</v>
      </c>
      <c r="AF24" s="72" t="s">
        <v>127</v>
      </c>
      <c r="AG24" s="60" t="s">
        <v>125</v>
      </c>
      <c r="AH24" s="60" t="s">
        <v>125</v>
      </c>
      <c r="AI24" s="69"/>
      <c r="AJ24" s="60" t="s">
        <v>125</v>
      </c>
      <c r="AK24" s="72" t="s">
        <v>127</v>
      </c>
      <c r="AL24" s="60" t="s">
        <v>125</v>
      </c>
      <c r="AM24" s="60" t="s">
        <v>125</v>
      </c>
      <c r="AN24" s="72" t="s">
        <v>127</v>
      </c>
      <c r="AO24" s="72" t="s">
        <v>127</v>
      </c>
      <c r="AP24" s="69"/>
      <c r="AQ24" s="60" t="s">
        <v>125</v>
      </c>
      <c r="AR24" s="60" t="s">
        <v>125</v>
      </c>
      <c r="AS24" s="72" t="s">
        <v>127</v>
      </c>
      <c r="AT24" s="72" t="s">
        <v>127</v>
      </c>
      <c r="AU24" s="72" t="s">
        <v>127</v>
      </c>
      <c r="AV24" s="72" t="s">
        <v>127</v>
      </c>
      <c r="AW24" s="69"/>
      <c r="AX24" s="72" t="s">
        <v>127</v>
      </c>
      <c r="AY24" s="72" t="s">
        <v>127</v>
      </c>
      <c r="AZ24" s="72" t="s">
        <v>127</v>
      </c>
      <c r="BA24" s="72" t="s">
        <v>127</v>
      </c>
      <c r="BB24" s="72" t="s">
        <v>127</v>
      </c>
      <c r="BC24" s="72" t="s">
        <v>127</v>
      </c>
      <c r="BD24" s="69"/>
      <c r="BE24" s="72" t="s">
        <v>127</v>
      </c>
      <c r="BF24" s="72" t="s">
        <v>127</v>
      </c>
      <c r="BG24" s="72" t="s">
        <v>127</v>
      </c>
      <c r="BH24" s="72" t="s">
        <v>127</v>
      </c>
      <c r="BI24" s="72" t="s">
        <v>127</v>
      </c>
      <c r="BJ24" s="72" t="s">
        <v>127</v>
      </c>
      <c r="BK24" s="69"/>
      <c r="BL24" s="72" t="s">
        <v>127</v>
      </c>
      <c r="BM24" s="72" t="s">
        <v>127</v>
      </c>
      <c r="BN24" s="72" t="s">
        <v>127</v>
      </c>
      <c r="BO24" s="72" t="s">
        <v>127</v>
      </c>
      <c r="BP24" s="63"/>
      <c r="BQ24" s="63"/>
      <c r="BR24" s="63"/>
      <c r="BS24" s="63"/>
      <c r="BT24" s="63"/>
      <c r="BU24" s="63"/>
      <c r="BV24" s="63"/>
    </row>
    <row r="25">
      <c r="A25" s="21">
        <v>22.0</v>
      </c>
      <c r="B25" s="51" t="s">
        <v>169</v>
      </c>
      <c r="C25" s="51" t="s">
        <v>170</v>
      </c>
      <c r="D25" s="21">
        <f t="shared" si="2"/>
        <v>50</v>
      </c>
      <c r="E25" s="21">
        <f t="shared" si="3"/>
        <v>2</v>
      </c>
      <c r="F25" s="21">
        <f t="shared" si="4"/>
        <v>52</v>
      </c>
      <c r="G25" s="53">
        <f t="shared" si="5"/>
        <v>96.15384615</v>
      </c>
      <c r="H25" s="73" t="s">
        <v>125</v>
      </c>
      <c r="I25" s="56" t="s">
        <v>127</v>
      </c>
      <c r="J25" s="56" t="s">
        <v>127</v>
      </c>
      <c r="K25" s="56" t="s">
        <v>127</v>
      </c>
      <c r="L25" s="56" t="s">
        <v>127</v>
      </c>
      <c r="M25" s="56" t="s">
        <v>127</v>
      </c>
      <c r="N25" s="68"/>
      <c r="O25" s="67" t="s">
        <v>155</v>
      </c>
      <c r="P25" s="67" t="s">
        <v>155</v>
      </c>
      <c r="Q25" s="67" t="s">
        <v>155</v>
      </c>
      <c r="R25" s="67" t="s">
        <v>155</v>
      </c>
      <c r="S25" s="67" t="s">
        <v>155</v>
      </c>
      <c r="T25" s="67" t="s">
        <v>155</v>
      </c>
      <c r="U25" s="69"/>
      <c r="V25" s="67" t="s">
        <v>155</v>
      </c>
      <c r="W25" s="67" t="s">
        <v>155</v>
      </c>
      <c r="X25" s="71" t="s">
        <v>155</v>
      </c>
      <c r="Y25" s="71" t="s">
        <v>155</v>
      </c>
      <c r="Z25" s="71" t="s">
        <v>155</v>
      </c>
      <c r="AA25" s="72" t="s">
        <v>127</v>
      </c>
      <c r="AB25" s="69"/>
      <c r="AC25" s="71" t="s">
        <v>155</v>
      </c>
      <c r="AD25" s="71" t="s">
        <v>155</v>
      </c>
      <c r="AE25" s="71" t="s">
        <v>155</v>
      </c>
      <c r="AF25" s="72" t="s">
        <v>127</v>
      </c>
      <c r="AG25" s="60" t="s">
        <v>125</v>
      </c>
      <c r="AH25" s="72" t="s">
        <v>127</v>
      </c>
      <c r="AI25" s="69"/>
      <c r="AJ25" s="72" t="s">
        <v>127</v>
      </c>
      <c r="AK25" s="72" t="s">
        <v>127</v>
      </c>
      <c r="AL25" s="72" t="s">
        <v>127</v>
      </c>
      <c r="AM25" s="72" t="s">
        <v>127</v>
      </c>
      <c r="AN25" s="72" t="s">
        <v>127</v>
      </c>
      <c r="AO25" s="72" t="s">
        <v>127</v>
      </c>
      <c r="AP25" s="69"/>
      <c r="AQ25" s="72" t="s">
        <v>127</v>
      </c>
      <c r="AR25" s="72" t="s">
        <v>127</v>
      </c>
      <c r="AS25" s="72" t="s">
        <v>127</v>
      </c>
      <c r="AT25" s="72" t="s">
        <v>127</v>
      </c>
      <c r="AU25" s="72" t="s">
        <v>127</v>
      </c>
      <c r="AV25" s="72" t="s">
        <v>127</v>
      </c>
      <c r="AW25" s="69"/>
      <c r="AX25" s="72" t="s">
        <v>127</v>
      </c>
      <c r="AY25" s="72" t="s">
        <v>127</v>
      </c>
      <c r="AZ25" s="72" t="s">
        <v>127</v>
      </c>
      <c r="BA25" s="72" t="s">
        <v>127</v>
      </c>
      <c r="BB25" s="72" t="s">
        <v>127</v>
      </c>
      <c r="BC25" s="72" t="s">
        <v>127</v>
      </c>
      <c r="BD25" s="69"/>
      <c r="BE25" s="72" t="s">
        <v>127</v>
      </c>
      <c r="BF25" s="72" t="s">
        <v>127</v>
      </c>
      <c r="BG25" s="72" t="s">
        <v>127</v>
      </c>
      <c r="BH25" s="72" t="s">
        <v>127</v>
      </c>
      <c r="BI25" s="72" t="s">
        <v>127</v>
      </c>
      <c r="BJ25" s="72" t="s">
        <v>127</v>
      </c>
      <c r="BK25" s="69"/>
      <c r="BL25" s="72" t="s">
        <v>127</v>
      </c>
      <c r="BM25" s="72" t="s">
        <v>127</v>
      </c>
      <c r="BN25" s="72" t="s">
        <v>127</v>
      </c>
      <c r="BO25" s="72" t="s">
        <v>127</v>
      </c>
      <c r="BP25" s="63"/>
      <c r="BQ25" s="63"/>
      <c r="BR25" s="63"/>
      <c r="BS25" s="63"/>
      <c r="BT25" s="63"/>
      <c r="BU25" s="63"/>
      <c r="BV25" s="63"/>
    </row>
    <row r="26">
      <c r="A26" s="21">
        <v>23.0</v>
      </c>
      <c r="B26" s="28" t="s">
        <v>174</v>
      </c>
      <c r="C26" s="28" t="s">
        <v>175</v>
      </c>
      <c r="D26" s="21">
        <f t="shared" si="2"/>
        <v>7</v>
      </c>
      <c r="E26" s="21">
        <f t="shared" si="3"/>
        <v>45</v>
      </c>
      <c r="F26" s="21">
        <f t="shared" si="4"/>
        <v>52</v>
      </c>
      <c r="G26" s="53">
        <f t="shared" si="5"/>
        <v>13.46153846</v>
      </c>
      <c r="H26" s="56" t="s">
        <v>127</v>
      </c>
      <c r="I26" s="56" t="s">
        <v>127</v>
      </c>
      <c r="J26" s="56" t="s">
        <v>127</v>
      </c>
      <c r="K26" s="73" t="s">
        <v>125</v>
      </c>
      <c r="L26" s="56" t="s">
        <v>127</v>
      </c>
      <c r="M26" s="56" t="s">
        <v>127</v>
      </c>
      <c r="N26" s="68"/>
      <c r="O26" s="73" t="s">
        <v>125</v>
      </c>
      <c r="P26" s="73" t="s">
        <v>125</v>
      </c>
      <c r="Q26" s="73" t="s">
        <v>125</v>
      </c>
      <c r="R26" s="73" t="s">
        <v>125</v>
      </c>
      <c r="S26" s="73" t="s">
        <v>125</v>
      </c>
      <c r="T26" s="73" t="s">
        <v>125</v>
      </c>
      <c r="U26" s="69"/>
      <c r="V26" s="73" t="s">
        <v>125</v>
      </c>
      <c r="W26" s="73" t="s">
        <v>125</v>
      </c>
      <c r="X26" s="60" t="s">
        <v>125</v>
      </c>
      <c r="Y26" s="60" t="s">
        <v>125</v>
      </c>
      <c r="Z26" s="60" t="s">
        <v>125</v>
      </c>
      <c r="AA26" s="60" t="s">
        <v>125</v>
      </c>
      <c r="AB26" s="69"/>
      <c r="AC26" s="60" t="s">
        <v>125</v>
      </c>
      <c r="AD26" s="60" t="s">
        <v>125</v>
      </c>
      <c r="AE26" s="60" t="s">
        <v>125</v>
      </c>
      <c r="AF26" s="60" t="s">
        <v>125</v>
      </c>
      <c r="AG26" s="60" t="s">
        <v>125</v>
      </c>
      <c r="AH26" s="60" t="s">
        <v>125</v>
      </c>
      <c r="AI26" s="69"/>
      <c r="AJ26" s="60" t="s">
        <v>125</v>
      </c>
      <c r="AK26" s="60" t="s">
        <v>125</v>
      </c>
      <c r="AL26" s="60" t="s">
        <v>125</v>
      </c>
      <c r="AM26" s="60" t="s">
        <v>125</v>
      </c>
      <c r="AN26" s="60" t="s">
        <v>125</v>
      </c>
      <c r="AO26" s="60" t="s">
        <v>125</v>
      </c>
      <c r="AP26" s="69"/>
      <c r="AQ26" s="72" t="s">
        <v>127</v>
      </c>
      <c r="AR26" s="72" t="s">
        <v>127</v>
      </c>
      <c r="AS26" s="60" t="s">
        <v>125</v>
      </c>
      <c r="AT26" s="60" t="s">
        <v>125</v>
      </c>
      <c r="AU26" s="60" t="s">
        <v>125</v>
      </c>
      <c r="AV26" s="60" t="s">
        <v>125</v>
      </c>
      <c r="AW26" s="69"/>
      <c r="AX26" s="60" t="s">
        <v>125</v>
      </c>
      <c r="AY26" s="60" t="s">
        <v>125</v>
      </c>
      <c r="AZ26" s="60" t="s">
        <v>125</v>
      </c>
      <c r="BA26" s="60" t="s">
        <v>125</v>
      </c>
      <c r="BB26" s="60" t="s">
        <v>125</v>
      </c>
      <c r="BC26" s="60" t="s">
        <v>125</v>
      </c>
      <c r="BD26" s="69"/>
      <c r="BE26" s="60" t="s">
        <v>125</v>
      </c>
      <c r="BF26" s="60" t="s">
        <v>125</v>
      </c>
      <c r="BG26" s="60" t="s">
        <v>125</v>
      </c>
      <c r="BH26" s="60" t="s">
        <v>125</v>
      </c>
      <c r="BI26" s="60" t="s">
        <v>125</v>
      </c>
      <c r="BJ26" s="60" t="s">
        <v>125</v>
      </c>
      <c r="BK26" s="69"/>
      <c r="BL26" s="60" t="s">
        <v>125</v>
      </c>
      <c r="BM26" s="60" t="s">
        <v>125</v>
      </c>
      <c r="BN26" s="60" t="s">
        <v>125</v>
      </c>
      <c r="BO26" s="60" t="s">
        <v>125</v>
      </c>
      <c r="BP26" s="63"/>
      <c r="BQ26" s="63"/>
      <c r="BR26" s="63"/>
      <c r="BS26" s="63"/>
      <c r="BT26" s="63"/>
      <c r="BU26" s="63"/>
      <c r="BV26" s="63"/>
    </row>
    <row r="27">
      <c r="A27" s="21">
        <v>24.0</v>
      </c>
      <c r="B27" s="21" t="s">
        <v>179</v>
      </c>
      <c r="C27" s="21" t="s">
        <v>180</v>
      </c>
      <c r="D27" s="21">
        <f t="shared" si="2"/>
        <v>26</v>
      </c>
      <c r="E27" s="21">
        <f t="shared" si="3"/>
        <v>26</v>
      </c>
      <c r="F27" s="21">
        <f t="shared" si="4"/>
        <v>52</v>
      </c>
      <c r="G27" s="53">
        <f t="shared" si="5"/>
        <v>50</v>
      </c>
      <c r="H27" s="73" t="s">
        <v>125</v>
      </c>
      <c r="I27" s="56" t="s">
        <v>127</v>
      </c>
      <c r="J27" s="56" t="s">
        <v>127</v>
      </c>
      <c r="K27" s="73" t="s">
        <v>125</v>
      </c>
      <c r="L27" s="56" t="s">
        <v>127</v>
      </c>
      <c r="M27" s="56" t="s">
        <v>127</v>
      </c>
      <c r="N27" s="68"/>
      <c r="O27" s="73" t="s">
        <v>125</v>
      </c>
      <c r="P27" s="73" t="s">
        <v>125</v>
      </c>
      <c r="Q27" s="56" t="s">
        <v>127</v>
      </c>
      <c r="R27" s="56" t="s">
        <v>127</v>
      </c>
      <c r="S27" s="56" t="s">
        <v>127</v>
      </c>
      <c r="T27" s="73" t="s">
        <v>125</v>
      </c>
      <c r="U27" s="69"/>
      <c r="V27" s="56" t="s">
        <v>127</v>
      </c>
      <c r="W27" s="56" t="s">
        <v>127</v>
      </c>
      <c r="X27" s="56" t="s">
        <v>127</v>
      </c>
      <c r="Y27" s="72" t="s">
        <v>127</v>
      </c>
      <c r="Z27" s="72" t="s">
        <v>127</v>
      </c>
      <c r="AA27" s="72" t="s">
        <v>127</v>
      </c>
      <c r="AB27" s="69"/>
      <c r="AC27" s="72" t="s">
        <v>127</v>
      </c>
      <c r="AD27" s="72" t="s">
        <v>127</v>
      </c>
      <c r="AE27" s="72" t="s">
        <v>127</v>
      </c>
      <c r="AF27" s="72" t="s">
        <v>127</v>
      </c>
      <c r="AG27" s="72" t="s">
        <v>127</v>
      </c>
      <c r="AH27" s="72" t="s">
        <v>127</v>
      </c>
      <c r="AI27" s="69"/>
      <c r="AJ27" s="60" t="s">
        <v>125</v>
      </c>
      <c r="AK27" s="72" t="s">
        <v>127</v>
      </c>
      <c r="AL27" s="72" t="s">
        <v>127</v>
      </c>
      <c r="AM27" s="72" t="s">
        <v>127</v>
      </c>
      <c r="AN27" s="72" t="s">
        <v>127</v>
      </c>
      <c r="AO27" s="72" t="s">
        <v>127</v>
      </c>
      <c r="AP27" s="69"/>
      <c r="AQ27" s="72" t="s">
        <v>127</v>
      </c>
      <c r="AR27" s="72" t="s">
        <v>127</v>
      </c>
      <c r="AS27" s="60" t="s">
        <v>125</v>
      </c>
      <c r="AT27" s="60" t="s">
        <v>125</v>
      </c>
      <c r="AU27" s="60" t="s">
        <v>125</v>
      </c>
      <c r="AV27" s="60" t="s">
        <v>125</v>
      </c>
      <c r="AW27" s="69"/>
      <c r="AX27" s="60" t="s">
        <v>125</v>
      </c>
      <c r="AY27" s="60" t="s">
        <v>125</v>
      </c>
      <c r="AZ27" s="60" t="s">
        <v>125</v>
      </c>
      <c r="BA27" s="60" t="s">
        <v>125</v>
      </c>
      <c r="BB27" s="60" t="s">
        <v>125</v>
      </c>
      <c r="BC27" s="60" t="s">
        <v>125</v>
      </c>
      <c r="BD27" s="69"/>
      <c r="BE27" s="60" t="s">
        <v>125</v>
      </c>
      <c r="BF27" s="60" t="s">
        <v>125</v>
      </c>
      <c r="BG27" s="60" t="s">
        <v>125</v>
      </c>
      <c r="BH27" s="60" t="s">
        <v>125</v>
      </c>
      <c r="BI27" s="60" t="s">
        <v>125</v>
      </c>
      <c r="BJ27" s="60" t="s">
        <v>125</v>
      </c>
      <c r="BK27" s="69"/>
      <c r="BL27" s="60" t="s">
        <v>125</v>
      </c>
      <c r="BM27" s="60" t="s">
        <v>125</v>
      </c>
      <c r="BN27" s="60" t="s">
        <v>125</v>
      </c>
      <c r="BO27" s="60" t="s">
        <v>125</v>
      </c>
      <c r="BP27" s="63"/>
      <c r="BQ27" s="63"/>
      <c r="BR27" s="63"/>
      <c r="BS27" s="63"/>
      <c r="BT27" s="63"/>
      <c r="BU27" s="63"/>
      <c r="BV27" s="63"/>
    </row>
    <row r="28">
      <c r="A28" s="21">
        <v>25.0</v>
      </c>
      <c r="B28" s="28" t="s">
        <v>185</v>
      </c>
      <c r="C28" s="47" t="s">
        <v>186</v>
      </c>
      <c r="D28" s="21">
        <f t="shared" si="2"/>
        <v>48</v>
      </c>
      <c r="E28" s="21">
        <f t="shared" si="3"/>
        <v>4</v>
      </c>
      <c r="F28" s="21">
        <f t="shared" si="4"/>
        <v>52</v>
      </c>
      <c r="G28" s="53">
        <f t="shared" si="5"/>
        <v>92.30769231</v>
      </c>
      <c r="H28" s="56" t="s">
        <v>127</v>
      </c>
      <c r="I28" s="56" t="s">
        <v>127</v>
      </c>
      <c r="J28" s="56" t="s">
        <v>127</v>
      </c>
      <c r="K28" s="56" t="s">
        <v>127</v>
      </c>
      <c r="L28" s="56" t="s">
        <v>127</v>
      </c>
      <c r="M28" s="56" t="s">
        <v>127</v>
      </c>
      <c r="N28" s="68"/>
      <c r="O28" s="56" t="s">
        <v>127</v>
      </c>
      <c r="P28" s="56" t="s">
        <v>127</v>
      </c>
      <c r="Q28" s="56" t="s">
        <v>127</v>
      </c>
      <c r="R28" s="56" t="s">
        <v>127</v>
      </c>
      <c r="S28" s="56" t="s">
        <v>127</v>
      </c>
      <c r="T28" s="56" t="s">
        <v>127</v>
      </c>
      <c r="U28" s="69"/>
      <c r="V28" s="56" t="s">
        <v>127</v>
      </c>
      <c r="W28" s="56" t="s">
        <v>127</v>
      </c>
      <c r="X28" s="60" t="s">
        <v>125</v>
      </c>
      <c r="Y28" s="72" t="s">
        <v>127</v>
      </c>
      <c r="Z28" s="72" t="s">
        <v>127</v>
      </c>
      <c r="AA28" s="72" t="s">
        <v>127</v>
      </c>
      <c r="AB28" s="69"/>
      <c r="AC28" s="72" t="s">
        <v>127</v>
      </c>
      <c r="AD28" s="72" t="s">
        <v>127</v>
      </c>
      <c r="AE28" s="72" t="s">
        <v>127</v>
      </c>
      <c r="AF28" s="72" t="s">
        <v>127</v>
      </c>
      <c r="AG28" s="72" t="s">
        <v>127</v>
      </c>
      <c r="AH28" s="72" t="s">
        <v>127</v>
      </c>
      <c r="AI28" s="69"/>
      <c r="AJ28" s="72" t="s">
        <v>127</v>
      </c>
      <c r="AK28" s="72" t="s">
        <v>127</v>
      </c>
      <c r="AL28" s="72" t="s">
        <v>127</v>
      </c>
      <c r="AM28" s="60" t="s">
        <v>125</v>
      </c>
      <c r="AN28" s="72" t="s">
        <v>127</v>
      </c>
      <c r="AO28" s="60" t="s">
        <v>125</v>
      </c>
      <c r="AP28" s="69"/>
      <c r="AQ28" s="72" t="s">
        <v>127</v>
      </c>
      <c r="AR28" s="60" t="s">
        <v>125</v>
      </c>
      <c r="AS28" s="72" t="s">
        <v>127</v>
      </c>
      <c r="AT28" s="72" t="s">
        <v>127</v>
      </c>
      <c r="AU28" s="72" t="s">
        <v>127</v>
      </c>
      <c r="AV28" s="72" t="s">
        <v>127</v>
      </c>
      <c r="AW28" s="69"/>
      <c r="AX28" s="72" t="s">
        <v>127</v>
      </c>
      <c r="AY28" s="72" t="s">
        <v>127</v>
      </c>
      <c r="AZ28" s="72" t="s">
        <v>127</v>
      </c>
      <c r="BA28" s="72" t="s">
        <v>127</v>
      </c>
      <c r="BB28" s="72" t="s">
        <v>127</v>
      </c>
      <c r="BC28" s="72" t="s">
        <v>127</v>
      </c>
      <c r="BD28" s="69"/>
      <c r="BE28" s="72" t="s">
        <v>127</v>
      </c>
      <c r="BF28" s="72" t="s">
        <v>127</v>
      </c>
      <c r="BG28" s="72" t="s">
        <v>127</v>
      </c>
      <c r="BH28" s="72" t="s">
        <v>127</v>
      </c>
      <c r="BI28" s="72" t="s">
        <v>127</v>
      </c>
      <c r="BJ28" s="72" t="s">
        <v>127</v>
      </c>
      <c r="BK28" s="69"/>
      <c r="BL28" s="72" t="s">
        <v>127</v>
      </c>
      <c r="BM28" s="72" t="s">
        <v>127</v>
      </c>
      <c r="BN28" s="72" t="s">
        <v>127</v>
      </c>
      <c r="BO28" s="72" t="s">
        <v>127</v>
      </c>
      <c r="BP28" s="63"/>
      <c r="BQ28" s="63"/>
      <c r="BR28" s="63"/>
      <c r="BS28" s="63"/>
      <c r="BT28" s="63"/>
      <c r="BU28" s="63"/>
      <c r="BV28" s="63"/>
    </row>
    <row r="29">
      <c r="A29" s="21">
        <v>26.0</v>
      </c>
      <c r="B29" s="51" t="s">
        <v>190</v>
      </c>
      <c r="C29" s="51" t="s">
        <v>191</v>
      </c>
      <c r="D29" s="21">
        <f t="shared" si="2"/>
        <v>47</v>
      </c>
      <c r="E29" s="21">
        <f t="shared" si="3"/>
        <v>5</v>
      </c>
      <c r="F29" s="21">
        <f t="shared" si="4"/>
        <v>52</v>
      </c>
      <c r="G29" s="53">
        <f t="shared" si="5"/>
        <v>90.38461538</v>
      </c>
      <c r="H29" s="56" t="s">
        <v>127</v>
      </c>
      <c r="I29" s="56" t="s">
        <v>127</v>
      </c>
      <c r="J29" s="56" t="s">
        <v>127</v>
      </c>
      <c r="K29" s="56" t="s">
        <v>127</v>
      </c>
      <c r="L29" s="56" t="s">
        <v>127</v>
      </c>
      <c r="M29" s="56" t="s">
        <v>127</v>
      </c>
      <c r="N29" s="68"/>
      <c r="O29" s="56" t="s">
        <v>127</v>
      </c>
      <c r="P29" s="56" t="s">
        <v>127</v>
      </c>
      <c r="Q29" s="56" t="s">
        <v>127</v>
      </c>
      <c r="R29" s="56" t="s">
        <v>127</v>
      </c>
      <c r="S29" s="56" t="s">
        <v>127</v>
      </c>
      <c r="T29" s="56" t="s">
        <v>127</v>
      </c>
      <c r="U29" s="69"/>
      <c r="V29" s="56" t="s">
        <v>127</v>
      </c>
      <c r="W29" s="56" t="s">
        <v>127</v>
      </c>
      <c r="X29" s="72" t="s">
        <v>127</v>
      </c>
      <c r="Y29" s="72" t="s">
        <v>127</v>
      </c>
      <c r="Z29" s="72" t="s">
        <v>127</v>
      </c>
      <c r="AA29" s="60" t="s">
        <v>125</v>
      </c>
      <c r="AB29" s="69"/>
      <c r="AC29" s="72" t="s">
        <v>127</v>
      </c>
      <c r="AD29" s="72" t="s">
        <v>127</v>
      </c>
      <c r="AE29" s="60" t="s">
        <v>125</v>
      </c>
      <c r="AF29" s="72" t="s">
        <v>127</v>
      </c>
      <c r="AG29" s="72" t="s">
        <v>127</v>
      </c>
      <c r="AH29" s="60" t="s">
        <v>125</v>
      </c>
      <c r="AI29" s="69"/>
      <c r="AJ29" s="72" t="s">
        <v>127</v>
      </c>
      <c r="AK29" s="60" t="s">
        <v>125</v>
      </c>
      <c r="AL29" s="72" t="s">
        <v>127</v>
      </c>
      <c r="AM29" s="72" t="s">
        <v>127</v>
      </c>
      <c r="AN29" s="72" t="s">
        <v>127</v>
      </c>
      <c r="AO29" s="60" t="s">
        <v>125</v>
      </c>
      <c r="AP29" s="69"/>
      <c r="AQ29" s="72" t="s">
        <v>127</v>
      </c>
      <c r="AR29" s="72" t="s">
        <v>127</v>
      </c>
      <c r="AS29" s="72" t="s">
        <v>127</v>
      </c>
      <c r="AT29" s="72" t="s">
        <v>127</v>
      </c>
      <c r="AU29" s="72" t="s">
        <v>127</v>
      </c>
      <c r="AV29" s="72" t="s">
        <v>127</v>
      </c>
      <c r="AW29" s="69"/>
      <c r="AX29" s="72" t="s">
        <v>127</v>
      </c>
      <c r="AY29" s="72" t="s">
        <v>127</v>
      </c>
      <c r="AZ29" s="72" t="s">
        <v>127</v>
      </c>
      <c r="BA29" s="72" t="s">
        <v>127</v>
      </c>
      <c r="BB29" s="72" t="s">
        <v>127</v>
      </c>
      <c r="BC29" s="72" t="s">
        <v>127</v>
      </c>
      <c r="BD29" s="69"/>
      <c r="BE29" s="72" t="s">
        <v>127</v>
      </c>
      <c r="BF29" s="72" t="s">
        <v>127</v>
      </c>
      <c r="BG29" s="72" t="s">
        <v>127</v>
      </c>
      <c r="BH29" s="72" t="s">
        <v>127</v>
      </c>
      <c r="BI29" s="72" t="s">
        <v>127</v>
      </c>
      <c r="BJ29" s="72" t="s">
        <v>127</v>
      </c>
      <c r="BK29" s="69"/>
      <c r="BL29" s="72" t="s">
        <v>127</v>
      </c>
      <c r="BM29" s="72" t="s">
        <v>127</v>
      </c>
      <c r="BN29" s="72" t="s">
        <v>127</v>
      </c>
      <c r="BO29" s="72" t="s">
        <v>127</v>
      </c>
      <c r="BP29" s="63"/>
      <c r="BQ29" s="63"/>
      <c r="BR29" s="63"/>
      <c r="BS29" s="63"/>
      <c r="BT29" s="63"/>
      <c r="BU29" s="63"/>
      <c r="BV29" s="63"/>
    </row>
    <row r="30">
      <c r="A30" s="21">
        <v>27.0</v>
      </c>
      <c r="B30" s="21" t="s">
        <v>195</v>
      </c>
      <c r="C30" s="21" t="s">
        <v>196</v>
      </c>
      <c r="D30" s="21">
        <f t="shared" si="2"/>
        <v>25</v>
      </c>
      <c r="E30" s="21">
        <f t="shared" si="3"/>
        <v>27</v>
      </c>
      <c r="F30" s="21">
        <f t="shared" si="4"/>
        <v>52</v>
      </c>
      <c r="G30" s="53">
        <f t="shared" si="5"/>
        <v>48.07692308</v>
      </c>
      <c r="H30" s="73" t="s">
        <v>125</v>
      </c>
      <c r="I30" s="56" t="s">
        <v>127</v>
      </c>
      <c r="J30" s="56" t="s">
        <v>127</v>
      </c>
      <c r="K30" s="73" t="s">
        <v>125</v>
      </c>
      <c r="L30" s="56" t="s">
        <v>127</v>
      </c>
      <c r="M30" s="56" t="s">
        <v>127</v>
      </c>
      <c r="N30" s="68"/>
      <c r="O30" s="73" t="s">
        <v>125</v>
      </c>
      <c r="P30" s="56" t="s">
        <v>127</v>
      </c>
      <c r="Q30" s="56" t="s">
        <v>127</v>
      </c>
      <c r="R30" s="56" t="s">
        <v>127</v>
      </c>
      <c r="S30" s="56" t="s">
        <v>127</v>
      </c>
      <c r="T30" s="56" t="s">
        <v>127</v>
      </c>
      <c r="U30" s="69"/>
      <c r="V30" s="73" t="s">
        <v>125</v>
      </c>
      <c r="W30" s="73" t="s">
        <v>125</v>
      </c>
      <c r="X30" s="72" t="s">
        <v>127</v>
      </c>
      <c r="Y30" s="72" t="s">
        <v>127</v>
      </c>
      <c r="Z30" s="72" t="s">
        <v>127</v>
      </c>
      <c r="AA30" s="72" t="s">
        <v>127</v>
      </c>
      <c r="AB30" s="69"/>
      <c r="AC30" s="72" t="s">
        <v>127</v>
      </c>
      <c r="AD30" s="72" t="s">
        <v>127</v>
      </c>
      <c r="AE30" s="72" t="s">
        <v>127</v>
      </c>
      <c r="AF30" s="72" t="s">
        <v>127</v>
      </c>
      <c r="AG30" s="72" t="s">
        <v>127</v>
      </c>
      <c r="AH30" s="72" t="s">
        <v>127</v>
      </c>
      <c r="AI30" s="69"/>
      <c r="AJ30" s="72" t="s">
        <v>127</v>
      </c>
      <c r="AK30" s="72" t="s">
        <v>127</v>
      </c>
      <c r="AL30" s="72" t="s">
        <v>127</v>
      </c>
      <c r="AM30" s="72" t="s">
        <v>127</v>
      </c>
      <c r="AN30" s="72" t="s">
        <v>127</v>
      </c>
      <c r="AO30" s="72" t="s">
        <v>127</v>
      </c>
      <c r="AP30" s="69"/>
      <c r="AQ30" s="60" t="s">
        <v>125</v>
      </c>
      <c r="AR30" s="60" t="s">
        <v>125</v>
      </c>
      <c r="AS30" s="60" t="s">
        <v>125</v>
      </c>
      <c r="AT30" s="60" t="s">
        <v>125</v>
      </c>
      <c r="AU30" s="60" t="s">
        <v>125</v>
      </c>
      <c r="AV30" s="60" t="s">
        <v>125</v>
      </c>
      <c r="AW30" s="69"/>
      <c r="AX30" s="60" t="s">
        <v>125</v>
      </c>
      <c r="AY30" s="60" t="s">
        <v>125</v>
      </c>
      <c r="AZ30" s="60" t="s">
        <v>125</v>
      </c>
      <c r="BA30" s="60" t="s">
        <v>125</v>
      </c>
      <c r="BB30" s="60" t="s">
        <v>125</v>
      </c>
      <c r="BC30" s="60" t="s">
        <v>125</v>
      </c>
      <c r="BD30" s="69"/>
      <c r="BE30" s="60" t="s">
        <v>125</v>
      </c>
      <c r="BF30" s="60" t="s">
        <v>125</v>
      </c>
      <c r="BG30" s="60" t="s">
        <v>125</v>
      </c>
      <c r="BH30" s="60" t="s">
        <v>125</v>
      </c>
      <c r="BI30" s="60" t="s">
        <v>125</v>
      </c>
      <c r="BJ30" s="60" t="s">
        <v>125</v>
      </c>
      <c r="BK30" s="69"/>
      <c r="BL30" s="60" t="s">
        <v>125</v>
      </c>
      <c r="BM30" s="60" t="s">
        <v>125</v>
      </c>
      <c r="BN30" s="60" t="s">
        <v>125</v>
      </c>
      <c r="BO30" s="60" t="s">
        <v>125</v>
      </c>
      <c r="BP30" s="63"/>
      <c r="BQ30" s="63"/>
      <c r="BR30" s="63"/>
      <c r="BS30" s="63"/>
      <c r="BT30" s="63"/>
      <c r="BU30" s="63"/>
      <c r="BV30" s="63"/>
    </row>
    <row r="31">
      <c r="A31" s="21">
        <v>28.0</v>
      </c>
      <c r="B31" s="28" t="s">
        <v>199</v>
      </c>
      <c r="C31" s="28" t="s">
        <v>200</v>
      </c>
      <c r="D31" s="21">
        <f t="shared" si="2"/>
        <v>38</v>
      </c>
      <c r="E31" s="21">
        <f t="shared" si="3"/>
        <v>14</v>
      </c>
      <c r="F31" s="21">
        <f t="shared" si="4"/>
        <v>52</v>
      </c>
      <c r="G31" s="53">
        <f t="shared" si="5"/>
        <v>73.07692308</v>
      </c>
      <c r="H31" s="73" t="s">
        <v>125</v>
      </c>
      <c r="I31" s="73" t="s">
        <v>125</v>
      </c>
      <c r="J31" s="73" t="s">
        <v>125</v>
      </c>
      <c r="K31" s="73" t="s">
        <v>125</v>
      </c>
      <c r="L31" s="56" t="s">
        <v>127</v>
      </c>
      <c r="M31" s="56" t="s">
        <v>127</v>
      </c>
      <c r="N31" s="68"/>
      <c r="O31" s="56" t="s">
        <v>127</v>
      </c>
      <c r="P31" s="56" t="s">
        <v>127</v>
      </c>
      <c r="Q31" s="56" t="s">
        <v>127</v>
      </c>
      <c r="R31" s="56" t="s">
        <v>127</v>
      </c>
      <c r="S31" s="56" t="s">
        <v>127</v>
      </c>
      <c r="T31" s="56" t="s">
        <v>127</v>
      </c>
      <c r="U31" s="69"/>
      <c r="V31" s="56" t="s">
        <v>127</v>
      </c>
      <c r="W31" s="56" t="s">
        <v>127</v>
      </c>
      <c r="X31" s="60" t="s">
        <v>125</v>
      </c>
      <c r="Y31" s="60" t="s">
        <v>125</v>
      </c>
      <c r="Z31" s="60" t="s">
        <v>125</v>
      </c>
      <c r="AA31" s="60" t="s">
        <v>125</v>
      </c>
      <c r="AB31" s="69"/>
      <c r="AC31" s="60" t="s">
        <v>125</v>
      </c>
      <c r="AD31" s="60" t="s">
        <v>125</v>
      </c>
      <c r="AE31" s="72" t="s">
        <v>127</v>
      </c>
      <c r="AF31" s="60" t="s">
        <v>125</v>
      </c>
      <c r="AG31" s="60" t="s">
        <v>125</v>
      </c>
      <c r="AH31" s="72" t="s">
        <v>127</v>
      </c>
      <c r="AI31" s="69"/>
      <c r="AJ31" s="72" t="s">
        <v>127</v>
      </c>
      <c r="AK31" s="72" t="s">
        <v>127</v>
      </c>
      <c r="AL31" s="60" t="s">
        <v>125</v>
      </c>
      <c r="AM31" s="72" t="s">
        <v>127</v>
      </c>
      <c r="AN31" s="60" t="s">
        <v>125</v>
      </c>
      <c r="AO31" s="72" t="s">
        <v>127</v>
      </c>
      <c r="AP31" s="69"/>
      <c r="AQ31" s="72" t="s">
        <v>127</v>
      </c>
      <c r="AR31" s="72" t="s">
        <v>127</v>
      </c>
      <c r="AS31" s="72" t="s">
        <v>127</v>
      </c>
      <c r="AT31" s="72" t="s">
        <v>127</v>
      </c>
      <c r="AU31" s="72" t="s">
        <v>127</v>
      </c>
      <c r="AV31" s="72" t="s">
        <v>127</v>
      </c>
      <c r="AW31" s="69"/>
      <c r="AX31" s="72" t="s">
        <v>127</v>
      </c>
      <c r="AY31" s="72" t="s">
        <v>127</v>
      </c>
      <c r="AZ31" s="72" t="s">
        <v>127</v>
      </c>
      <c r="BA31" s="72" t="s">
        <v>127</v>
      </c>
      <c r="BB31" s="72" t="s">
        <v>127</v>
      </c>
      <c r="BC31" s="72" t="s">
        <v>127</v>
      </c>
      <c r="BD31" s="69"/>
      <c r="BE31" s="72" t="s">
        <v>127</v>
      </c>
      <c r="BF31" s="72" t="s">
        <v>127</v>
      </c>
      <c r="BG31" s="72" t="s">
        <v>127</v>
      </c>
      <c r="BH31" s="72" t="s">
        <v>127</v>
      </c>
      <c r="BI31" s="72" t="s">
        <v>127</v>
      </c>
      <c r="BJ31" s="72" t="s">
        <v>127</v>
      </c>
      <c r="BK31" s="69"/>
      <c r="BL31" s="72" t="s">
        <v>127</v>
      </c>
      <c r="BM31" s="72" t="s">
        <v>127</v>
      </c>
      <c r="BN31" s="72" t="s">
        <v>127</v>
      </c>
      <c r="BO31" s="72" t="s">
        <v>127</v>
      </c>
      <c r="BP31" s="63"/>
      <c r="BQ31" s="63"/>
      <c r="BR31" s="63"/>
      <c r="BS31" s="63"/>
      <c r="BT31" s="63"/>
      <c r="BU31" s="63"/>
      <c r="BV31" s="63"/>
    </row>
    <row r="32">
      <c r="A32" s="21">
        <v>29.0</v>
      </c>
      <c r="B32" s="28" t="s">
        <v>204</v>
      </c>
      <c r="C32" s="28" t="s">
        <v>205</v>
      </c>
      <c r="D32" s="21">
        <f t="shared" si="2"/>
        <v>3</v>
      </c>
      <c r="E32" s="21">
        <f t="shared" si="3"/>
        <v>49</v>
      </c>
      <c r="F32" s="21">
        <f t="shared" si="4"/>
        <v>52</v>
      </c>
      <c r="G32" s="53">
        <f t="shared" si="5"/>
        <v>5.769230769</v>
      </c>
      <c r="H32" s="73" t="s">
        <v>125</v>
      </c>
      <c r="I32" s="73" t="s">
        <v>125</v>
      </c>
      <c r="J32" s="73" t="s">
        <v>125</v>
      </c>
      <c r="K32" s="56" t="s">
        <v>127</v>
      </c>
      <c r="L32" s="56" t="s">
        <v>127</v>
      </c>
      <c r="M32" s="56" t="s">
        <v>127</v>
      </c>
      <c r="N32" s="68"/>
      <c r="O32" s="73" t="s">
        <v>125</v>
      </c>
      <c r="P32" s="73" t="s">
        <v>125</v>
      </c>
      <c r="Q32" s="73" t="s">
        <v>125</v>
      </c>
      <c r="R32" s="73" t="s">
        <v>125</v>
      </c>
      <c r="S32" s="73" t="s">
        <v>125</v>
      </c>
      <c r="T32" s="73" t="s">
        <v>125</v>
      </c>
      <c r="U32" s="69"/>
      <c r="V32" s="73" t="s">
        <v>125</v>
      </c>
      <c r="W32" s="73" t="s">
        <v>125</v>
      </c>
      <c r="X32" s="60" t="s">
        <v>125</v>
      </c>
      <c r="Y32" s="60" t="s">
        <v>125</v>
      </c>
      <c r="Z32" s="60" t="s">
        <v>125</v>
      </c>
      <c r="AA32" s="60" t="s">
        <v>125</v>
      </c>
      <c r="AB32" s="69"/>
      <c r="AC32" s="60" t="s">
        <v>125</v>
      </c>
      <c r="AD32" s="60" t="s">
        <v>125</v>
      </c>
      <c r="AE32" s="60" t="s">
        <v>125</v>
      </c>
      <c r="AF32" s="60" t="s">
        <v>125</v>
      </c>
      <c r="AG32" s="60" t="s">
        <v>125</v>
      </c>
      <c r="AH32" s="60" t="s">
        <v>125</v>
      </c>
      <c r="AI32" s="69"/>
      <c r="AJ32" s="60" t="s">
        <v>125</v>
      </c>
      <c r="AK32" s="60" t="s">
        <v>125</v>
      </c>
      <c r="AL32" s="60" t="s">
        <v>125</v>
      </c>
      <c r="AM32" s="60" t="s">
        <v>125</v>
      </c>
      <c r="AN32" s="60" t="s">
        <v>125</v>
      </c>
      <c r="AO32" s="60" t="s">
        <v>125</v>
      </c>
      <c r="AP32" s="69"/>
      <c r="AQ32" s="60" t="s">
        <v>125</v>
      </c>
      <c r="AR32" s="60" t="s">
        <v>125</v>
      </c>
      <c r="AS32" s="60" t="s">
        <v>125</v>
      </c>
      <c r="AT32" s="60" t="s">
        <v>125</v>
      </c>
      <c r="AU32" s="60" t="s">
        <v>125</v>
      </c>
      <c r="AV32" s="60" t="s">
        <v>125</v>
      </c>
      <c r="AW32" s="69"/>
      <c r="AX32" s="60" t="s">
        <v>125</v>
      </c>
      <c r="AY32" s="60" t="s">
        <v>125</v>
      </c>
      <c r="AZ32" s="60" t="s">
        <v>125</v>
      </c>
      <c r="BA32" s="60" t="s">
        <v>125</v>
      </c>
      <c r="BB32" s="60" t="s">
        <v>125</v>
      </c>
      <c r="BC32" s="60" t="s">
        <v>125</v>
      </c>
      <c r="BD32" s="69"/>
      <c r="BE32" s="60" t="s">
        <v>125</v>
      </c>
      <c r="BF32" s="60" t="s">
        <v>125</v>
      </c>
      <c r="BG32" s="60" t="s">
        <v>125</v>
      </c>
      <c r="BH32" s="60" t="s">
        <v>125</v>
      </c>
      <c r="BI32" s="60" t="s">
        <v>125</v>
      </c>
      <c r="BJ32" s="60" t="s">
        <v>125</v>
      </c>
      <c r="BK32" s="69"/>
      <c r="BL32" s="60" t="s">
        <v>125</v>
      </c>
      <c r="BM32" s="60" t="s">
        <v>125</v>
      </c>
      <c r="BN32" s="60" t="s">
        <v>125</v>
      </c>
      <c r="BO32" s="60" t="s">
        <v>125</v>
      </c>
      <c r="BP32" s="63"/>
      <c r="BQ32" s="63"/>
      <c r="BR32" s="63"/>
      <c r="BS32" s="63"/>
      <c r="BT32" s="63"/>
      <c r="BU32" s="63"/>
      <c r="BV32" s="63"/>
    </row>
    <row r="33">
      <c r="A33" s="21">
        <v>30.0</v>
      </c>
      <c r="B33" s="28" t="s">
        <v>210</v>
      </c>
      <c r="C33" s="28" t="s">
        <v>211</v>
      </c>
      <c r="D33" s="21">
        <f t="shared" si="2"/>
        <v>13</v>
      </c>
      <c r="E33" s="21">
        <f t="shared" si="3"/>
        <v>39</v>
      </c>
      <c r="F33" s="21">
        <f t="shared" si="4"/>
        <v>52</v>
      </c>
      <c r="G33" s="53">
        <f t="shared" si="5"/>
        <v>25</v>
      </c>
      <c r="H33" s="73" t="s">
        <v>125</v>
      </c>
      <c r="I33" s="56" t="s">
        <v>127</v>
      </c>
      <c r="J33" s="56" t="s">
        <v>127</v>
      </c>
      <c r="K33" s="56" t="s">
        <v>127</v>
      </c>
      <c r="L33" s="56" t="s">
        <v>127</v>
      </c>
      <c r="M33" s="56" t="s">
        <v>127</v>
      </c>
      <c r="N33" s="68"/>
      <c r="O33" s="56" t="s">
        <v>127</v>
      </c>
      <c r="P33" s="56" t="s">
        <v>127</v>
      </c>
      <c r="Q33" s="56" t="s">
        <v>127</v>
      </c>
      <c r="R33" s="56" t="s">
        <v>127</v>
      </c>
      <c r="S33" s="56" t="s">
        <v>127</v>
      </c>
      <c r="T33" s="56" t="s">
        <v>127</v>
      </c>
      <c r="U33" s="69"/>
      <c r="V33" s="56" t="s">
        <v>127</v>
      </c>
      <c r="W33" s="56" t="s">
        <v>127</v>
      </c>
      <c r="X33" s="60" t="s">
        <v>125</v>
      </c>
      <c r="Y33" s="60" t="s">
        <v>125</v>
      </c>
      <c r="Z33" s="60" t="s">
        <v>125</v>
      </c>
      <c r="AA33" s="60" t="s">
        <v>125</v>
      </c>
      <c r="AB33" s="69"/>
      <c r="AC33" s="60" t="s">
        <v>125</v>
      </c>
      <c r="AD33" s="60" t="s">
        <v>125</v>
      </c>
      <c r="AE33" s="60" t="s">
        <v>125</v>
      </c>
      <c r="AF33" s="60" t="s">
        <v>125</v>
      </c>
      <c r="AG33" s="60" t="s">
        <v>125</v>
      </c>
      <c r="AH33" s="60" t="s">
        <v>125</v>
      </c>
      <c r="AI33" s="69"/>
      <c r="AJ33" s="60" t="s">
        <v>125</v>
      </c>
      <c r="AK33" s="60" t="s">
        <v>125</v>
      </c>
      <c r="AL33" s="60" t="s">
        <v>125</v>
      </c>
      <c r="AM33" s="60" t="s">
        <v>125</v>
      </c>
      <c r="AN33" s="60" t="s">
        <v>125</v>
      </c>
      <c r="AO33" s="60" t="s">
        <v>125</v>
      </c>
      <c r="AP33" s="69"/>
      <c r="AQ33" s="60" t="s">
        <v>125</v>
      </c>
      <c r="AR33" s="60" t="s">
        <v>125</v>
      </c>
      <c r="AS33" s="60" t="s">
        <v>125</v>
      </c>
      <c r="AT33" s="60" t="s">
        <v>125</v>
      </c>
      <c r="AU33" s="60" t="s">
        <v>125</v>
      </c>
      <c r="AV33" s="60" t="s">
        <v>125</v>
      </c>
      <c r="AW33" s="69"/>
      <c r="AX33" s="60" t="s">
        <v>125</v>
      </c>
      <c r="AY33" s="60" t="s">
        <v>125</v>
      </c>
      <c r="AZ33" s="60" t="s">
        <v>125</v>
      </c>
      <c r="BA33" s="60" t="s">
        <v>125</v>
      </c>
      <c r="BB33" s="60" t="s">
        <v>125</v>
      </c>
      <c r="BC33" s="60" t="s">
        <v>125</v>
      </c>
      <c r="BD33" s="69"/>
      <c r="BE33" s="60" t="s">
        <v>125</v>
      </c>
      <c r="BF33" s="60" t="s">
        <v>125</v>
      </c>
      <c r="BG33" s="60" t="s">
        <v>125</v>
      </c>
      <c r="BH33" s="60" t="s">
        <v>125</v>
      </c>
      <c r="BI33" s="60" t="s">
        <v>125</v>
      </c>
      <c r="BJ33" s="60" t="s">
        <v>125</v>
      </c>
      <c r="BK33" s="69"/>
      <c r="BL33" s="60" t="s">
        <v>125</v>
      </c>
      <c r="BM33" s="60" t="s">
        <v>125</v>
      </c>
      <c r="BN33" s="60" t="s">
        <v>125</v>
      </c>
      <c r="BO33" s="60" t="s">
        <v>125</v>
      </c>
      <c r="BP33" s="63"/>
      <c r="BQ33" s="63"/>
      <c r="BR33" s="63"/>
      <c r="BS33" s="63"/>
      <c r="BT33" s="63"/>
      <c r="BU33" s="63"/>
      <c r="BV33" s="63"/>
    </row>
    <row r="34">
      <c r="A34" s="21">
        <v>31.0</v>
      </c>
      <c r="B34" s="28" t="s">
        <v>214</v>
      </c>
      <c r="C34" s="28" t="s">
        <v>216</v>
      </c>
      <c r="D34" s="21">
        <f t="shared" si="2"/>
        <v>31</v>
      </c>
      <c r="E34" s="21">
        <f t="shared" si="3"/>
        <v>21</v>
      </c>
      <c r="F34" s="21">
        <f t="shared" si="4"/>
        <v>52</v>
      </c>
      <c r="G34" s="53">
        <f t="shared" si="5"/>
        <v>59.61538462</v>
      </c>
      <c r="H34" s="56" t="s">
        <v>127</v>
      </c>
      <c r="I34" s="56" t="s">
        <v>127</v>
      </c>
      <c r="J34" s="56" t="s">
        <v>127</v>
      </c>
      <c r="K34" s="56" t="s">
        <v>127</v>
      </c>
      <c r="L34" s="56" t="s">
        <v>127</v>
      </c>
      <c r="M34" s="56" t="s">
        <v>127</v>
      </c>
      <c r="N34" s="68"/>
      <c r="O34" s="56" t="s">
        <v>127</v>
      </c>
      <c r="P34" s="56" t="s">
        <v>127</v>
      </c>
      <c r="Q34" s="56" t="s">
        <v>127</v>
      </c>
      <c r="R34" s="56" t="s">
        <v>127</v>
      </c>
      <c r="S34" s="56" t="s">
        <v>127</v>
      </c>
      <c r="T34" s="56" t="s">
        <v>127</v>
      </c>
      <c r="U34" s="69"/>
      <c r="V34" s="56" t="s">
        <v>127</v>
      </c>
      <c r="W34" s="56" t="s">
        <v>127</v>
      </c>
      <c r="X34" s="72" t="s">
        <v>127</v>
      </c>
      <c r="Y34" s="72" t="s">
        <v>127</v>
      </c>
      <c r="Z34" s="72" t="s">
        <v>127</v>
      </c>
      <c r="AA34" s="72" t="s">
        <v>127</v>
      </c>
      <c r="AB34" s="69"/>
      <c r="AC34" s="72" t="s">
        <v>127</v>
      </c>
      <c r="AD34" s="72" t="s">
        <v>127</v>
      </c>
      <c r="AE34" s="72" t="s">
        <v>127</v>
      </c>
      <c r="AF34" s="72" t="s">
        <v>127</v>
      </c>
      <c r="AG34" s="72" t="s">
        <v>127</v>
      </c>
      <c r="AH34" s="72" t="s">
        <v>127</v>
      </c>
      <c r="AI34" s="69"/>
      <c r="AJ34" s="72" t="s">
        <v>127</v>
      </c>
      <c r="AK34" s="72" t="s">
        <v>127</v>
      </c>
      <c r="AL34" s="72" t="s">
        <v>127</v>
      </c>
      <c r="AM34" s="72" t="s">
        <v>127</v>
      </c>
      <c r="AN34" s="72" t="s">
        <v>127</v>
      </c>
      <c r="AO34" s="72" t="s">
        <v>127</v>
      </c>
      <c r="AP34" s="69"/>
      <c r="AQ34" s="72" t="s">
        <v>127</v>
      </c>
      <c r="AR34" s="60" t="s">
        <v>125</v>
      </c>
      <c r="AS34" s="60" t="s">
        <v>125</v>
      </c>
      <c r="AT34" s="60" t="s">
        <v>125</v>
      </c>
      <c r="AU34" s="60" t="s">
        <v>125</v>
      </c>
      <c r="AV34" s="60" t="s">
        <v>125</v>
      </c>
      <c r="AW34" s="69"/>
      <c r="AX34" s="60" t="s">
        <v>125</v>
      </c>
      <c r="AY34" s="60" t="s">
        <v>125</v>
      </c>
      <c r="AZ34" s="60" t="s">
        <v>125</v>
      </c>
      <c r="BA34" s="60" t="s">
        <v>125</v>
      </c>
      <c r="BB34" s="60" t="s">
        <v>125</v>
      </c>
      <c r="BC34" s="60" t="s">
        <v>125</v>
      </c>
      <c r="BD34" s="59"/>
      <c r="BE34" s="60" t="s">
        <v>125</v>
      </c>
      <c r="BF34" s="60" t="s">
        <v>125</v>
      </c>
      <c r="BG34" s="60" t="s">
        <v>125</v>
      </c>
      <c r="BH34" s="60" t="s">
        <v>125</v>
      </c>
      <c r="BI34" s="60" t="s">
        <v>125</v>
      </c>
      <c r="BJ34" s="60" t="s">
        <v>125</v>
      </c>
      <c r="BK34" s="69"/>
      <c r="BL34" s="60" t="s">
        <v>125</v>
      </c>
      <c r="BM34" s="60" t="s">
        <v>125</v>
      </c>
      <c r="BN34" s="60" t="s">
        <v>125</v>
      </c>
      <c r="BO34" s="60" t="s">
        <v>125</v>
      </c>
      <c r="BP34" s="63"/>
      <c r="BQ34" s="63"/>
      <c r="BR34" s="63"/>
      <c r="BS34" s="63"/>
      <c r="BT34" s="63"/>
      <c r="BU34" s="63"/>
      <c r="BV34" s="63"/>
    </row>
    <row r="35">
      <c r="A35" s="21">
        <v>32.0</v>
      </c>
      <c r="B35" s="28" t="s">
        <v>219</v>
      </c>
      <c r="C35" s="28" t="s">
        <v>220</v>
      </c>
      <c r="D35" s="21">
        <f t="shared" si="2"/>
        <v>27</v>
      </c>
      <c r="E35" s="21">
        <f t="shared" si="3"/>
        <v>25</v>
      </c>
      <c r="F35" s="21">
        <f t="shared" si="4"/>
        <v>52</v>
      </c>
      <c r="G35" s="53">
        <f t="shared" si="5"/>
        <v>51.92307692</v>
      </c>
      <c r="H35" s="73" t="s">
        <v>125</v>
      </c>
      <c r="I35" s="56" t="s">
        <v>127</v>
      </c>
      <c r="J35" s="56" t="s">
        <v>127</v>
      </c>
      <c r="K35" s="56" t="s">
        <v>127</v>
      </c>
      <c r="L35" s="56" t="s">
        <v>127</v>
      </c>
      <c r="M35" s="56" t="s">
        <v>127</v>
      </c>
      <c r="N35" s="68"/>
      <c r="O35" s="56" t="s">
        <v>127</v>
      </c>
      <c r="P35" s="56" t="s">
        <v>127</v>
      </c>
      <c r="Q35" s="56" t="s">
        <v>127</v>
      </c>
      <c r="R35" s="56" t="s">
        <v>127</v>
      </c>
      <c r="S35" s="56" t="s">
        <v>127</v>
      </c>
      <c r="T35" s="56" t="s">
        <v>127</v>
      </c>
      <c r="U35" s="69"/>
      <c r="V35" s="56" t="s">
        <v>127</v>
      </c>
      <c r="W35" s="56" t="s">
        <v>127</v>
      </c>
      <c r="X35" s="72" t="s">
        <v>127</v>
      </c>
      <c r="Y35" s="72" t="s">
        <v>127</v>
      </c>
      <c r="Z35" s="72" t="s">
        <v>127</v>
      </c>
      <c r="AA35" s="72" t="s">
        <v>127</v>
      </c>
      <c r="AB35" s="69"/>
      <c r="AC35" s="60" t="s">
        <v>125</v>
      </c>
      <c r="AD35" s="72" t="s">
        <v>127</v>
      </c>
      <c r="AE35" s="60" t="s">
        <v>125</v>
      </c>
      <c r="AF35" s="72" t="s">
        <v>127</v>
      </c>
      <c r="AG35" s="72" t="s">
        <v>127</v>
      </c>
      <c r="AH35" s="60" t="s">
        <v>125</v>
      </c>
      <c r="AI35" s="69"/>
      <c r="AJ35" s="72" t="s">
        <v>127</v>
      </c>
      <c r="AK35" s="72" t="s">
        <v>127</v>
      </c>
      <c r="AL35" s="72" t="s">
        <v>127</v>
      </c>
      <c r="AM35" s="72" t="s">
        <v>127</v>
      </c>
      <c r="AN35" s="72" t="s">
        <v>127</v>
      </c>
      <c r="AO35" s="72" t="s">
        <v>127</v>
      </c>
      <c r="AP35" s="69"/>
      <c r="AQ35" s="60" t="s">
        <v>125</v>
      </c>
      <c r="AR35" s="72" t="s">
        <v>127</v>
      </c>
      <c r="AS35" s="60" t="s">
        <v>125</v>
      </c>
      <c r="AT35" s="60" t="s">
        <v>125</v>
      </c>
      <c r="AU35" s="60" t="s">
        <v>125</v>
      </c>
      <c r="AV35" s="60" t="s">
        <v>125</v>
      </c>
      <c r="AW35" s="69"/>
      <c r="AX35" s="60" t="s">
        <v>125</v>
      </c>
      <c r="AY35" s="60" t="s">
        <v>125</v>
      </c>
      <c r="AZ35" s="60" t="s">
        <v>125</v>
      </c>
      <c r="BA35" s="60" t="s">
        <v>125</v>
      </c>
      <c r="BB35" s="60" t="s">
        <v>125</v>
      </c>
      <c r="BC35" s="60" t="s">
        <v>125</v>
      </c>
      <c r="BD35" s="69"/>
      <c r="BE35" s="60" t="s">
        <v>125</v>
      </c>
      <c r="BF35" s="60" t="s">
        <v>125</v>
      </c>
      <c r="BG35" s="60" t="s">
        <v>125</v>
      </c>
      <c r="BH35" s="60" t="s">
        <v>125</v>
      </c>
      <c r="BI35" s="60" t="s">
        <v>125</v>
      </c>
      <c r="BJ35" s="60" t="s">
        <v>125</v>
      </c>
      <c r="BK35" s="69"/>
      <c r="BL35" s="60" t="s">
        <v>125</v>
      </c>
      <c r="BM35" s="60" t="s">
        <v>125</v>
      </c>
      <c r="BN35" s="60" t="s">
        <v>125</v>
      </c>
      <c r="BO35" s="60" t="s">
        <v>125</v>
      </c>
      <c r="BP35" s="63"/>
      <c r="BQ35" s="63"/>
      <c r="BR35" s="63"/>
      <c r="BS35" s="63"/>
      <c r="BT35" s="63"/>
      <c r="BU35" s="63"/>
      <c r="BV35" s="63"/>
    </row>
    <row r="36" ht="24.0" customHeight="1">
      <c r="A36" s="21">
        <v>33.0</v>
      </c>
      <c r="B36" s="28" t="s">
        <v>228</v>
      </c>
      <c r="C36" s="47" t="s">
        <v>229</v>
      </c>
      <c r="D36" s="21">
        <f t="shared" si="2"/>
        <v>45</v>
      </c>
      <c r="E36" s="21">
        <f t="shared" si="3"/>
        <v>7</v>
      </c>
      <c r="F36" s="21">
        <f t="shared" si="4"/>
        <v>52</v>
      </c>
      <c r="G36" s="53">
        <f t="shared" si="5"/>
        <v>86.53846154</v>
      </c>
      <c r="H36" s="73" t="s">
        <v>125</v>
      </c>
      <c r="I36" s="56" t="s">
        <v>127</v>
      </c>
      <c r="J36" s="73" t="s">
        <v>125</v>
      </c>
      <c r="K36" s="56" t="s">
        <v>127</v>
      </c>
      <c r="L36" s="56" t="s">
        <v>127</v>
      </c>
      <c r="M36" s="73" t="s">
        <v>125</v>
      </c>
      <c r="N36" s="89" t="s">
        <v>138</v>
      </c>
      <c r="O36" s="56" t="s">
        <v>127</v>
      </c>
      <c r="P36" s="56" t="s">
        <v>127</v>
      </c>
      <c r="Q36" s="56" t="s">
        <v>127</v>
      </c>
      <c r="R36" s="56" t="s">
        <v>127</v>
      </c>
      <c r="S36" s="56" t="s">
        <v>127</v>
      </c>
      <c r="T36" s="56" t="s">
        <v>127</v>
      </c>
      <c r="U36" s="90" t="s">
        <v>138</v>
      </c>
      <c r="V36" s="73" t="s">
        <v>125</v>
      </c>
      <c r="W36" s="56" t="s">
        <v>127</v>
      </c>
      <c r="X36" s="72" t="s">
        <v>127</v>
      </c>
      <c r="Y36" s="72" t="s">
        <v>127</v>
      </c>
      <c r="Z36" s="72" t="s">
        <v>127</v>
      </c>
      <c r="AA36" s="60" t="s">
        <v>125</v>
      </c>
      <c r="AB36" s="90" t="s">
        <v>138</v>
      </c>
      <c r="AC36" s="72" t="s">
        <v>127</v>
      </c>
      <c r="AD36" s="72" t="s">
        <v>127</v>
      </c>
      <c r="AE36" s="72" t="s">
        <v>127</v>
      </c>
      <c r="AF36" s="60" t="s">
        <v>125</v>
      </c>
      <c r="AG36" s="72" t="s">
        <v>127</v>
      </c>
      <c r="AH36" s="72" t="s">
        <v>127</v>
      </c>
      <c r="AI36" s="69"/>
      <c r="AJ36" s="72" t="s">
        <v>127</v>
      </c>
      <c r="AK36" s="72" t="s">
        <v>127</v>
      </c>
      <c r="AL36" s="72" t="s">
        <v>127</v>
      </c>
      <c r="AM36" s="60" t="s">
        <v>125</v>
      </c>
      <c r="AN36" s="72" t="s">
        <v>127</v>
      </c>
      <c r="AO36" s="72" t="s">
        <v>127</v>
      </c>
      <c r="AP36" s="69"/>
      <c r="AQ36" s="72" t="s">
        <v>127</v>
      </c>
      <c r="AR36" s="72" t="s">
        <v>127</v>
      </c>
      <c r="AS36" s="72" t="s">
        <v>127</v>
      </c>
      <c r="AT36" s="72" t="s">
        <v>127</v>
      </c>
      <c r="AU36" s="72" t="s">
        <v>127</v>
      </c>
      <c r="AV36" s="72" t="s">
        <v>127</v>
      </c>
      <c r="AW36" s="90" t="s">
        <v>138</v>
      </c>
      <c r="AX36" s="72" t="s">
        <v>127</v>
      </c>
      <c r="AY36" s="72" t="s">
        <v>127</v>
      </c>
      <c r="AZ36" s="72" t="s">
        <v>127</v>
      </c>
      <c r="BA36" s="72" t="s">
        <v>127</v>
      </c>
      <c r="BB36" s="72" t="s">
        <v>127</v>
      </c>
      <c r="BC36" s="72" t="s">
        <v>127</v>
      </c>
      <c r="BD36" s="69"/>
      <c r="BE36" s="72" t="s">
        <v>127</v>
      </c>
      <c r="BF36" s="72" t="s">
        <v>127</v>
      </c>
      <c r="BG36" s="72" t="s">
        <v>127</v>
      </c>
      <c r="BH36" s="72" t="s">
        <v>127</v>
      </c>
      <c r="BI36" s="72" t="s">
        <v>127</v>
      </c>
      <c r="BJ36" s="72" t="s">
        <v>127</v>
      </c>
      <c r="BK36" s="69"/>
      <c r="BL36" s="72" t="s">
        <v>127</v>
      </c>
      <c r="BM36" s="72" t="s">
        <v>127</v>
      </c>
      <c r="BN36" s="72" t="s">
        <v>127</v>
      </c>
      <c r="BO36" s="72" t="s">
        <v>127</v>
      </c>
      <c r="BP36" s="63"/>
      <c r="BQ36" s="63"/>
      <c r="BR36" s="63"/>
      <c r="BS36" s="63"/>
      <c r="BT36" s="63"/>
      <c r="BU36" s="63"/>
      <c r="BV36" s="63"/>
    </row>
    <row r="37">
      <c r="A37" s="21">
        <v>34.0</v>
      </c>
      <c r="B37" s="80" t="s">
        <v>233</v>
      </c>
      <c r="C37" s="80" t="s">
        <v>235</v>
      </c>
      <c r="D37" s="21">
        <f t="shared" si="2"/>
        <v>38</v>
      </c>
      <c r="E37" s="21">
        <f t="shared" si="3"/>
        <v>14</v>
      </c>
      <c r="F37" s="21">
        <f t="shared" si="4"/>
        <v>52</v>
      </c>
      <c r="G37" s="53">
        <f t="shared" si="5"/>
        <v>73.07692308</v>
      </c>
      <c r="H37" s="54" t="s">
        <v>125</v>
      </c>
      <c r="I37" s="54" t="s">
        <v>125</v>
      </c>
      <c r="J37" s="54" t="s">
        <v>125</v>
      </c>
      <c r="K37" s="55" t="s">
        <v>127</v>
      </c>
      <c r="L37" s="55" t="s">
        <v>127</v>
      </c>
      <c r="M37" s="55" t="s">
        <v>127</v>
      </c>
      <c r="N37" s="68"/>
      <c r="O37" s="54" t="s">
        <v>125</v>
      </c>
      <c r="P37" s="54" t="s">
        <v>125</v>
      </c>
      <c r="Q37" s="54" t="s">
        <v>125</v>
      </c>
      <c r="R37" s="54" t="s">
        <v>125</v>
      </c>
      <c r="S37" s="54" t="s">
        <v>125</v>
      </c>
      <c r="T37" s="73" t="s">
        <v>125</v>
      </c>
      <c r="U37" s="69"/>
      <c r="V37" s="73" t="s">
        <v>125</v>
      </c>
      <c r="W37" s="73" t="s">
        <v>125</v>
      </c>
      <c r="X37" s="60" t="s">
        <v>125</v>
      </c>
      <c r="Y37" s="60" t="s">
        <v>125</v>
      </c>
      <c r="Z37" s="72" t="s">
        <v>127</v>
      </c>
      <c r="AA37" s="72" t="s">
        <v>127</v>
      </c>
      <c r="AB37" s="69"/>
      <c r="AC37" s="72" t="s">
        <v>127</v>
      </c>
      <c r="AD37" s="72" t="s">
        <v>127</v>
      </c>
      <c r="AE37" s="72" t="s">
        <v>127</v>
      </c>
      <c r="AF37" s="72" t="s">
        <v>127</v>
      </c>
      <c r="AG37" s="60" t="s">
        <v>125</v>
      </c>
      <c r="AH37" s="72" t="s">
        <v>127</v>
      </c>
      <c r="AI37" s="69"/>
      <c r="AJ37" s="72" t="s">
        <v>127</v>
      </c>
      <c r="AK37" s="72" t="s">
        <v>127</v>
      </c>
      <c r="AL37" s="72" t="s">
        <v>127</v>
      </c>
      <c r="AM37" s="72" t="s">
        <v>127</v>
      </c>
      <c r="AN37" s="72" t="s">
        <v>127</v>
      </c>
      <c r="AO37" s="72" t="s">
        <v>127</v>
      </c>
      <c r="AP37" s="69"/>
      <c r="AQ37" s="72" t="s">
        <v>127</v>
      </c>
      <c r="AR37" s="72" t="s">
        <v>127</v>
      </c>
      <c r="AS37" s="72" t="s">
        <v>127</v>
      </c>
      <c r="AT37" s="72" t="s">
        <v>127</v>
      </c>
      <c r="AU37" s="72" t="s">
        <v>127</v>
      </c>
      <c r="AV37" s="72" t="s">
        <v>127</v>
      </c>
      <c r="AW37" s="59"/>
      <c r="AX37" s="72" t="s">
        <v>127</v>
      </c>
      <c r="AY37" s="72" t="s">
        <v>127</v>
      </c>
      <c r="AZ37" s="72" t="s">
        <v>127</v>
      </c>
      <c r="BA37" s="72" t="s">
        <v>127</v>
      </c>
      <c r="BB37" s="72" t="s">
        <v>127</v>
      </c>
      <c r="BC37" s="72" t="s">
        <v>127</v>
      </c>
      <c r="BD37" s="69"/>
      <c r="BE37" s="72" t="s">
        <v>127</v>
      </c>
      <c r="BF37" s="72" t="s">
        <v>127</v>
      </c>
      <c r="BG37" s="72" t="s">
        <v>127</v>
      </c>
      <c r="BH37" s="72" t="s">
        <v>127</v>
      </c>
      <c r="BI37" s="72" t="s">
        <v>127</v>
      </c>
      <c r="BJ37" s="72" t="s">
        <v>127</v>
      </c>
      <c r="BK37" s="69"/>
      <c r="BL37" s="72" t="s">
        <v>127</v>
      </c>
      <c r="BM37" s="72" t="s">
        <v>127</v>
      </c>
      <c r="BN37" s="72" t="s">
        <v>127</v>
      </c>
      <c r="BO37" s="72" t="s">
        <v>127</v>
      </c>
      <c r="BP37" s="63"/>
      <c r="BQ37" s="63"/>
      <c r="BR37" s="63"/>
      <c r="BS37" s="63"/>
      <c r="BT37" s="63"/>
      <c r="BU37" s="63"/>
      <c r="BV37" s="63"/>
    </row>
    <row r="38">
      <c r="A38" s="21">
        <v>35.0</v>
      </c>
      <c r="B38" s="28" t="s">
        <v>237</v>
      </c>
      <c r="C38" s="28" t="s">
        <v>238</v>
      </c>
      <c r="D38" s="21">
        <f t="shared" si="2"/>
        <v>49</v>
      </c>
      <c r="E38" s="21">
        <f t="shared" si="3"/>
        <v>3</v>
      </c>
      <c r="F38" s="21">
        <f t="shared" si="4"/>
        <v>52</v>
      </c>
      <c r="G38" s="53">
        <f t="shared" si="5"/>
        <v>94.23076923</v>
      </c>
      <c r="H38" s="73" t="s">
        <v>125</v>
      </c>
      <c r="I38" s="56" t="s">
        <v>127</v>
      </c>
      <c r="J38" s="56" t="s">
        <v>127</v>
      </c>
      <c r="K38" s="56" t="s">
        <v>127</v>
      </c>
      <c r="L38" s="56" t="s">
        <v>127</v>
      </c>
      <c r="M38" s="56" t="s">
        <v>127</v>
      </c>
      <c r="N38" s="68"/>
      <c r="O38" s="56" t="s">
        <v>127</v>
      </c>
      <c r="P38" s="56" t="s">
        <v>127</v>
      </c>
      <c r="Q38" s="56" t="s">
        <v>127</v>
      </c>
      <c r="R38" s="56" t="s">
        <v>127</v>
      </c>
      <c r="S38" s="56" t="s">
        <v>127</v>
      </c>
      <c r="T38" s="56" t="s">
        <v>127</v>
      </c>
      <c r="U38" s="69"/>
      <c r="V38" s="56" t="s">
        <v>127</v>
      </c>
      <c r="W38" s="56" t="s">
        <v>127</v>
      </c>
      <c r="X38" s="72" t="s">
        <v>127</v>
      </c>
      <c r="Y38" s="72" t="s">
        <v>127</v>
      </c>
      <c r="Z38" s="72" t="s">
        <v>127</v>
      </c>
      <c r="AA38" s="72" t="s">
        <v>127</v>
      </c>
      <c r="AB38" s="69"/>
      <c r="AC38" s="72" t="s">
        <v>127</v>
      </c>
      <c r="AD38" s="72" t="s">
        <v>127</v>
      </c>
      <c r="AE38" s="72" t="s">
        <v>127</v>
      </c>
      <c r="AF38" s="72" t="s">
        <v>127</v>
      </c>
      <c r="AG38" s="72" t="s">
        <v>127</v>
      </c>
      <c r="AH38" s="60" t="s">
        <v>125</v>
      </c>
      <c r="AI38" s="69"/>
      <c r="AJ38" s="72" t="s">
        <v>127</v>
      </c>
      <c r="AK38" s="72" t="s">
        <v>127</v>
      </c>
      <c r="AL38" s="72" t="s">
        <v>127</v>
      </c>
      <c r="AM38" s="72" t="s">
        <v>127</v>
      </c>
      <c r="AN38" s="72" t="s">
        <v>127</v>
      </c>
      <c r="AO38" s="60" t="s">
        <v>125</v>
      </c>
      <c r="AP38" s="69"/>
      <c r="AQ38" s="72" t="s">
        <v>127</v>
      </c>
      <c r="AR38" s="72" t="s">
        <v>127</v>
      </c>
      <c r="AS38" s="72" t="s">
        <v>127</v>
      </c>
      <c r="AT38" s="72" t="s">
        <v>127</v>
      </c>
      <c r="AU38" s="72" t="s">
        <v>127</v>
      </c>
      <c r="AV38" s="72" t="s">
        <v>127</v>
      </c>
      <c r="AW38" s="69"/>
      <c r="AX38" s="72" t="s">
        <v>127</v>
      </c>
      <c r="AY38" s="72" t="s">
        <v>127</v>
      </c>
      <c r="AZ38" s="72" t="s">
        <v>127</v>
      </c>
      <c r="BA38" s="72" t="s">
        <v>127</v>
      </c>
      <c r="BB38" s="72" t="s">
        <v>127</v>
      </c>
      <c r="BC38" s="72" t="s">
        <v>127</v>
      </c>
      <c r="BD38" s="69"/>
      <c r="BE38" s="72" t="s">
        <v>127</v>
      </c>
      <c r="BF38" s="72" t="s">
        <v>127</v>
      </c>
      <c r="BG38" s="72" t="s">
        <v>127</v>
      </c>
      <c r="BH38" s="72" t="s">
        <v>127</v>
      </c>
      <c r="BI38" s="72" t="s">
        <v>127</v>
      </c>
      <c r="BJ38" s="72" t="s">
        <v>127</v>
      </c>
      <c r="BK38" s="69"/>
      <c r="BL38" s="72" t="s">
        <v>127</v>
      </c>
      <c r="BM38" s="72" t="s">
        <v>127</v>
      </c>
      <c r="BN38" s="72" t="s">
        <v>127</v>
      </c>
      <c r="BO38" s="72" t="s">
        <v>127</v>
      </c>
      <c r="BP38" s="63"/>
      <c r="BQ38" s="63"/>
      <c r="BR38" s="63"/>
      <c r="BS38" s="63"/>
      <c r="BT38" s="63"/>
      <c r="BU38" s="63"/>
      <c r="BV38" s="63"/>
    </row>
    <row r="39">
      <c r="A39" s="21">
        <v>36.0</v>
      </c>
      <c r="B39" s="28" t="s">
        <v>241</v>
      </c>
      <c r="C39" s="28" t="s">
        <v>242</v>
      </c>
      <c r="D39" s="21">
        <f t="shared" si="2"/>
        <v>51</v>
      </c>
      <c r="E39" s="21">
        <f t="shared" si="3"/>
        <v>1</v>
      </c>
      <c r="F39" s="21">
        <f t="shared" si="4"/>
        <v>52</v>
      </c>
      <c r="G39" s="53">
        <f t="shared" si="5"/>
        <v>98.07692308</v>
      </c>
      <c r="H39" s="56" t="s">
        <v>127</v>
      </c>
      <c r="I39" s="56" t="s">
        <v>127</v>
      </c>
      <c r="J39" s="56" t="s">
        <v>127</v>
      </c>
      <c r="K39" s="56" t="s">
        <v>127</v>
      </c>
      <c r="L39" s="56" t="s">
        <v>127</v>
      </c>
      <c r="M39" s="56" t="s">
        <v>127</v>
      </c>
      <c r="N39" s="68"/>
      <c r="O39" s="56" t="s">
        <v>127</v>
      </c>
      <c r="P39" s="56" t="s">
        <v>127</v>
      </c>
      <c r="Q39" s="56" t="s">
        <v>127</v>
      </c>
      <c r="R39" s="56" t="s">
        <v>127</v>
      </c>
      <c r="S39" s="56" t="s">
        <v>127</v>
      </c>
      <c r="T39" s="56" t="s">
        <v>127</v>
      </c>
      <c r="U39" s="69"/>
      <c r="V39" s="56" t="s">
        <v>127</v>
      </c>
      <c r="W39" s="56" t="s">
        <v>127</v>
      </c>
      <c r="X39" s="72" t="s">
        <v>127</v>
      </c>
      <c r="Y39" s="72" t="s">
        <v>127</v>
      </c>
      <c r="Z39" s="72" t="s">
        <v>127</v>
      </c>
      <c r="AA39" s="72" t="s">
        <v>127</v>
      </c>
      <c r="AB39" s="69"/>
      <c r="AC39" s="72" t="s">
        <v>127</v>
      </c>
      <c r="AD39" s="72" t="s">
        <v>127</v>
      </c>
      <c r="AE39" s="72" t="s">
        <v>127</v>
      </c>
      <c r="AF39" s="60" t="s">
        <v>125</v>
      </c>
      <c r="AG39" s="72" t="s">
        <v>127</v>
      </c>
      <c r="AH39" s="72" t="s">
        <v>127</v>
      </c>
      <c r="AI39" s="69"/>
      <c r="AJ39" s="72" t="s">
        <v>127</v>
      </c>
      <c r="AK39" s="72" t="s">
        <v>127</v>
      </c>
      <c r="AL39" s="72" t="s">
        <v>127</v>
      </c>
      <c r="AM39" s="72" t="s">
        <v>127</v>
      </c>
      <c r="AN39" s="72" t="s">
        <v>127</v>
      </c>
      <c r="AO39" s="72" t="s">
        <v>127</v>
      </c>
      <c r="AP39" s="69"/>
      <c r="AQ39" s="72" t="s">
        <v>127</v>
      </c>
      <c r="AR39" s="72" t="s">
        <v>127</v>
      </c>
      <c r="AS39" s="72" t="s">
        <v>127</v>
      </c>
      <c r="AT39" s="72" t="s">
        <v>127</v>
      </c>
      <c r="AU39" s="72" t="s">
        <v>127</v>
      </c>
      <c r="AV39" s="72" t="s">
        <v>127</v>
      </c>
      <c r="AW39" s="69"/>
      <c r="AX39" s="72" t="s">
        <v>127</v>
      </c>
      <c r="AY39" s="72" t="s">
        <v>127</v>
      </c>
      <c r="AZ39" s="72" t="s">
        <v>127</v>
      </c>
      <c r="BA39" s="72" t="s">
        <v>127</v>
      </c>
      <c r="BB39" s="72" t="s">
        <v>127</v>
      </c>
      <c r="BC39" s="72" t="s">
        <v>127</v>
      </c>
      <c r="BD39" s="69"/>
      <c r="BE39" s="72" t="s">
        <v>127</v>
      </c>
      <c r="BF39" s="72" t="s">
        <v>127</v>
      </c>
      <c r="BG39" s="72" t="s">
        <v>127</v>
      </c>
      <c r="BH39" s="72" t="s">
        <v>127</v>
      </c>
      <c r="BI39" s="72" t="s">
        <v>127</v>
      </c>
      <c r="BJ39" s="72" t="s">
        <v>127</v>
      </c>
      <c r="BK39" s="69"/>
      <c r="BL39" s="72" t="s">
        <v>127</v>
      </c>
      <c r="BM39" s="72" t="s">
        <v>127</v>
      </c>
      <c r="BN39" s="72" t="s">
        <v>127</v>
      </c>
      <c r="BO39" s="72" t="s">
        <v>127</v>
      </c>
      <c r="BP39" s="63"/>
      <c r="BQ39" s="63"/>
      <c r="BR39" s="63"/>
      <c r="BS39" s="63"/>
      <c r="BT39" s="63"/>
      <c r="BU39" s="63"/>
      <c r="BV39" s="63"/>
    </row>
    <row r="40">
      <c r="A40" s="21">
        <v>37.0</v>
      </c>
      <c r="B40" s="28" t="s">
        <v>244</v>
      </c>
      <c r="C40" s="28" t="s">
        <v>245</v>
      </c>
      <c r="D40" s="21">
        <f t="shared" si="2"/>
        <v>50</v>
      </c>
      <c r="E40" s="21">
        <f t="shared" si="3"/>
        <v>2</v>
      </c>
      <c r="F40" s="21">
        <f t="shared" si="4"/>
        <v>52</v>
      </c>
      <c r="G40" s="53">
        <f t="shared" si="5"/>
        <v>96.15384615</v>
      </c>
      <c r="H40" s="56" t="s">
        <v>127</v>
      </c>
      <c r="I40" s="56" t="s">
        <v>127</v>
      </c>
      <c r="J40" s="56" t="s">
        <v>127</v>
      </c>
      <c r="K40" s="56" t="s">
        <v>127</v>
      </c>
      <c r="L40" s="56" t="s">
        <v>127</v>
      </c>
      <c r="M40" s="56" t="s">
        <v>127</v>
      </c>
      <c r="N40" s="68"/>
      <c r="O40" s="56" t="s">
        <v>127</v>
      </c>
      <c r="P40" s="56" t="s">
        <v>127</v>
      </c>
      <c r="Q40" s="56" t="s">
        <v>127</v>
      </c>
      <c r="R40" s="56" t="s">
        <v>127</v>
      </c>
      <c r="S40" s="56" t="s">
        <v>127</v>
      </c>
      <c r="T40" s="56" t="s">
        <v>127</v>
      </c>
      <c r="U40" s="69"/>
      <c r="V40" s="56" t="s">
        <v>127</v>
      </c>
      <c r="W40" s="56" t="s">
        <v>127</v>
      </c>
      <c r="X40" s="72" t="s">
        <v>127</v>
      </c>
      <c r="Y40" s="72" t="s">
        <v>127</v>
      </c>
      <c r="Z40" s="72" t="s">
        <v>127</v>
      </c>
      <c r="AA40" s="72" t="s">
        <v>127</v>
      </c>
      <c r="AB40" s="69"/>
      <c r="AC40" s="72" t="s">
        <v>127</v>
      </c>
      <c r="AD40" s="72" t="s">
        <v>127</v>
      </c>
      <c r="AE40" s="72" t="s">
        <v>127</v>
      </c>
      <c r="AF40" s="72" t="s">
        <v>127</v>
      </c>
      <c r="AG40" s="60" t="s">
        <v>125</v>
      </c>
      <c r="AH40" s="72" t="s">
        <v>127</v>
      </c>
      <c r="AI40" s="69"/>
      <c r="AJ40" s="72" t="s">
        <v>127</v>
      </c>
      <c r="AK40" s="72" t="s">
        <v>127</v>
      </c>
      <c r="AL40" s="72" t="s">
        <v>127</v>
      </c>
      <c r="AM40" s="72" t="s">
        <v>127</v>
      </c>
      <c r="AN40" s="60" t="s">
        <v>125</v>
      </c>
      <c r="AO40" s="72" t="s">
        <v>127</v>
      </c>
      <c r="AP40" s="69"/>
      <c r="AQ40" s="72" t="s">
        <v>127</v>
      </c>
      <c r="AR40" s="72" t="s">
        <v>127</v>
      </c>
      <c r="AS40" s="72" t="s">
        <v>127</v>
      </c>
      <c r="AT40" s="72" t="s">
        <v>127</v>
      </c>
      <c r="AU40" s="72" t="s">
        <v>127</v>
      </c>
      <c r="AV40" s="72" t="s">
        <v>127</v>
      </c>
      <c r="AW40" s="69"/>
      <c r="AX40" s="72" t="s">
        <v>127</v>
      </c>
      <c r="AY40" s="72" t="s">
        <v>127</v>
      </c>
      <c r="AZ40" s="72" t="s">
        <v>127</v>
      </c>
      <c r="BA40" s="72" t="s">
        <v>127</v>
      </c>
      <c r="BB40" s="72" t="s">
        <v>127</v>
      </c>
      <c r="BC40" s="72" t="s">
        <v>127</v>
      </c>
      <c r="BD40" s="69"/>
      <c r="BE40" s="72" t="s">
        <v>127</v>
      </c>
      <c r="BF40" s="72" t="s">
        <v>127</v>
      </c>
      <c r="BG40" s="72" t="s">
        <v>127</v>
      </c>
      <c r="BH40" s="72" t="s">
        <v>127</v>
      </c>
      <c r="BI40" s="72" t="s">
        <v>127</v>
      </c>
      <c r="BJ40" s="72" t="s">
        <v>127</v>
      </c>
      <c r="BK40" s="69"/>
      <c r="BL40" s="72" t="s">
        <v>127</v>
      </c>
      <c r="BM40" s="72" t="s">
        <v>127</v>
      </c>
      <c r="BN40" s="72" t="s">
        <v>127</v>
      </c>
      <c r="BO40" s="72" t="s">
        <v>127</v>
      </c>
      <c r="BP40" s="63"/>
      <c r="BQ40" s="63"/>
      <c r="BR40" s="63"/>
      <c r="BS40" s="63"/>
      <c r="BT40" s="63"/>
      <c r="BU40" s="63"/>
      <c r="BV40" s="63"/>
    </row>
    <row r="41">
      <c r="A41" s="21">
        <v>38.0</v>
      </c>
      <c r="B41" s="21" t="s">
        <v>249</v>
      </c>
      <c r="C41" s="21" t="s">
        <v>250</v>
      </c>
      <c r="D41" s="21">
        <f t="shared" si="2"/>
        <v>33</v>
      </c>
      <c r="E41" s="21">
        <f t="shared" si="3"/>
        <v>19</v>
      </c>
      <c r="F41" s="21">
        <f t="shared" si="4"/>
        <v>52</v>
      </c>
      <c r="G41" s="53">
        <f t="shared" si="5"/>
        <v>63.46153846</v>
      </c>
      <c r="H41" s="73" t="s">
        <v>125</v>
      </c>
      <c r="I41" s="56" t="s">
        <v>127</v>
      </c>
      <c r="J41" s="56" t="s">
        <v>127</v>
      </c>
      <c r="K41" s="73" t="s">
        <v>125</v>
      </c>
      <c r="L41" s="56" t="s">
        <v>127</v>
      </c>
      <c r="M41" s="56" t="s">
        <v>127</v>
      </c>
      <c r="N41" s="68"/>
      <c r="O41" s="73" t="s">
        <v>125</v>
      </c>
      <c r="P41" s="73" t="s">
        <v>125</v>
      </c>
      <c r="Q41" s="73" t="s">
        <v>125</v>
      </c>
      <c r="R41" s="73" t="s">
        <v>125</v>
      </c>
      <c r="S41" s="73" t="s">
        <v>125</v>
      </c>
      <c r="T41" s="73" t="s">
        <v>125</v>
      </c>
      <c r="U41" s="69"/>
      <c r="V41" s="73" t="s">
        <v>125</v>
      </c>
      <c r="W41" s="73" t="s">
        <v>125</v>
      </c>
      <c r="X41" s="72" t="s">
        <v>127</v>
      </c>
      <c r="Y41" s="72" t="s">
        <v>127</v>
      </c>
      <c r="Z41" s="72" t="s">
        <v>127</v>
      </c>
      <c r="AA41" s="72" t="s">
        <v>127</v>
      </c>
      <c r="AB41" s="69"/>
      <c r="AC41" s="72" t="s">
        <v>127</v>
      </c>
      <c r="AD41" s="72" t="s">
        <v>127</v>
      </c>
      <c r="AE41" s="72" t="s">
        <v>127</v>
      </c>
      <c r="AF41" s="72" t="s">
        <v>127</v>
      </c>
      <c r="AG41" s="60" t="s">
        <v>125</v>
      </c>
      <c r="AH41" s="60" t="s">
        <v>125</v>
      </c>
      <c r="AI41" s="69"/>
      <c r="AJ41" s="72" t="s">
        <v>127</v>
      </c>
      <c r="AK41" s="60" t="s">
        <v>125</v>
      </c>
      <c r="AL41" s="60" t="s">
        <v>125</v>
      </c>
      <c r="AM41" s="60" t="s">
        <v>125</v>
      </c>
      <c r="AN41" s="60" t="s">
        <v>125</v>
      </c>
      <c r="AO41" s="60" t="s">
        <v>125</v>
      </c>
      <c r="AP41" s="69"/>
      <c r="AQ41" s="60" t="s">
        <v>125</v>
      </c>
      <c r="AR41" s="60" t="s">
        <v>125</v>
      </c>
      <c r="AS41" s="72" t="s">
        <v>127</v>
      </c>
      <c r="AT41" s="72" t="s">
        <v>127</v>
      </c>
      <c r="AU41" s="72" t="s">
        <v>127</v>
      </c>
      <c r="AV41" s="72" t="s">
        <v>127</v>
      </c>
      <c r="AW41" s="69"/>
      <c r="AX41" s="72" t="s">
        <v>127</v>
      </c>
      <c r="AY41" s="72" t="s">
        <v>127</v>
      </c>
      <c r="AZ41" s="72" t="s">
        <v>127</v>
      </c>
      <c r="BA41" s="72" t="s">
        <v>127</v>
      </c>
      <c r="BB41" s="72" t="s">
        <v>127</v>
      </c>
      <c r="BC41" s="72" t="s">
        <v>127</v>
      </c>
      <c r="BD41" s="69"/>
      <c r="BE41" s="72" t="s">
        <v>127</v>
      </c>
      <c r="BF41" s="72" t="s">
        <v>127</v>
      </c>
      <c r="BG41" s="72" t="s">
        <v>127</v>
      </c>
      <c r="BH41" s="72" t="s">
        <v>127</v>
      </c>
      <c r="BI41" s="72" t="s">
        <v>127</v>
      </c>
      <c r="BJ41" s="72" t="s">
        <v>127</v>
      </c>
      <c r="BK41" s="69"/>
      <c r="BL41" s="72" t="s">
        <v>127</v>
      </c>
      <c r="BM41" s="72" t="s">
        <v>127</v>
      </c>
      <c r="BN41" s="72" t="s">
        <v>127</v>
      </c>
      <c r="BO41" s="72" t="s">
        <v>127</v>
      </c>
      <c r="BP41" s="63"/>
      <c r="BQ41" s="63"/>
      <c r="BR41" s="63"/>
      <c r="BS41" s="63"/>
      <c r="BT41" s="63"/>
      <c r="BU41" s="63"/>
      <c r="BV41" s="63"/>
    </row>
    <row r="42">
      <c r="A42" s="21">
        <v>39.0</v>
      </c>
      <c r="B42" s="79" t="s">
        <v>253</v>
      </c>
      <c r="C42" s="79" t="s">
        <v>254</v>
      </c>
      <c r="D42" s="21">
        <f t="shared" si="2"/>
        <v>51</v>
      </c>
      <c r="E42" s="21">
        <f t="shared" si="3"/>
        <v>1</v>
      </c>
      <c r="F42" s="21">
        <f t="shared" si="4"/>
        <v>52</v>
      </c>
      <c r="G42" s="53">
        <f t="shared" si="5"/>
        <v>98.07692308</v>
      </c>
      <c r="H42" s="73" t="s">
        <v>125</v>
      </c>
      <c r="I42" s="67" t="s">
        <v>155</v>
      </c>
      <c r="J42" s="67" t="s">
        <v>155</v>
      </c>
      <c r="K42" s="67" t="s">
        <v>155</v>
      </c>
      <c r="L42" s="67" t="s">
        <v>155</v>
      </c>
      <c r="M42" s="67" t="s">
        <v>155</v>
      </c>
      <c r="N42" s="68"/>
      <c r="O42" s="67" t="s">
        <v>155</v>
      </c>
      <c r="P42" s="67" t="s">
        <v>155</v>
      </c>
      <c r="Q42" s="67" t="s">
        <v>155</v>
      </c>
      <c r="R42" s="67" t="s">
        <v>155</v>
      </c>
      <c r="S42" s="67" t="s">
        <v>155</v>
      </c>
      <c r="T42" s="67" t="s">
        <v>155</v>
      </c>
      <c r="U42" s="69"/>
      <c r="V42" s="67" t="s">
        <v>155</v>
      </c>
      <c r="W42" s="67" t="s">
        <v>155</v>
      </c>
      <c r="X42" s="70" t="s">
        <v>155</v>
      </c>
      <c r="Y42" s="70" t="s">
        <v>155</v>
      </c>
      <c r="Z42" s="71" t="s">
        <v>155</v>
      </c>
      <c r="AA42" s="72" t="s">
        <v>127</v>
      </c>
      <c r="AB42" s="69"/>
      <c r="AC42" s="71" t="s">
        <v>155</v>
      </c>
      <c r="AD42" s="71" t="s">
        <v>155</v>
      </c>
      <c r="AE42" s="71" t="s">
        <v>155</v>
      </c>
      <c r="AF42" s="71" t="s">
        <v>155</v>
      </c>
      <c r="AG42" s="72" t="s">
        <v>127</v>
      </c>
      <c r="AH42" s="72" t="s">
        <v>127</v>
      </c>
      <c r="AI42" s="69"/>
      <c r="AJ42" s="72" t="s">
        <v>127</v>
      </c>
      <c r="AK42" s="72" t="s">
        <v>127</v>
      </c>
      <c r="AL42" s="72" t="s">
        <v>127</v>
      </c>
      <c r="AM42" s="72" t="s">
        <v>127</v>
      </c>
      <c r="AN42" s="72" t="s">
        <v>127</v>
      </c>
      <c r="AO42" s="72" t="s">
        <v>127</v>
      </c>
      <c r="AP42" s="69"/>
      <c r="AQ42" s="72" t="s">
        <v>127</v>
      </c>
      <c r="AR42" s="72" t="s">
        <v>127</v>
      </c>
      <c r="AS42" s="72" t="s">
        <v>127</v>
      </c>
      <c r="AT42" s="72" t="s">
        <v>127</v>
      </c>
      <c r="AU42" s="72" t="s">
        <v>127</v>
      </c>
      <c r="AV42" s="72" t="s">
        <v>127</v>
      </c>
      <c r="AW42" s="69"/>
      <c r="AX42" s="72" t="s">
        <v>127</v>
      </c>
      <c r="AY42" s="72" t="s">
        <v>127</v>
      </c>
      <c r="AZ42" s="72" t="s">
        <v>127</v>
      </c>
      <c r="BA42" s="72" t="s">
        <v>127</v>
      </c>
      <c r="BB42" s="72" t="s">
        <v>127</v>
      </c>
      <c r="BC42" s="72" t="s">
        <v>127</v>
      </c>
      <c r="BD42" s="69"/>
      <c r="BE42" s="72" t="s">
        <v>127</v>
      </c>
      <c r="BF42" s="72" t="s">
        <v>127</v>
      </c>
      <c r="BG42" s="72" t="s">
        <v>127</v>
      </c>
      <c r="BH42" s="72" t="s">
        <v>127</v>
      </c>
      <c r="BI42" s="72" t="s">
        <v>127</v>
      </c>
      <c r="BJ42" s="72" t="s">
        <v>127</v>
      </c>
      <c r="BK42" s="69"/>
      <c r="BL42" s="72" t="s">
        <v>127</v>
      </c>
      <c r="BM42" s="72" t="s">
        <v>127</v>
      </c>
      <c r="BN42" s="72" t="s">
        <v>127</v>
      </c>
      <c r="BO42" s="72" t="s">
        <v>127</v>
      </c>
      <c r="BP42" s="63"/>
      <c r="BQ42" s="63"/>
      <c r="BR42" s="63"/>
      <c r="BS42" s="63"/>
      <c r="BT42" s="63"/>
      <c r="BU42" s="63"/>
      <c r="BV42" s="63"/>
    </row>
    <row r="43">
      <c r="A43" s="21">
        <v>40.0</v>
      </c>
      <c r="B43" s="28" t="s">
        <v>257</v>
      </c>
      <c r="C43" s="28" t="s">
        <v>258</v>
      </c>
      <c r="D43" s="21">
        <f t="shared" si="2"/>
        <v>21</v>
      </c>
      <c r="E43" s="21">
        <f t="shared" si="3"/>
        <v>31</v>
      </c>
      <c r="F43" s="21">
        <f t="shared" si="4"/>
        <v>52</v>
      </c>
      <c r="G43" s="53">
        <f t="shared" si="5"/>
        <v>40.38461538</v>
      </c>
      <c r="H43" s="73" t="s">
        <v>125</v>
      </c>
      <c r="I43" s="73" t="s">
        <v>125</v>
      </c>
      <c r="J43" s="73" t="s">
        <v>125</v>
      </c>
      <c r="K43" s="73" t="s">
        <v>125</v>
      </c>
      <c r="L43" s="56" t="s">
        <v>127</v>
      </c>
      <c r="M43" s="73" t="s">
        <v>125</v>
      </c>
      <c r="N43" s="68"/>
      <c r="O43" s="73" t="s">
        <v>125</v>
      </c>
      <c r="P43" s="73" t="s">
        <v>125</v>
      </c>
      <c r="Q43" s="73" t="s">
        <v>125</v>
      </c>
      <c r="R43" s="73" t="s">
        <v>125</v>
      </c>
      <c r="S43" s="73" t="s">
        <v>125</v>
      </c>
      <c r="T43" s="73" t="s">
        <v>125</v>
      </c>
      <c r="U43" s="69"/>
      <c r="V43" s="73" t="s">
        <v>125</v>
      </c>
      <c r="W43" s="73" t="s">
        <v>125</v>
      </c>
      <c r="X43" s="60" t="s">
        <v>125</v>
      </c>
      <c r="Y43" s="60" t="s">
        <v>125</v>
      </c>
      <c r="Z43" s="60" t="s">
        <v>125</v>
      </c>
      <c r="AA43" s="60" t="s">
        <v>125</v>
      </c>
      <c r="AB43" s="69"/>
      <c r="AC43" s="60" t="s">
        <v>125</v>
      </c>
      <c r="AD43" s="60" t="s">
        <v>125</v>
      </c>
      <c r="AE43" s="60" t="s">
        <v>125</v>
      </c>
      <c r="AF43" s="60" t="s">
        <v>125</v>
      </c>
      <c r="AG43" s="60" t="s">
        <v>125</v>
      </c>
      <c r="AH43" s="60" t="s">
        <v>125</v>
      </c>
      <c r="AI43" s="69"/>
      <c r="AJ43" s="60" t="s">
        <v>125</v>
      </c>
      <c r="AK43" s="60" t="s">
        <v>125</v>
      </c>
      <c r="AL43" s="60" t="s">
        <v>125</v>
      </c>
      <c r="AM43" s="60" t="s">
        <v>125</v>
      </c>
      <c r="AN43" s="60" t="s">
        <v>125</v>
      </c>
      <c r="AO43" s="60" t="s">
        <v>125</v>
      </c>
      <c r="AP43" s="69"/>
      <c r="AQ43" s="60" t="s">
        <v>125</v>
      </c>
      <c r="AR43" s="60" t="s">
        <v>125</v>
      </c>
      <c r="AS43" s="72" t="s">
        <v>127</v>
      </c>
      <c r="AT43" s="72" t="s">
        <v>127</v>
      </c>
      <c r="AU43" s="72" t="s">
        <v>127</v>
      </c>
      <c r="AV43" s="72" t="s">
        <v>127</v>
      </c>
      <c r="AW43" s="69"/>
      <c r="AX43" s="72" t="s">
        <v>127</v>
      </c>
      <c r="AY43" s="72" t="s">
        <v>127</v>
      </c>
      <c r="AZ43" s="72" t="s">
        <v>127</v>
      </c>
      <c r="BA43" s="72" t="s">
        <v>127</v>
      </c>
      <c r="BB43" s="72" t="s">
        <v>127</v>
      </c>
      <c r="BC43" s="72" t="s">
        <v>127</v>
      </c>
      <c r="BD43" s="69"/>
      <c r="BE43" s="72" t="s">
        <v>127</v>
      </c>
      <c r="BF43" s="72" t="s">
        <v>127</v>
      </c>
      <c r="BG43" s="72" t="s">
        <v>127</v>
      </c>
      <c r="BH43" s="72" t="s">
        <v>127</v>
      </c>
      <c r="BI43" s="72" t="s">
        <v>127</v>
      </c>
      <c r="BJ43" s="72" t="s">
        <v>127</v>
      </c>
      <c r="BK43" s="69"/>
      <c r="BL43" s="72" t="s">
        <v>127</v>
      </c>
      <c r="BM43" s="72" t="s">
        <v>127</v>
      </c>
      <c r="BN43" s="72" t="s">
        <v>127</v>
      </c>
      <c r="BO43" s="72" t="s">
        <v>127</v>
      </c>
      <c r="BP43" s="63"/>
      <c r="BQ43" s="63"/>
      <c r="BR43" s="63"/>
      <c r="BS43" s="63"/>
      <c r="BT43" s="63"/>
      <c r="BU43" s="63"/>
      <c r="BV43" s="63"/>
    </row>
    <row r="44">
      <c r="A44" s="21">
        <v>41.0</v>
      </c>
      <c r="B44" s="28" t="s">
        <v>260</v>
      </c>
      <c r="C44" s="28" t="s">
        <v>262</v>
      </c>
      <c r="D44" s="21">
        <f t="shared" si="2"/>
        <v>3</v>
      </c>
      <c r="E44" s="21">
        <f t="shared" si="3"/>
        <v>49</v>
      </c>
      <c r="F44" s="21">
        <f t="shared" si="4"/>
        <v>52</v>
      </c>
      <c r="G44" s="53">
        <f t="shared" si="5"/>
        <v>5.769230769</v>
      </c>
      <c r="H44" s="73" t="s">
        <v>125</v>
      </c>
      <c r="I44" s="73" t="s">
        <v>125</v>
      </c>
      <c r="J44" s="73" t="s">
        <v>125</v>
      </c>
      <c r="K44" s="56" t="s">
        <v>127</v>
      </c>
      <c r="L44" s="56" t="s">
        <v>127</v>
      </c>
      <c r="M44" s="56" t="s">
        <v>127</v>
      </c>
      <c r="N44" s="68"/>
      <c r="O44" s="73" t="s">
        <v>125</v>
      </c>
      <c r="P44" s="73" t="s">
        <v>125</v>
      </c>
      <c r="Q44" s="73" t="s">
        <v>125</v>
      </c>
      <c r="R44" s="73" t="s">
        <v>125</v>
      </c>
      <c r="S44" s="73" t="s">
        <v>125</v>
      </c>
      <c r="T44" s="73" t="s">
        <v>125</v>
      </c>
      <c r="U44" s="69"/>
      <c r="V44" s="73" t="s">
        <v>125</v>
      </c>
      <c r="W44" s="73" t="s">
        <v>125</v>
      </c>
      <c r="X44" s="60" t="s">
        <v>125</v>
      </c>
      <c r="Y44" s="60" t="s">
        <v>125</v>
      </c>
      <c r="Z44" s="60" t="s">
        <v>125</v>
      </c>
      <c r="AA44" s="60" t="s">
        <v>125</v>
      </c>
      <c r="AB44" s="69"/>
      <c r="AC44" s="60" t="s">
        <v>125</v>
      </c>
      <c r="AD44" s="60" t="s">
        <v>125</v>
      </c>
      <c r="AE44" s="60" t="s">
        <v>125</v>
      </c>
      <c r="AF44" s="60" t="s">
        <v>125</v>
      </c>
      <c r="AG44" s="60" t="s">
        <v>125</v>
      </c>
      <c r="AH44" s="60" t="s">
        <v>125</v>
      </c>
      <c r="AI44" s="69"/>
      <c r="AJ44" s="60" t="s">
        <v>125</v>
      </c>
      <c r="AK44" s="60" t="s">
        <v>125</v>
      </c>
      <c r="AL44" s="60" t="s">
        <v>125</v>
      </c>
      <c r="AM44" s="60" t="s">
        <v>125</v>
      </c>
      <c r="AN44" s="60" t="s">
        <v>125</v>
      </c>
      <c r="AO44" s="60" t="s">
        <v>125</v>
      </c>
      <c r="AP44" s="69"/>
      <c r="AQ44" s="60" t="s">
        <v>125</v>
      </c>
      <c r="AR44" s="60" t="s">
        <v>125</v>
      </c>
      <c r="AS44" s="60" t="s">
        <v>125</v>
      </c>
      <c r="AT44" s="60" t="s">
        <v>125</v>
      </c>
      <c r="AU44" s="60" t="s">
        <v>125</v>
      </c>
      <c r="AV44" s="60" t="s">
        <v>125</v>
      </c>
      <c r="AW44" s="69"/>
      <c r="AX44" s="60" t="s">
        <v>125</v>
      </c>
      <c r="AY44" s="60" t="s">
        <v>125</v>
      </c>
      <c r="AZ44" s="60" t="s">
        <v>125</v>
      </c>
      <c r="BA44" s="60" t="s">
        <v>125</v>
      </c>
      <c r="BB44" s="60" t="s">
        <v>125</v>
      </c>
      <c r="BC44" s="60" t="s">
        <v>125</v>
      </c>
      <c r="BD44" s="69"/>
      <c r="BE44" s="60" t="s">
        <v>125</v>
      </c>
      <c r="BF44" s="60" t="s">
        <v>125</v>
      </c>
      <c r="BG44" s="60" t="s">
        <v>125</v>
      </c>
      <c r="BH44" s="60" t="s">
        <v>125</v>
      </c>
      <c r="BI44" s="60" t="s">
        <v>125</v>
      </c>
      <c r="BJ44" s="60" t="s">
        <v>125</v>
      </c>
      <c r="BK44" s="69"/>
      <c r="BL44" s="60" t="s">
        <v>125</v>
      </c>
      <c r="BM44" s="60" t="s">
        <v>125</v>
      </c>
      <c r="BN44" s="60" t="s">
        <v>125</v>
      </c>
      <c r="BO44" s="60" t="s">
        <v>125</v>
      </c>
      <c r="BP44" s="63"/>
      <c r="BQ44" s="63"/>
      <c r="BR44" s="63"/>
      <c r="BS44" s="63"/>
      <c r="BT44" s="63"/>
      <c r="BU44" s="63"/>
      <c r="BV44" s="63"/>
    </row>
    <row r="45">
      <c r="A45" s="21">
        <v>42.0</v>
      </c>
      <c r="B45" s="28" t="s">
        <v>264</v>
      </c>
      <c r="C45" s="28" t="s">
        <v>265</v>
      </c>
      <c r="D45" s="21">
        <f t="shared" si="2"/>
        <v>49</v>
      </c>
      <c r="E45" s="21">
        <f t="shared" si="3"/>
        <v>3</v>
      </c>
      <c r="F45" s="21">
        <f t="shared" si="4"/>
        <v>52</v>
      </c>
      <c r="G45" s="53">
        <f t="shared" si="5"/>
        <v>94.23076923</v>
      </c>
      <c r="H45" s="56" t="s">
        <v>127</v>
      </c>
      <c r="I45" s="56" t="s">
        <v>127</v>
      </c>
      <c r="J45" s="56" t="s">
        <v>127</v>
      </c>
      <c r="K45" s="56" t="s">
        <v>127</v>
      </c>
      <c r="L45" s="56" t="s">
        <v>127</v>
      </c>
      <c r="M45" s="56" t="s">
        <v>127</v>
      </c>
      <c r="N45" s="68"/>
      <c r="O45" s="56" t="s">
        <v>127</v>
      </c>
      <c r="P45" s="56" t="s">
        <v>127</v>
      </c>
      <c r="Q45" s="56" t="s">
        <v>127</v>
      </c>
      <c r="R45" s="56" t="s">
        <v>127</v>
      </c>
      <c r="S45" s="56" t="s">
        <v>127</v>
      </c>
      <c r="T45" s="56" t="s">
        <v>127</v>
      </c>
      <c r="U45" s="69"/>
      <c r="V45" s="56" t="s">
        <v>127</v>
      </c>
      <c r="W45" s="56" t="s">
        <v>127</v>
      </c>
      <c r="X45" s="60" t="s">
        <v>125</v>
      </c>
      <c r="Y45" s="60" t="s">
        <v>125</v>
      </c>
      <c r="Z45" s="72" t="s">
        <v>127</v>
      </c>
      <c r="AA45" s="72" t="s">
        <v>127</v>
      </c>
      <c r="AB45" s="69"/>
      <c r="AC45" s="72" t="s">
        <v>127</v>
      </c>
      <c r="AD45" s="72" t="s">
        <v>127</v>
      </c>
      <c r="AE45" s="72" t="s">
        <v>127</v>
      </c>
      <c r="AF45" s="72" t="s">
        <v>127</v>
      </c>
      <c r="AG45" s="72" t="s">
        <v>127</v>
      </c>
      <c r="AH45" s="72" t="s">
        <v>127</v>
      </c>
      <c r="AI45" s="69"/>
      <c r="AJ45" s="72" t="s">
        <v>127</v>
      </c>
      <c r="AK45" s="72" t="s">
        <v>127</v>
      </c>
      <c r="AL45" s="60" t="s">
        <v>125</v>
      </c>
      <c r="AM45" s="72" t="s">
        <v>127</v>
      </c>
      <c r="AN45" s="72" t="s">
        <v>127</v>
      </c>
      <c r="AO45" s="72" t="s">
        <v>127</v>
      </c>
      <c r="AP45" s="69"/>
      <c r="AQ45" s="72" t="s">
        <v>127</v>
      </c>
      <c r="AR45" s="72" t="s">
        <v>127</v>
      </c>
      <c r="AS45" s="72" t="s">
        <v>127</v>
      </c>
      <c r="AT45" s="72" t="s">
        <v>127</v>
      </c>
      <c r="AU45" s="72" t="s">
        <v>127</v>
      </c>
      <c r="AV45" s="72" t="s">
        <v>127</v>
      </c>
      <c r="AW45" s="69"/>
      <c r="AX45" s="72" t="s">
        <v>127</v>
      </c>
      <c r="AY45" s="72" t="s">
        <v>127</v>
      </c>
      <c r="AZ45" s="72" t="s">
        <v>127</v>
      </c>
      <c r="BA45" s="72" t="s">
        <v>127</v>
      </c>
      <c r="BB45" s="72" t="s">
        <v>127</v>
      </c>
      <c r="BC45" s="72" t="s">
        <v>127</v>
      </c>
      <c r="BD45" s="69"/>
      <c r="BE45" s="72" t="s">
        <v>127</v>
      </c>
      <c r="BF45" s="72" t="s">
        <v>127</v>
      </c>
      <c r="BG45" s="72" t="s">
        <v>127</v>
      </c>
      <c r="BH45" s="72" t="s">
        <v>127</v>
      </c>
      <c r="BI45" s="72" t="s">
        <v>127</v>
      </c>
      <c r="BJ45" s="72" t="s">
        <v>127</v>
      </c>
      <c r="BK45" s="59"/>
      <c r="BL45" s="72" t="s">
        <v>127</v>
      </c>
      <c r="BM45" s="72" t="s">
        <v>127</v>
      </c>
      <c r="BN45" s="72" t="s">
        <v>127</v>
      </c>
      <c r="BO45" s="72" t="s">
        <v>127</v>
      </c>
      <c r="BP45" s="63"/>
      <c r="BQ45" s="63"/>
      <c r="BR45" s="63"/>
      <c r="BS45" s="63"/>
      <c r="BT45" s="63"/>
      <c r="BU45" s="63"/>
      <c r="BV45" s="63"/>
    </row>
    <row r="46">
      <c r="A46" s="21">
        <v>43.0</v>
      </c>
      <c r="B46" s="28" t="s">
        <v>268</v>
      </c>
      <c r="C46" s="28" t="s">
        <v>269</v>
      </c>
      <c r="D46" s="21">
        <f t="shared" si="2"/>
        <v>2</v>
      </c>
      <c r="E46" s="21">
        <f t="shared" si="3"/>
        <v>50</v>
      </c>
      <c r="F46" s="21">
        <f t="shared" si="4"/>
        <v>52</v>
      </c>
      <c r="G46" s="53">
        <f t="shared" si="5"/>
        <v>3.846153846</v>
      </c>
      <c r="H46" s="73" t="s">
        <v>125</v>
      </c>
      <c r="I46" s="73" t="s">
        <v>125</v>
      </c>
      <c r="J46" s="73" t="s">
        <v>125</v>
      </c>
      <c r="K46" s="73" t="s">
        <v>125</v>
      </c>
      <c r="L46" s="73" t="s">
        <v>125</v>
      </c>
      <c r="M46" s="73" t="s">
        <v>125</v>
      </c>
      <c r="N46" s="68"/>
      <c r="O46" s="73" t="s">
        <v>125</v>
      </c>
      <c r="P46" s="73" t="s">
        <v>125</v>
      </c>
      <c r="Q46" s="73" t="s">
        <v>125</v>
      </c>
      <c r="R46" s="73" t="s">
        <v>125</v>
      </c>
      <c r="S46" s="73" t="s">
        <v>125</v>
      </c>
      <c r="T46" s="73" t="s">
        <v>125</v>
      </c>
      <c r="U46" s="69"/>
      <c r="V46" s="73" t="s">
        <v>125</v>
      </c>
      <c r="W46" s="73" t="s">
        <v>125</v>
      </c>
      <c r="X46" s="60" t="s">
        <v>125</v>
      </c>
      <c r="Y46" s="60" t="s">
        <v>125</v>
      </c>
      <c r="Z46" s="60" t="s">
        <v>125</v>
      </c>
      <c r="AA46" s="60" t="s">
        <v>125</v>
      </c>
      <c r="AB46" s="69"/>
      <c r="AC46" s="60" t="s">
        <v>125</v>
      </c>
      <c r="AD46" s="60" t="s">
        <v>125</v>
      </c>
      <c r="AE46" s="60" t="s">
        <v>125</v>
      </c>
      <c r="AF46" s="60" t="s">
        <v>125</v>
      </c>
      <c r="AG46" s="60" t="s">
        <v>125</v>
      </c>
      <c r="AH46" s="60" t="s">
        <v>125</v>
      </c>
      <c r="AI46" s="69"/>
      <c r="AJ46" s="60" t="s">
        <v>125</v>
      </c>
      <c r="AK46" s="60" t="s">
        <v>125</v>
      </c>
      <c r="AL46" s="60" t="s">
        <v>125</v>
      </c>
      <c r="AM46" s="60" t="s">
        <v>125</v>
      </c>
      <c r="AN46" s="72" t="s">
        <v>127</v>
      </c>
      <c r="AO46" s="60" t="s">
        <v>125</v>
      </c>
      <c r="AP46" s="69"/>
      <c r="AQ46" s="72" t="s">
        <v>127</v>
      </c>
      <c r="AR46" s="60" t="s">
        <v>125</v>
      </c>
      <c r="AS46" s="60" t="s">
        <v>125</v>
      </c>
      <c r="AT46" s="60" t="s">
        <v>125</v>
      </c>
      <c r="AU46" s="60" t="s">
        <v>125</v>
      </c>
      <c r="AV46" s="60" t="s">
        <v>125</v>
      </c>
      <c r="AW46" s="69"/>
      <c r="AX46" s="60" t="s">
        <v>125</v>
      </c>
      <c r="AY46" s="60" t="s">
        <v>125</v>
      </c>
      <c r="AZ46" s="60" t="s">
        <v>125</v>
      </c>
      <c r="BA46" s="60" t="s">
        <v>125</v>
      </c>
      <c r="BB46" s="60" t="s">
        <v>125</v>
      </c>
      <c r="BC46" s="60" t="s">
        <v>125</v>
      </c>
      <c r="BD46" s="69"/>
      <c r="BE46" s="60" t="s">
        <v>125</v>
      </c>
      <c r="BF46" s="60" t="s">
        <v>125</v>
      </c>
      <c r="BG46" s="60" t="s">
        <v>125</v>
      </c>
      <c r="BH46" s="60" t="s">
        <v>125</v>
      </c>
      <c r="BI46" s="60" t="s">
        <v>125</v>
      </c>
      <c r="BJ46" s="60" t="s">
        <v>125</v>
      </c>
      <c r="BK46" s="69"/>
      <c r="BL46" s="60" t="s">
        <v>125</v>
      </c>
      <c r="BM46" s="60" t="s">
        <v>125</v>
      </c>
      <c r="BN46" s="60" t="s">
        <v>125</v>
      </c>
      <c r="BO46" s="60" t="s">
        <v>125</v>
      </c>
      <c r="BP46" s="63"/>
      <c r="BQ46" s="63"/>
      <c r="BR46" s="63"/>
      <c r="BS46" s="63"/>
      <c r="BT46" s="63"/>
      <c r="BU46" s="63"/>
      <c r="BV46" s="63"/>
    </row>
    <row r="47">
      <c r="A47" s="21">
        <v>44.0</v>
      </c>
      <c r="B47" s="65" t="s">
        <v>271</v>
      </c>
      <c r="C47" s="65" t="s">
        <v>272</v>
      </c>
      <c r="D47" s="21">
        <f t="shared" si="2"/>
        <v>4</v>
      </c>
      <c r="E47" s="21">
        <f t="shared" si="3"/>
        <v>48</v>
      </c>
      <c r="F47" s="21">
        <f t="shared" si="4"/>
        <v>52</v>
      </c>
      <c r="G47" s="53">
        <f t="shared" si="5"/>
        <v>7.692307692</v>
      </c>
      <c r="H47" s="73" t="s">
        <v>125</v>
      </c>
      <c r="I47" s="73" t="s">
        <v>125</v>
      </c>
      <c r="J47" s="73" t="s">
        <v>125</v>
      </c>
      <c r="K47" s="73" t="s">
        <v>125</v>
      </c>
      <c r="L47" s="73" t="s">
        <v>125</v>
      </c>
      <c r="M47" s="73" t="s">
        <v>125</v>
      </c>
      <c r="N47" s="68"/>
      <c r="O47" s="73" t="s">
        <v>125</v>
      </c>
      <c r="P47" s="73" t="s">
        <v>125</v>
      </c>
      <c r="Q47" s="73" t="s">
        <v>125</v>
      </c>
      <c r="R47" s="73" t="s">
        <v>125</v>
      </c>
      <c r="S47" s="73" t="s">
        <v>125</v>
      </c>
      <c r="T47" s="73" t="s">
        <v>125</v>
      </c>
      <c r="U47" s="69"/>
      <c r="V47" s="73" t="s">
        <v>125</v>
      </c>
      <c r="W47" s="73" t="s">
        <v>125</v>
      </c>
      <c r="X47" s="91" t="s">
        <v>125</v>
      </c>
      <c r="Y47" s="91" t="s">
        <v>125</v>
      </c>
      <c r="Z47" s="91" t="s">
        <v>125</v>
      </c>
      <c r="AA47" s="60" t="s">
        <v>125</v>
      </c>
      <c r="AB47" s="69"/>
      <c r="AC47" s="72" t="s">
        <v>127</v>
      </c>
      <c r="AD47" s="72" t="s">
        <v>127</v>
      </c>
      <c r="AE47" s="60" t="s">
        <v>125</v>
      </c>
      <c r="AF47" s="60" t="s">
        <v>125</v>
      </c>
      <c r="AG47" s="60" t="s">
        <v>125</v>
      </c>
      <c r="AH47" s="60" t="s">
        <v>125</v>
      </c>
      <c r="AI47" s="69"/>
      <c r="AJ47" s="72" t="s">
        <v>127</v>
      </c>
      <c r="AK47" s="72" t="s">
        <v>127</v>
      </c>
      <c r="AL47" s="60" t="s">
        <v>125</v>
      </c>
      <c r="AM47" s="60" t="s">
        <v>125</v>
      </c>
      <c r="AN47" s="60" t="s">
        <v>125</v>
      </c>
      <c r="AO47" s="60" t="s">
        <v>125</v>
      </c>
      <c r="AP47" s="69"/>
      <c r="AQ47" s="60" t="s">
        <v>125</v>
      </c>
      <c r="AR47" s="60" t="s">
        <v>125</v>
      </c>
      <c r="AS47" s="60" t="s">
        <v>125</v>
      </c>
      <c r="AT47" s="60" t="s">
        <v>125</v>
      </c>
      <c r="AU47" s="60" t="s">
        <v>125</v>
      </c>
      <c r="AV47" s="60" t="s">
        <v>125</v>
      </c>
      <c r="AW47" s="69"/>
      <c r="AX47" s="60" t="s">
        <v>125</v>
      </c>
      <c r="AY47" s="60" t="s">
        <v>125</v>
      </c>
      <c r="AZ47" s="60" t="s">
        <v>125</v>
      </c>
      <c r="BA47" s="60" t="s">
        <v>125</v>
      </c>
      <c r="BB47" s="60" t="s">
        <v>125</v>
      </c>
      <c r="BC47" s="60" t="s">
        <v>125</v>
      </c>
      <c r="BD47" s="69"/>
      <c r="BE47" s="60" t="s">
        <v>125</v>
      </c>
      <c r="BF47" s="60" t="s">
        <v>125</v>
      </c>
      <c r="BG47" s="60" t="s">
        <v>125</v>
      </c>
      <c r="BH47" s="60" t="s">
        <v>125</v>
      </c>
      <c r="BI47" s="60" t="s">
        <v>125</v>
      </c>
      <c r="BJ47" s="60" t="s">
        <v>125</v>
      </c>
      <c r="BK47" s="69"/>
      <c r="BL47" s="60" t="s">
        <v>125</v>
      </c>
      <c r="BM47" s="60" t="s">
        <v>125</v>
      </c>
      <c r="BN47" s="60" t="s">
        <v>125</v>
      </c>
      <c r="BO47" s="60" t="s">
        <v>125</v>
      </c>
      <c r="BP47" s="63"/>
      <c r="BQ47" s="63"/>
      <c r="BR47" s="63"/>
      <c r="BS47" s="63"/>
      <c r="BT47" s="63"/>
      <c r="BU47" s="63"/>
      <c r="BV47" s="63"/>
    </row>
    <row r="48">
      <c r="A48" s="21">
        <v>45.0</v>
      </c>
      <c r="B48" s="28" t="s">
        <v>275</v>
      </c>
      <c r="C48" s="28" t="s">
        <v>276</v>
      </c>
      <c r="D48" s="21">
        <f t="shared" si="2"/>
        <v>46</v>
      </c>
      <c r="E48" s="21">
        <f t="shared" si="3"/>
        <v>6</v>
      </c>
      <c r="F48" s="21">
        <f t="shared" si="4"/>
        <v>52</v>
      </c>
      <c r="G48" s="53">
        <f t="shared" si="5"/>
        <v>88.46153846</v>
      </c>
      <c r="H48" s="56" t="s">
        <v>127</v>
      </c>
      <c r="I48" s="56" t="s">
        <v>127</v>
      </c>
      <c r="J48" s="56" t="s">
        <v>127</v>
      </c>
      <c r="K48" s="56" t="s">
        <v>127</v>
      </c>
      <c r="L48" s="56" t="s">
        <v>127</v>
      </c>
      <c r="M48" s="56" t="s">
        <v>127</v>
      </c>
      <c r="N48" s="68"/>
      <c r="O48" s="56" t="s">
        <v>127</v>
      </c>
      <c r="P48" s="56" t="s">
        <v>127</v>
      </c>
      <c r="Q48" s="56" t="s">
        <v>127</v>
      </c>
      <c r="R48" s="56" t="s">
        <v>127</v>
      </c>
      <c r="S48" s="56" t="s">
        <v>127</v>
      </c>
      <c r="T48" s="56" t="s">
        <v>127</v>
      </c>
      <c r="U48" s="69"/>
      <c r="V48" s="56" t="s">
        <v>127</v>
      </c>
      <c r="W48" s="56" t="s">
        <v>127</v>
      </c>
      <c r="X48" s="60" t="s">
        <v>125</v>
      </c>
      <c r="Y48" s="60" t="s">
        <v>125</v>
      </c>
      <c r="Z48" s="60" t="s">
        <v>125</v>
      </c>
      <c r="AA48" s="72" t="s">
        <v>127</v>
      </c>
      <c r="AB48" s="69"/>
      <c r="AC48" s="60" t="s">
        <v>125</v>
      </c>
      <c r="AD48" s="60" t="s">
        <v>125</v>
      </c>
      <c r="AE48" s="72" t="s">
        <v>127</v>
      </c>
      <c r="AF48" s="72" t="s">
        <v>127</v>
      </c>
      <c r="AG48" s="72" t="s">
        <v>127</v>
      </c>
      <c r="AH48" s="72" t="s">
        <v>127</v>
      </c>
      <c r="AI48" s="69"/>
      <c r="AJ48" s="72" t="s">
        <v>127</v>
      </c>
      <c r="AK48" s="72" t="s">
        <v>127</v>
      </c>
      <c r="AL48" s="72" t="s">
        <v>127</v>
      </c>
      <c r="AM48" s="60" t="s">
        <v>125</v>
      </c>
      <c r="AN48" s="72" t="s">
        <v>127</v>
      </c>
      <c r="AO48" s="72" t="s">
        <v>127</v>
      </c>
      <c r="AP48" s="69"/>
      <c r="AQ48" s="72" t="s">
        <v>127</v>
      </c>
      <c r="AR48" s="72" t="s">
        <v>127</v>
      </c>
      <c r="AS48" s="72" t="s">
        <v>127</v>
      </c>
      <c r="AT48" s="72" t="s">
        <v>127</v>
      </c>
      <c r="AU48" s="72" t="s">
        <v>127</v>
      </c>
      <c r="AV48" s="72" t="s">
        <v>127</v>
      </c>
      <c r="AW48" s="69"/>
      <c r="AX48" s="72" t="s">
        <v>127</v>
      </c>
      <c r="AY48" s="72" t="s">
        <v>127</v>
      </c>
      <c r="AZ48" s="72" t="s">
        <v>127</v>
      </c>
      <c r="BA48" s="72" t="s">
        <v>127</v>
      </c>
      <c r="BB48" s="72" t="s">
        <v>127</v>
      </c>
      <c r="BC48" s="72" t="s">
        <v>127</v>
      </c>
      <c r="BD48" s="69"/>
      <c r="BE48" s="72" t="s">
        <v>127</v>
      </c>
      <c r="BF48" s="72" t="s">
        <v>127</v>
      </c>
      <c r="BG48" s="72" t="s">
        <v>127</v>
      </c>
      <c r="BH48" s="72" t="s">
        <v>127</v>
      </c>
      <c r="BI48" s="72" t="s">
        <v>127</v>
      </c>
      <c r="BJ48" s="72" t="s">
        <v>127</v>
      </c>
      <c r="BK48" s="69"/>
      <c r="BL48" s="72" t="s">
        <v>127</v>
      </c>
      <c r="BM48" s="72" t="s">
        <v>127</v>
      </c>
      <c r="BN48" s="72" t="s">
        <v>127</v>
      </c>
      <c r="BO48" s="72" t="s">
        <v>127</v>
      </c>
      <c r="BP48" s="63"/>
      <c r="BQ48" s="63"/>
      <c r="BR48" s="63"/>
      <c r="BS48" s="63"/>
      <c r="BT48" s="63"/>
      <c r="BU48" s="63"/>
      <c r="BV48" s="63"/>
    </row>
    <row r="49">
      <c r="A49" s="21">
        <v>46.0</v>
      </c>
      <c r="B49" s="28" t="s">
        <v>279</v>
      </c>
      <c r="C49" s="28" t="s">
        <v>280</v>
      </c>
      <c r="D49" s="21">
        <f t="shared" si="2"/>
        <v>47</v>
      </c>
      <c r="E49" s="21">
        <f t="shared" si="3"/>
        <v>5</v>
      </c>
      <c r="F49" s="21">
        <f t="shared" si="4"/>
        <v>52</v>
      </c>
      <c r="G49" s="53">
        <f t="shared" si="5"/>
        <v>90.38461538</v>
      </c>
      <c r="H49" s="56" t="s">
        <v>127</v>
      </c>
      <c r="I49" s="56" t="s">
        <v>127</v>
      </c>
      <c r="J49" s="56" t="s">
        <v>127</v>
      </c>
      <c r="K49" s="56" t="s">
        <v>127</v>
      </c>
      <c r="L49" s="56" t="s">
        <v>127</v>
      </c>
      <c r="M49" s="56" t="s">
        <v>127</v>
      </c>
      <c r="N49" s="68"/>
      <c r="O49" s="56" t="s">
        <v>127</v>
      </c>
      <c r="P49" s="56" t="s">
        <v>127</v>
      </c>
      <c r="Q49" s="56" t="s">
        <v>127</v>
      </c>
      <c r="R49" s="56" t="s">
        <v>127</v>
      </c>
      <c r="S49" s="56" t="s">
        <v>127</v>
      </c>
      <c r="T49" s="56" t="s">
        <v>127</v>
      </c>
      <c r="U49" s="69"/>
      <c r="V49" s="56" t="s">
        <v>127</v>
      </c>
      <c r="W49" s="56" t="s">
        <v>127</v>
      </c>
      <c r="X49" s="60" t="s">
        <v>125</v>
      </c>
      <c r="Y49" s="60" t="s">
        <v>125</v>
      </c>
      <c r="Z49" s="60" t="s">
        <v>125</v>
      </c>
      <c r="AA49" s="60" t="s">
        <v>125</v>
      </c>
      <c r="AB49" s="69"/>
      <c r="AC49" s="72" t="s">
        <v>127</v>
      </c>
      <c r="AD49" s="72" t="s">
        <v>127</v>
      </c>
      <c r="AE49" s="60" t="s">
        <v>125</v>
      </c>
      <c r="AF49" s="72" t="s">
        <v>127</v>
      </c>
      <c r="AG49" s="72" t="s">
        <v>127</v>
      </c>
      <c r="AH49" s="72" t="s">
        <v>127</v>
      </c>
      <c r="AI49" s="69"/>
      <c r="AJ49" s="72" t="s">
        <v>127</v>
      </c>
      <c r="AK49" s="72" t="s">
        <v>127</v>
      </c>
      <c r="AL49" s="72" t="s">
        <v>127</v>
      </c>
      <c r="AM49" s="72" t="s">
        <v>127</v>
      </c>
      <c r="AN49" s="72" t="s">
        <v>127</v>
      </c>
      <c r="AO49" s="72" t="s">
        <v>127</v>
      </c>
      <c r="AP49" s="69"/>
      <c r="AQ49" s="72" t="s">
        <v>127</v>
      </c>
      <c r="AR49" s="72" t="s">
        <v>127</v>
      </c>
      <c r="AS49" s="72" t="s">
        <v>127</v>
      </c>
      <c r="AT49" s="72" t="s">
        <v>127</v>
      </c>
      <c r="AU49" s="72" t="s">
        <v>127</v>
      </c>
      <c r="AV49" s="72" t="s">
        <v>127</v>
      </c>
      <c r="AW49" s="69"/>
      <c r="AX49" s="72" t="s">
        <v>127</v>
      </c>
      <c r="AY49" s="72" t="s">
        <v>127</v>
      </c>
      <c r="AZ49" s="72" t="s">
        <v>127</v>
      </c>
      <c r="BA49" s="72" t="s">
        <v>127</v>
      </c>
      <c r="BB49" s="72" t="s">
        <v>127</v>
      </c>
      <c r="BC49" s="72" t="s">
        <v>127</v>
      </c>
      <c r="BD49" s="69"/>
      <c r="BE49" s="72" t="s">
        <v>127</v>
      </c>
      <c r="BF49" s="72" t="s">
        <v>127</v>
      </c>
      <c r="BG49" s="72" t="s">
        <v>127</v>
      </c>
      <c r="BH49" s="72" t="s">
        <v>127</v>
      </c>
      <c r="BI49" s="72" t="s">
        <v>127</v>
      </c>
      <c r="BJ49" s="72" t="s">
        <v>127</v>
      </c>
      <c r="BK49" s="69"/>
      <c r="BL49" s="72" t="s">
        <v>127</v>
      </c>
      <c r="BM49" s="72" t="s">
        <v>127</v>
      </c>
      <c r="BN49" s="72" t="s">
        <v>127</v>
      </c>
      <c r="BO49" s="72" t="s">
        <v>127</v>
      </c>
      <c r="BP49" s="63"/>
      <c r="BQ49" s="63"/>
      <c r="BR49" s="63"/>
      <c r="BS49" s="63"/>
      <c r="BT49" s="63"/>
      <c r="BU49" s="63"/>
      <c r="BV49" s="63"/>
    </row>
    <row r="50">
      <c r="A50" s="21">
        <v>47.0</v>
      </c>
      <c r="B50" s="28" t="s">
        <v>282</v>
      </c>
      <c r="C50" s="47" t="s">
        <v>283</v>
      </c>
      <c r="D50" s="21">
        <f t="shared" si="2"/>
        <v>45</v>
      </c>
      <c r="E50" s="21">
        <f t="shared" si="3"/>
        <v>7</v>
      </c>
      <c r="F50" s="21">
        <f t="shared" si="4"/>
        <v>52</v>
      </c>
      <c r="G50" s="53">
        <f t="shared" si="5"/>
        <v>86.53846154</v>
      </c>
      <c r="H50" s="73" t="s">
        <v>125</v>
      </c>
      <c r="I50" s="56" t="s">
        <v>127</v>
      </c>
      <c r="J50" s="73" t="s">
        <v>125</v>
      </c>
      <c r="K50" s="56" t="s">
        <v>127</v>
      </c>
      <c r="L50" s="56" t="s">
        <v>127</v>
      </c>
      <c r="M50" s="54" t="s">
        <v>125</v>
      </c>
      <c r="N50" s="68"/>
      <c r="O50" s="56" t="s">
        <v>127</v>
      </c>
      <c r="P50" s="56" t="s">
        <v>127</v>
      </c>
      <c r="Q50" s="56" t="s">
        <v>127</v>
      </c>
      <c r="R50" s="56" t="s">
        <v>127</v>
      </c>
      <c r="S50" s="56" t="s">
        <v>127</v>
      </c>
      <c r="T50" s="56" t="s">
        <v>127</v>
      </c>
      <c r="U50" s="69"/>
      <c r="V50" s="73" t="s">
        <v>125</v>
      </c>
      <c r="W50" s="56" t="s">
        <v>127</v>
      </c>
      <c r="X50" s="72" t="s">
        <v>127</v>
      </c>
      <c r="Y50" s="72" t="s">
        <v>127</v>
      </c>
      <c r="Z50" s="72" t="s">
        <v>127</v>
      </c>
      <c r="AA50" s="72" t="s">
        <v>127</v>
      </c>
      <c r="AB50" s="69"/>
      <c r="AC50" s="60" t="s">
        <v>125</v>
      </c>
      <c r="AD50" s="72" t="s">
        <v>127</v>
      </c>
      <c r="AE50" s="72" t="s">
        <v>127</v>
      </c>
      <c r="AF50" s="72" t="s">
        <v>127</v>
      </c>
      <c r="AG50" s="72" t="s">
        <v>127</v>
      </c>
      <c r="AH50" s="72" t="s">
        <v>127</v>
      </c>
      <c r="AI50" s="69"/>
      <c r="AJ50" s="72" t="s">
        <v>127</v>
      </c>
      <c r="AK50" s="60" t="s">
        <v>125</v>
      </c>
      <c r="AL50" s="60" t="s">
        <v>125</v>
      </c>
      <c r="AM50" s="72" t="s">
        <v>127</v>
      </c>
      <c r="AN50" s="72" t="s">
        <v>127</v>
      </c>
      <c r="AO50" s="72" t="s">
        <v>127</v>
      </c>
      <c r="AP50" s="69"/>
      <c r="AQ50" s="72" t="s">
        <v>127</v>
      </c>
      <c r="AR50" s="72" t="s">
        <v>127</v>
      </c>
      <c r="AS50" s="72" t="s">
        <v>127</v>
      </c>
      <c r="AT50" s="72" t="s">
        <v>127</v>
      </c>
      <c r="AU50" s="72" t="s">
        <v>127</v>
      </c>
      <c r="AV50" s="72" t="s">
        <v>127</v>
      </c>
      <c r="AW50" s="69"/>
      <c r="AX50" s="72" t="s">
        <v>127</v>
      </c>
      <c r="AY50" s="72" t="s">
        <v>127</v>
      </c>
      <c r="AZ50" s="72" t="s">
        <v>127</v>
      </c>
      <c r="BA50" s="72" t="s">
        <v>127</v>
      </c>
      <c r="BB50" s="72" t="s">
        <v>127</v>
      </c>
      <c r="BC50" s="72" t="s">
        <v>127</v>
      </c>
      <c r="BD50" s="69"/>
      <c r="BE50" s="72" t="s">
        <v>127</v>
      </c>
      <c r="BF50" s="72" t="s">
        <v>127</v>
      </c>
      <c r="BG50" s="72" t="s">
        <v>127</v>
      </c>
      <c r="BH50" s="72" t="s">
        <v>127</v>
      </c>
      <c r="BI50" s="72" t="s">
        <v>127</v>
      </c>
      <c r="BJ50" s="72" t="s">
        <v>127</v>
      </c>
      <c r="BK50" s="69"/>
      <c r="BL50" s="72" t="s">
        <v>127</v>
      </c>
      <c r="BM50" s="72" t="s">
        <v>127</v>
      </c>
      <c r="BN50" s="72" t="s">
        <v>127</v>
      </c>
      <c r="BO50" s="72" t="s">
        <v>127</v>
      </c>
      <c r="BP50" s="63"/>
      <c r="BQ50" s="63"/>
      <c r="BR50" s="63"/>
      <c r="BS50" s="63"/>
      <c r="BT50" s="63"/>
      <c r="BU50" s="63"/>
      <c r="BV50" s="63"/>
    </row>
    <row r="51">
      <c r="A51" s="21">
        <v>48.0</v>
      </c>
      <c r="B51" s="51" t="s">
        <v>287</v>
      </c>
      <c r="C51" s="52" t="s">
        <v>288</v>
      </c>
      <c r="D51" s="21">
        <f t="shared" si="2"/>
        <v>48</v>
      </c>
      <c r="E51" s="21">
        <f t="shared" si="3"/>
        <v>4</v>
      </c>
      <c r="F51" s="21">
        <f t="shared" si="4"/>
        <v>52</v>
      </c>
      <c r="G51" s="53">
        <f t="shared" si="5"/>
        <v>92.30769231</v>
      </c>
      <c r="H51" s="73" t="s">
        <v>125</v>
      </c>
      <c r="I51" s="56" t="s">
        <v>127</v>
      </c>
      <c r="J51" s="56" t="s">
        <v>127</v>
      </c>
      <c r="K51" s="56" t="s">
        <v>127</v>
      </c>
      <c r="L51" s="56" t="s">
        <v>127</v>
      </c>
      <c r="M51" s="56" t="s">
        <v>127</v>
      </c>
      <c r="N51" s="68"/>
      <c r="O51" s="56" t="s">
        <v>127</v>
      </c>
      <c r="P51" s="56" t="s">
        <v>127</v>
      </c>
      <c r="Q51" s="56" t="s">
        <v>127</v>
      </c>
      <c r="R51" s="56" t="s">
        <v>127</v>
      </c>
      <c r="S51" s="56" t="s">
        <v>127</v>
      </c>
      <c r="T51" s="56" t="s">
        <v>127</v>
      </c>
      <c r="U51" s="69"/>
      <c r="V51" s="73" t="s">
        <v>125</v>
      </c>
      <c r="W51" s="56" t="s">
        <v>127</v>
      </c>
      <c r="X51" s="72" t="s">
        <v>127</v>
      </c>
      <c r="Y51" s="72" t="s">
        <v>127</v>
      </c>
      <c r="Z51" s="72" t="s">
        <v>127</v>
      </c>
      <c r="AA51" s="72" t="s">
        <v>127</v>
      </c>
      <c r="AB51" s="69"/>
      <c r="AC51" s="60" t="s">
        <v>125</v>
      </c>
      <c r="AD51" s="72" t="s">
        <v>127</v>
      </c>
      <c r="AE51" s="72" t="s">
        <v>127</v>
      </c>
      <c r="AF51" s="72" t="s">
        <v>127</v>
      </c>
      <c r="AG51" s="72" t="s">
        <v>127</v>
      </c>
      <c r="AH51" s="60" t="s">
        <v>125</v>
      </c>
      <c r="AI51" s="69"/>
      <c r="AJ51" s="72" t="s">
        <v>127</v>
      </c>
      <c r="AK51" s="72" t="s">
        <v>127</v>
      </c>
      <c r="AL51" s="72" t="s">
        <v>127</v>
      </c>
      <c r="AM51" s="72" t="s">
        <v>127</v>
      </c>
      <c r="AN51" s="72" t="s">
        <v>127</v>
      </c>
      <c r="AO51" s="72" t="s">
        <v>127</v>
      </c>
      <c r="AP51" s="69"/>
      <c r="AQ51" s="72" t="s">
        <v>127</v>
      </c>
      <c r="AR51" s="72" t="s">
        <v>127</v>
      </c>
      <c r="AS51" s="72" t="s">
        <v>127</v>
      </c>
      <c r="AT51" s="72" t="s">
        <v>127</v>
      </c>
      <c r="AU51" s="72" t="s">
        <v>127</v>
      </c>
      <c r="AV51" s="72" t="s">
        <v>127</v>
      </c>
      <c r="AW51" s="69"/>
      <c r="AX51" s="72" t="s">
        <v>127</v>
      </c>
      <c r="AY51" s="72" t="s">
        <v>127</v>
      </c>
      <c r="AZ51" s="72" t="s">
        <v>127</v>
      </c>
      <c r="BA51" s="72" t="s">
        <v>127</v>
      </c>
      <c r="BB51" s="72" t="s">
        <v>127</v>
      </c>
      <c r="BC51" s="72" t="s">
        <v>127</v>
      </c>
      <c r="BD51" s="69"/>
      <c r="BE51" s="72" t="s">
        <v>127</v>
      </c>
      <c r="BF51" s="72" t="s">
        <v>127</v>
      </c>
      <c r="BG51" s="72" t="s">
        <v>127</v>
      </c>
      <c r="BH51" s="72" t="s">
        <v>127</v>
      </c>
      <c r="BI51" s="72" t="s">
        <v>127</v>
      </c>
      <c r="BJ51" s="72" t="s">
        <v>127</v>
      </c>
      <c r="BK51" s="69"/>
      <c r="BL51" s="72" t="s">
        <v>127</v>
      </c>
      <c r="BM51" s="72" t="s">
        <v>127</v>
      </c>
      <c r="BN51" s="72" t="s">
        <v>127</v>
      </c>
      <c r="BO51" s="72" t="s">
        <v>127</v>
      </c>
      <c r="BP51" s="63"/>
      <c r="BQ51" s="63"/>
      <c r="BR51" s="63"/>
      <c r="BS51" s="63"/>
      <c r="BT51" s="63"/>
      <c r="BU51" s="63"/>
      <c r="BV51" s="63"/>
    </row>
    <row r="52">
      <c r="A52" s="21">
        <v>49.0</v>
      </c>
      <c r="B52" s="28" t="s">
        <v>575</v>
      </c>
      <c r="C52" s="28" t="s">
        <v>292</v>
      </c>
      <c r="D52" s="21">
        <f t="shared" si="2"/>
        <v>51</v>
      </c>
      <c r="E52" s="21">
        <f t="shared" si="3"/>
        <v>1</v>
      </c>
      <c r="F52" s="21">
        <f t="shared" si="4"/>
        <v>52</v>
      </c>
      <c r="G52" s="53">
        <f t="shared" si="5"/>
        <v>98.07692308</v>
      </c>
      <c r="H52" s="56" t="s">
        <v>127</v>
      </c>
      <c r="I52" s="56" t="s">
        <v>127</v>
      </c>
      <c r="J52" s="56" t="s">
        <v>127</v>
      </c>
      <c r="K52" s="56" t="s">
        <v>127</v>
      </c>
      <c r="L52" s="56" t="s">
        <v>127</v>
      </c>
      <c r="M52" s="56" t="s">
        <v>127</v>
      </c>
      <c r="N52" s="68"/>
      <c r="O52" s="56" t="s">
        <v>127</v>
      </c>
      <c r="P52" s="56" t="s">
        <v>127</v>
      </c>
      <c r="Q52" s="56" t="s">
        <v>127</v>
      </c>
      <c r="R52" s="56" t="s">
        <v>127</v>
      </c>
      <c r="S52" s="56" t="s">
        <v>127</v>
      </c>
      <c r="T52" s="56" t="s">
        <v>127</v>
      </c>
      <c r="U52" s="69"/>
      <c r="V52" s="56" t="s">
        <v>127</v>
      </c>
      <c r="W52" s="73" t="s">
        <v>125</v>
      </c>
      <c r="X52" s="72" t="s">
        <v>127</v>
      </c>
      <c r="Y52" s="72" t="s">
        <v>127</v>
      </c>
      <c r="Z52" s="72" t="s">
        <v>127</v>
      </c>
      <c r="AA52" s="72" t="s">
        <v>127</v>
      </c>
      <c r="AB52" s="69"/>
      <c r="AC52" s="72" t="s">
        <v>127</v>
      </c>
      <c r="AD52" s="72" t="s">
        <v>127</v>
      </c>
      <c r="AE52" s="72" t="s">
        <v>127</v>
      </c>
      <c r="AF52" s="72" t="s">
        <v>127</v>
      </c>
      <c r="AG52" s="72" t="s">
        <v>127</v>
      </c>
      <c r="AH52" s="72" t="s">
        <v>127</v>
      </c>
      <c r="AI52" s="69"/>
      <c r="AJ52" s="72" t="s">
        <v>127</v>
      </c>
      <c r="AK52" s="72" t="s">
        <v>127</v>
      </c>
      <c r="AL52" s="72" t="s">
        <v>127</v>
      </c>
      <c r="AM52" s="72" t="s">
        <v>127</v>
      </c>
      <c r="AN52" s="72" t="s">
        <v>127</v>
      </c>
      <c r="AO52" s="72" t="s">
        <v>127</v>
      </c>
      <c r="AP52" s="69"/>
      <c r="AQ52" s="72" t="s">
        <v>127</v>
      </c>
      <c r="AR52" s="72" t="s">
        <v>127</v>
      </c>
      <c r="AS52" s="72" t="s">
        <v>127</v>
      </c>
      <c r="AT52" s="72" t="s">
        <v>127</v>
      </c>
      <c r="AU52" s="72" t="s">
        <v>127</v>
      </c>
      <c r="AV52" s="72" t="s">
        <v>127</v>
      </c>
      <c r="AW52" s="69"/>
      <c r="AX52" s="72" t="s">
        <v>127</v>
      </c>
      <c r="AY52" s="72" t="s">
        <v>127</v>
      </c>
      <c r="AZ52" s="72" t="s">
        <v>127</v>
      </c>
      <c r="BA52" s="72" t="s">
        <v>127</v>
      </c>
      <c r="BB52" s="72" t="s">
        <v>127</v>
      </c>
      <c r="BC52" s="72" t="s">
        <v>127</v>
      </c>
      <c r="BD52" s="69"/>
      <c r="BE52" s="72" t="s">
        <v>127</v>
      </c>
      <c r="BF52" s="72" t="s">
        <v>127</v>
      </c>
      <c r="BG52" s="72" t="s">
        <v>127</v>
      </c>
      <c r="BH52" s="72" t="s">
        <v>127</v>
      </c>
      <c r="BI52" s="72" t="s">
        <v>127</v>
      </c>
      <c r="BJ52" s="72" t="s">
        <v>127</v>
      </c>
      <c r="BK52" s="69"/>
      <c r="BL52" s="72" t="s">
        <v>127</v>
      </c>
      <c r="BM52" s="72" t="s">
        <v>127</v>
      </c>
      <c r="BN52" s="72" t="s">
        <v>127</v>
      </c>
      <c r="BO52" s="72" t="s">
        <v>127</v>
      </c>
      <c r="BP52" s="63"/>
      <c r="BQ52" s="63"/>
      <c r="BR52" s="63"/>
      <c r="BS52" s="63"/>
      <c r="BT52" s="63"/>
      <c r="BU52" s="63"/>
      <c r="BV52" s="63"/>
    </row>
    <row r="53">
      <c r="A53" s="21">
        <v>50.0</v>
      </c>
      <c r="B53" s="28" t="s">
        <v>295</v>
      </c>
      <c r="C53" s="28" t="s">
        <v>296</v>
      </c>
      <c r="D53" s="21">
        <f t="shared" si="2"/>
        <v>50</v>
      </c>
      <c r="E53" s="21">
        <f t="shared" si="3"/>
        <v>2</v>
      </c>
      <c r="F53" s="21">
        <f t="shared" si="4"/>
        <v>52</v>
      </c>
      <c r="G53" s="53">
        <f t="shared" si="5"/>
        <v>96.15384615</v>
      </c>
      <c r="H53" s="56" t="s">
        <v>127</v>
      </c>
      <c r="I53" s="56" t="s">
        <v>127</v>
      </c>
      <c r="J53" s="56" t="s">
        <v>127</v>
      </c>
      <c r="K53" s="56" t="s">
        <v>127</v>
      </c>
      <c r="L53" s="56" t="s">
        <v>127</v>
      </c>
      <c r="M53" s="56" t="s">
        <v>127</v>
      </c>
      <c r="N53" s="68"/>
      <c r="O53" s="56" t="s">
        <v>127</v>
      </c>
      <c r="P53" s="56" t="s">
        <v>127</v>
      </c>
      <c r="Q53" s="56" t="s">
        <v>127</v>
      </c>
      <c r="R53" s="56" t="s">
        <v>127</v>
      </c>
      <c r="S53" s="56" t="s">
        <v>127</v>
      </c>
      <c r="T53" s="56" t="s">
        <v>127</v>
      </c>
      <c r="U53" s="69"/>
      <c r="V53" s="56" t="s">
        <v>127</v>
      </c>
      <c r="W53" s="56" t="s">
        <v>127</v>
      </c>
      <c r="X53" s="72" t="s">
        <v>127</v>
      </c>
      <c r="Y53" s="72" t="s">
        <v>127</v>
      </c>
      <c r="Z53" s="72" t="s">
        <v>127</v>
      </c>
      <c r="AA53" s="72" t="s">
        <v>127</v>
      </c>
      <c r="AB53" s="69"/>
      <c r="AC53" s="72" t="s">
        <v>127</v>
      </c>
      <c r="AD53" s="60" t="s">
        <v>125</v>
      </c>
      <c r="AE53" s="72" t="s">
        <v>127</v>
      </c>
      <c r="AF53" s="72" t="s">
        <v>127</v>
      </c>
      <c r="AG53" s="72" t="s">
        <v>127</v>
      </c>
      <c r="AH53" s="72" t="s">
        <v>127</v>
      </c>
      <c r="AI53" s="69"/>
      <c r="AJ53" s="72" t="s">
        <v>127</v>
      </c>
      <c r="AK53" s="72" t="s">
        <v>127</v>
      </c>
      <c r="AL53" s="60" t="s">
        <v>125</v>
      </c>
      <c r="AM53" s="72" t="s">
        <v>127</v>
      </c>
      <c r="AN53" s="72" t="s">
        <v>127</v>
      </c>
      <c r="AO53" s="72" t="s">
        <v>127</v>
      </c>
      <c r="AP53" s="69"/>
      <c r="AQ53" s="72" t="s">
        <v>127</v>
      </c>
      <c r="AR53" s="72" t="s">
        <v>127</v>
      </c>
      <c r="AS53" s="72" t="s">
        <v>127</v>
      </c>
      <c r="AT53" s="72" t="s">
        <v>127</v>
      </c>
      <c r="AU53" s="72" t="s">
        <v>127</v>
      </c>
      <c r="AV53" s="72" t="s">
        <v>127</v>
      </c>
      <c r="AW53" s="69"/>
      <c r="AX53" s="72" t="s">
        <v>127</v>
      </c>
      <c r="AY53" s="72" t="s">
        <v>127</v>
      </c>
      <c r="AZ53" s="72" t="s">
        <v>127</v>
      </c>
      <c r="BA53" s="72" t="s">
        <v>127</v>
      </c>
      <c r="BB53" s="72" t="s">
        <v>127</v>
      </c>
      <c r="BC53" s="72" t="s">
        <v>127</v>
      </c>
      <c r="BD53" s="69"/>
      <c r="BE53" s="72" t="s">
        <v>127</v>
      </c>
      <c r="BF53" s="72" t="s">
        <v>127</v>
      </c>
      <c r="BG53" s="72" t="s">
        <v>127</v>
      </c>
      <c r="BH53" s="72" t="s">
        <v>127</v>
      </c>
      <c r="BI53" s="72" t="s">
        <v>127</v>
      </c>
      <c r="BJ53" s="72" t="s">
        <v>127</v>
      </c>
      <c r="BK53" s="69"/>
      <c r="BL53" s="72" t="s">
        <v>127</v>
      </c>
      <c r="BM53" s="72" t="s">
        <v>127</v>
      </c>
      <c r="BN53" s="72" t="s">
        <v>127</v>
      </c>
      <c r="BO53" s="72" t="s">
        <v>127</v>
      </c>
      <c r="BP53" s="63"/>
      <c r="BQ53" s="63"/>
      <c r="BR53" s="63"/>
      <c r="BS53" s="63"/>
      <c r="BT53" s="63"/>
      <c r="BU53" s="63"/>
      <c r="BV53" s="63"/>
    </row>
    <row r="54">
      <c r="A54" s="21">
        <v>51.0</v>
      </c>
      <c r="B54" s="51" t="s">
        <v>299</v>
      </c>
      <c r="C54" s="51" t="s">
        <v>300</v>
      </c>
      <c r="D54" s="21">
        <f t="shared" si="2"/>
        <v>37</v>
      </c>
      <c r="E54" s="21">
        <f t="shared" si="3"/>
        <v>15</v>
      </c>
      <c r="F54" s="21">
        <f t="shared" si="4"/>
        <v>52</v>
      </c>
      <c r="G54" s="53">
        <f t="shared" si="5"/>
        <v>71.15384615</v>
      </c>
      <c r="H54" s="56" t="s">
        <v>127</v>
      </c>
      <c r="I54" s="56" t="s">
        <v>127</v>
      </c>
      <c r="J54" s="56" t="s">
        <v>127</v>
      </c>
      <c r="K54" s="56" t="s">
        <v>127</v>
      </c>
      <c r="L54" s="56" t="s">
        <v>127</v>
      </c>
      <c r="M54" s="56" t="s">
        <v>127</v>
      </c>
      <c r="N54" s="68"/>
      <c r="O54" s="56" t="s">
        <v>127</v>
      </c>
      <c r="P54" s="56" t="s">
        <v>127</v>
      </c>
      <c r="Q54" s="56" t="s">
        <v>127</v>
      </c>
      <c r="R54" s="56" t="s">
        <v>127</v>
      </c>
      <c r="S54" s="56" t="s">
        <v>127</v>
      </c>
      <c r="T54" s="56" t="s">
        <v>127</v>
      </c>
      <c r="U54" s="69"/>
      <c r="V54" s="56" t="s">
        <v>127</v>
      </c>
      <c r="W54" s="56" t="s">
        <v>127</v>
      </c>
      <c r="X54" s="60" t="s">
        <v>125</v>
      </c>
      <c r="Y54" s="60" t="s">
        <v>125</v>
      </c>
      <c r="Z54" s="60" t="s">
        <v>125</v>
      </c>
      <c r="AA54" s="60" t="s">
        <v>125</v>
      </c>
      <c r="AB54" s="69"/>
      <c r="AC54" s="60" t="s">
        <v>125</v>
      </c>
      <c r="AD54" s="60" t="s">
        <v>125</v>
      </c>
      <c r="AE54" s="60" t="s">
        <v>125</v>
      </c>
      <c r="AF54" s="60" t="s">
        <v>125</v>
      </c>
      <c r="AG54" s="60" t="s">
        <v>125</v>
      </c>
      <c r="AH54" s="60" t="s">
        <v>125</v>
      </c>
      <c r="AI54" s="69"/>
      <c r="AJ54" s="60" t="s">
        <v>125</v>
      </c>
      <c r="AK54" s="60" t="s">
        <v>125</v>
      </c>
      <c r="AL54" s="60" t="s">
        <v>125</v>
      </c>
      <c r="AM54" s="60" t="s">
        <v>125</v>
      </c>
      <c r="AN54" s="72" t="s">
        <v>127</v>
      </c>
      <c r="AO54" s="60" t="s">
        <v>125</v>
      </c>
      <c r="AP54" s="69"/>
      <c r="AQ54" s="72" t="s">
        <v>127</v>
      </c>
      <c r="AR54" s="72" t="s">
        <v>127</v>
      </c>
      <c r="AS54" s="72" t="s">
        <v>127</v>
      </c>
      <c r="AT54" s="72" t="s">
        <v>127</v>
      </c>
      <c r="AU54" s="72" t="s">
        <v>127</v>
      </c>
      <c r="AV54" s="72" t="s">
        <v>127</v>
      </c>
      <c r="AW54" s="69"/>
      <c r="AX54" s="72" t="s">
        <v>127</v>
      </c>
      <c r="AY54" s="72" t="s">
        <v>127</v>
      </c>
      <c r="AZ54" s="72" t="s">
        <v>127</v>
      </c>
      <c r="BA54" s="72" t="s">
        <v>127</v>
      </c>
      <c r="BB54" s="72" t="s">
        <v>127</v>
      </c>
      <c r="BC54" s="72" t="s">
        <v>127</v>
      </c>
      <c r="BD54" s="69"/>
      <c r="BE54" s="72" t="s">
        <v>127</v>
      </c>
      <c r="BF54" s="72" t="s">
        <v>127</v>
      </c>
      <c r="BG54" s="72" t="s">
        <v>127</v>
      </c>
      <c r="BH54" s="72" t="s">
        <v>127</v>
      </c>
      <c r="BI54" s="72" t="s">
        <v>127</v>
      </c>
      <c r="BJ54" s="72" t="s">
        <v>127</v>
      </c>
      <c r="BK54" s="69"/>
      <c r="BL54" s="72" t="s">
        <v>127</v>
      </c>
      <c r="BM54" s="72" t="s">
        <v>127</v>
      </c>
      <c r="BN54" s="72" t="s">
        <v>127</v>
      </c>
      <c r="BO54" s="72" t="s">
        <v>127</v>
      </c>
      <c r="BP54" s="63"/>
      <c r="BQ54" s="63"/>
      <c r="BR54" s="63"/>
      <c r="BS54" s="63"/>
      <c r="BT54" s="63"/>
      <c r="BU54" s="63"/>
      <c r="BV54" s="63"/>
    </row>
    <row r="55">
      <c r="A55" s="21">
        <v>52.0</v>
      </c>
      <c r="B55" s="28" t="s">
        <v>303</v>
      </c>
      <c r="C55" s="28" t="s">
        <v>304</v>
      </c>
      <c r="D55" s="21">
        <f t="shared" si="2"/>
        <v>35</v>
      </c>
      <c r="E55" s="21">
        <f t="shared" si="3"/>
        <v>17</v>
      </c>
      <c r="F55" s="21">
        <f t="shared" si="4"/>
        <v>52</v>
      </c>
      <c r="G55" s="53">
        <f t="shared" si="5"/>
        <v>67.30769231</v>
      </c>
      <c r="H55" s="73" t="s">
        <v>125</v>
      </c>
      <c r="I55" s="73" t="s">
        <v>125</v>
      </c>
      <c r="J55" s="73" t="s">
        <v>125</v>
      </c>
      <c r="K55" s="56" t="s">
        <v>127</v>
      </c>
      <c r="L55" s="56" t="s">
        <v>127</v>
      </c>
      <c r="M55" s="56" t="s">
        <v>127</v>
      </c>
      <c r="N55" s="68"/>
      <c r="O55" s="73" t="s">
        <v>125</v>
      </c>
      <c r="P55" s="73" t="s">
        <v>125</v>
      </c>
      <c r="Q55" s="73" t="s">
        <v>125</v>
      </c>
      <c r="R55" s="73" t="s">
        <v>125</v>
      </c>
      <c r="S55" s="73" t="s">
        <v>125</v>
      </c>
      <c r="T55" s="73" t="s">
        <v>125</v>
      </c>
      <c r="U55" s="69"/>
      <c r="V55" s="73" t="s">
        <v>125</v>
      </c>
      <c r="W55" s="73" t="s">
        <v>125</v>
      </c>
      <c r="X55" s="60" t="s">
        <v>125</v>
      </c>
      <c r="Y55" s="60" t="s">
        <v>125</v>
      </c>
      <c r="Z55" s="72" t="s">
        <v>127</v>
      </c>
      <c r="AA55" s="60" t="s">
        <v>125</v>
      </c>
      <c r="AB55" s="69"/>
      <c r="AC55" s="72" t="s">
        <v>127</v>
      </c>
      <c r="AD55" s="60" t="s">
        <v>125</v>
      </c>
      <c r="AE55" s="60" t="s">
        <v>125</v>
      </c>
      <c r="AF55" s="72" t="s">
        <v>127</v>
      </c>
      <c r="AG55" s="72" t="s">
        <v>127</v>
      </c>
      <c r="AH55" s="72" t="s">
        <v>127</v>
      </c>
      <c r="AI55" s="69"/>
      <c r="AJ55" s="72" t="s">
        <v>127</v>
      </c>
      <c r="AK55" s="72" t="s">
        <v>127</v>
      </c>
      <c r="AL55" s="72" t="s">
        <v>127</v>
      </c>
      <c r="AM55" s="60" t="s">
        <v>125</v>
      </c>
      <c r="AN55" s="72" t="s">
        <v>127</v>
      </c>
      <c r="AO55" s="72" t="s">
        <v>127</v>
      </c>
      <c r="AP55" s="69"/>
      <c r="AQ55" s="72" t="s">
        <v>127</v>
      </c>
      <c r="AR55" s="72" t="s">
        <v>127</v>
      </c>
      <c r="AS55" s="72" t="s">
        <v>127</v>
      </c>
      <c r="AT55" s="72" t="s">
        <v>127</v>
      </c>
      <c r="AU55" s="72" t="s">
        <v>127</v>
      </c>
      <c r="AV55" s="72" t="s">
        <v>127</v>
      </c>
      <c r="AW55" s="69"/>
      <c r="AX55" s="72" t="s">
        <v>127</v>
      </c>
      <c r="AY55" s="72" t="s">
        <v>127</v>
      </c>
      <c r="AZ55" s="72" t="s">
        <v>127</v>
      </c>
      <c r="BA55" s="72" t="s">
        <v>127</v>
      </c>
      <c r="BB55" s="72" t="s">
        <v>127</v>
      </c>
      <c r="BC55" s="72" t="s">
        <v>127</v>
      </c>
      <c r="BD55" s="69"/>
      <c r="BE55" s="72" t="s">
        <v>127</v>
      </c>
      <c r="BF55" s="72" t="s">
        <v>127</v>
      </c>
      <c r="BG55" s="72" t="s">
        <v>127</v>
      </c>
      <c r="BH55" s="72" t="s">
        <v>127</v>
      </c>
      <c r="BI55" s="72" t="s">
        <v>127</v>
      </c>
      <c r="BJ55" s="72" t="s">
        <v>127</v>
      </c>
      <c r="BK55" s="69"/>
      <c r="BL55" s="72" t="s">
        <v>127</v>
      </c>
      <c r="BM55" s="72" t="s">
        <v>127</v>
      </c>
      <c r="BN55" s="72" t="s">
        <v>127</v>
      </c>
      <c r="BO55" s="72" t="s">
        <v>127</v>
      </c>
      <c r="BP55" s="63"/>
      <c r="BQ55" s="63"/>
      <c r="BR55" s="63"/>
      <c r="BS55" s="63"/>
      <c r="BT55" s="63"/>
      <c r="BU55" s="63"/>
      <c r="BV55" s="63"/>
    </row>
    <row r="56">
      <c r="A56" s="21">
        <v>53.0</v>
      </c>
      <c r="B56" s="28" t="s">
        <v>305</v>
      </c>
      <c r="C56" s="28" t="s">
        <v>306</v>
      </c>
      <c r="D56" s="21">
        <f t="shared" si="2"/>
        <v>30</v>
      </c>
      <c r="E56" s="21">
        <f t="shared" si="3"/>
        <v>22</v>
      </c>
      <c r="F56" s="21">
        <f t="shared" si="4"/>
        <v>52</v>
      </c>
      <c r="G56" s="53">
        <f t="shared" si="5"/>
        <v>57.69230769</v>
      </c>
      <c r="H56" s="56" t="s">
        <v>127</v>
      </c>
      <c r="I56" s="56" t="s">
        <v>127</v>
      </c>
      <c r="J56" s="56" t="s">
        <v>127</v>
      </c>
      <c r="K56" s="56" t="s">
        <v>127</v>
      </c>
      <c r="L56" s="56" t="s">
        <v>127</v>
      </c>
      <c r="M56" s="56" t="s">
        <v>127</v>
      </c>
      <c r="N56" s="68"/>
      <c r="O56" s="56" t="s">
        <v>127</v>
      </c>
      <c r="P56" s="56" t="s">
        <v>127</v>
      </c>
      <c r="Q56" s="56" t="s">
        <v>127</v>
      </c>
      <c r="R56" s="56" t="s">
        <v>127</v>
      </c>
      <c r="S56" s="56" t="s">
        <v>127</v>
      </c>
      <c r="T56" s="56" t="s">
        <v>127</v>
      </c>
      <c r="U56" s="69"/>
      <c r="V56" s="56" t="s">
        <v>127</v>
      </c>
      <c r="W56" s="56" t="s">
        <v>127</v>
      </c>
      <c r="X56" s="72" t="s">
        <v>127</v>
      </c>
      <c r="Y56" s="72" t="s">
        <v>127</v>
      </c>
      <c r="Z56" s="60" t="s">
        <v>125</v>
      </c>
      <c r="AA56" s="72" t="s">
        <v>127</v>
      </c>
      <c r="AB56" s="69"/>
      <c r="AC56" s="60" t="s">
        <v>125</v>
      </c>
      <c r="AD56" s="72" t="s">
        <v>127</v>
      </c>
      <c r="AE56" s="72" t="s">
        <v>127</v>
      </c>
      <c r="AF56" s="72" t="s">
        <v>127</v>
      </c>
      <c r="AG56" s="72" t="s">
        <v>127</v>
      </c>
      <c r="AH56" s="72" t="s">
        <v>127</v>
      </c>
      <c r="AI56" s="69"/>
      <c r="AJ56" s="72" t="s">
        <v>127</v>
      </c>
      <c r="AK56" s="72" t="s">
        <v>127</v>
      </c>
      <c r="AL56" s="72" t="s">
        <v>127</v>
      </c>
      <c r="AM56" s="72" t="s">
        <v>127</v>
      </c>
      <c r="AN56" s="72" t="s">
        <v>127</v>
      </c>
      <c r="AO56" s="72" t="s">
        <v>127</v>
      </c>
      <c r="AP56" s="69"/>
      <c r="AQ56" s="72" t="s">
        <v>127</v>
      </c>
      <c r="AR56" s="72" t="s">
        <v>127</v>
      </c>
      <c r="AS56" s="60" t="s">
        <v>125</v>
      </c>
      <c r="AT56" s="60" t="s">
        <v>125</v>
      </c>
      <c r="AU56" s="60" t="s">
        <v>125</v>
      </c>
      <c r="AV56" s="60" t="s">
        <v>125</v>
      </c>
      <c r="AW56" s="69"/>
      <c r="AX56" s="60" t="s">
        <v>125</v>
      </c>
      <c r="AY56" s="60" t="s">
        <v>125</v>
      </c>
      <c r="AZ56" s="60" t="s">
        <v>125</v>
      </c>
      <c r="BA56" s="60" t="s">
        <v>125</v>
      </c>
      <c r="BB56" s="60" t="s">
        <v>125</v>
      </c>
      <c r="BC56" s="60" t="s">
        <v>125</v>
      </c>
      <c r="BD56" s="69"/>
      <c r="BE56" s="60" t="s">
        <v>125</v>
      </c>
      <c r="BF56" s="60" t="s">
        <v>125</v>
      </c>
      <c r="BG56" s="60" t="s">
        <v>125</v>
      </c>
      <c r="BH56" s="60" t="s">
        <v>125</v>
      </c>
      <c r="BI56" s="60" t="s">
        <v>125</v>
      </c>
      <c r="BJ56" s="60" t="s">
        <v>125</v>
      </c>
      <c r="BK56" s="69"/>
      <c r="BL56" s="60" t="s">
        <v>125</v>
      </c>
      <c r="BM56" s="60" t="s">
        <v>125</v>
      </c>
      <c r="BN56" s="60" t="s">
        <v>125</v>
      </c>
      <c r="BO56" s="60" t="s">
        <v>125</v>
      </c>
      <c r="BP56" s="63"/>
      <c r="BQ56" s="63"/>
      <c r="BR56" s="63"/>
      <c r="BS56" s="63"/>
      <c r="BT56" s="63"/>
      <c r="BU56" s="63"/>
      <c r="BV56" s="63"/>
    </row>
    <row r="57">
      <c r="A57" s="21">
        <v>54.0</v>
      </c>
      <c r="B57" s="51" t="s">
        <v>307</v>
      </c>
      <c r="C57" s="51" t="s">
        <v>308</v>
      </c>
      <c r="D57" s="21">
        <f t="shared" si="2"/>
        <v>47</v>
      </c>
      <c r="E57" s="21">
        <f t="shared" si="3"/>
        <v>5</v>
      </c>
      <c r="F57" s="21">
        <f t="shared" si="4"/>
        <v>52</v>
      </c>
      <c r="G57" s="53">
        <f t="shared" si="5"/>
        <v>90.38461538</v>
      </c>
      <c r="H57" s="56" t="s">
        <v>127</v>
      </c>
      <c r="I57" s="56" t="s">
        <v>127</v>
      </c>
      <c r="J57" s="56" t="s">
        <v>127</v>
      </c>
      <c r="K57" s="56" t="s">
        <v>127</v>
      </c>
      <c r="L57" s="56" t="s">
        <v>127</v>
      </c>
      <c r="M57" s="56" t="s">
        <v>127</v>
      </c>
      <c r="N57" s="68"/>
      <c r="O57" s="56" t="s">
        <v>127</v>
      </c>
      <c r="P57" s="56" t="s">
        <v>127</v>
      </c>
      <c r="Q57" s="56" t="s">
        <v>127</v>
      </c>
      <c r="R57" s="56" t="s">
        <v>127</v>
      </c>
      <c r="S57" s="56" t="s">
        <v>127</v>
      </c>
      <c r="T57" s="56" t="s">
        <v>127</v>
      </c>
      <c r="U57" s="69"/>
      <c r="V57" s="56" t="s">
        <v>127</v>
      </c>
      <c r="W57" s="56" t="s">
        <v>127</v>
      </c>
      <c r="X57" s="72" t="s">
        <v>127</v>
      </c>
      <c r="Y57" s="72" t="s">
        <v>127</v>
      </c>
      <c r="Z57" s="72" t="s">
        <v>127</v>
      </c>
      <c r="AA57" s="72" t="s">
        <v>127</v>
      </c>
      <c r="AB57" s="69"/>
      <c r="AC57" s="60" t="s">
        <v>125</v>
      </c>
      <c r="AD57" s="72" t="s">
        <v>127</v>
      </c>
      <c r="AE57" s="72" t="s">
        <v>127</v>
      </c>
      <c r="AF57" s="72" t="s">
        <v>127</v>
      </c>
      <c r="AG57" s="72" t="s">
        <v>127</v>
      </c>
      <c r="AH57" s="72" t="s">
        <v>127</v>
      </c>
      <c r="AI57" s="69"/>
      <c r="AJ57" s="60" t="s">
        <v>125</v>
      </c>
      <c r="AK57" s="72" t="s">
        <v>127</v>
      </c>
      <c r="AL57" s="72" t="s">
        <v>127</v>
      </c>
      <c r="AM57" s="60" t="s">
        <v>125</v>
      </c>
      <c r="AN57" s="60" t="s">
        <v>125</v>
      </c>
      <c r="AO57" s="60" t="s">
        <v>125</v>
      </c>
      <c r="AP57" s="69"/>
      <c r="AQ57" s="72" t="s">
        <v>127</v>
      </c>
      <c r="AR57" s="72" t="s">
        <v>127</v>
      </c>
      <c r="AS57" s="72" t="s">
        <v>127</v>
      </c>
      <c r="AT57" s="72" t="s">
        <v>127</v>
      </c>
      <c r="AU57" s="72" t="s">
        <v>127</v>
      </c>
      <c r="AV57" s="72" t="s">
        <v>127</v>
      </c>
      <c r="AW57" s="69"/>
      <c r="AX57" s="72" t="s">
        <v>127</v>
      </c>
      <c r="AY57" s="72" t="s">
        <v>127</v>
      </c>
      <c r="AZ57" s="72" t="s">
        <v>127</v>
      </c>
      <c r="BA57" s="72" t="s">
        <v>127</v>
      </c>
      <c r="BB57" s="72" t="s">
        <v>127</v>
      </c>
      <c r="BC57" s="72" t="s">
        <v>127</v>
      </c>
      <c r="BD57" s="69"/>
      <c r="BE57" s="72" t="s">
        <v>127</v>
      </c>
      <c r="BF57" s="72" t="s">
        <v>127</v>
      </c>
      <c r="BG57" s="72" t="s">
        <v>127</v>
      </c>
      <c r="BH57" s="72" t="s">
        <v>127</v>
      </c>
      <c r="BI57" s="72" t="s">
        <v>127</v>
      </c>
      <c r="BJ57" s="72" t="s">
        <v>127</v>
      </c>
      <c r="BK57" s="69"/>
      <c r="BL57" s="72" t="s">
        <v>127</v>
      </c>
      <c r="BM57" s="72" t="s">
        <v>127</v>
      </c>
      <c r="BN57" s="72" t="s">
        <v>127</v>
      </c>
      <c r="BO57" s="72" t="s">
        <v>127</v>
      </c>
      <c r="BP57" s="63"/>
      <c r="BQ57" s="63"/>
      <c r="BR57" s="63"/>
      <c r="BS57" s="63"/>
      <c r="BT57" s="63"/>
      <c r="BU57" s="63"/>
      <c r="BV57" s="63"/>
    </row>
    <row r="58">
      <c r="A58" s="21">
        <v>55.0</v>
      </c>
      <c r="B58" s="28" t="s">
        <v>309</v>
      </c>
      <c r="C58" s="28" t="s">
        <v>310</v>
      </c>
      <c r="D58" s="21">
        <f t="shared" si="2"/>
        <v>50</v>
      </c>
      <c r="E58" s="21">
        <f t="shared" si="3"/>
        <v>2</v>
      </c>
      <c r="F58" s="21">
        <f t="shared" si="4"/>
        <v>52</v>
      </c>
      <c r="G58" s="53">
        <f t="shared" si="5"/>
        <v>96.15384615</v>
      </c>
      <c r="H58" s="56" t="s">
        <v>127</v>
      </c>
      <c r="I58" s="56" t="s">
        <v>127</v>
      </c>
      <c r="J58" s="56" t="s">
        <v>127</v>
      </c>
      <c r="K58" s="56" t="s">
        <v>127</v>
      </c>
      <c r="L58" s="56" t="s">
        <v>127</v>
      </c>
      <c r="M58" s="56" t="s">
        <v>127</v>
      </c>
      <c r="N58" s="68"/>
      <c r="O58" s="56" t="s">
        <v>127</v>
      </c>
      <c r="P58" s="56" t="s">
        <v>127</v>
      </c>
      <c r="Q58" s="56" t="s">
        <v>127</v>
      </c>
      <c r="R58" s="56" t="s">
        <v>127</v>
      </c>
      <c r="S58" s="56" t="s">
        <v>127</v>
      </c>
      <c r="T58" s="56" t="s">
        <v>127</v>
      </c>
      <c r="U58" s="69"/>
      <c r="V58" s="56" t="s">
        <v>127</v>
      </c>
      <c r="W58" s="56" t="s">
        <v>127</v>
      </c>
      <c r="X58" s="72" t="s">
        <v>127</v>
      </c>
      <c r="Y58" s="72" t="s">
        <v>127</v>
      </c>
      <c r="Z58" s="72" t="s">
        <v>127</v>
      </c>
      <c r="AA58" s="72" t="s">
        <v>127</v>
      </c>
      <c r="AB58" s="69"/>
      <c r="AC58" s="72" t="s">
        <v>127</v>
      </c>
      <c r="AD58" s="72" t="s">
        <v>127</v>
      </c>
      <c r="AE58" s="60" t="s">
        <v>125</v>
      </c>
      <c r="AF58" s="72" t="s">
        <v>127</v>
      </c>
      <c r="AG58" s="60" t="s">
        <v>125</v>
      </c>
      <c r="AH58" s="72" t="s">
        <v>127</v>
      </c>
      <c r="AI58" s="69"/>
      <c r="AJ58" s="72" t="s">
        <v>127</v>
      </c>
      <c r="AK58" s="72" t="s">
        <v>127</v>
      </c>
      <c r="AL58" s="72" t="s">
        <v>127</v>
      </c>
      <c r="AM58" s="72" t="s">
        <v>127</v>
      </c>
      <c r="AN58" s="72" t="s">
        <v>127</v>
      </c>
      <c r="AO58" s="72" t="s">
        <v>127</v>
      </c>
      <c r="AP58" s="69"/>
      <c r="AQ58" s="72" t="s">
        <v>127</v>
      </c>
      <c r="AR58" s="72" t="s">
        <v>127</v>
      </c>
      <c r="AS58" s="72" t="s">
        <v>127</v>
      </c>
      <c r="AT58" s="72" t="s">
        <v>127</v>
      </c>
      <c r="AU58" s="72" t="s">
        <v>127</v>
      </c>
      <c r="AV58" s="72" t="s">
        <v>127</v>
      </c>
      <c r="AW58" s="69"/>
      <c r="AX58" s="72" t="s">
        <v>127</v>
      </c>
      <c r="AY58" s="72" t="s">
        <v>127</v>
      </c>
      <c r="AZ58" s="72" t="s">
        <v>127</v>
      </c>
      <c r="BA58" s="72" t="s">
        <v>127</v>
      </c>
      <c r="BB58" s="72" t="s">
        <v>127</v>
      </c>
      <c r="BC58" s="72" t="s">
        <v>127</v>
      </c>
      <c r="BD58" s="69"/>
      <c r="BE58" s="72" t="s">
        <v>127</v>
      </c>
      <c r="BF58" s="72" t="s">
        <v>127</v>
      </c>
      <c r="BG58" s="72" t="s">
        <v>127</v>
      </c>
      <c r="BH58" s="72" t="s">
        <v>127</v>
      </c>
      <c r="BI58" s="72" t="s">
        <v>127</v>
      </c>
      <c r="BJ58" s="72" t="s">
        <v>127</v>
      </c>
      <c r="BK58" s="69"/>
      <c r="BL58" s="72" t="s">
        <v>127</v>
      </c>
      <c r="BM58" s="72" t="s">
        <v>127</v>
      </c>
      <c r="BN58" s="72" t="s">
        <v>127</v>
      </c>
      <c r="BO58" s="72" t="s">
        <v>127</v>
      </c>
      <c r="BP58" s="63"/>
      <c r="BQ58" s="63"/>
      <c r="BR58" s="63"/>
      <c r="BS58" s="63"/>
      <c r="BT58" s="63"/>
      <c r="BU58" s="63"/>
      <c r="BV58" s="63"/>
    </row>
    <row r="59">
      <c r="A59" s="21">
        <v>56.0</v>
      </c>
      <c r="B59" s="28" t="s">
        <v>311</v>
      </c>
      <c r="C59" s="28" t="s">
        <v>313</v>
      </c>
      <c r="D59" s="21">
        <f t="shared" si="2"/>
        <v>47</v>
      </c>
      <c r="E59" s="21">
        <f t="shared" si="3"/>
        <v>5</v>
      </c>
      <c r="F59" s="21">
        <f t="shared" si="4"/>
        <v>52</v>
      </c>
      <c r="G59" s="53">
        <f t="shared" si="5"/>
        <v>90.38461538</v>
      </c>
      <c r="H59" s="56" t="s">
        <v>127</v>
      </c>
      <c r="I59" s="56" t="s">
        <v>127</v>
      </c>
      <c r="J59" s="56" t="s">
        <v>127</v>
      </c>
      <c r="K59" s="56" t="s">
        <v>127</v>
      </c>
      <c r="L59" s="56" t="s">
        <v>127</v>
      </c>
      <c r="M59" s="56" t="s">
        <v>127</v>
      </c>
      <c r="N59" s="68"/>
      <c r="O59" s="56" t="s">
        <v>127</v>
      </c>
      <c r="P59" s="56" t="s">
        <v>127</v>
      </c>
      <c r="Q59" s="56" t="s">
        <v>127</v>
      </c>
      <c r="R59" s="56" t="s">
        <v>127</v>
      </c>
      <c r="S59" s="56" t="s">
        <v>127</v>
      </c>
      <c r="T59" s="56" t="s">
        <v>127</v>
      </c>
      <c r="U59" s="69"/>
      <c r="V59" s="56" t="s">
        <v>127</v>
      </c>
      <c r="W59" s="56" t="s">
        <v>127</v>
      </c>
      <c r="X59" s="72" t="s">
        <v>127</v>
      </c>
      <c r="Y59" s="72" t="s">
        <v>127</v>
      </c>
      <c r="Z59" s="72" t="s">
        <v>127</v>
      </c>
      <c r="AA59" s="72" t="s">
        <v>127</v>
      </c>
      <c r="AB59" s="69"/>
      <c r="AC59" s="72" t="s">
        <v>127</v>
      </c>
      <c r="AD59" s="72" t="s">
        <v>127</v>
      </c>
      <c r="AE59" s="72" t="s">
        <v>127</v>
      </c>
      <c r="AF59" s="60" t="s">
        <v>125</v>
      </c>
      <c r="AG59" s="72" t="s">
        <v>127</v>
      </c>
      <c r="AH59" s="72" t="s">
        <v>127</v>
      </c>
      <c r="AI59" s="69"/>
      <c r="AJ59" s="72" t="s">
        <v>127</v>
      </c>
      <c r="AK59" s="60" t="s">
        <v>125</v>
      </c>
      <c r="AL59" s="60" t="s">
        <v>125</v>
      </c>
      <c r="AM59" s="60" t="s">
        <v>125</v>
      </c>
      <c r="AN59" s="60" t="s">
        <v>125</v>
      </c>
      <c r="AO59" s="72" t="s">
        <v>127</v>
      </c>
      <c r="AP59" s="69"/>
      <c r="AQ59" s="72" t="s">
        <v>127</v>
      </c>
      <c r="AR59" s="72" t="s">
        <v>127</v>
      </c>
      <c r="AS59" s="72" t="s">
        <v>127</v>
      </c>
      <c r="AT59" s="72" t="s">
        <v>127</v>
      </c>
      <c r="AU59" s="72" t="s">
        <v>127</v>
      </c>
      <c r="AV59" s="72" t="s">
        <v>127</v>
      </c>
      <c r="AW59" s="69"/>
      <c r="AX59" s="72" t="s">
        <v>127</v>
      </c>
      <c r="AY59" s="72" t="s">
        <v>127</v>
      </c>
      <c r="AZ59" s="72" t="s">
        <v>127</v>
      </c>
      <c r="BA59" s="72" t="s">
        <v>127</v>
      </c>
      <c r="BB59" s="72" t="s">
        <v>127</v>
      </c>
      <c r="BC59" s="72" t="s">
        <v>127</v>
      </c>
      <c r="BD59" s="69"/>
      <c r="BE59" s="72" t="s">
        <v>127</v>
      </c>
      <c r="BF59" s="72" t="s">
        <v>127</v>
      </c>
      <c r="BG59" s="72" t="s">
        <v>127</v>
      </c>
      <c r="BH59" s="72" t="s">
        <v>127</v>
      </c>
      <c r="BI59" s="72" t="s">
        <v>127</v>
      </c>
      <c r="BJ59" s="72" t="s">
        <v>127</v>
      </c>
      <c r="BK59" s="69"/>
      <c r="BL59" s="72" t="s">
        <v>127</v>
      </c>
      <c r="BM59" s="72" t="s">
        <v>127</v>
      </c>
      <c r="BN59" s="72" t="s">
        <v>127</v>
      </c>
      <c r="BO59" s="72" t="s">
        <v>127</v>
      </c>
      <c r="BP59" s="63"/>
      <c r="BQ59" s="63"/>
      <c r="BR59" s="63"/>
      <c r="BS59" s="63"/>
      <c r="BT59" s="63"/>
      <c r="BU59" s="63"/>
      <c r="BV59" s="63"/>
    </row>
    <row r="60">
      <c r="A60" s="21">
        <v>57.0</v>
      </c>
      <c r="B60" s="51" t="s">
        <v>315</v>
      </c>
      <c r="C60" s="51" t="s">
        <v>316</v>
      </c>
      <c r="D60" s="21">
        <f t="shared" si="2"/>
        <v>50</v>
      </c>
      <c r="E60" s="21">
        <f t="shared" si="3"/>
        <v>2</v>
      </c>
      <c r="F60" s="21">
        <f t="shared" si="4"/>
        <v>52</v>
      </c>
      <c r="G60" s="53">
        <f t="shared" si="5"/>
        <v>96.15384615</v>
      </c>
      <c r="H60" s="56" t="s">
        <v>127</v>
      </c>
      <c r="I60" s="56" t="s">
        <v>127</v>
      </c>
      <c r="J60" s="56" t="s">
        <v>127</v>
      </c>
      <c r="K60" s="56" t="s">
        <v>127</v>
      </c>
      <c r="L60" s="56" t="s">
        <v>127</v>
      </c>
      <c r="M60" s="56" t="s">
        <v>127</v>
      </c>
      <c r="N60" s="68"/>
      <c r="O60" s="56" t="s">
        <v>127</v>
      </c>
      <c r="P60" s="56" t="s">
        <v>127</v>
      </c>
      <c r="Q60" s="56" t="s">
        <v>127</v>
      </c>
      <c r="R60" s="56" t="s">
        <v>127</v>
      </c>
      <c r="S60" s="56" t="s">
        <v>127</v>
      </c>
      <c r="T60" s="56" t="s">
        <v>127</v>
      </c>
      <c r="U60" s="69"/>
      <c r="V60" s="56" t="s">
        <v>127</v>
      </c>
      <c r="W60" s="56" t="s">
        <v>127</v>
      </c>
      <c r="X60" s="72" t="s">
        <v>127</v>
      </c>
      <c r="Y60" s="72" t="s">
        <v>127</v>
      </c>
      <c r="Z60" s="72" t="s">
        <v>127</v>
      </c>
      <c r="AA60" s="72" t="s">
        <v>127</v>
      </c>
      <c r="AB60" s="69"/>
      <c r="AC60" s="72" t="s">
        <v>127</v>
      </c>
      <c r="AD60" s="72" t="s">
        <v>127</v>
      </c>
      <c r="AE60" s="72" t="s">
        <v>127</v>
      </c>
      <c r="AF60" s="60" t="s">
        <v>125</v>
      </c>
      <c r="AG60" s="72" t="s">
        <v>127</v>
      </c>
      <c r="AH60" s="72" t="s">
        <v>127</v>
      </c>
      <c r="AI60" s="69"/>
      <c r="AJ60" s="72" t="s">
        <v>127</v>
      </c>
      <c r="AK60" s="72" t="s">
        <v>127</v>
      </c>
      <c r="AL60" s="72" t="s">
        <v>127</v>
      </c>
      <c r="AM60" s="60" t="s">
        <v>125</v>
      </c>
      <c r="AN60" s="72" t="s">
        <v>127</v>
      </c>
      <c r="AO60" s="72" t="s">
        <v>127</v>
      </c>
      <c r="AP60" s="69"/>
      <c r="AQ60" s="72" t="s">
        <v>127</v>
      </c>
      <c r="AR60" s="72" t="s">
        <v>127</v>
      </c>
      <c r="AS60" s="72" t="s">
        <v>127</v>
      </c>
      <c r="AT60" s="72" t="s">
        <v>127</v>
      </c>
      <c r="AU60" s="72" t="s">
        <v>127</v>
      </c>
      <c r="AV60" s="72" t="s">
        <v>127</v>
      </c>
      <c r="AW60" s="69"/>
      <c r="AX60" s="72" t="s">
        <v>127</v>
      </c>
      <c r="AY60" s="72" t="s">
        <v>127</v>
      </c>
      <c r="AZ60" s="72" t="s">
        <v>127</v>
      </c>
      <c r="BA60" s="72" t="s">
        <v>127</v>
      </c>
      <c r="BB60" s="72" t="s">
        <v>127</v>
      </c>
      <c r="BC60" s="72" t="s">
        <v>127</v>
      </c>
      <c r="BD60" s="69"/>
      <c r="BE60" s="72" t="s">
        <v>127</v>
      </c>
      <c r="BF60" s="72" t="s">
        <v>127</v>
      </c>
      <c r="BG60" s="72" t="s">
        <v>127</v>
      </c>
      <c r="BH60" s="72" t="s">
        <v>127</v>
      </c>
      <c r="BI60" s="72" t="s">
        <v>127</v>
      </c>
      <c r="BJ60" s="72" t="s">
        <v>127</v>
      </c>
      <c r="BK60" s="69"/>
      <c r="BL60" s="72" t="s">
        <v>127</v>
      </c>
      <c r="BM60" s="72" t="s">
        <v>127</v>
      </c>
      <c r="BN60" s="72" t="s">
        <v>127</v>
      </c>
      <c r="BO60" s="72" t="s">
        <v>127</v>
      </c>
      <c r="BP60" s="63"/>
      <c r="BQ60" s="63"/>
      <c r="BR60" s="63"/>
      <c r="BS60" s="63"/>
      <c r="BT60" s="63"/>
      <c r="BU60" s="63"/>
      <c r="BV60" s="63"/>
    </row>
    <row r="61">
      <c r="A61" s="21">
        <v>58.0</v>
      </c>
      <c r="B61" s="28" t="s">
        <v>318</v>
      </c>
      <c r="C61" s="28" t="s">
        <v>319</v>
      </c>
      <c r="D61" s="21">
        <f t="shared" si="2"/>
        <v>30</v>
      </c>
      <c r="E61" s="21">
        <f t="shared" si="3"/>
        <v>22</v>
      </c>
      <c r="F61" s="21">
        <f t="shared" si="4"/>
        <v>52</v>
      </c>
      <c r="G61" s="53">
        <f t="shared" si="5"/>
        <v>57.69230769</v>
      </c>
      <c r="H61" s="56" t="s">
        <v>127</v>
      </c>
      <c r="I61" s="56" t="s">
        <v>127</v>
      </c>
      <c r="J61" s="56" t="s">
        <v>127</v>
      </c>
      <c r="K61" s="56" t="s">
        <v>127</v>
      </c>
      <c r="L61" s="56" t="s">
        <v>127</v>
      </c>
      <c r="M61" s="56" t="s">
        <v>127</v>
      </c>
      <c r="N61" s="68"/>
      <c r="O61" s="56" t="s">
        <v>127</v>
      </c>
      <c r="P61" s="56" t="s">
        <v>127</v>
      </c>
      <c r="Q61" s="56" t="s">
        <v>127</v>
      </c>
      <c r="R61" s="56" t="s">
        <v>127</v>
      </c>
      <c r="S61" s="56" t="s">
        <v>127</v>
      </c>
      <c r="T61" s="56" t="s">
        <v>127</v>
      </c>
      <c r="U61" s="69"/>
      <c r="V61" s="56" t="s">
        <v>127</v>
      </c>
      <c r="W61" s="56" t="s">
        <v>127</v>
      </c>
      <c r="X61" s="72" t="s">
        <v>127</v>
      </c>
      <c r="Y61" s="72" t="s">
        <v>127</v>
      </c>
      <c r="Z61" s="72" t="s">
        <v>127</v>
      </c>
      <c r="AA61" s="72" t="s">
        <v>127</v>
      </c>
      <c r="AB61" s="69"/>
      <c r="AC61" s="72" t="s">
        <v>127</v>
      </c>
      <c r="AD61" s="72" t="s">
        <v>127</v>
      </c>
      <c r="AE61" s="72" t="s">
        <v>127</v>
      </c>
      <c r="AF61" s="72" t="s">
        <v>127</v>
      </c>
      <c r="AG61" s="72" t="s">
        <v>127</v>
      </c>
      <c r="AH61" s="72" t="s">
        <v>127</v>
      </c>
      <c r="AI61" s="69"/>
      <c r="AJ61" s="72" t="s">
        <v>127</v>
      </c>
      <c r="AK61" s="72" t="s">
        <v>127</v>
      </c>
      <c r="AL61" s="72" t="s">
        <v>127</v>
      </c>
      <c r="AM61" s="72" t="s">
        <v>127</v>
      </c>
      <c r="AN61" s="72" t="s">
        <v>127</v>
      </c>
      <c r="AO61" s="60" t="s">
        <v>125</v>
      </c>
      <c r="AP61" s="69"/>
      <c r="AQ61" s="72" t="s">
        <v>127</v>
      </c>
      <c r="AR61" s="60" t="s">
        <v>125</v>
      </c>
      <c r="AS61" s="60" t="s">
        <v>125</v>
      </c>
      <c r="AT61" s="60" t="s">
        <v>125</v>
      </c>
      <c r="AU61" s="60" t="s">
        <v>125</v>
      </c>
      <c r="AV61" s="60" t="s">
        <v>125</v>
      </c>
      <c r="AW61" s="69"/>
      <c r="AX61" s="60" t="s">
        <v>125</v>
      </c>
      <c r="AY61" s="60" t="s">
        <v>125</v>
      </c>
      <c r="AZ61" s="60" t="s">
        <v>125</v>
      </c>
      <c r="BA61" s="60" t="s">
        <v>125</v>
      </c>
      <c r="BB61" s="60" t="s">
        <v>125</v>
      </c>
      <c r="BC61" s="60" t="s">
        <v>125</v>
      </c>
      <c r="BD61" s="69"/>
      <c r="BE61" s="60" t="s">
        <v>125</v>
      </c>
      <c r="BF61" s="60" t="s">
        <v>125</v>
      </c>
      <c r="BG61" s="60" t="s">
        <v>125</v>
      </c>
      <c r="BH61" s="60" t="s">
        <v>125</v>
      </c>
      <c r="BI61" s="60" t="s">
        <v>125</v>
      </c>
      <c r="BJ61" s="60" t="s">
        <v>125</v>
      </c>
      <c r="BK61" s="69"/>
      <c r="BL61" s="60" t="s">
        <v>125</v>
      </c>
      <c r="BM61" s="60" t="s">
        <v>125</v>
      </c>
      <c r="BN61" s="60" t="s">
        <v>125</v>
      </c>
      <c r="BO61" s="60" t="s">
        <v>125</v>
      </c>
      <c r="BP61" s="63"/>
      <c r="BQ61" s="63"/>
      <c r="BR61" s="63"/>
      <c r="BS61" s="63"/>
      <c r="BT61" s="63"/>
      <c r="BU61" s="63"/>
      <c r="BV61" s="63"/>
    </row>
    <row r="62">
      <c r="A62" s="21">
        <v>59.0</v>
      </c>
      <c r="B62" s="28" t="s">
        <v>323</v>
      </c>
      <c r="C62" s="28" t="s">
        <v>324</v>
      </c>
      <c r="D62" s="21">
        <f t="shared" si="2"/>
        <v>47</v>
      </c>
      <c r="E62" s="21">
        <f t="shared" si="3"/>
        <v>5</v>
      </c>
      <c r="F62" s="21">
        <f t="shared" si="4"/>
        <v>52</v>
      </c>
      <c r="G62" s="53">
        <f t="shared" si="5"/>
        <v>90.38461538</v>
      </c>
      <c r="H62" s="54" t="s">
        <v>125</v>
      </c>
      <c r="I62" s="54" t="s">
        <v>125</v>
      </c>
      <c r="J62" s="54" t="s">
        <v>125</v>
      </c>
      <c r="K62" s="55" t="s">
        <v>127</v>
      </c>
      <c r="L62" s="55" t="s">
        <v>127</v>
      </c>
      <c r="M62" s="54" t="s">
        <v>125</v>
      </c>
      <c r="N62" s="94"/>
      <c r="O62" s="55" t="s">
        <v>127</v>
      </c>
      <c r="P62" s="55" t="s">
        <v>127</v>
      </c>
      <c r="Q62" s="73" t="s">
        <v>125</v>
      </c>
      <c r="R62" s="56" t="s">
        <v>127</v>
      </c>
      <c r="S62" s="56" t="s">
        <v>127</v>
      </c>
      <c r="T62" s="56" t="s">
        <v>127</v>
      </c>
      <c r="U62" s="69"/>
      <c r="V62" s="56" t="s">
        <v>127</v>
      </c>
      <c r="W62" s="56" t="s">
        <v>127</v>
      </c>
      <c r="X62" s="72" t="s">
        <v>127</v>
      </c>
      <c r="Y62" s="72" t="s">
        <v>127</v>
      </c>
      <c r="Z62" s="72" t="s">
        <v>127</v>
      </c>
      <c r="AA62" s="72" t="s">
        <v>127</v>
      </c>
      <c r="AB62" s="69"/>
      <c r="AC62" s="72" t="s">
        <v>127</v>
      </c>
      <c r="AD62" s="72" t="s">
        <v>127</v>
      </c>
      <c r="AE62" s="72" t="s">
        <v>127</v>
      </c>
      <c r="AF62" s="72" t="s">
        <v>127</v>
      </c>
      <c r="AG62" s="72" t="s">
        <v>127</v>
      </c>
      <c r="AH62" s="72" t="s">
        <v>127</v>
      </c>
      <c r="AI62" s="69"/>
      <c r="AJ62" s="72" t="s">
        <v>127</v>
      </c>
      <c r="AK62" s="72" t="s">
        <v>127</v>
      </c>
      <c r="AL62" s="72" t="s">
        <v>127</v>
      </c>
      <c r="AM62" s="72" t="s">
        <v>127</v>
      </c>
      <c r="AN62" s="72" t="s">
        <v>127</v>
      </c>
      <c r="AO62" s="72" t="s">
        <v>127</v>
      </c>
      <c r="AP62" s="69"/>
      <c r="AQ62" s="72" t="s">
        <v>127</v>
      </c>
      <c r="AR62" s="72" t="s">
        <v>127</v>
      </c>
      <c r="AS62" s="72" t="s">
        <v>127</v>
      </c>
      <c r="AT62" s="72" t="s">
        <v>127</v>
      </c>
      <c r="AU62" s="72" t="s">
        <v>127</v>
      </c>
      <c r="AV62" s="72" t="s">
        <v>127</v>
      </c>
      <c r="AW62" s="69"/>
      <c r="AX62" s="72" t="s">
        <v>127</v>
      </c>
      <c r="AY62" s="72" t="s">
        <v>127</v>
      </c>
      <c r="AZ62" s="72" t="s">
        <v>127</v>
      </c>
      <c r="BA62" s="72" t="s">
        <v>127</v>
      </c>
      <c r="BB62" s="72" t="s">
        <v>127</v>
      </c>
      <c r="BC62" s="72" t="s">
        <v>127</v>
      </c>
      <c r="BD62" s="69"/>
      <c r="BE62" s="72" t="s">
        <v>127</v>
      </c>
      <c r="BF62" s="72" t="s">
        <v>127</v>
      </c>
      <c r="BG62" s="72" t="s">
        <v>127</v>
      </c>
      <c r="BH62" s="72" t="s">
        <v>127</v>
      </c>
      <c r="BI62" s="72" t="s">
        <v>127</v>
      </c>
      <c r="BJ62" s="72" t="s">
        <v>127</v>
      </c>
      <c r="BK62" s="69"/>
      <c r="BL62" s="72" t="s">
        <v>127</v>
      </c>
      <c r="BM62" s="72" t="s">
        <v>127</v>
      </c>
      <c r="BN62" s="72" t="s">
        <v>127</v>
      </c>
      <c r="BO62" s="72" t="s">
        <v>127</v>
      </c>
      <c r="BP62" s="63"/>
      <c r="BQ62" s="63"/>
      <c r="BR62" s="63"/>
      <c r="BS62" s="63"/>
      <c r="BT62" s="63"/>
      <c r="BU62" s="63"/>
      <c r="BV62" s="63"/>
    </row>
    <row r="63">
      <c r="A63" s="21">
        <v>60.0</v>
      </c>
      <c r="B63" s="80" t="s">
        <v>327</v>
      </c>
      <c r="C63" s="28" t="s">
        <v>328</v>
      </c>
      <c r="D63" s="21">
        <f t="shared" si="2"/>
        <v>3</v>
      </c>
      <c r="E63" s="21">
        <f t="shared" si="3"/>
        <v>49</v>
      </c>
      <c r="F63" s="21">
        <f t="shared" si="4"/>
        <v>52</v>
      </c>
      <c r="G63" s="53">
        <f t="shared" si="5"/>
        <v>5.769230769</v>
      </c>
      <c r="H63" s="73" t="s">
        <v>125</v>
      </c>
      <c r="I63" s="73" t="s">
        <v>125</v>
      </c>
      <c r="J63" s="73" t="s">
        <v>125</v>
      </c>
      <c r="K63" s="56" t="s">
        <v>127</v>
      </c>
      <c r="L63" s="56" t="s">
        <v>127</v>
      </c>
      <c r="M63" s="56" t="s">
        <v>127</v>
      </c>
      <c r="N63" s="68"/>
      <c r="O63" s="73" t="s">
        <v>125</v>
      </c>
      <c r="P63" s="73" t="s">
        <v>125</v>
      </c>
      <c r="Q63" s="73" t="s">
        <v>125</v>
      </c>
      <c r="R63" s="73" t="s">
        <v>125</v>
      </c>
      <c r="S63" s="73" t="s">
        <v>125</v>
      </c>
      <c r="T63" s="73" t="s">
        <v>125</v>
      </c>
      <c r="U63" s="69"/>
      <c r="V63" s="73" t="s">
        <v>125</v>
      </c>
      <c r="W63" s="73" t="s">
        <v>125</v>
      </c>
      <c r="X63" s="60" t="s">
        <v>125</v>
      </c>
      <c r="Y63" s="60" t="s">
        <v>125</v>
      </c>
      <c r="Z63" s="60" t="s">
        <v>125</v>
      </c>
      <c r="AA63" s="60" t="s">
        <v>125</v>
      </c>
      <c r="AB63" s="69"/>
      <c r="AC63" s="60" t="s">
        <v>125</v>
      </c>
      <c r="AD63" s="60" t="s">
        <v>125</v>
      </c>
      <c r="AE63" s="60" t="s">
        <v>125</v>
      </c>
      <c r="AF63" s="60" t="s">
        <v>125</v>
      </c>
      <c r="AG63" s="60" t="s">
        <v>125</v>
      </c>
      <c r="AH63" s="60" t="s">
        <v>125</v>
      </c>
      <c r="AI63" s="69"/>
      <c r="AJ63" s="60" t="s">
        <v>125</v>
      </c>
      <c r="AK63" s="60" t="s">
        <v>125</v>
      </c>
      <c r="AL63" s="60" t="s">
        <v>125</v>
      </c>
      <c r="AM63" s="60" t="s">
        <v>125</v>
      </c>
      <c r="AN63" s="60" t="s">
        <v>125</v>
      </c>
      <c r="AO63" s="60" t="s">
        <v>125</v>
      </c>
      <c r="AP63" s="69"/>
      <c r="AQ63" s="60" t="s">
        <v>125</v>
      </c>
      <c r="AR63" s="60" t="s">
        <v>125</v>
      </c>
      <c r="AS63" s="60" t="s">
        <v>125</v>
      </c>
      <c r="AT63" s="60" t="s">
        <v>125</v>
      </c>
      <c r="AU63" s="60" t="s">
        <v>125</v>
      </c>
      <c r="AV63" s="60" t="s">
        <v>125</v>
      </c>
      <c r="AW63" s="69"/>
      <c r="AX63" s="60" t="s">
        <v>125</v>
      </c>
      <c r="AY63" s="60" t="s">
        <v>125</v>
      </c>
      <c r="AZ63" s="60" t="s">
        <v>125</v>
      </c>
      <c r="BA63" s="60" t="s">
        <v>125</v>
      </c>
      <c r="BB63" s="60" t="s">
        <v>125</v>
      </c>
      <c r="BC63" s="60" t="s">
        <v>125</v>
      </c>
      <c r="BD63" s="69"/>
      <c r="BE63" s="60" t="s">
        <v>125</v>
      </c>
      <c r="BF63" s="60" t="s">
        <v>125</v>
      </c>
      <c r="BG63" s="60" t="s">
        <v>125</v>
      </c>
      <c r="BH63" s="60" t="s">
        <v>125</v>
      </c>
      <c r="BI63" s="60" t="s">
        <v>125</v>
      </c>
      <c r="BJ63" s="60" t="s">
        <v>125</v>
      </c>
      <c r="BK63" s="69"/>
      <c r="BL63" s="60" t="s">
        <v>125</v>
      </c>
      <c r="BM63" s="60" t="s">
        <v>125</v>
      </c>
      <c r="BN63" s="60" t="s">
        <v>125</v>
      </c>
      <c r="BO63" s="60" t="s">
        <v>125</v>
      </c>
      <c r="BP63" s="63"/>
      <c r="BQ63" s="63"/>
      <c r="BR63" s="63"/>
      <c r="BS63" s="63"/>
      <c r="BT63" s="63"/>
      <c r="BU63" s="63"/>
      <c r="BV63" s="63"/>
    </row>
    <row r="64">
      <c r="A64" s="21">
        <v>61.0</v>
      </c>
      <c r="B64" s="28" t="s">
        <v>330</v>
      </c>
      <c r="C64" s="28" t="s">
        <v>331</v>
      </c>
      <c r="D64" s="21">
        <f t="shared" si="2"/>
        <v>49</v>
      </c>
      <c r="E64" s="21">
        <f t="shared" si="3"/>
        <v>3</v>
      </c>
      <c r="F64" s="21">
        <f t="shared" si="4"/>
        <v>52</v>
      </c>
      <c r="G64" s="53">
        <f t="shared" si="5"/>
        <v>94.23076923</v>
      </c>
      <c r="H64" s="56" t="s">
        <v>127</v>
      </c>
      <c r="I64" s="56" t="s">
        <v>127</v>
      </c>
      <c r="J64" s="56" t="s">
        <v>127</v>
      </c>
      <c r="K64" s="56" t="s">
        <v>127</v>
      </c>
      <c r="L64" s="56" t="s">
        <v>127</v>
      </c>
      <c r="M64" s="56" t="s">
        <v>127</v>
      </c>
      <c r="N64" s="68"/>
      <c r="O64" s="56" t="s">
        <v>127</v>
      </c>
      <c r="P64" s="56" t="s">
        <v>127</v>
      </c>
      <c r="Q64" s="56" t="s">
        <v>127</v>
      </c>
      <c r="R64" s="56" t="s">
        <v>127</v>
      </c>
      <c r="S64" s="56" t="s">
        <v>127</v>
      </c>
      <c r="T64" s="56" t="s">
        <v>127</v>
      </c>
      <c r="U64" s="69"/>
      <c r="V64" s="56" t="s">
        <v>127</v>
      </c>
      <c r="W64" s="56" t="s">
        <v>127</v>
      </c>
      <c r="X64" s="72" t="s">
        <v>127</v>
      </c>
      <c r="Y64" s="72" t="s">
        <v>127</v>
      </c>
      <c r="Z64" s="72" t="s">
        <v>127</v>
      </c>
      <c r="AA64" s="72" t="s">
        <v>127</v>
      </c>
      <c r="AB64" s="69"/>
      <c r="AC64" s="72" t="s">
        <v>127</v>
      </c>
      <c r="AD64" s="72" t="s">
        <v>127</v>
      </c>
      <c r="AE64" s="72" t="s">
        <v>127</v>
      </c>
      <c r="AF64" s="72" t="s">
        <v>127</v>
      </c>
      <c r="AG64" s="72" t="s">
        <v>127</v>
      </c>
      <c r="AH64" s="72" t="s">
        <v>127</v>
      </c>
      <c r="AI64" s="69"/>
      <c r="AJ64" s="72" t="s">
        <v>127</v>
      </c>
      <c r="AK64" s="72" t="s">
        <v>127</v>
      </c>
      <c r="AL64" s="72" t="s">
        <v>127</v>
      </c>
      <c r="AM64" s="60" t="s">
        <v>125</v>
      </c>
      <c r="AN64" s="72" t="s">
        <v>127</v>
      </c>
      <c r="AO64" s="60" t="s">
        <v>125</v>
      </c>
      <c r="AP64" s="69"/>
      <c r="AQ64" s="72" t="s">
        <v>127</v>
      </c>
      <c r="AR64" s="60" t="s">
        <v>125</v>
      </c>
      <c r="AS64" s="72" t="s">
        <v>127</v>
      </c>
      <c r="AT64" s="72" t="s">
        <v>127</v>
      </c>
      <c r="AU64" s="72" t="s">
        <v>127</v>
      </c>
      <c r="AV64" s="72" t="s">
        <v>127</v>
      </c>
      <c r="AW64" s="69"/>
      <c r="AX64" s="72" t="s">
        <v>127</v>
      </c>
      <c r="AY64" s="72" t="s">
        <v>127</v>
      </c>
      <c r="AZ64" s="72" t="s">
        <v>127</v>
      </c>
      <c r="BA64" s="72" t="s">
        <v>127</v>
      </c>
      <c r="BB64" s="72" t="s">
        <v>127</v>
      </c>
      <c r="BC64" s="72" t="s">
        <v>127</v>
      </c>
      <c r="BD64" s="59"/>
      <c r="BE64" s="72" t="s">
        <v>127</v>
      </c>
      <c r="BF64" s="72" t="s">
        <v>127</v>
      </c>
      <c r="BG64" s="72" t="s">
        <v>127</v>
      </c>
      <c r="BH64" s="72" t="s">
        <v>127</v>
      </c>
      <c r="BI64" s="72" t="s">
        <v>127</v>
      </c>
      <c r="BJ64" s="72" t="s">
        <v>127</v>
      </c>
      <c r="BK64" s="69"/>
      <c r="BL64" s="72" t="s">
        <v>127</v>
      </c>
      <c r="BM64" s="72" t="s">
        <v>127</v>
      </c>
      <c r="BN64" s="72" t="s">
        <v>127</v>
      </c>
      <c r="BO64" s="72" t="s">
        <v>127</v>
      </c>
      <c r="BP64" s="63"/>
      <c r="BQ64" s="63"/>
      <c r="BR64" s="63"/>
      <c r="BS64" s="63"/>
      <c r="BT64" s="63"/>
      <c r="BU64" s="63"/>
      <c r="BV64" s="63"/>
    </row>
    <row r="65">
      <c r="A65" s="21">
        <v>62.0</v>
      </c>
      <c r="B65" s="28" t="s">
        <v>334</v>
      </c>
      <c r="C65" s="28" t="s">
        <v>335</v>
      </c>
      <c r="D65" s="21">
        <f t="shared" si="2"/>
        <v>39</v>
      </c>
      <c r="E65" s="21">
        <f t="shared" si="3"/>
        <v>13</v>
      </c>
      <c r="F65" s="21">
        <f t="shared" si="4"/>
        <v>52</v>
      </c>
      <c r="G65" s="53">
        <f t="shared" si="5"/>
        <v>75</v>
      </c>
      <c r="H65" s="56" t="s">
        <v>127</v>
      </c>
      <c r="I65" s="56" t="s">
        <v>127</v>
      </c>
      <c r="J65" s="56" t="s">
        <v>127</v>
      </c>
      <c r="K65" s="56" t="s">
        <v>127</v>
      </c>
      <c r="L65" s="56" t="s">
        <v>127</v>
      </c>
      <c r="M65" s="56" t="s">
        <v>127</v>
      </c>
      <c r="N65" s="68"/>
      <c r="O65" s="56" t="s">
        <v>127</v>
      </c>
      <c r="P65" s="56" t="s">
        <v>127</v>
      </c>
      <c r="Q65" s="56" t="s">
        <v>127</v>
      </c>
      <c r="R65" s="56" t="s">
        <v>127</v>
      </c>
      <c r="S65" s="56" t="s">
        <v>127</v>
      </c>
      <c r="T65" s="56" t="s">
        <v>127</v>
      </c>
      <c r="U65" s="69"/>
      <c r="V65" s="73" t="s">
        <v>125</v>
      </c>
      <c r="W65" s="56" t="s">
        <v>127</v>
      </c>
      <c r="X65" s="60" t="s">
        <v>125</v>
      </c>
      <c r="Y65" s="60" t="s">
        <v>125</v>
      </c>
      <c r="Z65" s="60" t="s">
        <v>125</v>
      </c>
      <c r="AA65" s="60" t="s">
        <v>125</v>
      </c>
      <c r="AB65" s="69"/>
      <c r="AC65" s="60" t="s">
        <v>125</v>
      </c>
      <c r="AD65" s="60" t="s">
        <v>125</v>
      </c>
      <c r="AE65" s="60" t="s">
        <v>125</v>
      </c>
      <c r="AF65" s="60" t="s">
        <v>125</v>
      </c>
      <c r="AG65" s="60" t="s">
        <v>125</v>
      </c>
      <c r="AH65" s="72" t="s">
        <v>127</v>
      </c>
      <c r="AI65" s="69"/>
      <c r="AJ65" s="72" t="s">
        <v>127</v>
      </c>
      <c r="AK65" s="72" t="s">
        <v>127</v>
      </c>
      <c r="AL65" s="60" t="s">
        <v>125</v>
      </c>
      <c r="AM65" s="60" t="s">
        <v>125</v>
      </c>
      <c r="AN65" s="72" t="s">
        <v>127</v>
      </c>
      <c r="AO65" s="60" t="s">
        <v>125</v>
      </c>
      <c r="AP65" s="69"/>
      <c r="AQ65" s="72" t="s">
        <v>127</v>
      </c>
      <c r="AR65" s="72" t="s">
        <v>127</v>
      </c>
      <c r="AS65" s="72" t="s">
        <v>127</v>
      </c>
      <c r="AT65" s="72" t="s">
        <v>127</v>
      </c>
      <c r="AU65" s="72" t="s">
        <v>127</v>
      </c>
      <c r="AV65" s="72" t="s">
        <v>127</v>
      </c>
      <c r="AW65" s="69"/>
      <c r="AX65" s="72" t="s">
        <v>127</v>
      </c>
      <c r="AY65" s="72" t="s">
        <v>127</v>
      </c>
      <c r="AZ65" s="72" t="s">
        <v>127</v>
      </c>
      <c r="BA65" s="72" t="s">
        <v>127</v>
      </c>
      <c r="BB65" s="72" t="s">
        <v>127</v>
      </c>
      <c r="BC65" s="72" t="s">
        <v>127</v>
      </c>
      <c r="BD65" s="69"/>
      <c r="BE65" s="72" t="s">
        <v>127</v>
      </c>
      <c r="BF65" s="72" t="s">
        <v>127</v>
      </c>
      <c r="BG65" s="72" t="s">
        <v>127</v>
      </c>
      <c r="BH65" s="72" t="s">
        <v>127</v>
      </c>
      <c r="BI65" s="72" t="s">
        <v>127</v>
      </c>
      <c r="BJ65" s="72" t="s">
        <v>127</v>
      </c>
      <c r="BK65" s="69"/>
      <c r="BL65" s="72" t="s">
        <v>127</v>
      </c>
      <c r="BM65" s="72" t="s">
        <v>127</v>
      </c>
      <c r="BN65" s="72" t="s">
        <v>127</v>
      </c>
      <c r="BO65" s="72" t="s">
        <v>127</v>
      </c>
      <c r="BP65" s="63"/>
      <c r="BQ65" s="63"/>
      <c r="BR65" s="63"/>
      <c r="BS65" s="63"/>
      <c r="BT65" s="63"/>
      <c r="BU65" s="63"/>
      <c r="BV65" s="63"/>
    </row>
    <row r="66">
      <c r="A66" s="21">
        <v>63.0</v>
      </c>
      <c r="B66" s="28" t="s">
        <v>337</v>
      </c>
      <c r="C66" s="28" t="s">
        <v>338</v>
      </c>
      <c r="D66" s="21">
        <f t="shared" si="2"/>
        <v>48</v>
      </c>
      <c r="E66" s="21">
        <f t="shared" si="3"/>
        <v>4</v>
      </c>
      <c r="F66" s="21">
        <f t="shared" si="4"/>
        <v>52</v>
      </c>
      <c r="G66" s="53">
        <f t="shared" si="5"/>
        <v>92.30769231</v>
      </c>
      <c r="H66" s="56" t="s">
        <v>127</v>
      </c>
      <c r="I66" s="56" t="s">
        <v>127</v>
      </c>
      <c r="J66" s="56" t="s">
        <v>127</v>
      </c>
      <c r="K66" s="56" t="s">
        <v>127</v>
      </c>
      <c r="L66" s="56" t="s">
        <v>127</v>
      </c>
      <c r="M66" s="56" t="s">
        <v>127</v>
      </c>
      <c r="N66" s="68"/>
      <c r="O66" s="56" t="s">
        <v>127</v>
      </c>
      <c r="P66" s="56" t="s">
        <v>127</v>
      </c>
      <c r="Q66" s="56" t="s">
        <v>127</v>
      </c>
      <c r="R66" s="73" t="s">
        <v>125</v>
      </c>
      <c r="S66" s="56" t="s">
        <v>127</v>
      </c>
      <c r="T66" s="56" t="s">
        <v>127</v>
      </c>
      <c r="U66" s="69"/>
      <c r="V66" s="56" t="s">
        <v>127</v>
      </c>
      <c r="W66" s="56" t="s">
        <v>127</v>
      </c>
      <c r="X66" s="72" t="s">
        <v>127</v>
      </c>
      <c r="Y66" s="72" t="s">
        <v>127</v>
      </c>
      <c r="Z66" s="72" t="s">
        <v>127</v>
      </c>
      <c r="AA66" s="72" t="s">
        <v>127</v>
      </c>
      <c r="AB66" s="69"/>
      <c r="AC66" s="72" t="s">
        <v>127</v>
      </c>
      <c r="AD66" s="72" t="s">
        <v>127</v>
      </c>
      <c r="AE66" s="72" t="s">
        <v>127</v>
      </c>
      <c r="AF66" s="72" t="s">
        <v>127</v>
      </c>
      <c r="AG66" s="60" t="s">
        <v>125</v>
      </c>
      <c r="AH66" s="60" t="s">
        <v>125</v>
      </c>
      <c r="AI66" s="69"/>
      <c r="AJ66" s="72" t="s">
        <v>127</v>
      </c>
      <c r="AK66" s="72" t="s">
        <v>127</v>
      </c>
      <c r="AL66" s="60" t="s">
        <v>125</v>
      </c>
      <c r="AM66" s="72" t="s">
        <v>127</v>
      </c>
      <c r="AN66" s="72" t="s">
        <v>127</v>
      </c>
      <c r="AO66" s="72" t="s">
        <v>127</v>
      </c>
      <c r="AP66" s="69"/>
      <c r="AQ66" s="72" t="s">
        <v>127</v>
      </c>
      <c r="AR66" s="72" t="s">
        <v>127</v>
      </c>
      <c r="AS66" s="72" t="s">
        <v>127</v>
      </c>
      <c r="AT66" s="72" t="s">
        <v>127</v>
      </c>
      <c r="AU66" s="72" t="s">
        <v>127</v>
      </c>
      <c r="AV66" s="72" t="s">
        <v>127</v>
      </c>
      <c r="AW66" s="69"/>
      <c r="AX66" s="72" t="s">
        <v>127</v>
      </c>
      <c r="AY66" s="72" t="s">
        <v>127</v>
      </c>
      <c r="AZ66" s="72" t="s">
        <v>127</v>
      </c>
      <c r="BA66" s="72" t="s">
        <v>127</v>
      </c>
      <c r="BB66" s="72" t="s">
        <v>127</v>
      </c>
      <c r="BC66" s="72" t="s">
        <v>127</v>
      </c>
      <c r="BD66" s="69"/>
      <c r="BE66" s="72" t="s">
        <v>127</v>
      </c>
      <c r="BF66" s="72" t="s">
        <v>127</v>
      </c>
      <c r="BG66" s="72" t="s">
        <v>127</v>
      </c>
      <c r="BH66" s="72" t="s">
        <v>127</v>
      </c>
      <c r="BI66" s="72" t="s">
        <v>127</v>
      </c>
      <c r="BJ66" s="72" t="s">
        <v>127</v>
      </c>
      <c r="BK66" s="69"/>
      <c r="BL66" s="72" t="s">
        <v>127</v>
      </c>
      <c r="BM66" s="72" t="s">
        <v>127</v>
      </c>
      <c r="BN66" s="72" t="s">
        <v>127</v>
      </c>
      <c r="BO66" s="72" t="s">
        <v>127</v>
      </c>
      <c r="BP66" s="63"/>
      <c r="BQ66" s="63"/>
      <c r="BR66" s="63"/>
      <c r="BS66" s="63"/>
      <c r="BT66" s="63"/>
      <c r="BU66" s="63"/>
      <c r="BV66" s="63"/>
    </row>
    <row r="67">
      <c r="A67" s="21">
        <v>64.0</v>
      </c>
      <c r="B67" s="21" t="s">
        <v>341</v>
      </c>
      <c r="C67" s="21" t="s">
        <v>342</v>
      </c>
      <c r="D67" s="21">
        <f t="shared" si="2"/>
        <v>38</v>
      </c>
      <c r="E67" s="21">
        <f t="shared" si="3"/>
        <v>14</v>
      </c>
      <c r="F67" s="21">
        <f t="shared" si="4"/>
        <v>52</v>
      </c>
      <c r="G67" s="53">
        <f t="shared" si="5"/>
        <v>73.07692308</v>
      </c>
      <c r="H67" s="73" t="s">
        <v>125</v>
      </c>
      <c r="I67" s="56" t="s">
        <v>127</v>
      </c>
      <c r="J67" s="56" t="s">
        <v>127</v>
      </c>
      <c r="K67" s="73" t="s">
        <v>125</v>
      </c>
      <c r="L67" s="56" t="s">
        <v>127</v>
      </c>
      <c r="M67" s="56" t="s">
        <v>127</v>
      </c>
      <c r="N67" s="68"/>
      <c r="O67" s="73" t="s">
        <v>125</v>
      </c>
      <c r="P67" s="73" t="s">
        <v>125</v>
      </c>
      <c r="Q67" s="73" t="s">
        <v>125</v>
      </c>
      <c r="R67" s="73" t="s">
        <v>125</v>
      </c>
      <c r="S67" s="73" t="s">
        <v>125</v>
      </c>
      <c r="T67" s="73" t="s">
        <v>125</v>
      </c>
      <c r="U67" s="69"/>
      <c r="V67" s="73" t="s">
        <v>125</v>
      </c>
      <c r="W67" s="73" t="s">
        <v>125</v>
      </c>
      <c r="X67" s="72" t="s">
        <v>127</v>
      </c>
      <c r="Y67" s="72" t="s">
        <v>127</v>
      </c>
      <c r="Z67" s="72" t="s">
        <v>127</v>
      </c>
      <c r="AA67" s="72" t="s">
        <v>127</v>
      </c>
      <c r="AB67" s="95"/>
      <c r="AC67" s="72" t="s">
        <v>127</v>
      </c>
      <c r="AD67" s="72" t="s">
        <v>127</v>
      </c>
      <c r="AE67" s="72" t="s">
        <v>127</v>
      </c>
      <c r="AF67" s="72" t="s">
        <v>127</v>
      </c>
      <c r="AG67" s="72" t="s">
        <v>127</v>
      </c>
      <c r="AH67" s="72" t="s">
        <v>127</v>
      </c>
      <c r="AI67" s="95"/>
      <c r="AJ67" s="72" t="s">
        <v>127</v>
      </c>
      <c r="AK67" s="60" t="s">
        <v>125</v>
      </c>
      <c r="AL67" s="72" t="s">
        <v>127</v>
      </c>
      <c r="AM67" s="60" t="s">
        <v>125</v>
      </c>
      <c r="AN67" s="72" t="s">
        <v>127</v>
      </c>
      <c r="AO67" s="60" t="s">
        <v>125</v>
      </c>
      <c r="AP67" s="95"/>
      <c r="AQ67" s="72" t="s">
        <v>127</v>
      </c>
      <c r="AR67" s="60" t="s">
        <v>125</v>
      </c>
      <c r="AS67" s="72" t="s">
        <v>127</v>
      </c>
      <c r="AT67" s="72" t="s">
        <v>127</v>
      </c>
      <c r="AU67" s="72" t="s">
        <v>127</v>
      </c>
      <c r="AV67" s="72" t="s">
        <v>127</v>
      </c>
      <c r="AW67" s="69"/>
      <c r="AX67" s="72" t="s">
        <v>127</v>
      </c>
      <c r="AY67" s="72" t="s">
        <v>127</v>
      </c>
      <c r="AZ67" s="72" t="s">
        <v>127</v>
      </c>
      <c r="BA67" s="72" t="s">
        <v>127</v>
      </c>
      <c r="BB67" s="72" t="s">
        <v>127</v>
      </c>
      <c r="BC67" s="72" t="s">
        <v>127</v>
      </c>
      <c r="BD67" s="69"/>
      <c r="BE67" s="72" t="s">
        <v>127</v>
      </c>
      <c r="BF67" s="72" t="s">
        <v>127</v>
      </c>
      <c r="BG67" s="72" t="s">
        <v>127</v>
      </c>
      <c r="BH67" s="72" t="s">
        <v>127</v>
      </c>
      <c r="BI67" s="72" t="s">
        <v>127</v>
      </c>
      <c r="BJ67" s="72" t="s">
        <v>127</v>
      </c>
      <c r="BK67" s="69"/>
      <c r="BL67" s="72" t="s">
        <v>127</v>
      </c>
      <c r="BM67" s="72" t="s">
        <v>127</v>
      </c>
      <c r="BN67" s="72" t="s">
        <v>127</v>
      </c>
      <c r="BO67" s="72" t="s">
        <v>127</v>
      </c>
      <c r="BP67" s="63"/>
      <c r="BQ67" s="63"/>
      <c r="BR67" s="63"/>
      <c r="BS67" s="63"/>
      <c r="BT67" s="63"/>
      <c r="BU67" s="63"/>
      <c r="BV67" s="63"/>
    </row>
    <row r="68">
      <c r="A68" s="21">
        <v>65.0</v>
      </c>
      <c r="B68" s="28" t="s">
        <v>355</v>
      </c>
      <c r="C68" s="28" t="s">
        <v>356</v>
      </c>
      <c r="D68" s="21">
        <f t="shared" si="2"/>
        <v>48</v>
      </c>
      <c r="E68" s="21">
        <f t="shared" si="3"/>
        <v>4</v>
      </c>
      <c r="F68" s="21">
        <f t="shared" si="4"/>
        <v>52</v>
      </c>
      <c r="G68" s="53">
        <f t="shared" si="5"/>
        <v>92.30769231</v>
      </c>
      <c r="H68" s="56" t="s">
        <v>127</v>
      </c>
      <c r="I68" s="56" t="s">
        <v>127</v>
      </c>
      <c r="J68" s="56" t="s">
        <v>127</v>
      </c>
      <c r="K68" s="56" t="s">
        <v>127</v>
      </c>
      <c r="L68" s="56" t="s">
        <v>127</v>
      </c>
      <c r="M68" s="56" t="s">
        <v>127</v>
      </c>
      <c r="N68" s="68"/>
      <c r="O68" s="56" t="s">
        <v>127</v>
      </c>
      <c r="P68" s="56" t="s">
        <v>127</v>
      </c>
      <c r="Q68" s="56" t="s">
        <v>127</v>
      </c>
      <c r="R68" s="56" t="s">
        <v>127</v>
      </c>
      <c r="S68" s="56" t="s">
        <v>127</v>
      </c>
      <c r="T68" s="56" t="s">
        <v>127</v>
      </c>
      <c r="U68" s="69"/>
      <c r="V68" s="56" t="s">
        <v>127</v>
      </c>
      <c r="W68" s="56" t="s">
        <v>127</v>
      </c>
      <c r="X68" s="60" t="s">
        <v>125</v>
      </c>
      <c r="Y68" s="60" t="s">
        <v>125</v>
      </c>
      <c r="Z68" s="72" t="s">
        <v>127</v>
      </c>
      <c r="AA68" s="72" t="s">
        <v>127</v>
      </c>
      <c r="AB68" s="95"/>
      <c r="AC68" s="72" t="s">
        <v>127</v>
      </c>
      <c r="AD68" s="72" t="s">
        <v>127</v>
      </c>
      <c r="AE68" s="60" t="s">
        <v>125</v>
      </c>
      <c r="AF68" s="72" t="s">
        <v>127</v>
      </c>
      <c r="AG68" s="60" t="s">
        <v>125</v>
      </c>
      <c r="AH68" s="72" t="s">
        <v>127</v>
      </c>
      <c r="AI68" s="95"/>
      <c r="AJ68" s="72" t="s">
        <v>127</v>
      </c>
      <c r="AK68" s="72" t="s">
        <v>127</v>
      </c>
      <c r="AL68" s="72" t="s">
        <v>127</v>
      </c>
      <c r="AM68" s="72" t="s">
        <v>127</v>
      </c>
      <c r="AN68" s="72" t="s">
        <v>127</v>
      </c>
      <c r="AO68" s="72" t="s">
        <v>127</v>
      </c>
      <c r="AP68" s="95"/>
      <c r="AQ68" s="72" t="s">
        <v>127</v>
      </c>
      <c r="AR68" s="72" t="s">
        <v>127</v>
      </c>
      <c r="AS68" s="72" t="s">
        <v>127</v>
      </c>
      <c r="AT68" s="72" t="s">
        <v>127</v>
      </c>
      <c r="AU68" s="72" t="s">
        <v>127</v>
      </c>
      <c r="AV68" s="72" t="s">
        <v>127</v>
      </c>
      <c r="AW68" s="59"/>
      <c r="AX68" s="72" t="s">
        <v>127</v>
      </c>
      <c r="AY68" s="72" t="s">
        <v>127</v>
      </c>
      <c r="AZ68" s="72" t="s">
        <v>127</v>
      </c>
      <c r="BA68" s="72" t="s">
        <v>127</v>
      </c>
      <c r="BB68" s="72" t="s">
        <v>127</v>
      </c>
      <c r="BC68" s="72" t="s">
        <v>127</v>
      </c>
      <c r="BD68" s="69"/>
      <c r="BE68" s="72" t="s">
        <v>127</v>
      </c>
      <c r="BF68" s="72" t="s">
        <v>127</v>
      </c>
      <c r="BG68" s="72" t="s">
        <v>127</v>
      </c>
      <c r="BH68" s="72" t="s">
        <v>127</v>
      </c>
      <c r="BI68" s="72" t="s">
        <v>127</v>
      </c>
      <c r="BJ68" s="72" t="s">
        <v>127</v>
      </c>
      <c r="BK68" s="69"/>
      <c r="BL68" s="72" t="s">
        <v>127</v>
      </c>
      <c r="BM68" s="72" t="s">
        <v>127</v>
      </c>
      <c r="BN68" s="72" t="s">
        <v>127</v>
      </c>
      <c r="BO68" s="72" t="s">
        <v>127</v>
      </c>
      <c r="BP68" s="63"/>
      <c r="BQ68" s="63"/>
      <c r="BR68" s="63"/>
      <c r="BS68" s="63"/>
      <c r="BT68" s="63"/>
      <c r="BU68" s="63"/>
      <c r="BV68" s="63"/>
    </row>
    <row r="69" ht="18.0" customHeight="1">
      <c r="A69" s="21">
        <v>66.0</v>
      </c>
      <c r="B69" s="81" t="s">
        <v>360</v>
      </c>
      <c r="C69" s="81" t="s">
        <v>361</v>
      </c>
      <c r="D69" s="21">
        <f t="shared" si="2"/>
        <v>46</v>
      </c>
      <c r="E69" s="21">
        <f t="shared" si="3"/>
        <v>6</v>
      </c>
      <c r="F69" s="21">
        <f t="shared" si="4"/>
        <v>52</v>
      </c>
      <c r="G69" s="53">
        <f t="shared" si="5"/>
        <v>88.46153846</v>
      </c>
      <c r="H69" s="73" t="s">
        <v>125</v>
      </c>
      <c r="I69" s="73" t="s">
        <v>125</v>
      </c>
      <c r="J69" s="73" t="s">
        <v>125</v>
      </c>
      <c r="K69" s="56" t="s">
        <v>127</v>
      </c>
      <c r="L69" s="73" t="s">
        <v>125</v>
      </c>
      <c r="M69" s="73" t="s">
        <v>125</v>
      </c>
      <c r="N69" s="68"/>
      <c r="O69" s="56" t="s">
        <v>127</v>
      </c>
      <c r="P69" s="56" t="s">
        <v>127</v>
      </c>
      <c r="Q69" s="56" t="s">
        <v>127</v>
      </c>
      <c r="R69" s="56" t="s">
        <v>127</v>
      </c>
      <c r="S69" s="56" t="s">
        <v>127</v>
      </c>
      <c r="T69" s="56" t="s">
        <v>127</v>
      </c>
      <c r="U69" s="69"/>
      <c r="V69" s="56" t="s">
        <v>127</v>
      </c>
      <c r="W69" s="56" t="s">
        <v>127</v>
      </c>
      <c r="X69" s="72" t="s">
        <v>127</v>
      </c>
      <c r="Y69" s="72" t="s">
        <v>127</v>
      </c>
      <c r="Z69" s="72" t="s">
        <v>127</v>
      </c>
      <c r="AA69" s="72" t="s">
        <v>127</v>
      </c>
      <c r="AB69" s="95"/>
      <c r="AC69" s="72" t="s">
        <v>127</v>
      </c>
      <c r="AD69" s="72" t="s">
        <v>127</v>
      </c>
      <c r="AE69" s="72" t="s">
        <v>127</v>
      </c>
      <c r="AF69" s="72" t="s">
        <v>127</v>
      </c>
      <c r="AG69" s="72" t="s">
        <v>127</v>
      </c>
      <c r="AH69" s="60" t="s">
        <v>125</v>
      </c>
      <c r="AI69" s="95"/>
      <c r="AJ69" s="72" t="s">
        <v>127</v>
      </c>
      <c r="AK69" s="72" t="s">
        <v>127</v>
      </c>
      <c r="AL69" s="72" t="s">
        <v>127</v>
      </c>
      <c r="AM69" s="72" t="s">
        <v>127</v>
      </c>
      <c r="AN69" s="72" t="s">
        <v>127</v>
      </c>
      <c r="AO69" s="72" t="s">
        <v>127</v>
      </c>
      <c r="AP69" s="95"/>
      <c r="AQ69" s="72" t="s">
        <v>127</v>
      </c>
      <c r="AR69" s="72" t="s">
        <v>127</v>
      </c>
      <c r="AS69" s="72" t="s">
        <v>127</v>
      </c>
      <c r="AT69" s="72" t="s">
        <v>127</v>
      </c>
      <c r="AU69" s="72" t="s">
        <v>127</v>
      </c>
      <c r="AV69" s="72" t="s">
        <v>127</v>
      </c>
      <c r="AW69" s="69"/>
      <c r="AX69" s="72" t="s">
        <v>127</v>
      </c>
      <c r="AY69" s="72" t="s">
        <v>127</v>
      </c>
      <c r="AZ69" s="72" t="s">
        <v>127</v>
      </c>
      <c r="BA69" s="72" t="s">
        <v>127</v>
      </c>
      <c r="BB69" s="72" t="s">
        <v>127</v>
      </c>
      <c r="BC69" s="72" t="s">
        <v>127</v>
      </c>
      <c r="BD69" s="69"/>
      <c r="BE69" s="72" t="s">
        <v>127</v>
      </c>
      <c r="BF69" s="72" t="s">
        <v>127</v>
      </c>
      <c r="BG69" s="72" t="s">
        <v>127</v>
      </c>
      <c r="BH69" s="72" t="s">
        <v>127</v>
      </c>
      <c r="BI69" s="72" t="s">
        <v>127</v>
      </c>
      <c r="BJ69" s="72" t="s">
        <v>127</v>
      </c>
      <c r="BK69" s="69"/>
      <c r="BL69" s="72" t="s">
        <v>127</v>
      </c>
      <c r="BM69" s="72" t="s">
        <v>127</v>
      </c>
      <c r="BN69" s="72" t="s">
        <v>127</v>
      </c>
      <c r="BO69" s="72" t="s">
        <v>127</v>
      </c>
      <c r="BP69" s="63"/>
      <c r="BQ69" s="63"/>
      <c r="BR69" s="63"/>
      <c r="BS69" s="63"/>
      <c r="BT69" s="63"/>
      <c r="BU69" s="63"/>
      <c r="BV69" s="63"/>
    </row>
    <row r="70">
      <c r="A70" s="21">
        <v>67.0</v>
      </c>
      <c r="B70" s="21" t="s">
        <v>364</v>
      </c>
      <c r="C70" s="21" t="s">
        <v>365</v>
      </c>
      <c r="D70" s="21">
        <f t="shared" si="2"/>
        <v>44</v>
      </c>
      <c r="E70" s="21">
        <f t="shared" si="3"/>
        <v>8</v>
      </c>
      <c r="F70" s="21">
        <f t="shared" si="4"/>
        <v>52</v>
      </c>
      <c r="G70" s="53">
        <f t="shared" si="5"/>
        <v>84.61538462</v>
      </c>
      <c r="H70" s="73" t="s">
        <v>125</v>
      </c>
      <c r="I70" s="56" t="s">
        <v>127</v>
      </c>
      <c r="J70" s="56" t="s">
        <v>127</v>
      </c>
      <c r="K70" s="73" t="s">
        <v>125</v>
      </c>
      <c r="L70" s="56" t="s">
        <v>127</v>
      </c>
      <c r="M70" s="56" t="s">
        <v>127</v>
      </c>
      <c r="N70" s="68"/>
      <c r="O70" s="73" t="s">
        <v>125</v>
      </c>
      <c r="P70" s="56" t="s">
        <v>127</v>
      </c>
      <c r="Q70" s="56" t="s">
        <v>127</v>
      </c>
      <c r="R70" s="56" t="s">
        <v>127</v>
      </c>
      <c r="S70" s="56" t="s">
        <v>127</v>
      </c>
      <c r="T70" s="73" t="s">
        <v>125</v>
      </c>
      <c r="U70" s="69"/>
      <c r="V70" s="73" t="s">
        <v>125</v>
      </c>
      <c r="W70" s="56" t="s">
        <v>127</v>
      </c>
      <c r="X70" s="72" t="s">
        <v>127</v>
      </c>
      <c r="Y70" s="72" t="s">
        <v>127</v>
      </c>
      <c r="Z70" s="72" t="s">
        <v>127</v>
      </c>
      <c r="AA70" s="72" t="s">
        <v>127</v>
      </c>
      <c r="AB70" s="95"/>
      <c r="AC70" s="72" t="s">
        <v>127</v>
      </c>
      <c r="AD70" s="72" t="s">
        <v>127</v>
      </c>
      <c r="AE70" s="72" t="s">
        <v>127</v>
      </c>
      <c r="AF70" s="72" t="s">
        <v>127</v>
      </c>
      <c r="AG70" s="72" t="s">
        <v>127</v>
      </c>
      <c r="AH70" s="72" t="s">
        <v>127</v>
      </c>
      <c r="AI70" s="95"/>
      <c r="AJ70" s="72" t="s">
        <v>127</v>
      </c>
      <c r="AK70" s="72" t="s">
        <v>127</v>
      </c>
      <c r="AL70" s="72" t="s">
        <v>127</v>
      </c>
      <c r="AM70" s="60" t="s">
        <v>125</v>
      </c>
      <c r="AN70" s="72" t="s">
        <v>127</v>
      </c>
      <c r="AO70" s="60" t="s">
        <v>125</v>
      </c>
      <c r="AP70" s="95"/>
      <c r="AQ70" s="72" t="s">
        <v>127</v>
      </c>
      <c r="AR70" s="60" t="s">
        <v>125</v>
      </c>
      <c r="AS70" s="72" t="s">
        <v>127</v>
      </c>
      <c r="AT70" s="72" t="s">
        <v>127</v>
      </c>
      <c r="AU70" s="72" t="s">
        <v>127</v>
      </c>
      <c r="AV70" s="72" t="s">
        <v>127</v>
      </c>
      <c r="AW70" s="69"/>
      <c r="AX70" s="72" t="s">
        <v>127</v>
      </c>
      <c r="AY70" s="72" t="s">
        <v>127</v>
      </c>
      <c r="AZ70" s="72" t="s">
        <v>127</v>
      </c>
      <c r="BA70" s="72" t="s">
        <v>127</v>
      </c>
      <c r="BB70" s="72" t="s">
        <v>127</v>
      </c>
      <c r="BC70" s="72" t="s">
        <v>127</v>
      </c>
      <c r="BD70" s="69"/>
      <c r="BE70" s="72" t="s">
        <v>127</v>
      </c>
      <c r="BF70" s="72" t="s">
        <v>127</v>
      </c>
      <c r="BG70" s="72" t="s">
        <v>127</v>
      </c>
      <c r="BH70" s="72" t="s">
        <v>127</v>
      </c>
      <c r="BI70" s="72" t="s">
        <v>127</v>
      </c>
      <c r="BJ70" s="72" t="s">
        <v>127</v>
      </c>
      <c r="BK70" s="69"/>
      <c r="BL70" s="72" t="s">
        <v>127</v>
      </c>
      <c r="BM70" s="72" t="s">
        <v>127</v>
      </c>
      <c r="BN70" s="72" t="s">
        <v>127</v>
      </c>
      <c r="BO70" s="72" t="s">
        <v>127</v>
      </c>
      <c r="BP70" s="63"/>
      <c r="BQ70" s="63"/>
      <c r="BR70" s="63"/>
      <c r="BS70" s="63"/>
      <c r="BT70" s="63"/>
      <c r="BU70" s="63"/>
      <c r="BV70" s="63"/>
    </row>
    <row r="71">
      <c r="A71" s="21">
        <v>68.0</v>
      </c>
      <c r="B71" s="96" t="s">
        <v>368</v>
      </c>
      <c r="C71" s="96" t="s">
        <v>369</v>
      </c>
      <c r="D71" s="21">
        <f t="shared" si="2"/>
        <v>47</v>
      </c>
      <c r="E71" s="21">
        <f t="shared" si="3"/>
        <v>5</v>
      </c>
      <c r="F71" s="21">
        <f t="shared" si="4"/>
        <v>52</v>
      </c>
      <c r="G71" s="53">
        <f t="shared" si="5"/>
        <v>90.38461538</v>
      </c>
      <c r="H71" s="56" t="s">
        <v>127</v>
      </c>
      <c r="I71" s="56" t="s">
        <v>127</v>
      </c>
      <c r="J71" s="56" t="s">
        <v>127</v>
      </c>
      <c r="K71" s="56" t="s">
        <v>127</v>
      </c>
      <c r="L71" s="56" t="s">
        <v>127</v>
      </c>
      <c r="M71" s="56" t="s">
        <v>127</v>
      </c>
      <c r="N71" s="97"/>
      <c r="O71" s="56" t="s">
        <v>127</v>
      </c>
      <c r="P71" s="56" t="s">
        <v>127</v>
      </c>
      <c r="Q71" s="56" t="s">
        <v>127</v>
      </c>
      <c r="R71" s="56" t="s">
        <v>127</v>
      </c>
      <c r="S71" s="56" t="s">
        <v>127</v>
      </c>
      <c r="T71" s="56" t="s">
        <v>127</v>
      </c>
      <c r="U71" s="95"/>
      <c r="V71" s="56" t="s">
        <v>127</v>
      </c>
      <c r="W71" s="56" t="s">
        <v>127</v>
      </c>
      <c r="X71" s="98" t="s">
        <v>125</v>
      </c>
      <c r="Y71" s="72" t="s">
        <v>127</v>
      </c>
      <c r="Z71" s="72" t="s">
        <v>127</v>
      </c>
      <c r="AA71" s="72" t="s">
        <v>127</v>
      </c>
      <c r="AB71" s="95"/>
      <c r="AC71" s="60" t="s">
        <v>125</v>
      </c>
      <c r="AD71" s="60" t="s">
        <v>125</v>
      </c>
      <c r="AE71" s="72" t="s">
        <v>127</v>
      </c>
      <c r="AF71" s="60" t="s">
        <v>125</v>
      </c>
      <c r="AG71" s="72" t="s">
        <v>127</v>
      </c>
      <c r="AH71" s="72" t="s">
        <v>127</v>
      </c>
      <c r="AI71" s="95"/>
      <c r="AJ71" s="72" t="s">
        <v>127</v>
      </c>
      <c r="AK71" s="72" t="s">
        <v>127</v>
      </c>
      <c r="AL71" s="60" t="s">
        <v>125</v>
      </c>
      <c r="AM71" s="72" t="s">
        <v>127</v>
      </c>
      <c r="AN71" s="72" t="s">
        <v>127</v>
      </c>
      <c r="AO71" s="72" t="s">
        <v>127</v>
      </c>
      <c r="AP71" s="95"/>
      <c r="AQ71" s="72" t="s">
        <v>127</v>
      </c>
      <c r="AR71" s="72" t="s">
        <v>127</v>
      </c>
      <c r="AS71" s="72" t="s">
        <v>127</v>
      </c>
      <c r="AT71" s="72" t="s">
        <v>127</v>
      </c>
      <c r="AU71" s="72" t="s">
        <v>127</v>
      </c>
      <c r="AV71" s="72" t="s">
        <v>127</v>
      </c>
      <c r="AW71" s="69"/>
      <c r="AX71" s="72" t="s">
        <v>127</v>
      </c>
      <c r="AY71" s="72" t="s">
        <v>127</v>
      </c>
      <c r="AZ71" s="72" t="s">
        <v>127</v>
      </c>
      <c r="BA71" s="72" t="s">
        <v>127</v>
      </c>
      <c r="BB71" s="72" t="s">
        <v>127</v>
      </c>
      <c r="BC71" s="72" t="s">
        <v>127</v>
      </c>
      <c r="BD71" s="69"/>
      <c r="BE71" s="72" t="s">
        <v>127</v>
      </c>
      <c r="BF71" s="72" t="s">
        <v>127</v>
      </c>
      <c r="BG71" s="72" t="s">
        <v>127</v>
      </c>
      <c r="BH71" s="72" t="s">
        <v>127</v>
      </c>
      <c r="BI71" s="72" t="s">
        <v>127</v>
      </c>
      <c r="BJ71" s="72" t="s">
        <v>127</v>
      </c>
      <c r="BK71" s="69"/>
      <c r="BL71" s="72" t="s">
        <v>127</v>
      </c>
      <c r="BM71" s="72" t="s">
        <v>127</v>
      </c>
      <c r="BN71" s="72" t="s">
        <v>127</v>
      </c>
      <c r="BO71" s="72" t="s">
        <v>127</v>
      </c>
      <c r="BP71" s="63"/>
      <c r="BQ71" s="63"/>
      <c r="BR71" s="63"/>
      <c r="BS71" s="63"/>
      <c r="BT71" s="63"/>
      <c r="BU71" s="63"/>
      <c r="BV71" s="63"/>
    </row>
    <row r="72">
      <c r="A72" s="21">
        <v>69.0</v>
      </c>
      <c r="B72" s="99" t="s">
        <v>372</v>
      </c>
      <c r="C72" s="99" t="s">
        <v>373</v>
      </c>
      <c r="D72" s="21">
        <f t="shared" si="2"/>
        <v>45</v>
      </c>
      <c r="E72" s="21">
        <f t="shared" si="3"/>
        <v>7</v>
      </c>
      <c r="F72" s="21">
        <f t="shared" si="4"/>
        <v>52</v>
      </c>
      <c r="G72" s="53">
        <f t="shared" si="5"/>
        <v>86.53846154</v>
      </c>
      <c r="H72" s="56" t="s">
        <v>127</v>
      </c>
      <c r="I72" s="56" t="s">
        <v>127</v>
      </c>
      <c r="J72" s="73" t="s">
        <v>125</v>
      </c>
      <c r="K72" s="56" t="s">
        <v>127</v>
      </c>
      <c r="L72" s="56" t="s">
        <v>127</v>
      </c>
      <c r="M72" s="56" t="s">
        <v>127</v>
      </c>
      <c r="N72" s="97"/>
      <c r="O72" s="56" t="s">
        <v>127</v>
      </c>
      <c r="P72" s="56" t="s">
        <v>127</v>
      </c>
      <c r="Q72" s="73" t="s">
        <v>125</v>
      </c>
      <c r="R72" s="56" t="s">
        <v>127</v>
      </c>
      <c r="S72" s="56" t="s">
        <v>127</v>
      </c>
      <c r="T72" s="56" t="s">
        <v>127</v>
      </c>
      <c r="U72" s="95"/>
      <c r="V72" s="56" t="s">
        <v>127</v>
      </c>
      <c r="W72" s="56" t="s">
        <v>127</v>
      </c>
      <c r="X72" s="98" t="s">
        <v>125</v>
      </c>
      <c r="Y72" s="72" t="s">
        <v>127</v>
      </c>
      <c r="Z72" s="72" t="s">
        <v>127</v>
      </c>
      <c r="AA72" s="72" t="s">
        <v>127</v>
      </c>
      <c r="AB72" s="95"/>
      <c r="AC72" s="72" t="s">
        <v>127</v>
      </c>
      <c r="AD72" s="60" t="s">
        <v>125</v>
      </c>
      <c r="AE72" s="72" t="s">
        <v>127</v>
      </c>
      <c r="AF72" s="72" t="s">
        <v>127</v>
      </c>
      <c r="AG72" s="72" t="s">
        <v>127</v>
      </c>
      <c r="AH72" s="72" t="s">
        <v>127</v>
      </c>
      <c r="AI72" s="95"/>
      <c r="AJ72" s="60" t="s">
        <v>125</v>
      </c>
      <c r="AK72" s="72" t="s">
        <v>127</v>
      </c>
      <c r="AL72" s="60" t="s">
        <v>125</v>
      </c>
      <c r="AM72" s="72" t="s">
        <v>127</v>
      </c>
      <c r="AN72" s="60" t="s">
        <v>125</v>
      </c>
      <c r="AO72" s="72" t="s">
        <v>127</v>
      </c>
      <c r="AP72" s="95"/>
      <c r="AQ72" s="72" t="s">
        <v>127</v>
      </c>
      <c r="AR72" s="72" t="s">
        <v>127</v>
      </c>
      <c r="AS72" s="72" t="s">
        <v>127</v>
      </c>
      <c r="AT72" s="72" t="s">
        <v>127</v>
      </c>
      <c r="AU72" s="72" t="s">
        <v>127</v>
      </c>
      <c r="AV72" s="72" t="s">
        <v>127</v>
      </c>
      <c r="AW72" s="69"/>
      <c r="AX72" s="72" t="s">
        <v>127</v>
      </c>
      <c r="AY72" s="72" t="s">
        <v>127</v>
      </c>
      <c r="AZ72" s="72" t="s">
        <v>127</v>
      </c>
      <c r="BA72" s="72" t="s">
        <v>127</v>
      </c>
      <c r="BB72" s="72" t="s">
        <v>127</v>
      </c>
      <c r="BC72" s="72" t="s">
        <v>127</v>
      </c>
      <c r="BD72" s="69"/>
      <c r="BE72" s="72" t="s">
        <v>127</v>
      </c>
      <c r="BF72" s="72" t="s">
        <v>127</v>
      </c>
      <c r="BG72" s="72" t="s">
        <v>127</v>
      </c>
      <c r="BH72" s="72" t="s">
        <v>127</v>
      </c>
      <c r="BI72" s="72" t="s">
        <v>127</v>
      </c>
      <c r="BJ72" s="72" t="s">
        <v>127</v>
      </c>
      <c r="BK72" s="69"/>
      <c r="BL72" s="72" t="s">
        <v>127</v>
      </c>
      <c r="BM72" s="72" t="s">
        <v>127</v>
      </c>
      <c r="BN72" s="72" t="s">
        <v>127</v>
      </c>
      <c r="BO72" s="72" t="s">
        <v>127</v>
      </c>
      <c r="BP72" s="63"/>
      <c r="BQ72" s="63"/>
      <c r="BR72" s="63"/>
      <c r="BS72" s="63"/>
      <c r="BT72" s="63"/>
      <c r="BU72" s="63"/>
      <c r="BV72" s="63"/>
    </row>
    <row r="73">
      <c r="A73" s="21">
        <v>70.0</v>
      </c>
      <c r="B73" s="100" t="s">
        <v>376</v>
      </c>
      <c r="C73" s="100" t="s">
        <v>377</v>
      </c>
      <c r="D73" s="21">
        <f t="shared" si="2"/>
        <v>51</v>
      </c>
      <c r="E73" s="21">
        <f t="shared" si="3"/>
        <v>1</v>
      </c>
      <c r="F73" s="21">
        <f t="shared" si="4"/>
        <v>52</v>
      </c>
      <c r="G73" s="53">
        <f t="shared" si="5"/>
        <v>98.07692308</v>
      </c>
      <c r="H73" s="73" t="s">
        <v>125</v>
      </c>
      <c r="I73" s="67" t="s">
        <v>155</v>
      </c>
      <c r="J73" s="67" t="s">
        <v>155</v>
      </c>
      <c r="K73" s="67" t="s">
        <v>155</v>
      </c>
      <c r="L73" s="67" t="s">
        <v>155</v>
      </c>
      <c r="M73" s="67" t="s">
        <v>155</v>
      </c>
      <c r="N73" s="97"/>
      <c r="O73" s="67" t="s">
        <v>155</v>
      </c>
      <c r="P73" s="67" t="s">
        <v>155</v>
      </c>
      <c r="Q73" s="67" t="s">
        <v>155</v>
      </c>
      <c r="R73" s="67" t="s">
        <v>155</v>
      </c>
      <c r="S73" s="67" t="s">
        <v>155</v>
      </c>
      <c r="T73" s="67" t="s">
        <v>155</v>
      </c>
      <c r="U73" s="95"/>
      <c r="V73" s="67" t="s">
        <v>155</v>
      </c>
      <c r="W73" s="67" t="s">
        <v>155</v>
      </c>
      <c r="X73" s="67" t="s">
        <v>155</v>
      </c>
      <c r="Y73" s="67" t="s">
        <v>155</v>
      </c>
      <c r="Z73" s="71" t="s">
        <v>155</v>
      </c>
      <c r="AA73" s="72" t="s">
        <v>127</v>
      </c>
      <c r="AB73" s="95"/>
      <c r="AC73" s="71" t="s">
        <v>155</v>
      </c>
      <c r="AD73" s="71" t="s">
        <v>155</v>
      </c>
      <c r="AE73" s="101" t="s">
        <v>155</v>
      </c>
      <c r="AF73" s="71" t="s">
        <v>155</v>
      </c>
      <c r="AG73" s="72" t="s">
        <v>127</v>
      </c>
      <c r="AH73" s="72" t="s">
        <v>127</v>
      </c>
      <c r="AI73" s="95"/>
      <c r="AJ73" s="72" t="s">
        <v>127</v>
      </c>
      <c r="AK73" s="72" t="s">
        <v>127</v>
      </c>
      <c r="AL73" s="72" t="s">
        <v>127</v>
      </c>
      <c r="AM73" s="72" t="s">
        <v>127</v>
      </c>
      <c r="AN73" s="72" t="s">
        <v>127</v>
      </c>
      <c r="AO73" s="72" t="s">
        <v>127</v>
      </c>
      <c r="AP73" s="95"/>
      <c r="AQ73" s="72" t="s">
        <v>127</v>
      </c>
      <c r="AR73" s="72" t="s">
        <v>127</v>
      </c>
      <c r="AS73" s="72" t="s">
        <v>127</v>
      </c>
      <c r="AT73" s="72" t="s">
        <v>127</v>
      </c>
      <c r="AU73" s="72" t="s">
        <v>127</v>
      </c>
      <c r="AV73" s="72" t="s">
        <v>127</v>
      </c>
      <c r="AW73" s="69"/>
      <c r="AX73" s="72" t="s">
        <v>127</v>
      </c>
      <c r="AY73" s="72" t="s">
        <v>127</v>
      </c>
      <c r="AZ73" s="72" t="s">
        <v>127</v>
      </c>
      <c r="BA73" s="72" t="s">
        <v>127</v>
      </c>
      <c r="BB73" s="72" t="s">
        <v>127</v>
      </c>
      <c r="BC73" s="72" t="s">
        <v>127</v>
      </c>
      <c r="BD73" s="69"/>
      <c r="BE73" s="72" t="s">
        <v>127</v>
      </c>
      <c r="BF73" s="72" t="s">
        <v>127</v>
      </c>
      <c r="BG73" s="72" t="s">
        <v>127</v>
      </c>
      <c r="BH73" s="72" t="s">
        <v>127</v>
      </c>
      <c r="BI73" s="72" t="s">
        <v>127</v>
      </c>
      <c r="BJ73" s="72" t="s">
        <v>127</v>
      </c>
      <c r="BK73" s="69"/>
      <c r="BL73" s="72" t="s">
        <v>127</v>
      </c>
      <c r="BM73" s="72" t="s">
        <v>127</v>
      </c>
      <c r="BN73" s="72" t="s">
        <v>127</v>
      </c>
      <c r="BO73" s="72" t="s">
        <v>127</v>
      </c>
      <c r="BP73" s="63"/>
      <c r="BQ73" s="63"/>
      <c r="BR73" s="63"/>
      <c r="BS73" s="63"/>
      <c r="BT73" s="63"/>
      <c r="BU73" s="63"/>
      <c r="BV73" s="63"/>
    </row>
    <row r="74">
      <c r="A74" s="21">
        <v>71.0</v>
      </c>
      <c r="B74" s="102" t="s">
        <v>379</v>
      </c>
      <c r="C74" s="103" t="s">
        <v>380</v>
      </c>
      <c r="D74" s="21">
        <f t="shared" si="2"/>
        <v>51</v>
      </c>
      <c r="E74" s="21">
        <f t="shared" si="3"/>
        <v>1</v>
      </c>
      <c r="F74" s="21">
        <f t="shared" si="4"/>
        <v>52</v>
      </c>
      <c r="G74" s="53">
        <f t="shared" si="5"/>
        <v>98.07692308</v>
      </c>
      <c r="H74" s="56" t="s">
        <v>127</v>
      </c>
      <c r="I74" s="56" t="s">
        <v>127</v>
      </c>
      <c r="J74" s="56" t="s">
        <v>127</v>
      </c>
      <c r="K74" s="56" t="s">
        <v>127</v>
      </c>
      <c r="L74" s="56" t="s">
        <v>127</v>
      </c>
      <c r="M74" s="56" t="s">
        <v>127</v>
      </c>
      <c r="N74" s="97"/>
      <c r="O74" s="56" t="s">
        <v>127</v>
      </c>
      <c r="P74" s="56" t="s">
        <v>127</v>
      </c>
      <c r="Q74" s="73" t="s">
        <v>125</v>
      </c>
      <c r="R74" s="56" t="s">
        <v>127</v>
      </c>
      <c r="S74" s="56" t="s">
        <v>127</v>
      </c>
      <c r="T74" s="56" t="s">
        <v>127</v>
      </c>
      <c r="U74" s="95"/>
      <c r="V74" s="56" t="s">
        <v>127</v>
      </c>
      <c r="W74" s="56" t="s">
        <v>127</v>
      </c>
      <c r="X74" s="104" t="s">
        <v>127</v>
      </c>
      <c r="Y74" s="104" t="s">
        <v>127</v>
      </c>
      <c r="Z74" s="72" t="s">
        <v>127</v>
      </c>
      <c r="AA74" s="72" t="s">
        <v>127</v>
      </c>
      <c r="AB74" s="95"/>
      <c r="AC74" s="72" t="s">
        <v>127</v>
      </c>
      <c r="AD74" s="72" t="s">
        <v>127</v>
      </c>
      <c r="AE74" s="105" t="s">
        <v>127</v>
      </c>
      <c r="AF74" s="72" t="s">
        <v>127</v>
      </c>
      <c r="AG74" s="72" t="s">
        <v>127</v>
      </c>
      <c r="AH74" s="72" t="s">
        <v>127</v>
      </c>
      <c r="AI74" s="95"/>
      <c r="AJ74" s="72" t="s">
        <v>127</v>
      </c>
      <c r="AK74" s="72" t="s">
        <v>127</v>
      </c>
      <c r="AL74" s="72" t="s">
        <v>127</v>
      </c>
      <c r="AM74" s="72" t="s">
        <v>127</v>
      </c>
      <c r="AN74" s="72" t="s">
        <v>127</v>
      </c>
      <c r="AO74" s="72" t="s">
        <v>127</v>
      </c>
      <c r="AP74" s="95"/>
      <c r="AQ74" s="72" t="s">
        <v>127</v>
      </c>
      <c r="AR74" s="72" t="s">
        <v>127</v>
      </c>
      <c r="AS74" s="72" t="s">
        <v>127</v>
      </c>
      <c r="AT74" s="72" t="s">
        <v>127</v>
      </c>
      <c r="AU74" s="72" t="s">
        <v>127</v>
      </c>
      <c r="AV74" s="72" t="s">
        <v>127</v>
      </c>
      <c r="AW74" s="69"/>
      <c r="AX74" s="72" t="s">
        <v>127</v>
      </c>
      <c r="AY74" s="72" t="s">
        <v>127</v>
      </c>
      <c r="AZ74" s="72" t="s">
        <v>127</v>
      </c>
      <c r="BA74" s="72" t="s">
        <v>127</v>
      </c>
      <c r="BB74" s="72" t="s">
        <v>127</v>
      </c>
      <c r="BC74" s="72" t="s">
        <v>127</v>
      </c>
      <c r="BD74" s="69"/>
      <c r="BE74" s="72" t="s">
        <v>127</v>
      </c>
      <c r="BF74" s="72" t="s">
        <v>127</v>
      </c>
      <c r="BG74" s="72" t="s">
        <v>127</v>
      </c>
      <c r="BH74" s="72" t="s">
        <v>127</v>
      </c>
      <c r="BI74" s="72" t="s">
        <v>127</v>
      </c>
      <c r="BJ74" s="72" t="s">
        <v>127</v>
      </c>
      <c r="BK74" s="69"/>
      <c r="BL74" s="72" t="s">
        <v>127</v>
      </c>
      <c r="BM74" s="72" t="s">
        <v>127</v>
      </c>
      <c r="BN74" s="72" t="s">
        <v>127</v>
      </c>
      <c r="BO74" s="72" t="s">
        <v>127</v>
      </c>
      <c r="BP74" s="63"/>
      <c r="BQ74" s="63"/>
      <c r="BR74" s="63"/>
      <c r="BS74" s="63"/>
      <c r="BT74" s="63"/>
      <c r="BU74" s="63"/>
      <c r="BV74" s="63"/>
    </row>
    <row r="75">
      <c r="A75" s="21">
        <v>72.0</v>
      </c>
      <c r="B75" s="96" t="s">
        <v>384</v>
      </c>
      <c r="C75" s="96" t="s">
        <v>386</v>
      </c>
      <c r="D75" s="21">
        <f t="shared" si="2"/>
        <v>48</v>
      </c>
      <c r="E75" s="21">
        <f t="shared" si="3"/>
        <v>4</v>
      </c>
      <c r="F75" s="21">
        <f t="shared" si="4"/>
        <v>52</v>
      </c>
      <c r="G75" s="53">
        <f t="shared" si="5"/>
        <v>92.30769231</v>
      </c>
      <c r="H75" s="56" t="s">
        <v>127</v>
      </c>
      <c r="I75" s="55" t="s">
        <v>127</v>
      </c>
      <c r="J75" s="55" t="s">
        <v>127</v>
      </c>
      <c r="K75" s="56" t="s">
        <v>127</v>
      </c>
      <c r="L75" s="56" t="s">
        <v>127</v>
      </c>
      <c r="M75" s="56" t="s">
        <v>127</v>
      </c>
      <c r="N75" s="97"/>
      <c r="O75" s="56" t="s">
        <v>127</v>
      </c>
      <c r="P75" s="56" t="s">
        <v>127</v>
      </c>
      <c r="Q75" s="56" t="s">
        <v>127</v>
      </c>
      <c r="R75" s="56" t="s">
        <v>127</v>
      </c>
      <c r="S75" s="56" t="s">
        <v>127</v>
      </c>
      <c r="T75" s="56" t="s">
        <v>127</v>
      </c>
      <c r="U75" s="95"/>
      <c r="V75" s="56" t="s">
        <v>127</v>
      </c>
      <c r="W75" s="56" t="s">
        <v>127</v>
      </c>
      <c r="X75" s="98" t="s">
        <v>125</v>
      </c>
      <c r="Y75" s="72" t="s">
        <v>127</v>
      </c>
      <c r="Z75" s="72" t="s">
        <v>127</v>
      </c>
      <c r="AA75" s="72" t="s">
        <v>127</v>
      </c>
      <c r="AB75" s="95"/>
      <c r="AC75" s="60" t="s">
        <v>125</v>
      </c>
      <c r="AD75" s="72" t="s">
        <v>127</v>
      </c>
      <c r="AE75" s="105" t="s">
        <v>127</v>
      </c>
      <c r="AF75" s="72" t="s">
        <v>127</v>
      </c>
      <c r="AG75" s="72" t="s">
        <v>127</v>
      </c>
      <c r="AH75" s="60" t="s">
        <v>125</v>
      </c>
      <c r="AI75" s="95"/>
      <c r="AJ75" s="72" t="s">
        <v>127</v>
      </c>
      <c r="AK75" s="60" t="s">
        <v>125</v>
      </c>
      <c r="AL75" s="72" t="s">
        <v>127</v>
      </c>
      <c r="AM75" s="72" t="s">
        <v>127</v>
      </c>
      <c r="AN75" s="72" t="s">
        <v>127</v>
      </c>
      <c r="AO75" s="72" t="s">
        <v>127</v>
      </c>
      <c r="AP75" s="95"/>
      <c r="AQ75" s="72" t="s">
        <v>127</v>
      </c>
      <c r="AR75" s="72" t="s">
        <v>127</v>
      </c>
      <c r="AS75" s="72" t="s">
        <v>127</v>
      </c>
      <c r="AT75" s="72" t="s">
        <v>127</v>
      </c>
      <c r="AU75" s="72" t="s">
        <v>127</v>
      </c>
      <c r="AV75" s="72" t="s">
        <v>127</v>
      </c>
      <c r="AW75" s="69"/>
      <c r="AX75" s="72" t="s">
        <v>127</v>
      </c>
      <c r="AY75" s="72" t="s">
        <v>127</v>
      </c>
      <c r="AZ75" s="72" t="s">
        <v>127</v>
      </c>
      <c r="BA75" s="72" t="s">
        <v>127</v>
      </c>
      <c r="BB75" s="72" t="s">
        <v>127</v>
      </c>
      <c r="BC75" s="72" t="s">
        <v>127</v>
      </c>
      <c r="BD75" s="69"/>
      <c r="BE75" s="72" t="s">
        <v>127</v>
      </c>
      <c r="BF75" s="72" t="s">
        <v>127</v>
      </c>
      <c r="BG75" s="72" t="s">
        <v>127</v>
      </c>
      <c r="BH75" s="72" t="s">
        <v>127</v>
      </c>
      <c r="BI75" s="72" t="s">
        <v>127</v>
      </c>
      <c r="BJ75" s="72" t="s">
        <v>127</v>
      </c>
      <c r="BK75" s="69"/>
      <c r="BL75" s="72" t="s">
        <v>127</v>
      </c>
      <c r="BM75" s="72" t="s">
        <v>127</v>
      </c>
      <c r="BN75" s="72" t="s">
        <v>127</v>
      </c>
      <c r="BO75" s="72" t="s">
        <v>127</v>
      </c>
      <c r="BP75" s="63"/>
      <c r="BQ75" s="63"/>
      <c r="BR75" s="63"/>
      <c r="BS75" s="63"/>
      <c r="BT75" s="63"/>
      <c r="BU75" s="63"/>
      <c r="BV75" s="63"/>
    </row>
    <row r="76">
      <c r="A76" s="21">
        <v>73.0</v>
      </c>
      <c r="B76" s="102" t="s">
        <v>388</v>
      </c>
      <c r="C76" s="102" t="s">
        <v>389</v>
      </c>
      <c r="D76" s="21">
        <f t="shared" si="2"/>
        <v>46</v>
      </c>
      <c r="E76" s="21">
        <f t="shared" si="3"/>
        <v>6</v>
      </c>
      <c r="F76" s="21">
        <f t="shared" si="4"/>
        <v>52</v>
      </c>
      <c r="G76" s="53">
        <f t="shared" si="5"/>
        <v>88.46153846</v>
      </c>
      <c r="H76" s="73" t="s">
        <v>125</v>
      </c>
      <c r="I76" s="56" t="s">
        <v>127</v>
      </c>
      <c r="J76" s="73" t="s">
        <v>125</v>
      </c>
      <c r="K76" s="56" t="s">
        <v>127</v>
      </c>
      <c r="L76" s="73" t="s">
        <v>125</v>
      </c>
      <c r="M76" s="73" t="s">
        <v>125</v>
      </c>
      <c r="N76" s="97"/>
      <c r="O76" s="56" t="s">
        <v>127</v>
      </c>
      <c r="P76" s="56" t="s">
        <v>127</v>
      </c>
      <c r="Q76" s="73" t="s">
        <v>125</v>
      </c>
      <c r="R76" s="56" t="s">
        <v>127</v>
      </c>
      <c r="S76" s="56" t="s">
        <v>127</v>
      </c>
      <c r="T76" s="56" t="s">
        <v>127</v>
      </c>
      <c r="U76" s="95"/>
      <c r="V76" s="73" t="s">
        <v>125</v>
      </c>
      <c r="W76" s="56" t="s">
        <v>127</v>
      </c>
      <c r="X76" s="104" t="s">
        <v>127</v>
      </c>
      <c r="Y76" s="72" t="s">
        <v>127</v>
      </c>
      <c r="Z76" s="72" t="s">
        <v>127</v>
      </c>
      <c r="AA76" s="72" t="s">
        <v>127</v>
      </c>
      <c r="AB76" s="95"/>
      <c r="AC76" s="72" t="s">
        <v>127</v>
      </c>
      <c r="AD76" s="72" t="s">
        <v>127</v>
      </c>
      <c r="AE76" s="72" t="s">
        <v>127</v>
      </c>
      <c r="AF76" s="72" t="s">
        <v>127</v>
      </c>
      <c r="AG76" s="72" t="s">
        <v>127</v>
      </c>
      <c r="AH76" s="72" t="s">
        <v>127</v>
      </c>
      <c r="AI76" s="95"/>
      <c r="AJ76" s="72" t="s">
        <v>127</v>
      </c>
      <c r="AK76" s="72" t="s">
        <v>127</v>
      </c>
      <c r="AL76" s="72" t="s">
        <v>127</v>
      </c>
      <c r="AM76" s="72" t="s">
        <v>127</v>
      </c>
      <c r="AN76" s="72" t="s">
        <v>127</v>
      </c>
      <c r="AO76" s="72" t="s">
        <v>127</v>
      </c>
      <c r="AP76" s="95"/>
      <c r="AQ76" s="72" t="s">
        <v>127</v>
      </c>
      <c r="AR76" s="72" t="s">
        <v>127</v>
      </c>
      <c r="AS76" s="72" t="s">
        <v>127</v>
      </c>
      <c r="AT76" s="72" t="s">
        <v>127</v>
      </c>
      <c r="AU76" s="72" t="s">
        <v>127</v>
      </c>
      <c r="AV76" s="72" t="s">
        <v>127</v>
      </c>
      <c r="AW76" s="69"/>
      <c r="AX76" s="72" t="s">
        <v>127</v>
      </c>
      <c r="AY76" s="72" t="s">
        <v>127</v>
      </c>
      <c r="AZ76" s="72" t="s">
        <v>127</v>
      </c>
      <c r="BA76" s="72" t="s">
        <v>127</v>
      </c>
      <c r="BB76" s="72" t="s">
        <v>127</v>
      </c>
      <c r="BC76" s="72" t="s">
        <v>127</v>
      </c>
      <c r="BD76" s="69"/>
      <c r="BE76" s="72" t="s">
        <v>127</v>
      </c>
      <c r="BF76" s="72" t="s">
        <v>127</v>
      </c>
      <c r="BG76" s="72" t="s">
        <v>127</v>
      </c>
      <c r="BH76" s="72" t="s">
        <v>127</v>
      </c>
      <c r="BI76" s="72" t="s">
        <v>127</v>
      </c>
      <c r="BJ76" s="72" t="s">
        <v>127</v>
      </c>
      <c r="BK76" s="69"/>
      <c r="BL76" s="72" t="s">
        <v>127</v>
      </c>
      <c r="BM76" s="72" t="s">
        <v>127</v>
      </c>
      <c r="BN76" s="72" t="s">
        <v>127</v>
      </c>
      <c r="BO76" s="72" t="s">
        <v>127</v>
      </c>
      <c r="BP76" s="63"/>
      <c r="BQ76" s="63"/>
      <c r="BR76" s="63"/>
      <c r="BS76" s="63"/>
      <c r="BT76" s="63"/>
      <c r="BU76" s="63"/>
      <c r="BV76" s="63"/>
    </row>
    <row r="77" ht="22.5" customHeight="1">
      <c r="A77" s="21">
        <v>74.0</v>
      </c>
      <c r="B77" s="102" t="s">
        <v>402</v>
      </c>
      <c r="C77" s="102" t="s">
        <v>403</v>
      </c>
      <c r="D77" s="21">
        <f t="shared" si="2"/>
        <v>30</v>
      </c>
      <c r="E77" s="21">
        <f t="shared" si="3"/>
        <v>22</v>
      </c>
      <c r="F77" s="21">
        <f t="shared" si="4"/>
        <v>52</v>
      </c>
      <c r="G77" s="53">
        <f t="shared" si="5"/>
        <v>57.69230769</v>
      </c>
      <c r="H77" s="73" t="s">
        <v>125</v>
      </c>
      <c r="I77" s="56" t="s">
        <v>127</v>
      </c>
      <c r="J77" s="56" t="s">
        <v>127</v>
      </c>
      <c r="K77" s="73" t="s">
        <v>125</v>
      </c>
      <c r="L77" s="56" t="s">
        <v>127</v>
      </c>
      <c r="M77" s="56" t="s">
        <v>127</v>
      </c>
      <c r="N77" s="97"/>
      <c r="O77" s="56" t="s">
        <v>127</v>
      </c>
      <c r="P77" s="56" t="s">
        <v>127</v>
      </c>
      <c r="Q77" s="56" t="s">
        <v>127</v>
      </c>
      <c r="R77" s="56" t="s">
        <v>127</v>
      </c>
      <c r="S77" s="56" t="s">
        <v>127</v>
      </c>
      <c r="T77" s="56" t="s">
        <v>127</v>
      </c>
      <c r="U77" s="95"/>
      <c r="V77" s="56" t="s">
        <v>127</v>
      </c>
      <c r="W77" s="56" t="s">
        <v>127</v>
      </c>
      <c r="X77" s="56" t="s">
        <v>127</v>
      </c>
      <c r="Y77" s="56" t="s">
        <v>127</v>
      </c>
      <c r="Z77" s="104" t="s">
        <v>127</v>
      </c>
      <c r="AA77" s="72" t="s">
        <v>127</v>
      </c>
      <c r="AB77" s="95"/>
      <c r="AC77" s="72" t="s">
        <v>127</v>
      </c>
      <c r="AD77" s="72" t="s">
        <v>127</v>
      </c>
      <c r="AE77" s="72" t="s">
        <v>127</v>
      </c>
      <c r="AF77" s="72" t="s">
        <v>127</v>
      </c>
      <c r="AG77" s="72" t="s">
        <v>127</v>
      </c>
      <c r="AH77" s="72" t="s">
        <v>127</v>
      </c>
      <c r="AI77" s="95"/>
      <c r="AJ77" s="72" t="s">
        <v>127</v>
      </c>
      <c r="AK77" s="72" t="s">
        <v>127</v>
      </c>
      <c r="AL77" s="72" t="s">
        <v>127</v>
      </c>
      <c r="AM77" s="72" t="s">
        <v>127</v>
      </c>
      <c r="AN77" s="72" t="s">
        <v>127</v>
      </c>
      <c r="AO77" s="72" t="s">
        <v>127</v>
      </c>
      <c r="AP77" s="95"/>
      <c r="AQ77" s="72" t="s">
        <v>127</v>
      </c>
      <c r="AR77" s="72" t="s">
        <v>127</v>
      </c>
      <c r="AS77" s="60" t="s">
        <v>125</v>
      </c>
      <c r="AT77" s="60" t="s">
        <v>125</v>
      </c>
      <c r="AU77" s="60" t="s">
        <v>125</v>
      </c>
      <c r="AV77" s="60" t="s">
        <v>125</v>
      </c>
      <c r="AW77" s="69"/>
      <c r="AX77" s="60" t="s">
        <v>125</v>
      </c>
      <c r="AY77" s="60" t="s">
        <v>125</v>
      </c>
      <c r="AZ77" s="60" t="s">
        <v>125</v>
      </c>
      <c r="BA77" s="60" t="s">
        <v>125</v>
      </c>
      <c r="BB77" s="60" t="s">
        <v>125</v>
      </c>
      <c r="BC77" s="60" t="s">
        <v>125</v>
      </c>
      <c r="BD77" s="69"/>
      <c r="BE77" s="60" t="s">
        <v>125</v>
      </c>
      <c r="BF77" s="60" t="s">
        <v>125</v>
      </c>
      <c r="BG77" s="60" t="s">
        <v>125</v>
      </c>
      <c r="BH77" s="60" t="s">
        <v>125</v>
      </c>
      <c r="BI77" s="60" t="s">
        <v>125</v>
      </c>
      <c r="BJ77" s="60" t="s">
        <v>125</v>
      </c>
      <c r="BK77" s="90" t="s">
        <v>138</v>
      </c>
      <c r="BL77" s="60" t="s">
        <v>125</v>
      </c>
      <c r="BM77" s="60" t="s">
        <v>125</v>
      </c>
      <c r="BN77" s="60" t="s">
        <v>125</v>
      </c>
      <c r="BO77" s="60" t="s">
        <v>125</v>
      </c>
      <c r="BP77" s="63"/>
      <c r="BQ77" s="63"/>
      <c r="BR77" s="63"/>
      <c r="BS77" s="63"/>
      <c r="BT77" s="63"/>
      <c r="BU77" s="63"/>
      <c r="BV77" s="63"/>
    </row>
    <row r="78">
      <c r="A78" s="21">
        <v>75.0</v>
      </c>
      <c r="B78" s="102" t="s">
        <v>406</v>
      </c>
      <c r="C78" s="102" t="s">
        <v>407</v>
      </c>
      <c r="D78" s="21">
        <f t="shared" si="2"/>
        <v>43</v>
      </c>
      <c r="E78" s="21">
        <f t="shared" si="3"/>
        <v>9</v>
      </c>
      <c r="F78" s="21">
        <f t="shared" si="4"/>
        <v>52</v>
      </c>
      <c r="G78" s="53">
        <f t="shared" si="5"/>
        <v>82.69230769</v>
      </c>
      <c r="H78" s="56" t="s">
        <v>612</v>
      </c>
      <c r="I78" s="56" t="s">
        <v>612</v>
      </c>
      <c r="J78" s="56" t="s">
        <v>612</v>
      </c>
      <c r="K78" s="56" t="s">
        <v>612</v>
      </c>
      <c r="L78" s="56" t="s">
        <v>612</v>
      </c>
      <c r="M78" s="73" t="s">
        <v>613</v>
      </c>
      <c r="N78" s="97"/>
      <c r="O78" s="56" t="s">
        <v>612</v>
      </c>
      <c r="P78" s="56" t="s">
        <v>612</v>
      </c>
      <c r="Q78" s="98" t="s">
        <v>613</v>
      </c>
      <c r="R78" s="104" t="s">
        <v>612</v>
      </c>
      <c r="S78" s="104" t="s">
        <v>612</v>
      </c>
      <c r="T78" s="104" t="s">
        <v>612</v>
      </c>
      <c r="U78" s="95"/>
      <c r="V78" s="104" t="s">
        <v>612</v>
      </c>
      <c r="W78" s="104" t="s">
        <v>612</v>
      </c>
      <c r="X78" s="104" t="s">
        <v>612</v>
      </c>
      <c r="Y78" s="104" t="s">
        <v>612</v>
      </c>
      <c r="Z78" s="104" t="s">
        <v>612</v>
      </c>
      <c r="AA78" s="104" t="s">
        <v>612</v>
      </c>
      <c r="AB78" s="95"/>
      <c r="AC78" s="104" t="s">
        <v>612</v>
      </c>
      <c r="AD78" s="98" t="s">
        <v>613</v>
      </c>
      <c r="AE78" s="98" t="s">
        <v>613</v>
      </c>
      <c r="AF78" s="98" t="s">
        <v>613</v>
      </c>
      <c r="AG78" s="98" t="s">
        <v>613</v>
      </c>
      <c r="AH78" s="98" t="s">
        <v>613</v>
      </c>
      <c r="AI78" s="95"/>
      <c r="AJ78" s="98" t="s">
        <v>613</v>
      </c>
      <c r="AK78" s="72" t="s">
        <v>127</v>
      </c>
      <c r="AL78" s="72" t="s">
        <v>127</v>
      </c>
      <c r="AM78" s="72" t="s">
        <v>127</v>
      </c>
      <c r="AN78" s="72" t="s">
        <v>127</v>
      </c>
      <c r="AO78" s="60" t="s">
        <v>125</v>
      </c>
      <c r="AP78" s="95"/>
      <c r="AQ78" s="72" t="s">
        <v>127</v>
      </c>
      <c r="AR78" s="72" t="s">
        <v>127</v>
      </c>
      <c r="AS78" s="72" t="s">
        <v>127</v>
      </c>
      <c r="AT78" s="72" t="s">
        <v>127</v>
      </c>
      <c r="AU78" s="72" t="s">
        <v>127</v>
      </c>
      <c r="AV78" s="72" t="s">
        <v>127</v>
      </c>
      <c r="AW78" s="69"/>
      <c r="AX78" s="72" t="s">
        <v>127</v>
      </c>
      <c r="AY78" s="72" t="s">
        <v>127</v>
      </c>
      <c r="AZ78" s="72" t="s">
        <v>127</v>
      </c>
      <c r="BA78" s="72" t="s">
        <v>127</v>
      </c>
      <c r="BB78" s="72" t="s">
        <v>127</v>
      </c>
      <c r="BC78" s="72" t="s">
        <v>127</v>
      </c>
      <c r="BD78" s="69"/>
      <c r="BE78" s="72" t="s">
        <v>127</v>
      </c>
      <c r="BF78" s="72" t="s">
        <v>127</v>
      </c>
      <c r="BG78" s="72" t="s">
        <v>127</v>
      </c>
      <c r="BH78" s="72" t="s">
        <v>127</v>
      </c>
      <c r="BI78" s="72" t="s">
        <v>127</v>
      </c>
      <c r="BJ78" s="72" t="s">
        <v>127</v>
      </c>
      <c r="BK78" s="69"/>
      <c r="BL78" s="72" t="s">
        <v>127</v>
      </c>
      <c r="BM78" s="72" t="s">
        <v>127</v>
      </c>
      <c r="BN78" s="72" t="s">
        <v>127</v>
      </c>
      <c r="BO78" s="72" t="s">
        <v>127</v>
      </c>
      <c r="BP78" s="63"/>
      <c r="BQ78" s="63"/>
      <c r="BR78" s="63"/>
      <c r="BS78" s="63"/>
      <c r="BT78" s="63"/>
      <c r="BU78" s="63"/>
      <c r="BV78" s="63"/>
    </row>
    <row r="79">
      <c r="A79" s="21">
        <v>76.0</v>
      </c>
      <c r="B79" s="106" t="s">
        <v>409</v>
      </c>
      <c r="C79" s="106" t="s">
        <v>410</v>
      </c>
      <c r="D79" s="21">
        <f t="shared" si="2"/>
        <v>43</v>
      </c>
      <c r="E79" s="21">
        <f t="shared" si="3"/>
        <v>9</v>
      </c>
      <c r="F79" s="21">
        <f t="shared" si="4"/>
        <v>52</v>
      </c>
      <c r="G79" s="53">
        <f t="shared" si="5"/>
        <v>82.69230769</v>
      </c>
      <c r="H79" s="55" t="s">
        <v>612</v>
      </c>
      <c r="I79" s="55" t="s">
        <v>612</v>
      </c>
      <c r="J79" s="55" t="s">
        <v>612</v>
      </c>
      <c r="K79" s="54" t="s">
        <v>613</v>
      </c>
      <c r="L79" s="55" t="s">
        <v>612</v>
      </c>
      <c r="M79" s="55" t="s">
        <v>612</v>
      </c>
      <c r="N79" s="107"/>
      <c r="O79" s="56" t="s">
        <v>612</v>
      </c>
      <c r="P79" s="56" t="s">
        <v>612</v>
      </c>
      <c r="Q79" s="104" t="s">
        <v>612</v>
      </c>
      <c r="R79" s="104" t="s">
        <v>612</v>
      </c>
      <c r="S79" s="104" t="s">
        <v>612</v>
      </c>
      <c r="T79" s="104" t="s">
        <v>612</v>
      </c>
      <c r="U79" s="95"/>
      <c r="V79" s="104" t="s">
        <v>612</v>
      </c>
      <c r="W79" s="104" t="s">
        <v>612</v>
      </c>
      <c r="X79" s="104" t="s">
        <v>612</v>
      </c>
      <c r="Y79" s="104" t="s">
        <v>612</v>
      </c>
      <c r="Z79" s="104" t="s">
        <v>612</v>
      </c>
      <c r="AA79" s="98" t="s">
        <v>613</v>
      </c>
      <c r="AB79" s="95"/>
      <c r="AC79" s="104" t="s">
        <v>612</v>
      </c>
      <c r="AD79" s="104" t="s">
        <v>612</v>
      </c>
      <c r="AE79" s="98" t="s">
        <v>613</v>
      </c>
      <c r="AF79" s="98" t="s">
        <v>613</v>
      </c>
      <c r="AG79" s="98" t="s">
        <v>613</v>
      </c>
      <c r="AH79" s="98" t="s">
        <v>613</v>
      </c>
      <c r="AI79" s="95"/>
      <c r="AJ79" s="98" t="s">
        <v>613</v>
      </c>
      <c r="AK79" s="72" t="s">
        <v>127</v>
      </c>
      <c r="AL79" s="72" t="s">
        <v>127</v>
      </c>
      <c r="AM79" s="72" t="s">
        <v>127</v>
      </c>
      <c r="AN79" s="60" t="s">
        <v>125</v>
      </c>
      <c r="AO79" s="60" t="s">
        <v>125</v>
      </c>
      <c r="AP79" s="95"/>
      <c r="AQ79" s="72" t="s">
        <v>127</v>
      </c>
      <c r="AR79" s="72" t="s">
        <v>127</v>
      </c>
      <c r="AS79" s="72" t="s">
        <v>127</v>
      </c>
      <c r="AT79" s="72" t="s">
        <v>127</v>
      </c>
      <c r="AU79" s="72" t="s">
        <v>127</v>
      </c>
      <c r="AV79" s="72" t="s">
        <v>127</v>
      </c>
      <c r="AW79" s="69"/>
      <c r="AX79" s="72" t="s">
        <v>127</v>
      </c>
      <c r="AY79" s="72" t="s">
        <v>127</v>
      </c>
      <c r="AZ79" s="72" t="s">
        <v>127</v>
      </c>
      <c r="BA79" s="72" t="s">
        <v>127</v>
      </c>
      <c r="BB79" s="72" t="s">
        <v>127</v>
      </c>
      <c r="BC79" s="72" t="s">
        <v>127</v>
      </c>
      <c r="BD79" s="69"/>
      <c r="BE79" s="72" t="s">
        <v>127</v>
      </c>
      <c r="BF79" s="72" t="s">
        <v>127</v>
      </c>
      <c r="BG79" s="72" t="s">
        <v>127</v>
      </c>
      <c r="BH79" s="72" t="s">
        <v>127</v>
      </c>
      <c r="BI79" s="72" t="s">
        <v>127</v>
      </c>
      <c r="BJ79" s="72" t="s">
        <v>127</v>
      </c>
      <c r="BK79" s="69"/>
      <c r="BL79" s="72" t="s">
        <v>127</v>
      </c>
      <c r="BM79" s="72" t="s">
        <v>127</v>
      </c>
      <c r="BN79" s="72" t="s">
        <v>127</v>
      </c>
      <c r="BO79" s="72" t="s">
        <v>127</v>
      </c>
      <c r="BP79" s="63"/>
      <c r="BQ79" s="63"/>
      <c r="BR79" s="63"/>
      <c r="BS79" s="63"/>
      <c r="BT79" s="63"/>
      <c r="BU79" s="63"/>
      <c r="BV79" s="63"/>
    </row>
    <row r="80">
      <c r="A80" s="21">
        <v>77.0</v>
      </c>
      <c r="B80" s="108" t="s">
        <v>391</v>
      </c>
      <c r="C80" s="108" t="s">
        <v>393</v>
      </c>
      <c r="D80" s="21">
        <f t="shared" si="2"/>
        <v>43</v>
      </c>
      <c r="E80" s="21">
        <f t="shared" si="3"/>
        <v>9</v>
      </c>
      <c r="F80" s="21">
        <f t="shared" si="4"/>
        <v>52</v>
      </c>
      <c r="G80" s="53">
        <f t="shared" si="5"/>
        <v>82.69230769</v>
      </c>
      <c r="H80" s="56" t="s">
        <v>612</v>
      </c>
      <c r="I80" s="56" t="s">
        <v>612</v>
      </c>
      <c r="J80" s="56" t="s">
        <v>612</v>
      </c>
      <c r="K80" s="73" t="s">
        <v>613</v>
      </c>
      <c r="L80" s="56" t="s">
        <v>612</v>
      </c>
      <c r="M80" s="56" t="s">
        <v>612</v>
      </c>
      <c r="N80" s="97"/>
      <c r="O80" s="56" t="s">
        <v>612</v>
      </c>
      <c r="P80" s="56" t="s">
        <v>612</v>
      </c>
      <c r="Q80" s="104" t="s">
        <v>612</v>
      </c>
      <c r="R80" s="104" t="s">
        <v>612</v>
      </c>
      <c r="S80" s="104" t="s">
        <v>612</v>
      </c>
      <c r="T80" s="109" t="s">
        <v>612</v>
      </c>
      <c r="U80" s="95"/>
      <c r="V80" s="109" t="s">
        <v>612</v>
      </c>
      <c r="W80" s="109" t="s">
        <v>612</v>
      </c>
      <c r="X80" s="109" t="s">
        <v>612</v>
      </c>
      <c r="Y80" s="109" t="s">
        <v>612</v>
      </c>
      <c r="Z80" s="109" t="s">
        <v>612</v>
      </c>
      <c r="AA80" s="110" t="s">
        <v>613</v>
      </c>
      <c r="AB80" s="95"/>
      <c r="AC80" s="104" t="s">
        <v>612</v>
      </c>
      <c r="AD80" s="104" t="s">
        <v>612</v>
      </c>
      <c r="AE80" s="98" t="s">
        <v>613</v>
      </c>
      <c r="AF80" s="98" t="s">
        <v>613</v>
      </c>
      <c r="AG80" s="98" t="s">
        <v>613</v>
      </c>
      <c r="AH80" s="98" t="s">
        <v>613</v>
      </c>
      <c r="AI80" s="95"/>
      <c r="AJ80" s="98" t="s">
        <v>613</v>
      </c>
      <c r="AK80" s="72" t="s">
        <v>127</v>
      </c>
      <c r="AL80" s="72" t="s">
        <v>127</v>
      </c>
      <c r="AM80" s="72" t="s">
        <v>127</v>
      </c>
      <c r="AN80" s="60" t="s">
        <v>125</v>
      </c>
      <c r="AO80" s="60" t="s">
        <v>125</v>
      </c>
      <c r="AP80" s="95"/>
      <c r="AQ80" s="72" t="s">
        <v>127</v>
      </c>
      <c r="AR80" s="72" t="s">
        <v>127</v>
      </c>
      <c r="AS80" s="72" t="s">
        <v>127</v>
      </c>
      <c r="AT80" s="72" t="s">
        <v>127</v>
      </c>
      <c r="AU80" s="72" t="s">
        <v>127</v>
      </c>
      <c r="AV80" s="72" t="s">
        <v>127</v>
      </c>
      <c r="AW80" s="69"/>
      <c r="AX80" s="72" t="s">
        <v>127</v>
      </c>
      <c r="AY80" s="72" t="s">
        <v>127</v>
      </c>
      <c r="AZ80" s="72" t="s">
        <v>127</v>
      </c>
      <c r="BA80" s="72" t="s">
        <v>127</v>
      </c>
      <c r="BB80" s="72" t="s">
        <v>127</v>
      </c>
      <c r="BC80" s="72" t="s">
        <v>127</v>
      </c>
      <c r="BD80" s="69"/>
      <c r="BE80" s="72" t="s">
        <v>127</v>
      </c>
      <c r="BF80" s="72" t="s">
        <v>127</v>
      </c>
      <c r="BG80" s="72" t="s">
        <v>127</v>
      </c>
      <c r="BH80" s="72" t="s">
        <v>127</v>
      </c>
      <c r="BI80" s="72" t="s">
        <v>127</v>
      </c>
      <c r="BJ80" s="72" t="s">
        <v>127</v>
      </c>
      <c r="BK80" s="69"/>
      <c r="BL80" s="72" t="s">
        <v>127</v>
      </c>
      <c r="BM80" s="72" t="s">
        <v>127</v>
      </c>
      <c r="BN80" s="72" t="s">
        <v>127</v>
      </c>
      <c r="BO80" s="72" t="s">
        <v>127</v>
      </c>
      <c r="BP80" s="63"/>
      <c r="BQ80" s="63"/>
      <c r="BR80" s="63"/>
      <c r="BS80" s="63"/>
      <c r="BT80" s="63"/>
      <c r="BU80" s="63"/>
      <c r="BV80" s="63"/>
    </row>
    <row r="81">
      <c r="A81" s="21">
        <v>78.0</v>
      </c>
      <c r="B81" s="86" t="s">
        <v>414</v>
      </c>
      <c r="C81" s="86" t="s">
        <v>614</v>
      </c>
      <c r="D81" s="21">
        <f t="shared" si="2"/>
        <v>25</v>
      </c>
      <c r="E81" s="21">
        <f t="shared" si="3"/>
        <v>8</v>
      </c>
      <c r="F81" s="21">
        <f t="shared" si="4"/>
        <v>33</v>
      </c>
      <c r="G81" s="53">
        <f t="shared" si="5"/>
        <v>75.75757576</v>
      </c>
      <c r="H81" s="111" t="s">
        <v>615</v>
      </c>
      <c r="I81" s="111" t="s">
        <v>615</v>
      </c>
      <c r="J81" s="111" t="s">
        <v>615</v>
      </c>
      <c r="K81" s="54" t="s">
        <v>613</v>
      </c>
      <c r="L81" s="111" t="s">
        <v>615</v>
      </c>
      <c r="M81" s="111" t="s">
        <v>615</v>
      </c>
      <c r="N81" s="97"/>
      <c r="O81" s="111" t="s">
        <v>615</v>
      </c>
      <c r="P81" s="111" t="s">
        <v>615</v>
      </c>
      <c r="Q81" s="109" t="s">
        <v>615</v>
      </c>
      <c r="R81" s="109" t="s">
        <v>615</v>
      </c>
      <c r="S81" s="109" t="s">
        <v>615</v>
      </c>
      <c r="T81" s="109" t="s">
        <v>615</v>
      </c>
      <c r="U81" s="112"/>
      <c r="V81" s="109" t="s">
        <v>615</v>
      </c>
      <c r="W81" s="109" t="s">
        <v>615</v>
      </c>
      <c r="X81" s="109" t="s">
        <v>615</v>
      </c>
      <c r="Y81" s="109" t="s">
        <v>615</v>
      </c>
      <c r="Z81" s="109" t="s">
        <v>615</v>
      </c>
      <c r="AA81" s="110" t="s">
        <v>615</v>
      </c>
      <c r="AB81" s="95"/>
      <c r="AC81" s="109" t="s">
        <v>615</v>
      </c>
      <c r="AD81" s="109" t="s">
        <v>615</v>
      </c>
      <c r="AE81" s="113" t="s">
        <v>613</v>
      </c>
      <c r="AF81" s="113" t="s">
        <v>613</v>
      </c>
      <c r="AG81" s="113" t="s">
        <v>613</v>
      </c>
      <c r="AH81" s="113" t="s">
        <v>613</v>
      </c>
      <c r="AI81" s="95"/>
      <c r="AJ81" s="98" t="s">
        <v>613</v>
      </c>
      <c r="AK81" s="72" t="s">
        <v>127</v>
      </c>
      <c r="AL81" s="72" t="s">
        <v>127</v>
      </c>
      <c r="AM81" s="72" t="s">
        <v>127</v>
      </c>
      <c r="AN81" s="60" t="s">
        <v>125</v>
      </c>
      <c r="AO81" s="60" t="s">
        <v>125</v>
      </c>
      <c r="AP81" s="95"/>
      <c r="AQ81" s="72" t="s">
        <v>127</v>
      </c>
      <c r="AR81" s="72" t="s">
        <v>127</v>
      </c>
      <c r="AS81" s="72" t="s">
        <v>127</v>
      </c>
      <c r="AT81" s="72" t="s">
        <v>127</v>
      </c>
      <c r="AU81" s="72" t="s">
        <v>127</v>
      </c>
      <c r="AV81" s="72" t="s">
        <v>127</v>
      </c>
      <c r="AW81" s="69"/>
      <c r="AX81" s="72" t="s">
        <v>127</v>
      </c>
      <c r="AY81" s="72" t="s">
        <v>127</v>
      </c>
      <c r="AZ81" s="72" t="s">
        <v>127</v>
      </c>
      <c r="BA81" s="72" t="s">
        <v>127</v>
      </c>
      <c r="BB81" s="72" t="s">
        <v>127</v>
      </c>
      <c r="BC81" s="72" t="s">
        <v>127</v>
      </c>
      <c r="BD81" s="69"/>
      <c r="BE81" s="72" t="s">
        <v>127</v>
      </c>
      <c r="BF81" s="72" t="s">
        <v>127</v>
      </c>
      <c r="BG81" s="72" t="s">
        <v>127</v>
      </c>
      <c r="BH81" s="72" t="s">
        <v>127</v>
      </c>
      <c r="BI81" s="72" t="s">
        <v>127</v>
      </c>
      <c r="BJ81" s="72" t="s">
        <v>127</v>
      </c>
      <c r="BK81" s="69"/>
      <c r="BL81" s="72" t="s">
        <v>127</v>
      </c>
      <c r="BM81" s="72" t="s">
        <v>127</v>
      </c>
      <c r="BN81" s="72" t="s">
        <v>127</v>
      </c>
      <c r="BO81" s="72" t="s">
        <v>127</v>
      </c>
      <c r="BP81" s="63"/>
      <c r="BQ81" s="63"/>
      <c r="BR81" s="63"/>
      <c r="BS81" s="63"/>
      <c r="BT81" s="63"/>
      <c r="BU81" s="63"/>
      <c r="BV81" s="63"/>
    </row>
    <row r="82">
      <c r="A82" s="21">
        <v>79.0</v>
      </c>
      <c r="B82" s="108" t="s">
        <v>395</v>
      </c>
      <c r="C82" s="108" t="s">
        <v>396</v>
      </c>
      <c r="D82" s="21">
        <f t="shared" si="2"/>
        <v>43</v>
      </c>
      <c r="E82" s="21">
        <f t="shared" si="3"/>
        <v>9</v>
      </c>
      <c r="F82" s="21">
        <f t="shared" si="4"/>
        <v>52</v>
      </c>
      <c r="G82" s="53">
        <f t="shared" si="5"/>
        <v>82.69230769</v>
      </c>
      <c r="H82" s="56" t="s">
        <v>612</v>
      </c>
      <c r="I82" s="56" t="s">
        <v>612</v>
      </c>
      <c r="J82" s="56" t="s">
        <v>612</v>
      </c>
      <c r="K82" s="73" t="s">
        <v>613</v>
      </c>
      <c r="L82" s="56" t="s">
        <v>612</v>
      </c>
      <c r="M82" s="56" t="s">
        <v>612</v>
      </c>
      <c r="N82" s="97"/>
      <c r="O82" s="56" t="s">
        <v>612</v>
      </c>
      <c r="P82" s="56" t="s">
        <v>612</v>
      </c>
      <c r="Q82" s="104" t="s">
        <v>612</v>
      </c>
      <c r="R82" s="104" t="s">
        <v>612</v>
      </c>
      <c r="S82" s="104" t="s">
        <v>612</v>
      </c>
      <c r="T82" s="104" t="s">
        <v>612</v>
      </c>
      <c r="U82" s="95"/>
      <c r="V82" s="104" t="s">
        <v>612</v>
      </c>
      <c r="W82" s="104" t="s">
        <v>612</v>
      </c>
      <c r="X82" s="104" t="s">
        <v>612</v>
      </c>
      <c r="Y82" s="104" t="s">
        <v>612</v>
      </c>
      <c r="Z82" s="104" t="s">
        <v>612</v>
      </c>
      <c r="AA82" s="98" t="s">
        <v>613</v>
      </c>
      <c r="AB82" s="95"/>
      <c r="AC82" s="104" t="s">
        <v>612</v>
      </c>
      <c r="AD82" s="104" t="s">
        <v>612</v>
      </c>
      <c r="AE82" s="98" t="s">
        <v>613</v>
      </c>
      <c r="AF82" s="98" t="s">
        <v>613</v>
      </c>
      <c r="AG82" s="98" t="s">
        <v>613</v>
      </c>
      <c r="AH82" s="98" t="s">
        <v>613</v>
      </c>
      <c r="AI82" s="95"/>
      <c r="AJ82" s="98" t="s">
        <v>613</v>
      </c>
      <c r="AK82" s="72" t="s">
        <v>127</v>
      </c>
      <c r="AL82" s="72" t="s">
        <v>127</v>
      </c>
      <c r="AM82" s="72" t="s">
        <v>127</v>
      </c>
      <c r="AN82" s="60" t="s">
        <v>125</v>
      </c>
      <c r="AO82" s="60" t="s">
        <v>125</v>
      </c>
      <c r="AP82" s="95"/>
      <c r="AQ82" s="72" t="s">
        <v>127</v>
      </c>
      <c r="AR82" s="72" t="s">
        <v>127</v>
      </c>
      <c r="AS82" s="72" t="s">
        <v>127</v>
      </c>
      <c r="AT82" s="72" t="s">
        <v>127</v>
      </c>
      <c r="AU82" s="72" t="s">
        <v>127</v>
      </c>
      <c r="AV82" s="72" t="s">
        <v>127</v>
      </c>
      <c r="AW82" s="69"/>
      <c r="AX82" s="72" t="s">
        <v>127</v>
      </c>
      <c r="AY82" s="72" t="s">
        <v>127</v>
      </c>
      <c r="AZ82" s="72" t="s">
        <v>127</v>
      </c>
      <c r="BA82" s="72" t="s">
        <v>127</v>
      </c>
      <c r="BB82" s="72" t="s">
        <v>127</v>
      </c>
      <c r="BC82" s="72" t="s">
        <v>127</v>
      </c>
      <c r="BD82" s="69"/>
      <c r="BE82" s="72" t="s">
        <v>127</v>
      </c>
      <c r="BF82" s="72" t="s">
        <v>127</v>
      </c>
      <c r="BG82" s="72" t="s">
        <v>127</v>
      </c>
      <c r="BH82" s="72" t="s">
        <v>127</v>
      </c>
      <c r="BI82" s="72" t="s">
        <v>127</v>
      </c>
      <c r="BJ82" s="72" t="s">
        <v>127</v>
      </c>
      <c r="BK82" s="69"/>
      <c r="BL82" s="72" t="s">
        <v>127</v>
      </c>
      <c r="BM82" s="72" t="s">
        <v>127</v>
      </c>
      <c r="BN82" s="72" t="s">
        <v>127</v>
      </c>
      <c r="BO82" s="72" t="s">
        <v>127</v>
      </c>
      <c r="BP82" s="63"/>
      <c r="BQ82" s="63"/>
      <c r="BR82" s="63"/>
      <c r="BS82" s="63"/>
      <c r="BT82" s="63"/>
      <c r="BU82" s="63"/>
      <c r="BV82" s="63"/>
    </row>
    <row r="83">
      <c r="A83" s="21">
        <v>80.0</v>
      </c>
      <c r="B83" s="114" t="s">
        <v>399</v>
      </c>
      <c r="C83" s="114" t="s">
        <v>400</v>
      </c>
      <c r="D83" s="21">
        <f t="shared" si="2"/>
        <v>43</v>
      </c>
      <c r="E83" s="21">
        <f t="shared" si="3"/>
        <v>9</v>
      </c>
      <c r="F83" s="21">
        <f t="shared" si="4"/>
        <v>52</v>
      </c>
      <c r="G83" s="53">
        <f t="shared" si="5"/>
        <v>82.69230769</v>
      </c>
      <c r="H83" s="56" t="s">
        <v>612</v>
      </c>
      <c r="I83" s="56" t="s">
        <v>612</v>
      </c>
      <c r="J83" s="56" t="s">
        <v>612</v>
      </c>
      <c r="K83" s="73" t="s">
        <v>613</v>
      </c>
      <c r="L83" s="56" t="s">
        <v>612</v>
      </c>
      <c r="M83" s="56" t="s">
        <v>612</v>
      </c>
      <c r="N83" s="97"/>
      <c r="O83" s="56" t="s">
        <v>612</v>
      </c>
      <c r="P83" s="56" t="s">
        <v>612</v>
      </c>
      <c r="Q83" s="104" t="s">
        <v>612</v>
      </c>
      <c r="R83" s="104" t="s">
        <v>612</v>
      </c>
      <c r="S83" s="104" t="s">
        <v>612</v>
      </c>
      <c r="T83" s="104" t="s">
        <v>612</v>
      </c>
      <c r="U83" s="95"/>
      <c r="V83" s="104" t="s">
        <v>612</v>
      </c>
      <c r="W83" s="104" t="s">
        <v>612</v>
      </c>
      <c r="X83" s="104" t="s">
        <v>612</v>
      </c>
      <c r="Y83" s="104" t="s">
        <v>612</v>
      </c>
      <c r="Z83" s="104" t="s">
        <v>612</v>
      </c>
      <c r="AA83" s="98" t="s">
        <v>613</v>
      </c>
      <c r="AB83" s="95"/>
      <c r="AC83" s="104" t="s">
        <v>612</v>
      </c>
      <c r="AD83" s="104" t="s">
        <v>612</v>
      </c>
      <c r="AE83" s="98" t="s">
        <v>613</v>
      </c>
      <c r="AF83" s="98" t="s">
        <v>613</v>
      </c>
      <c r="AG83" s="98" t="s">
        <v>613</v>
      </c>
      <c r="AH83" s="98" t="s">
        <v>613</v>
      </c>
      <c r="AI83" s="95"/>
      <c r="AJ83" s="98" t="s">
        <v>613</v>
      </c>
      <c r="AK83" s="72" t="s">
        <v>127</v>
      </c>
      <c r="AL83" s="72" t="s">
        <v>127</v>
      </c>
      <c r="AM83" s="72" t="s">
        <v>127</v>
      </c>
      <c r="AN83" s="60" t="s">
        <v>125</v>
      </c>
      <c r="AO83" s="60" t="s">
        <v>125</v>
      </c>
      <c r="AP83" s="95"/>
      <c r="AQ83" s="72" t="s">
        <v>127</v>
      </c>
      <c r="AR83" s="72" t="s">
        <v>127</v>
      </c>
      <c r="AS83" s="72" t="s">
        <v>127</v>
      </c>
      <c r="AT83" s="72" t="s">
        <v>127</v>
      </c>
      <c r="AU83" s="72" t="s">
        <v>127</v>
      </c>
      <c r="AV83" s="72" t="s">
        <v>127</v>
      </c>
      <c r="AW83" s="69"/>
      <c r="AX83" s="72" t="s">
        <v>127</v>
      </c>
      <c r="AY83" s="72" t="s">
        <v>127</v>
      </c>
      <c r="AZ83" s="72" t="s">
        <v>127</v>
      </c>
      <c r="BA83" s="72" t="s">
        <v>127</v>
      </c>
      <c r="BB83" s="72" t="s">
        <v>127</v>
      </c>
      <c r="BC83" s="72" t="s">
        <v>127</v>
      </c>
      <c r="BD83" s="69"/>
      <c r="BE83" s="72" t="s">
        <v>127</v>
      </c>
      <c r="BF83" s="72" t="s">
        <v>127</v>
      </c>
      <c r="BG83" s="72" t="s">
        <v>127</v>
      </c>
      <c r="BH83" s="72" t="s">
        <v>127</v>
      </c>
      <c r="BI83" s="72" t="s">
        <v>127</v>
      </c>
      <c r="BJ83" s="72" t="s">
        <v>127</v>
      </c>
      <c r="BK83" s="69"/>
      <c r="BL83" s="72" t="s">
        <v>127</v>
      </c>
      <c r="BM83" s="72" t="s">
        <v>127</v>
      </c>
      <c r="BN83" s="72" t="s">
        <v>127</v>
      </c>
      <c r="BO83" s="72" t="s">
        <v>127</v>
      </c>
      <c r="BP83" s="63"/>
      <c r="BQ83" s="63"/>
      <c r="BR83" s="63"/>
      <c r="BS83" s="63"/>
      <c r="BT83" s="63"/>
      <c r="BU83" s="63"/>
      <c r="BV83" s="63"/>
    </row>
    <row r="84">
      <c r="A84" s="115"/>
      <c r="B84" s="116"/>
      <c r="C84" s="116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117"/>
      <c r="AC84" s="3"/>
      <c r="AD84" s="3"/>
      <c r="AE84" s="3"/>
      <c r="AF84" s="3"/>
      <c r="AG84" s="3"/>
      <c r="AH84" s="3"/>
      <c r="AI84" s="117"/>
      <c r="AJ84" s="3"/>
      <c r="AK84" s="3"/>
      <c r="AL84" s="3"/>
      <c r="AM84" s="3"/>
      <c r="AN84" s="3"/>
      <c r="AO84" s="3"/>
      <c r="AP84" s="117"/>
      <c r="AQ84" s="3"/>
      <c r="AR84" s="3"/>
      <c r="AS84" s="3"/>
      <c r="AT84" s="3"/>
      <c r="AU84" s="3"/>
      <c r="AV84" s="3"/>
      <c r="AW84" s="69"/>
      <c r="AX84" s="3"/>
      <c r="AY84" s="3"/>
      <c r="AZ84" s="3"/>
      <c r="BA84" s="3"/>
      <c r="BB84" s="3"/>
      <c r="BC84" s="3"/>
      <c r="BD84" s="69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</row>
  </sheetData>
  <mergeCells count="10">
    <mergeCell ref="E2:E3"/>
    <mergeCell ref="F2:F3"/>
    <mergeCell ref="H1:N1"/>
    <mergeCell ref="O1:AR1"/>
    <mergeCell ref="AS1:BB1"/>
    <mergeCell ref="A2:A3"/>
    <mergeCell ref="B2:B3"/>
    <mergeCell ref="C2:C3"/>
    <mergeCell ref="D2:D3"/>
    <mergeCell ref="G2:G3"/>
  </mergeCells>
  <conditionalFormatting sqref="H4:BV84">
    <cfRule type="containsText" dxfId="3" priority="1" operator="containsText" text="OP">
      <formula>NOT(ISERROR(SEARCH(("OP"),(H4))))</formula>
    </cfRule>
  </conditionalFormatting>
  <conditionalFormatting sqref="H4:BV84">
    <cfRule type="containsText" dxfId="4" priority="2" operator="containsText" text="p">
      <formula>NOT(ISERROR(SEARCH(("p"),(H4))))</formula>
    </cfRule>
  </conditionalFormatting>
  <conditionalFormatting sqref="H4:BV84">
    <cfRule type="containsText" dxfId="5" priority="3" operator="containsText" text="a">
      <formula>NOT(ISERROR(SEARCH(("a"),(H4))))</formula>
    </cfRule>
  </conditionalFormatting>
  <conditionalFormatting sqref="V75">
    <cfRule type="notContainsBlanks" dxfId="6" priority="4">
      <formula>LEN(TRIM(V75))&gt;0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6.63"/>
    <col customWidth="1" min="4" max="4" width="25.38"/>
    <col customWidth="1" min="5" max="5" width="1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3">
        <v>1.0</v>
      </c>
      <c r="B2" s="15">
        <v>46167.0</v>
      </c>
      <c r="C2" s="17" t="s">
        <v>6</v>
      </c>
      <c r="D2" s="17">
        <v>37.0</v>
      </c>
      <c r="E2" s="17" t="s">
        <v>8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3">
        <v>2.0</v>
      </c>
      <c r="B3" s="15">
        <v>46168.0</v>
      </c>
      <c r="C3" s="17" t="s">
        <v>15</v>
      </c>
      <c r="D3" s="17">
        <v>43.0</v>
      </c>
      <c r="E3" s="21" t="s">
        <v>8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3">
        <v>3.0</v>
      </c>
      <c r="B4" s="15">
        <v>46169.0</v>
      </c>
      <c r="C4" s="17" t="s">
        <v>23</v>
      </c>
      <c r="D4" s="17">
        <v>43.0</v>
      </c>
      <c r="E4" s="21" t="s">
        <v>8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3">
        <v>4.0</v>
      </c>
      <c r="B5" s="15">
        <v>46170.0</v>
      </c>
      <c r="C5" s="13" t="s">
        <v>28</v>
      </c>
      <c r="D5" s="13">
        <v>56.0</v>
      </c>
      <c r="E5" s="21" t="s">
        <v>8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3">
        <v>5.0</v>
      </c>
      <c r="B6" s="15">
        <v>46171.0</v>
      </c>
      <c r="C6" s="34" t="s">
        <v>32</v>
      </c>
      <c r="D6" s="34">
        <v>52.0</v>
      </c>
      <c r="E6" s="21" t="s">
        <v>8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3">
        <v>6.0</v>
      </c>
      <c r="B7" s="15">
        <v>46172.0</v>
      </c>
      <c r="C7" s="34" t="s">
        <v>34</v>
      </c>
      <c r="D7" s="34">
        <v>54.0</v>
      </c>
      <c r="E7" s="21" t="s">
        <v>8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3">
        <v>7.0</v>
      </c>
      <c r="B8" s="15">
        <v>46173.0</v>
      </c>
      <c r="C8" s="34" t="s">
        <v>39</v>
      </c>
      <c r="D8" s="34" t="s">
        <v>40</v>
      </c>
      <c r="E8" s="34" t="s">
        <v>40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3">
        <v>8.0</v>
      </c>
      <c r="B9" s="15">
        <v>46174.0</v>
      </c>
      <c r="C9" s="34" t="s">
        <v>47</v>
      </c>
      <c r="D9" s="34">
        <v>54.0</v>
      </c>
      <c r="E9" s="21" t="s">
        <v>8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3">
        <v>9.0</v>
      </c>
      <c r="B10" s="15">
        <v>46175.0</v>
      </c>
      <c r="C10" s="34" t="s">
        <v>50</v>
      </c>
      <c r="D10" s="34">
        <v>56.0</v>
      </c>
      <c r="E10" s="21" t="s">
        <v>8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3">
        <v>10.0</v>
      </c>
      <c r="B11" s="15">
        <v>46176.0</v>
      </c>
      <c r="C11" s="34" t="s">
        <v>54</v>
      </c>
      <c r="D11" s="34">
        <v>50.0</v>
      </c>
      <c r="E11" s="21" t="s">
        <v>8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3">
        <v>11.0</v>
      </c>
      <c r="B12" s="15">
        <v>46177.0</v>
      </c>
      <c r="C12" s="34" t="s">
        <v>56</v>
      </c>
      <c r="D12" s="34">
        <v>56.0</v>
      </c>
      <c r="E12" s="21" t="s">
        <v>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3">
        <v>12.0</v>
      </c>
      <c r="B13" s="15">
        <v>46178.0</v>
      </c>
      <c r="C13" s="34" t="s">
        <v>61</v>
      </c>
      <c r="D13" s="34">
        <v>54.0</v>
      </c>
      <c r="E13" s="21" t="s">
        <v>8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3">
        <v>13.0</v>
      </c>
      <c r="B14" s="15">
        <v>46179.0</v>
      </c>
      <c r="C14" s="34" t="s">
        <v>65</v>
      </c>
      <c r="D14" s="34">
        <v>55.0</v>
      </c>
      <c r="E14" s="21" t="s">
        <v>8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3">
        <v>14.0</v>
      </c>
      <c r="B15" s="15">
        <v>46180.0</v>
      </c>
      <c r="C15" s="34" t="s">
        <v>40</v>
      </c>
      <c r="D15" s="34" t="s">
        <v>40</v>
      </c>
      <c r="E15" s="34" t="s">
        <v>40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3">
        <v>15.0</v>
      </c>
      <c r="B16" s="15">
        <v>46181.0</v>
      </c>
      <c r="C16" s="34" t="s">
        <v>72</v>
      </c>
      <c r="D16" s="34">
        <v>36.0</v>
      </c>
      <c r="E16" s="21" t="s">
        <v>8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3">
        <v>16.0</v>
      </c>
      <c r="B17" s="15">
        <v>46182.0</v>
      </c>
      <c r="C17" s="34" t="s">
        <v>75</v>
      </c>
      <c r="D17" s="34">
        <v>53.0</v>
      </c>
      <c r="E17" s="21" t="s">
        <v>8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3">
        <v>17.0</v>
      </c>
      <c r="B18" s="15">
        <v>46183.0</v>
      </c>
      <c r="C18" s="34" t="s">
        <v>79</v>
      </c>
      <c r="D18" s="34">
        <v>57.0</v>
      </c>
      <c r="E18" s="21" t="s">
        <v>8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3">
        <v>18.0</v>
      </c>
      <c r="B19" s="15">
        <v>46184.0</v>
      </c>
      <c r="C19" s="34" t="s">
        <v>85</v>
      </c>
      <c r="D19" s="34">
        <v>55.0</v>
      </c>
      <c r="E19" s="34" t="s">
        <v>8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3">
        <v>19.0</v>
      </c>
      <c r="B20" s="15">
        <v>46185.0</v>
      </c>
      <c r="C20" s="34" t="s">
        <v>91</v>
      </c>
      <c r="D20" s="34">
        <v>56.0</v>
      </c>
      <c r="E20" s="34" t="s">
        <v>8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3">
        <v>20.0</v>
      </c>
      <c r="B21" s="15">
        <v>46186.0</v>
      </c>
      <c r="C21" s="34" t="s">
        <v>93</v>
      </c>
      <c r="D21" s="34">
        <v>57.0</v>
      </c>
      <c r="E21" s="34" t="s">
        <v>8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3">
        <v>21.0</v>
      </c>
      <c r="B22" s="15">
        <v>46187.0</v>
      </c>
      <c r="C22" s="34" t="s">
        <v>40</v>
      </c>
      <c r="D22" s="34" t="s">
        <v>40</v>
      </c>
      <c r="E22" s="34" t="s">
        <v>40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3">
        <v>22.0</v>
      </c>
      <c r="B23" s="15">
        <v>46188.0</v>
      </c>
      <c r="C23" s="34" t="s">
        <v>100</v>
      </c>
      <c r="D23" s="34">
        <v>56.0</v>
      </c>
      <c r="E23" s="34" t="s">
        <v>8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3">
        <v>23.0</v>
      </c>
      <c r="B24" s="15">
        <v>46189.0</v>
      </c>
      <c r="C24" s="34" t="s">
        <v>102</v>
      </c>
      <c r="D24" s="34">
        <v>54.0</v>
      </c>
      <c r="E24" s="34" t="s">
        <v>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3">
        <v>24.0</v>
      </c>
      <c r="B25" s="15">
        <v>46190.0</v>
      </c>
      <c r="C25" s="34" t="s">
        <v>107</v>
      </c>
      <c r="D25" s="34">
        <v>55.0</v>
      </c>
      <c r="E25" s="34" t="s">
        <v>8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3">
        <v>25.0</v>
      </c>
      <c r="B26" s="15">
        <v>46191.0</v>
      </c>
      <c r="C26" s="34" t="s">
        <v>109</v>
      </c>
      <c r="D26" s="34">
        <v>56.0</v>
      </c>
      <c r="E26" s="34" t="s">
        <v>8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3">
        <v>26.0</v>
      </c>
      <c r="B27" s="15">
        <v>46192.0</v>
      </c>
      <c r="C27" s="34" t="s">
        <v>113</v>
      </c>
      <c r="D27" s="34">
        <v>58.0</v>
      </c>
      <c r="E27" s="34" t="s">
        <v>8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3">
        <v>27.0</v>
      </c>
      <c r="B28" s="15">
        <v>46193.0</v>
      </c>
      <c r="C28" s="34" t="s">
        <v>115</v>
      </c>
      <c r="D28" s="34">
        <v>57.0</v>
      </c>
      <c r="E28" s="34" t="s">
        <v>8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3">
        <v>28.0</v>
      </c>
      <c r="B29" s="15">
        <v>46194.0</v>
      </c>
      <c r="C29" s="34" t="s">
        <v>40</v>
      </c>
      <c r="D29" s="34" t="s">
        <v>40</v>
      </c>
      <c r="E29" s="34" t="s">
        <v>40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3">
        <v>29.0</v>
      </c>
      <c r="B30" s="15">
        <v>46195.0</v>
      </c>
      <c r="C30" s="34" t="s">
        <v>123</v>
      </c>
      <c r="D30" s="34">
        <v>59.0</v>
      </c>
      <c r="E30" s="34" t="s">
        <v>8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3">
        <v>30.0</v>
      </c>
      <c r="B31" s="15">
        <v>46196.0</v>
      </c>
      <c r="C31" s="34" t="s">
        <v>126</v>
      </c>
      <c r="D31" s="34">
        <v>56.0</v>
      </c>
      <c r="E31" s="34" t="s">
        <v>8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3">
        <v>31.0</v>
      </c>
      <c r="B32" s="15">
        <v>46197.0</v>
      </c>
      <c r="C32" s="34" t="s">
        <v>132</v>
      </c>
      <c r="D32" s="34">
        <v>58.0</v>
      </c>
      <c r="E32" s="34" t="s">
        <v>8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3">
        <v>32.0</v>
      </c>
      <c r="B33" s="15">
        <v>46198.0</v>
      </c>
      <c r="C33" s="34" t="s">
        <v>134</v>
      </c>
      <c r="D33" s="34">
        <v>57.0</v>
      </c>
      <c r="E33" s="34" t="s">
        <v>8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3">
        <v>33.0</v>
      </c>
      <c r="B34" s="15">
        <v>46199.0</v>
      </c>
      <c r="C34" s="21" t="s">
        <v>139</v>
      </c>
      <c r="D34" s="21">
        <v>57.0</v>
      </c>
      <c r="E34" s="21" t="s">
        <v>8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3">
        <v>34.0</v>
      </c>
      <c r="B35" s="15">
        <v>46200.0</v>
      </c>
      <c r="C35" s="21" t="s">
        <v>143</v>
      </c>
      <c r="D35" s="21">
        <v>63.0</v>
      </c>
      <c r="E35" s="21" t="s">
        <v>8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3">
        <v>35.0</v>
      </c>
      <c r="B36" s="15">
        <v>46201.0</v>
      </c>
      <c r="C36" s="21" t="s">
        <v>145</v>
      </c>
      <c r="D36" s="21">
        <v>68.0</v>
      </c>
      <c r="E36" s="21" t="s">
        <v>8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3">
        <v>36.0</v>
      </c>
      <c r="B37" s="15">
        <v>46202.0</v>
      </c>
      <c r="C37" s="21" t="s">
        <v>149</v>
      </c>
      <c r="D37" s="21" t="s">
        <v>149</v>
      </c>
      <c r="E37" s="21" t="s">
        <v>149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13">
        <v>37.0</v>
      </c>
      <c r="B38" s="15">
        <v>46203.0</v>
      </c>
      <c r="C38" s="21" t="s">
        <v>151</v>
      </c>
      <c r="D38" s="34">
        <v>54.0</v>
      </c>
      <c r="E38" s="21" t="s">
        <v>8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3">
        <v>38.0</v>
      </c>
      <c r="B39" s="15">
        <v>46204.0</v>
      </c>
      <c r="C39" s="21" t="s">
        <v>157</v>
      </c>
      <c r="D39" s="34">
        <v>56.0</v>
      </c>
      <c r="E39" s="21" t="s">
        <v>8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13">
        <v>39.0</v>
      </c>
      <c r="B40" s="15">
        <v>46205.0</v>
      </c>
      <c r="C40" s="21" t="s">
        <v>160</v>
      </c>
      <c r="D40" s="34">
        <v>50.0</v>
      </c>
      <c r="E40" s="21" t="s">
        <v>8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13">
        <v>40.0</v>
      </c>
      <c r="B41" s="15">
        <v>46206.0</v>
      </c>
      <c r="C41" s="21" t="s">
        <v>163</v>
      </c>
      <c r="D41" s="34">
        <v>56.0</v>
      </c>
      <c r="E41" s="21" t="s">
        <v>8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3">
        <v>41.0</v>
      </c>
      <c r="B42" s="15">
        <v>46207.0</v>
      </c>
      <c r="C42" s="21" t="s">
        <v>167</v>
      </c>
      <c r="D42" s="34">
        <v>54.0</v>
      </c>
      <c r="E42" s="21" t="s">
        <v>8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13">
        <v>42.0</v>
      </c>
      <c r="B43" s="15">
        <v>46208.0</v>
      </c>
      <c r="C43" s="21" t="s">
        <v>171</v>
      </c>
      <c r="D43" s="34">
        <v>55.0</v>
      </c>
      <c r="E43" s="21" t="s">
        <v>8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13">
        <v>43.0</v>
      </c>
      <c r="B44" s="15">
        <v>46209.0</v>
      </c>
      <c r="C44" s="21" t="s">
        <v>149</v>
      </c>
      <c r="D44" s="21" t="s">
        <v>149</v>
      </c>
      <c r="E44" s="21" t="s">
        <v>149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13">
        <v>44.0</v>
      </c>
      <c r="B45" s="15">
        <v>46210.0</v>
      </c>
      <c r="C45" s="21" t="s">
        <v>176</v>
      </c>
      <c r="D45" s="34">
        <v>54.0</v>
      </c>
      <c r="E45" s="21" t="s">
        <v>8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13">
        <v>45.0</v>
      </c>
      <c r="B46" s="15">
        <v>46211.0</v>
      </c>
      <c r="C46" s="21" t="s">
        <v>178</v>
      </c>
      <c r="D46" s="34">
        <v>56.0</v>
      </c>
      <c r="E46" s="21" t="s">
        <v>8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3">
        <v>46.0</v>
      </c>
      <c r="B47" s="15">
        <v>46212.0</v>
      </c>
      <c r="C47" s="21" t="s">
        <v>183</v>
      </c>
      <c r="D47" s="34">
        <v>50.0</v>
      </c>
      <c r="E47" s="21" t="s">
        <v>8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3">
        <v>47.0</v>
      </c>
      <c r="B48" s="15">
        <v>46213.0</v>
      </c>
      <c r="C48" s="21" t="s">
        <v>187</v>
      </c>
      <c r="D48" s="34">
        <v>56.0</v>
      </c>
      <c r="E48" s="21" t="s">
        <v>8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3">
        <v>48.0</v>
      </c>
      <c r="B49" s="15">
        <v>46214.0</v>
      </c>
      <c r="C49" s="21" t="s">
        <v>189</v>
      </c>
      <c r="D49" s="34">
        <v>54.0</v>
      </c>
      <c r="E49" s="21" t="s">
        <v>8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13">
        <v>49.0</v>
      </c>
      <c r="B50" s="15">
        <v>46215.0</v>
      </c>
      <c r="C50" s="21" t="s">
        <v>193</v>
      </c>
      <c r="D50" s="34">
        <v>55.0</v>
      </c>
      <c r="E50" s="21" t="s">
        <v>8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13">
        <v>50.0</v>
      </c>
      <c r="B51" s="15">
        <v>46216.0</v>
      </c>
      <c r="C51" s="21" t="s">
        <v>149</v>
      </c>
      <c r="D51" s="21" t="s">
        <v>149</v>
      </c>
      <c r="E51" s="21" t="s">
        <v>149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13">
        <v>51.0</v>
      </c>
      <c r="B52" s="15">
        <v>46217.0</v>
      </c>
      <c r="C52" s="21" t="s">
        <v>198</v>
      </c>
      <c r="D52" s="34">
        <v>54.0</v>
      </c>
      <c r="E52" s="21" t="s">
        <v>8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13">
        <v>52.0</v>
      </c>
      <c r="B53" s="15">
        <v>46218.0</v>
      </c>
      <c r="C53" s="21" t="s">
        <v>202</v>
      </c>
      <c r="D53" s="34">
        <v>56.0</v>
      </c>
      <c r="E53" s="21" t="s">
        <v>8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13">
        <v>53.0</v>
      </c>
      <c r="B54" s="15">
        <v>46219.0</v>
      </c>
      <c r="C54" s="21" t="s">
        <v>206</v>
      </c>
      <c r="D54" s="34">
        <v>50.0</v>
      </c>
      <c r="E54" s="21" t="s">
        <v>8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13">
        <v>54.0</v>
      </c>
      <c r="B55" s="15">
        <v>46220.0</v>
      </c>
      <c r="C55" s="21" t="s">
        <v>208</v>
      </c>
      <c r="D55" s="34">
        <v>56.0</v>
      </c>
      <c r="E55" s="21" t="s">
        <v>8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13">
        <v>55.0</v>
      </c>
      <c r="B56" s="15">
        <v>46221.0</v>
      </c>
      <c r="C56" s="21" t="s">
        <v>212</v>
      </c>
      <c r="D56" s="34">
        <v>54.0</v>
      </c>
      <c r="E56" s="21" t="s">
        <v>8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13">
        <v>56.0</v>
      </c>
      <c r="B57" s="15">
        <v>46222.0</v>
      </c>
      <c r="C57" s="21" t="s">
        <v>215</v>
      </c>
      <c r="D57" s="34">
        <v>55.0</v>
      </c>
      <c r="E57" s="21" t="s">
        <v>8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13">
        <v>57.0</v>
      </c>
      <c r="B58" s="15">
        <v>46223.0</v>
      </c>
      <c r="C58" s="21" t="s">
        <v>149</v>
      </c>
      <c r="D58" s="21" t="s">
        <v>149</v>
      </c>
      <c r="E58" s="21" t="s">
        <v>149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13">
        <v>58.0</v>
      </c>
      <c r="B59" s="15">
        <v>46224.0</v>
      </c>
      <c r="C59" s="21" t="s">
        <v>223</v>
      </c>
      <c r="D59" s="21">
        <v>43.0</v>
      </c>
      <c r="E59" s="21" t="s">
        <v>8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13">
        <v>59.0</v>
      </c>
      <c r="B60" s="15">
        <v>46225.0</v>
      </c>
      <c r="C60" s="21" t="s">
        <v>226</v>
      </c>
      <c r="D60" s="21">
        <v>43.0</v>
      </c>
      <c r="E60" s="21" t="s">
        <v>8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13">
        <v>60.0</v>
      </c>
      <c r="B61" s="15">
        <v>46226.0</v>
      </c>
      <c r="C61" s="21" t="s">
        <v>231</v>
      </c>
      <c r="D61" s="34">
        <v>56.0</v>
      </c>
      <c r="E61" s="21" t="s">
        <v>8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13">
        <v>60.0</v>
      </c>
      <c r="B62" s="76"/>
      <c r="C62" s="76"/>
      <c r="D62" s="76"/>
      <c r="E62" s="76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1.88"/>
    <col customWidth="1" min="4" max="4" width="17.25"/>
    <col customWidth="1" min="5" max="10" width="12.75"/>
  </cols>
  <sheetData>
    <row r="1">
      <c r="A1" s="5"/>
      <c r="B1" s="5"/>
      <c r="C1" s="5"/>
      <c r="D1" s="10">
        <v>1.0</v>
      </c>
      <c r="E1" s="10">
        <v>2.0</v>
      </c>
      <c r="F1" s="10">
        <v>3.0</v>
      </c>
      <c r="G1" s="12">
        <v>4.0</v>
      </c>
      <c r="H1" s="12">
        <v>5.0</v>
      </c>
      <c r="I1" s="10">
        <v>3.0</v>
      </c>
      <c r="J1" s="12">
        <v>5.0</v>
      </c>
      <c r="K1" s="16"/>
      <c r="L1" s="16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18" t="s">
        <v>9</v>
      </c>
      <c r="B2" s="18" t="s">
        <v>10</v>
      </c>
      <c r="C2" s="18" t="s">
        <v>11</v>
      </c>
      <c r="D2" s="19" t="s">
        <v>12</v>
      </c>
      <c r="E2" s="19" t="s">
        <v>13</v>
      </c>
      <c r="F2" s="19" t="s">
        <v>14</v>
      </c>
      <c r="G2" s="20" t="s">
        <v>16</v>
      </c>
      <c r="H2" s="20" t="s">
        <v>17</v>
      </c>
      <c r="I2" s="22" t="s">
        <v>18</v>
      </c>
      <c r="J2" s="24" t="s">
        <v>20</v>
      </c>
      <c r="K2" s="25" t="s">
        <v>22</v>
      </c>
      <c r="L2" s="8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28">
        <v>1.0</v>
      </c>
      <c r="B3" s="28" t="s">
        <v>25</v>
      </c>
      <c r="C3" s="28" t="s">
        <v>26</v>
      </c>
      <c r="D3" s="29" t="s">
        <v>27</v>
      </c>
      <c r="E3" s="29" t="s">
        <v>27</v>
      </c>
      <c r="F3" s="30" t="s">
        <v>29</v>
      </c>
      <c r="G3" s="30">
        <v>100.0</v>
      </c>
      <c r="H3" s="30">
        <v>28.0</v>
      </c>
      <c r="I3" s="30" t="s">
        <v>29</v>
      </c>
      <c r="J3" s="30">
        <v>28.0</v>
      </c>
      <c r="K3" s="36">
        <f>Countif(D3:J3,"Absent")</f>
        <v>2</v>
      </c>
      <c r="L3" s="8"/>
      <c r="M3" s="38" t="str">
        <f>IFERROR(__xludf.DUMMYFUNCTION("TEXTJOIN("", "",TRUE,FILTER(D$1:H$1, D3:H3=""Absent""))"),"1, 2")</f>
        <v>1, 2</v>
      </c>
      <c r="N3" s="3">
        <f t="shared" ref="N3:N82" si="1">countif(D3:H3,"Absent")</f>
        <v>2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28">
        <v>2.0</v>
      </c>
      <c r="B4" s="40" t="s">
        <v>41</v>
      </c>
      <c r="C4" s="42" t="s">
        <v>44</v>
      </c>
      <c r="D4" s="43" t="s">
        <v>45</v>
      </c>
      <c r="E4" s="30" t="s">
        <v>46</v>
      </c>
      <c r="F4" s="30" t="s">
        <v>29</v>
      </c>
      <c r="G4" s="30">
        <v>95.0</v>
      </c>
      <c r="H4" s="30">
        <v>24.0</v>
      </c>
      <c r="I4" s="45" t="s">
        <v>48</v>
      </c>
      <c r="J4" s="30">
        <v>24.0</v>
      </c>
      <c r="K4" s="46"/>
      <c r="L4" s="46"/>
      <c r="M4" s="38" t="str">
        <f>IFERROR(__xludf.DUMMYFUNCTION("TEXTJOIN("", "",TRUE,FILTER(D$1:H$1, D4:H4=""Absent""))"),"#N/A")</f>
        <v>#N/A</v>
      </c>
      <c r="N4" s="3">
        <f t="shared" si="1"/>
        <v>0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28">
        <v>3.0</v>
      </c>
      <c r="B5" s="28" t="s">
        <v>52</v>
      </c>
      <c r="C5" s="47" t="s">
        <v>53</v>
      </c>
      <c r="D5" s="43" t="s">
        <v>45</v>
      </c>
      <c r="E5" s="30" t="s">
        <v>46</v>
      </c>
      <c r="F5" s="30" t="s">
        <v>29</v>
      </c>
      <c r="G5" s="30">
        <v>94.0</v>
      </c>
      <c r="H5" s="30">
        <v>30.0</v>
      </c>
      <c r="I5" s="30" t="s">
        <v>29</v>
      </c>
      <c r="J5" s="30">
        <v>30.0</v>
      </c>
      <c r="K5" s="36">
        <f t="shared" ref="K5:K19" si="2">Countif(D5:H5,"Absent")</f>
        <v>0</v>
      </c>
      <c r="L5" s="8"/>
      <c r="M5" s="38" t="str">
        <f>IFERROR(__xludf.DUMMYFUNCTION("TEXTJOIN("", "",TRUE,FILTER(D$1:H$1, D5:H5=""Absent""))"),"#N/A")</f>
        <v>#N/A</v>
      </c>
      <c r="N5" s="3">
        <f t="shared" si="1"/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28">
        <v>4.0</v>
      </c>
      <c r="B6" s="28" t="s">
        <v>57</v>
      </c>
      <c r="C6" s="47" t="s">
        <v>58</v>
      </c>
      <c r="D6" s="43" t="s">
        <v>59</v>
      </c>
      <c r="E6" s="30" t="s">
        <v>59</v>
      </c>
      <c r="F6" s="30" t="s">
        <v>29</v>
      </c>
      <c r="G6" s="30">
        <v>91.0</v>
      </c>
      <c r="H6" s="30">
        <v>27.0</v>
      </c>
      <c r="I6" s="30" t="s">
        <v>29</v>
      </c>
      <c r="J6" s="30">
        <v>27.0</v>
      </c>
      <c r="K6" s="36">
        <f t="shared" si="2"/>
        <v>0</v>
      </c>
      <c r="L6" s="8"/>
      <c r="M6" s="38" t="str">
        <f>IFERROR(__xludf.DUMMYFUNCTION("TEXTJOIN("", "",TRUE,FILTER(D$1:H$1, D6:H6=""Absent""))"),"#N/A")</f>
        <v>#N/A</v>
      </c>
      <c r="N6" s="3">
        <f t="shared" si="1"/>
        <v>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28">
        <v>5.0</v>
      </c>
      <c r="B7" s="28" t="s">
        <v>63</v>
      </c>
      <c r="C7" s="47" t="s">
        <v>64</v>
      </c>
      <c r="D7" s="43" t="s">
        <v>46</v>
      </c>
      <c r="E7" s="30" t="s">
        <v>46</v>
      </c>
      <c r="F7" s="30" t="s">
        <v>48</v>
      </c>
      <c r="G7" s="30">
        <v>86.0</v>
      </c>
      <c r="H7" s="30">
        <v>22.0</v>
      </c>
      <c r="I7" s="30" t="s">
        <v>48</v>
      </c>
      <c r="J7" s="30">
        <v>22.0</v>
      </c>
      <c r="K7" s="36">
        <f t="shared" si="2"/>
        <v>0</v>
      </c>
      <c r="L7" s="8"/>
      <c r="M7" s="38" t="str">
        <f>IFERROR(__xludf.DUMMYFUNCTION("TEXTJOIN("", "",TRUE,FILTER(D$1:H$1, D7:H7=""Absent""))"),"#N/A")</f>
        <v>#N/A</v>
      </c>
      <c r="N7" s="3">
        <f t="shared" si="1"/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28">
        <v>6.0</v>
      </c>
      <c r="B8" s="28" t="s">
        <v>67</v>
      </c>
      <c r="C8" s="28" t="s">
        <v>68</v>
      </c>
      <c r="D8" s="43" t="s">
        <v>70</v>
      </c>
      <c r="E8" s="30" t="s">
        <v>71</v>
      </c>
      <c r="F8" s="29" t="s">
        <v>27</v>
      </c>
      <c r="G8" s="29" t="s">
        <v>27</v>
      </c>
      <c r="H8" s="29" t="s">
        <v>27</v>
      </c>
      <c r="I8" s="29" t="s">
        <v>27</v>
      </c>
      <c r="J8" s="29" t="s">
        <v>27</v>
      </c>
      <c r="K8" s="36">
        <f t="shared" si="2"/>
        <v>3</v>
      </c>
      <c r="L8" s="8"/>
      <c r="M8" s="38" t="str">
        <f>IFERROR(__xludf.DUMMYFUNCTION("TEXTJOIN("", "",TRUE,FILTER(D$1:H$1, D8:H8=""Absent""))"),"3, 4, 5")</f>
        <v>3, 4, 5</v>
      </c>
      <c r="N8" s="3">
        <f t="shared" si="1"/>
        <v>3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28">
        <v>7.0</v>
      </c>
      <c r="B9" s="28" t="s">
        <v>74</v>
      </c>
      <c r="C9" s="28" t="s">
        <v>76</v>
      </c>
      <c r="D9" s="49" t="s">
        <v>27</v>
      </c>
      <c r="E9" s="29" t="s">
        <v>27</v>
      </c>
      <c r="F9" s="30" t="s">
        <v>29</v>
      </c>
      <c r="G9" s="30">
        <v>41.0</v>
      </c>
      <c r="H9" s="30">
        <v>29.0</v>
      </c>
      <c r="I9" s="30" t="s">
        <v>29</v>
      </c>
      <c r="J9" s="30">
        <v>29.0</v>
      </c>
      <c r="K9" s="36">
        <f t="shared" si="2"/>
        <v>2</v>
      </c>
      <c r="L9" s="8"/>
      <c r="M9" s="38" t="str">
        <f>IFERROR(__xludf.DUMMYFUNCTION("TEXTJOIN("", "",TRUE,FILTER(D$1:H$1, D9:H9=""Absent""))"),"1, 2")</f>
        <v>1, 2</v>
      </c>
      <c r="N9" s="3">
        <f t="shared" si="1"/>
        <v>2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28">
        <v>8.0</v>
      </c>
      <c r="B10" s="28" t="s">
        <v>86</v>
      </c>
      <c r="C10" s="28" t="s">
        <v>87</v>
      </c>
      <c r="D10" s="43" t="s">
        <v>89</v>
      </c>
      <c r="E10" s="30" t="s">
        <v>90</v>
      </c>
      <c r="F10" s="30" t="s">
        <v>48</v>
      </c>
      <c r="G10" s="30">
        <v>61.0</v>
      </c>
      <c r="H10" s="30">
        <v>25.0</v>
      </c>
      <c r="I10" s="30" t="s">
        <v>48</v>
      </c>
      <c r="J10" s="30">
        <v>25.0</v>
      </c>
      <c r="K10" s="36">
        <f t="shared" si="2"/>
        <v>0</v>
      </c>
      <c r="L10" s="8"/>
      <c r="M10" s="38" t="str">
        <f>IFERROR(__xludf.DUMMYFUNCTION("TEXTJOIN("", "",TRUE,FILTER(D$1:H$1, D10:H10=""Absent""))"),"#N/A")</f>
        <v>#N/A</v>
      </c>
      <c r="N10" s="3">
        <f t="shared" si="1"/>
        <v>0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28">
        <v>9.0</v>
      </c>
      <c r="B11" s="28" t="s">
        <v>94</v>
      </c>
      <c r="C11" s="28" t="s">
        <v>95</v>
      </c>
      <c r="D11" s="49" t="s">
        <v>27</v>
      </c>
      <c r="E11" s="29" t="s">
        <v>27</v>
      </c>
      <c r="F11" s="29" t="s">
        <v>27</v>
      </c>
      <c r="G11" s="30">
        <v>99.0</v>
      </c>
      <c r="H11" s="30">
        <v>29.0</v>
      </c>
      <c r="I11" s="29" t="s">
        <v>27</v>
      </c>
      <c r="J11" s="30">
        <v>29.0</v>
      </c>
      <c r="K11" s="36">
        <f t="shared" si="2"/>
        <v>3</v>
      </c>
      <c r="L11" s="8"/>
      <c r="M11" s="38" t="str">
        <f>IFERROR(__xludf.DUMMYFUNCTION("TEXTJOIN("", "",TRUE,FILTER(D$1:H$1, D11:H11=""Absent""))"),"1, 2, 3")</f>
        <v>1, 2, 3</v>
      </c>
      <c r="N11" s="3">
        <f t="shared" si="1"/>
        <v>3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28">
        <v>10.0</v>
      </c>
      <c r="B12" s="28" t="s">
        <v>94</v>
      </c>
      <c r="C12" s="28" t="s">
        <v>98</v>
      </c>
      <c r="D12" s="43" t="s">
        <v>99</v>
      </c>
      <c r="E12" s="30" t="s">
        <v>99</v>
      </c>
      <c r="F12" s="29" t="s">
        <v>27</v>
      </c>
      <c r="G12" s="30">
        <v>99.0</v>
      </c>
      <c r="H12" s="30">
        <v>26.0</v>
      </c>
      <c r="I12" s="29" t="s">
        <v>27</v>
      </c>
      <c r="J12" s="30">
        <v>26.0</v>
      </c>
      <c r="K12" s="36">
        <f t="shared" si="2"/>
        <v>1</v>
      </c>
      <c r="L12" s="8"/>
      <c r="M12" s="38" t="str">
        <f>IFERROR(__xludf.DUMMYFUNCTION("TEXTJOIN("", "",TRUE,FILTER(D$1:H$1, D12:H12=""Absent""))"),"3")</f>
        <v>3</v>
      </c>
      <c r="N12" s="3">
        <f t="shared" si="1"/>
        <v>1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28">
        <v>11.0</v>
      </c>
      <c r="B13" s="28" t="s">
        <v>103</v>
      </c>
      <c r="C13" s="28" t="s">
        <v>104</v>
      </c>
      <c r="D13" s="43" t="s">
        <v>46</v>
      </c>
      <c r="E13" s="30" t="s">
        <v>46</v>
      </c>
      <c r="F13" s="30" t="s">
        <v>106</v>
      </c>
      <c r="G13" s="30">
        <v>94.0</v>
      </c>
      <c r="H13" s="30">
        <v>26.0</v>
      </c>
      <c r="I13" s="30" t="s">
        <v>106</v>
      </c>
      <c r="J13" s="30">
        <v>26.0</v>
      </c>
      <c r="K13" s="36">
        <f t="shared" si="2"/>
        <v>0</v>
      </c>
      <c r="L13" s="8"/>
      <c r="M13" s="38" t="str">
        <f>IFERROR(__xludf.DUMMYFUNCTION("TEXTJOIN("", "",TRUE,FILTER(D$1:H$1, D13:H13=""Absent""))"),"#N/A")</f>
        <v>#N/A</v>
      </c>
      <c r="N13" s="3">
        <f t="shared" si="1"/>
        <v>0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28">
        <v>12.0</v>
      </c>
      <c r="B14" s="28" t="s">
        <v>110</v>
      </c>
      <c r="C14" s="28" t="s">
        <v>111</v>
      </c>
      <c r="D14" s="49" t="s">
        <v>27</v>
      </c>
      <c r="E14" s="29" t="s">
        <v>27</v>
      </c>
      <c r="F14" s="30" t="s">
        <v>29</v>
      </c>
      <c r="G14" s="29" t="s">
        <v>27</v>
      </c>
      <c r="H14" s="30">
        <v>28.0</v>
      </c>
      <c r="I14" s="30" t="s">
        <v>29</v>
      </c>
      <c r="J14" s="30">
        <v>28.0</v>
      </c>
      <c r="K14" s="36">
        <f t="shared" si="2"/>
        <v>3</v>
      </c>
      <c r="L14" s="8"/>
      <c r="M14" s="38" t="str">
        <f>IFERROR(__xludf.DUMMYFUNCTION("TEXTJOIN("", "",TRUE,FILTER(D$1:H$1, D14:H14=""Absent""))"),"1, 2, 4")</f>
        <v>1, 2, 4</v>
      </c>
      <c r="N14" s="3">
        <f t="shared" si="1"/>
        <v>3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28">
        <v>13.0</v>
      </c>
      <c r="B15" s="28" t="s">
        <v>116</v>
      </c>
      <c r="C15" s="28" t="s">
        <v>117</v>
      </c>
      <c r="D15" s="43" t="s">
        <v>99</v>
      </c>
      <c r="E15" s="30" t="s">
        <v>99</v>
      </c>
      <c r="F15" s="30" t="s">
        <v>29</v>
      </c>
      <c r="G15" s="30">
        <v>90.0</v>
      </c>
      <c r="H15" s="30">
        <v>23.0</v>
      </c>
      <c r="I15" s="30" t="s">
        <v>29</v>
      </c>
      <c r="J15" s="30">
        <v>23.0</v>
      </c>
      <c r="K15" s="36">
        <f t="shared" si="2"/>
        <v>0</v>
      </c>
      <c r="L15" s="8"/>
      <c r="M15" s="38" t="str">
        <f>IFERROR(__xludf.DUMMYFUNCTION("TEXTJOIN("", "",TRUE,FILTER(D$1:H$1, D15:H15=""Absent""))"),"#N/A")</f>
        <v>#N/A</v>
      </c>
      <c r="N15" s="3">
        <f t="shared" si="1"/>
        <v>0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28">
        <v>14.0</v>
      </c>
      <c r="B16" s="28" t="s">
        <v>120</v>
      </c>
      <c r="C16" s="28" t="s">
        <v>121</v>
      </c>
      <c r="D16" s="49" t="s">
        <v>27</v>
      </c>
      <c r="E16" s="29" t="s">
        <v>27</v>
      </c>
      <c r="F16" s="30" t="s">
        <v>122</v>
      </c>
      <c r="G16" s="30">
        <v>81.0</v>
      </c>
      <c r="H16" s="30">
        <v>24.0</v>
      </c>
      <c r="I16" s="30" t="s">
        <v>122</v>
      </c>
      <c r="J16" s="30">
        <v>24.0</v>
      </c>
      <c r="K16" s="36">
        <f t="shared" si="2"/>
        <v>2</v>
      </c>
      <c r="L16" s="8"/>
      <c r="M16" s="38" t="str">
        <f>IFERROR(__xludf.DUMMYFUNCTION("TEXTJOIN("", "",TRUE,FILTER(D$1:H$1, D16:H16=""Absent""))"),"1, 2")</f>
        <v>1, 2</v>
      </c>
      <c r="N16" s="3">
        <f t="shared" si="1"/>
        <v>2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28">
        <v>15.0</v>
      </c>
      <c r="B17" s="28" t="s">
        <v>128</v>
      </c>
      <c r="C17" s="28" t="s">
        <v>129</v>
      </c>
      <c r="D17" s="43" t="s">
        <v>131</v>
      </c>
      <c r="E17" s="30" t="s">
        <v>131</v>
      </c>
      <c r="F17" s="29" t="s">
        <v>27</v>
      </c>
      <c r="G17" s="30">
        <v>71.0</v>
      </c>
      <c r="H17" s="30">
        <v>30.0</v>
      </c>
      <c r="I17" s="29" t="s">
        <v>27</v>
      </c>
      <c r="J17" s="30">
        <v>30.0</v>
      </c>
      <c r="K17" s="36">
        <f t="shared" si="2"/>
        <v>1</v>
      </c>
      <c r="L17" s="8"/>
      <c r="M17" s="38" t="str">
        <f>IFERROR(__xludf.DUMMYFUNCTION("TEXTJOIN("", "",TRUE,FILTER(D$1:H$1, D17:H17=""Absent""))"),"3")</f>
        <v>3</v>
      </c>
      <c r="N17" s="3">
        <f t="shared" si="1"/>
        <v>1</v>
      </c>
      <c r="O17" s="58"/>
      <c r="P17" s="58"/>
      <c r="Q17" s="33"/>
      <c r="R17" s="33"/>
      <c r="S17" s="33"/>
      <c r="T17" s="33"/>
      <c r="U17" s="33"/>
      <c r="V17" s="33"/>
      <c r="W17" s="33"/>
      <c r="X17" s="33"/>
      <c r="Y17" s="3"/>
      <c r="Z17" s="3"/>
      <c r="AA17" s="3"/>
    </row>
    <row r="18">
      <c r="A18" s="28">
        <v>16.0</v>
      </c>
      <c r="B18" s="28" t="s">
        <v>135</v>
      </c>
      <c r="C18" s="28" t="s">
        <v>137</v>
      </c>
      <c r="D18" s="43" t="s">
        <v>59</v>
      </c>
      <c r="E18" s="30" t="s">
        <v>59</v>
      </c>
      <c r="F18" s="30" t="s">
        <v>29</v>
      </c>
      <c r="G18" s="30">
        <v>91.0</v>
      </c>
      <c r="H18" s="30">
        <v>27.0</v>
      </c>
      <c r="I18" s="30" t="s">
        <v>29</v>
      </c>
      <c r="J18" s="30">
        <v>27.0</v>
      </c>
      <c r="K18" s="36">
        <f t="shared" si="2"/>
        <v>0</v>
      </c>
      <c r="L18" s="8"/>
      <c r="M18" s="38" t="str">
        <f>IFERROR(__xludf.DUMMYFUNCTION("TEXTJOIN("", "",TRUE,FILTER(D$1:H$1, D18:H18=""Absent""))"),"#N/A")</f>
        <v>#N/A</v>
      </c>
      <c r="N18" s="3">
        <f t="shared" si="1"/>
        <v>0</v>
      </c>
      <c r="O18" s="62"/>
      <c r="P18" s="62"/>
      <c r="Q18" s="33"/>
      <c r="R18" s="33"/>
      <c r="S18" s="33"/>
      <c r="T18" s="33"/>
      <c r="U18" s="33"/>
      <c r="V18" s="33"/>
      <c r="W18" s="33"/>
      <c r="X18" s="33"/>
      <c r="Y18" s="3"/>
      <c r="Z18" s="3"/>
      <c r="AA18" s="3"/>
    </row>
    <row r="19">
      <c r="A19" s="28">
        <v>17.0</v>
      </c>
      <c r="B19" s="28" t="s">
        <v>141</v>
      </c>
      <c r="C19" s="28" t="s">
        <v>142</v>
      </c>
      <c r="D19" s="43" t="s">
        <v>46</v>
      </c>
      <c r="E19" s="30" t="s">
        <v>46</v>
      </c>
      <c r="F19" s="30" t="s">
        <v>29</v>
      </c>
      <c r="G19" s="30">
        <v>84.0</v>
      </c>
      <c r="H19" s="30">
        <v>22.0</v>
      </c>
      <c r="I19" s="30" t="s">
        <v>29</v>
      </c>
      <c r="J19" s="30">
        <v>22.0</v>
      </c>
      <c r="K19" s="36">
        <f t="shared" si="2"/>
        <v>0</v>
      </c>
      <c r="L19" s="8"/>
      <c r="M19" s="38" t="str">
        <f>IFERROR(__xludf.DUMMYFUNCTION("TEXTJOIN("", "",TRUE,FILTER(D$1:H$1, D19:H19=""Absent""))"),"#N/A")</f>
        <v>#N/A</v>
      </c>
      <c r="N19" s="3">
        <f t="shared" si="1"/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28">
        <v>18.0</v>
      </c>
      <c r="B20" s="64" t="s">
        <v>147</v>
      </c>
      <c r="C20" s="64" t="s">
        <v>148</v>
      </c>
      <c r="D20" s="43" t="s">
        <v>46</v>
      </c>
      <c r="E20" s="30" t="s">
        <v>46</v>
      </c>
      <c r="F20" s="30" t="s">
        <v>29</v>
      </c>
      <c r="G20" s="30">
        <v>84.0</v>
      </c>
      <c r="H20" s="30">
        <v>29.0</v>
      </c>
      <c r="I20" s="30" t="s">
        <v>29</v>
      </c>
      <c r="J20" s="30">
        <v>29.0</v>
      </c>
      <c r="K20" s="46"/>
      <c r="L20" s="46"/>
      <c r="M20" s="38" t="str">
        <f>IFERROR(__xludf.DUMMYFUNCTION("TEXTJOIN("", "",TRUE,FILTER(D$1:H$1, D20:H20=""Absent""))"),"#N/A")</f>
        <v>#N/A</v>
      </c>
      <c r="N20" s="3">
        <f t="shared" si="1"/>
        <v>0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28">
        <v>19.0</v>
      </c>
      <c r="B21" s="28" t="s">
        <v>153</v>
      </c>
      <c r="C21" s="28" t="s">
        <v>154</v>
      </c>
      <c r="D21" s="49" t="s">
        <v>27</v>
      </c>
      <c r="E21" s="29" t="s">
        <v>27</v>
      </c>
      <c r="F21" s="29" t="s">
        <v>27</v>
      </c>
      <c r="G21" s="29" t="s">
        <v>27</v>
      </c>
      <c r="H21" s="29" t="s">
        <v>27</v>
      </c>
      <c r="I21" s="29" t="s">
        <v>27</v>
      </c>
      <c r="J21" s="29" t="s">
        <v>27</v>
      </c>
      <c r="K21" s="36">
        <f t="shared" ref="K21:K22" si="3">Countif(D21:H21,"Absent")</f>
        <v>5</v>
      </c>
      <c r="L21" s="8"/>
      <c r="M21" s="38" t="str">
        <f>IFERROR(__xludf.DUMMYFUNCTION("TEXTJOIN("", "",TRUE,FILTER(D$1:H$1, D21:H21=""Absent""))"),"1, 2, 3, 4, 5")</f>
        <v>1, 2, 3, 4, 5</v>
      </c>
      <c r="N21" s="3">
        <f t="shared" si="1"/>
        <v>5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28">
        <v>20.0</v>
      </c>
      <c r="B22" s="28" t="s">
        <v>159</v>
      </c>
      <c r="C22" s="28" t="s">
        <v>161</v>
      </c>
      <c r="D22" s="43" t="s">
        <v>99</v>
      </c>
      <c r="E22" s="30" t="s">
        <v>99</v>
      </c>
      <c r="F22" s="30" t="s">
        <v>29</v>
      </c>
      <c r="G22" s="30">
        <v>72.0</v>
      </c>
      <c r="H22" s="30">
        <v>26.0</v>
      </c>
      <c r="I22" s="30" t="s">
        <v>29</v>
      </c>
      <c r="J22" s="30">
        <v>26.0</v>
      </c>
      <c r="K22" s="36">
        <f t="shared" si="3"/>
        <v>0</v>
      </c>
      <c r="L22" s="8"/>
      <c r="M22" s="38" t="str">
        <f>IFERROR(__xludf.DUMMYFUNCTION("TEXTJOIN("", "",TRUE,FILTER(D$1:H$1, D22:H22=""Absent""))"),"#N/A")</f>
        <v>#N/A</v>
      </c>
      <c r="N22" s="3">
        <f t="shared" si="1"/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28">
        <v>21.0</v>
      </c>
      <c r="B23" s="28" t="s">
        <v>164</v>
      </c>
      <c r="C23" s="47" t="s">
        <v>165</v>
      </c>
      <c r="D23" s="43" t="s">
        <v>99</v>
      </c>
      <c r="E23" s="30" t="s">
        <v>99</v>
      </c>
      <c r="F23" s="30" t="s">
        <v>29</v>
      </c>
      <c r="G23" s="30">
        <v>72.0</v>
      </c>
      <c r="H23" s="30">
        <v>25.0</v>
      </c>
      <c r="I23" s="30" t="s">
        <v>29</v>
      </c>
      <c r="J23" s="30">
        <v>25.0</v>
      </c>
      <c r="K23" s="46"/>
      <c r="L23" s="46"/>
      <c r="M23" s="38" t="str">
        <f>IFERROR(__xludf.DUMMYFUNCTION("TEXTJOIN("", "",TRUE,FILTER(D$1:H$1, D23:H23=""Absent""))"),"#N/A")</f>
        <v>#N/A</v>
      </c>
      <c r="N23" s="3">
        <f t="shared" si="1"/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28">
        <v>22.0</v>
      </c>
      <c r="B24" s="28" t="s">
        <v>169</v>
      </c>
      <c r="C24" s="47" t="s">
        <v>170</v>
      </c>
      <c r="D24" s="43" t="s">
        <v>70</v>
      </c>
      <c r="E24" s="30" t="s">
        <v>71</v>
      </c>
      <c r="F24" s="30" t="s">
        <v>29</v>
      </c>
      <c r="G24" s="30">
        <v>100.0</v>
      </c>
      <c r="H24" s="30">
        <v>26.0</v>
      </c>
      <c r="I24" s="30" t="s">
        <v>29</v>
      </c>
      <c r="J24" s="30">
        <v>26.0</v>
      </c>
      <c r="K24" s="36">
        <f t="shared" ref="K24:K40" si="4">Countif(D24:H24,"Absent")</f>
        <v>0</v>
      </c>
      <c r="L24" s="8"/>
      <c r="M24" s="38" t="str">
        <f>IFERROR(__xludf.DUMMYFUNCTION("TEXTJOIN("", "",TRUE,FILTER(D$1:H$1, D24:H24=""Absent""))"),"#N/A")</f>
        <v>#N/A</v>
      </c>
      <c r="N24" s="3">
        <f t="shared" si="1"/>
        <v>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28">
        <v>23.0</v>
      </c>
      <c r="B25" s="28" t="s">
        <v>174</v>
      </c>
      <c r="C25" s="28" t="s">
        <v>175</v>
      </c>
      <c r="D25" s="49" t="s">
        <v>27</v>
      </c>
      <c r="E25" s="29" t="s">
        <v>27</v>
      </c>
      <c r="F25" s="29" t="s">
        <v>27</v>
      </c>
      <c r="G25" s="29" t="s">
        <v>27</v>
      </c>
      <c r="H25" s="29" t="s">
        <v>27</v>
      </c>
      <c r="I25" s="29" t="s">
        <v>27</v>
      </c>
      <c r="J25" s="29" t="s">
        <v>27</v>
      </c>
      <c r="K25" s="36">
        <f t="shared" si="4"/>
        <v>5</v>
      </c>
      <c r="L25" s="8"/>
      <c r="M25" s="38" t="str">
        <f>IFERROR(__xludf.DUMMYFUNCTION("TEXTJOIN("", "",TRUE,FILTER(D$1:H$1, D25:H25=""Absent""))"),"1, 2, 3, 4, 5")</f>
        <v>1, 2, 3, 4, 5</v>
      </c>
      <c r="N25" s="3">
        <f t="shared" si="1"/>
        <v>5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28">
        <v>24.0</v>
      </c>
      <c r="B26" s="28" t="s">
        <v>179</v>
      </c>
      <c r="C26" s="28" t="s">
        <v>180</v>
      </c>
      <c r="D26" s="49" t="s">
        <v>27</v>
      </c>
      <c r="E26" s="29" t="s">
        <v>27</v>
      </c>
      <c r="F26" s="30" t="s">
        <v>182</v>
      </c>
      <c r="G26" s="30">
        <v>48.0</v>
      </c>
      <c r="H26" s="30">
        <v>28.0</v>
      </c>
      <c r="I26" s="30" t="s">
        <v>182</v>
      </c>
      <c r="J26" s="30">
        <v>28.0</v>
      </c>
      <c r="K26" s="36">
        <f t="shared" si="4"/>
        <v>2</v>
      </c>
      <c r="L26" s="8"/>
      <c r="M26" s="38" t="str">
        <f>IFERROR(__xludf.DUMMYFUNCTION("TEXTJOIN("", "",TRUE,FILTER(D$1:H$1, D26:H26=""Absent""))"),"1, 2")</f>
        <v>1, 2</v>
      </c>
      <c r="N26" s="3">
        <f t="shared" si="1"/>
        <v>2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28">
        <v>25.0</v>
      </c>
      <c r="B27" s="28" t="s">
        <v>185</v>
      </c>
      <c r="C27" s="47" t="s">
        <v>186</v>
      </c>
      <c r="D27" s="43" t="s">
        <v>99</v>
      </c>
      <c r="E27" s="30" t="s">
        <v>99</v>
      </c>
      <c r="F27" s="29" t="s">
        <v>27</v>
      </c>
      <c r="G27" s="30">
        <v>96.0</v>
      </c>
      <c r="H27" s="30">
        <v>27.0</v>
      </c>
      <c r="I27" s="29" t="s">
        <v>27</v>
      </c>
      <c r="J27" s="30">
        <v>27.0</v>
      </c>
      <c r="K27" s="36">
        <f t="shared" si="4"/>
        <v>1</v>
      </c>
      <c r="L27" s="8"/>
      <c r="M27" s="38" t="str">
        <f>IFERROR(__xludf.DUMMYFUNCTION("TEXTJOIN("", "",TRUE,FILTER(D$1:H$1, D27:H27=""Absent""))"),"3")</f>
        <v>3</v>
      </c>
      <c r="N27" s="3">
        <f t="shared" si="1"/>
        <v>1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28">
        <v>26.0</v>
      </c>
      <c r="B28" s="28" t="s">
        <v>190</v>
      </c>
      <c r="C28" s="28" t="s">
        <v>191</v>
      </c>
      <c r="D28" s="43" t="s">
        <v>45</v>
      </c>
      <c r="E28" s="30" t="s">
        <v>45</v>
      </c>
      <c r="F28" s="30" t="s">
        <v>106</v>
      </c>
      <c r="G28" s="30">
        <v>86.0</v>
      </c>
      <c r="H28" s="30">
        <v>28.0</v>
      </c>
      <c r="I28" s="30" t="s">
        <v>106</v>
      </c>
      <c r="J28" s="30">
        <v>28.0</v>
      </c>
      <c r="K28" s="36">
        <f t="shared" si="4"/>
        <v>0</v>
      </c>
      <c r="L28" s="8"/>
      <c r="M28" s="38" t="str">
        <f>IFERROR(__xludf.DUMMYFUNCTION("TEXTJOIN("", "",TRUE,FILTER(D$1:H$1, D28:H28=""Absent""))"),"#N/A")</f>
        <v>#N/A</v>
      </c>
      <c r="N28" s="3">
        <f t="shared" si="1"/>
        <v>0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28">
        <v>27.0</v>
      </c>
      <c r="B29" s="28" t="s">
        <v>195</v>
      </c>
      <c r="C29" s="47" t="s">
        <v>196</v>
      </c>
      <c r="D29" s="49" t="s">
        <v>27</v>
      </c>
      <c r="E29" s="29" t="s">
        <v>27</v>
      </c>
      <c r="F29" s="30" t="s">
        <v>29</v>
      </c>
      <c r="G29" s="29" t="s">
        <v>27</v>
      </c>
      <c r="H29" s="30">
        <v>24.0</v>
      </c>
      <c r="I29" s="30" t="s">
        <v>29</v>
      </c>
      <c r="J29" s="30">
        <v>24.0</v>
      </c>
      <c r="K29" s="36">
        <f t="shared" si="4"/>
        <v>3</v>
      </c>
      <c r="L29" s="8"/>
      <c r="M29" s="38" t="str">
        <f>IFERROR(__xludf.DUMMYFUNCTION("TEXTJOIN("", "",TRUE,FILTER(D$1:H$1, D29:H29=""Absent""))"),"1, 2, 4")</f>
        <v>1, 2, 4</v>
      </c>
      <c r="N29" s="3">
        <f t="shared" si="1"/>
        <v>3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28">
        <v>28.0</v>
      </c>
      <c r="B30" s="28" t="s">
        <v>199</v>
      </c>
      <c r="C30" s="47" t="s">
        <v>200</v>
      </c>
      <c r="D30" s="49" t="s">
        <v>27</v>
      </c>
      <c r="E30" s="29" t="s">
        <v>27</v>
      </c>
      <c r="F30" s="29" t="s">
        <v>27</v>
      </c>
      <c r="G30" s="29" t="s">
        <v>27</v>
      </c>
      <c r="H30" s="30">
        <v>30.0</v>
      </c>
      <c r="I30" s="29" t="s">
        <v>27</v>
      </c>
      <c r="J30" s="30">
        <v>30.0</v>
      </c>
      <c r="K30" s="36">
        <f t="shared" si="4"/>
        <v>4</v>
      </c>
      <c r="L30" s="8"/>
      <c r="M30" s="38" t="str">
        <f>IFERROR(__xludf.DUMMYFUNCTION("TEXTJOIN("", "",TRUE,FILTER(D$1:H$1, D30:H30=""Absent""))"),"1, 2, 3, 4")</f>
        <v>1, 2, 3, 4</v>
      </c>
      <c r="N30" s="3">
        <f t="shared" si="1"/>
        <v>4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28">
        <v>29.0</v>
      </c>
      <c r="B31" s="28" t="s">
        <v>204</v>
      </c>
      <c r="C31" s="28" t="s">
        <v>205</v>
      </c>
      <c r="D31" s="49" t="s">
        <v>27</v>
      </c>
      <c r="E31" s="29" t="s">
        <v>27</v>
      </c>
      <c r="F31" s="29" t="s">
        <v>27</v>
      </c>
      <c r="G31" s="29" t="s">
        <v>27</v>
      </c>
      <c r="H31" s="29" t="s">
        <v>27</v>
      </c>
      <c r="I31" s="29" t="s">
        <v>27</v>
      </c>
      <c r="J31" s="29" t="s">
        <v>27</v>
      </c>
      <c r="K31" s="36">
        <f t="shared" si="4"/>
        <v>5</v>
      </c>
      <c r="L31" s="8"/>
      <c r="M31" s="38" t="str">
        <f>IFERROR(__xludf.DUMMYFUNCTION("TEXTJOIN("", "",TRUE,FILTER(D$1:H$1, D31:H31=""Absent""))"),"1, 2, 3, 4, 5")</f>
        <v>1, 2, 3, 4, 5</v>
      </c>
      <c r="N31" s="3">
        <f t="shared" si="1"/>
        <v>5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28">
        <v>30.0</v>
      </c>
      <c r="B32" s="28" t="s">
        <v>210</v>
      </c>
      <c r="C32" s="28" t="s">
        <v>211</v>
      </c>
      <c r="D32" s="49" t="s">
        <v>27</v>
      </c>
      <c r="E32" s="29" t="s">
        <v>27</v>
      </c>
      <c r="F32" s="29" t="s">
        <v>27</v>
      </c>
      <c r="G32" s="29" t="s">
        <v>27</v>
      </c>
      <c r="H32" s="29" t="s">
        <v>27</v>
      </c>
      <c r="I32" s="29" t="s">
        <v>27</v>
      </c>
      <c r="J32" s="29" t="s">
        <v>27</v>
      </c>
      <c r="K32" s="36">
        <f t="shared" si="4"/>
        <v>5</v>
      </c>
      <c r="L32" s="8"/>
      <c r="M32" s="38" t="str">
        <f>IFERROR(__xludf.DUMMYFUNCTION("TEXTJOIN("", "",TRUE,FILTER(D$1:H$1, D32:H32=""Absent""))"),"1, 2, 3, 4, 5")</f>
        <v>1, 2, 3, 4, 5</v>
      </c>
      <c r="N32" s="3">
        <f t="shared" si="1"/>
        <v>5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28">
        <v>31.0</v>
      </c>
      <c r="B33" s="28" t="s">
        <v>214</v>
      </c>
      <c r="C33" s="28" t="s">
        <v>216</v>
      </c>
      <c r="D33" s="43" t="s">
        <v>131</v>
      </c>
      <c r="E33" s="30" t="s">
        <v>131</v>
      </c>
      <c r="F33" s="30" t="s">
        <v>29</v>
      </c>
      <c r="G33" s="30">
        <v>86.0</v>
      </c>
      <c r="H33" s="30">
        <v>27.0</v>
      </c>
      <c r="I33" s="30" t="s">
        <v>29</v>
      </c>
      <c r="J33" s="30">
        <v>27.0</v>
      </c>
      <c r="K33" s="36">
        <f t="shared" si="4"/>
        <v>0</v>
      </c>
      <c r="L33" s="8"/>
      <c r="M33" s="38" t="str">
        <f>IFERROR(__xludf.DUMMYFUNCTION("TEXTJOIN("", "",TRUE,FILTER(D$1:H$1, D33:H33=""Absent""))"),"#N/A")</f>
        <v>#N/A</v>
      </c>
      <c r="N33" s="3">
        <f t="shared" si="1"/>
        <v>0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28">
        <v>32.0</v>
      </c>
      <c r="B34" s="28" t="s">
        <v>219</v>
      </c>
      <c r="C34" s="28" t="s">
        <v>220</v>
      </c>
      <c r="D34" s="43" t="s">
        <v>221</v>
      </c>
      <c r="E34" s="30" t="s">
        <v>222</v>
      </c>
      <c r="F34" s="30" t="s">
        <v>224</v>
      </c>
      <c r="G34" s="30">
        <v>80.0</v>
      </c>
      <c r="H34" s="30">
        <v>27.0</v>
      </c>
      <c r="I34" s="30" t="s">
        <v>224</v>
      </c>
      <c r="J34" s="30">
        <v>27.0</v>
      </c>
      <c r="K34" s="36">
        <f t="shared" si="4"/>
        <v>0</v>
      </c>
      <c r="L34" s="8"/>
      <c r="M34" s="38" t="str">
        <f>IFERROR(__xludf.DUMMYFUNCTION("TEXTJOIN("", "",TRUE,FILTER(D$1:H$1, D34:H34=""Absent""))"),"#N/A")</f>
        <v>#N/A</v>
      </c>
      <c r="N34" s="3">
        <f t="shared" si="1"/>
        <v>0</v>
      </c>
      <c r="O34" s="2"/>
      <c r="P34" s="2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28">
        <v>33.0</v>
      </c>
      <c r="B35" s="28" t="s">
        <v>228</v>
      </c>
      <c r="C35" s="47" t="s">
        <v>229</v>
      </c>
      <c r="D35" s="49" t="s">
        <v>27</v>
      </c>
      <c r="E35" s="29" t="s">
        <v>27</v>
      </c>
      <c r="F35" s="30" t="s">
        <v>106</v>
      </c>
      <c r="G35" s="46" t="s">
        <v>230</v>
      </c>
      <c r="H35" s="30">
        <v>23.0</v>
      </c>
      <c r="I35" s="30" t="s">
        <v>106</v>
      </c>
      <c r="J35" s="30">
        <v>23.0</v>
      </c>
      <c r="K35" s="36">
        <f t="shared" si="4"/>
        <v>2</v>
      </c>
      <c r="L35" s="8"/>
      <c r="M35" s="38" t="str">
        <f>IFERROR(__xludf.DUMMYFUNCTION("TEXTJOIN("", "",TRUE,FILTER(D$1:H$1, D35:H35=""Absent""))"),"1, 2")</f>
        <v>1, 2</v>
      </c>
      <c r="N35" s="3">
        <f t="shared" si="1"/>
        <v>2</v>
      </c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28">
        <v>34.0</v>
      </c>
      <c r="B36" s="28" t="s">
        <v>233</v>
      </c>
      <c r="C36" s="28" t="s">
        <v>235</v>
      </c>
      <c r="D36" s="49" t="s">
        <v>27</v>
      </c>
      <c r="E36" s="29" t="s">
        <v>27</v>
      </c>
      <c r="F36" s="30" t="s">
        <v>48</v>
      </c>
      <c r="G36" s="30">
        <v>61.0</v>
      </c>
      <c r="H36" s="30">
        <v>29.0</v>
      </c>
      <c r="I36" s="30" t="s">
        <v>48</v>
      </c>
      <c r="J36" s="30">
        <v>29.0</v>
      </c>
      <c r="K36" s="36">
        <f t="shared" si="4"/>
        <v>2</v>
      </c>
      <c r="L36" s="8"/>
      <c r="M36" s="38" t="str">
        <f>IFERROR(__xludf.DUMMYFUNCTION("TEXTJOIN("", "",TRUE,FILTER(D$1:H$1, D36:H36=""Absent""))"),"1, 2")</f>
        <v>1, 2</v>
      </c>
      <c r="N36" s="3">
        <f t="shared" si="1"/>
        <v>2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28">
        <v>35.0</v>
      </c>
      <c r="B37" s="28" t="s">
        <v>237</v>
      </c>
      <c r="C37" s="28" t="s">
        <v>238</v>
      </c>
      <c r="D37" s="43" t="s">
        <v>99</v>
      </c>
      <c r="E37" s="30" t="s">
        <v>99</v>
      </c>
      <c r="F37" s="30" t="s">
        <v>29</v>
      </c>
      <c r="G37" s="30">
        <v>86.0</v>
      </c>
      <c r="H37" s="30">
        <v>25.0</v>
      </c>
      <c r="I37" s="30" t="s">
        <v>29</v>
      </c>
      <c r="J37" s="30">
        <v>25.0</v>
      </c>
      <c r="K37" s="36">
        <f t="shared" si="4"/>
        <v>0</v>
      </c>
      <c r="L37" s="8"/>
      <c r="M37" s="38" t="str">
        <f>IFERROR(__xludf.DUMMYFUNCTION("TEXTJOIN("", "",TRUE,FILTER(D$1:H$1, D37:H37=""Absent""))"),"#N/A")</f>
        <v>#N/A</v>
      </c>
      <c r="N37" s="3">
        <f t="shared" si="1"/>
        <v>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28">
        <v>36.0</v>
      </c>
      <c r="B38" s="28" t="s">
        <v>241</v>
      </c>
      <c r="C38" s="28" t="s">
        <v>242</v>
      </c>
      <c r="D38" s="43" t="s">
        <v>59</v>
      </c>
      <c r="E38" s="30" t="s">
        <v>59</v>
      </c>
      <c r="F38" s="30" t="s">
        <v>29</v>
      </c>
      <c r="G38" s="30">
        <v>97.0</v>
      </c>
      <c r="H38" s="30">
        <v>26.0</v>
      </c>
      <c r="I38" s="30" t="s">
        <v>29</v>
      </c>
      <c r="J38" s="30">
        <v>26.0</v>
      </c>
      <c r="K38" s="36">
        <f t="shared" si="4"/>
        <v>0</v>
      </c>
      <c r="L38" s="8"/>
      <c r="M38" s="38" t="str">
        <f>IFERROR(__xludf.DUMMYFUNCTION("TEXTJOIN("", "",TRUE,FILTER(D$1:H$1, D38:H38=""Absent""))"),"#N/A")</f>
        <v>#N/A</v>
      </c>
      <c r="N38" s="3">
        <f t="shared" si="1"/>
        <v>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28">
        <v>37.0</v>
      </c>
      <c r="B39" s="28" t="s">
        <v>244</v>
      </c>
      <c r="C39" s="28" t="s">
        <v>245</v>
      </c>
      <c r="D39" s="43" t="s">
        <v>246</v>
      </c>
      <c r="E39" s="30" t="s">
        <v>246</v>
      </c>
      <c r="F39" s="30" t="s">
        <v>29</v>
      </c>
      <c r="G39" s="30">
        <v>68.0</v>
      </c>
      <c r="H39" s="30">
        <v>30.0</v>
      </c>
      <c r="I39" s="30" t="s">
        <v>29</v>
      </c>
      <c r="J39" s="30">
        <v>30.0</v>
      </c>
      <c r="K39" s="36">
        <f t="shared" si="4"/>
        <v>0</v>
      </c>
      <c r="L39" s="8"/>
      <c r="M39" s="38" t="str">
        <f>IFERROR(__xludf.DUMMYFUNCTION("TEXTJOIN("", "",TRUE,FILTER(D$1:H$1, D39:H39=""Absent""))"),"#N/A")</f>
        <v>#N/A</v>
      </c>
      <c r="N39" s="3">
        <f t="shared" si="1"/>
        <v>0</v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28">
        <v>38.0</v>
      </c>
      <c r="B40" s="28" t="s">
        <v>249</v>
      </c>
      <c r="C40" s="47" t="s">
        <v>250</v>
      </c>
      <c r="D40" s="49" t="s">
        <v>27</v>
      </c>
      <c r="E40" s="29" t="s">
        <v>27</v>
      </c>
      <c r="F40" s="30" t="s">
        <v>29</v>
      </c>
      <c r="G40" s="30">
        <v>86.0</v>
      </c>
      <c r="H40" s="30">
        <v>22.0</v>
      </c>
      <c r="I40" s="30" t="s">
        <v>29</v>
      </c>
      <c r="J40" s="30">
        <v>22.0</v>
      </c>
      <c r="K40" s="36">
        <f t="shared" si="4"/>
        <v>2</v>
      </c>
      <c r="L40" s="8"/>
      <c r="M40" s="38" t="str">
        <f>IFERROR(__xludf.DUMMYFUNCTION("TEXTJOIN("", "",TRUE,FILTER(D$1:H$1, D40:H40=""Absent""))"),"1, 2")</f>
        <v>1, 2</v>
      </c>
      <c r="N40" s="3">
        <f t="shared" si="1"/>
        <v>2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28">
        <v>39.0</v>
      </c>
      <c r="B41" s="64" t="s">
        <v>253</v>
      </c>
      <c r="C41" s="77" t="s">
        <v>254</v>
      </c>
      <c r="D41" s="43" t="s">
        <v>99</v>
      </c>
      <c r="E41" s="30" t="s">
        <v>99</v>
      </c>
      <c r="F41" s="30" t="s">
        <v>29</v>
      </c>
      <c r="G41" s="30">
        <v>72.0</v>
      </c>
      <c r="H41" s="30">
        <v>27.0</v>
      </c>
      <c r="I41" s="30" t="s">
        <v>29</v>
      </c>
      <c r="J41" s="30">
        <v>27.0</v>
      </c>
      <c r="K41" s="46"/>
      <c r="L41" s="78"/>
      <c r="M41" s="38" t="str">
        <f>IFERROR(__xludf.DUMMYFUNCTION("TEXTJOIN("", "",TRUE,FILTER(D$1:H$1, D41:H41=""Absent""))"),"#N/A")</f>
        <v>#N/A</v>
      </c>
      <c r="N41" s="3">
        <f t="shared" si="1"/>
        <v>0</v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28">
        <v>40.0</v>
      </c>
      <c r="B42" s="28" t="s">
        <v>257</v>
      </c>
      <c r="C42" s="28" t="s">
        <v>258</v>
      </c>
      <c r="D42" s="49" t="s">
        <v>27</v>
      </c>
      <c r="E42" s="29" t="s">
        <v>27</v>
      </c>
      <c r="F42" s="29" t="s">
        <v>27</v>
      </c>
      <c r="G42" s="29" t="s">
        <v>27</v>
      </c>
      <c r="H42" s="29" t="s">
        <v>27</v>
      </c>
      <c r="I42" s="29" t="s">
        <v>27</v>
      </c>
      <c r="J42" s="29" t="s">
        <v>27</v>
      </c>
      <c r="K42" s="36">
        <f t="shared" ref="K42:K45" si="5">Countif(D42:H42,"Absent")</f>
        <v>5</v>
      </c>
      <c r="L42" s="8"/>
      <c r="M42" s="38" t="str">
        <f>IFERROR(__xludf.DUMMYFUNCTION("TEXTJOIN("", "",TRUE,FILTER(D$1:H$1, D42:H42=""Absent""))"),"1, 2, 3, 4, 5")</f>
        <v>1, 2, 3, 4, 5</v>
      </c>
      <c r="N42" s="3">
        <f t="shared" si="1"/>
        <v>5</v>
      </c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28">
        <v>41.0</v>
      </c>
      <c r="B43" s="28" t="s">
        <v>260</v>
      </c>
      <c r="C43" s="28" t="s">
        <v>262</v>
      </c>
      <c r="D43" s="49" t="s">
        <v>27</v>
      </c>
      <c r="E43" s="29" t="s">
        <v>27</v>
      </c>
      <c r="F43" s="29" t="s">
        <v>27</v>
      </c>
      <c r="G43" s="29" t="s">
        <v>27</v>
      </c>
      <c r="H43" s="29" t="s">
        <v>27</v>
      </c>
      <c r="I43" s="29" t="s">
        <v>27</v>
      </c>
      <c r="J43" s="29" t="s">
        <v>27</v>
      </c>
      <c r="K43" s="36">
        <f t="shared" si="5"/>
        <v>5</v>
      </c>
      <c r="L43" s="8"/>
      <c r="M43" s="38" t="str">
        <f>IFERROR(__xludf.DUMMYFUNCTION("TEXTJOIN("", "",TRUE,FILTER(D$1:H$1, D43:H43=""Absent""))"),"1, 2, 3, 4, 5")</f>
        <v>1, 2, 3, 4, 5</v>
      </c>
      <c r="N43" s="3">
        <f t="shared" si="1"/>
        <v>5</v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28">
        <v>42.0</v>
      </c>
      <c r="B44" s="28" t="s">
        <v>264</v>
      </c>
      <c r="C44" s="28" t="s">
        <v>265</v>
      </c>
      <c r="D44" s="43" t="s">
        <v>71</v>
      </c>
      <c r="E44" s="30" t="s">
        <v>71</v>
      </c>
      <c r="F44" s="30" t="s">
        <v>29</v>
      </c>
      <c r="G44" s="30">
        <v>85.0</v>
      </c>
      <c r="H44" s="30">
        <v>29.0</v>
      </c>
      <c r="I44" s="30" t="s">
        <v>29</v>
      </c>
      <c r="J44" s="30">
        <v>29.0</v>
      </c>
      <c r="K44" s="36">
        <f t="shared" si="5"/>
        <v>0</v>
      </c>
      <c r="L44" s="8"/>
      <c r="M44" s="38" t="str">
        <f>IFERROR(__xludf.DUMMYFUNCTION("TEXTJOIN("", "",TRUE,FILTER(D$1:H$1, D44:H44=""Absent""))"),"#N/A")</f>
        <v>#N/A</v>
      </c>
      <c r="N44" s="3">
        <f t="shared" si="1"/>
        <v>0</v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28">
        <v>43.0</v>
      </c>
      <c r="B45" s="28" t="s">
        <v>268</v>
      </c>
      <c r="C45" s="28" t="s">
        <v>269</v>
      </c>
      <c r="D45" s="49" t="s">
        <v>27</v>
      </c>
      <c r="E45" s="29" t="s">
        <v>27</v>
      </c>
      <c r="F45" s="29" t="s">
        <v>27</v>
      </c>
      <c r="G45" s="29" t="s">
        <v>27</v>
      </c>
      <c r="H45" s="29" t="s">
        <v>27</v>
      </c>
      <c r="I45" s="29" t="s">
        <v>27</v>
      </c>
      <c r="J45" s="29" t="s">
        <v>27</v>
      </c>
      <c r="K45" s="36">
        <f t="shared" si="5"/>
        <v>5</v>
      </c>
      <c r="L45" s="8"/>
      <c r="M45" s="38" t="str">
        <f>IFERROR(__xludf.DUMMYFUNCTION("TEXTJOIN("", "",TRUE,FILTER(D$1:H$1, D45:H45=""Absent""))"),"1, 2, 3, 4, 5")</f>
        <v>1, 2, 3, 4, 5</v>
      </c>
      <c r="N45" s="3">
        <f t="shared" si="1"/>
        <v>5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28">
        <v>44.0</v>
      </c>
      <c r="B46" s="40" t="s">
        <v>271</v>
      </c>
      <c r="C46" s="40" t="s">
        <v>272</v>
      </c>
      <c r="D46" s="43" t="s">
        <v>99</v>
      </c>
      <c r="E46" s="30" t="s">
        <v>99</v>
      </c>
      <c r="F46" s="30" t="s">
        <v>29</v>
      </c>
      <c r="G46" s="30">
        <v>72.0</v>
      </c>
      <c r="H46" s="30">
        <v>25.0</v>
      </c>
      <c r="I46" s="30" t="s">
        <v>29</v>
      </c>
      <c r="J46" s="30">
        <v>25.0</v>
      </c>
      <c r="K46" s="46"/>
      <c r="L46" s="78"/>
      <c r="M46" s="38" t="str">
        <f>IFERROR(__xludf.DUMMYFUNCTION("TEXTJOIN("", "",TRUE,FILTER(D$1:H$1, D46:H46=""Absent""))"),"#N/A")</f>
        <v>#N/A</v>
      </c>
      <c r="N46" s="3">
        <f t="shared" si="1"/>
        <v>0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28">
        <v>45.0</v>
      </c>
      <c r="B47" s="28" t="s">
        <v>275</v>
      </c>
      <c r="C47" s="28" t="s">
        <v>276</v>
      </c>
      <c r="D47" s="43" t="s">
        <v>46</v>
      </c>
      <c r="E47" s="30" t="s">
        <v>46</v>
      </c>
      <c r="F47" s="29" t="s">
        <v>27</v>
      </c>
      <c r="G47" s="30">
        <v>88.0</v>
      </c>
      <c r="H47" s="30">
        <v>25.0</v>
      </c>
      <c r="I47" s="29" t="s">
        <v>27</v>
      </c>
      <c r="J47" s="30">
        <v>25.0</v>
      </c>
      <c r="K47" s="36">
        <f t="shared" ref="K47:K81" si="6">Countif(D47:H47,"Absent")</f>
        <v>1</v>
      </c>
      <c r="L47" s="8"/>
      <c r="M47" s="38" t="str">
        <f>IFERROR(__xludf.DUMMYFUNCTION("TEXTJOIN("", "",TRUE,FILTER(D$1:H$1, D47:H47=""Absent""))"),"3")</f>
        <v>3</v>
      </c>
      <c r="N47" s="3">
        <f t="shared" si="1"/>
        <v>1</v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28">
        <v>46.0</v>
      </c>
      <c r="B48" s="28" t="s">
        <v>279</v>
      </c>
      <c r="C48" s="28" t="s">
        <v>280</v>
      </c>
      <c r="D48" s="43" t="s">
        <v>71</v>
      </c>
      <c r="E48" s="30" t="s">
        <v>71</v>
      </c>
      <c r="F48" s="29" t="s">
        <v>27</v>
      </c>
      <c r="G48" s="29" t="s">
        <v>27</v>
      </c>
      <c r="H48" s="29" t="s">
        <v>27</v>
      </c>
      <c r="I48" s="29" t="s">
        <v>27</v>
      </c>
      <c r="J48" s="29" t="s">
        <v>27</v>
      </c>
      <c r="K48" s="36">
        <f t="shared" si="6"/>
        <v>3</v>
      </c>
      <c r="L48" s="8"/>
      <c r="M48" s="38" t="str">
        <f>IFERROR(__xludf.DUMMYFUNCTION("TEXTJOIN("", "",TRUE,FILTER(D$1:H$1, D48:H48=""Absent""))"),"3, 4, 5")</f>
        <v>3, 4, 5</v>
      </c>
      <c r="N48" s="3">
        <f t="shared" si="1"/>
        <v>3</v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28">
        <v>47.0</v>
      </c>
      <c r="B49" s="28" t="s">
        <v>282</v>
      </c>
      <c r="C49" s="47" t="s">
        <v>283</v>
      </c>
      <c r="D49" s="43" t="s">
        <v>285</v>
      </c>
      <c r="E49" s="30" t="s">
        <v>285</v>
      </c>
      <c r="F49" s="30" t="s">
        <v>106</v>
      </c>
      <c r="G49" s="30">
        <v>78.0</v>
      </c>
      <c r="H49" s="30">
        <v>24.0</v>
      </c>
      <c r="I49" s="30" t="s">
        <v>106</v>
      </c>
      <c r="J49" s="30">
        <v>24.0</v>
      </c>
      <c r="K49" s="36">
        <f t="shared" si="6"/>
        <v>0</v>
      </c>
      <c r="L49" s="8"/>
      <c r="M49" s="38" t="str">
        <f>IFERROR(__xludf.DUMMYFUNCTION("TEXTJOIN("", "",TRUE,FILTER(D$1:H$1, D49:H49=""Absent""))"),"#N/A")</f>
        <v>#N/A</v>
      </c>
      <c r="N49" s="3">
        <f t="shared" si="1"/>
        <v>0</v>
      </c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28">
        <v>48.0</v>
      </c>
      <c r="B50" s="28" t="s">
        <v>287</v>
      </c>
      <c r="C50" s="28" t="s">
        <v>288</v>
      </c>
      <c r="D50" s="43" t="s">
        <v>59</v>
      </c>
      <c r="E50" s="30" t="s">
        <v>59</v>
      </c>
      <c r="F50" s="30" t="s">
        <v>29</v>
      </c>
      <c r="G50" s="30">
        <v>83.0</v>
      </c>
      <c r="H50" s="30">
        <v>30.0</v>
      </c>
      <c r="I50" s="30" t="s">
        <v>29</v>
      </c>
      <c r="J50" s="30">
        <v>30.0</v>
      </c>
      <c r="K50" s="36">
        <f t="shared" si="6"/>
        <v>0</v>
      </c>
      <c r="L50" s="8"/>
      <c r="M50" s="38" t="str">
        <f>IFERROR(__xludf.DUMMYFUNCTION("TEXTJOIN("", "",TRUE,FILTER(D$1:H$1, D50:H50=""Absent""))"),"#N/A")</f>
        <v>#N/A</v>
      </c>
      <c r="N50" s="3">
        <f t="shared" si="1"/>
        <v>0</v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28">
        <v>49.0</v>
      </c>
      <c r="B51" s="28" t="s">
        <v>291</v>
      </c>
      <c r="C51" s="28" t="s">
        <v>292</v>
      </c>
      <c r="D51" s="49" t="s">
        <v>27</v>
      </c>
      <c r="E51" s="29" t="s">
        <v>27</v>
      </c>
      <c r="F51" s="30" t="s">
        <v>293</v>
      </c>
      <c r="G51" s="30">
        <v>78.0</v>
      </c>
      <c r="H51" s="30">
        <v>26.0</v>
      </c>
      <c r="I51" s="30" t="s">
        <v>293</v>
      </c>
      <c r="J51" s="30">
        <v>26.0</v>
      </c>
      <c r="K51" s="36">
        <f t="shared" si="6"/>
        <v>2</v>
      </c>
      <c r="L51" s="8"/>
      <c r="M51" s="38" t="str">
        <f>IFERROR(__xludf.DUMMYFUNCTION("TEXTJOIN("", "",TRUE,FILTER(D$1:H$1, D51:H51=""Absent""))"),"1, 2")</f>
        <v>1, 2</v>
      </c>
      <c r="N51" s="3">
        <f t="shared" si="1"/>
        <v>2</v>
      </c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28">
        <v>50.0</v>
      </c>
      <c r="B52" s="28" t="s">
        <v>295</v>
      </c>
      <c r="C52" s="28" t="s">
        <v>296</v>
      </c>
      <c r="D52" s="43" t="s">
        <v>131</v>
      </c>
      <c r="E52" s="30" t="s">
        <v>131</v>
      </c>
      <c r="F52" s="30" t="s">
        <v>48</v>
      </c>
      <c r="G52" s="30">
        <v>67.0</v>
      </c>
      <c r="H52" s="30">
        <v>23.0</v>
      </c>
      <c r="I52" s="30" t="s">
        <v>48</v>
      </c>
      <c r="J52" s="30">
        <v>23.0</v>
      </c>
      <c r="K52" s="36">
        <f t="shared" si="6"/>
        <v>0</v>
      </c>
      <c r="L52" s="8"/>
      <c r="M52" s="38" t="str">
        <f>IFERROR(__xludf.DUMMYFUNCTION("TEXTJOIN("", "",TRUE,FILTER(D$1:H$1, D52:H52=""Absent""))"),"#N/A")</f>
        <v>#N/A</v>
      </c>
      <c r="N52" s="3">
        <f t="shared" si="1"/>
        <v>0</v>
      </c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28">
        <v>51.0</v>
      </c>
      <c r="B53" s="28" t="s">
        <v>299</v>
      </c>
      <c r="C53" s="28" t="s">
        <v>300</v>
      </c>
      <c r="D53" s="43" t="s">
        <v>70</v>
      </c>
      <c r="E53" s="30" t="s">
        <v>71</v>
      </c>
      <c r="F53" s="29" t="s">
        <v>27</v>
      </c>
      <c r="G53" s="29" t="s">
        <v>27</v>
      </c>
      <c r="H53" s="29" t="s">
        <v>27</v>
      </c>
      <c r="I53" s="29" t="s">
        <v>27</v>
      </c>
      <c r="J53" s="29" t="s">
        <v>27</v>
      </c>
      <c r="K53" s="36">
        <f t="shared" si="6"/>
        <v>3</v>
      </c>
      <c r="L53" s="8"/>
      <c r="M53" s="38" t="str">
        <f>IFERROR(__xludf.DUMMYFUNCTION("TEXTJOIN("", "",TRUE,FILTER(D$1:H$1, D53:H53=""Absent""))"),"3, 4, 5")</f>
        <v>3, 4, 5</v>
      </c>
      <c r="N53" s="3">
        <f t="shared" si="1"/>
        <v>3</v>
      </c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28">
        <v>52.0</v>
      </c>
      <c r="B54" s="28" t="s">
        <v>303</v>
      </c>
      <c r="C54" s="28" t="s">
        <v>304</v>
      </c>
      <c r="D54" s="43" t="s">
        <v>99</v>
      </c>
      <c r="E54" s="30" t="s">
        <v>99</v>
      </c>
      <c r="F54" s="30" t="s">
        <v>29</v>
      </c>
      <c r="G54" s="29" t="s">
        <v>27</v>
      </c>
      <c r="H54" s="29" t="s">
        <v>27</v>
      </c>
      <c r="I54" s="30" t="s">
        <v>29</v>
      </c>
      <c r="J54" s="29" t="s">
        <v>27</v>
      </c>
      <c r="K54" s="36">
        <f t="shared" si="6"/>
        <v>2</v>
      </c>
      <c r="L54" s="8"/>
      <c r="M54" s="38" t="str">
        <f>IFERROR(__xludf.DUMMYFUNCTION("TEXTJOIN("", "",TRUE,FILTER(D$1:H$1, D54:H54=""Absent""))"),"4, 5")</f>
        <v>4, 5</v>
      </c>
      <c r="N54" s="3">
        <f t="shared" si="1"/>
        <v>2</v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28">
        <v>53.0</v>
      </c>
      <c r="B55" s="28" t="s">
        <v>305</v>
      </c>
      <c r="C55" s="28" t="s">
        <v>306</v>
      </c>
      <c r="D55" s="43" t="s">
        <v>99</v>
      </c>
      <c r="E55" s="30" t="s">
        <v>99</v>
      </c>
      <c r="F55" s="29" t="s">
        <v>27</v>
      </c>
      <c r="G55" s="30">
        <v>91.0</v>
      </c>
      <c r="H55" s="30">
        <v>24.0</v>
      </c>
      <c r="I55" s="29" t="s">
        <v>27</v>
      </c>
      <c r="J55" s="30">
        <v>24.0</v>
      </c>
      <c r="K55" s="36">
        <f t="shared" si="6"/>
        <v>1</v>
      </c>
      <c r="L55" s="8"/>
      <c r="M55" s="38" t="str">
        <f>IFERROR(__xludf.DUMMYFUNCTION("TEXTJOIN("", "",TRUE,FILTER(D$1:H$1, D55:H55=""Absent""))"),"3")</f>
        <v>3</v>
      </c>
      <c r="N55" s="3">
        <f t="shared" si="1"/>
        <v>1</v>
      </c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28">
        <v>54.0</v>
      </c>
      <c r="B56" s="28" t="s">
        <v>307</v>
      </c>
      <c r="C56" s="28" t="s">
        <v>308</v>
      </c>
      <c r="D56" s="43" t="s">
        <v>45</v>
      </c>
      <c r="E56" s="30" t="s">
        <v>45</v>
      </c>
      <c r="F56" s="29" t="s">
        <v>27</v>
      </c>
      <c r="G56" s="30">
        <v>82.0</v>
      </c>
      <c r="H56" s="30">
        <v>28.0</v>
      </c>
      <c r="I56" s="29" t="s">
        <v>27</v>
      </c>
      <c r="J56" s="30">
        <v>28.0</v>
      </c>
      <c r="K56" s="36">
        <f t="shared" si="6"/>
        <v>1</v>
      </c>
      <c r="L56" s="8"/>
      <c r="M56" s="38" t="str">
        <f>IFERROR(__xludf.DUMMYFUNCTION("TEXTJOIN("", "",TRUE,FILTER(D$1:H$1, D56:H56=""Absent""))"),"3")</f>
        <v>3</v>
      </c>
      <c r="N56" s="3">
        <f t="shared" si="1"/>
        <v>1</v>
      </c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28">
        <v>55.0</v>
      </c>
      <c r="B57" s="28" t="s">
        <v>309</v>
      </c>
      <c r="C57" s="28" t="s">
        <v>310</v>
      </c>
      <c r="D57" s="43" t="s">
        <v>45</v>
      </c>
      <c r="E57" s="30" t="s">
        <v>45</v>
      </c>
      <c r="F57" s="30" t="s">
        <v>29</v>
      </c>
      <c r="G57" s="30">
        <v>90.0</v>
      </c>
      <c r="H57" s="30">
        <v>22.0</v>
      </c>
      <c r="I57" s="30" t="s">
        <v>29</v>
      </c>
      <c r="J57" s="30">
        <v>22.0</v>
      </c>
      <c r="K57" s="36">
        <f t="shared" si="6"/>
        <v>0</v>
      </c>
      <c r="L57" s="8"/>
      <c r="M57" s="38" t="str">
        <f>IFERROR(__xludf.DUMMYFUNCTION("TEXTJOIN("", "",TRUE,FILTER(D$1:H$1, D57:H57=""Absent""))"),"#N/A")</f>
        <v>#N/A</v>
      </c>
      <c r="N57" s="3">
        <f t="shared" si="1"/>
        <v>0</v>
      </c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28">
        <v>56.0</v>
      </c>
      <c r="B58" s="28" t="s">
        <v>311</v>
      </c>
      <c r="C58" s="28" t="s">
        <v>313</v>
      </c>
      <c r="D58" s="43" t="s">
        <v>70</v>
      </c>
      <c r="E58" s="30" t="s">
        <v>71</v>
      </c>
      <c r="F58" s="30" t="s">
        <v>29</v>
      </c>
      <c r="G58" s="30">
        <v>99.0</v>
      </c>
      <c r="H58" s="30">
        <v>22.0</v>
      </c>
      <c r="I58" s="30" t="s">
        <v>29</v>
      </c>
      <c r="J58" s="30">
        <v>22.0</v>
      </c>
      <c r="K58" s="36">
        <f t="shared" si="6"/>
        <v>0</v>
      </c>
      <c r="L58" s="8"/>
      <c r="M58" s="38" t="str">
        <f>IFERROR(__xludf.DUMMYFUNCTION("TEXTJOIN("", "",TRUE,FILTER(D$1:H$1, D58:H58=""Absent""))"),"#N/A")</f>
        <v>#N/A</v>
      </c>
      <c r="N58" s="3">
        <f t="shared" si="1"/>
        <v>0</v>
      </c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28">
        <v>57.0</v>
      </c>
      <c r="B59" s="28" t="s">
        <v>315</v>
      </c>
      <c r="C59" s="28" t="s">
        <v>316</v>
      </c>
      <c r="D59" s="43" t="s">
        <v>59</v>
      </c>
      <c r="E59" s="30" t="s">
        <v>59</v>
      </c>
      <c r="F59" s="30" t="s">
        <v>29</v>
      </c>
      <c r="G59" s="30">
        <v>93.0</v>
      </c>
      <c r="H59" s="30">
        <v>27.0</v>
      </c>
      <c r="I59" s="30" t="s">
        <v>29</v>
      </c>
      <c r="J59" s="30">
        <v>27.0</v>
      </c>
      <c r="K59" s="36">
        <f t="shared" si="6"/>
        <v>0</v>
      </c>
      <c r="L59" s="8"/>
      <c r="M59" s="38" t="str">
        <f>IFERROR(__xludf.DUMMYFUNCTION("TEXTJOIN("", "",TRUE,FILTER(D$1:H$1, D59:H59=""Absent""))"),"#N/A")</f>
        <v>#N/A</v>
      </c>
      <c r="N59" s="3">
        <f t="shared" si="1"/>
        <v>0</v>
      </c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28">
        <v>58.0</v>
      </c>
      <c r="B60" s="28" t="s">
        <v>318</v>
      </c>
      <c r="C60" s="47" t="s">
        <v>319</v>
      </c>
      <c r="D60" s="43" t="s">
        <v>320</v>
      </c>
      <c r="E60" s="30" t="s">
        <v>320</v>
      </c>
      <c r="F60" s="30" t="s">
        <v>48</v>
      </c>
      <c r="G60" s="30">
        <v>81.0</v>
      </c>
      <c r="H60" s="30">
        <v>29.0</v>
      </c>
      <c r="I60" s="30" t="s">
        <v>48</v>
      </c>
      <c r="J60" s="30">
        <v>29.0</v>
      </c>
      <c r="K60" s="36">
        <f t="shared" si="6"/>
        <v>0</v>
      </c>
      <c r="L60" s="8"/>
      <c r="M60" s="38" t="str">
        <f>IFERROR(__xludf.DUMMYFUNCTION("TEXTJOIN("", "",TRUE,FILTER(D$1:H$1, D60:H60=""Absent""))"),"#N/A")</f>
        <v>#N/A</v>
      </c>
      <c r="N60" s="3">
        <f t="shared" si="1"/>
        <v>0</v>
      </c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28">
        <v>59.0</v>
      </c>
      <c r="B61" s="28" t="s">
        <v>323</v>
      </c>
      <c r="C61" s="47" t="s">
        <v>324</v>
      </c>
      <c r="D61" s="49" t="s">
        <v>27</v>
      </c>
      <c r="E61" s="29" t="s">
        <v>27</v>
      </c>
      <c r="F61" s="30" t="s">
        <v>29</v>
      </c>
      <c r="G61" s="30">
        <v>100.0</v>
      </c>
      <c r="H61" s="30">
        <v>24.0</v>
      </c>
      <c r="I61" s="30" t="s">
        <v>29</v>
      </c>
      <c r="J61" s="30">
        <v>24.0</v>
      </c>
      <c r="K61" s="36">
        <f t="shared" si="6"/>
        <v>2</v>
      </c>
      <c r="L61" s="8"/>
      <c r="M61" s="38" t="str">
        <f>IFERROR(__xludf.DUMMYFUNCTION("TEXTJOIN("", "",TRUE,FILTER(D$1:H$1, D61:H61=""Absent""))"),"1, 2")</f>
        <v>1, 2</v>
      </c>
      <c r="N61" s="3">
        <f t="shared" si="1"/>
        <v>2</v>
      </c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28">
        <v>60.0</v>
      </c>
      <c r="B62" s="28" t="s">
        <v>327</v>
      </c>
      <c r="C62" s="28" t="s">
        <v>328</v>
      </c>
      <c r="D62" s="43" t="s">
        <v>70</v>
      </c>
      <c r="E62" s="30" t="s">
        <v>71</v>
      </c>
      <c r="F62" s="29" t="s">
        <v>27</v>
      </c>
      <c r="G62" s="29" t="s">
        <v>27</v>
      </c>
      <c r="H62" s="29" t="s">
        <v>27</v>
      </c>
      <c r="I62" s="29" t="s">
        <v>27</v>
      </c>
      <c r="J62" s="29" t="s">
        <v>27</v>
      </c>
      <c r="K62" s="36">
        <f t="shared" si="6"/>
        <v>3</v>
      </c>
      <c r="L62" s="8"/>
      <c r="M62" s="38" t="str">
        <f>IFERROR(__xludf.DUMMYFUNCTION("TEXTJOIN("", "",TRUE,FILTER(D$1:H$1, D62:H62=""Absent""))"),"3, 4, 5")</f>
        <v>3, 4, 5</v>
      </c>
      <c r="N62" s="3">
        <f t="shared" si="1"/>
        <v>3</v>
      </c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28">
        <v>61.0</v>
      </c>
      <c r="B63" s="28" t="s">
        <v>330</v>
      </c>
      <c r="C63" s="28" t="s">
        <v>331</v>
      </c>
      <c r="D63" s="43" t="s">
        <v>70</v>
      </c>
      <c r="E63" s="30" t="s">
        <v>71</v>
      </c>
      <c r="F63" s="30" t="s">
        <v>48</v>
      </c>
      <c r="G63" s="30">
        <v>90.0</v>
      </c>
      <c r="H63" s="30">
        <v>26.0</v>
      </c>
      <c r="I63" s="30" t="s">
        <v>48</v>
      </c>
      <c r="J63" s="30">
        <v>26.0</v>
      </c>
      <c r="K63" s="36">
        <f t="shared" si="6"/>
        <v>0</v>
      </c>
      <c r="L63" s="8"/>
      <c r="M63" s="38" t="str">
        <f>IFERROR(__xludf.DUMMYFUNCTION("TEXTJOIN("", "",TRUE,FILTER(D$1:H$1, D63:H63=""Absent""))"),"#N/A")</f>
        <v>#N/A</v>
      </c>
      <c r="N63" s="3">
        <f t="shared" si="1"/>
        <v>0</v>
      </c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28">
        <v>62.0</v>
      </c>
      <c r="B64" s="28" t="s">
        <v>334</v>
      </c>
      <c r="C64" s="28" t="s">
        <v>335</v>
      </c>
      <c r="D64" s="43" t="s">
        <v>71</v>
      </c>
      <c r="E64" s="30" t="s">
        <v>71</v>
      </c>
      <c r="F64" s="29" t="s">
        <v>27</v>
      </c>
      <c r="G64" s="29" t="s">
        <v>27</v>
      </c>
      <c r="H64" s="29" t="s">
        <v>27</v>
      </c>
      <c r="I64" s="29" t="s">
        <v>27</v>
      </c>
      <c r="J64" s="29" t="s">
        <v>27</v>
      </c>
      <c r="K64" s="36">
        <f t="shared" si="6"/>
        <v>3</v>
      </c>
      <c r="L64" s="8"/>
      <c r="M64" s="38" t="str">
        <f>IFERROR(__xludf.DUMMYFUNCTION("TEXTJOIN("", "",TRUE,FILTER(D$1:H$1, D64:H64=""Absent""))"),"3, 4, 5")</f>
        <v>3, 4, 5</v>
      </c>
      <c r="N64" s="3">
        <f t="shared" si="1"/>
        <v>3</v>
      </c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28">
        <v>63.0</v>
      </c>
      <c r="B65" s="28" t="s">
        <v>337</v>
      </c>
      <c r="C65" s="28" t="s">
        <v>338</v>
      </c>
      <c r="D65" s="43" t="s">
        <v>99</v>
      </c>
      <c r="E65" s="30" t="s">
        <v>99</v>
      </c>
      <c r="F65" s="30" t="s">
        <v>29</v>
      </c>
      <c r="G65" s="30">
        <v>83.0</v>
      </c>
      <c r="H65" s="30">
        <v>25.0</v>
      </c>
      <c r="I65" s="30" t="s">
        <v>29</v>
      </c>
      <c r="J65" s="30">
        <v>25.0</v>
      </c>
      <c r="K65" s="36">
        <f t="shared" si="6"/>
        <v>0</v>
      </c>
      <c r="L65" s="8"/>
      <c r="M65" s="38" t="str">
        <f>IFERROR(__xludf.DUMMYFUNCTION("TEXTJOIN("", "",TRUE,FILTER(D$1:H$1, D65:H65=""Absent""))"),"#N/A")</f>
        <v>#N/A</v>
      </c>
      <c r="N65" s="3">
        <f t="shared" si="1"/>
        <v>0</v>
      </c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28">
        <v>64.0</v>
      </c>
      <c r="B66" s="28" t="s">
        <v>341</v>
      </c>
      <c r="C66" s="28" t="s">
        <v>342</v>
      </c>
      <c r="D66" s="49" t="s">
        <v>27</v>
      </c>
      <c r="E66" s="29" t="s">
        <v>27</v>
      </c>
      <c r="F66" s="30" t="s">
        <v>29</v>
      </c>
      <c r="G66" s="30">
        <v>94.0</v>
      </c>
      <c r="H66" s="30">
        <v>30.0</v>
      </c>
      <c r="I66" s="30" t="s">
        <v>29</v>
      </c>
      <c r="J66" s="30">
        <v>30.0</v>
      </c>
      <c r="K66" s="36">
        <f t="shared" si="6"/>
        <v>2</v>
      </c>
      <c r="L66" s="8"/>
      <c r="M66" s="38" t="str">
        <f>IFERROR(__xludf.DUMMYFUNCTION("TEXTJOIN("", "",TRUE,FILTER(D$1:H$1, D66:H66=""Absent""))"),"1, 2")</f>
        <v>1, 2</v>
      </c>
      <c r="N66" s="3">
        <f t="shared" si="1"/>
        <v>2</v>
      </c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28">
        <v>65.0</v>
      </c>
      <c r="B67" s="28" t="s">
        <v>355</v>
      </c>
      <c r="C67" s="80" t="s">
        <v>356</v>
      </c>
      <c r="D67" s="43" t="s">
        <v>357</v>
      </c>
      <c r="E67" s="30" t="s">
        <v>357</v>
      </c>
      <c r="F67" s="30" t="s">
        <v>29</v>
      </c>
      <c r="G67" s="30">
        <v>84.0</v>
      </c>
      <c r="H67" s="30">
        <v>28.0</v>
      </c>
      <c r="I67" s="30" t="s">
        <v>29</v>
      </c>
      <c r="J67" s="30">
        <v>28.0</v>
      </c>
      <c r="K67" s="36">
        <f t="shared" si="6"/>
        <v>0</v>
      </c>
      <c r="L67" s="8"/>
      <c r="M67" s="38" t="str">
        <f>IFERROR(__xludf.DUMMYFUNCTION("TEXTJOIN("", "",TRUE,FILTER(D$1:H$1, D67:H67=""Absent""))"),"#N/A")</f>
        <v>#N/A</v>
      </c>
      <c r="N67" s="3">
        <f t="shared" si="1"/>
        <v>0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28">
        <v>66.0</v>
      </c>
      <c r="B68" s="81" t="s">
        <v>360</v>
      </c>
      <c r="C68" s="82" t="s">
        <v>361</v>
      </c>
      <c r="D68" s="30" t="s">
        <v>357</v>
      </c>
      <c r="E68" s="30" t="s">
        <v>357</v>
      </c>
      <c r="F68" s="30" t="s">
        <v>48</v>
      </c>
      <c r="G68" s="30">
        <v>69.0</v>
      </c>
      <c r="H68" s="83">
        <v>23.0</v>
      </c>
      <c r="I68" s="30" t="s">
        <v>48</v>
      </c>
      <c r="J68" s="83">
        <v>23.0</v>
      </c>
      <c r="K68" s="36">
        <f t="shared" si="6"/>
        <v>0</v>
      </c>
      <c r="L68" s="8"/>
      <c r="M68" s="38" t="str">
        <f>IFERROR(__xludf.DUMMYFUNCTION("TEXTJOIN("", "",TRUE,FILTER(D$1:H$1, D68:H68=""Absent""))"),"#N/A")</f>
        <v>#N/A</v>
      </c>
      <c r="N68" s="3">
        <f t="shared" si="1"/>
        <v>0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28">
        <v>67.0</v>
      </c>
      <c r="B69" s="28" t="s">
        <v>364</v>
      </c>
      <c r="C69" s="80" t="s">
        <v>365</v>
      </c>
      <c r="D69" s="29" t="s">
        <v>27</v>
      </c>
      <c r="E69" s="29" t="s">
        <v>27</v>
      </c>
      <c r="F69" s="30" t="s">
        <v>48</v>
      </c>
      <c r="G69" s="30">
        <v>57.0</v>
      </c>
      <c r="H69" s="30">
        <v>28.0</v>
      </c>
      <c r="I69" s="30" t="s">
        <v>48</v>
      </c>
      <c r="J69" s="30">
        <v>28.0</v>
      </c>
      <c r="K69" s="36">
        <f t="shared" si="6"/>
        <v>2</v>
      </c>
      <c r="L69" s="8"/>
      <c r="M69" s="38" t="str">
        <f>IFERROR(__xludf.DUMMYFUNCTION("TEXTJOIN("", "",TRUE,FILTER(D$1:H$1, D69:H69=""Absent""))"),"1, 2")</f>
        <v>1, 2</v>
      </c>
      <c r="N69" s="3">
        <f t="shared" si="1"/>
        <v>2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28">
        <v>68.0</v>
      </c>
      <c r="B70" s="28" t="s">
        <v>368</v>
      </c>
      <c r="C70" s="80" t="s">
        <v>369</v>
      </c>
      <c r="D70" s="30" t="s">
        <v>45</v>
      </c>
      <c r="E70" s="30" t="s">
        <v>45</v>
      </c>
      <c r="F70" s="29" t="s">
        <v>27</v>
      </c>
      <c r="G70" s="30">
        <v>84.0</v>
      </c>
      <c r="H70" s="30">
        <v>24.0</v>
      </c>
      <c r="I70" s="29" t="s">
        <v>27</v>
      </c>
      <c r="J70" s="30">
        <v>24.0</v>
      </c>
      <c r="K70" s="36">
        <f t="shared" si="6"/>
        <v>1</v>
      </c>
      <c r="L70" s="8"/>
      <c r="M70" s="38" t="str">
        <f>IFERROR(__xludf.DUMMYFUNCTION("TEXTJOIN("", "",TRUE,FILTER(D$1:H$1, D70:H70=""Absent""))"),"3")</f>
        <v>3</v>
      </c>
      <c r="N70" s="3">
        <f t="shared" si="1"/>
        <v>1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28">
        <v>69.0</v>
      </c>
      <c r="B71" s="28" t="s">
        <v>372</v>
      </c>
      <c r="C71" s="80" t="s">
        <v>373</v>
      </c>
      <c r="D71" s="30" t="s">
        <v>70</v>
      </c>
      <c r="E71" s="30" t="s">
        <v>71</v>
      </c>
      <c r="F71" s="29" t="s">
        <v>27</v>
      </c>
      <c r="G71" s="30">
        <v>86.0</v>
      </c>
      <c r="H71" s="30">
        <v>27.0</v>
      </c>
      <c r="I71" s="29" t="s">
        <v>27</v>
      </c>
      <c r="J71" s="30">
        <v>27.0</v>
      </c>
      <c r="K71" s="36">
        <f t="shared" si="6"/>
        <v>1</v>
      </c>
      <c r="L71" s="8"/>
      <c r="M71" s="38" t="str">
        <f>IFERROR(__xludf.DUMMYFUNCTION("TEXTJOIN("", "",TRUE,FILTER(D$1:H$1, D71:H71=""Absent""))"),"3")</f>
        <v>3</v>
      </c>
      <c r="N71" s="3">
        <f t="shared" si="1"/>
        <v>1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28">
        <v>70.0</v>
      </c>
      <c r="B72" s="40" t="s">
        <v>376</v>
      </c>
      <c r="C72" s="84" t="s">
        <v>377</v>
      </c>
      <c r="D72" s="30" t="s">
        <v>99</v>
      </c>
      <c r="E72" s="30" t="s">
        <v>99</v>
      </c>
      <c r="F72" s="30" t="s">
        <v>29</v>
      </c>
      <c r="G72" s="30">
        <v>72.0</v>
      </c>
      <c r="H72" s="30">
        <v>29.0</v>
      </c>
      <c r="I72" s="30" t="s">
        <v>29</v>
      </c>
      <c r="J72" s="30">
        <v>29.0</v>
      </c>
      <c r="K72" s="36">
        <f t="shared" si="6"/>
        <v>0</v>
      </c>
      <c r="L72" s="8"/>
      <c r="M72" s="38" t="str">
        <f>IFERROR(__xludf.DUMMYFUNCTION("TEXTJOIN("", "",TRUE,FILTER(D$1:H$1, D72:H72=""Absent""))"),"#N/A")</f>
        <v>#N/A</v>
      </c>
      <c r="N72" s="3">
        <f t="shared" si="1"/>
        <v>0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28">
        <v>71.0</v>
      </c>
      <c r="B73" s="28" t="s">
        <v>379</v>
      </c>
      <c r="C73" s="47" t="s">
        <v>380</v>
      </c>
      <c r="D73" s="30" t="s">
        <v>381</v>
      </c>
      <c r="E73" s="30" t="s">
        <v>59</v>
      </c>
      <c r="F73" s="30" t="s">
        <v>29</v>
      </c>
      <c r="G73" s="30">
        <v>94.0</v>
      </c>
      <c r="H73" s="30">
        <v>22.0</v>
      </c>
      <c r="I73" s="30" t="s">
        <v>29</v>
      </c>
      <c r="J73" s="30">
        <v>22.0</v>
      </c>
      <c r="K73" s="36">
        <f t="shared" si="6"/>
        <v>0</v>
      </c>
      <c r="L73" s="8"/>
      <c r="M73" s="38" t="str">
        <f>IFERROR(__xludf.DUMMYFUNCTION("TEXTJOIN("", "",TRUE,FILTER(D$1:H$1, D73:H73=""Absent""))"),"#N/A")</f>
        <v>#N/A</v>
      </c>
      <c r="N73" s="3">
        <f t="shared" si="1"/>
        <v>0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28">
        <v>72.0</v>
      </c>
      <c r="B74" s="28" t="s">
        <v>384</v>
      </c>
      <c r="C74" s="80" t="s">
        <v>386</v>
      </c>
      <c r="D74" s="30" t="s">
        <v>357</v>
      </c>
      <c r="E74" s="30" t="s">
        <v>357</v>
      </c>
      <c r="F74" s="29" t="s">
        <v>27</v>
      </c>
      <c r="G74" s="30">
        <v>99.0</v>
      </c>
      <c r="H74" s="30">
        <v>26.0</v>
      </c>
      <c r="I74" s="29" t="s">
        <v>27</v>
      </c>
      <c r="J74" s="30">
        <v>26.0</v>
      </c>
      <c r="K74" s="36">
        <f t="shared" si="6"/>
        <v>1</v>
      </c>
      <c r="L74" s="8"/>
      <c r="M74" s="38" t="str">
        <f>IFERROR(__xludf.DUMMYFUNCTION("TEXTJOIN("", "",TRUE,FILTER(D$1:H$1, D74:H74=""Absent""))"),"3")</f>
        <v>3</v>
      </c>
      <c r="N74" s="3">
        <f t="shared" si="1"/>
        <v>1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28">
        <v>73.0</v>
      </c>
      <c r="B75" s="28" t="s">
        <v>388</v>
      </c>
      <c r="C75" s="80" t="s">
        <v>389</v>
      </c>
      <c r="D75" s="30" t="s">
        <v>285</v>
      </c>
      <c r="E75" s="30" t="s">
        <v>285</v>
      </c>
      <c r="F75" s="30" t="s">
        <v>29</v>
      </c>
      <c r="G75" s="30">
        <v>89.0</v>
      </c>
      <c r="H75" s="30">
        <v>30.0</v>
      </c>
      <c r="I75" s="30" t="s">
        <v>29</v>
      </c>
      <c r="J75" s="30">
        <v>30.0</v>
      </c>
      <c r="K75" s="36">
        <f t="shared" si="6"/>
        <v>0</v>
      </c>
      <c r="L75" s="8"/>
      <c r="M75" s="38" t="str">
        <f>IFERROR(__xludf.DUMMYFUNCTION("TEXTJOIN("", "",TRUE,FILTER(D$1:H$1, D75:H75=""Absent""))"),"#N/A")</f>
        <v>#N/A</v>
      </c>
      <c r="N75" s="3">
        <f t="shared" si="1"/>
        <v>0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28">
        <v>74.0</v>
      </c>
      <c r="B76" s="81" t="s">
        <v>391</v>
      </c>
      <c r="C76" s="82" t="s">
        <v>393</v>
      </c>
      <c r="D76" s="29" t="s">
        <v>27</v>
      </c>
      <c r="E76" s="29" t="s">
        <v>27</v>
      </c>
      <c r="F76" s="30" t="s">
        <v>29</v>
      </c>
      <c r="G76" s="30">
        <v>100.0</v>
      </c>
      <c r="H76" s="30">
        <v>25.0</v>
      </c>
      <c r="I76" s="30" t="s">
        <v>29</v>
      </c>
      <c r="J76" s="30">
        <v>25.0</v>
      </c>
      <c r="K76" s="36">
        <f t="shared" si="6"/>
        <v>2</v>
      </c>
      <c r="L76" s="8"/>
      <c r="M76" s="38" t="str">
        <f>IFERROR(__xludf.DUMMYFUNCTION("TEXTJOIN("", "",TRUE,FILTER(D$1:H$1, D76:H76=""Absent""))"),"1, 2")</f>
        <v>1, 2</v>
      </c>
      <c r="N76" s="3">
        <f t="shared" si="1"/>
        <v>2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28">
        <v>75.0</v>
      </c>
      <c r="B77" s="28" t="s">
        <v>395</v>
      </c>
      <c r="C77" s="80" t="s">
        <v>396</v>
      </c>
      <c r="D77" s="29" t="s">
        <v>27</v>
      </c>
      <c r="E77" s="29" t="s">
        <v>27</v>
      </c>
      <c r="F77" s="29" t="s">
        <v>27</v>
      </c>
      <c r="G77" s="29" t="s">
        <v>27</v>
      </c>
      <c r="H77" s="29" t="s">
        <v>27</v>
      </c>
      <c r="I77" s="29" t="s">
        <v>27</v>
      </c>
      <c r="J77" s="29" t="s">
        <v>27</v>
      </c>
      <c r="K77" s="36">
        <f t="shared" si="6"/>
        <v>5</v>
      </c>
      <c r="L77" s="8"/>
      <c r="M77" s="38" t="str">
        <f>IFERROR(__xludf.DUMMYFUNCTION("TEXTJOIN("", "",TRUE,FILTER(D$1:H$1, D77:H77=""Absent""))"),"1, 2, 3, 4, 5")</f>
        <v>1, 2, 3, 4, 5</v>
      </c>
      <c r="N77" s="3">
        <f t="shared" si="1"/>
        <v>5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28">
        <v>76.0</v>
      </c>
      <c r="B78" s="28" t="s">
        <v>399</v>
      </c>
      <c r="C78" s="80" t="s">
        <v>400</v>
      </c>
      <c r="D78" s="30" t="s">
        <v>89</v>
      </c>
      <c r="E78" s="30" t="s">
        <v>90</v>
      </c>
      <c r="F78" s="29" t="s">
        <v>27</v>
      </c>
      <c r="G78" s="29" t="s">
        <v>27</v>
      </c>
      <c r="H78" s="30">
        <v>24.0</v>
      </c>
      <c r="I78" s="29" t="s">
        <v>27</v>
      </c>
      <c r="J78" s="30">
        <v>24.0</v>
      </c>
      <c r="K78" s="36">
        <f t="shared" si="6"/>
        <v>2</v>
      </c>
      <c r="L78" s="8"/>
      <c r="M78" s="38" t="str">
        <f>IFERROR(__xludf.DUMMYFUNCTION("TEXTJOIN("", "",TRUE,FILTER(D$1:H$1, D78:H78=""Absent""))"),"3, 4")</f>
        <v>3, 4</v>
      </c>
      <c r="N78" s="3">
        <f t="shared" si="1"/>
        <v>2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28">
        <v>77.0</v>
      </c>
      <c r="B79" s="85" t="s">
        <v>402</v>
      </c>
      <c r="C79" s="80" t="s">
        <v>403</v>
      </c>
      <c r="D79" s="30" t="s">
        <v>59</v>
      </c>
      <c r="E79" s="30" t="s">
        <v>357</v>
      </c>
      <c r="F79" s="30" t="s">
        <v>106</v>
      </c>
      <c r="G79" s="30">
        <v>91.0</v>
      </c>
      <c r="H79" s="30">
        <v>24.0</v>
      </c>
      <c r="I79" s="30" t="s">
        <v>106</v>
      </c>
      <c r="J79" s="30">
        <v>24.0</v>
      </c>
      <c r="K79" s="36">
        <f t="shared" si="6"/>
        <v>0</v>
      </c>
      <c r="L79" s="8"/>
      <c r="M79" s="38" t="str">
        <f>IFERROR(__xludf.DUMMYFUNCTION("TEXTJOIN("", "",TRUE,FILTER(D$1:H$1, D79:H79=""Absent""))"),"#N/A")</f>
        <v>#N/A</v>
      </c>
      <c r="N79" s="3">
        <f t="shared" si="1"/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28">
        <v>78.0</v>
      </c>
      <c r="B80" s="82" t="s">
        <v>406</v>
      </c>
      <c r="C80" s="81" t="s">
        <v>407</v>
      </c>
      <c r="D80" s="30" t="s">
        <v>221</v>
      </c>
      <c r="E80" s="30" t="s">
        <v>222</v>
      </c>
      <c r="F80" s="29" t="s">
        <v>27</v>
      </c>
      <c r="G80" s="30">
        <v>91.0</v>
      </c>
      <c r="H80" s="30">
        <v>24.0</v>
      </c>
      <c r="I80" s="29" t="s">
        <v>27</v>
      </c>
      <c r="J80" s="30">
        <v>24.0</v>
      </c>
      <c r="K80" s="36">
        <f t="shared" si="6"/>
        <v>1</v>
      </c>
      <c r="L80" s="8"/>
      <c r="M80" s="38" t="str">
        <f>IFERROR(__xludf.DUMMYFUNCTION("TEXTJOIN("", "",TRUE,FILTER(D$1:H$1, D80:H80=""Absent""))"),"3")</f>
        <v>3</v>
      </c>
      <c r="N80" s="3">
        <f t="shared" si="1"/>
        <v>1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28">
        <v>79.0</v>
      </c>
      <c r="B81" s="81" t="s">
        <v>409</v>
      </c>
      <c r="C81" s="81" t="s">
        <v>410</v>
      </c>
      <c r="D81" s="30" t="s">
        <v>411</v>
      </c>
      <c r="E81" s="30" t="s">
        <v>412</v>
      </c>
      <c r="F81" s="29" t="s">
        <v>27</v>
      </c>
      <c r="G81" s="30">
        <v>91.0</v>
      </c>
      <c r="H81" s="30">
        <v>24.0</v>
      </c>
      <c r="I81" s="29" t="s">
        <v>27</v>
      </c>
      <c r="J81" s="30">
        <v>24.0</v>
      </c>
      <c r="K81" s="36">
        <f t="shared" si="6"/>
        <v>1</v>
      </c>
      <c r="L81" s="8"/>
      <c r="M81" s="38" t="str">
        <f>IFERROR(__xludf.DUMMYFUNCTION("TEXTJOIN("", "",TRUE,FILTER(D$1:H$1, D81:H81=""Absent""))"),"3")</f>
        <v>3</v>
      </c>
      <c r="N81" s="3">
        <f t="shared" si="1"/>
        <v>1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28">
        <v>80.0</v>
      </c>
      <c r="B82" s="86" t="s">
        <v>414</v>
      </c>
      <c r="C82" s="74"/>
      <c r="D82" s="87" t="s">
        <v>416</v>
      </c>
      <c r="E82" s="87" t="s">
        <v>416</v>
      </c>
      <c r="F82" s="87" t="s">
        <v>416</v>
      </c>
      <c r="G82" s="87" t="s">
        <v>416</v>
      </c>
      <c r="H82" s="87" t="s">
        <v>416</v>
      </c>
      <c r="I82" s="87" t="s">
        <v>416</v>
      </c>
      <c r="J82" s="87" t="s">
        <v>416</v>
      </c>
      <c r="K82" s="3"/>
      <c r="L82" s="3"/>
      <c r="M82" s="38" t="str">
        <f>IFERROR(__xludf.DUMMYFUNCTION("TEXTJOIN("", "",TRUE,FILTER(D$1:H$1, D82:H82=""Absent""))"),"#N/A")</f>
        <v>#N/A</v>
      </c>
      <c r="N82" s="3">
        <f t="shared" si="1"/>
        <v>0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3"/>
      <c r="B83" s="33"/>
      <c r="C83" s="74"/>
      <c r="D83" s="33"/>
      <c r="E83" s="33"/>
      <c r="F83" s="33"/>
      <c r="G83" s="33"/>
      <c r="H83" s="33"/>
      <c r="I83" s="33"/>
      <c r="J83" s="3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9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9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9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9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9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9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9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9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9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9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9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9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9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9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9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9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9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9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9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9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9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9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9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9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9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9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9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9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9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9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9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9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9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9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9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9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9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9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9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9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9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9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9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9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9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9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9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9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9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9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9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9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9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9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9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9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9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9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9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9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9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9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9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9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9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9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9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9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9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9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9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9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9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9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9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9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9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9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9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9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9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9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9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9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9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9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9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9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9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9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9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9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9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9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9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9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9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9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9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9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9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9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9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9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9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9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9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9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9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9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9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9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9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9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9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9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9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9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9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9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9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9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9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9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9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9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9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9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9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9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9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9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9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9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9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9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9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9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9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9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9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9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9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9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9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9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9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9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9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9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9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9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9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9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9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9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9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9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9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9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9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9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9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9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9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9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9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9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9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9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9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9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9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9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9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9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9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9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9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9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9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9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9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9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9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9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9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9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9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9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9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9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9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9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9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9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9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9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9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9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9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9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9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9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9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9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9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9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9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9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9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9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9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9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9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9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9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9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9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9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9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9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9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9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9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9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9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9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9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9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9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9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9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9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9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9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9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9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9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9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9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9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9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9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9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9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9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9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9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9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9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9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9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9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9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9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9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9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9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9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9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9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9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9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9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9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9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9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9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9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9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9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9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9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9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9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9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9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9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9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9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9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9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9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9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9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9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9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9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9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9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9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9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9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9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9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9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9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9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9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9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9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9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9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9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9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9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9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9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9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9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9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9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9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9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9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9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9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9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9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9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9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9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9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9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9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9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9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9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9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9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9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9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9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9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9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9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9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9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9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9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9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9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9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9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9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9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9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9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9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9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9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9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9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9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9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9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9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9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9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9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9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9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9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9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9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9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9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9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9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9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9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9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9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9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9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9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9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9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9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9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9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9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9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9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9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9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9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9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9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9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9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9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9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9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9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9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9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9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9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9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9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9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9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9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9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9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9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9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9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9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9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9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9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9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9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9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9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9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9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9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9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9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9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9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9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9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9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9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9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9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9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9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9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9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9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9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9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9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9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9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9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9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9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9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9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9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9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9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9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9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9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9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9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9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9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9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9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9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9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9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9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9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9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9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9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9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9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9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9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9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9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9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9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9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9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9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9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9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9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9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9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9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9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9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9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9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9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9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9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9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9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9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9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9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9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9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9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9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9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9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9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9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9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9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9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9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9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9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9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9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9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9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9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9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9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9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9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</sheetData>
  <mergeCells count="75"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7:L77"/>
    <mergeCell ref="K78:L78"/>
    <mergeCell ref="K79:L79"/>
    <mergeCell ref="K80:L80"/>
    <mergeCell ref="K81:L81"/>
    <mergeCell ref="K70:L70"/>
    <mergeCell ref="K71:L71"/>
    <mergeCell ref="K72:L72"/>
    <mergeCell ref="K73:L73"/>
    <mergeCell ref="K74:L74"/>
    <mergeCell ref="K75:L75"/>
    <mergeCell ref="K76:L76"/>
    <mergeCell ref="K2:L2"/>
    <mergeCell ref="K3:L3"/>
    <mergeCell ref="K5:L5"/>
    <mergeCell ref="K6:L6"/>
    <mergeCell ref="K7:L7"/>
    <mergeCell ref="K8:L8"/>
    <mergeCell ref="K9:L9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1:L21"/>
    <mergeCell ref="K22:L22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2:L42"/>
    <mergeCell ref="K43:L43"/>
    <mergeCell ref="K44:L44"/>
    <mergeCell ref="K45:L45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</mergeCells>
  <conditionalFormatting sqref="D4:J601">
    <cfRule type="beginsWith" dxfId="5" priority="1" operator="beginsWith" text="a">
      <formula>LEFT((D4),LEN("a"))=("a")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58.13"/>
    <col customWidth="1" min="3" max="3" width="20.75"/>
    <col customWidth="1" min="4" max="4" width="15.0"/>
    <col customWidth="1" min="5" max="5" width="14.13"/>
  </cols>
  <sheetData>
    <row r="1">
      <c r="A1" s="4" t="s">
        <v>4</v>
      </c>
      <c r="B1" s="6"/>
      <c r="C1" s="6"/>
      <c r="D1" s="8"/>
      <c r="E1" s="9"/>
      <c r="F1" s="9"/>
      <c r="G1" s="9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 t="s">
        <v>7</v>
      </c>
      <c r="B2" s="6"/>
      <c r="C2" s="6"/>
      <c r="D2" s="8"/>
      <c r="E2" s="9"/>
      <c r="F2" s="9"/>
      <c r="G2" s="9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23" t="s">
        <v>19</v>
      </c>
      <c r="B4" s="23" t="s">
        <v>21</v>
      </c>
      <c r="C4" s="27" t="s">
        <v>24</v>
      </c>
      <c r="D4" s="9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31">
        <v>1.0</v>
      </c>
      <c r="B5" s="32" t="s">
        <v>30</v>
      </c>
      <c r="C5" s="33" t="s">
        <v>31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33"/>
      <c r="B6" s="35" t="s">
        <v>33</v>
      </c>
      <c r="C6" s="33" t="s">
        <v>31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33"/>
      <c r="B7" s="35" t="s">
        <v>35</v>
      </c>
      <c r="C7" s="33" t="s">
        <v>31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33"/>
      <c r="B8" s="35" t="s">
        <v>43</v>
      </c>
      <c r="C8" s="33" t="s">
        <v>31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33"/>
      <c r="B9" s="35" t="s">
        <v>49</v>
      </c>
      <c r="C9" s="33" t="s">
        <v>31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33"/>
      <c r="B10" s="35" t="s">
        <v>51</v>
      </c>
      <c r="C10" s="33" t="s">
        <v>31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33"/>
      <c r="B11" s="35" t="s">
        <v>55</v>
      </c>
      <c r="C11" s="33" t="s">
        <v>31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33"/>
      <c r="B12" s="35" t="s">
        <v>60</v>
      </c>
      <c r="C12" s="33" t="s">
        <v>31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33"/>
      <c r="B13" s="35" t="s">
        <v>62</v>
      </c>
      <c r="C13" s="33" t="s">
        <v>31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33"/>
      <c r="B14" s="35" t="s">
        <v>66</v>
      </c>
      <c r="C14" s="33" t="s">
        <v>31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31">
        <v>2.0</v>
      </c>
      <c r="B15" s="32" t="s">
        <v>69</v>
      </c>
      <c r="C15" s="33" t="s">
        <v>31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33"/>
      <c r="B16" s="35" t="s">
        <v>73</v>
      </c>
      <c r="C16" s="33" t="s">
        <v>31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33"/>
      <c r="B17" s="35" t="s">
        <v>77</v>
      </c>
      <c r="C17" s="33" t="s">
        <v>31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33"/>
      <c r="B18" s="35" t="s">
        <v>82</v>
      </c>
      <c r="C18" s="33" t="s">
        <v>31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33"/>
      <c r="B19" s="35" t="s">
        <v>88</v>
      </c>
      <c r="C19" s="33" t="s">
        <v>31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33"/>
      <c r="B20" s="35" t="s">
        <v>92</v>
      </c>
      <c r="C20" s="33" t="s">
        <v>31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>
      <c r="A21" s="33"/>
      <c r="B21" s="35" t="s">
        <v>96</v>
      </c>
      <c r="C21" s="33" t="s">
        <v>31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>
      <c r="A22" s="33"/>
      <c r="B22" s="35" t="s">
        <v>97</v>
      </c>
      <c r="C22" s="33" t="s">
        <v>31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33"/>
      <c r="B23" s="35" t="s">
        <v>101</v>
      </c>
      <c r="C23" s="33" t="s">
        <v>31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31">
        <v>3.0</v>
      </c>
      <c r="B24" s="32" t="s">
        <v>105</v>
      </c>
      <c r="C24" s="33" t="s">
        <v>31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33"/>
      <c r="B25" s="35" t="s">
        <v>108</v>
      </c>
      <c r="C25" s="33" t="s">
        <v>31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33"/>
      <c r="B26" s="35" t="s">
        <v>112</v>
      </c>
      <c r="C26" s="33" t="s">
        <v>31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33"/>
      <c r="B27" s="35" t="s">
        <v>114</v>
      </c>
      <c r="C27" s="33" t="s">
        <v>31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33"/>
      <c r="B28" s="35" t="s">
        <v>118</v>
      </c>
      <c r="C28" s="33" t="s">
        <v>31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33"/>
      <c r="B29" s="35" t="s">
        <v>119</v>
      </c>
      <c r="C29" s="33" t="s">
        <v>31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33"/>
      <c r="B30" s="35" t="s">
        <v>124</v>
      </c>
      <c r="C30" s="33" t="s">
        <v>31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33"/>
      <c r="B31" s="35" t="s">
        <v>130</v>
      </c>
      <c r="C31" s="33" t="s">
        <v>31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33"/>
      <c r="B32" s="35" t="s">
        <v>133</v>
      </c>
      <c r="C32" s="33" t="s">
        <v>31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31">
        <v>4.0</v>
      </c>
      <c r="B33" s="32" t="s">
        <v>136</v>
      </c>
      <c r="C33" s="33" t="s">
        <v>31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33"/>
      <c r="B34" s="35" t="s">
        <v>140</v>
      </c>
      <c r="C34" s="33" t="s">
        <v>31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33"/>
      <c r="B35" s="35" t="s">
        <v>144</v>
      </c>
      <c r="C35" s="33" t="s">
        <v>31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33"/>
      <c r="B36" s="35" t="s">
        <v>146</v>
      </c>
      <c r="C36" s="33" t="s">
        <v>31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33"/>
      <c r="B37" s="35" t="s">
        <v>150</v>
      </c>
      <c r="C37" s="33" t="s">
        <v>31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33"/>
      <c r="B38" s="35" t="s">
        <v>152</v>
      </c>
      <c r="C38" s="33" t="s">
        <v>31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33"/>
      <c r="B39" s="35" t="s">
        <v>156</v>
      </c>
      <c r="C39" s="33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33"/>
      <c r="B40" s="35" t="s">
        <v>158</v>
      </c>
      <c r="C40" s="33" t="s">
        <v>31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33"/>
      <c r="B41" s="35" t="s">
        <v>162</v>
      </c>
      <c r="C41" s="33" t="s">
        <v>31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31">
        <v>5.0</v>
      </c>
      <c r="B42" s="32" t="s">
        <v>166</v>
      </c>
      <c r="C42" s="33" t="s">
        <v>31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33"/>
      <c r="B43" s="35" t="s">
        <v>168</v>
      </c>
      <c r="C43" s="33" t="s">
        <v>31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33"/>
      <c r="B44" s="35" t="s">
        <v>172</v>
      </c>
      <c r="C44" s="33" t="s">
        <v>31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33"/>
      <c r="B45" s="35" t="s">
        <v>173</v>
      </c>
      <c r="C45" s="33" t="s">
        <v>31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33"/>
      <c r="B46" s="35" t="s">
        <v>177</v>
      </c>
      <c r="C46" s="33" t="s">
        <v>31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33"/>
      <c r="B47" s="35" t="s">
        <v>181</v>
      </c>
      <c r="C47" s="33" t="s">
        <v>31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33"/>
      <c r="B48" s="35" t="s">
        <v>184</v>
      </c>
      <c r="C48" s="33" t="s">
        <v>31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33"/>
      <c r="B49" s="35" t="s">
        <v>188</v>
      </c>
      <c r="C49" s="33" t="s">
        <v>31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74"/>
      <c r="B50" s="35" t="s">
        <v>192</v>
      </c>
      <c r="C50" s="33" t="s">
        <v>31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33"/>
      <c r="B51" s="35" t="s">
        <v>194</v>
      </c>
      <c r="C51" s="33" t="s">
        <v>31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33"/>
      <c r="B52" s="35" t="s">
        <v>197</v>
      </c>
      <c r="C52" s="33" t="s">
        <v>31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33"/>
      <c r="B53" s="35" t="s">
        <v>201</v>
      </c>
      <c r="C53" s="33" t="s">
        <v>31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75">
        <v>7.0</v>
      </c>
      <c r="B54" s="32" t="s">
        <v>203</v>
      </c>
      <c r="C54" s="33" t="s">
        <v>31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74"/>
      <c r="B55" s="35" t="s">
        <v>207</v>
      </c>
      <c r="C55" s="33" t="s">
        <v>31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33"/>
      <c r="B56" s="35" t="s">
        <v>209</v>
      </c>
      <c r="C56" s="33" t="s">
        <v>31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75">
        <v>8.0</v>
      </c>
      <c r="B57" s="32" t="s">
        <v>213</v>
      </c>
      <c r="C57" s="33" t="s">
        <v>31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74"/>
      <c r="B58" s="35" t="s">
        <v>217</v>
      </c>
      <c r="C58" s="33" t="s">
        <v>31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33"/>
      <c r="B59" s="35" t="s">
        <v>218</v>
      </c>
      <c r="C59" s="33" t="s">
        <v>31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33"/>
      <c r="B60" s="35" t="s">
        <v>225</v>
      </c>
      <c r="C60" s="33" t="s">
        <v>31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33"/>
      <c r="B61" s="35" t="s">
        <v>227</v>
      </c>
      <c r="C61" s="33" t="s">
        <v>31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33"/>
      <c r="B62" s="35" t="s">
        <v>232</v>
      </c>
      <c r="C62" s="33" t="s">
        <v>31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33"/>
      <c r="B63" s="35" t="s">
        <v>234</v>
      </c>
      <c r="C63" s="33" t="s">
        <v>31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33"/>
      <c r="B64" s="35" t="s">
        <v>236</v>
      </c>
      <c r="C64" s="33" t="s">
        <v>31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33"/>
      <c r="B65" s="35" t="s">
        <v>239</v>
      </c>
      <c r="C65" s="33" t="s">
        <v>31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33"/>
      <c r="B66" s="35" t="s">
        <v>240</v>
      </c>
      <c r="C66" s="33" t="s">
        <v>31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75">
        <v>9.0</v>
      </c>
      <c r="B67" s="32" t="s">
        <v>243</v>
      </c>
      <c r="C67" s="33" t="s">
        <v>31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74"/>
      <c r="B68" s="35" t="s">
        <v>247</v>
      </c>
      <c r="C68" s="33" t="s">
        <v>31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33"/>
      <c r="B69" s="35" t="s">
        <v>248</v>
      </c>
      <c r="C69" s="33" t="s">
        <v>31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33"/>
      <c r="B70" s="35" t="s">
        <v>251</v>
      </c>
      <c r="C70" s="33" t="s">
        <v>31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33"/>
      <c r="B71" s="35" t="s">
        <v>252</v>
      </c>
      <c r="C71" s="33" t="s">
        <v>31</v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33"/>
      <c r="B72" s="35" t="s">
        <v>255</v>
      </c>
      <c r="C72" s="33" t="s">
        <v>31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33"/>
      <c r="B73" s="35" t="s">
        <v>256</v>
      </c>
      <c r="C73" s="33" t="s">
        <v>31</v>
      </c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33"/>
      <c r="B74" s="35" t="s">
        <v>259</v>
      </c>
      <c r="C74" s="33" t="s">
        <v>31</v>
      </c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33"/>
      <c r="B75" s="35" t="s">
        <v>261</v>
      </c>
      <c r="C75" s="33" t="s">
        <v>31</v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75">
        <v>10.0</v>
      </c>
      <c r="B76" s="32" t="s">
        <v>263</v>
      </c>
      <c r="C76" s="33" t="s">
        <v>31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74"/>
      <c r="B77" s="35" t="s">
        <v>266</v>
      </c>
      <c r="C77" s="33" t="s">
        <v>31</v>
      </c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33"/>
      <c r="B78" s="35" t="s">
        <v>267</v>
      </c>
      <c r="C78" s="33" t="s">
        <v>31</v>
      </c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33"/>
      <c r="B79" s="35" t="s">
        <v>270</v>
      </c>
      <c r="C79" s="33" t="s">
        <v>31</v>
      </c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33"/>
      <c r="B80" s="35" t="s">
        <v>273</v>
      </c>
      <c r="C80" s="33" t="s">
        <v>31</v>
      </c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33"/>
      <c r="B81" s="35" t="s">
        <v>274</v>
      </c>
      <c r="C81" s="33" t="s">
        <v>31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33"/>
      <c r="B82" s="35" t="s">
        <v>277</v>
      </c>
      <c r="C82" s="33" t="s">
        <v>31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33"/>
      <c r="B83" s="35" t="s">
        <v>278</v>
      </c>
      <c r="C83" s="33" t="s">
        <v>31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33"/>
      <c r="B84" s="35" t="s">
        <v>281</v>
      </c>
      <c r="C84" s="33" t="s">
        <v>31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75">
        <v>11.0</v>
      </c>
      <c r="B85" s="32" t="s">
        <v>284</v>
      </c>
      <c r="C85" s="33" t="s">
        <v>31</v>
      </c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74"/>
      <c r="B86" s="35" t="s">
        <v>286</v>
      </c>
      <c r="C86" s="33" t="s">
        <v>31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33"/>
      <c r="B87" s="35" t="s">
        <v>289</v>
      </c>
      <c r="C87" s="33" t="s">
        <v>31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33"/>
      <c r="B88" s="35" t="s">
        <v>290</v>
      </c>
      <c r="C88" s="33" t="s">
        <v>31</v>
      </c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33"/>
      <c r="B89" s="35" t="s">
        <v>294</v>
      </c>
      <c r="C89" s="33" t="s">
        <v>31</v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33"/>
      <c r="B90" s="35" t="s">
        <v>297</v>
      </c>
      <c r="C90" s="33" t="s">
        <v>31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33"/>
      <c r="B91" s="35" t="s">
        <v>298</v>
      </c>
      <c r="C91" s="33" t="s">
        <v>31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33"/>
      <c r="B92" s="35" t="s">
        <v>301</v>
      </c>
      <c r="C92" s="33" t="s">
        <v>31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33"/>
      <c r="B93" s="35" t="s">
        <v>302</v>
      </c>
      <c r="C93" s="33" t="s">
        <v>31</v>
      </c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33"/>
      <c r="B94" s="35" t="s">
        <v>312</v>
      </c>
      <c r="C94" s="33" t="s">
        <v>31</v>
      </c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3"/>
      <c r="B95" s="35" t="s">
        <v>314</v>
      </c>
      <c r="C95" s="33" t="s">
        <v>31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75">
        <v>12.0</v>
      </c>
      <c r="B96" s="32" t="s">
        <v>317</v>
      </c>
      <c r="C96" s="33" t="s">
        <v>31</v>
      </c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74"/>
      <c r="B97" s="35" t="s">
        <v>321</v>
      </c>
      <c r="C97" s="33" t="s">
        <v>31</v>
      </c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33"/>
      <c r="B98" s="35" t="s">
        <v>322</v>
      </c>
      <c r="C98" s="33" t="s">
        <v>31</v>
      </c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33"/>
      <c r="B99" s="35" t="s">
        <v>325</v>
      </c>
      <c r="C99" s="33" t="s">
        <v>31</v>
      </c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33"/>
      <c r="B100" s="35" t="s">
        <v>326</v>
      </c>
      <c r="C100" s="33" t="s">
        <v>31</v>
      </c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3"/>
      <c r="B101" s="35" t="s">
        <v>329</v>
      </c>
      <c r="C101" s="33" t="s">
        <v>31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3"/>
      <c r="B102" s="35" t="s">
        <v>332</v>
      </c>
      <c r="C102" s="33" t="s">
        <v>31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3"/>
      <c r="B103" s="35" t="s">
        <v>333</v>
      </c>
      <c r="C103" s="33" t="s">
        <v>31</v>
      </c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33"/>
      <c r="B104" s="35" t="s">
        <v>336</v>
      </c>
      <c r="C104" s="33" t="s">
        <v>31</v>
      </c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75">
        <v>13.0</v>
      </c>
      <c r="B105" s="32" t="s">
        <v>339</v>
      </c>
      <c r="C105" s="33" t="s">
        <v>31</v>
      </c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74"/>
      <c r="B106" s="35" t="s">
        <v>340</v>
      </c>
      <c r="C106" s="33" t="s">
        <v>31</v>
      </c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33"/>
      <c r="B107" s="35" t="s">
        <v>343</v>
      </c>
      <c r="C107" s="33" t="s">
        <v>31</v>
      </c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33"/>
      <c r="B108" s="35" t="s">
        <v>344</v>
      </c>
      <c r="C108" s="33" t="s">
        <v>31</v>
      </c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33"/>
      <c r="B109" s="35" t="s">
        <v>345</v>
      </c>
      <c r="C109" s="33" t="s">
        <v>31</v>
      </c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33"/>
      <c r="B110" s="35" t="s">
        <v>346</v>
      </c>
      <c r="C110" s="33" t="s">
        <v>31</v>
      </c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33"/>
      <c r="B111" s="35" t="s">
        <v>347</v>
      </c>
      <c r="C111" s="33" t="s">
        <v>31</v>
      </c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33"/>
      <c r="B112" s="35" t="s">
        <v>348</v>
      </c>
      <c r="C112" s="33" t="s">
        <v>31</v>
      </c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33"/>
      <c r="B113" s="35" t="s">
        <v>349</v>
      </c>
      <c r="C113" s="33" t="s">
        <v>31</v>
      </c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75">
        <v>14.0</v>
      </c>
      <c r="B114" s="32" t="s">
        <v>350</v>
      </c>
      <c r="C114" s="33" t="s">
        <v>31</v>
      </c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74"/>
      <c r="B115" s="35" t="s">
        <v>351</v>
      </c>
      <c r="C115" s="33" t="s">
        <v>31</v>
      </c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33"/>
      <c r="B116" s="35" t="s">
        <v>352</v>
      </c>
      <c r="C116" s="33" t="s">
        <v>31</v>
      </c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75">
        <v>15.0</v>
      </c>
      <c r="B117" s="32" t="s">
        <v>353</v>
      </c>
      <c r="C117" s="33" t="s">
        <v>31</v>
      </c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74"/>
      <c r="B118" s="35" t="s">
        <v>354</v>
      </c>
      <c r="C118" s="33" t="s">
        <v>31</v>
      </c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33"/>
      <c r="B119" s="35" t="s">
        <v>209</v>
      </c>
      <c r="C119" s="33" t="s">
        <v>31</v>
      </c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75">
        <v>16.0</v>
      </c>
      <c r="B120" s="32" t="s">
        <v>358</v>
      </c>
      <c r="C120" s="33" t="s">
        <v>31</v>
      </c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74"/>
      <c r="B121" s="35" t="s">
        <v>359</v>
      </c>
      <c r="C121" s="33" t="s">
        <v>31</v>
      </c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33"/>
      <c r="B122" s="35" t="s">
        <v>362</v>
      </c>
      <c r="C122" s="33" t="s">
        <v>31</v>
      </c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33"/>
      <c r="B123" s="35" t="s">
        <v>363</v>
      </c>
      <c r="C123" s="33" t="s">
        <v>31</v>
      </c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33"/>
      <c r="B124" s="35" t="s">
        <v>366</v>
      </c>
      <c r="C124" s="33" t="s">
        <v>31</v>
      </c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33"/>
      <c r="B125" s="35" t="s">
        <v>367</v>
      </c>
      <c r="C125" s="33" t="s">
        <v>31</v>
      </c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33"/>
      <c r="B126" s="35" t="s">
        <v>370</v>
      </c>
      <c r="C126" s="33" t="s">
        <v>31</v>
      </c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33"/>
      <c r="B127" s="35" t="s">
        <v>371</v>
      </c>
      <c r="C127" s="33" t="s">
        <v>31</v>
      </c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75">
        <v>17.0</v>
      </c>
      <c r="B128" s="32" t="s">
        <v>374</v>
      </c>
      <c r="C128" s="33" t="s">
        <v>31</v>
      </c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74"/>
      <c r="B129" s="35" t="s">
        <v>375</v>
      </c>
      <c r="C129" s="33" t="s">
        <v>31</v>
      </c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33"/>
      <c r="B130" s="35" t="s">
        <v>378</v>
      </c>
      <c r="C130" s="33" t="s">
        <v>31</v>
      </c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33"/>
      <c r="B131" s="35" t="s">
        <v>382</v>
      </c>
      <c r="C131" s="33" t="s">
        <v>31</v>
      </c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33"/>
      <c r="B132" s="35" t="s">
        <v>383</v>
      </c>
      <c r="C132" s="33" t="s">
        <v>31</v>
      </c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33"/>
      <c r="B133" s="35" t="s">
        <v>385</v>
      </c>
      <c r="C133" s="33" t="s">
        <v>31</v>
      </c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33"/>
      <c r="B134" s="35" t="s">
        <v>387</v>
      </c>
      <c r="C134" s="33" t="s">
        <v>31</v>
      </c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33"/>
      <c r="B135" s="35" t="s">
        <v>390</v>
      </c>
      <c r="C135" s="33" t="s">
        <v>31</v>
      </c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75">
        <v>18.0</v>
      </c>
      <c r="B136" s="32" t="s">
        <v>392</v>
      </c>
      <c r="C136" s="33" t="s">
        <v>31</v>
      </c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74"/>
      <c r="B137" s="35" t="s">
        <v>394</v>
      </c>
      <c r="C137" s="33" t="s">
        <v>31</v>
      </c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33"/>
      <c r="B138" s="35" t="s">
        <v>397</v>
      </c>
      <c r="C138" s="33" t="s">
        <v>31</v>
      </c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33"/>
      <c r="B139" s="35" t="s">
        <v>398</v>
      </c>
      <c r="C139" s="33" t="s">
        <v>31</v>
      </c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33"/>
      <c r="B140" s="35" t="s">
        <v>401</v>
      </c>
      <c r="C140" s="33" t="s">
        <v>31</v>
      </c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33"/>
      <c r="B141" s="35" t="s">
        <v>404</v>
      </c>
      <c r="C141" s="33" t="s">
        <v>31</v>
      </c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33"/>
      <c r="B142" s="35" t="s">
        <v>405</v>
      </c>
      <c r="C142" s="33" t="s">
        <v>31</v>
      </c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33"/>
      <c r="B143" s="35" t="s">
        <v>408</v>
      </c>
      <c r="C143" s="33" t="s">
        <v>31</v>
      </c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33"/>
      <c r="B144" s="35" t="s">
        <v>413</v>
      </c>
      <c r="C144" s="33" t="s">
        <v>31</v>
      </c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33"/>
      <c r="B145" s="35" t="s">
        <v>415</v>
      </c>
      <c r="C145" s="33" t="s">
        <v>31</v>
      </c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33"/>
      <c r="B146" s="35" t="s">
        <v>417</v>
      </c>
      <c r="C146" s="33" t="s">
        <v>31</v>
      </c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33"/>
      <c r="B147" s="32" t="s">
        <v>418</v>
      </c>
      <c r="C147" s="33" t="s">
        <v>31</v>
      </c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75">
        <v>19.0</v>
      </c>
      <c r="B148" s="35" t="s">
        <v>419</v>
      </c>
      <c r="C148" s="33" t="s">
        <v>31</v>
      </c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74"/>
      <c r="B149" s="35" t="s">
        <v>420</v>
      </c>
      <c r="C149" s="33" t="s">
        <v>31</v>
      </c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33"/>
      <c r="B150" s="35" t="s">
        <v>421</v>
      </c>
      <c r="C150" s="33" t="s">
        <v>31</v>
      </c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33"/>
      <c r="B151" s="35" t="s">
        <v>422</v>
      </c>
      <c r="C151" s="33" t="s">
        <v>31</v>
      </c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33"/>
      <c r="B152" s="35" t="s">
        <v>423</v>
      </c>
      <c r="C152" s="33" t="s">
        <v>31</v>
      </c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33"/>
      <c r="B153" s="35" t="s">
        <v>424</v>
      </c>
      <c r="C153" s="33" t="s">
        <v>31</v>
      </c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33"/>
      <c r="B154" s="35" t="s">
        <v>425</v>
      </c>
      <c r="C154" s="33" t="s">
        <v>31</v>
      </c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33"/>
      <c r="B155" s="35" t="s">
        <v>426</v>
      </c>
      <c r="C155" s="33" t="s">
        <v>31</v>
      </c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33"/>
      <c r="B156" s="35" t="s">
        <v>427</v>
      </c>
      <c r="C156" s="33" t="s">
        <v>31</v>
      </c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33"/>
      <c r="B157" s="35" t="s">
        <v>428</v>
      </c>
      <c r="C157" s="33" t="s">
        <v>31</v>
      </c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33"/>
      <c r="B158" s="35" t="s">
        <v>429</v>
      </c>
      <c r="C158" s="33" t="s">
        <v>31</v>
      </c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75">
        <v>20.0</v>
      </c>
      <c r="B159" s="32" t="s">
        <v>430</v>
      </c>
      <c r="C159" s="33" t="s">
        <v>31</v>
      </c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74"/>
      <c r="B160" s="35" t="s">
        <v>431</v>
      </c>
      <c r="C160" s="33" t="s">
        <v>31</v>
      </c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33"/>
      <c r="B161" s="35" t="s">
        <v>432</v>
      </c>
      <c r="C161" s="33" t="s">
        <v>31</v>
      </c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33"/>
      <c r="B162" s="35" t="s">
        <v>433</v>
      </c>
      <c r="C162" s="33" t="s">
        <v>31</v>
      </c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33"/>
      <c r="B163" s="35" t="s">
        <v>434</v>
      </c>
      <c r="C163" s="33" t="s">
        <v>31</v>
      </c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33"/>
      <c r="B164" s="35" t="s">
        <v>435</v>
      </c>
      <c r="C164" s="33" t="s">
        <v>31</v>
      </c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33"/>
      <c r="B165" s="35" t="s">
        <v>436</v>
      </c>
      <c r="C165" s="33" t="s">
        <v>31</v>
      </c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75">
        <v>21.0</v>
      </c>
      <c r="B166" s="32" t="s">
        <v>437</v>
      </c>
      <c r="C166" s="33" t="s">
        <v>31</v>
      </c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74"/>
      <c r="B167" s="35" t="s">
        <v>438</v>
      </c>
      <c r="C167" s="33" t="s">
        <v>31</v>
      </c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33"/>
      <c r="B168" s="35" t="s">
        <v>439</v>
      </c>
      <c r="C168" s="33" t="s">
        <v>31</v>
      </c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33"/>
      <c r="B169" s="35" t="s">
        <v>440</v>
      </c>
      <c r="C169" s="33" t="s">
        <v>31</v>
      </c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33"/>
      <c r="B170" s="35" t="s">
        <v>441</v>
      </c>
      <c r="C170" s="33" t="s">
        <v>31</v>
      </c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33"/>
      <c r="B171" s="35" t="s">
        <v>442</v>
      </c>
      <c r="C171" s="33" t="s">
        <v>31</v>
      </c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33"/>
      <c r="B172" s="35" t="s">
        <v>443</v>
      </c>
      <c r="C172" s="33" t="s">
        <v>31</v>
      </c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33"/>
      <c r="B173" s="35" t="s">
        <v>444</v>
      </c>
      <c r="C173" s="33" t="s">
        <v>31</v>
      </c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33"/>
      <c r="B174" s="35" t="s">
        <v>445</v>
      </c>
      <c r="C174" s="33" t="s">
        <v>31</v>
      </c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75">
        <v>22.0</v>
      </c>
      <c r="B175" s="32" t="s">
        <v>446</v>
      </c>
      <c r="C175" s="33" t="s">
        <v>31</v>
      </c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74"/>
      <c r="B176" s="35" t="s">
        <v>447</v>
      </c>
      <c r="C176" s="33" t="s">
        <v>31</v>
      </c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33"/>
      <c r="B177" s="35" t="s">
        <v>448</v>
      </c>
      <c r="C177" s="33" t="s">
        <v>31</v>
      </c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33"/>
      <c r="B178" s="35" t="s">
        <v>449</v>
      </c>
      <c r="C178" s="33" t="s">
        <v>31</v>
      </c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33"/>
      <c r="B179" s="35" t="s">
        <v>450</v>
      </c>
      <c r="C179" s="33" t="s">
        <v>31</v>
      </c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33"/>
      <c r="B180" s="35" t="s">
        <v>451</v>
      </c>
      <c r="C180" s="33" t="s">
        <v>31</v>
      </c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33"/>
      <c r="B181" s="35" t="s">
        <v>452</v>
      </c>
      <c r="C181" s="33" t="s">
        <v>31</v>
      </c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33"/>
      <c r="B182" s="35" t="s">
        <v>453</v>
      </c>
      <c r="C182" s="33" t="s">
        <v>31</v>
      </c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33"/>
      <c r="B183" s="35" t="s">
        <v>454</v>
      </c>
      <c r="C183" s="33" t="s">
        <v>31</v>
      </c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75">
        <v>23.0</v>
      </c>
      <c r="B184" s="32" t="s">
        <v>455</v>
      </c>
      <c r="C184" s="88" t="s">
        <v>31</v>
      </c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74"/>
      <c r="B185" s="35" t="s">
        <v>456</v>
      </c>
      <c r="C185" s="88" t="s">
        <v>31</v>
      </c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33"/>
      <c r="B186" s="35" t="s">
        <v>457</v>
      </c>
      <c r="C186" s="88" t="s">
        <v>31</v>
      </c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33"/>
      <c r="B187" s="35" t="s">
        <v>458</v>
      </c>
      <c r="C187" s="88" t="s">
        <v>31</v>
      </c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33"/>
      <c r="B188" s="35" t="s">
        <v>459</v>
      </c>
      <c r="C188" s="88" t="s">
        <v>31</v>
      </c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33"/>
      <c r="B189" s="35" t="s">
        <v>460</v>
      </c>
      <c r="C189" s="88" t="s">
        <v>31</v>
      </c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33"/>
      <c r="B190" s="35" t="s">
        <v>461</v>
      </c>
      <c r="C190" s="88" t="s">
        <v>31</v>
      </c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33"/>
      <c r="B191" s="35" t="s">
        <v>462</v>
      </c>
      <c r="C191" s="88" t="s">
        <v>31</v>
      </c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75">
        <v>24.0</v>
      </c>
      <c r="B192" s="32" t="s">
        <v>463</v>
      </c>
      <c r="C192" s="88" t="s">
        <v>31</v>
      </c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74"/>
      <c r="B193" s="35" t="s">
        <v>464</v>
      </c>
      <c r="C193" s="88" t="s">
        <v>31</v>
      </c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33"/>
      <c r="B194" s="35" t="s">
        <v>465</v>
      </c>
      <c r="C194" s="88" t="s">
        <v>31</v>
      </c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33"/>
      <c r="B195" s="35" t="s">
        <v>466</v>
      </c>
      <c r="C195" s="88" t="s">
        <v>31</v>
      </c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33"/>
      <c r="B196" s="35" t="s">
        <v>467</v>
      </c>
      <c r="C196" s="88" t="s">
        <v>31</v>
      </c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75">
        <v>25.0</v>
      </c>
      <c r="B197" s="32" t="s">
        <v>468</v>
      </c>
      <c r="C197" s="88" t="s">
        <v>31</v>
      </c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74"/>
      <c r="B198" s="35" t="s">
        <v>351</v>
      </c>
      <c r="C198" s="88" t="s">
        <v>31</v>
      </c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33"/>
      <c r="B199" s="35" t="s">
        <v>352</v>
      </c>
      <c r="C199" s="88" t="s">
        <v>31</v>
      </c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75">
        <v>26.0</v>
      </c>
      <c r="B200" s="32" t="s">
        <v>469</v>
      </c>
      <c r="C200" s="88" t="s">
        <v>31</v>
      </c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74"/>
      <c r="B201" s="35" t="s">
        <v>470</v>
      </c>
      <c r="C201" s="88" t="s">
        <v>31</v>
      </c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33"/>
      <c r="B202" s="35" t="s">
        <v>209</v>
      </c>
      <c r="C202" s="88" t="s">
        <v>31</v>
      </c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75">
        <v>27.0</v>
      </c>
      <c r="B203" s="32" t="s">
        <v>471</v>
      </c>
      <c r="C203" s="88" t="s">
        <v>31</v>
      </c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74"/>
      <c r="B204" s="35" t="s">
        <v>472</v>
      </c>
      <c r="C204" s="88" t="s">
        <v>31</v>
      </c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33"/>
      <c r="B205" s="35" t="s">
        <v>473</v>
      </c>
      <c r="C205" s="88" t="s">
        <v>31</v>
      </c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33"/>
      <c r="B206" s="35" t="s">
        <v>474</v>
      </c>
      <c r="C206" s="88" t="s">
        <v>31</v>
      </c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33"/>
      <c r="B207" s="35" t="s">
        <v>475</v>
      </c>
      <c r="C207" s="88" t="s">
        <v>31</v>
      </c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33"/>
      <c r="B208" s="35" t="s">
        <v>476</v>
      </c>
      <c r="C208" s="88" t="s">
        <v>31</v>
      </c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33"/>
      <c r="B209" s="35" t="s">
        <v>477</v>
      </c>
      <c r="C209" s="88" t="s">
        <v>31</v>
      </c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33"/>
      <c r="B210" s="35" t="s">
        <v>478</v>
      </c>
      <c r="C210" s="88" t="s">
        <v>31</v>
      </c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33"/>
      <c r="B211" s="35" t="s">
        <v>479</v>
      </c>
      <c r="C211" s="88" t="s">
        <v>31</v>
      </c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75">
        <v>28.0</v>
      </c>
      <c r="B212" s="32" t="s">
        <v>480</v>
      </c>
      <c r="C212" s="88" t="s">
        <v>31</v>
      </c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74"/>
      <c r="B213" s="35" t="s">
        <v>481</v>
      </c>
      <c r="C213" s="88" t="s">
        <v>31</v>
      </c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33"/>
      <c r="B214" s="35" t="s">
        <v>482</v>
      </c>
      <c r="C214" s="88" t="s">
        <v>31</v>
      </c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33"/>
      <c r="B215" s="35" t="s">
        <v>483</v>
      </c>
      <c r="C215" s="88" t="s">
        <v>31</v>
      </c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33"/>
      <c r="B216" s="35" t="s">
        <v>484</v>
      </c>
      <c r="C216" s="88" t="s">
        <v>31</v>
      </c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33"/>
      <c r="B217" s="35" t="s">
        <v>485</v>
      </c>
      <c r="C217" s="88" t="s">
        <v>31</v>
      </c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33"/>
      <c r="B218" s="35" t="s">
        <v>486</v>
      </c>
      <c r="C218" s="88" t="s">
        <v>31</v>
      </c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33"/>
      <c r="B219" s="35" t="s">
        <v>487</v>
      </c>
      <c r="C219" s="88" t="s">
        <v>31</v>
      </c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33"/>
      <c r="B220" s="35" t="s">
        <v>488</v>
      </c>
      <c r="C220" s="88" t="s">
        <v>31</v>
      </c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33"/>
      <c r="B221" s="35" t="s">
        <v>489</v>
      </c>
      <c r="C221" s="88" t="s">
        <v>31</v>
      </c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75">
        <v>29.0</v>
      </c>
      <c r="B222" s="32" t="s">
        <v>490</v>
      </c>
      <c r="C222" s="88" t="s">
        <v>31</v>
      </c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74"/>
      <c r="B223" s="35" t="s">
        <v>491</v>
      </c>
      <c r="C223" s="88" t="s">
        <v>31</v>
      </c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33"/>
      <c r="B224" s="35" t="s">
        <v>492</v>
      </c>
      <c r="C224" s="88" t="s">
        <v>31</v>
      </c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33"/>
      <c r="B225" s="35" t="s">
        <v>493</v>
      </c>
      <c r="C225" s="88" t="s">
        <v>31</v>
      </c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33"/>
      <c r="B226" s="35" t="s">
        <v>494</v>
      </c>
      <c r="C226" s="88" t="s">
        <v>31</v>
      </c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33"/>
      <c r="B227" s="35" t="s">
        <v>495</v>
      </c>
      <c r="C227" s="88" t="s">
        <v>31</v>
      </c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33"/>
      <c r="B228" s="35" t="s">
        <v>496</v>
      </c>
      <c r="C228" s="88" t="s">
        <v>31</v>
      </c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75">
        <v>30.0</v>
      </c>
      <c r="B229" s="32" t="s">
        <v>497</v>
      </c>
      <c r="C229" s="88" t="s">
        <v>31</v>
      </c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74"/>
      <c r="B230" s="35" t="s">
        <v>498</v>
      </c>
      <c r="C230" s="88" t="s">
        <v>31</v>
      </c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33"/>
      <c r="B231" s="35" t="s">
        <v>499</v>
      </c>
      <c r="C231" s="88" t="s">
        <v>31</v>
      </c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33"/>
      <c r="B232" s="35" t="s">
        <v>500</v>
      </c>
      <c r="C232" s="88" t="s">
        <v>31</v>
      </c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33"/>
      <c r="B233" s="35" t="s">
        <v>501</v>
      </c>
      <c r="C233" s="88" t="s">
        <v>31</v>
      </c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33"/>
      <c r="B234" s="35" t="s">
        <v>502</v>
      </c>
      <c r="C234" s="88" t="s">
        <v>31</v>
      </c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33"/>
      <c r="B235" s="35" t="s">
        <v>503</v>
      </c>
      <c r="C235" s="88" t="s">
        <v>31</v>
      </c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33"/>
      <c r="B236" s="35" t="s">
        <v>504</v>
      </c>
      <c r="C236" s="88" t="s">
        <v>31</v>
      </c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33"/>
      <c r="B237" s="35" t="s">
        <v>505</v>
      </c>
      <c r="C237" s="88" t="s">
        <v>31</v>
      </c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33"/>
      <c r="B238" s="35" t="s">
        <v>506</v>
      </c>
      <c r="C238" s="88" t="s">
        <v>31</v>
      </c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33"/>
      <c r="B239" s="35" t="s">
        <v>507</v>
      </c>
      <c r="C239" s="88" t="s">
        <v>31</v>
      </c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75">
        <v>31.0</v>
      </c>
      <c r="B240" s="32" t="s">
        <v>508</v>
      </c>
      <c r="C240" s="88" t="s">
        <v>31</v>
      </c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74"/>
      <c r="B241" s="35" t="s">
        <v>509</v>
      </c>
      <c r="C241" s="88" t="s">
        <v>31</v>
      </c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33"/>
      <c r="B242" s="35" t="s">
        <v>510</v>
      </c>
      <c r="C242" s="88" t="s">
        <v>31</v>
      </c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33"/>
      <c r="B243" s="35" t="s">
        <v>511</v>
      </c>
      <c r="C243" s="88" t="s">
        <v>31</v>
      </c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33"/>
      <c r="B244" s="35" t="s">
        <v>512</v>
      </c>
      <c r="C244" s="88" t="s">
        <v>31</v>
      </c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33"/>
      <c r="B245" s="35" t="s">
        <v>513</v>
      </c>
      <c r="C245" s="88" t="s">
        <v>31</v>
      </c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33"/>
      <c r="B246" s="35" t="s">
        <v>514</v>
      </c>
      <c r="C246" s="88" t="s">
        <v>31</v>
      </c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33"/>
      <c r="B247" s="35" t="s">
        <v>515</v>
      </c>
      <c r="C247" s="88" t="s">
        <v>31</v>
      </c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75">
        <v>32.0</v>
      </c>
      <c r="B248" s="32" t="s">
        <v>516</v>
      </c>
      <c r="C248" s="88" t="s">
        <v>31</v>
      </c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74"/>
      <c r="B249" s="35" t="s">
        <v>517</v>
      </c>
      <c r="C249" s="88" t="s">
        <v>31</v>
      </c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33"/>
      <c r="B250" s="35" t="s">
        <v>518</v>
      </c>
      <c r="C250" s="88" t="s">
        <v>31</v>
      </c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33"/>
      <c r="B251" s="35" t="s">
        <v>519</v>
      </c>
      <c r="C251" s="88" t="s">
        <v>31</v>
      </c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33"/>
      <c r="B252" s="35" t="s">
        <v>520</v>
      </c>
      <c r="C252" s="88" t="s">
        <v>31</v>
      </c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33"/>
      <c r="B253" s="35" t="s">
        <v>521</v>
      </c>
      <c r="C253" s="88" t="s">
        <v>31</v>
      </c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33"/>
      <c r="B254" s="35" t="s">
        <v>522</v>
      </c>
      <c r="C254" s="88" t="s">
        <v>31</v>
      </c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33"/>
      <c r="B255" s="35" t="s">
        <v>523</v>
      </c>
      <c r="C255" s="88" t="s">
        <v>31</v>
      </c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33"/>
      <c r="B256" s="35" t="s">
        <v>524</v>
      </c>
      <c r="C256" s="88" t="s">
        <v>31</v>
      </c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33"/>
      <c r="B257" s="35" t="s">
        <v>525</v>
      </c>
      <c r="C257" s="88" t="s">
        <v>31</v>
      </c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75">
        <v>33.0</v>
      </c>
      <c r="B258" s="32" t="s">
        <v>526</v>
      </c>
      <c r="C258" s="88" t="s">
        <v>31</v>
      </c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74"/>
      <c r="B259" s="35" t="s">
        <v>527</v>
      </c>
      <c r="C259" s="88" t="s">
        <v>31</v>
      </c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33"/>
      <c r="B260" s="35" t="s">
        <v>528</v>
      </c>
      <c r="C260" s="88" t="s">
        <v>31</v>
      </c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33"/>
      <c r="B261" s="35" t="s">
        <v>529</v>
      </c>
      <c r="C261" s="88" t="s">
        <v>31</v>
      </c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33"/>
      <c r="B262" s="35" t="s">
        <v>530</v>
      </c>
      <c r="C262" s="88" t="s">
        <v>31</v>
      </c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75">
        <v>34.0</v>
      </c>
      <c r="B263" s="32" t="s">
        <v>531</v>
      </c>
      <c r="C263" s="88" t="s">
        <v>31</v>
      </c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74"/>
      <c r="B264" s="35" t="s">
        <v>532</v>
      </c>
      <c r="C264" s="88" t="s">
        <v>31</v>
      </c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33"/>
      <c r="B265" s="35" t="s">
        <v>533</v>
      </c>
      <c r="C265" s="88" t="s">
        <v>31</v>
      </c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33"/>
      <c r="B266" s="35" t="s">
        <v>534</v>
      </c>
      <c r="C266" s="88" t="s">
        <v>31</v>
      </c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33"/>
      <c r="B267" s="35" t="s">
        <v>535</v>
      </c>
      <c r="C267" s="88" t="s">
        <v>31</v>
      </c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75">
        <v>35.0</v>
      </c>
      <c r="B268" s="32" t="s">
        <v>536</v>
      </c>
      <c r="C268" s="88" t="s">
        <v>31</v>
      </c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74"/>
      <c r="B269" s="35" t="s">
        <v>351</v>
      </c>
      <c r="C269" s="88" t="s">
        <v>31</v>
      </c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33"/>
      <c r="B270" s="35" t="s">
        <v>352</v>
      </c>
      <c r="C270" s="88" t="s">
        <v>31</v>
      </c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75">
        <v>36.0</v>
      </c>
      <c r="B271" s="32" t="s">
        <v>537</v>
      </c>
      <c r="C271" s="88" t="s">
        <v>31</v>
      </c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74"/>
      <c r="B272" s="35" t="s">
        <v>538</v>
      </c>
      <c r="C272" s="88" t="s">
        <v>31</v>
      </c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33"/>
      <c r="B273" s="35" t="s">
        <v>209</v>
      </c>
      <c r="C273" s="88" t="s">
        <v>31</v>
      </c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75">
        <v>37.0</v>
      </c>
      <c r="B274" s="32" t="s">
        <v>539</v>
      </c>
      <c r="C274" s="88" t="s">
        <v>31</v>
      </c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74"/>
      <c r="B275" s="35" t="s">
        <v>540</v>
      </c>
      <c r="C275" s="88" t="s">
        <v>31</v>
      </c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33"/>
      <c r="B276" s="35" t="s">
        <v>541</v>
      </c>
      <c r="C276" s="88" t="s">
        <v>31</v>
      </c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33"/>
      <c r="B277" s="35" t="s">
        <v>542</v>
      </c>
      <c r="C277" s="88" t="s">
        <v>31</v>
      </c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33"/>
      <c r="B278" s="35" t="s">
        <v>543</v>
      </c>
      <c r="C278" s="88" t="s">
        <v>31</v>
      </c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33"/>
      <c r="B279" s="35" t="s">
        <v>544</v>
      </c>
      <c r="C279" s="88" t="s">
        <v>31</v>
      </c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33"/>
      <c r="B280" s="35" t="s">
        <v>545</v>
      </c>
      <c r="C280" s="88" t="s">
        <v>31</v>
      </c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33"/>
      <c r="B281" s="35" t="s">
        <v>546</v>
      </c>
      <c r="C281" s="88" t="s">
        <v>31</v>
      </c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33"/>
      <c r="B282" s="35" t="s">
        <v>547</v>
      </c>
      <c r="C282" s="88" t="s">
        <v>31</v>
      </c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33"/>
      <c r="B283" s="35" t="s">
        <v>548</v>
      </c>
      <c r="C283" s="88" t="s">
        <v>31</v>
      </c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75">
        <v>38.0</v>
      </c>
      <c r="B284" s="32" t="s">
        <v>549</v>
      </c>
      <c r="C284" s="88" t="s">
        <v>31</v>
      </c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74"/>
      <c r="B285" s="35" t="s">
        <v>550</v>
      </c>
      <c r="C285" s="88" t="s">
        <v>31</v>
      </c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33"/>
      <c r="B286" s="35" t="s">
        <v>551</v>
      </c>
      <c r="C286" s="88" t="s">
        <v>31</v>
      </c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33"/>
      <c r="B287" s="35" t="s">
        <v>552</v>
      </c>
      <c r="C287" s="88" t="s">
        <v>31</v>
      </c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33"/>
      <c r="B288" s="35" t="s">
        <v>553</v>
      </c>
      <c r="C288" s="88" t="s">
        <v>31</v>
      </c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33"/>
      <c r="B289" s="35" t="s">
        <v>554</v>
      </c>
      <c r="C289" s="88" t="s">
        <v>31</v>
      </c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33"/>
      <c r="B290" s="35" t="s">
        <v>555</v>
      </c>
      <c r="C290" s="88" t="s">
        <v>31</v>
      </c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33"/>
      <c r="B291" s="35" t="s">
        <v>556</v>
      </c>
      <c r="C291" s="88" t="s">
        <v>31</v>
      </c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33"/>
      <c r="B292" s="35" t="s">
        <v>557</v>
      </c>
      <c r="C292" s="88" t="s">
        <v>31</v>
      </c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75">
        <v>39.0</v>
      </c>
      <c r="B293" s="32" t="s">
        <v>558</v>
      </c>
      <c r="C293" s="88" t="s">
        <v>31</v>
      </c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74"/>
      <c r="B294" s="35" t="s">
        <v>559</v>
      </c>
      <c r="C294" s="88" t="s">
        <v>31</v>
      </c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33"/>
      <c r="B295" s="35" t="s">
        <v>560</v>
      </c>
      <c r="C295" s="88" t="s">
        <v>31</v>
      </c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33"/>
      <c r="B296" s="35" t="s">
        <v>561</v>
      </c>
      <c r="C296" s="88" t="s">
        <v>31</v>
      </c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33"/>
      <c r="B297" s="35" t="s">
        <v>562</v>
      </c>
      <c r="C297" s="88" t="s">
        <v>31</v>
      </c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33"/>
      <c r="B298" s="35" t="s">
        <v>563</v>
      </c>
      <c r="C298" s="88" t="s">
        <v>31</v>
      </c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33"/>
      <c r="B299" s="35" t="s">
        <v>564</v>
      </c>
      <c r="C299" s="88" t="s">
        <v>31</v>
      </c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75">
        <v>40.0</v>
      </c>
      <c r="B300" s="32" t="s">
        <v>565</v>
      </c>
      <c r="C300" s="88" t="s">
        <v>31</v>
      </c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74"/>
      <c r="B301" s="35" t="s">
        <v>566</v>
      </c>
      <c r="C301" s="88" t="s">
        <v>31</v>
      </c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33"/>
      <c r="B302" s="35" t="s">
        <v>567</v>
      </c>
      <c r="C302" s="88" t="s">
        <v>31</v>
      </c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33"/>
      <c r="B303" s="35" t="s">
        <v>568</v>
      </c>
      <c r="C303" s="88" t="s">
        <v>31</v>
      </c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33"/>
      <c r="B304" s="35" t="s">
        <v>569</v>
      </c>
      <c r="C304" s="88" t="s">
        <v>31</v>
      </c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33"/>
      <c r="B305" s="35" t="s">
        <v>570</v>
      </c>
      <c r="C305" s="88" t="s">
        <v>31</v>
      </c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33"/>
      <c r="B306" s="35" t="s">
        <v>571</v>
      </c>
      <c r="C306" s="88" t="s">
        <v>31</v>
      </c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33"/>
      <c r="B307" s="35" t="s">
        <v>572</v>
      </c>
      <c r="C307" s="88" t="s">
        <v>31</v>
      </c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75">
        <v>41.0</v>
      </c>
      <c r="B308" s="32" t="s">
        <v>573</v>
      </c>
      <c r="C308" s="88" t="s">
        <v>31</v>
      </c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74"/>
      <c r="B309" s="35" t="s">
        <v>574</v>
      </c>
      <c r="C309" s="88" t="s">
        <v>31</v>
      </c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33"/>
      <c r="B310" s="35" t="s">
        <v>576</v>
      </c>
      <c r="C310" s="88" t="s">
        <v>31</v>
      </c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33"/>
      <c r="B311" s="35" t="s">
        <v>577</v>
      </c>
      <c r="C311" s="88" t="s">
        <v>31</v>
      </c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33"/>
      <c r="B312" s="35" t="s">
        <v>578</v>
      </c>
      <c r="C312" s="88" t="s">
        <v>31</v>
      </c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33"/>
      <c r="B313" s="35" t="s">
        <v>579</v>
      </c>
      <c r="C313" s="88" t="s">
        <v>31</v>
      </c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33"/>
      <c r="B314" s="35" t="s">
        <v>580</v>
      </c>
      <c r="C314" s="88" t="s">
        <v>31</v>
      </c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75">
        <v>42.0</v>
      </c>
      <c r="B315" s="32" t="s">
        <v>581</v>
      </c>
      <c r="C315" s="88" t="s">
        <v>31</v>
      </c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74"/>
      <c r="B316" s="35" t="s">
        <v>582</v>
      </c>
      <c r="C316" s="88" t="s">
        <v>31</v>
      </c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33"/>
      <c r="B317" s="35" t="s">
        <v>583</v>
      </c>
      <c r="C317" s="88" t="s">
        <v>31</v>
      </c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33"/>
      <c r="B318" s="35" t="s">
        <v>584</v>
      </c>
      <c r="C318" s="88" t="s">
        <v>31</v>
      </c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33"/>
      <c r="B319" s="35" t="s">
        <v>585</v>
      </c>
      <c r="C319" s="88" t="s">
        <v>31</v>
      </c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33"/>
      <c r="B320" s="35" t="s">
        <v>586</v>
      </c>
      <c r="C320" s="88" t="s">
        <v>31</v>
      </c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75">
        <v>43.0</v>
      </c>
      <c r="B321" s="32" t="s">
        <v>587</v>
      </c>
      <c r="C321" s="88" t="s">
        <v>31</v>
      </c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74"/>
      <c r="B322" s="35" t="s">
        <v>351</v>
      </c>
      <c r="C322" s="88" t="s">
        <v>31</v>
      </c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33"/>
      <c r="B323" s="35" t="s">
        <v>352</v>
      </c>
      <c r="C323" s="88" t="s">
        <v>31</v>
      </c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33"/>
      <c r="B324" s="32" t="s">
        <v>588</v>
      </c>
      <c r="C324" s="88" t="s">
        <v>31</v>
      </c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33"/>
      <c r="B325" s="35" t="s">
        <v>589</v>
      </c>
      <c r="C325" s="88" t="s">
        <v>31</v>
      </c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33"/>
      <c r="B326" s="35" t="s">
        <v>209</v>
      </c>
      <c r="C326" s="88" t="s">
        <v>31</v>
      </c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75">
        <v>44.0</v>
      </c>
      <c r="B327" s="32" t="s">
        <v>590</v>
      </c>
      <c r="C327" s="88" t="s">
        <v>31</v>
      </c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74"/>
      <c r="B328" s="35" t="s">
        <v>591</v>
      </c>
      <c r="C328" s="88" t="s">
        <v>31</v>
      </c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33"/>
      <c r="B329" s="35" t="s">
        <v>592</v>
      </c>
      <c r="C329" s="88" t="s">
        <v>31</v>
      </c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33"/>
      <c r="B330" s="35" t="s">
        <v>593</v>
      </c>
      <c r="C330" s="88" t="s">
        <v>31</v>
      </c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33"/>
      <c r="B331" s="35" t="s">
        <v>594</v>
      </c>
      <c r="C331" s="88" t="s">
        <v>31</v>
      </c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33"/>
      <c r="B332" s="35" t="s">
        <v>595</v>
      </c>
      <c r="C332" s="88" t="s">
        <v>31</v>
      </c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33"/>
      <c r="B333" s="35" t="s">
        <v>596</v>
      </c>
      <c r="C333" s="88" t="s">
        <v>31</v>
      </c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33"/>
      <c r="B334" s="35" t="s">
        <v>597</v>
      </c>
      <c r="C334" s="88" t="s">
        <v>31</v>
      </c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33"/>
      <c r="B335" s="35" t="s">
        <v>598</v>
      </c>
      <c r="C335" s="88" t="s">
        <v>31</v>
      </c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33"/>
      <c r="B336" s="35" t="s">
        <v>599</v>
      </c>
      <c r="C336" s="88" t="s">
        <v>31</v>
      </c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33"/>
      <c r="B337" s="35" t="s">
        <v>600</v>
      </c>
      <c r="C337" s="88" t="s">
        <v>31</v>
      </c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75">
        <v>45.0</v>
      </c>
      <c r="B338" s="32" t="s">
        <v>601</v>
      </c>
      <c r="C338" s="88" t="s">
        <v>31</v>
      </c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74"/>
      <c r="B339" s="35" t="s">
        <v>602</v>
      </c>
      <c r="C339" s="88" t="s">
        <v>31</v>
      </c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33"/>
      <c r="B340" s="35" t="s">
        <v>603</v>
      </c>
      <c r="C340" s="88" t="s">
        <v>31</v>
      </c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33"/>
      <c r="B341" s="35" t="s">
        <v>604</v>
      </c>
      <c r="C341" s="88" t="s">
        <v>31</v>
      </c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33"/>
      <c r="B342" s="35" t="s">
        <v>605</v>
      </c>
      <c r="C342" s="88" t="s">
        <v>31</v>
      </c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33"/>
      <c r="B343" s="35" t="s">
        <v>606</v>
      </c>
      <c r="C343" s="88" t="s">
        <v>31</v>
      </c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33"/>
      <c r="B344" s="35" t="s">
        <v>607</v>
      </c>
      <c r="C344" s="88" t="s">
        <v>31</v>
      </c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33"/>
      <c r="B345" s="35" t="s">
        <v>608</v>
      </c>
      <c r="C345" s="88" t="s">
        <v>31</v>
      </c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33"/>
      <c r="B346" s="35" t="s">
        <v>609</v>
      </c>
      <c r="C346" s="88" t="s">
        <v>31</v>
      </c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92" t="s">
        <v>610</v>
      </c>
      <c r="B347" s="32" t="s">
        <v>611</v>
      </c>
      <c r="C347" s="88" t="s">
        <v>31</v>
      </c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93"/>
      <c r="B348" s="32"/>
      <c r="C348" s="88" t="s">
        <v>31</v>
      </c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</sheetData>
  <mergeCells count="2">
    <mergeCell ref="A1:D1"/>
    <mergeCell ref="A2:D2"/>
  </mergeCells>
  <dataValidations>
    <dataValidation type="list" allowBlank="1" showErrorMessage="1" sqref="C5:C348">
      <formula1>"Done,Pending"</formula1>
    </dataValidation>
    <dataValidation type="list" allowBlank="1" showErrorMessage="1" sqref="C4">
      <formula1>"Status ,Done,Pending"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88"/>
    <col customWidth="1" min="4" max="4" width="18.63"/>
    <col customWidth="1" min="6" max="6" width="19.38"/>
  </cols>
  <sheetData>
    <row r="2">
      <c r="A2" s="118" t="s">
        <v>9</v>
      </c>
      <c r="B2" s="118" t="s">
        <v>10</v>
      </c>
      <c r="C2" s="119" t="s">
        <v>11</v>
      </c>
      <c r="D2" s="120" t="s">
        <v>616</v>
      </c>
      <c r="E2" s="19" t="s">
        <v>617</v>
      </c>
      <c r="F2" s="120" t="s">
        <v>618</v>
      </c>
    </row>
    <row r="3">
      <c r="A3" s="21">
        <v>1.0</v>
      </c>
      <c r="B3" s="51" t="s">
        <v>25</v>
      </c>
      <c r="C3" s="52" t="s">
        <v>26</v>
      </c>
      <c r="D3" s="21">
        <v>9.0</v>
      </c>
      <c r="E3" s="21">
        <v>5.0</v>
      </c>
      <c r="F3" s="21">
        <v>5.0</v>
      </c>
    </row>
    <row r="4">
      <c r="A4" s="21">
        <v>2.0</v>
      </c>
      <c r="B4" s="65" t="s">
        <v>41</v>
      </c>
      <c r="C4" s="66" t="s">
        <v>44</v>
      </c>
      <c r="D4" s="21">
        <v>10.0</v>
      </c>
      <c r="E4" s="21">
        <v>7.0</v>
      </c>
      <c r="F4" s="21">
        <v>7.0</v>
      </c>
    </row>
    <row r="5">
      <c r="A5" s="21">
        <v>3.0</v>
      </c>
      <c r="B5" s="28" t="s">
        <v>52</v>
      </c>
      <c r="C5" s="47" t="s">
        <v>53</v>
      </c>
      <c r="D5" s="21">
        <v>5.0</v>
      </c>
      <c r="E5" s="21">
        <v>10.0</v>
      </c>
      <c r="F5" s="21">
        <v>10.0</v>
      </c>
    </row>
    <row r="6">
      <c r="A6" s="21">
        <v>4.0</v>
      </c>
      <c r="B6" s="28" t="s">
        <v>57</v>
      </c>
      <c r="C6" s="47" t="s">
        <v>58</v>
      </c>
      <c r="D6" s="21">
        <v>8.0</v>
      </c>
      <c r="E6" s="21">
        <v>5.0</v>
      </c>
      <c r="F6" s="21">
        <v>5.0</v>
      </c>
    </row>
    <row r="7">
      <c r="A7" s="21">
        <v>5.0</v>
      </c>
      <c r="B7" s="51" t="s">
        <v>63</v>
      </c>
      <c r="C7" s="51" t="s">
        <v>64</v>
      </c>
      <c r="D7" s="21">
        <v>6.0</v>
      </c>
      <c r="E7" s="21">
        <v>8.0</v>
      </c>
      <c r="F7" s="21">
        <v>8.0</v>
      </c>
    </row>
    <row r="8">
      <c r="A8" s="21">
        <v>6.0</v>
      </c>
      <c r="B8" s="51" t="s">
        <v>67</v>
      </c>
      <c r="C8" s="51" t="s">
        <v>68</v>
      </c>
      <c r="D8" s="21">
        <v>9.0</v>
      </c>
      <c r="E8" s="21">
        <v>6.0</v>
      </c>
      <c r="F8" s="21">
        <v>6.0</v>
      </c>
    </row>
    <row r="9">
      <c r="A9" s="21">
        <v>7.0</v>
      </c>
      <c r="B9" s="28" t="s">
        <v>74</v>
      </c>
      <c r="C9" s="28" t="s">
        <v>76</v>
      </c>
      <c r="D9" s="21">
        <v>7.0</v>
      </c>
      <c r="E9" s="21">
        <v>9.0</v>
      </c>
      <c r="F9" s="21">
        <v>9.0</v>
      </c>
    </row>
    <row r="10">
      <c r="A10" s="21">
        <v>8.0</v>
      </c>
      <c r="B10" s="28" t="s">
        <v>86</v>
      </c>
      <c r="C10" s="28" t="s">
        <v>87</v>
      </c>
      <c r="D10" s="21">
        <v>10.0</v>
      </c>
      <c r="E10" s="21">
        <v>7.0</v>
      </c>
      <c r="F10" s="21">
        <v>7.0</v>
      </c>
    </row>
    <row r="11">
      <c r="A11" s="21">
        <v>9.0</v>
      </c>
      <c r="B11" s="51" t="s">
        <v>94</v>
      </c>
      <c r="C11" s="51" t="s">
        <v>95</v>
      </c>
      <c r="D11" s="21">
        <v>9.0</v>
      </c>
      <c r="E11" s="21">
        <v>5.0</v>
      </c>
      <c r="F11" s="21">
        <v>5.0</v>
      </c>
    </row>
    <row r="12">
      <c r="A12" s="21">
        <v>10.0</v>
      </c>
      <c r="B12" s="28" t="s">
        <v>94</v>
      </c>
      <c r="C12" s="28" t="s">
        <v>98</v>
      </c>
      <c r="D12" s="21">
        <v>5.0</v>
      </c>
      <c r="E12" s="21">
        <v>10.0</v>
      </c>
      <c r="F12" s="21">
        <v>10.0</v>
      </c>
    </row>
    <row r="13">
      <c r="A13" s="21">
        <v>11.0</v>
      </c>
      <c r="B13" s="28" t="s">
        <v>103</v>
      </c>
      <c r="C13" s="28" t="s">
        <v>104</v>
      </c>
      <c r="D13" s="21">
        <v>9.0</v>
      </c>
      <c r="E13" s="21">
        <v>6.0</v>
      </c>
      <c r="F13" s="21">
        <v>6.0</v>
      </c>
    </row>
    <row r="14">
      <c r="A14" s="21">
        <v>12.0</v>
      </c>
      <c r="B14" s="28" t="s">
        <v>110</v>
      </c>
      <c r="C14" s="28" t="s">
        <v>111</v>
      </c>
      <c r="D14" s="21">
        <v>6.0</v>
      </c>
      <c r="E14" s="21">
        <v>8.0</v>
      </c>
      <c r="F14" s="21">
        <v>8.0</v>
      </c>
    </row>
    <row r="15">
      <c r="A15" s="21">
        <v>13.0</v>
      </c>
      <c r="B15" s="28" t="s">
        <v>116</v>
      </c>
      <c r="C15" s="28" t="s">
        <v>117</v>
      </c>
      <c r="D15" s="21">
        <v>8.0</v>
      </c>
      <c r="E15" s="21">
        <v>5.0</v>
      </c>
      <c r="F15" s="21">
        <v>5.0</v>
      </c>
    </row>
    <row r="16">
      <c r="A16" s="21">
        <v>14.0</v>
      </c>
      <c r="B16" s="28" t="s">
        <v>120</v>
      </c>
      <c r="C16" s="28" t="s">
        <v>121</v>
      </c>
      <c r="D16" s="21">
        <v>10.0</v>
      </c>
      <c r="E16" s="21">
        <v>9.0</v>
      </c>
      <c r="F16" s="21">
        <v>9.0</v>
      </c>
    </row>
    <row r="17">
      <c r="A17" s="21">
        <v>15.0</v>
      </c>
      <c r="B17" s="51" t="s">
        <v>128</v>
      </c>
      <c r="C17" s="51" t="s">
        <v>129</v>
      </c>
      <c r="D17" s="21">
        <v>7.0</v>
      </c>
      <c r="E17" s="21">
        <v>7.0</v>
      </c>
      <c r="F17" s="21">
        <v>7.0</v>
      </c>
    </row>
    <row r="18">
      <c r="A18" s="21">
        <v>16.0</v>
      </c>
      <c r="B18" s="28" t="s">
        <v>135</v>
      </c>
      <c r="C18" s="28" t="s">
        <v>137</v>
      </c>
      <c r="D18" s="21">
        <v>5.0</v>
      </c>
      <c r="E18" s="21">
        <v>10.0</v>
      </c>
      <c r="F18" s="21">
        <v>10.0</v>
      </c>
    </row>
    <row r="19">
      <c r="A19" s="21">
        <v>17.0</v>
      </c>
      <c r="B19" s="28" t="s">
        <v>141</v>
      </c>
      <c r="C19" s="28" t="s">
        <v>142</v>
      </c>
      <c r="D19" s="21">
        <v>9.0</v>
      </c>
      <c r="E19" s="21">
        <v>5.0</v>
      </c>
      <c r="F19" s="21">
        <v>5.0</v>
      </c>
    </row>
    <row r="20">
      <c r="A20" s="21">
        <v>18.0</v>
      </c>
      <c r="B20" s="79" t="s">
        <v>147</v>
      </c>
      <c r="C20" s="79" t="s">
        <v>148</v>
      </c>
      <c r="D20" s="21">
        <v>6.0</v>
      </c>
      <c r="E20" s="21">
        <v>8.0</v>
      </c>
      <c r="F20" s="21">
        <v>8.0</v>
      </c>
    </row>
    <row r="21">
      <c r="A21" s="21">
        <v>19.0</v>
      </c>
      <c r="B21" s="28" t="s">
        <v>153</v>
      </c>
      <c r="C21" s="28" t="s">
        <v>154</v>
      </c>
      <c r="D21" s="21">
        <v>8.0</v>
      </c>
      <c r="E21" s="21">
        <v>6.0</v>
      </c>
      <c r="F21" s="21">
        <v>6.0</v>
      </c>
    </row>
    <row r="22">
      <c r="A22" s="21">
        <v>20.0</v>
      </c>
      <c r="B22" s="28" t="s">
        <v>159</v>
      </c>
      <c r="C22" s="28" t="s">
        <v>161</v>
      </c>
      <c r="D22" s="21">
        <v>7.0</v>
      </c>
      <c r="E22" s="21">
        <v>9.0</v>
      </c>
      <c r="F22" s="21">
        <v>9.0</v>
      </c>
    </row>
    <row r="23">
      <c r="A23" s="21">
        <v>21.0</v>
      </c>
      <c r="B23" s="28" t="s">
        <v>164</v>
      </c>
      <c r="C23" s="28" t="s">
        <v>165</v>
      </c>
      <c r="D23" s="21">
        <v>9.0</v>
      </c>
      <c r="E23" s="21">
        <v>7.0</v>
      </c>
      <c r="F23" s="21">
        <v>7.0</v>
      </c>
    </row>
    <row r="24">
      <c r="A24" s="21">
        <v>22.0</v>
      </c>
      <c r="B24" s="51" t="s">
        <v>169</v>
      </c>
      <c r="C24" s="51" t="s">
        <v>170</v>
      </c>
      <c r="D24" s="21">
        <v>5.0</v>
      </c>
      <c r="E24" s="21">
        <v>10.0</v>
      </c>
      <c r="F24" s="21">
        <v>10.0</v>
      </c>
    </row>
    <row r="25">
      <c r="A25" s="21">
        <v>23.0</v>
      </c>
      <c r="B25" s="28" t="s">
        <v>174</v>
      </c>
      <c r="C25" s="28" t="s">
        <v>175</v>
      </c>
      <c r="D25" s="21">
        <v>5.0</v>
      </c>
      <c r="E25" s="21">
        <v>9.0</v>
      </c>
      <c r="F25" s="21">
        <v>9.0</v>
      </c>
    </row>
    <row r="26">
      <c r="A26" s="21">
        <v>24.0</v>
      </c>
      <c r="B26" s="21" t="s">
        <v>179</v>
      </c>
      <c r="C26" s="21" t="s">
        <v>180</v>
      </c>
      <c r="D26" s="21">
        <v>9.0</v>
      </c>
      <c r="E26" s="21">
        <v>5.0</v>
      </c>
      <c r="F26" s="21">
        <v>5.0</v>
      </c>
    </row>
    <row r="27">
      <c r="A27" s="21">
        <v>25.0</v>
      </c>
      <c r="B27" s="28" t="s">
        <v>185</v>
      </c>
      <c r="C27" s="47" t="s">
        <v>186</v>
      </c>
      <c r="D27" s="21">
        <v>6.0</v>
      </c>
      <c r="E27" s="21">
        <v>8.0</v>
      </c>
      <c r="F27" s="21">
        <v>8.0</v>
      </c>
    </row>
    <row r="28">
      <c r="A28" s="21">
        <v>26.0</v>
      </c>
      <c r="B28" s="51" t="s">
        <v>190</v>
      </c>
      <c r="C28" s="51" t="s">
        <v>191</v>
      </c>
      <c r="D28" s="21">
        <v>8.0</v>
      </c>
      <c r="E28" s="21">
        <v>6.0</v>
      </c>
      <c r="F28" s="21">
        <v>6.0</v>
      </c>
    </row>
    <row r="29">
      <c r="A29" s="21">
        <v>27.0</v>
      </c>
      <c r="B29" s="21" t="s">
        <v>195</v>
      </c>
      <c r="C29" s="21" t="s">
        <v>196</v>
      </c>
      <c r="D29" s="21">
        <v>9.0</v>
      </c>
      <c r="E29" s="21">
        <v>9.0</v>
      </c>
      <c r="F29" s="21">
        <v>9.0</v>
      </c>
    </row>
    <row r="30">
      <c r="A30" s="21">
        <v>28.0</v>
      </c>
      <c r="B30" s="28" t="s">
        <v>199</v>
      </c>
      <c r="C30" s="28" t="s">
        <v>200</v>
      </c>
      <c r="D30" s="21">
        <v>5.0</v>
      </c>
      <c r="E30" s="21">
        <v>9.0</v>
      </c>
      <c r="F30" s="21">
        <v>9.0</v>
      </c>
    </row>
    <row r="31">
      <c r="A31" s="21">
        <v>29.0</v>
      </c>
      <c r="B31" s="28" t="s">
        <v>204</v>
      </c>
      <c r="C31" s="28" t="s">
        <v>205</v>
      </c>
      <c r="D31" s="21">
        <v>9.0</v>
      </c>
      <c r="E31" s="21">
        <v>5.0</v>
      </c>
      <c r="F31" s="21">
        <v>5.0</v>
      </c>
    </row>
    <row r="32">
      <c r="A32" s="21">
        <v>30.0</v>
      </c>
      <c r="B32" s="28" t="s">
        <v>210</v>
      </c>
      <c r="C32" s="28" t="s">
        <v>211</v>
      </c>
      <c r="D32" s="21">
        <v>9.0</v>
      </c>
      <c r="E32" s="21">
        <v>5.0</v>
      </c>
      <c r="F32" s="21">
        <v>5.0</v>
      </c>
    </row>
    <row r="33">
      <c r="A33" s="21">
        <v>31.0</v>
      </c>
      <c r="B33" s="28" t="s">
        <v>214</v>
      </c>
      <c r="C33" s="28" t="s">
        <v>216</v>
      </c>
      <c r="D33" s="21">
        <v>7.0</v>
      </c>
      <c r="E33" s="21">
        <v>10.0</v>
      </c>
      <c r="F33" s="21">
        <v>10.0</v>
      </c>
    </row>
    <row r="34">
      <c r="A34" s="21">
        <v>32.0</v>
      </c>
      <c r="B34" s="28" t="s">
        <v>219</v>
      </c>
      <c r="C34" s="28" t="s">
        <v>220</v>
      </c>
      <c r="D34" s="21">
        <v>5.0</v>
      </c>
      <c r="E34" s="21">
        <v>9.0</v>
      </c>
      <c r="F34" s="21">
        <v>9.0</v>
      </c>
    </row>
    <row r="35">
      <c r="A35" s="21">
        <v>33.0</v>
      </c>
      <c r="B35" s="28" t="s">
        <v>228</v>
      </c>
      <c r="C35" s="47" t="s">
        <v>229</v>
      </c>
      <c r="D35" s="21">
        <v>9.0</v>
      </c>
      <c r="E35" s="21">
        <v>5.0</v>
      </c>
      <c r="F35" s="21">
        <v>5.0</v>
      </c>
    </row>
    <row r="36">
      <c r="A36" s="21">
        <v>34.0</v>
      </c>
      <c r="B36" s="80" t="s">
        <v>233</v>
      </c>
      <c r="C36" s="80" t="s">
        <v>235</v>
      </c>
      <c r="D36" s="21">
        <v>10.0</v>
      </c>
      <c r="E36" s="21">
        <v>5.0</v>
      </c>
      <c r="F36" s="21">
        <v>5.0</v>
      </c>
    </row>
    <row r="37">
      <c r="A37" s="21">
        <v>35.0</v>
      </c>
      <c r="B37" s="28" t="s">
        <v>237</v>
      </c>
      <c r="C37" s="28" t="s">
        <v>238</v>
      </c>
      <c r="D37" s="21">
        <v>6.0</v>
      </c>
      <c r="E37" s="21">
        <v>8.0</v>
      </c>
      <c r="F37" s="21">
        <v>8.0</v>
      </c>
    </row>
    <row r="38">
      <c r="A38" s="21">
        <v>36.0</v>
      </c>
      <c r="B38" s="28" t="s">
        <v>241</v>
      </c>
      <c r="C38" s="28" t="s">
        <v>242</v>
      </c>
      <c r="D38" s="21">
        <v>8.0</v>
      </c>
      <c r="E38" s="21">
        <v>6.0</v>
      </c>
      <c r="F38" s="21">
        <v>6.0</v>
      </c>
    </row>
    <row r="39">
      <c r="A39" s="21">
        <v>37.0</v>
      </c>
      <c r="B39" s="28" t="s">
        <v>244</v>
      </c>
      <c r="C39" s="28" t="s">
        <v>245</v>
      </c>
      <c r="D39" s="21">
        <v>8.0</v>
      </c>
      <c r="E39" s="21">
        <v>6.0</v>
      </c>
      <c r="F39" s="21">
        <v>6.0</v>
      </c>
    </row>
    <row r="40">
      <c r="A40" s="21">
        <v>38.0</v>
      </c>
      <c r="B40" s="21" t="s">
        <v>249</v>
      </c>
      <c r="C40" s="21" t="s">
        <v>250</v>
      </c>
      <c r="D40" s="21">
        <v>5.0</v>
      </c>
      <c r="E40" s="21">
        <v>9.0</v>
      </c>
      <c r="F40" s="21">
        <v>9.0</v>
      </c>
    </row>
    <row r="41">
      <c r="A41" s="21">
        <v>39.0</v>
      </c>
      <c r="B41" s="79" t="s">
        <v>253</v>
      </c>
      <c r="C41" s="79" t="s">
        <v>254</v>
      </c>
      <c r="D41" s="21">
        <v>5.0</v>
      </c>
      <c r="E41" s="21">
        <v>9.0</v>
      </c>
      <c r="F41" s="21">
        <v>9.0</v>
      </c>
    </row>
    <row r="42">
      <c r="A42" s="21">
        <v>40.0</v>
      </c>
      <c r="B42" s="28" t="s">
        <v>257</v>
      </c>
      <c r="C42" s="28" t="s">
        <v>258</v>
      </c>
      <c r="D42" s="21">
        <v>5.0</v>
      </c>
      <c r="E42" s="21">
        <v>7.0</v>
      </c>
      <c r="F42" s="21">
        <v>7.0</v>
      </c>
    </row>
    <row r="43">
      <c r="A43" s="21">
        <v>41.0</v>
      </c>
      <c r="B43" s="28" t="s">
        <v>260</v>
      </c>
      <c r="C43" s="28" t="s">
        <v>262</v>
      </c>
      <c r="D43" s="21">
        <v>7.0</v>
      </c>
      <c r="E43" s="21">
        <v>10.0</v>
      </c>
      <c r="F43" s="21">
        <v>10.0</v>
      </c>
    </row>
    <row r="44">
      <c r="A44" s="21">
        <v>42.0</v>
      </c>
      <c r="B44" s="28" t="s">
        <v>264</v>
      </c>
      <c r="C44" s="28" t="s">
        <v>265</v>
      </c>
      <c r="D44" s="21">
        <v>10.0</v>
      </c>
      <c r="E44" s="21">
        <v>5.0</v>
      </c>
      <c r="F44" s="21">
        <v>5.0</v>
      </c>
    </row>
    <row r="45">
      <c r="A45" s="21">
        <v>43.0</v>
      </c>
      <c r="B45" s="28" t="s">
        <v>268</v>
      </c>
      <c r="C45" s="28" t="s">
        <v>269</v>
      </c>
      <c r="D45" s="21">
        <v>6.0</v>
      </c>
      <c r="E45" s="21">
        <v>8.0</v>
      </c>
      <c r="F45" s="21">
        <v>8.0</v>
      </c>
    </row>
    <row r="46">
      <c r="A46" s="21">
        <v>44.0</v>
      </c>
      <c r="B46" s="65" t="s">
        <v>271</v>
      </c>
      <c r="C46" s="65" t="s">
        <v>272</v>
      </c>
      <c r="D46" s="21">
        <v>8.0</v>
      </c>
      <c r="E46" s="21">
        <v>6.0</v>
      </c>
      <c r="F46" s="21">
        <v>6.0</v>
      </c>
    </row>
    <row r="47">
      <c r="A47" s="21">
        <v>45.0</v>
      </c>
      <c r="B47" s="28" t="s">
        <v>275</v>
      </c>
      <c r="C47" s="28" t="s">
        <v>276</v>
      </c>
      <c r="D47" s="21">
        <v>9.0</v>
      </c>
      <c r="E47" s="21">
        <v>9.0</v>
      </c>
      <c r="F47" s="21">
        <v>9.0</v>
      </c>
    </row>
    <row r="48">
      <c r="A48" s="21">
        <v>46.0</v>
      </c>
      <c r="B48" s="28" t="s">
        <v>279</v>
      </c>
      <c r="C48" s="28" t="s">
        <v>280</v>
      </c>
      <c r="D48" s="21">
        <v>5.0</v>
      </c>
      <c r="E48" s="21">
        <v>7.0</v>
      </c>
      <c r="F48" s="21">
        <v>7.0</v>
      </c>
    </row>
    <row r="49">
      <c r="A49" s="21">
        <v>47.0</v>
      </c>
      <c r="B49" s="28" t="s">
        <v>282</v>
      </c>
      <c r="C49" s="47" t="s">
        <v>283</v>
      </c>
      <c r="D49" s="21">
        <v>10.0</v>
      </c>
      <c r="E49" s="21">
        <v>10.0</v>
      </c>
      <c r="F49" s="21">
        <v>10.0</v>
      </c>
    </row>
    <row r="50">
      <c r="A50" s="21">
        <v>48.0</v>
      </c>
      <c r="B50" s="51" t="s">
        <v>287</v>
      </c>
      <c r="C50" s="52" t="s">
        <v>288</v>
      </c>
      <c r="D50" s="21">
        <v>5.0</v>
      </c>
      <c r="E50" s="21">
        <v>9.0</v>
      </c>
      <c r="F50" s="21">
        <v>9.0</v>
      </c>
    </row>
    <row r="51">
      <c r="A51" s="21">
        <v>49.0</v>
      </c>
      <c r="B51" s="28" t="s">
        <v>575</v>
      </c>
      <c r="C51" s="28" t="s">
        <v>292</v>
      </c>
      <c r="D51" s="21">
        <v>7.0</v>
      </c>
      <c r="E51" s="21">
        <v>5.0</v>
      </c>
      <c r="F51" s="21">
        <v>5.0</v>
      </c>
    </row>
    <row r="52">
      <c r="A52" s="21">
        <v>50.0</v>
      </c>
      <c r="B52" s="28" t="s">
        <v>295</v>
      </c>
      <c r="C52" s="28" t="s">
        <v>296</v>
      </c>
      <c r="D52" s="21">
        <v>5.0</v>
      </c>
      <c r="E52" s="21">
        <v>9.0</v>
      </c>
      <c r="F52" s="21">
        <v>9.0</v>
      </c>
    </row>
    <row r="53">
      <c r="A53" s="21">
        <v>51.0</v>
      </c>
      <c r="B53" s="51" t="s">
        <v>299</v>
      </c>
      <c r="C53" s="51" t="s">
        <v>300</v>
      </c>
      <c r="D53" s="21">
        <v>8.0</v>
      </c>
      <c r="E53" s="21">
        <v>6.0</v>
      </c>
      <c r="F53" s="21">
        <v>6.0</v>
      </c>
    </row>
    <row r="54">
      <c r="A54" s="21">
        <v>52.0</v>
      </c>
      <c r="B54" s="28" t="s">
        <v>303</v>
      </c>
      <c r="C54" s="28" t="s">
        <v>304</v>
      </c>
      <c r="D54" s="21">
        <v>5.0</v>
      </c>
      <c r="E54" s="21">
        <v>9.0</v>
      </c>
      <c r="F54" s="21">
        <v>9.0</v>
      </c>
    </row>
    <row r="55">
      <c r="A55" s="21">
        <v>53.0</v>
      </c>
      <c r="B55" s="28" t="s">
        <v>305</v>
      </c>
      <c r="C55" s="28" t="s">
        <v>306</v>
      </c>
      <c r="D55" s="21">
        <v>9.0</v>
      </c>
      <c r="E55" s="21">
        <v>7.0</v>
      </c>
      <c r="F55" s="21">
        <v>7.0</v>
      </c>
    </row>
    <row r="56">
      <c r="A56" s="21">
        <v>54.0</v>
      </c>
      <c r="B56" s="51" t="s">
        <v>307</v>
      </c>
      <c r="C56" s="51" t="s">
        <v>308</v>
      </c>
      <c r="D56" s="21">
        <v>6.0</v>
      </c>
      <c r="E56" s="21">
        <v>10.0</v>
      </c>
      <c r="F56" s="21">
        <v>10.0</v>
      </c>
    </row>
    <row r="57">
      <c r="A57" s="21">
        <v>55.0</v>
      </c>
      <c r="B57" s="28" t="s">
        <v>309</v>
      </c>
      <c r="C57" s="28" t="s">
        <v>310</v>
      </c>
      <c r="D57" s="21">
        <v>10.0</v>
      </c>
      <c r="E57" s="21">
        <v>5.0</v>
      </c>
      <c r="F57" s="21">
        <v>5.0</v>
      </c>
    </row>
    <row r="58">
      <c r="A58" s="21">
        <v>56.0</v>
      </c>
      <c r="B58" s="28" t="s">
        <v>311</v>
      </c>
      <c r="C58" s="28" t="s">
        <v>313</v>
      </c>
      <c r="D58" s="21">
        <v>7.0</v>
      </c>
      <c r="E58" s="21">
        <v>8.0</v>
      </c>
      <c r="F58" s="21">
        <v>8.0</v>
      </c>
    </row>
    <row r="59">
      <c r="A59" s="21">
        <v>57.0</v>
      </c>
      <c r="B59" s="51" t="s">
        <v>315</v>
      </c>
      <c r="C59" s="51" t="s">
        <v>316</v>
      </c>
      <c r="D59" s="21">
        <v>8.0</v>
      </c>
      <c r="E59" s="21">
        <v>9.0</v>
      </c>
      <c r="F59" s="21">
        <v>9.0</v>
      </c>
    </row>
    <row r="60">
      <c r="A60" s="21">
        <v>58.0</v>
      </c>
      <c r="B60" s="28" t="s">
        <v>318</v>
      </c>
      <c r="C60" s="28" t="s">
        <v>319</v>
      </c>
      <c r="D60" s="21">
        <v>5.0</v>
      </c>
      <c r="E60" s="21">
        <v>6.0</v>
      </c>
      <c r="F60" s="21">
        <v>6.0</v>
      </c>
    </row>
    <row r="61">
      <c r="A61" s="21">
        <v>59.0</v>
      </c>
      <c r="B61" s="28" t="s">
        <v>323</v>
      </c>
      <c r="C61" s="28" t="s">
        <v>324</v>
      </c>
      <c r="D61" s="21">
        <v>9.0</v>
      </c>
      <c r="E61" s="21">
        <v>7.0</v>
      </c>
      <c r="F61" s="21">
        <v>7.0</v>
      </c>
    </row>
    <row r="62">
      <c r="A62" s="21">
        <v>60.0</v>
      </c>
      <c r="B62" s="80" t="s">
        <v>327</v>
      </c>
      <c r="C62" s="28" t="s">
        <v>328</v>
      </c>
      <c r="D62" s="21">
        <v>10.0</v>
      </c>
      <c r="E62" s="21">
        <v>10.0</v>
      </c>
      <c r="F62" s="21">
        <v>10.0</v>
      </c>
    </row>
    <row r="63">
      <c r="A63" s="21">
        <v>61.0</v>
      </c>
      <c r="B63" s="28" t="s">
        <v>330</v>
      </c>
      <c r="C63" s="28" t="s">
        <v>331</v>
      </c>
      <c r="D63" s="21">
        <v>6.0</v>
      </c>
      <c r="E63" s="21">
        <v>5.0</v>
      </c>
      <c r="F63" s="21">
        <v>5.0</v>
      </c>
    </row>
    <row r="64">
      <c r="A64" s="21">
        <v>62.0</v>
      </c>
      <c r="B64" s="28" t="s">
        <v>334</v>
      </c>
      <c r="C64" s="28" t="s">
        <v>335</v>
      </c>
      <c r="D64" s="21">
        <v>7.0</v>
      </c>
      <c r="E64" s="21">
        <v>9.0</v>
      </c>
      <c r="F64" s="21">
        <v>9.0</v>
      </c>
    </row>
    <row r="65">
      <c r="A65" s="21">
        <v>63.0</v>
      </c>
      <c r="B65" s="28" t="s">
        <v>337</v>
      </c>
      <c r="C65" s="28" t="s">
        <v>338</v>
      </c>
      <c r="D65" s="21">
        <v>5.0</v>
      </c>
      <c r="E65" s="21">
        <v>8.0</v>
      </c>
      <c r="F65" s="21">
        <v>8.0</v>
      </c>
    </row>
    <row r="66">
      <c r="A66" s="21">
        <v>64.0</v>
      </c>
      <c r="B66" s="21" t="s">
        <v>341</v>
      </c>
      <c r="C66" s="21" t="s">
        <v>342</v>
      </c>
      <c r="D66" s="21">
        <v>8.0</v>
      </c>
      <c r="E66" s="21">
        <v>6.0</v>
      </c>
      <c r="F66" s="21">
        <v>6.0</v>
      </c>
    </row>
    <row r="67">
      <c r="A67" s="21">
        <v>65.0</v>
      </c>
      <c r="B67" s="28" t="s">
        <v>355</v>
      </c>
      <c r="C67" s="28" t="s">
        <v>356</v>
      </c>
      <c r="D67" s="21">
        <v>9.0</v>
      </c>
      <c r="E67" s="21">
        <v>7.0</v>
      </c>
      <c r="F67" s="21">
        <v>7.0</v>
      </c>
    </row>
    <row r="68">
      <c r="A68" s="21">
        <v>66.0</v>
      </c>
      <c r="B68" s="81" t="s">
        <v>360</v>
      </c>
      <c r="C68" s="81" t="s">
        <v>361</v>
      </c>
      <c r="D68" s="21">
        <v>10.0</v>
      </c>
      <c r="E68" s="21">
        <v>10.0</v>
      </c>
      <c r="F68" s="21">
        <v>10.0</v>
      </c>
    </row>
    <row r="69">
      <c r="A69" s="21">
        <v>67.0</v>
      </c>
      <c r="B69" s="21" t="s">
        <v>364</v>
      </c>
      <c r="C69" s="21" t="s">
        <v>365</v>
      </c>
      <c r="D69" s="21">
        <v>8.0</v>
      </c>
      <c r="E69" s="21">
        <v>9.0</v>
      </c>
      <c r="F69" s="21">
        <v>9.0</v>
      </c>
    </row>
    <row r="70">
      <c r="A70" s="21">
        <v>68.0</v>
      </c>
      <c r="B70" s="96" t="s">
        <v>368</v>
      </c>
      <c r="C70" s="96" t="s">
        <v>369</v>
      </c>
      <c r="D70" s="21">
        <v>6.0</v>
      </c>
      <c r="E70" s="21">
        <v>5.0</v>
      </c>
      <c r="F70" s="21">
        <v>5.0</v>
      </c>
    </row>
    <row r="71">
      <c r="A71" s="21">
        <v>69.0</v>
      </c>
      <c r="B71" s="99" t="s">
        <v>372</v>
      </c>
      <c r="C71" s="99" t="s">
        <v>373</v>
      </c>
      <c r="D71" s="21">
        <v>8.0</v>
      </c>
      <c r="E71" s="21">
        <v>9.0</v>
      </c>
      <c r="F71" s="21">
        <v>9.0</v>
      </c>
    </row>
    <row r="72">
      <c r="A72" s="21">
        <v>70.0</v>
      </c>
      <c r="B72" s="100" t="s">
        <v>376</v>
      </c>
      <c r="C72" s="100" t="s">
        <v>377</v>
      </c>
      <c r="D72" s="21">
        <v>10.0</v>
      </c>
      <c r="E72" s="21">
        <v>7.0</v>
      </c>
      <c r="F72" s="21">
        <v>7.0</v>
      </c>
    </row>
    <row r="73">
      <c r="A73" s="21">
        <v>71.0</v>
      </c>
      <c r="B73" s="102" t="s">
        <v>379</v>
      </c>
      <c r="C73" s="103" t="s">
        <v>380</v>
      </c>
      <c r="D73" s="21">
        <v>5.0</v>
      </c>
      <c r="E73" s="21">
        <v>8.0</v>
      </c>
      <c r="F73" s="21">
        <v>8.0</v>
      </c>
    </row>
    <row r="74">
      <c r="A74" s="21">
        <v>72.0</v>
      </c>
      <c r="B74" s="96" t="s">
        <v>384</v>
      </c>
      <c r="C74" s="96" t="s">
        <v>386</v>
      </c>
      <c r="D74" s="21">
        <v>7.0</v>
      </c>
      <c r="E74" s="21">
        <v>10.0</v>
      </c>
      <c r="F74" s="21">
        <v>10.0</v>
      </c>
    </row>
    <row r="75">
      <c r="A75" s="21">
        <v>73.0</v>
      </c>
      <c r="B75" s="102" t="s">
        <v>388</v>
      </c>
      <c r="C75" s="102" t="s">
        <v>389</v>
      </c>
      <c r="D75" s="21">
        <v>9.0</v>
      </c>
      <c r="E75" s="21">
        <v>6.0</v>
      </c>
      <c r="F75" s="21">
        <v>6.0</v>
      </c>
    </row>
    <row r="76">
      <c r="A76" s="21">
        <v>74.0</v>
      </c>
      <c r="B76" s="102" t="s">
        <v>402</v>
      </c>
      <c r="C76" s="102" t="s">
        <v>403</v>
      </c>
      <c r="D76" s="21">
        <v>6.0</v>
      </c>
      <c r="E76" s="21">
        <v>5.0</v>
      </c>
      <c r="F76" s="21">
        <v>5.0</v>
      </c>
    </row>
    <row r="77">
      <c r="A77" s="21">
        <v>75.0</v>
      </c>
      <c r="B77" s="102" t="s">
        <v>406</v>
      </c>
      <c r="C77" s="102" t="s">
        <v>407</v>
      </c>
      <c r="D77" s="21">
        <v>10.0</v>
      </c>
      <c r="E77" s="21">
        <v>9.0</v>
      </c>
      <c r="F77" s="21">
        <v>9.0</v>
      </c>
    </row>
    <row r="78">
      <c r="A78" s="21">
        <v>76.0</v>
      </c>
      <c r="B78" s="106" t="s">
        <v>409</v>
      </c>
      <c r="C78" s="106" t="s">
        <v>410</v>
      </c>
      <c r="D78" s="21">
        <v>8.0</v>
      </c>
      <c r="E78" s="21">
        <v>8.0</v>
      </c>
      <c r="F78" s="21">
        <v>8.0</v>
      </c>
    </row>
    <row r="79">
      <c r="A79" s="21">
        <v>77.0</v>
      </c>
      <c r="B79" s="108" t="s">
        <v>391</v>
      </c>
      <c r="C79" s="108" t="s">
        <v>393</v>
      </c>
      <c r="D79" s="21">
        <v>5.0</v>
      </c>
      <c r="E79" s="21">
        <v>7.0</v>
      </c>
      <c r="F79" s="21">
        <v>7.0</v>
      </c>
    </row>
    <row r="80">
      <c r="A80" s="21">
        <v>78.0</v>
      </c>
      <c r="B80" s="86" t="s">
        <v>414</v>
      </c>
      <c r="C80" s="86" t="s">
        <v>614</v>
      </c>
      <c r="D80" s="21">
        <v>9.0</v>
      </c>
      <c r="E80" s="21">
        <v>10.0</v>
      </c>
      <c r="F80" s="21">
        <v>10.0</v>
      </c>
    </row>
    <row r="81">
      <c r="A81" s="21">
        <v>79.0</v>
      </c>
      <c r="B81" s="108" t="s">
        <v>395</v>
      </c>
      <c r="C81" s="108" t="s">
        <v>396</v>
      </c>
      <c r="D81" s="21">
        <v>7.0</v>
      </c>
      <c r="E81" s="21">
        <v>6.0</v>
      </c>
      <c r="F81" s="21">
        <v>6.0</v>
      </c>
    </row>
    <row r="82">
      <c r="A82" s="21">
        <v>80.0</v>
      </c>
      <c r="B82" s="114" t="s">
        <v>399</v>
      </c>
      <c r="C82" s="114" t="s">
        <v>400</v>
      </c>
      <c r="D82" s="21">
        <v>10.0</v>
      </c>
      <c r="E82" s="21">
        <v>5.0</v>
      </c>
      <c r="F82" s="21">
        <v>5.0</v>
      </c>
    </row>
    <row r="83">
      <c r="E83" s="21"/>
      <c r="F83" s="21"/>
    </row>
    <row r="84">
      <c r="F84" s="21"/>
    </row>
  </sheetData>
  <drawing r:id="rId1"/>
  <tableParts count="1">
    <tablePart r:id="rId3"/>
  </tableParts>
</worksheet>
</file>