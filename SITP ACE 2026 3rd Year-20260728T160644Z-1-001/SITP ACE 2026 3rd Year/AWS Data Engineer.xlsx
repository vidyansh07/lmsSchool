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Course Timeline" sheetId="3" r:id="rId7"/>
    <sheet state="visible" name="Assessment" sheetId="4" r:id="rId8"/>
    <sheet state="visible" name="Project" sheetId="5" r:id="rId9"/>
  </sheets>
  <definedNames>
    <definedName hidden="1" localSheetId="0" name="_xlnm._FilterDatabase">Attendence!$AW$3:$AY$50</definedName>
    <definedName hidden="1" localSheetId="3" name="_xlnm._FilterDatabase">Assessment!$O$2:$O$47</definedName>
    <definedName hidden="1" localSheetId="4" name="_xlnm._FilterDatabase">Project!$H$2:$H$47</definedName>
  </definedNames>
  <calcPr/>
</workbook>
</file>

<file path=xl/sharedStrings.xml><?xml version="1.0" encoding="utf-8"?>
<sst xmlns="http://schemas.openxmlformats.org/spreadsheetml/2006/main" count="3493" uniqueCount="576">
  <si>
    <t>ARYA COLLEGE OF ENGINEERING</t>
  </si>
  <si>
    <t>SNO</t>
  </si>
  <si>
    <t>S NO</t>
  </si>
  <si>
    <t>Date</t>
  </si>
  <si>
    <t>BLOWN UP SYLLABUS</t>
  </si>
  <si>
    <t>Topic Cover</t>
  </si>
  <si>
    <t>AWS CERTIFIED DATA ENGINEER - ASSOCIATE (DEA-C01)</t>
  </si>
  <si>
    <t>Student Count Online Offline</t>
  </si>
  <si>
    <t xml:space="preserve">Trainer Name </t>
  </si>
  <si>
    <t>Lecturer Name:</t>
  </si>
  <si>
    <t>Student Name</t>
  </si>
  <si>
    <t>29/05/2026</t>
  </si>
  <si>
    <t>No. of Lectures Required: 60</t>
  </si>
  <si>
    <t>Introduction to Data Engineering &amp; AWS</t>
  </si>
  <si>
    <t>RTU Roll No.</t>
  </si>
  <si>
    <t xml:space="preserve">Total Present </t>
  </si>
  <si>
    <t>Lecture No.</t>
  </si>
  <si>
    <t>Mohit</t>
  </si>
  <si>
    <t xml:space="preserve">Total Absent </t>
  </si>
  <si>
    <t>30/05/2026</t>
  </si>
  <si>
    <t>Data Engineering Fundamentals</t>
  </si>
  <si>
    <t xml:space="preserve">Total Class </t>
  </si>
  <si>
    <t>BLOWN UP TOPICS</t>
  </si>
  <si>
    <t>Status</t>
  </si>
  <si>
    <t>Attendance Percent</t>
  </si>
  <si>
    <t>UNIT 1: AWS &amp; DATA ENGINEERING FOUNDATIONS</t>
  </si>
  <si>
    <t>AWS Core Services for Data Engineers</t>
  </si>
  <si>
    <t>Programming for Data Engineering</t>
  </si>
  <si>
    <t>Done</t>
  </si>
  <si>
    <t>Networking &amp; Compute for Data Workloads</t>
  </si>
  <si>
    <t>1. Introduction to Data Engineering &amp; AWS</t>
  </si>
  <si>
    <t>1.1 What is Data Engineering</t>
  </si>
  <si>
    <t xml:space="preserve"> MINI PROJECT 1</t>
  </si>
  <si>
    <t>Assesment 1 (AWS &amp; DATA ENGINEERING FOUNDATIONS ) Out of 40</t>
  </si>
  <si>
    <t>1.1.1 Role of a Data Engineer</t>
  </si>
  <si>
    <t>Assesment 2 (AWS Core Services &amp; Programming For Data Engineering ) Out of 40</t>
  </si>
  <si>
    <t>Assesment 3 (Data Workloads: Networking, Compute &amp; Ingestion ) Out of 40</t>
  </si>
  <si>
    <t>1.1.2 Data Engineer vs Data Analyst vs Data Scientist</t>
  </si>
  <si>
    <t>Assesment 4 (Batch Ingestion Patterns) Out of 40</t>
  </si>
  <si>
    <t>1. Amazon Kinesis Family</t>
  </si>
  <si>
    <t xml:space="preserve">Assesment 5 (AWS Glue &amp; EMR ) Out of 40 </t>
  </si>
  <si>
    <t xml:space="preserve">Assesment 6 (Topics Name ) Out of </t>
  </si>
  <si>
    <t>1.2 DEA-C01 Exam Overview</t>
  </si>
  <si>
    <t>Assesment 7 (Data Formats &amp; AWS Lake Formation ) Out of 40</t>
  </si>
  <si>
    <t>Assesment 8 (Redshift, DynamoDB, RDS ) Out of 40</t>
  </si>
  <si>
    <t>1.2.1 Exam Pattern, Duration, Passing Score</t>
  </si>
  <si>
    <t>Assesment 9 (Database Concept) Out of 40</t>
  </si>
  <si>
    <t xml:space="preserve">Amazon MSK Basics </t>
  </si>
  <si>
    <t>Assesment 10 (Monitoring &amp; Visualization) Out of 40</t>
  </si>
  <si>
    <t>Assesment 11 (Data Security &amp; Governance Quiz) Out of 40</t>
  </si>
  <si>
    <t>Assesment 12 (Data Engineering &amp; RAG Quiz) Out of 40</t>
  </si>
  <si>
    <t>1.2.2 4 Domains &amp; Weightage</t>
  </si>
  <si>
    <t>Total Assessments Missed</t>
  </si>
  <si>
    <t>1.3 AWS Free Tier &amp; Account Setup</t>
  </si>
  <si>
    <t>Project TO Live Dyanmic Website Using Nginx</t>
  </si>
  <si>
    <t>1.4 AWS Global Infrastructure</t>
  </si>
  <si>
    <t>Dynamic Website Live using Docker and Batch Ingestion Patterns</t>
  </si>
  <si>
    <t>1.4.1 Regions &amp; Availability Zones</t>
  </si>
  <si>
    <t>Akansha Meena</t>
  </si>
  <si>
    <t>AWS Glue - ETL Service (1st Part)</t>
  </si>
  <si>
    <t>1.4.2 Edge Locations</t>
  </si>
  <si>
    <t>23EACAD006</t>
  </si>
  <si>
    <t>2. Data Engineering Fundamentals</t>
  </si>
  <si>
    <t>2.1 Types of Data</t>
  </si>
  <si>
    <t>Amazon EMR (Elastic MapReduce)</t>
  </si>
  <si>
    <t>2.1.1 Structured, Semi-Structured, Unstructured</t>
  </si>
  <si>
    <t>13/06/2026</t>
  </si>
  <si>
    <t>Project Using EC2, S3 and Lambda Function</t>
  </si>
  <si>
    <t>2.2 OLTP vs OLAP</t>
  </si>
  <si>
    <t>2.3 ETL vs ELT</t>
  </si>
  <si>
    <t>15/06/2026</t>
  </si>
  <si>
    <t>Workflow Orchestration</t>
  </si>
  <si>
    <t>2.4 Batch vs Streaming Processing</t>
  </si>
  <si>
    <t>16/06/2026</t>
  </si>
  <si>
    <t>2.5 Data Lake vs Data Warehouse vs Lakehouse</t>
  </si>
  <si>
    <t>Amazon S3 — Deep Dive for Data Lakes</t>
  </si>
  <si>
    <t>2.6 Data Volume, Velocity, Variety (3 Vs)</t>
  </si>
  <si>
    <t>17/06/2026</t>
  </si>
  <si>
    <t>ETL Pipeline Project</t>
  </si>
  <si>
    <t>2.7 Data Modeling Basics</t>
  </si>
  <si>
    <t>Ankit mehra</t>
  </si>
  <si>
    <t>18/06/2026</t>
  </si>
  <si>
    <t>23EACCA013</t>
  </si>
  <si>
    <t>2.7.1 Star Schema &amp; Snowflake Schema</t>
  </si>
  <si>
    <t>AWS Lambda Thumnail Project</t>
  </si>
  <si>
    <t>19/06/2026</t>
  </si>
  <si>
    <t>2.7.2 Fact &amp; Dimension Tables</t>
  </si>
  <si>
    <t xml:space="preserve"> Data Formats &amp; Optimization, AWS Lake Formation </t>
  </si>
  <si>
    <t>3. AWS Core Services for Data Engineers</t>
  </si>
  <si>
    <t>20/06/2026</t>
  </si>
  <si>
    <t>AB</t>
  </si>
  <si>
    <t xml:space="preserve">AWS RedShift- Part 1 </t>
  </si>
  <si>
    <t>3.1 IAM — Users, Groups, Roles &amp; Policies</t>
  </si>
  <si>
    <t>22/06/2026</t>
  </si>
  <si>
    <t>3.2 Amazon S3 — Object Storage</t>
  </si>
  <si>
    <t>AWS RedShift- Part 2</t>
  </si>
  <si>
    <t>3.2.1 Buckets, Objects, Versioning</t>
  </si>
  <si>
    <t>Ankit Mewara</t>
  </si>
  <si>
    <t>23/06/2026</t>
  </si>
  <si>
    <t>23EACIT006</t>
  </si>
  <si>
    <t>Relational, NoSQL, Caching &amp; Specialized Databases</t>
  </si>
  <si>
    <t>3.2.2 Storage Classes</t>
  </si>
  <si>
    <t>3.2.3 Lifecycle Policies</t>
  </si>
  <si>
    <t>3.3 AWS CLI &amp; SDK (boto3) Basics</t>
  </si>
  <si>
    <t>24/06/2026</t>
  </si>
  <si>
    <t xml:space="preserve">TEST: Data Store Management </t>
  </si>
  <si>
    <t>3.4 AWS CloudShell</t>
  </si>
  <si>
    <t>25/06/2026</t>
  </si>
  <si>
    <t>4. Programming for Data Engineering</t>
  </si>
  <si>
    <t>E-Commerce Data Warehouse Project Part-1</t>
  </si>
  <si>
    <t>4.1 Python Essentials for Data Engineering</t>
  </si>
  <si>
    <t>26/06/2026</t>
  </si>
  <si>
    <t>4.1.1 Data Types &amp; Control Flow</t>
  </si>
  <si>
    <t>E-Commerce Data Warehouse Project Part-2</t>
  </si>
  <si>
    <t>Anmol Aditya</t>
  </si>
  <si>
    <t>23EACCS046</t>
  </si>
  <si>
    <t>4.1.2 Functions &amp; Modules</t>
  </si>
  <si>
    <t>27/06/2026</t>
  </si>
  <si>
    <t>Querying &amp; Analytics Services</t>
  </si>
  <si>
    <t>4.2 SQL Fundamentals</t>
  </si>
  <si>
    <t>29/06/2026</t>
  </si>
  <si>
    <t>4.2.1 SELECT, JOIN, GROUP BY, HAVING</t>
  </si>
  <si>
    <t>Search &amp; Visualization</t>
  </si>
  <si>
    <t>4.2.2 Subqueries &amp; Window Functions</t>
  </si>
  <si>
    <t>30/06/2026</t>
  </si>
  <si>
    <t>Performance Optimization &amp; Troubleshooting</t>
  </si>
  <si>
    <t>4.2.3 CTEs (Common Table Expressions)</t>
  </si>
  <si>
    <t>4.3 PySpark Basics</t>
  </si>
  <si>
    <t>4.3.1 RDDs vs DataFrames</t>
  </si>
  <si>
    <t>Automation &amp; Infrastructure as Code (IaC)</t>
  </si>
  <si>
    <t>4.3.2 Spark Transformations &amp; Actions</t>
  </si>
  <si>
    <t>Anushka Singh</t>
  </si>
  <si>
    <t>23EACCS052</t>
  </si>
  <si>
    <t>Project Serverless Website Log Analytics Pipeline</t>
  </si>
  <si>
    <t>5. Networking &amp; Compute for Data Workloads</t>
  </si>
  <si>
    <t xml:space="preserve">Project: E-Commerce Using AWS GLue </t>
  </si>
  <si>
    <t>5.1 VPC Basics</t>
  </si>
  <si>
    <t xml:space="preserve">Test: Complet Unit 1-4 </t>
  </si>
  <si>
    <t>5.1.1 Subnets, Route Tables, NAT Gateway</t>
  </si>
  <si>
    <t>Authentication, Authorization , Encryption &amp; Key Management</t>
  </si>
  <si>
    <t>5.1.2 Security Groups &amp; NACLs</t>
  </si>
  <si>
    <t>Arpit Prajapat</t>
  </si>
  <si>
    <t>Data Privacy &amp; Compliance,Data Governance &amp; Cataloging,Network Security for Data Services</t>
  </si>
  <si>
    <t>23EAOCA016</t>
  </si>
  <si>
    <t>5.1.3 VPC Endpoints (Gateway &amp; Interface)</t>
  </si>
  <si>
    <t>AWS Service Costing Lecture</t>
  </si>
  <si>
    <t>5.2 EC2 Overview for Data Workloads</t>
  </si>
  <si>
    <t>Data Lake &amp; Open Table Formats</t>
  </si>
  <si>
    <t>5.3 AWS Lambda</t>
  </si>
  <si>
    <t>RAG Chatbot - Part 1</t>
  </si>
  <si>
    <t>5.3.1 Triggers &amp; Event Sources</t>
  </si>
  <si>
    <t>Arpita Goutam</t>
  </si>
  <si>
    <t>5.3.2 Lambda Layers &amp; Concurrency</t>
  </si>
  <si>
    <t>23EACCS055</t>
  </si>
  <si>
    <t>RAG Chatbot - Part 2</t>
  </si>
  <si>
    <t>16/07/2026</t>
  </si>
  <si>
    <t>5.4 Amazon ECR &amp; Containers Overview</t>
  </si>
  <si>
    <t>Project: Insurance Prediction Project ML (Live Using Docker</t>
  </si>
  <si>
    <t>📁 MINI PROJECT 1: AWS Setup &amp; S3 Data Lake Foundation (Half Day)</t>
  </si>
  <si>
    <t>17/07/2026</t>
  </si>
  <si>
    <t>Taxi-DataLake-Pipeline Project</t>
  </si>
  <si>
    <t>18/07/2026</t>
  </si>
  <si>
    <t>Create AWS Account &amp; Configure Billing Alerts</t>
  </si>
  <si>
    <t>Project: Real-Time Stock Market Data Pipeline Part-1</t>
  </si>
  <si>
    <t>Ashish Kudi</t>
  </si>
  <si>
    <t>23EAOCA019</t>
  </si>
  <si>
    <t>20/07/2026</t>
  </si>
  <si>
    <t>Project: Real-Time Stock Market Data Pipeline Part-2</t>
  </si>
  <si>
    <t>Set up IAM Users, Roles &amp; MFA</t>
  </si>
  <si>
    <t>Create S3 Bucket with Lifecycle Policy</t>
  </si>
  <si>
    <t>Organize Data Lake Folder Structure (raw / curated / consumption)</t>
  </si>
  <si>
    <t>🏭 INDUSTRY LECTURE 1 (1 Hour)</t>
  </si>
  <si>
    <t>Ayushi Raizada</t>
  </si>
  <si>
    <t>23EAOCA020</t>
  </si>
  <si>
    <t>Topic: Modern Data Engineering Stack in Industry</t>
  </si>
  <si>
    <t>Format: Guest Lecture + Q&amp;A Session</t>
  </si>
  <si>
    <t>UNIT 2: DATA INGESTION (Domain 1 — 34%)</t>
  </si>
  <si>
    <t>1.1 Kinesis Data Streams</t>
  </si>
  <si>
    <t>Chakshu Sharma</t>
  </si>
  <si>
    <t>23EACAD030</t>
  </si>
  <si>
    <t>1.1.1 Shards &amp; Producers/Consumers</t>
  </si>
  <si>
    <t>P</t>
  </si>
  <si>
    <t>SUNDAY</t>
  </si>
  <si>
    <t>1.1.2 KCL &amp; KPL</t>
  </si>
  <si>
    <t>1.1.3 Enhanced Fan-Out</t>
  </si>
  <si>
    <t>1.2 Kinesis Data Firehose</t>
  </si>
  <si>
    <t>Deepak purohit</t>
  </si>
  <si>
    <t>1.2.1 Destinations (S3, Redshift, OpenSearch)</t>
  </si>
  <si>
    <t>23EACCS083</t>
  </si>
  <si>
    <t>1.2.2 Data Transformation with Lambda</t>
  </si>
  <si>
    <t>1.2.3 Buffering &amp; Compression</t>
  </si>
  <si>
    <t>1.3 Kinesis Data Analytics / Managed Apache Flink</t>
  </si>
  <si>
    <t>2. Amazon MSK (Managed Streaming for Kafka)</t>
  </si>
  <si>
    <t>2.1 Kafka Concepts (Topics, Partitions, Brokers)</t>
  </si>
  <si>
    <t>Deepali Menaria</t>
  </si>
  <si>
    <t>23EACCA017</t>
  </si>
  <si>
    <t>2.2 MSK Provisioned vs MSK Serverless</t>
  </si>
  <si>
    <t>2.3 MSK Connect</t>
  </si>
  <si>
    <t>2.4 MSK vs Kinesis (When to Use What)</t>
  </si>
  <si>
    <t>3. Other Ingestion Services</t>
  </si>
  <si>
    <t>3.1 AWS DMS (Database Migration Service)</t>
  </si>
  <si>
    <t>PROJECT 1 (S3 ) Out of 40</t>
  </si>
  <si>
    <t>Dev khanna</t>
  </si>
  <si>
    <t>PROJECT 2 (EC2 ) Out of 40</t>
  </si>
  <si>
    <t>3.1.1 Full Load, CDC, Full Load + CDC</t>
  </si>
  <si>
    <t>23EACAD062</t>
  </si>
  <si>
    <t>PROJECT 3 (Lambda) Out of 40</t>
  </si>
  <si>
    <t>PROJECT 4 (RedShift) Out of 40</t>
  </si>
  <si>
    <t>3.1.2 Source &amp; Target Endpoints</t>
  </si>
  <si>
    <t>PROJECT 5 (Insurance Prediction) Out of 40</t>
  </si>
  <si>
    <t>3.2 AWS Schema Conversion Tool (SCT)</t>
  </si>
  <si>
    <t>3.3 AWS DataSync</t>
  </si>
  <si>
    <t>3.4 AWS Transfer Family (SFTP/FTPS/FTP)</t>
  </si>
  <si>
    <t>Dev Kumawat</t>
  </si>
  <si>
    <t>3.5 AWS Snow Family</t>
  </si>
  <si>
    <t>23EACIT009</t>
  </si>
  <si>
    <t>4. Batch Ingestion Patterns</t>
  </si>
  <si>
    <t>A</t>
  </si>
  <si>
    <t>4.1 S3 Multipart Upload</t>
  </si>
  <si>
    <t>4.2 S3 Transfer Acceleration</t>
  </si>
  <si>
    <t>Devraj Singh</t>
  </si>
  <si>
    <t>23EACCS091</t>
  </si>
  <si>
    <t>4.3 S3 Batch Operations</t>
  </si>
  <si>
    <t>4.4 AWS AppFlow (SaaS Integration)</t>
  </si>
  <si>
    <t>4.5 Amazon API Gateway as Data Ingestion Layer</t>
  </si>
  <si>
    <t>4.6 Direct Connect vs VPN for Hybrid Ingestion</t>
  </si>
  <si>
    <t>Dipesh verma</t>
  </si>
  <si>
    <t>23EAOCA026</t>
  </si>
  <si>
    <t>4.7 Idempotency &amp; Replay Patterns</t>
  </si>
  <si>
    <t>5. AWS Glue — ETL Service (Part 1)</t>
  </si>
  <si>
    <t>5.1 Glue Data Catalog</t>
  </si>
  <si>
    <t>5.1.1 Databases, Tables, Schemas</t>
  </si>
  <si>
    <t>Divya</t>
  </si>
  <si>
    <t>5.1.2 Partitions &amp; Schema Evolution</t>
  </si>
  <si>
    <t>23EACCS100</t>
  </si>
  <si>
    <t>5.2 Glue Crawlers</t>
  </si>
  <si>
    <t>Bhavesh Kumar</t>
  </si>
  <si>
    <t>23EACCS071</t>
  </si>
  <si>
    <t>5.2.1 Classifiers (Built-in &amp; Custom)</t>
  </si>
  <si>
    <t>5.2.2 Schedules &amp; Update Behavior</t>
  </si>
  <si>
    <t>5.3 Glue Connections</t>
  </si>
  <si>
    <t>5.4 Glue Workflows &amp; Triggers</t>
  </si>
  <si>
    <t>Divyanshu Sharma</t>
  </si>
  <si>
    <t>Deepak Singh Chouhan</t>
  </si>
  <si>
    <t>23EACAD042</t>
  </si>
  <si>
    <t>23EACAD036</t>
  </si>
  <si>
    <t>6. AWS Glue — ETL Service (Part 2)</t>
  </si>
  <si>
    <t>6.1 Glue Jobs</t>
  </si>
  <si>
    <t>6.1.1 Python Shell Jobs</t>
  </si>
  <si>
    <t>6.1.2 Spark Jobs (PySpark, Scala)</t>
  </si>
  <si>
    <t>6.1.3 Streaming ETL Jobs</t>
  </si>
  <si>
    <t>Hariom Sharma</t>
  </si>
  <si>
    <t>23EACAD047</t>
  </si>
  <si>
    <t>6.2 Glue Job Bookmarks (Incremental Processing)</t>
  </si>
  <si>
    <t>6.3 Glue Studio (Visual ETL)</t>
  </si>
  <si>
    <t>6.4 Glue DataBrew (No-Code Data Prep)</t>
  </si>
  <si>
    <t>6.5 Glue Data Quality</t>
  </si>
  <si>
    <t>6.6 Glue Worker Types (G.1X, G.2X, G.025X)</t>
  </si>
  <si>
    <t>Himesh Soni</t>
  </si>
  <si>
    <t>23EACCS126</t>
  </si>
  <si>
    <t>7. Amazon EMR (Elastic MapReduce)</t>
  </si>
  <si>
    <t>7.1 EMR Architecture</t>
  </si>
  <si>
    <t>7.1.1 Master, Core, Task Nodes</t>
  </si>
  <si>
    <t>7.2 EMR Cluster Types</t>
  </si>
  <si>
    <t>7.2.1 Long-running vs Transient</t>
  </si>
  <si>
    <t>KAMLESH KUMHAR</t>
  </si>
  <si>
    <t>7.2.2 EMR on EC2, EMR on EKS, EMR Serverless</t>
  </si>
  <si>
    <t>23EACCS141</t>
  </si>
  <si>
    <t>7.3 EMR Applications (Spark, Hive, Presto, HBase)</t>
  </si>
  <si>
    <t>Kanika Khetan</t>
  </si>
  <si>
    <t>23EACCS143</t>
  </si>
  <si>
    <t>7.4 EMR Storage (HDFS vs EMRFS)</t>
  </si>
  <si>
    <t>7.5 EMR Instance Fleets &amp; Spot Usage</t>
  </si>
  <si>
    <t>Karan Verma</t>
  </si>
  <si>
    <t>23EACAD058</t>
  </si>
  <si>
    <t>8. Workflow Orchestration</t>
  </si>
  <si>
    <t>Kunal Bafna</t>
  </si>
  <si>
    <t>8.1 AWS Step Functions</t>
  </si>
  <si>
    <t>23EAOCS048</t>
  </si>
  <si>
    <t>8.1.1 Standard vs Express Workflows</t>
  </si>
  <si>
    <t>Lakshy Goyal</t>
  </si>
  <si>
    <t>23EACCS165</t>
  </si>
  <si>
    <t>8.1.2 State Types &amp; Error Handling</t>
  </si>
  <si>
    <t>8.2 Amazon MWAA (Managed Workflows for Apache Airflow)</t>
  </si>
  <si>
    <t>Mahi Soni</t>
  </si>
  <si>
    <t>23EACCS172</t>
  </si>
  <si>
    <t>8.2.1 DAGs &amp; Operators</t>
  </si>
  <si>
    <t>Manish Singh</t>
  </si>
  <si>
    <t>23eacad072</t>
  </si>
  <si>
    <t>8.2.2 Connections &amp; Variables</t>
  </si>
  <si>
    <t>8.3 Amazon EventBridge</t>
  </si>
  <si>
    <t>Mayank Sharma</t>
  </si>
  <si>
    <t>23EACIT029</t>
  </si>
  <si>
    <t>8.3.1 Scheduled Rules</t>
  </si>
  <si>
    <t>Md kaif</t>
  </si>
  <si>
    <t>23EACCS182</t>
  </si>
  <si>
    <t>8.3.2 Event Bus Patterns</t>
  </si>
  <si>
    <t>8.4 AWS Lambda for Orchestration</t>
  </si>
  <si>
    <t>Milan sharma</t>
  </si>
  <si>
    <t>23eaccs188</t>
  </si>
  <si>
    <t>📁 MINI PROJECT 2: Streaming Ingestion Pipeline (Half Day)</t>
  </si>
  <si>
    <t>Set up Kinesis Data Stream → Firehose → S3</t>
  </si>
  <si>
    <t>Mohindar Singh</t>
  </si>
  <si>
    <t>23EACAD077</t>
  </si>
  <si>
    <t>Transform Data using Lambda</t>
  </si>
  <si>
    <t>Nitesh Kumar Dubey</t>
  </si>
  <si>
    <t>Build a Glue Crawler &amp; Catalog Table</t>
  </si>
  <si>
    <t>23EACCS820</t>
  </si>
  <si>
    <t>Query Data using Athena</t>
  </si>
  <si>
    <t>paresh gupta</t>
  </si>
  <si>
    <t>23EACCA037</t>
  </si>
  <si>
    <t>🔴 TEST 1: Data Ingestion &amp; Transformation (Half Day)</t>
  </si>
  <si>
    <t>MCQ (20 Marks) + Scenario-Based (30 Marks)</t>
  </si>
  <si>
    <t>Priyanshi Sain</t>
  </si>
  <si>
    <t>23EACAD089</t>
  </si>
  <si>
    <t>Duration: 1 to 1.5 Hours</t>
  </si>
  <si>
    <t>🏭 INDUSTRY LECTURE 2 (1 Hour)</t>
  </si>
  <si>
    <t>Rakshit Singh Jalal</t>
  </si>
  <si>
    <t>23EACAD094</t>
  </si>
  <si>
    <t>Topic: Building Production Data Pipelines on AWS</t>
  </si>
  <si>
    <t>Ram krishna</t>
  </si>
  <si>
    <t>23EACIT045</t>
  </si>
  <si>
    <t>Ritik</t>
  </si>
  <si>
    <t>UNIT 3: DATA STORE MANAGEMENT (Domain 2 — 26%)</t>
  </si>
  <si>
    <t>23eacad097</t>
  </si>
  <si>
    <t>1. Amazon S3 — Deep Dive for Data Lakes</t>
  </si>
  <si>
    <t>Riya Sharma</t>
  </si>
  <si>
    <t>23EACAD099</t>
  </si>
  <si>
    <t>1.1 S3 Storage Classes</t>
  </si>
  <si>
    <t>Sakshi Singh</t>
  </si>
  <si>
    <t>1.1.1 Standard, IA, One Zone-IA</t>
  </si>
  <si>
    <t>23EACCA042</t>
  </si>
  <si>
    <t>1.1.2 Intelligent-Tiering</t>
  </si>
  <si>
    <t>1.1.3 Glacier Instant, Flexible, Deep Archive</t>
  </si>
  <si>
    <t>Siddharth Singh</t>
  </si>
  <si>
    <t>23EACAD112</t>
  </si>
  <si>
    <t>1.2 Lifecycle Policies &amp; Transitions</t>
  </si>
  <si>
    <t>1.3 S3 Replication (CRR, SRR)</t>
  </si>
  <si>
    <t>1.4 S3 Versioning &amp; MFA Delete</t>
  </si>
  <si>
    <t>Surendra Gurjar</t>
  </si>
  <si>
    <t>23EACCS943</t>
  </si>
  <si>
    <t>1.5 S3 Event Notifications</t>
  </si>
  <si>
    <t>1.6 S3 Select &amp; S3 Object Lambda</t>
  </si>
  <si>
    <t>2. Data Formats &amp; Optimization</t>
  </si>
  <si>
    <t>Vijesh suthar</t>
  </si>
  <si>
    <t>2.1 Data File Formats</t>
  </si>
  <si>
    <t>23EACAD122</t>
  </si>
  <si>
    <t>2.1.1 CSV, JSON, XML</t>
  </si>
  <si>
    <t>2.1.2 Parquet, ORC, Avro</t>
  </si>
  <si>
    <t>Yashashwani Singh</t>
  </si>
  <si>
    <t>23EACAD124</t>
  </si>
  <si>
    <t>2.1.3 Columnar vs Row-Based Storage</t>
  </si>
  <si>
    <t>2.2 Compression Techniques (Snappy, Gzip, Zstd, LZO)</t>
  </si>
  <si>
    <t>2.3 Partitioning Strategies in S3</t>
  </si>
  <si>
    <t>2.4 Bucketing &amp; File Sizing Best Practices</t>
  </si>
  <si>
    <t>2.5 Schema Evolution &amp; Compatibility</t>
  </si>
  <si>
    <t>3. AWS Lake Formation</t>
  </si>
  <si>
    <t>3.1 Building a Data Lake on AWS</t>
  </si>
  <si>
    <t>3.2 Lake Formation Permissions Model</t>
  </si>
  <si>
    <t>3.2.1 LF-Tags &amp; Resource-based Permissions</t>
  </si>
  <si>
    <t>3.2.2 Column / Row / Cell-Level Security</t>
  </si>
  <si>
    <t>3.3 Blueprints &amp; Workflows</t>
  </si>
  <si>
    <t>3.4 Cross-Account Data Sharing</t>
  </si>
  <si>
    <t>3.5 Governed Tables</t>
  </si>
  <si>
    <t>4. Amazon Redshift (Data Warehouse) — Part 1</t>
  </si>
  <si>
    <t>4.1 Redshift Architecture</t>
  </si>
  <si>
    <t>4.1.1 Leader Node &amp; Compute Nodes</t>
  </si>
  <si>
    <t>4.1.2 RA3 vs DC2 Node Types</t>
  </si>
  <si>
    <t>4.1.3 Redshift Serverless</t>
  </si>
  <si>
    <t>4.2 Distribution Styles (KEY, EVEN, ALL, AUTO)</t>
  </si>
  <si>
    <t>4.3 Sort Keys (Compound, Interleaved)</t>
  </si>
  <si>
    <t>4.4 COPY &amp; UNLOAD Commands</t>
  </si>
  <si>
    <t>4.5 Redshift Spectrum</t>
  </si>
  <si>
    <t>5. Amazon Redshift (Data Warehouse) — Part 2</t>
  </si>
  <si>
    <t>5.1 Workload Management (WLM)</t>
  </si>
  <si>
    <t>5.1.1 Manual WLM vs Auto WLM</t>
  </si>
  <si>
    <t>5.1.2 Query Queues &amp; Concurrency Scaling</t>
  </si>
  <si>
    <t>5.2 Materialized Views &amp; Result Caching</t>
  </si>
  <si>
    <t>5.3 Redshift Data Sharing</t>
  </si>
  <si>
    <t>5.4 Federated Queries</t>
  </si>
  <si>
    <t>5.5 VACUUM &amp; ANALYZE</t>
  </si>
  <si>
    <t>5.6 Snapshots &amp; Cross-Region Backup</t>
  </si>
  <si>
    <t>6. NoSQL &amp; Specialized Databases</t>
  </si>
  <si>
    <t>LT</t>
  </si>
  <si>
    <t>6.1 Amazon DynamoDB</t>
  </si>
  <si>
    <t>6.1.1 Partition Key &amp; Sort Key</t>
  </si>
  <si>
    <t>6.1.2 Read/Write Capacity (Provisioned vs On-Demand)</t>
  </si>
  <si>
    <t>6.1.3 GSI vs LSI</t>
  </si>
  <si>
    <t>6.1.4 DynamoDB Streams &amp; Triggers</t>
  </si>
  <si>
    <t>6.1.5 DAX (DynamoDB Accelerator)</t>
  </si>
  <si>
    <t>6.1.6 Global Tables</t>
  </si>
  <si>
    <t>6.2 Amazon DocumentDB</t>
  </si>
  <si>
    <t>6.3 Amazon Keyspaces (Cassandra)</t>
  </si>
  <si>
    <t>6.4 Amazon Neptune (Graph Database)</t>
  </si>
  <si>
    <t>6.5 Amazon Timestream (Time-Series)</t>
  </si>
  <si>
    <t>7. Relational &amp; Caching Databases</t>
  </si>
  <si>
    <t>7.1 Amazon RDS Overview (MySQL, PostgreSQL, Oracle, SQL Server)</t>
  </si>
  <si>
    <t>7.2 Amazon Aurora</t>
  </si>
  <si>
    <t>7.2.1 Aurora Serverless v2</t>
  </si>
  <si>
    <t>7.2.2 Aurora Global Database</t>
  </si>
  <si>
    <t>7.3 Amazon ElastiCache</t>
  </si>
  <si>
    <t>7.3.1 Redis vs Memcached</t>
  </si>
  <si>
    <t>7.4 Amazon MemoryDB for Redis</t>
  </si>
  <si>
    <t>7.5 Database Migration Patterns</t>
  </si>
  <si>
    <t>📁 MINI PROJECT 3: Data Warehouse Setup (Half Day)</t>
  </si>
  <si>
    <t>Provision Amazon Redshift Cluster (or Serverless)</t>
  </si>
  <si>
    <t>Load Data from S3 using COPY command</t>
  </si>
  <si>
    <t>Design Star Schema with Fact &amp; Dimension Tables</t>
  </si>
  <si>
    <t>Query Data using Redshift Spectrum</t>
  </si>
  <si>
    <t>🔴 TEST 2: Data Store Management (Half Day)</t>
  </si>
  <si>
    <t>🏭 INDUSTRY LECTURE 3 (1 Hour)</t>
  </si>
  <si>
    <t>Topic: Choosing the Right Data Store — Lake vs Warehouse vs NoSQL</t>
  </si>
  <si>
    <t>UNIT 4: DATA OPERATIONS &amp; SUPPORT (Domain 3 — 22%)</t>
  </si>
  <si>
    <t>1. Querying &amp; Analytics Services</t>
  </si>
  <si>
    <t>1.1 Amazon Athena</t>
  </si>
  <si>
    <t>1.1.1 Serverless SQL on S3</t>
  </si>
  <si>
    <t>1.1.2 Workgroups &amp; Query Result Location</t>
  </si>
  <si>
    <t>1.1.3 Federated Queries</t>
  </si>
  <si>
    <t>1.1.4 Athena for Apache Spark</t>
  </si>
  <si>
    <t>1.2 Amazon Redshift Spectrum</t>
  </si>
  <si>
    <t>1.3 Performance Tuning for Athena</t>
  </si>
  <si>
    <t>1.3.1 Partitioning &amp; Bucketing</t>
  </si>
  <si>
    <t>1.3.2 Columnar Formats &amp; Compression</t>
  </si>
  <si>
    <t>1.3.3 CREATE TABLE AS (CTAS) Optimization</t>
  </si>
  <si>
    <t>2. Search &amp; Visualization</t>
  </si>
  <si>
    <t>2.1 Amazon OpenSearch Service</t>
  </si>
  <si>
    <t>2.1.1 OpenSearch vs Elasticsearch</t>
  </si>
  <si>
    <t>2.1.2 Index Patterns &amp; Mappings</t>
  </si>
  <si>
    <t>2.1.3 OpenSearch Dashboards</t>
  </si>
  <si>
    <t>2.1.4 OpenSearch Serverless</t>
  </si>
  <si>
    <t>2.2 Amazon QuickSight</t>
  </si>
  <si>
    <t>2.2.1 Datasets &amp; Analyses</t>
  </si>
  <si>
    <t>2.2.2 SPICE Engine</t>
  </si>
  <si>
    <t>2.2.3 Row-Level &amp; Column-Level Security</t>
  </si>
  <si>
    <t>2.2.4 Embedded Analytics</t>
  </si>
  <si>
    <t>3. Monitoring &amp; Logging</t>
  </si>
  <si>
    <t>3.1 Amazon CloudWatch</t>
  </si>
  <si>
    <t>3.1.1 Metrics, Logs &amp; Alarms</t>
  </si>
  <si>
    <t>3.1.2 Log Groups &amp; Log Streams</t>
  </si>
  <si>
    <t>3.1.3 CloudWatch Logs Insights</t>
  </si>
  <si>
    <t>3.1.4 Custom Metrics for Data Pipelines</t>
  </si>
  <si>
    <t>3.2 AWS CloudTrail</t>
  </si>
  <si>
    <t>3.2.1 Management Events vs Data Events</t>
  </si>
  <si>
    <t>3.2.2 CloudTrail Lake</t>
  </si>
  <si>
    <t>3.3 AWS X-Ray for Tracing</t>
  </si>
  <si>
    <t>3.4 EventBridge for Event-Driven Monitoring</t>
  </si>
  <si>
    <t>4. Performance Optimization &amp; Troubleshooting</t>
  </si>
  <si>
    <t>4.1 Glue Job Performance Tuning</t>
  </si>
  <si>
    <t>4.1.1 Worker Type &amp; DPU Sizing</t>
  </si>
  <si>
    <t>4.1.2 Push-Down Predicates</t>
  </si>
  <si>
    <t>4.1.3 Job Bookmarks</t>
  </si>
  <si>
    <t>4.2 EMR Performance Optimization</t>
  </si>
  <si>
    <t>4.2.1 Spot Instances &amp; Auto Scaling</t>
  </si>
  <si>
    <t>4.2.2 Spark Tuning (Partitions, Executors)</t>
  </si>
  <si>
    <t>4.3 Redshift Query Optimization</t>
  </si>
  <si>
    <t>4.3.1 EXPLAIN Plans</t>
  </si>
  <si>
    <t>4.3.2 Query Monitoring Rules (QMR)</t>
  </si>
  <si>
    <t>4.4 Common Pipeline Failures &amp; Recovery</t>
  </si>
  <si>
    <t>5. Automation &amp; Infrastructure as Code (IaC)</t>
  </si>
  <si>
    <t>5.1 AWS CloudFormation</t>
  </si>
  <si>
    <t>5.1.1 Templates, Stacks, StackSets</t>
  </si>
  <si>
    <t>5.1.2 Change Sets &amp; Drift Detection</t>
  </si>
  <si>
    <t>5.2 AWS CDK (Cloud Development Kit)</t>
  </si>
  <si>
    <t>5.3 AWS SAM (Serverless Application Model)</t>
  </si>
  <si>
    <t>5.4 AWS CodePipeline for Data Workflows</t>
  </si>
  <si>
    <t>5.5 AWS CodeBuild &amp; CodeCommit</t>
  </si>
  <si>
    <t>5.6 Terraform Overview (Industry Standard)</t>
  </si>
  <si>
    <t>6. Cost Optimization for Data Workloads</t>
  </si>
  <si>
    <t>6.1 S3 Storage Class Analysis &amp; Intelligent-Tiering</t>
  </si>
  <si>
    <t>6.2 Glue Job Cost Optimization</t>
  </si>
  <si>
    <t>6.3 EMR Cost Reduction (Spot, Right-Sizing)</t>
  </si>
  <si>
    <t>6.4 Redshift Reserved Nodes &amp; Concurrency Scaling</t>
  </si>
  <si>
    <t>6.5 Athena Query Cost Reduction</t>
  </si>
  <si>
    <t>6.6 AWS Cost Explorer &amp; Budgets</t>
  </si>
  <si>
    <t>6.7 AWS Cost &amp; Usage Report (CUR)</t>
  </si>
  <si>
    <t>6.8 Tagging Strategy for Data Resources</t>
  </si>
  <si>
    <t>📁 MINI PROJECT 4: End-to-End Analytics Pipeline (Half Day)</t>
  </si>
  <si>
    <t>Ingest Data → Transform with Glue → Store in S3</t>
  </si>
  <si>
    <t>Query via Athena &amp; Visualize in QuickSight</t>
  </si>
  <si>
    <t>Set up CloudWatch Alarms for Pipeline Failures</t>
  </si>
  <si>
    <t>Automate with Step Functions</t>
  </si>
  <si>
    <t>🔴 TEST 3: Data Operations &amp; Support (Half Day)</t>
  </si>
  <si>
    <t>🏭 INDUSTRY LECTURE 4 (1 Hour)</t>
  </si>
  <si>
    <t>Topic: MLOps &amp; DataOps — Operationalizing Data at Scale</t>
  </si>
  <si>
    <t>UNIT 5: DATA SECURITY &amp; GOVERNANCE (Domain 4 — 18%)</t>
  </si>
  <si>
    <t>1. Authentication &amp; Authorization</t>
  </si>
  <si>
    <t>1.1 IAM for Data Services (Deep Dive)</t>
  </si>
  <si>
    <t>1.1.1 Resource-Based vs Identity-Based Policies</t>
  </si>
  <si>
    <t>1.1.2 Permission Boundaries</t>
  </si>
  <si>
    <t>1.1.3 IAM Policy Conditions</t>
  </si>
  <si>
    <t>1.2 AWS IAM Identity Center (formerly SSO)</t>
  </si>
  <si>
    <t>1.3 AWS Organizations</t>
  </si>
  <si>
    <t>1.3.1 SCPs (Service Control Policies)</t>
  </si>
  <si>
    <t>1.3.2 Cross-Account Access Patterns</t>
  </si>
  <si>
    <t>1.4 AWS STS &amp; Assume Role</t>
  </si>
  <si>
    <t>1.5 Amazon Cognito for App Authentication</t>
  </si>
  <si>
    <t>2. Encryption &amp; Key Management</t>
  </si>
  <si>
    <t>2.1 AWS KMS (Key Management Service)</t>
  </si>
  <si>
    <t>2.1.1 AWS Managed vs Customer Managed Keys</t>
  </si>
  <si>
    <t>2.1.2 Key Rotation</t>
  </si>
  <si>
    <t>2.1.3 Envelope Encryption</t>
  </si>
  <si>
    <t>2.1.4 Multi-Region Keys</t>
  </si>
  <si>
    <t>2.2 AWS CloudHSM</t>
  </si>
  <si>
    <t>2.3 Encryption at Rest</t>
  </si>
  <si>
    <t>2.3.1 S3 (SSE-S3, SSE-KMS, SSE-C, DSSE-KMS)</t>
  </si>
  <si>
    <t>2.3.2 Redshift, RDS, DynamoDB</t>
  </si>
  <si>
    <t>2.4 Encryption in Transit (TLS / SSL)</t>
  </si>
  <si>
    <t>2.5 AWS Certificate Manager (ACM)</t>
  </si>
  <si>
    <t>2.6 AWS Secrets Manager vs SSM Parameter Store</t>
  </si>
  <si>
    <t>3. Data Privacy &amp; Compliance</t>
  </si>
  <si>
    <t>3.1 Amazon Macie</t>
  </si>
  <si>
    <t>3.1.1 PII Detection in S3</t>
  </si>
  <si>
    <t>3.1.2 Sensitive Data Discovery Jobs</t>
  </si>
  <si>
    <t>3.2 Data Masking &amp; Anonymization</t>
  </si>
  <si>
    <t>3.3 Compliance Frameworks</t>
  </si>
  <si>
    <t>3.3.1 HIPAA, GDPR, PCI-DSS Awareness</t>
  </si>
  <si>
    <t>3.3.2 AWS Compliance Programs</t>
  </si>
  <si>
    <t>3.4 AWS Audit Manager</t>
  </si>
  <si>
    <t>3.5 AWS Config (Configuration Compliance)</t>
  </si>
  <si>
    <t>4. Data Governance &amp; Cataloging</t>
  </si>
  <si>
    <t>4.1 AWS Glue Data Catalog (Governance Use)</t>
  </si>
  <si>
    <t>4.2 AWS Lake Formation Permissions Deep Dive</t>
  </si>
  <si>
    <t>4.2.1 LF-Tags Based Access Control</t>
  </si>
  <si>
    <t>4.2.2 Column-Level &amp; Row-Level Filtering</t>
  </si>
  <si>
    <t>4.3 Amazon DataZone</t>
  </si>
  <si>
    <t>4.3.1 Data Discovery &amp; Publishing</t>
  </si>
  <si>
    <t>4.3.2 Business Glossaries</t>
  </si>
  <si>
    <t>4.4 Data Lineage Concepts</t>
  </si>
  <si>
    <t>4.5 Data Quality Frameworks (Glue DQ)</t>
  </si>
  <si>
    <t>5. Network Security for Data Services</t>
  </si>
  <si>
    <t>5.1 VPC Endpoints for Data Services</t>
  </si>
  <si>
    <t>5.1.1 Gateway Endpoints (S3, DynamoDB)</t>
  </si>
  <si>
    <t>5.1.2 Interface Endpoints (PrivateLink)</t>
  </si>
  <si>
    <t>5.2 Securing Redshift, RDS, Glue in VPC</t>
  </si>
  <si>
    <t>5.3 Security Groups for Data Workloads</t>
  </si>
  <si>
    <t>5.4 AWS Network Firewall</t>
  </si>
  <si>
    <t>5.5 AWS PrivateLink</t>
  </si>
  <si>
    <t>5.6 VPC Flow Logs for Auditing</t>
  </si>
  <si>
    <t>🔴 TEST 4: Data Security &amp; Governance (Half Day)</t>
  </si>
  <si>
    <t>🏭 INDUSTRY LECTURE 5 (1 Hour)</t>
  </si>
  <si>
    <t>Topic: Data Governance &amp; Compliance in Enterprise Data Lakes</t>
  </si>
  <si>
    <t>UNIT 6: EXAM PREPARATION &amp; FULL-LENGTH PRACTICE</t>
  </si>
  <si>
    <t>1. Full-Length Mock Exam — Day 1</t>
  </si>
  <si>
    <t>1.1 65 Questions, 130 Minutes (Exam Conditions)</t>
  </si>
  <si>
    <t>1.2 Domain-wise Score Analysis</t>
  </si>
  <si>
    <t>1.3 Identifying Weak Areas</t>
  </si>
  <si>
    <t>2. Service Comparison Revision — Part 1</t>
  </si>
  <si>
    <t>2.1 Kinesis Data Streams vs Firehose vs MSK</t>
  </si>
  <si>
    <t>2.2 Glue vs EMR vs Lambda (when to use what)</t>
  </si>
  <si>
    <t>2.3 Redshift vs Athena vs EMR</t>
  </si>
  <si>
    <t>2.4 RDS vs DynamoDB vs DocumentDB</t>
  </si>
  <si>
    <t>3. Full-Length Mock Exam — Day 2</t>
  </si>
  <si>
    <t>3.1 Second Mock Test under Exam Conditions</t>
  </si>
  <si>
    <t>3.2 Detailed Review of Wrong Answers</t>
  </si>
  <si>
    <t>4. Service Comparison Revision — Part 2</t>
  </si>
  <si>
    <t>4.1 Step Functions vs MWAA vs EventBridge</t>
  </si>
  <si>
    <t>4.2 Lake Formation vs IAM vs Glue Catalog</t>
  </si>
  <si>
    <t>4.3 OpenSearch vs Athena for Search Use Cases</t>
  </si>
  <si>
    <t>4.4 SSE-S3 vs SSE-KMS vs SSE-C vs Client-Side</t>
  </si>
  <si>
    <t>4.5 DMS vs DataSync vs Snow Family</t>
  </si>
  <si>
    <t>4.6 QuickSight SPICE vs Direct Query</t>
  </si>
  <si>
    <t>5. Final Revision &amp; Exam Strategy</t>
  </si>
  <si>
    <t>5.1 Cheat Sheet Walkthrough (All 4 Domains)</t>
  </si>
  <si>
    <t>5.2 Common Confusion Pairs Review</t>
  </si>
  <si>
    <t>5.3 Domain Weightage Reminder</t>
  </si>
  <si>
    <t>5.3.1 Ingestion &amp; Transformation (34%) — Highest Focus</t>
  </si>
  <si>
    <t>5.3.2 Data Store Management (26%)</t>
  </si>
  <si>
    <t>5.3.3 Operations &amp; Support (22%)</t>
  </si>
  <si>
    <t>5.3.4 Security &amp; Governance (18%)</t>
  </si>
  <si>
    <t>5.4 Exam Day Strategy</t>
  </si>
  <si>
    <t>5.4.1 Time Management (2 min per question)</t>
  </si>
  <si>
    <t>5.4.2 Flag-and-Review Technique</t>
  </si>
  <si>
    <t>5.4.3 Elimination Method for MCQs</t>
  </si>
  <si>
    <t>5.5 Scheduling the Real Exam</t>
  </si>
  <si>
    <t>46-60</t>
  </si>
  <si>
    <t>🎯 FINAL CERTIFICATION EXAM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</si>
</sst>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mm yyyy"/>
    <numFmt numFmtId="166" formatCode="d"/>
  </numFmts>
  <fonts count="16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/>
    <font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0.0"/>
      <color theme="1"/>
      <name val="Arial"/>
    </font>
    <font>
      <b/>
      <color theme="1"/>
      <name val="Times New Roman"/>
    </font>
    <font>
      <sz val="10.0"/>
      <color rgb="FF000000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2" fillId="2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horizontal="center" vertical="center"/>
    </xf>
    <xf borderId="1" fillId="0" fontId="6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readingOrder="0"/>
    </xf>
    <xf borderId="3" fillId="0" fontId="7" numFmtId="0" xfId="0" applyAlignment="1" applyBorder="1" applyFont="1">
      <alignment horizontal="center" readingOrder="0" shrinkToFit="0" vertical="top" wrapText="0"/>
    </xf>
    <xf borderId="1" fillId="0" fontId="5" numFmtId="164" xfId="0" applyAlignment="1" applyBorder="1" applyFont="1" applyNumberFormat="1">
      <alignment horizontal="left" readingOrder="0" vertical="bottom"/>
    </xf>
    <xf borderId="3" fillId="0" fontId="5" numFmtId="0" xfId="0" applyAlignment="1" applyBorder="1" applyFont="1">
      <alignment horizontal="left" readingOrder="0" shrinkToFit="0" vertical="top" wrapText="0"/>
    </xf>
    <xf borderId="4" fillId="2" fontId="4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5" fillId="0" fontId="8" numFmtId="0" xfId="0" applyBorder="1" applyFont="1"/>
    <xf borderId="0" fillId="0" fontId="5" numFmtId="0" xfId="0" applyAlignment="1" applyFont="1">
      <alignment horizontal="center" vertical="center"/>
    </xf>
    <xf borderId="6" fillId="0" fontId="8" numFmtId="0" xfId="0" applyBorder="1" applyFont="1"/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7" fillId="0" fontId="8" numFmtId="0" xfId="0" applyBorder="1" applyFont="1"/>
    <xf borderId="1" fillId="0" fontId="10" numFmtId="0" xfId="0" applyAlignment="1" applyBorder="1" applyFont="1">
      <alignment horizontal="center" vertical="bottom"/>
    </xf>
    <xf borderId="1" fillId="2" fontId="4" numFmtId="166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4" fillId="0" fontId="9" numFmtId="0" xfId="0" applyAlignment="1" applyBorder="1" applyFont="1">
      <alignment horizontal="center" vertical="bottom"/>
    </xf>
    <xf borderId="0" fillId="0" fontId="11" numFmtId="0" xfId="0" applyFont="1"/>
    <xf borderId="1" fillId="5" fontId="11" numFmtId="0" xfId="0" applyAlignment="1" applyBorder="1" applyFill="1" applyFont="1">
      <alignment readingOrder="0"/>
    </xf>
    <xf borderId="1" fillId="0" fontId="11" numFmtId="164" xfId="0" applyAlignment="1" applyBorder="1" applyFont="1" applyNumberFormat="1">
      <alignment readingOrder="0"/>
    </xf>
    <xf borderId="8" fillId="0" fontId="8" numFmtId="0" xfId="0" applyBorder="1" applyFont="1"/>
    <xf borderId="1" fillId="2" fontId="4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1" fillId="0" fontId="10" numFmtId="11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/>
    </xf>
    <xf borderId="1" fillId="0" fontId="12" numFmtId="9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2" fillId="6" fontId="4" numFmtId="0" xfId="0" applyAlignment="1" applyBorder="1" applyFill="1" applyFont="1">
      <alignment horizontal="center" textRotation="255" vertical="center"/>
    </xf>
    <xf borderId="1" fillId="3" fontId="2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0" fillId="6" fontId="11" numFmtId="0" xfId="0" applyAlignment="1" applyFont="1">
      <alignment readingOrder="0"/>
    </xf>
    <xf borderId="7" fillId="6" fontId="4" numFmtId="0" xfId="0" applyAlignment="1" applyBorder="1" applyFont="1">
      <alignment horizontal="center" textRotation="255" vertical="center"/>
    </xf>
    <xf borderId="1" fillId="3" fontId="12" numFmtId="0" xfId="0" applyAlignment="1" applyBorder="1" applyFont="1">
      <alignment horizontal="center" vertical="bottom"/>
    </xf>
    <xf borderId="1" fillId="0" fontId="12" numFmtId="11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7" fillId="6" fontId="12" numFmtId="0" xfId="0" applyAlignment="1" applyBorder="1" applyFont="1">
      <alignment horizontal="center" textRotation="255" vertical="center"/>
    </xf>
    <xf borderId="1" fillId="0" fontId="11" numFmtId="0" xfId="0" applyBorder="1" applyFont="1"/>
    <xf borderId="4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3" fillId="0" fontId="15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left" readingOrder="0" shrinkToFit="0" vertical="top" wrapText="0"/>
    </xf>
    <xf borderId="8" fillId="6" fontId="4" numFmtId="0" xfId="0" applyAlignment="1" applyBorder="1" applyFont="1">
      <alignment horizontal="center" textRotation="255" vertical="center"/>
    </xf>
    <xf borderId="0" fillId="0" fontId="12" numFmtId="0" xfId="0" applyAlignment="1" applyFont="1">
      <alignment horizontal="center"/>
    </xf>
    <xf borderId="0" fillId="0" fontId="12" numFmtId="9" xfId="0" applyAlignment="1" applyFont="1" applyNumberFormat="1">
      <alignment horizontal="center"/>
    </xf>
    <xf borderId="0" fillId="0" fontId="12" numFmtId="11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63"/>
    <col customWidth="1" min="7" max="7" width="16.63"/>
    <col customWidth="1" min="8" max="40" width="4.63"/>
    <col customWidth="1" min="41" max="70" width="5.5"/>
  </cols>
  <sheetData>
    <row r="1">
      <c r="A1" s="4" t="s">
        <v>2</v>
      </c>
      <c r="B1" s="4" t="s">
        <v>10</v>
      </c>
      <c r="C1" s="4" t="s">
        <v>14</v>
      </c>
      <c r="D1" s="4" t="s">
        <v>15</v>
      </c>
      <c r="E1" s="4" t="s">
        <v>18</v>
      </c>
      <c r="F1" s="4" t="s">
        <v>21</v>
      </c>
      <c r="G1" s="4" t="s">
        <v>24</v>
      </c>
      <c r="H1" s="15"/>
      <c r="I1" s="17"/>
      <c r="J1" s="19"/>
      <c r="K1" s="15">
        <v>46174.0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9"/>
      <c r="AO1" s="15">
        <v>46204.0</v>
      </c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9"/>
    </row>
    <row r="2">
      <c r="A2" s="28"/>
      <c r="B2" s="28"/>
      <c r="C2" s="28"/>
      <c r="D2" s="28"/>
      <c r="E2" s="28"/>
      <c r="F2" s="28"/>
      <c r="G2" s="28"/>
      <c r="H2" s="30">
        <v>46171.0</v>
      </c>
      <c r="I2" s="30">
        <v>46172.0</v>
      </c>
      <c r="J2" s="30">
        <v>46173.0</v>
      </c>
      <c r="K2" s="30">
        <v>46174.0</v>
      </c>
      <c r="L2" s="30">
        <v>46175.0</v>
      </c>
      <c r="M2" s="30">
        <v>46176.0</v>
      </c>
      <c r="N2" s="30">
        <v>46177.0</v>
      </c>
      <c r="O2" s="30">
        <v>46178.0</v>
      </c>
      <c r="P2" s="30">
        <v>46179.0</v>
      </c>
      <c r="Q2" s="30">
        <v>46180.0</v>
      </c>
      <c r="R2" s="30">
        <v>46181.0</v>
      </c>
      <c r="S2" s="30">
        <v>46182.0</v>
      </c>
      <c r="T2" s="30">
        <v>46183.0</v>
      </c>
      <c r="U2" s="30">
        <v>46184.0</v>
      </c>
      <c r="V2" s="30">
        <v>46185.0</v>
      </c>
      <c r="W2" s="30">
        <v>46186.0</v>
      </c>
      <c r="X2" s="30">
        <v>46187.0</v>
      </c>
      <c r="Y2" s="30">
        <v>46188.0</v>
      </c>
      <c r="Z2" s="30">
        <v>46189.0</v>
      </c>
      <c r="AA2" s="30">
        <v>46190.0</v>
      </c>
      <c r="AB2" s="30">
        <v>46191.0</v>
      </c>
      <c r="AC2" s="30">
        <v>46192.0</v>
      </c>
      <c r="AD2" s="30">
        <v>46193.0</v>
      </c>
      <c r="AE2" s="30">
        <v>46194.0</v>
      </c>
      <c r="AF2" s="30">
        <v>46195.0</v>
      </c>
      <c r="AG2" s="30">
        <v>46196.0</v>
      </c>
      <c r="AH2" s="30">
        <v>46197.0</v>
      </c>
      <c r="AI2" s="30">
        <v>46198.0</v>
      </c>
      <c r="AJ2" s="30">
        <v>46199.0</v>
      </c>
      <c r="AK2" s="30">
        <v>46200.0</v>
      </c>
      <c r="AL2" s="30">
        <v>46201.0</v>
      </c>
      <c r="AM2" s="30">
        <v>46202.0</v>
      </c>
      <c r="AN2" s="30">
        <v>46203.0</v>
      </c>
      <c r="AO2" s="30">
        <v>46204.0</v>
      </c>
      <c r="AP2" s="30">
        <v>46205.0</v>
      </c>
      <c r="AQ2" s="30">
        <v>46206.0</v>
      </c>
      <c r="AR2" s="30">
        <v>46207.0</v>
      </c>
      <c r="AS2" s="30">
        <v>46208.0</v>
      </c>
      <c r="AT2" s="30">
        <v>46209.0</v>
      </c>
      <c r="AU2" s="30">
        <v>46210.0</v>
      </c>
      <c r="AV2" s="30">
        <v>46211.0</v>
      </c>
      <c r="AW2" s="30">
        <v>46212.0</v>
      </c>
      <c r="AX2" s="30">
        <v>46213.0</v>
      </c>
      <c r="AY2" s="30">
        <v>46214.0</v>
      </c>
      <c r="AZ2" s="30">
        <v>46215.0</v>
      </c>
      <c r="BA2" s="30">
        <v>46216.0</v>
      </c>
      <c r="BB2" s="30">
        <v>46217.0</v>
      </c>
      <c r="BC2" s="30">
        <v>46218.0</v>
      </c>
      <c r="BD2" s="30">
        <v>46219.0</v>
      </c>
      <c r="BE2" s="30">
        <v>46220.0</v>
      </c>
      <c r="BF2" s="30">
        <v>46221.0</v>
      </c>
      <c r="BG2" s="30">
        <v>46222.0</v>
      </c>
      <c r="BH2" s="30">
        <v>46223.0</v>
      </c>
      <c r="BI2" s="30">
        <v>46224.0</v>
      </c>
      <c r="BJ2" s="30">
        <v>46225.0</v>
      </c>
      <c r="BK2" s="30">
        <v>46226.0</v>
      </c>
      <c r="BL2" s="30">
        <v>46227.0</v>
      </c>
      <c r="BM2" s="30">
        <v>46228.0</v>
      </c>
      <c r="BN2" s="30">
        <v>46229.0</v>
      </c>
      <c r="BO2" s="30">
        <v>46230.0</v>
      </c>
      <c r="BP2" s="30">
        <v>46231.0</v>
      </c>
      <c r="BQ2" s="30">
        <v>46232.0</v>
      </c>
      <c r="BR2" s="30">
        <v>46233.0</v>
      </c>
    </row>
    <row r="3">
      <c r="A3" s="37"/>
      <c r="B3" s="37"/>
      <c r="C3" s="37"/>
      <c r="D3" s="37"/>
      <c r="E3" s="37"/>
      <c r="F3" s="37"/>
      <c r="G3" s="37"/>
      <c r="H3" s="38" t="str">
        <f t="shared" ref="H3:BR3" si="1">TEXT(H2,"ddd")</f>
        <v>Fri</v>
      </c>
      <c r="I3" s="38" t="str">
        <f t="shared" si="1"/>
        <v>Sat</v>
      </c>
      <c r="J3" s="38" t="str">
        <f t="shared" si="1"/>
        <v>Sun</v>
      </c>
      <c r="K3" s="38" t="str">
        <f t="shared" si="1"/>
        <v>Mon</v>
      </c>
      <c r="L3" s="38" t="str">
        <f t="shared" si="1"/>
        <v>Tue</v>
      </c>
      <c r="M3" s="38" t="str">
        <f t="shared" si="1"/>
        <v>Wed</v>
      </c>
      <c r="N3" s="38" t="str">
        <f t="shared" si="1"/>
        <v>Thu</v>
      </c>
      <c r="O3" s="38" t="str">
        <f t="shared" si="1"/>
        <v>Fri</v>
      </c>
      <c r="P3" s="38" t="str">
        <f t="shared" si="1"/>
        <v>Sat</v>
      </c>
      <c r="Q3" s="38" t="str">
        <f t="shared" si="1"/>
        <v>Sun</v>
      </c>
      <c r="R3" s="38" t="str">
        <f t="shared" si="1"/>
        <v>Mon</v>
      </c>
      <c r="S3" s="38" t="str">
        <f t="shared" si="1"/>
        <v>Tue</v>
      </c>
      <c r="T3" s="38" t="str">
        <f t="shared" si="1"/>
        <v>Wed</v>
      </c>
      <c r="U3" s="38" t="str">
        <f t="shared" si="1"/>
        <v>Thu</v>
      </c>
      <c r="V3" s="38" t="str">
        <f t="shared" si="1"/>
        <v>Fri</v>
      </c>
      <c r="W3" s="38" t="str">
        <f t="shared" si="1"/>
        <v>Sat</v>
      </c>
      <c r="X3" s="38" t="str">
        <f t="shared" si="1"/>
        <v>Sun</v>
      </c>
      <c r="Y3" s="38" t="str">
        <f t="shared" si="1"/>
        <v>Mon</v>
      </c>
      <c r="Z3" s="38" t="str">
        <f t="shared" si="1"/>
        <v>Tue</v>
      </c>
      <c r="AA3" s="38" t="str">
        <f t="shared" si="1"/>
        <v>Wed</v>
      </c>
      <c r="AB3" s="38" t="str">
        <f t="shared" si="1"/>
        <v>Thu</v>
      </c>
      <c r="AC3" s="38" t="str">
        <f t="shared" si="1"/>
        <v>Fri</v>
      </c>
      <c r="AD3" s="38" t="str">
        <f t="shared" si="1"/>
        <v>Sat</v>
      </c>
      <c r="AE3" s="38" t="str">
        <f t="shared" si="1"/>
        <v>Sun</v>
      </c>
      <c r="AF3" s="38" t="str">
        <f t="shared" si="1"/>
        <v>Mon</v>
      </c>
      <c r="AG3" s="38" t="str">
        <f t="shared" si="1"/>
        <v>Tue</v>
      </c>
      <c r="AH3" s="38" t="str">
        <f t="shared" si="1"/>
        <v>Wed</v>
      </c>
      <c r="AI3" s="38" t="str">
        <f t="shared" si="1"/>
        <v>Thu</v>
      </c>
      <c r="AJ3" s="38" t="str">
        <f t="shared" si="1"/>
        <v>Fri</v>
      </c>
      <c r="AK3" s="38" t="str">
        <f t="shared" si="1"/>
        <v>Sat</v>
      </c>
      <c r="AL3" s="38" t="str">
        <f t="shared" si="1"/>
        <v>Sun</v>
      </c>
      <c r="AM3" s="38" t="str">
        <f t="shared" si="1"/>
        <v>Mon</v>
      </c>
      <c r="AN3" s="38" t="str">
        <f t="shared" si="1"/>
        <v>Tue</v>
      </c>
      <c r="AO3" s="38" t="str">
        <f t="shared" si="1"/>
        <v>Wed</v>
      </c>
      <c r="AP3" s="38" t="str">
        <f t="shared" si="1"/>
        <v>Thu</v>
      </c>
      <c r="AQ3" s="38" t="str">
        <f t="shared" si="1"/>
        <v>Fri</v>
      </c>
      <c r="AR3" s="38" t="str">
        <f t="shared" si="1"/>
        <v>Sat</v>
      </c>
      <c r="AS3" s="38" t="str">
        <f t="shared" si="1"/>
        <v>Sun</v>
      </c>
      <c r="AT3" s="38" t="str">
        <f t="shared" si="1"/>
        <v>Mon</v>
      </c>
      <c r="AU3" s="38" t="str">
        <f t="shared" si="1"/>
        <v>Tue</v>
      </c>
      <c r="AV3" s="38" t="str">
        <f t="shared" si="1"/>
        <v>Wed</v>
      </c>
      <c r="AW3" s="38" t="str">
        <f t="shared" si="1"/>
        <v>Thu</v>
      </c>
      <c r="AX3" s="38" t="str">
        <f t="shared" si="1"/>
        <v>Fri</v>
      </c>
      <c r="AY3" s="38" t="str">
        <f t="shared" si="1"/>
        <v>Sat</v>
      </c>
      <c r="AZ3" s="38" t="str">
        <f t="shared" si="1"/>
        <v>Sun</v>
      </c>
      <c r="BA3" s="38" t="str">
        <f t="shared" si="1"/>
        <v>Mon</v>
      </c>
      <c r="BB3" s="38" t="str">
        <f t="shared" si="1"/>
        <v>Tue</v>
      </c>
      <c r="BC3" s="38" t="str">
        <f t="shared" si="1"/>
        <v>Wed</v>
      </c>
      <c r="BD3" s="38" t="str">
        <f t="shared" si="1"/>
        <v>Thu</v>
      </c>
      <c r="BE3" s="38" t="str">
        <f t="shared" si="1"/>
        <v>Fri</v>
      </c>
      <c r="BF3" s="38" t="str">
        <f t="shared" si="1"/>
        <v>Sat</v>
      </c>
      <c r="BG3" s="38" t="str">
        <f t="shared" si="1"/>
        <v>Sun</v>
      </c>
      <c r="BH3" s="38" t="str">
        <f t="shared" si="1"/>
        <v>Mon</v>
      </c>
      <c r="BI3" s="38" t="str">
        <f t="shared" si="1"/>
        <v>Tue</v>
      </c>
      <c r="BJ3" s="38" t="str">
        <f t="shared" si="1"/>
        <v>Wed</v>
      </c>
      <c r="BK3" s="38" t="str">
        <f t="shared" si="1"/>
        <v>Thu</v>
      </c>
      <c r="BL3" s="38" t="str">
        <f t="shared" si="1"/>
        <v>Fri</v>
      </c>
      <c r="BM3" s="38" t="str">
        <f t="shared" si="1"/>
        <v>Sat</v>
      </c>
      <c r="BN3" s="38" t="str">
        <f t="shared" si="1"/>
        <v>Sun</v>
      </c>
      <c r="BO3" s="38" t="str">
        <f t="shared" si="1"/>
        <v>Mon</v>
      </c>
      <c r="BP3" s="38" t="str">
        <f t="shared" si="1"/>
        <v>Tue</v>
      </c>
      <c r="BQ3" s="38" t="str">
        <f t="shared" si="1"/>
        <v>Wed</v>
      </c>
      <c r="BR3" s="38" t="str">
        <f t="shared" si="1"/>
        <v>Thu</v>
      </c>
    </row>
    <row r="4" ht="20.25" customHeight="1">
      <c r="A4" s="42">
        <v>1.0</v>
      </c>
      <c r="B4" s="43" t="s">
        <v>58</v>
      </c>
      <c r="C4" s="43" t="s">
        <v>61</v>
      </c>
      <c r="D4" s="44">
        <f t="shared" ref="D4:D48" si="2">COUNTIF(H4:BR4,"p") + COUNTIF(H4:BR4,"op")</f>
        <v>44</v>
      </c>
      <c r="E4" s="44">
        <f t="shared" ref="E4:E48" si="3">COUNTIF(H4:BR4,"A") + COUNTIF(H4:BR4,"oA")</f>
        <v>0</v>
      </c>
      <c r="F4" s="44">
        <f t="shared" ref="F4:F48" si="4">E4+D4</f>
        <v>44</v>
      </c>
      <c r="G4" s="45">
        <f t="shared" ref="G4:G48" si="5">(D4/F4)</f>
        <v>1</v>
      </c>
      <c r="H4" s="46" t="s">
        <v>181</v>
      </c>
      <c r="I4" s="46" t="s">
        <v>181</v>
      </c>
      <c r="J4" s="47" t="s">
        <v>182</v>
      </c>
      <c r="K4" s="46" t="s">
        <v>181</v>
      </c>
      <c r="L4" s="46" t="s">
        <v>181</v>
      </c>
      <c r="M4" s="46" t="s">
        <v>181</v>
      </c>
      <c r="N4" s="46" t="s">
        <v>181</v>
      </c>
      <c r="O4" s="46" t="s">
        <v>181</v>
      </c>
      <c r="P4" s="46" t="s">
        <v>181</v>
      </c>
      <c r="Q4" s="47" t="s">
        <v>182</v>
      </c>
      <c r="R4" s="46" t="s">
        <v>181</v>
      </c>
      <c r="S4" s="46" t="s">
        <v>181</v>
      </c>
      <c r="T4" s="46" t="s">
        <v>181</v>
      </c>
      <c r="U4" s="46" t="s">
        <v>181</v>
      </c>
      <c r="V4" s="46" t="s">
        <v>181</v>
      </c>
      <c r="W4" s="46" t="s">
        <v>181</v>
      </c>
      <c r="X4" s="47" t="s">
        <v>182</v>
      </c>
      <c r="Y4" s="46" t="s">
        <v>181</v>
      </c>
      <c r="Z4" s="46" t="s">
        <v>181</v>
      </c>
      <c r="AA4" s="46" t="s">
        <v>181</v>
      </c>
      <c r="AB4" s="46" t="s">
        <v>181</v>
      </c>
      <c r="AC4" s="46" t="s">
        <v>181</v>
      </c>
      <c r="AD4" s="46" t="s">
        <v>181</v>
      </c>
      <c r="AE4" s="47" t="s">
        <v>182</v>
      </c>
      <c r="AF4" s="46" t="s">
        <v>181</v>
      </c>
      <c r="AG4" s="46" t="s">
        <v>181</v>
      </c>
      <c r="AH4" s="46" t="s">
        <v>181</v>
      </c>
      <c r="AI4" s="46" t="s">
        <v>181</v>
      </c>
      <c r="AJ4" s="46" t="s">
        <v>181</v>
      </c>
      <c r="AK4" s="46" t="s">
        <v>181</v>
      </c>
      <c r="AL4" s="47" t="s">
        <v>182</v>
      </c>
      <c r="AM4" s="46" t="s">
        <v>181</v>
      </c>
      <c r="AN4" s="46" t="s">
        <v>181</v>
      </c>
      <c r="AO4" s="46" t="s">
        <v>181</v>
      </c>
      <c r="AP4" s="46" t="s">
        <v>181</v>
      </c>
      <c r="AQ4" s="46" t="s">
        <v>181</v>
      </c>
      <c r="AR4" s="46" t="s">
        <v>181</v>
      </c>
      <c r="AS4" s="47" t="s">
        <v>182</v>
      </c>
      <c r="AT4" s="46" t="s">
        <v>181</v>
      </c>
      <c r="AU4" s="46" t="s">
        <v>181</v>
      </c>
      <c r="AV4" s="46" t="s">
        <v>181</v>
      </c>
      <c r="AW4" s="46" t="s">
        <v>181</v>
      </c>
      <c r="AX4" s="46" t="s">
        <v>181</v>
      </c>
      <c r="AY4" s="46" t="s">
        <v>181</v>
      </c>
      <c r="AZ4" s="47" t="s">
        <v>182</v>
      </c>
      <c r="BA4" s="46" t="s">
        <v>181</v>
      </c>
      <c r="BB4" s="46" t="s">
        <v>181</v>
      </c>
      <c r="BC4" s="46" t="s">
        <v>181</v>
      </c>
      <c r="BD4" s="46" t="s">
        <v>181</v>
      </c>
      <c r="BE4" s="46" t="s">
        <v>181</v>
      </c>
      <c r="BF4" s="46" t="s">
        <v>181</v>
      </c>
      <c r="BG4" s="47" t="s">
        <v>182</v>
      </c>
      <c r="BH4" s="43"/>
      <c r="BI4" s="43"/>
      <c r="BJ4" s="43"/>
      <c r="BK4" s="43"/>
      <c r="BL4" s="43"/>
      <c r="BM4" s="43"/>
      <c r="BN4" s="47" t="s">
        <v>182</v>
      </c>
      <c r="BO4" s="43"/>
      <c r="BP4" s="43"/>
      <c r="BQ4" s="43"/>
      <c r="BR4" s="43"/>
    </row>
    <row r="5">
      <c r="A5" s="42">
        <v>2.0</v>
      </c>
      <c r="B5" s="43" t="s">
        <v>80</v>
      </c>
      <c r="C5" s="43" t="s">
        <v>82</v>
      </c>
      <c r="D5" s="44">
        <f t="shared" si="2"/>
        <v>34</v>
      </c>
      <c r="E5" s="44">
        <f t="shared" si="3"/>
        <v>10</v>
      </c>
      <c r="F5" s="44">
        <f t="shared" si="4"/>
        <v>44</v>
      </c>
      <c r="G5" s="45">
        <f t="shared" si="5"/>
        <v>0.7727272727</v>
      </c>
      <c r="H5" s="46" t="s">
        <v>181</v>
      </c>
      <c r="I5" s="46" t="s">
        <v>181</v>
      </c>
      <c r="J5" s="52"/>
      <c r="K5" s="46" t="s">
        <v>181</v>
      </c>
      <c r="L5" s="46" t="s">
        <v>181</v>
      </c>
      <c r="M5" s="46" t="s">
        <v>181</v>
      </c>
      <c r="N5" s="46" t="s">
        <v>181</v>
      </c>
      <c r="O5" s="46" t="s">
        <v>217</v>
      </c>
      <c r="P5" s="46" t="s">
        <v>181</v>
      </c>
      <c r="Q5" s="52"/>
      <c r="R5" s="46" t="s">
        <v>181</v>
      </c>
      <c r="S5" s="46" t="s">
        <v>181</v>
      </c>
      <c r="T5" s="46" t="s">
        <v>181</v>
      </c>
      <c r="U5" s="46" t="s">
        <v>181</v>
      </c>
      <c r="V5" s="46" t="s">
        <v>181</v>
      </c>
      <c r="W5" s="46" t="s">
        <v>181</v>
      </c>
      <c r="X5" s="52"/>
      <c r="Y5" s="46" t="s">
        <v>181</v>
      </c>
      <c r="Z5" s="46" t="s">
        <v>181</v>
      </c>
      <c r="AA5" s="46" t="s">
        <v>217</v>
      </c>
      <c r="AB5" s="46" t="s">
        <v>217</v>
      </c>
      <c r="AC5" s="46" t="s">
        <v>181</v>
      </c>
      <c r="AD5" s="46" t="s">
        <v>181</v>
      </c>
      <c r="AE5" s="28"/>
      <c r="AF5" s="46" t="s">
        <v>181</v>
      </c>
      <c r="AG5" s="46" t="s">
        <v>181</v>
      </c>
      <c r="AH5" s="46" t="s">
        <v>181</v>
      </c>
      <c r="AI5" s="46" t="s">
        <v>181</v>
      </c>
      <c r="AJ5" s="46" t="s">
        <v>181</v>
      </c>
      <c r="AK5" s="46" t="s">
        <v>181</v>
      </c>
      <c r="AL5" s="28"/>
      <c r="AM5" s="46" t="s">
        <v>181</v>
      </c>
      <c r="AN5" s="46" t="s">
        <v>181</v>
      </c>
      <c r="AO5" s="46" t="s">
        <v>181</v>
      </c>
      <c r="AP5" s="46" t="s">
        <v>181</v>
      </c>
      <c r="AQ5" s="46" t="s">
        <v>181</v>
      </c>
      <c r="AR5" s="46" t="s">
        <v>181</v>
      </c>
      <c r="AS5" s="28"/>
      <c r="AT5" s="46" t="s">
        <v>181</v>
      </c>
      <c r="AU5" s="46" t="s">
        <v>181</v>
      </c>
      <c r="AV5" s="46" t="s">
        <v>217</v>
      </c>
      <c r="AW5" s="46" t="s">
        <v>181</v>
      </c>
      <c r="AX5" s="46" t="s">
        <v>181</v>
      </c>
      <c r="AY5" s="46" t="s">
        <v>181</v>
      </c>
      <c r="AZ5" s="28"/>
      <c r="BA5" s="46" t="s">
        <v>217</v>
      </c>
      <c r="BB5" s="46" t="s">
        <v>217</v>
      </c>
      <c r="BC5" s="46" t="s">
        <v>217</v>
      </c>
      <c r="BD5" s="46" t="s">
        <v>217</v>
      </c>
      <c r="BE5" s="46" t="s">
        <v>217</v>
      </c>
      <c r="BF5" s="46" t="s">
        <v>217</v>
      </c>
      <c r="BG5" s="28"/>
      <c r="BH5" s="43"/>
      <c r="BI5" s="43"/>
      <c r="BJ5" s="43"/>
      <c r="BK5" s="43"/>
      <c r="BL5" s="43"/>
      <c r="BM5" s="43"/>
      <c r="BN5" s="28"/>
      <c r="BO5" s="43"/>
      <c r="BP5" s="43"/>
      <c r="BQ5" s="43"/>
      <c r="BR5" s="43"/>
    </row>
    <row r="6">
      <c r="A6" s="42">
        <v>3.0</v>
      </c>
      <c r="B6" s="43" t="s">
        <v>97</v>
      </c>
      <c r="C6" s="43" t="s">
        <v>99</v>
      </c>
      <c r="D6" s="44">
        <f t="shared" si="2"/>
        <v>37</v>
      </c>
      <c r="E6" s="44">
        <f t="shared" si="3"/>
        <v>7</v>
      </c>
      <c r="F6" s="44">
        <f t="shared" si="4"/>
        <v>44</v>
      </c>
      <c r="G6" s="45">
        <f t="shared" si="5"/>
        <v>0.8409090909</v>
      </c>
      <c r="H6" s="46" t="s">
        <v>181</v>
      </c>
      <c r="I6" s="46" t="s">
        <v>181</v>
      </c>
      <c r="J6" s="52"/>
      <c r="K6" s="46" t="s">
        <v>181</v>
      </c>
      <c r="L6" s="46" t="s">
        <v>181</v>
      </c>
      <c r="M6" s="46" t="s">
        <v>181</v>
      </c>
      <c r="N6" s="46" t="s">
        <v>181</v>
      </c>
      <c r="O6" s="46" t="s">
        <v>181</v>
      </c>
      <c r="P6" s="46" t="s">
        <v>181</v>
      </c>
      <c r="Q6" s="52"/>
      <c r="R6" s="46" t="s">
        <v>181</v>
      </c>
      <c r="S6" s="46" t="s">
        <v>181</v>
      </c>
      <c r="T6" s="46" t="s">
        <v>181</v>
      </c>
      <c r="U6" s="46" t="s">
        <v>181</v>
      </c>
      <c r="V6" s="46" t="s">
        <v>181</v>
      </c>
      <c r="W6" s="46" t="s">
        <v>181</v>
      </c>
      <c r="X6" s="52"/>
      <c r="Y6" s="46" t="s">
        <v>181</v>
      </c>
      <c r="Z6" s="46" t="s">
        <v>181</v>
      </c>
      <c r="AA6" s="46" t="s">
        <v>181</v>
      </c>
      <c r="AB6" s="46" t="s">
        <v>181</v>
      </c>
      <c r="AC6" s="46" t="s">
        <v>181</v>
      </c>
      <c r="AD6" s="46" t="s">
        <v>181</v>
      </c>
      <c r="AE6" s="28"/>
      <c r="AF6" s="46" t="s">
        <v>217</v>
      </c>
      <c r="AG6" s="46" t="s">
        <v>181</v>
      </c>
      <c r="AH6" s="46" t="s">
        <v>181</v>
      </c>
      <c r="AI6" s="46" t="s">
        <v>181</v>
      </c>
      <c r="AJ6" s="46" t="s">
        <v>181</v>
      </c>
      <c r="AK6" s="46" t="s">
        <v>181</v>
      </c>
      <c r="AL6" s="28"/>
      <c r="AM6" s="46" t="s">
        <v>181</v>
      </c>
      <c r="AN6" s="46" t="s">
        <v>181</v>
      </c>
      <c r="AO6" s="46" t="s">
        <v>181</v>
      </c>
      <c r="AP6" s="46" t="s">
        <v>181</v>
      </c>
      <c r="AQ6" s="46" t="s">
        <v>181</v>
      </c>
      <c r="AR6" s="46" t="s">
        <v>181</v>
      </c>
      <c r="AS6" s="28"/>
      <c r="AT6" s="46" t="s">
        <v>181</v>
      </c>
      <c r="AU6" s="46" t="s">
        <v>181</v>
      </c>
      <c r="AV6" s="46" t="s">
        <v>181</v>
      </c>
      <c r="AW6" s="46" t="s">
        <v>217</v>
      </c>
      <c r="AX6" s="46" t="s">
        <v>181</v>
      </c>
      <c r="AY6" s="46" t="s">
        <v>181</v>
      </c>
      <c r="AZ6" s="28"/>
      <c r="BA6" s="46" t="s">
        <v>217</v>
      </c>
      <c r="BB6" s="46" t="s">
        <v>217</v>
      </c>
      <c r="BC6" s="46" t="s">
        <v>217</v>
      </c>
      <c r="BD6" s="46" t="s">
        <v>217</v>
      </c>
      <c r="BE6" s="46" t="s">
        <v>217</v>
      </c>
      <c r="BF6" s="46" t="s">
        <v>181</v>
      </c>
      <c r="BG6" s="28"/>
      <c r="BH6" s="43"/>
      <c r="BI6" s="43"/>
      <c r="BJ6" s="43"/>
      <c r="BK6" s="43"/>
      <c r="BL6" s="43"/>
      <c r="BM6" s="43"/>
      <c r="BN6" s="28"/>
      <c r="BO6" s="43"/>
      <c r="BP6" s="43"/>
      <c r="BQ6" s="43"/>
      <c r="BR6" s="43"/>
    </row>
    <row r="7">
      <c r="A7" s="42">
        <v>4.0</v>
      </c>
      <c r="B7" s="43" t="s">
        <v>114</v>
      </c>
      <c r="C7" s="43" t="s">
        <v>115</v>
      </c>
      <c r="D7" s="44">
        <f t="shared" si="2"/>
        <v>27</v>
      </c>
      <c r="E7" s="44">
        <f t="shared" si="3"/>
        <v>17</v>
      </c>
      <c r="F7" s="44">
        <f t="shared" si="4"/>
        <v>44</v>
      </c>
      <c r="G7" s="45">
        <f t="shared" si="5"/>
        <v>0.6136363636</v>
      </c>
      <c r="H7" s="46" t="s">
        <v>181</v>
      </c>
      <c r="I7" s="46" t="s">
        <v>181</v>
      </c>
      <c r="J7" s="52"/>
      <c r="K7" s="46" t="s">
        <v>181</v>
      </c>
      <c r="L7" s="46" t="s">
        <v>181</v>
      </c>
      <c r="M7" s="46" t="s">
        <v>181</v>
      </c>
      <c r="N7" s="46" t="s">
        <v>181</v>
      </c>
      <c r="O7" s="46" t="s">
        <v>217</v>
      </c>
      <c r="P7" s="46" t="s">
        <v>217</v>
      </c>
      <c r="Q7" s="52"/>
      <c r="R7" s="46" t="s">
        <v>217</v>
      </c>
      <c r="S7" s="46" t="s">
        <v>217</v>
      </c>
      <c r="T7" s="46" t="s">
        <v>181</v>
      </c>
      <c r="U7" s="46" t="s">
        <v>181</v>
      </c>
      <c r="V7" s="46" t="s">
        <v>181</v>
      </c>
      <c r="W7" s="46" t="s">
        <v>217</v>
      </c>
      <c r="X7" s="52"/>
      <c r="Y7" s="46" t="s">
        <v>181</v>
      </c>
      <c r="Z7" s="46" t="s">
        <v>181</v>
      </c>
      <c r="AA7" s="46" t="s">
        <v>181</v>
      </c>
      <c r="AB7" s="46" t="s">
        <v>181</v>
      </c>
      <c r="AC7" s="46" t="s">
        <v>181</v>
      </c>
      <c r="AD7" s="46" t="s">
        <v>181</v>
      </c>
      <c r="AE7" s="28"/>
      <c r="AF7" s="46" t="s">
        <v>181</v>
      </c>
      <c r="AG7" s="46" t="s">
        <v>181</v>
      </c>
      <c r="AH7" s="46" t="s">
        <v>181</v>
      </c>
      <c r="AI7" s="46" t="s">
        <v>181</v>
      </c>
      <c r="AJ7" s="46" t="s">
        <v>181</v>
      </c>
      <c r="AK7" s="46" t="s">
        <v>181</v>
      </c>
      <c r="AL7" s="28"/>
      <c r="AM7" s="46" t="s">
        <v>181</v>
      </c>
      <c r="AN7" s="46" t="s">
        <v>181</v>
      </c>
      <c r="AO7" s="46" t="s">
        <v>181</v>
      </c>
      <c r="AP7" s="46" t="s">
        <v>181</v>
      </c>
      <c r="AQ7" s="46" t="s">
        <v>181</v>
      </c>
      <c r="AR7" s="46" t="s">
        <v>181</v>
      </c>
      <c r="AS7" s="28"/>
      <c r="AT7" s="46" t="s">
        <v>217</v>
      </c>
      <c r="AU7" s="46" t="s">
        <v>217</v>
      </c>
      <c r="AV7" s="46" t="s">
        <v>217</v>
      </c>
      <c r="AW7" s="46" t="s">
        <v>217</v>
      </c>
      <c r="AX7" s="46" t="s">
        <v>217</v>
      </c>
      <c r="AY7" s="46" t="s">
        <v>217</v>
      </c>
      <c r="AZ7" s="28"/>
      <c r="BA7" s="46" t="s">
        <v>217</v>
      </c>
      <c r="BB7" s="46" t="s">
        <v>217</v>
      </c>
      <c r="BC7" s="46" t="s">
        <v>217</v>
      </c>
      <c r="BD7" s="46" t="s">
        <v>217</v>
      </c>
      <c r="BE7" s="46" t="s">
        <v>217</v>
      </c>
      <c r="BF7" s="46" t="s">
        <v>217</v>
      </c>
      <c r="BG7" s="28"/>
      <c r="BH7" s="43"/>
      <c r="BI7" s="43"/>
      <c r="BJ7" s="43"/>
      <c r="BK7" s="43"/>
      <c r="BL7" s="43"/>
      <c r="BM7" s="43"/>
      <c r="BN7" s="28"/>
      <c r="BO7" s="43"/>
      <c r="BP7" s="43"/>
      <c r="BQ7" s="43"/>
      <c r="BR7" s="43"/>
    </row>
    <row r="8">
      <c r="A8" s="42">
        <v>5.0</v>
      </c>
      <c r="B8" s="43" t="s">
        <v>131</v>
      </c>
      <c r="C8" s="43" t="s">
        <v>132</v>
      </c>
      <c r="D8" s="44">
        <f t="shared" si="2"/>
        <v>44</v>
      </c>
      <c r="E8" s="44">
        <f t="shared" si="3"/>
        <v>0</v>
      </c>
      <c r="F8" s="44">
        <f t="shared" si="4"/>
        <v>44</v>
      </c>
      <c r="G8" s="45">
        <f t="shared" si="5"/>
        <v>1</v>
      </c>
      <c r="H8" s="46" t="s">
        <v>181</v>
      </c>
      <c r="I8" s="46" t="s">
        <v>181</v>
      </c>
      <c r="J8" s="52"/>
      <c r="K8" s="46" t="s">
        <v>181</v>
      </c>
      <c r="L8" s="46" t="s">
        <v>181</v>
      </c>
      <c r="M8" s="46" t="s">
        <v>181</v>
      </c>
      <c r="N8" s="46" t="s">
        <v>181</v>
      </c>
      <c r="O8" s="46" t="s">
        <v>181</v>
      </c>
      <c r="P8" s="46" t="s">
        <v>181</v>
      </c>
      <c r="Q8" s="52"/>
      <c r="R8" s="46" t="s">
        <v>181</v>
      </c>
      <c r="S8" s="46" t="s">
        <v>181</v>
      </c>
      <c r="T8" s="46" t="s">
        <v>181</v>
      </c>
      <c r="U8" s="46" t="s">
        <v>181</v>
      </c>
      <c r="V8" s="46" t="s">
        <v>181</v>
      </c>
      <c r="W8" s="46" t="s">
        <v>181</v>
      </c>
      <c r="X8" s="52"/>
      <c r="Y8" s="46" t="s">
        <v>181</v>
      </c>
      <c r="Z8" s="46" t="s">
        <v>181</v>
      </c>
      <c r="AA8" s="46" t="s">
        <v>181</v>
      </c>
      <c r="AB8" s="46" t="s">
        <v>181</v>
      </c>
      <c r="AC8" s="46" t="s">
        <v>181</v>
      </c>
      <c r="AD8" s="46" t="s">
        <v>181</v>
      </c>
      <c r="AE8" s="28"/>
      <c r="AF8" s="46" t="s">
        <v>181</v>
      </c>
      <c r="AG8" s="46" t="s">
        <v>181</v>
      </c>
      <c r="AH8" s="46" t="s">
        <v>181</v>
      </c>
      <c r="AI8" s="46" t="s">
        <v>181</v>
      </c>
      <c r="AJ8" s="46" t="s">
        <v>181</v>
      </c>
      <c r="AK8" s="46" t="s">
        <v>181</v>
      </c>
      <c r="AL8" s="28"/>
      <c r="AM8" s="46" t="s">
        <v>181</v>
      </c>
      <c r="AN8" s="46" t="s">
        <v>181</v>
      </c>
      <c r="AO8" s="46" t="s">
        <v>181</v>
      </c>
      <c r="AP8" s="46" t="s">
        <v>181</v>
      </c>
      <c r="AQ8" s="46" t="s">
        <v>181</v>
      </c>
      <c r="AR8" s="46" t="s">
        <v>181</v>
      </c>
      <c r="AS8" s="28"/>
      <c r="AT8" s="46" t="s">
        <v>181</v>
      </c>
      <c r="AU8" s="46" t="s">
        <v>181</v>
      </c>
      <c r="AV8" s="46" t="s">
        <v>181</v>
      </c>
      <c r="AW8" s="46" t="s">
        <v>181</v>
      </c>
      <c r="AX8" s="46" t="s">
        <v>181</v>
      </c>
      <c r="AY8" s="46" t="s">
        <v>181</v>
      </c>
      <c r="AZ8" s="28"/>
      <c r="BA8" s="46" t="s">
        <v>181</v>
      </c>
      <c r="BB8" s="46" t="s">
        <v>181</v>
      </c>
      <c r="BC8" s="46" t="s">
        <v>181</v>
      </c>
      <c r="BD8" s="46" t="s">
        <v>181</v>
      </c>
      <c r="BE8" s="46" t="s">
        <v>181</v>
      </c>
      <c r="BF8" s="46" t="s">
        <v>181</v>
      </c>
      <c r="BG8" s="28"/>
      <c r="BH8" s="43"/>
      <c r="BI8" s="43"/>
      <c r="BJ8" s="43"/>
      <c r="BK8" s="43"/>
      <c r="BL8" s="43"/>
      <c r="BM8" s="43"/>
      <c r="BN8" s="28"/>
      <c r="BO8" s="43"/>
      <c r="BP8" s="43"/>
      <c r="BQ8" s="43"/>
      <c r="BR8" s="43"/>
    </row>
    <row r="9">
      <c r="A9" s="42">
        <v>6.0</v>
      </c>
      <c r="B9" s="43" t="s">
        <v>141</v>
      </c>
      <c r="C9" s="43" t="s">
        <v>143</v>
      </c>
      <c r="D9" s="44">
        <f t="shared" si="2"/>
        <v>44</v>
      </c>
      <c r="E9" s="44">
        <f t="shared" si="3"/>
        <v>0</v>
      </c>
      <c r="F9" s="44">
        <f t="shared" si="4"/>
        <v>44</v>
      </c>
      <c r="G9" s="45">
        <f t="shared" si="5"/>
        <v>1</v>
      </c>
      <c r="H9" s="46" t="s">
        <v>181</v>
      </c>
      <c r="I9" s="46" t="s">
        <v>181</v>
      </c>
      <c r="J9" s="52"/>
      <c r="K9" s="46" t="s">
        <v>181</v>
      </c>
      <c r="L9" s="46" t="s">
        <v>181</v>
      </c>
      <c r="M9" s="46" t="s">
        <v>181</v>
      </c>
      <c r="N9" s="46" t="s">
        <v>181</v>
      </c>
      <c r="O9" s="46" t="s">
        <v>181</v>
      </c>
      <c r="P9" s="46" t="s">
        <v>181</v>
      </c>
      <c r="Q9" s="52"/>
      <c r="R9" s="46" t="s">
        <v>181</v>
      </c>
      <c r="S9" s="46" t="s">
        <v>181</v>
      </c>
      <c r="T9" s="46" t="s">
        <v>181</v>
      </c>
      <c r="U9" s="46" t="s">
        <v>181</v>
      </c>
      <c r="V9" s="46" t="s">
        <v>181</v>
      </c>
      <c r="W9" s="46" t="s">
        <v>181</v>
      </c>
      <c r="X9" s="52"/>
      <c r="Y9" s="46" t="s">
        <v>181</v>
      </c>
      <c r="Z9" s="46" t="s">
        <v>181</v>
      </c>
      <c r="AA9" s="46" t="s">
        <v>181</v>
      </c>
      <c r="AB9" s="46" t="s">
        <v>181</v>
      </c>
      <c r="AC9" s="46" t="s">
        <v>181</v>
      </c>
      <c r="AD9" s="46" t="s">
        <v>181</v>
      </c>
      <c r="AE9" s="28"/>
      <c r="AF9" s="46" t="s">
        <v>181</v>
      </c>
      <c r="AG9" s="46" t="s">
        <v>181</v>
      </c>
      <c r="AH9" s="46" t="s">
        <v>181</v>
      </c>
      <c r="AI9" s="46" t="s">
        <v>181</v>
      </c>
      <c r="AJ9" s="46" t="s">
        <v>181</v>
      </c>
      <c r="AK9" s="46" t="s">
        <v>181</v>
      </c>
      <c r="AL9" s="28"/>
      <c r="AM9" s="46" t="s">
        <v>181</v>
      </c>
      <c r="AN9" s="46" t="s">
        <v>181</v>
      </c>
      <c r="AO9" s="46" t="s">
        <v>181</v>
      </c>
      <c r="AP9" s="46" t="s">
        <v>181</v>
      </c>
      <c r="AQ9" s="46" t="s">
        <v>181</v>
      </c>
      <c r="AR9" s="46" t="s">
        <v>181</v>
      </c>
      <c r="AS9" s="28"/>
      <c r="AT9" s="46" t="s">
        <v>181</v>
      </c>
      <c r="AU9" s="46" t="s">
        <v>181</v>
      </c>
      <c r="AV9" s="46" t="s">
        <v>181</v>
      </c>
      <c r="AW9" s="46" t="s">
        <v>181</v>
      </c>
      <c r="AX9" s="46" t="s">
        <v>181</v>
      </c>
      <c r="AY9" s="46" t="s">
        <v>181</v>
      </c>
      <c r="AZ9" s="28"/>
      <c r="BA9" s="46" t="s">
        <v>181</v>
      </c>
      <c r="BB9" s="46" t="s">
        <v>181</v>
      </c>
      <c r="BC9" s="46" t="s">
        <v>181</v>
      </c>
      <c r="BD9" s="46" t="s">
        <v>181</v>
      </c>
      <c r="BE9" s="46" t="s">
        <v>181</v>
      </c>
      <c r="BF9" s="46" t="s">
        <v>181</v>
      </c>
      <c r="BG9" s="28"/>
      <c r="BH9" s="43"/>
      <c r="BI9" s="43"/>
      <c r="BJ9" s="43"/>
      <c r="BK9" s="43"/>
      <c r="BL9" s="43"/>
      <c r="BM9" s="43"/>
      <c r="BN9" s="28"/>
      <c r="BO9" s="43"/>
      <c r="BP9" s="43"/>
      <c r="BQ9" s="43"/>
      <c r="BR9" s="43"/>
    </row>
    <row r="10">
      <c r="A10" s="42">
        <v>7.0</v>
      </c>
      <c r="B10" s="53" t="s">
        <v>151</v>
      </c>
      <c r="C10" s="53" t="s">
        <v>153</v>
      </c>
      <c r="D10" s="44">
        <f t="shared" si="2"/>
        <v>36</v>
      </c>
      <c r="E10" s="44">
        <f t="shared" si="3"/>
        <v>8</v>
      </c>
      <c r="F10" s="44">
        <f t="shared" si="4"/>
        <v>44</v>
      </c>
      <c r="G10" s="45">
        <f t="shared" si="5"/>
        <v>0.8181818182</v>
      </c>
      <c r="H10" s="46" t="s">
        <v>181</v>
      </c>
      <c r="I10" s="46" t="s">
        <v>181</v>
      </c>
      <c r="J10" s="52"/>
      <c r="K10" s="46" t="s">
        <v>181</v>
      </c>
      <c r="L10" s="46" t="s">
        <v>181</v>
      </c>
      <c r="M10" s="46" t="s">
        <v>181</v>
      </c>
      <c r="N10" s="46" t="s">
        <v>181</v>
      </c>
      <c r="O10" s="46" t="s">
        <v>217</v>
      </c>
      <c r="P10" s="46" t="s">
        <v>181</v>
      </c>
      <c r="Q10" s="52"/>
      <c r="R10" s="46" t="s">
        <v>217</v>
      </c>
      <c r="S10" s="46" t="s">
        <v>217</v>
      </c>
      <c r="T10" s="46" t="s">
        <v>217</v>
      </c>
      <c r="U10" s="46" t="s">
        <v>217</v>
      </c>
      <c r="V10" s="46" t="s">
        <v>217</v>
      </c>
      <c r="W10" s="46" t="s">
        <v>181</v>
      </c>
      <c r="X10" s="52"/>
      <c r="Y10" s="46" t="s">
        <v>181</v>
      </c>
      <c r="Z10" s="46" t="s">
        <v>181</v>
      </c>
      <c r="AA10" s="46" t="s">
        <v>181</v>
      </c>
      <c r="AB10" s="46" t="s">
        <v>181</v>
      </c>
      <c r="AC10" s="46" t="s">
        <v>181</v>
      </c>
      <c r="AD10" s="46" t="s">
        <v>181</v>
      </c>
      <c r="AE10" s="28"/>
      <c r="AF10" s="46" t="s">
        <v>181</v>
      </c>
      <c r="AG10" s="46" t="s">
        <v>181</v>
      </c>
      <c r="AH10" s="46" t="s">
        <v>181</v>
      </c>
      <c r="AI10" s="46" t="s">
        <v>181</v>
      </c>
      <c r="AJ10" s="46" t="s">
        <v>181</v>
      </c>
      <c r="AK10" s="46" t="s">
        <v>181</v>
      </c>
      <c r="AL10" s="28"/>
      <c r="AM10" s="46" t="s">
        <v>217</v>
      </c>
      <c r="AN10" s="46" t="s">
        <v>217</v>
      </c>
      <c r="AO10" s="46" t="s">
        <v>181</v>
      </c>
      <c r="AP10" s="46" t="s">
        <v>181</v>
      </c>
      <c r="AQ10" s="46" t="s">
        <v>181</v>
      </c>
      <c r="AR10" s="46" t="s">
        <v>181</v>
      </c>
      <c r="AS10" s="28"/>
      <c r="AT10" s="46" t="s">
        <v>181</v>
      </c>
      <c r="AU10" s="46" t="s">
        <v>181</v>
      </c>
      <c r="AV10" s="46" t="s">
        <v>181</v>
      </c>
      <c r="AW10" s="46" t="s">
        <v>181</v>
      </c>
      <c r="AX10" s="46" t="s">
        <v>181</v>
      </c>
      <c r="AY10" s="46" t="s">
        <v>181</v>
      </c>
      <c r="AZ10" s="28"/>
      <c r="BA10" s="46" t="s">
        <v>181</v>
      </c>
      <c r="BB10" s="46" t="s">
        <v>181</v>
      </c>
      <c r="BC10" s="46" t="s">
        <v>181</v>
      </c>
      <c r="BD10" s="46" t="s">
        <v>181</v>
      </c>
      <c r="BE10" s="46" t="s">
        <v>181</v>
      </c>
      <c r="BF10" s="46" t="s">
        <v>181</v>
      </c>
      <c r="BG10" s="28"/>
      <c r="BH10" s="43"/>
      <c r="BI10" s="43"/>
      <c r="BJ10" s="43"/>
      <c r="BK10" s="43"/>
      <c r="BL10" s="43"/>
      <c r="BM10" s="43"/>
      <c r="BN10" s="28"/>
      <c r="BO10" s="43"/>
      <c r="BP10" s="43"/>
      <c r="BQ10" s="43"/>
      <c r="BR10" s="43"/>
    </row>
    <row r="11">
      <c r="A11" s="42">
        <v>8.0</v>
      </c>
      <c r="B11" s="43" t="s">
        <v>164</v>
      </c>
      <c r="C11" s="43" t="s">
        <v>165</v>
      </c>
      <c r="D11" s="44">
        <f t="shared" si="2"/>
        <v>37</v>
      </c>
      <c r="E11" s="44">
        <f t="shared" si="3"/>
        <v>7</v>
      </c>
      <c r="F11" s="44">
        <f t="shared" si="4"/>
        <v>44</v>
      </c>
      <c r="G11" s="45">
        <f t="shared" si="5"/>
        <v>0.8409090909</v>
      </c>
      <c r="H11" s="46" t="s">
        <v>181</v>
      </c>
      <c r="I11" s="46" t="s">
        <v>181</v>
      </c>
      <c r="J11" s="52"/>
      <c r="K11" s="46" t="s">
        <v>181</v>
      </c>
      <c r="L11" s="46" t="s">
        <v>181</v>
      </c>
      <c r="M11" s="46" t="s">
        <v>217</v>
      </c>
      <c r="N11" s="46" t="s">
        <v>181</v>
      </c>
      <c r="O11" s="46" t="s">
        <v>181</v>
      </c>
      <c r="P11" s="46" t="s">
        <v>181</v>
      </c>
      <c r="Q11" s="52"/>
      <c r="R11" s="46" t="s">
        <v>217</v>
      </c>
      <c r="S11" s="46" t="s">
        <v>181</v>
      </c>
      <c r="T11" s="46" t="s">
        <v>181</v>
      </c>
      <c r="U11" s="46" t="s">
        <v>181</v>
      </c>
      <c r="V11" s="46" t="s">
        <v>181</v>
      </c>
      <c r="W11" s="46" t="s">
        <v>181</v>
      </c>
      <c r="X11" s="52"/>
      <c r="Y11" s="46" t="s">
        <v>181</v>
      </c>
      <c r="Z11" s="46" t="s">
        <v>181</v>
      </c>
      <c r="AA11" s="46" t="s">
        <v>181</v>
      </c>
      <c r="AB11" s="46" t="s">
        <v>181</v>
      </c>
      <c r="AC11" s="46" t="s">
        <v>181</v>
      </c>
      <c r="AD11" s="46" t="s">
        <v>217</v>
      </c>
      <c r="AE11" s="28"/>
      <c r="AF11" s="46" t="s">
        <v>181</v>
      </c>
      <c r="AG11" s="46" t="s">
        <v>181</v>
      </c>
      <c r="AH11" s="46" t="s">
        <v>181</v>
      </c>
      <c r="AI11" s="46" t="s">
        <v>181</v>
      </c>
      <c r="AJ11" s="46" t="s">
        <v>181</v>
      </c>
      <c r="AK11" s="46" t="s">
        <v>181</v>
      </c>
      <c r="AL11" s="28"/>
      <c r="AM11" s="46" t="s">
        <v>181</v>
      </c>
      <c r="AN11" s="46" t="s">
        <v>181</v>
      </c>
      <c r="AO11" s="46" t="s">
        <v>217</v>
      </c>
      <c r="AP11" s="46" t="s">
        <v>181</v>
      </c>
      <c r="AQ11" s="46" t="s">
        <v>181</v>
      </c>
      <c r="AR11" s="46" t="s">
        <v>181</v>
      </c>
      <c r="AS11" s="28"/>
      <c r="AT11" s="46" t="s">
        <v>181</v>
      </c>
      <c r="AU11" s="46" t="s">
        <v>217</v>
      </c>
      <c r="AV11" s="46" t="s">
        <v>181</v>
      </c>
      <c r="AW11" s="46" t="s">
        <v>181</v>
      </c>
      <c r="AX11" s="46" t="s">
        <v>181</v>
      </c>
      <c r="AY11" s="46" t="s">
        <v>181</v>
      </c>
      <c r="AZ11" s="28"/>
      <c r="BA11" s="46" t="s">
        <v>181</v>
      </c>
      <c r="BB11" s="46" t="s">
        <v>181</v>
      </c>
      <c r="BC11" s="46" t="s">
        <v>181</v>
      </c>
      <c r="BD11" s="46" t="s">
        <v>181</v>
      </c>
      <c r="BE11" s="46" t="s">
        <v>217</v>
      </c>
      <c r="BF11" s="46" t="s">
        <v>217</v>
      </c>
      <c r="BG11" s="28"/>
      <c r="BH11" s="43"/>
      <c r="BI11" s="43"/>
      <c r="BJ11" s="43"/>
      <c r="BK11" s="43"/>
      <c r="BL11" s="43"/>
      <c r="BM11" s="43"/>
      <c r="BN11" s="28"/>
      <c r="BO11" s="43"/>
      <c r="BP11" s="43"/>
      <c r="BQ11" s="43"/>
      <c r="BR11" s="43"/>
    </row>
    <row r="12">
      <c r="A12" s="42">
        <v>9.0</v>
      </c>
      <c r="B12" s="43" t="s">
        <v>172</v>
      </c>
      <c r="C12" s="54" t="s">
        <v>173</v>
      </c>
      <c r="D12" s="44">
        <f t="shared" si="2"/>
        <v>44</v>
      </c>
      <c r="E12" s="44">
        <f t="shared" si="3"/>
        <v>0</v>
      </c>
      <c r="F12" s="44">
        <f t="shared" si="4"/>
        <v>44</v>
      </c>
      <c r="G12" s="45">
        <f t="shared" si="5"/>
        <v>1</v>
      </c>
      <c r="H12" s="46" t="s">
        <v>181</v>
      </c>
      <c r="I12" s="46" t="s">
        <v>181</v>
      </c>
      <c r="J12" s="52"/>
      <c r="K12" s="46" t="s">
        <v>181</v>
      </c>
      <c r="L12" s="46" t="s">
        <v>181</v>
      </c>
      <c r="M12" s="46" t="s">
        <v>181</v>
      </c>
      <c r="N12" s="46" t="s">
        <v>181</v>
      </c>
      <c r="O12" s="46" t="s">
        <v>181</v>
      </c>
      <c r="P12" s="46" t="s">
        <v>181</v>
      </c>
      <c r="Q12" s="52"/>
      <c r="R12" s="46" t="s">
        <v>181</v>
      </c>
      <c r="S12" s="46" t="s">
        <v>181</v>
      </c>
      <c r="T12" s="46" t="s">
        <v>181</v>
      </c>
      <c r="U12" s="46" t="s">
        <v>181</v>
      </c>
      <c r="V12" s="46" t="s">
        <v>181</v>
      </c>
      <c r="W12" s="46" t="s">
        <v>181</v>
      </c>
      <c r="X12" s="52"/>
      <c r="Y12" s="46" t="s">
        <v>181</v>
      </c>
      <c r="Z12" s="46" t="s">
        <v>181</v>
      </c>
      <c r="AA12" s="46" t="s">
        <v>181</v>
      </c>
      <c r="AB12" s="46" t="s">
        <v>181</v>
      </c>
      <c r="AC12" s="46" t="s">
        <v>181</v>
      </c>
      <c r="AD12" s="46" t="s">
        <v>181</v>
      </c>
      <c r="AE12" s="28"/>
      <c r="AF12" s="46" t="s">
        <v>181</v>
      </c>
      <c r="AG12" s="46" t="s">
        <v>181</v>
      </c>
      <c r="AH12" s="46" t="s">
        <v>181</v>
      </c>
      <c r="AI12" s="46" t="s">
        <v>181</v>
      </c>
      <c r="AJ12" s="46" t="s">
        <v>181</v>
      </c>
      <c r="AK12" s="46" t="s">
        <v>181</v>
      </c>
      <c r="AL12" s="28"/>
      <c r="AM12" s="46" t="s">
        <v>181</v>
      </c>
      <c r="AN12" s="46" t="s">
        <v>181</v>
      </c>
      <c r="AO12" s="46" t="s">
        <v>181</v>
      </c>
      <c r="AP12" s="46" t="s">
        <v>181</v>
      </c>
      <c r="AQ12" s="46" t="s">
        <v>181</v>
      </c>
      <c r="AR12" s="46" t="s">
        <v>181</v>
      </c>
      <c r="AS12" s="28"/>
      <c r="AT12" s="46" t="s">
        <v>181</v>
      </c>
      <c r="AU12" s="46" t="s">
        <v>181</v>
      </c>
      <c r="AV12" s="46" t="s">
        <v>181</v>
      </c>
      <c r="AW12" s="46" t="s">
        <v>181</v>
      </c>
      <c r="AX12" s="46" t="s">
        <v>181</v>
      </c>
      <c r="AY12" s="46" t="s">
        <v>181</v>
      </c>
      <c r="AZ12" s="28"/>
      <c r="BA12" s="46" t="s">
        <v>181</v>
      </c>
      <c r="BB12" s="46" t="s">
        <v>181</v>
      </c>
      <c r="BC12" s="46" t="s">
        <v>181</v>
      </c>
      <c r="BD12" s="46" t="s">
        <v>181</v>
      </c>
      <c r="BE12" s="46" t="s">
        <v>181</v>
      </c>
      <c r="BF12" s="46" t="s">
        <v>181</v>
      </c>
      <c r="BG12" s="28"/>
      <c r="BH12" s="43"/>
      <c r="BI12" s="43"/>
      <c r="BJ12" s="43"/>
      <c r="BK12" s="43"/>
      <c r="BL12" s="43"/>
      <c r="BM12" s="43"/>
      <c r="BN12" s="28"/>
      <c r="BO12" s="43"/>
      <c r="BP12" s="43"/>
      <c r="BQ12" s="43"/>
      <c r="BR12" s="43"/>
    </row>
    <row r="13">
      <c r="A13" s="42">
        <v>10.0</v>
      </c>
      <c r="B13" s="43" t="s">
        <v>236</v>
      </c>
      <c r="C13" s="43" t="s">
        <v>237</v>
      </c>
      <c r="D13" s="44">
        <f t="shared" si="2"/>
        <v>0</v>
      </c>
      <c r="E13" s="44">
        <f t="shared" si="3"/>
        <v>20</v>
      </c>
      <c r="F13" s="44">
        <f t="shared" si="4"/>
        <v>20</v>
      </c>
      <c r="G13" s="45">
        <f t="shared" si="5"/>
        <v>0</v>
      </c>
      <c r="H13" s="42" t="s">
        <v>383</v>
      </c>
      <c r="I13" s="42" t="s">
        <v>383</v>
      </c>
      <c r="J13" s="52"/>
      <c r="K13" s="42" t="s">
        <v>383</v>
      </c>
      <c r="L13" s="42" t="s">
        <v>383</v>
      </c>
      <c r="M13" s="42" t="s">
        <v>383</v>
      </c>
      <c r="N13" s="42" t="s">
        <v>383</v>
      </c>
      <c r="O13" s="42" t="s">
        <v>383</v>
      </c>
      <c r="P13" s="42" t="s">
        <v>383</v>
      </c>
      <c r="Q13" s="52"/>
      <c r="R13" s="42" t="s">
        <v>383</v>
      </c>
      <c r="S13" s="42" t="s">
        <v>383</v>
      </c>
      <c r="T13" s="42" t="s">
        <v>383</v>
      </c>
      <c r="U13" s="42" t="s">
        <v>383</v>
      </c>
      <c r="V13" s="42" t="s">
        <v>383</v>
      </c>
      <c r="W13" s="42" t="s">
        <v>383</v>
      </c>
      <c r="X13" s="52"/>
      <c r="Y13" s="42" t="s">
        <v>383</v>
      </c>
      <c r="Z13" s="42" t="s">
        <v>383</v>
      </c>
      <c r="AA13" s="42" t="s">
        <v>383</v>
      </c>
      <c r="AB13" s="42" t="s">
        <v>383</v>
      </c>
      <c r="AC13" s="42" t="s">
        <v>383</v>
      </c>
      <c r="AD13" s="42" t="s">
        <v>383</v>
      </c>
      <c r="AE13" s="28"/>
      <c r="AF13" s="42" t="s">
        <v>383</v>
      </c>
      <c r="AG13" s="42" t="s">
        <v>383</v>
      </c>
      <c r="AH13" s="42" t="s">
        <v>383</v>
      </c>
      <c r="AI13" s="42" t="s">
        <v>383</v>
      </c>
      <c r="AJ13" s="42" t="s">
        <v>217</v>
      </c>
      <c r="AK13" s="42" t="s">
        <v>217</v>
      </c>
      <c r="AL13" s="28"/>
      <c r="AM13" s="42" t="s">
        <v>217</v>
      </c>
      <c r="AN13" s="42" t="s">
        <v>217</v>
      </c>
      <c r="AO13" s="42" t="s">
        <v>217</v>
      </c>
      <c r="AP13" s="42" t="s">
        <v>217</v>
      </c>
      <c r="AQ13" s="42" t="s">
        <v>217</v>
      </c>
      <c r="AR13" s="42" t="s">
        <v>217</v>
      </c>
      <c r="AS13" s="28"/>
      <c r="AT13" s="42" t="s">
        <v>217</v>
      </c>
      <c r="AU13" s="42" t="s">
        <v>217</v>
      </c>
      <c r="AV13" s="42" t="s">
        <v>217</v>
      </c>
      <c r="AW13" s="42" t="s">
        <v>217</v>
      </c>
      <c r="AX13" s="42" t="s">
        <v>217</v>
      </c>
      <c r="AY13" s="42" t="s">
        <v>217</v>
      </c>
      <c r="AZ13" s="28"/>
      <c r="BA13" s="42" t="s">
        <v>217</v>
      </c>
      <c r="BB13" s="42" t="s">
        <v>217</v>
      </c>
      <c r="BC13" s="42" t="s">
        <v>217</v>
      </c>
      <c r="BD13" s="42" t="s">
        <v>217</v>
      </c>
      <c r="BE13" s="42" t="s">
        <v>217</v>
      </c>
      <c r="BF13" s="42" t="s">
        <v>217</v>
      </c>
      <c r="BG13" s="28"/>
      <c r="BH13" s="44"/>
      <c r="BI13" s="44"/>
      <c r="BJ13" s="44"/>
      <c r="BK13" s="44"/>
      <c r="BL13" s="44"/>
      <c r="BM13" s="44"/>
      <c r="BN13" s="28"/>
      <c r="BO13" s="44"/>
      <c r="BP13" s="44"/>
      <c r="BQ13" s="44"/>
      <c r="BR13" s="44"/>
    </row>
    <row r="14">
      <c r="A14" s="42">
        <v>11.0</v>
      </c>
      <c r="B14" s="43" t="s">
        <v>178</v>
      </c>
      <c r="C14" s="43" t="s">
        <v>179</v>
      </c>
      <c r="D14" s="44">
        <f t="shared" si="2"/>
        <v>43</v>
      </c>
      <c r="E14" s="44">
        <f t="shared" si="3"/>
        <v>1</v>
      </c>
      <c r="F14" s="44">
        <f t="shared" si="4"/>
        <v>44</v>
      </c>
      <c r="G14" s="45">
        <f t="shared" si="5"/>
        <v>0.9772727273</v>
      </c>
      <c r="H14" s="46" t="s">
        <v>181</v>
      </c>
      <c r="I14" s="46" t="s">
        <v>181</v>
      </c>
      <c r="J14" s="52"/>
      <c r="K14" s="46" t="s">
        <v>181</v>
      </c>
      <c r="L14" s="46" t="s">
        <v>181</v>
      </c>
      <c r="M14" s="46" t="s">
        <v>181</v>
      </c>
      <c r="N14" s="46" t="s">
        <v>181</v>
      </c>
      <c r="O14" s="46" t="s">
        <v>181</v>
      </c>
      <c r="P14" s="46" t="s">
        <v>181</v>
      </c>
      <c r="Q14" s="52"/>
      <c r="R14" s="46" t="s">
        <v>181</v>
      </c>
      <c r="S14" s="46" t="s">
        <v>181</v>
      </c>
      <c r="T14" s="46" t="s">
        <v>181</v>
      </c>
      <c r="U14" s="46" t="s">
        <v>217</v>
      </c>
      <c r="V14" s="46" t="s">
        <v>181</v>
      </c>
      <c r="W14" s="46" t="s">
        <v>181</v>
      </c>
      <c r="X14" s="52"/>
      <c r="Y14" s="46" t="s">
        <v>181</v>
      </c>
      <c r="Z14" s="46" t="s">
        <v>181</v>
      </c>
      <c r="AA14" s="46" t="s">
        <v>181</v>
      </c>
      <c r="AB14" s="46" t="s">
        <v>181</v>
      </c>
      <c r="AC14" s="46" t="s">
        <v>181</v>
      </c>
      <c r="AD14" s="46" t="s">
        <v>181</v>
      </c>
      <c r="AE14" s="28"/>
      <c r="AF14" s="46" t="s">
        <v>181</v>
      </c>
      <c r="AG14" s="46" t="s">
        <v>181</v>
      </c>
      <c r="AH14" s="46" t="s">
        <v>181</v>
      </c>
      <c r="AI14" s="46" t="s">
        <v>181</v>
      </c>
      <c r="AJ14" s="46" t="s">
        <v>181</v>
      </c>
      <c r="AK14" s="46" t="s">
        <v>181</v>
      </c>
      <c r="AL14" s="28"/>
      <c r="AM14" s="46" t="s">
        <v>181</v>
      </c>
      <c r="AN14" s="46" t="s">
        <v>181</v>
      </c>
      <c r="AO14" s="46" t="s">
        <v>181</v>
      </c>
      <c r="AP14" s="46" t="s">
        <v>181</v>
      </c>
      <c r="AQ14" s="46" t="s">
        <v>181</v>
      </c>
      <c r="AR14" s="46" t="s">
        <v>181</v>
      </c>
      <c r="AS14" s="28"/>
      <c r="AT14" s="46" t="s">
        <v>181</v>
      </c>
      <c r="AU14" s="46" t="s">
        <v>181</v>
      </c>
      <c r="AV14" s="46" t="s">
        <v>181</v>
      </c>
      <c r="AW14" s="46" t="s">
        <v>181</v>
      </c>
      <c r="AX14" s="46" t="s">
        <v>181</v>
      </c>
      <c r="AY14" s="46" t="s">
        <v>181</v>
      </c>
      <c r="AZ14" s="28"/>
      <c r="BA14" s="46" t="s">
        <v>181</v>
      </c>
      <c r="BB14" s="46" t="s">
        <v>181</v>
      </c>
      <c r="BC14" s="46" t="s">
        <v>181</v>
      </c>
      <c r="BD14" s="46" t="s">
        <v>181</v>
      </c>
      <c r="BE14" s="46" t="s">
        <v>181</v>
      </c>
      <c r="BF14" s="46" t="s">
        <v>181</v>
      </c>
      <c r="BG14" s="28"/>
      <c r="BH14" s="43"/>
      <c r="BI14" s="43"/>
      <c r="BJ14" s="43"/>
      <c r="BK14" s="43"/>
      <c r="BL14" s="43"/>
      <c r="BM14" s="43"/>
      <c r="BN14" s="28"/>
      <c r="BO14" s="43"/>
      <c r="BP14" s="43"/>
      <c r="BQ14" s="43"/>
      <c r="BR14" s="43"/>
    </row>
    <row r="15">
      <c r="A15" s="42">
        <v>12.0</v>
      </c>
      <c r="B15" s="43" t="s">
        <v>186</v>
      </c>
      <c r="C15" s="43" t="s">
        <v>188</v>
      </c>
      <c r="D15" s="44">
        <f t="shared" si="2"/>
        <v>22</v>
      </c>
      <c r="E15" s="44">
        <f t="shared" si="3"/>
        <v>22</v>
      </c>
      <c r="F15" s="44">
        <f t="shared" si="4"/>
        <v>44</v>
      </c>
      <c r="G15" s="45">
        <f t="shared" si="5"/>
        <v>0.5</v>
      </c>
      <c r="H15" s="46" t="s">
        <v>217</v>
      </c>
      <c r="I15" s="46" t="s">
        <v>217</v>
      </c>
      <c r="J15" s="52"/>
      <c r="K15" s="46" t="s">
        <v>217</v>
      </c>
      <c r="L15" s="46" t="s">
        <v>217</v>
      </c>
      <c r="M15" s="46" t="s">
        <v>217</v>
      </c>
      <c r="N15" s="46" t="s">
        <v>181</v>
      </c>
      <c r="O15" s="46" t="s">
        <v>181</v>
      </c>
      <c r="P15" s="46" t="s">
        <v>217</v>
      </c>
      <c r="Q15" s="52"/>
      <c r="R15" s="46" t="s">
        <v>181</v>
      </c>
      <c r="S15" s="46" t="s">
        <v>181</v>
      </c>
      <c r="T15" s="46" t="s">
        <v>181</v>
      </c>
      <c r="U15" s="46" t="s">
        <v>217</v>
      </c>
      <c r="V15" s="46" t="s">
        <v>181</v>
      </c>
      <c r="W15" s="46" t="s">
        <v>181</v>
      </c>
      <c r="X15" s="52"/>
      <c r="Y15" s="46" t="s">
        <v>217</v>
      </c>
      <c r="Z15" s="46" t="s">
        <v>217</v>
      </c>
      <c r="AA15" s="46" t="s">
        <v>217</v>
      </c>
      <c r="AB15" s="46" t="s">
        <v>217</v>
      </c>
      <c r="AC15" s="46" t="s">
        <v>217</v>
      </c>
      <c r="AD15" s="46" t="s">
        <v>181</v>
      </c>
      <c r="AE15" s="28"/>
      <c r="AF15" s="46" t="s">
        <v>181</v>
      </c>
      <c r="AG15" s="46" t="s">
        <v>181</v>
      </c>
      <c r="AH15" s="46" t="s">
        <v>217</v>
      </c>
      <c r="AI15" s="46" t="s">
        <v>217</v>
      </c>
      <c r="AJ15" s="46" t="s">
        <v>217</v>
      </c>
      <c r="AK15" s="46" t="s">
        <v>181</v>
      </c>
      <c r="AL15" s="28"/>
      <c r="AM15" s="46" t="s">
        <v>181</v>
      </c>
      <c r="AN15" s="46" t="s">
        <v>181</v>
      </c>
      <c r="AO15" s="46" t="s">
        <v>181</v>
      </c>
      <c r="AP15" s="46" t="s">
        <v>181</v>
      </c>
      <c r="AQ15" s="46" t="s">
        <v>217</v>
      </c>
      <c r="AR15" s="46" t="s">
        <v>181</v>
      </c>
      <c r="AS15" s="28"/>
      <c r="AT15" s="46" t="s">
        <v>181</v>
      </c>
      <c r="AU15" s="46" t="s">
        <v>217</v>
      </c>
      <c r="AV15" s="46" t="s">
        <v>217</v>
      </c>
      <c r="AW15" s="46" t="s">
        <v>181</v>
      </c>
      <c r="AX15" s="46" t="s">
        <v>217</v>
      </c>
      <c r="AY15" s="46" t="s">
        <v>217</v>
      </c>
      <c r="AZ15" s="28"/>
      <c r="BA15" s="46" t="s">
        <v>181</v>
      </c>
      <c r="BB15" s="46" t="s">
        <v>181</v>
      </c>
      <c r="BC15" s="46" t="s">
        <v>181</v>
      </c>
      <c r="BD15" s="46" t="s">
        <v>181</v>
      </c>
      <c r="BE15" s="46" t="s">
        <v>217</v>
      </c>
      <c r="BF15" s="46" t="s">
        <v>217</v>
      </c>
      <c r="BG15" s="28"/>
      <c r="BH15" s="43"/>
      <c r="BI15" s="43"/>
      <c r="BJ15" s="43"/>
      <c r="BK15" s="43"/>
      <c r="BL15" s="43"/>
      <c r="BM15" s="43"/>
      <c r="BN15" s="28"/>
      <c r="BO15" s="43"/>
      <c r="BP15" s="43"/>
      <c r="BQ15" s="43"/>
      <c r="BR15" s="43"/>
    </row>
    <row r="16">
      <c r="A16" s="42">
        <v>13.0</v>
      </c>
      <c r="B16" s="55" t="s">
        <v>243</v>
      </c>
      <c r="C16" s="55" t="s">
        <v>245</v>
      </c>
      <c r="D16" s="44">
        <f t="shared" si="2"/>
        <v>16</v>
      </c>
      <c r="E16" s="44">
        <f t="shared" si="3"/>
        <v>8</v>
      </c>
      <c r="F16" s="44">
        <f t="shared" si="4"/>
        <v>24</v>
      </c>
      <c r="G16" s="45">
        <f t="shared" si="5"/>
        <v>0.6666666667</v>
      </c>
      <c r="H16" s="42" t="s">
        <v>383</v>
      </c>
      <c r="I16" s="42" t="s">
        <v>383</v>
      </c>
      <c r="J16" s="52"/>
      <c r="K16" s="42" t="s">
        <v>383</v>
      </c>
      <c r="L16" s="42" t="s">
        <v>383</v>
      </c>
      <c r="M16" s="42" t="s">
        <v>383</v>
      </c>
      <c r="N16" s="42" t="s">
        <v>383</v>
      </c>
      <c r="O16" s="42" t="s">
        <v>383</v>
      </c>
      <c r="P16" s="42" t="s">
        <v>383</v>
      </c>
      <c r="Q16" s="52"/>
      <c r="R16" s="42" t="s">
        <v>383</v>
      </c>
      <c r="S16" s="42" t="s">
        <v>383</v>
      </c>
      <c r="T16" s="42" t="s">
        <v>383</v>
      </c>
      <c r="U16" s="42" t="s">
        <v>383</v>
      </c>
      <c r="V16" s="42" t="s">
        <v>383</v>
      </c>
      <c r="W16" s="42" t="s">
        <v>383</v>
      </c>
      <c r="X16" s="57"/>
      <c r="Y16" s="42" t="s">
        <v>383</v>
      </c>
      <c r="Z16" s="42" t="s">
        <v>383</v>
      </c>
      <c r="AA16" s="42" t="s">
        <v>383</v>
      </c>
      <c r="AB16" s="42" t="s">
        <v>383</v>
      </c>
      <c r="AC16" s="42" t="s">
        <v>383</v>
      </c>
      <c r="AD16" s="42" t="s">
        <v>383</v>
      </c>
      <c r="AE16" s="28"/>
      <c r="AF16" s="42" t="s">
        <v>181</v>
      </c>
      <c r="AG16" s="42" t="s">
        <v>181</v>
      </c>
      <c r="AH16" s="42" t="s">
        <v>181</v>
      </c>
      <c r="AI16" s="42" t="s">
        <v>181</v>
      </c>
      <c r="AJ16" s="42" t="s">
        <v>181</v>
      </c>
      <c r="AK16" s="42" t="s">
        <v>181</v>
      </c>
      <c r="AL16" s="28"/>
      <c r="AM16" s="42" t="s">
        <v>181</v>
      </c>
      <c r="AN16" s="42" t="s">
        <v>181</v>
      </c>
      <c r="AO16" s="42" t="s">
        <v>181</v>
      </c>
      <c r="AP16" s="42" t="s">
        <v>181</v>
      </c>
      <c r="AQ16" s="42" t="s">
        <v>181</v>
      </c>
      <c r="AR16" s="42" t="s">
        <v>181</v>
      </c>
      <c r="AS16" s="28"/>
      <c r="AT16" s="42" t="s">
        <v>217</v>
      </c>
      <c r="AU16" s="42" t="s">
        <v>217</v>
      </c>
      <c r="AV16" s="42" t="s">
        <v>181</v>
      </c>
      <c r="AW16" s="42" t="s">
        <v>181</v>
      </c>
      <c r="AX16" s="42" t="s">
        <v>181</v>
      </c>
      <c r="AY16" s="42" t="s">
        <v>181</v>
      </c>
      <c r="AZ16" s="28"/>
      <c r="BA16" s="42" t="s">
        <v>217</v>
      </c>
      <c r="BB16" s="42" t="s">
        <v>217</v>
      </c>
      <c r="BC16" s="42" t="s">
        <v>217</v>
      </c>
      <c r="BD16" s="42" t="s">
        <v>217</v>
      </c>
      <c r="BE16" s="42" t="s">
        <v>217</v>
      </c>
      <c r="BF16" s="42" t="s">
        <v>217</v>
      </c>
      <c r="BG16" s="28"/>
      <c r="BH16" s="44"/>
      <c r="BI16" s="44"/>
      <c r="BJ16" s="44"/>
      <c r="BK16" s="44"/>
      <c r="BL16" s="44"/>
      <c r="BM16" s="44"/>
      <c r="BN16" s="28"/>
      <c r="BO16" s="44"/>
      <c r="BP16" s="44"/>
      <c r="BQ16" s="44"/>
      <c r="BR16" s="44"/>
    </row>
    <row r="17">
      <c r="A17" s="42">
        <v>14.0</v>
      </c>
      <c r="B17" s="43" t="s">
        <v>194</v>
      </c>
      <c r="C17" s="43" t="s">
        <v>195</v>
      </c>
      <c r="D17" s="44">
        <f t="shared" si="2"/>
        <v>18</v>
      </c>
      <c r="E17" s="44">
        <f t="shared" si="3"/>
        <v>26</v>
      </c>
      <c r="F17" s="44">
        <f t="shared" si="4"/>
        <v>44</v>
      </c>
      <c r="G17" s="45">
        <f t="shared" si="5"/>
        <v>0.4090909091</v>
      </c>
      <c r="H17" s="46" t="s">
        <v>217</v>
      </c>
      <c r="I17" s="46" t="s">
        <v>217</v>
      </c>
      <c r="J17" s="52"/>
      <c r="K17" s="46" t="s">
        <v>217</v>
      </c>
      <c r="L17" s="46" t="s">
        <v>217</v>
      </c>
      <c r="M17" s="46" t="s">
        <v>217</v>
      </c>
      <c r="N17" s="46" t="s">
        <v>217</v>
      </c>
      <c r="O17" s="46" t="s">
        <v>217</v>
      </c>
      <c r="P17" s="46" t="s">
        <v>217</v>
      </c>
      <c r="Q17" s="52"/>
      <c r="R17" s="46" t="s">
        <v>217</v>
      </c>
      <c r="S17" s="46" t="s">
        <v>217</v>
      </c>
      <c r="T17" s="46" t="s">
        <v>217</v>
      </c>
      <c r="U17" s="46" t="s">
        <v>217</v>
      </c>
      <c r="V17" s="46" t="s">
        <v>217</v>
      </c>
      <c r="W17" s="46" t="s">
        <v>217</v>
      </c>
      <c r="X17" s="52"/>
      <c r="Y17" s="46" t="s">
        <v>217</v>
      </c>
      <c r="Z17" s="46" t="s">
        <v>217</v>
      </c>
      <c r="AA17" s="46" t="s">
        <v>217</v>
      </c>
      <c r="AB17" s="46" t="s">
        <v>181</v>
      </c>
      <c r="AC17" s="46" t="s">
        <v>181</v>
      </c>
      <c r="AD17" s="46" t="s">
        <v>181</v>
      </c>
      <c r="AE17" s="28"/>
      <c r="AF17" s="46" t="s">
        <v>181</v>
      </c>
      <c r="AG17" s="46" t="s">
        <v>181</v>
      </c>
      <c r="AH17" s="46" t="s">
        <v>181</v>
      </c>
      <c r="AI17" s="46" t="s">
        <v>181</v>
      </c>
      <c r="AJ17" s="46" t="s">
        <v>217</v>
      </c>
      <c r="AK17" s="46" t="s">
        <v>181</v>
      </c>
      <c r="AL17" s="28"/>
      <c r="AM17" s="46" t="s">
        <v>181</v>
      </c>
      <c r="AN17" s="46" t="s">
        <v>217</v>
      </c>
      <c r="AO17" s="46" t="s">
        <v>181</v>
      </c>
      <c r="AP17" s="46" t="s">
        <v>181</v>
      </c>
      <c r="AQ17" s="46" t="s">
        <v>181</v>
      </c>
      <c r="AR17" s="46" t="s">
        <v>181</v>
      </c>
      <c r="AS17" s="28"/>
      <c r="AT17" s="46" t="s">
        <v>181</v>
      </c>
      <c r="AU17" s="46" t="s">
        <v>181</v>
      </c>
      <c r="AV17" s="46" t="s">
        <v>217</v>
      </c>
      <c r="AW17" s="46" t="s">
        <v>181</v>
      </c>
      <c r="AX17" s="46" t="s">
        <v>181</v>
      </c>
      <c r="AY17" s="46" t="s">
        <v>181</v>
      </c>
      <c r="AZ17" s="28"/>
      <c r="BA17" s="46" t="s">
        <v>217</v>
      </c>
      <c r="BB17" s="46" t="s">
        <v>217</v>
      </c>
      <c r="BC17" s="46" t="s">
        <v>217</v>
      </c>
      <c r="BD17" s="46" t="s">
        <v>217</v>
      </c>
      <c r="BE17" s="46" t="s">
        <v>217</v>
      </c>
      <c r="BF17" s="46" t="s">
        <v>217</v>
      </c>
      <c r="BG17" s="28"/>
      <c r="BH17" s="43"/>
      <c r="BI17" s="43"/>
      <c r="BJ17" s="43"/>
      <c r="BK17" s="43"/>
      <c r="BL17" s="43"/>
      <c r="BM17" s="43"/>
      <c r="BN17" s="28"/>
      <c r="BO17" s="43"/>
      <c r="BP17" s="43"/>
      <c r="BQ17" s="43"/>
      <c r="BR17" s="43"/>
    </row>
    <row r="18">
      <c r="A18" s="42">
        <v>15.0</v>
      </c>
      <c r="B18" s="43" t="s">
        <v>202</v>
      </c>
      <c r="C18" s="43" t="s">
        <v>205</v>
      </c>
      <c r="D18" s="44">
        <f t="shared" si="2"/>
        <v>14</v>
      </c>
      <c r="E18" s="44">
        <f t="shared" si="3"/>
        <v>30</v>
      </c>
      <c r="F18" s="44">
        <f t="shared" si="4"/>
        <v>44</v>
      </c>
      <c r="G18" s="45">
        <f t="shared" si="5"/>
        <v>0.3181818182</v>
      </c>
      <c r="H18" s="46" t="s">
        <v>217</v>
      </c>
      <c r="I18" s="46" t="s">
        <v>217</v>
      </c>
      <c r="J18" s="52"/>
      <c r="K18" s="46" t="s">
        <v>217</v>
      </c>
      <c r="L18" s="46" t="s">
        <v>217</v>
      </c>
      <c r="M18" s="46" t="s">
        <v>181</v>
      </c>
      <c r="N18" s="46" t="s">
        <v>181</v>
      </c>
      <c r="O18" s="46" t="s">
        <v>217</v>
      </c>
      <c r="P18" s="46" t="s">
        <v>217</v>
      </c>
      <c r="Q18" s="52"/>
      <c r="R18" s="46" t="s">
        <v>217</v>
      </c>
      <c r="S18" s="46" t="s">
        <v>217</v>
      </c>
      <c r="T18" s="46" t="s">
        <v>217</v>
      </c>
      <c r="U18" s="46" t="s">
        <v>181</v>
      </c>
      <c r="V18" s="46" t="s">
        <v>217</v>
      </c>
      <c r="W18" s="46" t="s">
        <v>217</v>
      </c>
      <c r="X18" s="52"/>
      <c r="Y18" s="46" t="s">
        <v>181</v>
      </c>
      <c r="Z18" s="46" t="s">
        <v>181</v>
      </c>
      <c r="AA18" s="46" t="s">
        <v>217</v>
      </c>
      <c r="AB18" s="46" t="s">
        <v>217</v>
      </c>
      <c r="AC18" s="46" t="s">
        <v>217</v>
      </c>
      <c r="AD18" s="46" t="s">
        <v>217</v>
      </c>
      <c r="AE18" s="28"/>
      <c r="AF18" s="46" t="s">
        <v>181</v>
      </c>
      <c r="AG18" s="46" t="s">
        <v>217</v>
      </c>
      <c r="AH18" s="46" t="s">
        <v>217</v>
      </c>
      <c r="AI18" s="46" t="s">
        <v>217</v>
      </c>
      <c r="AJ18" s="46" t="s">
        <v>217</v>
      </c>
      <c r="AK18" s="46" t="s">
        <v>181</v>
      </c>
      <c r="AL18" s="28"/>
      <c r="AM18" s="46" t="s">
        <v>217</v>
      </c>
      <c r="AN18" s="46" t="s">
        <v>181</v>
      </c>
      <c r="AO18" s="46" t="s">
        <v>181</v>
      </c>
      <c r="AP18" s="46" t="s">
        <v>181</v>
      </c>
      <c r="AQ18" s="46" t="s">
        <v>181</v>
      </c>
      <c r="AR18" s="46" t="s">
        <v>181</v>
      </c>
      <c r="AS18" s="28"/>
      <c r="AT18" s="46" t="s">
        <v>181</v>
      </c>
      <c r="AU18" s="46" t="s">
        <v>217</v>
      </c>
      <c r="AV18" s="46" t="s">
        <v>217</v>
      </c>
      <c r="AW18" s="46" t="s">
        <v>181</v>
      </c>
      <c r="AX18" s="46" t="s">
        <v>217</v>
      </c>
      <c r="AY18" s="46" t="s">
        <v>217</v>
      </c>
      <c r="AZ18" s="28"/>
      <c r="BA18" s="46" t="s">
        <v>217</v>
      </c>
      <c r="BB18" s="46" t="s">
        <v>217</v>
      </c>
      <c r="BC18" s="46" t="s">
        <v>217</v>
      </c>
      <c r="BD18" s="46" t="s">
        <v>217</v>
      </c>
      <c r="BE18" s="46" t="s">
        <v>217</v>
      </c>
      <c r="BF18" s="46" t="s">
        <v>217</v>
      </c>
      <c r="BG18" s="28"/>
      <c r="BH18" s="43"/>
      <c r="BI18" s="43"/>
      <c r="BJ18" s="43"/>
      <c r="BK18" s="43"/>
      <c r="BL18" s="43"/>
      <c r="BM18" s="43"/>
      <c r="BN18" s="28"/>
      <c r="BO18" s="43"/>
      <c r="BP18" s="43"/>
      <c r="BQ18" s="43"/>
      <c r="BR18" s="43"/>
    </row>
    <row r="19">
      <c r="A19" s="42">
        <v>16.0</v>
      </c>
      <c r="B19" s="43" t="s">
        <v>213</v>
      </c>
      <c r="C19" s="54" t="s">
        <v>215</v>
      </c>
      <c r="D19" s="44">
        <f t="shared" si="2"/>
        <v>36</v>
      </c>
      <c r="E19" s="44">
        <f t="shared" si="3"/>
        <v>8</v>
      </c>
      <c r="F19" s="44">
        <f t="shared" si="4"/>
        <v>44</v>
      </c>
      <c r="G19" s="45">
        <f t="shared" si="5"/>
        <v>0.8181818182</v>
      </c>
      <c r="H19" s="46" t="s">
        <v>181</v>
      </c>
      <c r="I19" s="46" t="s">
        <v>181</v>
      </c>
      <c r="J19" s="52"/>
      <c r="K19" s="46" t="s">
        <v>181</v>
      </c>
      <c r="L19" s="46" t="s">
        <v>181</v>
      </c>
      <c r="M19" s="46" t="s">
        <v>181</v>
      </c>
      <c r="N19" s="46" t="s">
        <v>181</v>
      </c>
      <c r="O19" s="46" t="s">
        <v>181</v>
      </c>
      <c r="P19" s="46" t="s">
        <v>181</v>
      </c>
      <c r="Q19" s="52"/>
      <c r="R19" s="46" t="s">
        <v>181</v>
      </c>
      <c r="S19" s="46" t="s">
        <v>181</v>
      </c>
      <c r="T19" s="46" t="s">
        <v>181</v>
      </c>
      <c r="U19" s="46" t="s">
        <v>181</v>
      </c>
      <c r="V19" s="46" t="s">
        <v>217</v>
      </c>
      <c r="W19" s="46" t="s">
        <v>181</v>
      </c>
      <c r="X19" s="52"/>
      <c r="Y19" s="46" t="s">
        <v>181</v>
      </c>
      <c r="Z19" s="46" t="s">
        <v>181</v>
      </c>
      <c r="AA19" s="46" t="s">
        <v>181</v>
      </c>
      <c r="AB19" s="46" t="s">
        <v>181</v>
      </c>
      <c r="AC19" s="46" t="s">
        <v>181</v>
      </c>
      <c r="AD19" s="46" t="s">
        <v>217</v>
      </c>
      <c r="AE19" s="28"/>
      <c r="AF19" s="46" t="s">
        <v>181</v>
      </c>
      <c r="AG19" s="46" t="s">
        <v>181</v>
      </c>
      <c r="AH19" s="46" t="s">
        <v>181</v>
      </c>
      <c r="AI19" s="46" t="s">
        <v>181</v>
      </c>
      <c r="AJ19" s="46" t="s">
        <v>181</v>
      </c>
      <c r="AK19" s="46" t="s">
        <v>181</v>
      </c>
      <c r="AL19" s="28"/>
      <c r="AM19" s="46" t="s">
        <v>181</v>
      </c>
      <c r="AN19" s="46" t="s">
        <v>181</v>
      </c>
      <c r="AO19" s="46" t="s">
        <v>181</v>
      </c>
      <c r="AP19" s="46" t="s">
        <v>181</v>
      </c>
      <c r="AQ19" s="46" t="s">
        <v>181</v>
      </c>
      <c r="AR19" s="46" t="s">
        <v>181</v>
      </c>
      <c r="AS19" s="28"/>
      <c r="AT19" s="46" t="s">
        <v>181</v>
      </c>
      <c r="AU19" s="46" t="s">
        <v>181</v>
      </c>
      <c r="AV19" s="46" t="s">
        <v>181</v>
      </c>
      <c r="AW19" s="46" t="s">
        <v>181</v>
      </c>
      <c r="AX19" s="46" t="s">
        <v>181</v>
      </c>
      <c r="AY19" s="46" t="s">
        <v>181</v>
      </c>
      <c r="AZ19" s="28"/>
      <c r="BA19" s="46" t="s">
        <v>217</v>
      </c>
      <c r="BB19" s="46" t="s">
        <v>217</v>
      </c>
      <c r="BC19" s="46" t="s">
        <v>217</v>
      </c>
      <c r="BD19" s="46" t="s">
        <v>217</v>
      </c>
      <c r="BE19" s="46" t="s">
        <v>217</v>
      </c>
      <c r="BF19" s="46" t="s">
        <v>217</v>
      </c>
      <c r="BG19" s="28"/>
      <c r="BH19" s="43"/>
      <c r="BI19" s="43"/>
      <c r="BJ19" s="43"/>
      <c r="BK19" s="43"/>
      <c r="BL19" s="43"/>
      <c r="BM19" s="43"/>
      <c r="BN19" s="28"/>
      <c r="BO19" s="43"/>
      <c r="BP19" s="43"/>
      <c r="BQ19" s="43"/>
      <c r="BR19" s="43"/>
    </row>
    <row r="20">
      <c r="A20" s="42">
        <v>17.0</v>
      </c>
      <c r="B20" s="43" t="s">
        <v>220</v>
      </c>
      <c r="C20" s="43" t="s">
        <v>221</v>
      </c>
      <c r="D20" s="44">
        <f t="shared" si="2"/>
        <v>20</v>
      </c>
      <c r="E20" s="44">
        <f t="shared" si="3"/>
        <v>24</v>
      </c>
      <c r="F20" s="44">
        <f t="shared" si="4"/>
        <v>44</v>
      </c>
      <c r="G20" s="45">
        <f t="shared" si="5"/>
        <v>0.4545454545</v>
      </c>
      <c r="H20" s="46" t="s">
        <v>217</v>
      </c>
      <c r="I20" s="46" t="s">
        <v>217</v>
      </c>
      <c r="J20" s="52"/>
      <c r="K20" s="46" t="s">
        <v>217</v>
      </c>
      <c r="L20" s="46" t="s">
        <v>217</v>
      </c>
      <c r="M20" s="46" t="s">
        <v>217</v>
      </c>
      <c r="N20" s="42" t="s">
        <v>217</v>
      </c>
      <c r="O20" s="42" t="s">
        <v>181</v>
      </c>
      <c r="P20" s="42" t="s">
        <v>217</v>
      </c>
      <c r="Q20" s="52"/>
      <c r="R20" s="46" t="s">
        <v>181</v>
      </c>
      <c r="S20" s="42" t="s">
        <v>181</v>
      </c>
      <c r="T20" s="42" t="s">
        <v>181</v>
      </c>
      <c r="U20" s="42" t="s">
        <v>181</v>
      </c>
      <c r="V20" s="42" t="s">
        <v>217</v>
      </c>
      <c r="W20" s="42" t="s">
        <v>217</v>
      </c>
      <c r="X20" s="52"/>
      <c r="Y20" s="42" t="s">
        <v>181</v>
      </c>
      <c r="Z20" s="42" t="s">
        <v>181</v>
      </c>
      <c r="AA20" s="42" t="s">
        <v>181</v>
      </c>
      <c r="AB20" s="42" t="s">
        <v>181</v>
      </c>
      <c r="AC20" s="42" t="s">
        <v>181</v>
      </c>
      <c r="AD20" s="42" t="s">
        <v>181</v>
      </c>
      <c r="AE20" s="28"/>
      <c r="AF20" s="42" t="s">
        <v>181</v>
      </c>
      <c r="AG20" s="42" t="s">
        <v>217</v>
      </c>
      <c r="AH20" s="42" t="s">
        <v>181</v>
      </c>
      <c r="AI20" s="42" t="s">
        <v>181</v>
      </c>
      <c r="AJ20" s="42" t="s">
        <v>217</v>
      </c>
      <c r="AK20" s="42" t="s">
        <v>217</v>
      </c>
      <c r="AL20" s="28"/>
      <c r="AM20" s="42" t="s">
        <v>217</v>
      </c>
      <c r="AN20" s="42" t="s">
        <v>181</v>
      </c>
      <c r="AO20" s="42" t="s">
        <v>181</v>
      </c>
      <c r="AP20" s="42" t="s">
        <v>217</v>
      </c>
      <c r="AQ20" s="42" t="s">
        <v>181</v>
      </c>
      <c r="AR20" s="42" t="s">
        <v>181</v>
      </c>
      <c r="AS20" s="28"/>
      <c r="AT20" s="42" t="s">
        <v>181</v>
      </c>
      <c r="AU20" s="42" t="s">
        <v>217</v>
      </c>
      <c r="AV20" s="42" t="s">
        <v>217</v>
      </c>
      <c r="AW20" s="42" t="s">
        <v>217</v>
      </c>
      <c r="AX20" s="42" t="s">
        <v>217</v>
      </c>
      <c r="AY20" s="42" t="s">
        <v>181</v>
      </c>
      <c r="AZ20" s="28"/>
      <c r="BA20" s="42" t="s">
        <v>217</v>
      </c>
      <c r="BB20" s="42" t="s">
        <v>217</v>
      </c>
      <c r="BC20" s="42" t="s">
        <v>217</v>
      </c>
      <c r="BD20" s="42" t="s">
        <v>217</v>
      </c>
      <c r="BE20" s="42" t="s">
        <v>217</v>
      </c>
      <c r="BF20" s="42" t="s">
        <v>217</v>
      </c>
      <c r="BG20" s="28"/>
      <c r="BH20" s="44"/>
      <c r="BI20" s="44"/>
      <c r="BJ20" s="44"/>
      <c r="BK20" s="44"/>
      <c r="BL20" s="44"/>
      <c r="BM20" s="44"/>
      <c r="BN20" s="28"/>
      <c r="BO20" s="44"/>
      <c r="BP20" s="44"/>
      <c r="BQ20" s="44"/>
      <c r="BR20" s="44"/>
    </row>
    <row r="21">
      <c r="A21" s="42">
        <v>18.0</v>
      </c>
      <c r="B21" s="43" t="s">
        <v>226</v>
      </c>
      <c r="C21" s="43" t="s">
        <v>227</v>
      </c>
      <c r="D21" s="44">
        <f t="shared" si="2"/>
        <v>36</v>
      </c>
      <c r="E21" s="44">
        <f t="shared" si="3"/>
        <v>8</v>
      </c>
      <c r="F21" s="44">
        <f t="shared" si="4"/>
        <v>44</v>
      </c>
      <c r="G21" s="45">
        <f t="shared" si="5"/>
        <v>0.8181818182</v>
      </c>
      <c r="H21" s="46" t="s">
        <v>181</v>
      </c>
      <c r="I21" s="46" t="s">
        <v>181</v>
      </c>
      <c r="J21" s="52"/>
      <c r="K21" s="46" t="s">
        <v>181</v>
      </c>
      <c r="L21" s="46" t="s">
        <v>181</v>
      </c>
      <c r="M21" s="46" t="s">
        <v>181</v>
      </c>
      <c r="N21" s="46" t="s">
        <v>181</v>
      </c>
      <c r="O21" s="46" t="s">
        <v>181</v>
      </c>
      <c r="P21" s="46" t="s">
        <v>181</v>
      </c>
      <c r="Q21" s="52"/>
      <c r="R21" s="46" t="s">
        <v>181</v>
      </c>
      <c r="S21" s="46" t="s">
        <v>181</v>
      </c>
      <c r="T21" s="46" t="s">
        <v>181</v>
      </c>
      <c r="U21" s="46" t="s">
        <v>181</v>
      </c>
      <c r="V21" s="46" t="s">
        <v>181</v>
      </c>
      <c r="W21" s="46" t="s">
        <v>181</v>
      </c>
      <c r="X21" s="52"/>
      <c r="Y21" s="46" t="s">
        <v>181</v>
      </c>
      <c r="Z21" s="46" t="s">
        <v>181</v>
      </c>
      <c r="AA21" s="46" t="s">
        <v>181</v>
      </c>
      <c r="AB21" s="46" t="s">
        <v>181</v>
      </c>
      <c r="AC21" s="46" t="s">
        <v>181</v>
      </c>
      <c r="AD21" s="46" t="s">
        <v>181</v>
      </c>
      <c r="AE21" s="28"/>
      <c r="AF21" s="46" t="s">
        <v>181</v>
      </c>
      <c r="AG21" s="46" t="s">
        <v>181</v>
      </c>
      <c r="AH21" s="46" t="s">
        <v>181</v>
      </c>
      <c r="AI21" s="46" t="s">
        <v>181</v>
      </c>
      <c r="AJ21" s="46" t="s">
        <v>181</v>
      </c>
      <c r="AK21" s="46" t="s">
        <v>181</v>
      </c>
      <c r="AL21" s="28"/>
      <c r="AM21" s="46" t="s">
        <v>181</v>
      </c>
      <c r="AN21" s="46" t="s">
        <v>181</v>
      </c>
      <c r="AO21" s="46" t="s">
        <v>181</v>
      </c>
      <c r="AP21" s="46" t="s">
        <v>217</v>
      </c>
      <c r="AQ21" s="46" t="s">
        <v>181</v>
      </c>
      <c r="AR21" s="46" t="s">
        <v>181</v>
      </c>
      <c r="AS21" s="28"/>
      <c r="AT21" s="46" t="s">
        <v>217</v>
      </c>
      <c r="AU21" s="46" t="s">
        <v>217</v>
      </c>
      <c r="AV21" s="46" t="s">
        <v>217</v>
      </c>
      <c r="AW21" s="46" t="s">
        <v>181</v>
      </c>
      <c r="AX21" s="46" t="s">
        <v>181</v>
      </c>
      <c r="AY21" s="46" t="s">
        <v>181</v>
      </c>
      <c r="AZ21" s="28"/>
      <c r="BA21" s="46" t="s">
        <v>217</v>
      </c>
      <c r="BB21" s="46" t="s">
        <v>217</v>
      </c>
      <c r="BC21" s="46" t="s">
        <v>217</v>
      </c>
      <c r="BD21" s="46" t="s">
        <v>217</v>
      </c>
      <c r="BE21" s="46" t="s">
        <v>181</v>
      </c>
      <c r="BF21" s="46" t="s">
        <v>181</v>
      </c>
      <c r="BG21" s="28"/>
      <c r="BH21" s="43"/>
      <c r="BI21" s="43"/>
      <c r="BJ21" s="43"/>
      <c r="BK21" s="43"/>
      <c r="BL21" s="43"/>
      <c r="BM21" s="43"/>
      <c r="BN21" s="28"/>
      <c r="BO21" s="43"/>
      <c r="BP21" s="43"/>
      <c r="BQ21" s="43"/>
      <c r="BR21" s="43"/>
    </row>
    <row r="22">
      <c r="A22" s="42">
        <v>19.0</v>
      </c>
      <c r="B22" s="43" t="s">
        <v>232</v>
      </c>
      <c r="C22" s="43" t="s">
        <v>234</v>
      </c>
      <c r="D22" s="44">
        <f t="shared" si="2"/>
        <v>23</v>
      </c>
      <c r="E22" s="44">
        <f t="shared" si="3"/>
        <v>12</v>
      </c>
      <c r="F22" s="44">
        <f t="shared" si="4"/>
        <v>35</v>
      </c>
      <c r="G22" s="45">
        <f t="shared" si="5"/>
        <v>0.6571428571</v>
      </c>
      <c r="H22" s="42" t="s">
        <v>383</v>
      </c>
      <c r="I22" s="42" t="s">
        <v>383</v>
      </c>
      <c r="J22" s="52"/>
      <c r="K22" s="42" t="s">
        <v>383</v>
      </c>
      <c r="L22" s="42" t="s">
        <v>383</v>
      </c>
      <c r="M22" s="42" t="s">
        <v>383</v>
      </c>
      <c r="N22" s="42" t="s">
        <v>383</v>
      </c>
      <c r="O22" s="42" t="s">
        <v>383</v>
      </c>
      <c r="P22" s="42" t="s">
        <v>383</v>
      </c>
      <c r="Q22" s="52"/>
      <c r="R22" s="42" t="s">
        <v>383</v>
      </c>
      <c r="S22" s="42" t="s">
        <v>181</v>
      </c>
      <c r="T22" s="42" t="s">
        <v>217</v>
      </c>
      <c r="U22" s="42" t="s">
        <v>217</v>
      </c>
      <c r="V22" s="42" t="s">
        <v>217</v>
      </c>
      <c r="W22" s="42" t="s">
        <v>181</v>
      </c>
      <c r="X22" s="52"/>
      <c r="Y22" s="42" t="s">
        <v>181</v>
      </c>
      <c r="Z22" s="42" t="s">
        <v>181</v>
      </c>
      <c r="AA22" s="42" t="s">
        <v>181</v>
      </c>
      <c r="AB22" s="42" t="s">
        <v>181</v>
      </c>
      <c r="AC22" s="42" t="s">
        <v>181</v>
      </c>
      <c r="AD22" s="42" t="s">
        <v>181</v>
      </c>
      <c r="AE22" s="28"/>
      <c r="AF22" s="42" t="s">
        <v>181</v>
      </c>
      <c r="AG22" s="42" t="s">
        <v>181</v>
      </c>
      <c r="AH22" s="42" t="s">
        <v>181</v>
      </c>
      <c r="AI22" s="42" t="s">
        <v>181</v>
      </c>
      <c r="AJ22" s="42" t="s">
        <v>217</v>
      </c>
      <c r="AK22" s="42" t="s">
        <v>181</v>
      </c>
      <c r="AL22" s="28"/>
      <c r="AM22" s="42" t="s">
        <v>181</v>
      </c>
      <c r="AN22" s="42" t="s">
        <v>181</v>
      </c>
      <c r="AO22" s="42" t="s">
        <v>181</v>
      </c>
      <c r="AP22" s="42" t="s">
        <v>181</v>
      </c>
      <c r="AQ22" s="42" t="s">
        <v>181</v>
      </c>
      <c r="AR22" s="42" t="s">
        <v>181</v>
      </c>
      <c r="AS22" s="28"/>
      <c r="AT22" s="42" t="s">
        <v>181</v>
      </c>
      <c r="AU22" s="42" t="s">
        <v>181</v>
      </c>
      <c r="AV22" s="42" t="s">
        <v>217</v>
      </c>
      <c r="AW22" s="42" t="s">
        <v>181</v>
      </c>
      <c r="AX22" s="42" t="s">
        <v>181</v>
      </c>
      <c r="AY22" s="42" t="s">
        <v>217</v>
      </c>
      <c r="AZ22" s="28"/>
      <c r="BA22" s="42" t="s">
        <v>217</v>
      </c>
      <c r="BB22" s="42" t="s">
        <v>217</v>
      </c>
      <c r="BC22" s="42" t="s">
        <v>217</v>
      </c>
      <c r="BD22" s="42" t="s">
        <v>217</v>
      </c>
      <c r="BE22" s="42" t="s">
        <v>217</v>
      </c>
      <c r="BF22" s="42" t="s">
        <v>217</v>
      </c>
      <c r="BG22" s="28"/>
      <c r="BH22" s="44"/>
      <c r="BI22" s="44"/>
      <c r="BJ22" s="44"/>
      <c r="BK22" s="44"/>
      <c r="BL22" s="44"/>
      <c r="BM22" s="44"/>
      <c r="BN22" s="28"/>
      <c r="BO22" s="44"/>
      <c r="BP22" s="44"/>
      <c r="BQ22" s="44"/>
      <c r="BR22" s="44"/>
    </row>
    <row r="23">
      <c r="A23" s="42">
        <v>20.0</v>
      </c>
      <c r="B23" s="43" t="s">
        <v>242</v>
      </c>
      <c r="C23" s="43" t="s">
        <v>244</v>
      </c>
      <c r="D23" s="44">
        <f t="shared" si="2"/>
        <v>3</v>
      </c>
      <c r="E23" s="44">
        <f t="shared" si="3"/>
        <v>32</v>
      </c>
      <c r="F23" s="44">
        <f t="shared" si="4"/>
        <v>35</v>
      </c>
      <c r="G23" s="45">
        <f t="shared" si="5"/>
        <v>0.08571428571</v>
      </c>
      <c r="H23" s="42" t="s">
        <v>383</v>
      </c>
      <c r="I23" s="42" t="s">
        <v>383</v>
      </c>
      <c r="J23" s="52"/>
      <c r="K23" s="42" t="s">
        <v>383</v>
      </c>
      <c r="L23" s="42" t="s">
        <v>383</v>
      </c>
      <c r="M23" s="42" t="s">
        <v>383</v>
      </c>
      <c r="N23" s="42" t="s">
        <v>383</v>
      </c>
      <c r="O23" s="42" t="s">
        <v>383</v>
      </c>
      <c r="P23" s="42" t="s">
        <v>383</v>
      </c>
      <c r="Q23" s="52"/>
      <c r="R23" s="42" t="s">
        <v>383</v>
      </c>
      <c r="S23" s="42" t="s">
        <v>181</v>
      </c>
      <c r="T23" s="42" t="s">
        <v>217</v>
      </c>
      <c r="U23" s="42" t="s">
        <v>217</v>
      </c>
      <c r="V23" s="42" t="s">
        <v>217</v>
      </c>
      <c r="W23" s="42" t="s">
        <v>217</v>
      </c>
      <c r="X23" s="52"/>
      <c r="Y23" s="42" t="s">
        <v>181</v>
      </c>
      <c r="Z23" s="42" t="s">
        <v>217</v>
      </c>
      <c r="AA23" s="42" t="s">
        <v>217</v>
      </c>
      <c r="AB23" s="42" t="s">
        <v>217</v>
      </c>
      <c r="AC23" s="42" t="s">
        <v>217</v>
      </c>
      <c r="AD23" s="42" t="s">
        <v>217</v>
      </c>
      <c r="AE23" s="28"/>
      <c r="AF23" s="42" t="s">
        <v>181</v>
      </c>
      <c r="AG23" s="42" t="s">
        <v>217</v>
      </c>
      <c r="AH23" s="42" t="s">
        <v>217</v>
      </c>
      <c r="AI23" s="42" t="s">
        <v>217</v>
      </c>
      <c r="AJ23" s="42" t="s">
        <v>217</v>
      </c>
      <c r="AK23" s="42" t="s">
        <v>217</v>
      </c>
      <c r="AL23" s="28"/>
      <c r="AM23" s="42" t="s">
        <v>217</v>
      </c>
      <c r="AN23" s="42" t="s">
        <v>217</v>
      </c>
      <c r="AO23" s="42" t="s">
        <v>217</v>
      </c>
      <c r="AP23" s="42" t="s">
        <v>217</v>
      </c>
      <c r="AQ23" s="42" t="s">
        <v>217</v>
      </c>
      <c r="AR23" s="42" t="s">
        <v>217</v>
      </c>
      <c r="AS23" s="28"/>
      <c r="AT23" s="42" t="s">
        <v>217</v>
      </c>
      <c r="AU23" s="42" t="s">
        <v>217</v>
      </c>
      <c r="AV23" s="42" t="s">
        <v>217</v>
      </c>
      <c r="AW23" s="42" t="s">
        <v>217</v>
      </c>
      <c r="AX23" s="42" t="s">
        <v>217</v>
      </c>
      <c r="AY23" s="42" t="s">
        <v>217</v>
      </c>
      <c r="AZ23" s="28"/>
      <c r="BA23" s="42" t="s">
        <v>217</v>
      </c>
      <c r="BB23" s="42" t="s">
        <v>217</v>
      </c>
      <c r="BC23" s="42" t="s">
        <v>217</v>
      </c>
      <c r="BD23" s="42" t="s">
        <v>217</v>
      </c>
      <c r="BE23" s="42" t="s">
        <v>217</v>
      </c>
      <c r="BF23" s="42" t="s">
        <v>217</v>
      </c>
      <c r="BG23" s="28"/>
      <c r="BH23" s="44"/>
      <c r="BI23" s="44"/>
      <c r="BJ23" s="44"/>
      <c r="BK23" s="44"/>
      <c r="BL23" s="44"/>
      <c r="BM23" s="44"/>
      <c r="BN23" s="28"/>
      <c r="BO23" s="44"/>
      <c r="BP23" s="44"/>
      <c r="BQ23" s="44"/>
      <c r="BR23" s="44"/>
    </row>
    <row r="24">
      <c r="A24" s="42">
        <v>21.0</v>
      </c>
      <c r="B24" s="43" t="s">
        <v>251</v>
      </c>
      <c r="C24" s="43" t="s">
        <v>252</v>
      </c>
      <c r="D24" s="44">
        <f t="shared" si="2"/>
        <v>25</v>
      </c>
      <c r="E24" s="44">
        <f t="shared" si="3"/>
        <v>19</v>
      </c>
      <c r="F24" s="44">
        <f t="shared" si="4"/>
        <v>44</v>
      </c>
      <c r="G24" s="45">
        <f t="shared" si="5"/>
        <v>0.5681818182</v>
      </c>
      <c r="H24" s="46" t="s">
        <v>181</v>
      </c>
      <c r="I24" s="46" t="s">
        <v>181</v>
      </c>
      <c r="J24" s="52"/>
      <c r="K24" s="46" t="s">
        <v>181</v>
      </c>
      <c r="L24" s="46" t="s">
        <v>217</v>
      </c>
      <c r="M24" s="46" t="s">
        <v>181</v>
      </c>
      <c r="N24" s="46" t="s">
        <v>217</v>
      </c>
      <c r="O24" s="46" t="s">
        <v>217</v>
      </c>
      <c r="P24" s="46" t="s">
        <v>217</v>
      </c>
      <c r="Q24" s="52"/>
      <c r="R24" s="46" t="s">
        <v>217</v>
      </c>
      <c r="S24" s="46" t="s">
        <v>181</v>
      </c>
      <c r="T24" s="46" t="s">
        <v>217</v>
      </c>
      <c r="U24" s="46" t="s">
        <v>217</v>
      </c>
      <c r="V24" s="46" t="s">
        <v>217</v>
      </c>
      <c r="W24" s="46" t="s">
        <v>181</v>
      </c>
      <c r="X24" s="52"/>
      <c r="Y24" s="46" t="s">
        <v>217</v>
      </c>
      <c r="Z24" s="46" t="s">
        <v>217</v>
      </c>
      <c r="AA24" s="46" t="s">
        <v>217</v>
      </c>
      <c r="AB24" s="46" t="s">
        <v>217</v>
      </c>
      <c r="AC24" s="46" t="s">
        <v>181</v>
      </c>
      <c r="AD24" s="46" t="s">
        <v>181</v>
      </c>
      <c r="AE24" s="28"/>
      <c r="AF24" s="46" t="s">
        <v>217</v>
      </c>
      <c r="AG24" s="46" t="s">
        <v>181</v>
      </c>
      <c r="AH24" s="46" t="s">
        <v>181</v>
      </c>
      <c r="AI24" s="46" t="s">
        <v>217</v>
      </c>
      <c r="AJ24" s="46" t="s">
        <v>181</v>
      </c>
      <c r="AK24" s="46" t="s">
        <v>181</v>
      </c>
      <c r="AL24" s="28"/>
      <c r="AM24" s="46" t="s">
        <v>181</v>
      </c>
      <c r="AN24" s="46" t="s">
        <v>181</v>
      </c>
      <c r="AO24" s="46" t="s">
        <v>217</v>
      </c>
      <c r="AP24" s="46" t="s">
        <v>181</v>
      </c>
      <c r="AQ24" s="46" t="s">
        <v>181</v>
      </c>
      <c r="AR24" s="46" t="s">
        <v>181</v>
      </c>
      <c r="AS24" s="28"/>
      <c r="AT24" s="46" t="s">
        <v>181</v>
      </c>
      <c r="AU24" s="46" t="s">
        <v>181</v>
      </c>
      <c r="AV24" s="46" t="s">
        <v>217</v>
      </c>
      <c r="AW24" s="46" t="s">
        <v>181</v>
      </c>
      <c r="AX24" s="46" t="s">
        <v>217</v>
      </c>
      <c r="AY24" s="46" t="s">
        <v>217</v>
      </c>
      <c r="AZ24" s="28"/>
      <c r="BA24" s="46" t="s">
        <v>181</v>
      </c>
      <c r="BB24" s="46" t="s">
        <v>181</v>
      </c>
      <c r="BC24" s="46" t="s">
        <v>181</v>
      </c>
      <c r="BD24" s="46" t="s">
        <v>181</v>
      </c>
      <c r="BE24" s="46" t="s">
        <v>181</v>
      </c>
      <c r="BF24" s="46" t="s">
        <v>217</v>
      </c>
      <c r="BG24" s="28"/>
      <c r="BH24" s="43"/>
      <c r="BI24" s="43"/>
      <c r="BJ24" s="43"/>
      <c r="BK24" s="43"/>
      <c r="BL24" s="43"/>
      <c r="BM24" s="43"/>
      <c r="BN24" s="28"/>
      <c r="BO24" s="43"/>
      <c r="BP24" s="43"/>
      <c r="BQ24" s="43"/>
      <c r="BR24" s="43"/>
    </row>
    <row r="25">
      <c r="A25" s="42">
        <v>22.0</v>
      </c>
      <c r="B25" s="43" t="s">
        <v>258</v>
      </c>
      <c r="C25" s="43" t="s">
        <v>259</v>
      </c>
      <c r="D25" s="44">
        <f t="shared" si="2"/>
        <v>18</v>
      </c>
      <c r="E25" s="44">
        <f t="shared" si="3"/>
        <v>26</v>
      </c>
      <c r="F25" s="44">
        <f t="shared" si="4"/>
        <v>44</v>
      </c>
      <c r="G25" s="45">
        <f t="shared" si="5"/>
        <v>0.4090909091</v>
      </c>
      <c r="H25" s="42" t="s">
        <v>181</v>
      </c>
      <c r="I25" s="42" t="s">
        <v>181</v>
      </c>
      <c r="J25" s="52"/>
      <c r="K25" s="46" t="s">
        <v>217</v>
      </c>
      <c r="L25" s="42" t="s">
        <v>181</v>
      </c>
      <c r="M25" s="46" t="s">
        <v>217</v>
      </c>
      <c r="N25" s="42" t="s">
        <v>181</v>
      </c>
      <c r="O25" s="42" t="s">
        <v>181</v>
      </c>
      <c r="P25" s="42" t="s">
        <v>217</v>
      </c>
      <c r="Q25" s="52"/>
      <c r="R25" s="46" t="s">
        <v>181</v>
      </c>
      <c r="S25" s="42" t="s">
        <v>181</v>
      </c>
      <c r="T25" s="42" t="s">
        <v>181</v>
      </c>
      <c r="U25" s="42" t="s">
        <v>217</v>
      </c>
      <c r="V25" s="42" t="s">
        <v>217</v>
      </c>
      <c r="W25" s="42" t="s">
        <v>181</v>
      </c>
      <c r="X25" s="52"/>
      <c r="Y25" s="42" t="s">
        <v>181</v>
      </c>
      <c r="Z25" s="42" t="s">
        <v>181</v>
      </c>
      <c r="AA25" s="42" t="s">
        <v>181</v>
      </c>
      <c r="AB25" s="42" t="s">
        <v>217</v>
      </c>
      <c r="AC25" s="42" t="s">
        <v>181</v>
      </c>
      <c r="AD25" s="42" t="s">
        <v>217</v>
      </c>
      <c r="AE25" s="28"/>
      <c r="AF25" s="42" t="s">
        <v>181</v>
      </c>
      <c r="AG25" s="42" t="s">
        <v>217</v>
      </c>
      <c r="AH25" s="42" t="s">
        <v>181</v>
      </c>
      <c r="AI25" s="42" t="s">
        <v>217</v>
      </c>
      <c r="AJ25" s="42" t="s">
        <v>217</v>
      </c>
      <c r="AK25" s="42" t="s">
        <v>181</v>
      </c>
      <c r="AL25" s="28"/>
      <c r="AM25" s="42" t="s">
        <v>217</v>
      </c>
      <c r="AN25" s="42" t="s">
        <v>181</v>
      </c>
      <c r="AO25" s="42" t="s">
        <v>217</v>
      </c>
      <c r="AP25" s="42" t="s">
        <v>217</v>
      </c>
      <c r="AQ25" s="42" t="s">
        <v>217</v>
      </c>
      <c r="AR25" s="42" t="s">
        <v>181</v>
      </c>
      <c r="AS25" s="28"/>
      <c r="AT25" s="42" t="s">
        <v>217</v>
      </c>
      <c r="AU25" s="42" t="s">
        <v>217</v>
      </c>
      <c r="AV25" s="42" t="s">
        <v>217</v>
      </c>
      <c r="AW25" s="42" t="s">
        <v>217</v>
      </c>
      <c r="AX25" s="42" t="s">
        <v>217</v>
      </c>
      <c r="AY25" s="42" t="s">
        <v>217</v>
      </c>
      <c r="AZ25" s="28"/>
      <c r="BA25" s="42" t="s">
        <v>217</v>
      </c>
      <c r="BB25" s="42" t="s">
        <v>217</v>
      </c>
      <c r="BC25" s="42" t="s">
        <v>217</v>
      </c>
      <c r="BD25" s="42" t="s">
        <v>217</v>
      </c>
      <c r="BE25" s="42" t="s">
        <v>217</v>
      </c>
      <c r="BF25" s="42" t="s">
        <v>217</v>
      </c>
      <c r="BG25" s="28"/>
      <c r="BH25" s="44"/>
      <c r="BI25" s="44"/>
      <c r="BJ25" s="44"/>
      <c r="BK25" s="44"/>
      <c r="BL25" s="44"/>
      <c r="BM25" s="44"/>
      <c r="BN25" s="28"/>
      <c r="BO25" s="44"/>
      <c r="BP25" s="44"/>
      <c r="BQ25" s="44"/>
      <c r="BR25" s="44"/>
    </row>
    <row r="26">
      <c r="A26" s="42">
        <v>23.0</v>
      </c>
      <c r="B26" s="43" t="s">
        <v>265</v>
      </c>
      <c r="C26" s="43" t="s">
        <v>267</v>
      </c>
      <c r="D26" s="44">
        <f t="shared" si="2"/>
        <v>40</v>
      </c>
      <c r="E26" s="44">
        <f t="shared" si="3"/>
        <v>4</v>
      </c>
      <c r="F26" s="44">
        <f t="shared" si="4"/>
        <v>44</v>
      </c>
      <c r="G26" s="45">
        <f t="shared" si="5"/>
        <v>0.9090909091</v>
      </c>
      <c r="H26" s="46" t="s">
        <v>181</v>
      </c>
      <c r="I26" s="46" t="s">
        <v>181</v>
      </c>
      <c r="J26" s="52"/>
      <c r="K26" s="46" t="s">
        <v>181</v>
      </c>
      <c r="L26" s="46" t="s">
        <v>181</v>
      </c>
      <c r="M26" s="46" t="s">
        <v>181</v>
      </c>
      <c r="N26" s="46" t="s">
        <v>181</v>
      </c>
      <c r="O26" s="46" t="s">
        <v>181</v>
      </c>
      <c r="P26" s="46" t="s">
        <v>181</v>
      </c>
      <c r="Q26" s="52"/>
      <c r="R26" s="46" t="s">
        <v>181</v>
      </c>
      <c r="S26" s="46" t="s">
        <v>181</v>
      </c>
      <c r="T26" s="46" t="s">
        <v>181</v>
      </c>
      <c r="U26" s="46" t="s">
        <v>181</v>
      </c>
      <c r="V26" s="46" t="s">
        <v>181</v>
      </c>
      <c r="W26" s="46" t="s">
        <v>181</v>
      </c>
      <c r="X26" s="52"/>
      <c r="Y26" s="46" t="s">
        <v>181</v>
      </c>
      <c r="Z26" s="46" t="s">
        <v>181</v>
      </c>
      <c r="AA26" s="46" t="s">
        <v>181</v>
      </c>
      <c r="AB26" s="46" t="s">
        <v>181</v>
      </c>
      <c r="AC26" s="46" t="s">
        <v>181</v>
      </c>
      <c r="AD26" s="46" t="s">
        <v>181</v>
      </c>
      <c r="AE26" s="28"/>
      <c r="AF26" s="46" t="s">
        <v>181</v>
      </c>
      <c r="AG26" s="46" t="s">
        <v>181</v>
      </c>
      <c r="AH26" s="46" t="s">
        <v>181</v>
      </c>
      <c r="AI26" s="46" t="s">
        <v>181</v>
      </c>
      <c r="AJ26" s="46" t="s">
        <v>181</v>
      </c>
      <c r="AK26" s="46" t="s">
        <v>181</v>
      </c>
      <c r="AL26" s="28"/>
      <c r="AM26" s="46" t="s">
        <v>181</v>
      </c>
      <c r="AN26" s="46" t="s">
        <v>181</v>
      </c>
      <c r="AO26" s="46" t="s">
        <v>217</v>
      </c>
      <c r="AP26" s="46" t="s">
        <v>181</v>
      </c>
      <c r="AQ26" s="46" t="s">
        <v>217</v>
      </c>
      <c r="AR26" s="46" t="s">
        <v>181</v>
      </c>
      <c r="AS26" s="28"/>
      <c r="AT26" s="46" t="s">
        <v>181</v>
      </c>
      <c r="AU26" s="46" t="s">
        <v>181</v>
      </c>
      <c r="AV26" s="46" t="s">
        <v>217</v>
      </c>
      <c r="AW26" s="46" t="s">
        <v>181</v>
      </c>
      <c r="AX26" s="46" t="s">
        <v>181</v>
      </c>
      <c r="AY26" s="46" t="s">
        <v>217</v>
      </c>
      <c r="AZ26" s="28"/>
      <c r="BA26" s="46" t="s">
        <v>181</v>
      </c>
      <c r="BB26" s="46" t="s">
        <v>181</v>
      </c>
      <c r="BC26" s="46" t="s">
        <v>181</v>
      </c>
      <c r="BD26" s="46" t="s">
        <v>181</v>
      </c>
      <c r="BE26" s="46" t="s">
        <v>181</v>
      </c>
      <c r="BF26" s="46" t="s">
        <v>181</v>
      </c>
      <c r="BG26" s="28"/>
      <c r="BH26" s="43"/>
      <c r="BI26" s="43"/>
      <c r="BJ26" s="43"/>
      <c r="BK26" s="43"/>
      <c r="BL26" s="43"/>
      <c r="BM26" s="43"/>
      <c r="BN26" s="28"/>
      <c r="BO26" s="43"/>
      <c r="BP26" s="43"/>
      <c r="BQ26" s="43"/>
      <c r="BR26" s="43"/>
    </row>
    <row r="27">
      <c r="A27" s="42">
        <v>24.0</v>
      </c>
      <c r="B27" s="43" t="s">
        <v>269</v>
      </c>
      <c r="C27" s="43" t="s">
        <v>270</v>
      </c>
      <c r="D27" s="44">
        <f t="shared" si="2"/>
        <v>41</v>
      </c>
      <c r="E27" s="44">
        <f t="shared" si="3"/>
        <v>3</v>
      </c>
      <c r="F27" s="44">
        <f t="shared" si="4"/>
        <v>44</v>
      </c>
      <c r="G27" s="45">
        <f t="shared" si="5"/>
        <v>0.9318181818</v>
      </c>
      <c r="H27" s="46" t="s">
        <v>181</v>
      </c>
      <c r="I27" s="46" t="s">
        <v>181</v>
      </c>
      <c r="J27" s="52"/>
      <c r="K27" s="46" t="s">
        <v>181</v>
      </c>
      <c r="L27" s="46" t="s">
        <v>181</v>
      </c>
      <c r="M27" s="46" t="s">
        <v>181</v>
      </c>
      <c r="N27" s="46" t="s">
        <v>181</v>
      </c>
      <c r="O27" s="46" t="s">
        <v>181</v>
      </c>
      <c r="P27" s="46" t="s">
        <v>181</v>
      </c>
      <c r="Q27" s="52"/>
      <c r="R27" s="46" t="s">
        <v>181</v>
      </c>
      <c r="S27" s="46" t="s">
        <v>181</v>
      </c>
      <c r="T27" s="46" t="s">
        <v>181</v>
      </c>
      <c r="U27" s="46" t="s">
        <v>181</v>
      </c>
      <c r="V27" s="46" t="s">
        <v>181</v>
      </c>
      <c r="W27" s="46" t="s">
        <v>181</v>
      </c>
      <c r="X27" s="52"/>
      <c r="Y27" s="46" t="s">
        <v>181</v>
      </c>
      <c r="Z27" s="46" t="s">
        <v>181</v>
      </c>
      <c r="AA27" s="46" t="s">
        <v>181</v>
      </c>
      <c r="AB27" s="46" t="s">
        <v>181</v>
      </c>
      <c r="AC27" s="46" t="s">
        <v>181</v>
      </c>
      <c r="AD27" s="46" t="s">
        <v>181</v>
      </c>
      <c r="AE27" s="28"/>
      <c r="AF27" s="46" t="s">
        <v>181</v>
      </c>
      <c r="AG27" s="46" t="s">
        <v>181</v>
      </c>
      <c r="AH27" s="46" t="s">
        <v>181</v>
      </c>
      <c r="AI27" s="46" t="s">
        <v>181</v>
      </c>
      <c r="AJ27" s="46" t="s">
        <v>181</v>
      </c>
      <c r="AK27" s="46" t="s">
        <v>181</v>
      </c>
      <c r="AL27" s="28"/>
      <c r="AM27" s="46" t="s">
        <v>181</v>
      </c>
      <c r="AN27" s="46" t="s">
        <v>181</v>
      </c>
      <c r="AO27" s="46" t="s">
        <v>181</v>
      </c>
      <c r="AP27" s="46" t="s">
        <v>181</v>
      </c>
      <c r="AQ27" s="46" t="s">
        <v>181</v>
      </c>
      <c r="AR27" s="46" t="s">
        <v>181</v>
      </c>
      <c r="AS27" s="28"/>
      <c r="AT27" s="46" t="s">
        <v>181</v>
      </c>
      <c r="AU27" s="46" t="s">
        <v>181</v>
      </c>
      <c r="AV27" s="46" t="s">
        <v>217</v>
      </c>
      <c r="AW27" s="46" t="s">
        <v>181</v>
      </c>
      <c r="AX27" s="46" t="s">
        <v>181</v>
      </c>
      <c r="AY27" s="46" t="s">
        <v>181</v>
      </c>
      <c r="AZ27" s="28"/>
      <c r="BA27" s="46" t="s">
        <v>181</v>
      </c>
      <c r="BB27" s="46" t="s">
        <v>181</v>
      </c>
      <c r="BC27" s="46" t="s">
        <v>181</v>
      </c>
      <c r="BD27" s="46" t="s">
        <v>181</v>
      </c>
      <c r="BE27" s="46" t="s">
        <v>217</v>
      </c>
      <c r="BF27" s="46" t="s">
        <v>217</v>
      </c>
      <c r="BG27" s="28"/>
      <c r="BH27" s="43"/>
      <c r="BI27" s="43"/>
      <c r="BJ27" s="43"/>
      <c r="BK27" s="43"/>
      <c r="BL27" s="43"/>
      <c r="BM27" s="43"/>
      <c r="BN27" s="28"/>
      <c r="BO27" s="43"/>
      <c r="BP27" s="43"/>
      <c r="BQ27" s="43"/>
      <c r="BR27" s="43"/>
    </row>
    <row r="28">
      <c r="A28" s="42">
        <v>25.0</v>
      </c>
      <c r="B28" s="43" t="s">
        <v>273</v>
      </c>
      <c r="C28" s="43" t="s">
        <v>274</v>
      </c>
      <c r="D28" s="44">
        <f t="shared" si="2"/>
        <v>41</v>
      </c>
      <c r="E28" s="44">
        <f t="shared" si="3"/>
        <v>3</v>
      </c>
      <c r="F28" s="44">
        <f t="shared" si="4"/>
        <v>44</v>
      </c>
      <c r="G28" s="45">
        <f t="shared" si="5"/>
        <v>0.9318181818</v>
      </c>
      <c r="H28" s="46" t="s">
        <v>181</v>
      </c>
      <c r="I28" s="46" t="s">
        <v>181</v>
      </c>
      <c r="J28" s="52"/>
      <c r="K28" s="46" t="s">
        <v>181</v>
      </c>
      <c r="L28" s="46" t="s">
        <v>181</v>
      </c>
      <c r="M28" s="46" t="s">
        <v>181</v>
      </c>
      <c r="N28" s="46" t="s">
        <v>181</v>
      </c>
      <c r="O28" s="46" t="s">
        <v>181</v>
      </c>
      <c r="P28" s="46" t="s">
        <v>181</v>
      </c>
      <c r="Q28" s="52"/>
      <c r="R28" s="46" t="s">
        <v>181</v>
      </c>
      <c r="S28" s="46" t="s">
        <v>181</v>
      </c>
      <c r="T28" s="46" t="s">
        <v>181</v>
      </c>
      <c r="U28" s="46" t="s">
        <v>181</v>
      </c>
      <c r="V28" s="46" t="s">
        <v>181</v>
      </c>
      <c r="W28" s="46" t="s">
        <v>181</v>
      </c>
      <c r="X28" s="52"/>
      <c r="Y28" s="46" t="s">
        <v>181</v>
      </c>
      <c r="Z28" s="46" t="s">
        <v>181</v>
      </c>
      <c r="AA28" s="46" t="s">
        <v>181</v>
      </c>
      <c r="AB28" s="46" t="s">
        <v>181</v>
      </c>
      <c r="AC28" s="46" t="s">
        <v>181</v>
      </c>
      <c r="AD28" s="46" t="s">
        <v>181</v>
      </c>
      <c r="AE28" s="28"/>
      <c r="AF28" s="46" t="s">
        <v>181</v>
      </c>
      <c r="AG28" s="46" t="s">
        <v>181</v>
      </c>
      <c r="AH28" s="46" t="s">
        <v>181</v>
      </c>
      <c r="AI28" s="46" t="s">
        <v>181</v>
      </c>
      <c r="AJ28" s="46" t="s">
        <v>181</v>
      </c>
      <c r="AK28" s="46" t="s">
        <v>181</v>
      </c>
      <c r="AL28" s="28"/>
      <c r="AM28" s="46" t="s">
        <v>181</v>
      </c>
      <c r="AN28" s="46" t="s">
        <v>181</v>
      </c>
      <c r="AO28" s="46" t="s">
        <v>181</v>
      </c>
      <c r="AP28" s="46" t="s">
        <v>181</v>
      </c>
      <c r="AQ28" s="46" t="s">
        <v>181</v>
      </c>
      <c r="AR28" s="46" t="s">
        <v>181</v>
      </c>
      <c r="AS28" s="28"/>
      <c r="AT28" s="46" t="s">
        <v>181</v>
      </c>
      <c r="AU28" s="46" t="s">
        <v>181</v>
      </c>
      <c r="AV28" s="46" t="s">
        <v>181</v>
      </c>
      <c r="AW28" s="46" t="s">
        <v>217</v>
      </c>
      <c r="AX28" s="46" t="s">
        <v>181</v>
      </c>
      <c r="AY28" s="46" t="s">
        <v>181</v>
      </c>
      <c r="AZ28" s="28"/>
      <c r="BA28" s="46" t="s">
        <v>181</v>
      </c>
      <c r="BB28" s="46" t="s">
        <v>181</v>
      </c>
      <c r="BC28" s="46" t="s">
        <v>181</v>
      </c>
      <c r="BD28" s="46" t="s">
        <v>181</v>
      </c>
      <c r="BE28" s="46" t="s">
        <v>217</v>
      </c>
      <c r="BF28" s="46" t="s">
        <v>217</v>
      </c>
      <c r="BG28" s="28"/>
      <c r="BH28" s="43"/>
      <c r="BI28" s="43"/>
      <c r="BJ28" s="43"/>
      <c r="BK28" s="43"/>
      <c r="BL28" s="43"/>
      <c r="BM28" s="43"/>
      <c r="BN28" s="28"/>
      <c r="BO28" s="43"/>
      <c r="BP28" s="43"/>
      <c r="BQ28" s="43"/>
      <c r="BR28" s="43"/>
    </row>
    <row r="29">
      <c r="A29" s="42">
        <v>26.0</v>
      </c>
      <c r="B29" s="43" t="s">
        <v>276</v>
      </c>
      <c r="C29" s="43" t="s">
        <v>278</v>
      </c>
      <c r="D29" s="44">
        <f t="shared" si="2"/>
        <v>12</v>
      </c>
      <c r="E29" s="44">
        <f t="shared" si="3"/>
        <v>23</v>
      </c>
      <c r="F29" s="44">
        <f t="shared" si="4"/>
        <v>35</v>
      </c>
      <c r="G29" s="45">
        <f t="shared" si="5"/>
        <v>0.3428571429</v>
      </c>
      <c r="H29" s="42" t="s">
        <v>383</v>
      </c>
      <c r="I29" s="42" t="s">
        <v>383</v>
      </c>
      <c r="J29" s="52"/>
      <c r="K29" s="42" t="s">
        <v>383</v>
      </c>
      <c r="L29" s="42" t="s">
        <v>383</v>
      </c>
      <c r="M29" s="42" t="s">
        <v>383</v>
      </c>
      <c r="N29" s="42" t="s">
        <v>383</v>
      </c>
      <c r="O29" s="42" t="s">
        <v>383</v>
      </c>
      <c r="P29" s="42" t="s">
        <v>383</v>
      </c>
      <c r="Q29" s="52"/>
      <c r="R29" s="42" t="s">
        <v>383</v>
      </c>
      <c r="S29" s="42" t="s">
        <v>217</v>
      </c>
      <c r="T29" s="42" t="s">
        <v>217</v>
      </c>
      <c r="U29" s="42" t="s">
        <v>217</v>
      </c>
      <c r="V29" s="42" t="s">
        <v>181</v>
      </c>
      <c r="W29" s="42" t="s">
        <v>181</v>
      </c>
      <c r="X29" s="52"/>
      <c r="Y29" s="42" t="s">
        <v>217</v>
      </c>
      <c r="Z29" s="42" t="s">
        <v>181</v>
      </c>
      <c r="AA29" s="42" t="s">
        <v>181</v>
      </c>
      <c r="AB29" s="42" t="s">
        <v>181</v>
      </c>
      <c r="AC29" s="42" t="s">
        <v>181</v>
      </c>
      <c r="AD29" s="42" t="s">
        <v>217</v>
      </c>
      <c r="AE29" s="28"/>
      <c r="AF29" s="42" t="s">
        <v>217</v>
      </c>
      <c r="AG29" s="42" t="s">
        <v>217</v>
      </c>
      <c r="AH29" s="42" t="s">
        <v>217</v>
      </c>
      <c r="AI29" s="42" t="s">
        <v>217</v>
      </c>
      <c r="AJ29" s="42" t="s">
        <v>217</v>
      </c>
      <c r="AK29" s="42" t="s">
        <v>181</v>
      </c>
      <c r="AL29" s="28"/>
      <c r="AM29" s="42" t="s">
        <v>217</v>
      </c>
      <c r="AN29" s="42" t="s">
        <v>217</v>
      </c>
      <c r="AO29" s="42" t="s">
        <v>217</v>
      </c>
      <c r="AP29" s="42" t="s">
        <v>217</v>
      </c>
      <c r="AQ29" s="42" t="s">
        <v>181</v>
      </c>
      <c r="AR29" s="42" t="s">
        <v>181</v>
      </c>
      <c r="AS29" s="28"/>
      <c r="AT29" s="42" t="s">
        <v>181</v>
      </c>
      <c r="AU29" s="42" t="s">
        <v>217</v>
      </c>
      <c r="AV29" s="42" t="s">
        <v>217</v>
      </c>
      <c r="AW29" s="42" t="s">
        <v>181</v>
      </c>
      <c r="AX29" s="42" t="s">
        <v>181</v>
      </c>
      <c r="AY29" s="42" t="s">
        <v>217</v>
      </c>
      <c r="AZ29" s="28"/>
      <c r="BA29" s="42" t="s">
        <v>217</v>
      </c>
      <c r="BB29" s="42" t="s">
        <v>217</v>
      </c>
      <c r="BC29" s="42" t="s">
        <v>217</v>
      </c>
      <c r="BD29" s="42" t="s">
        <v>217</v>
      </c>
      <c r="BE29" s="42" t="s">
        <v>217</v>
      </c>
      <c r="BF29" s="42" t="s">
        <v>217</v>
      </c>
      <c r="BG29" s="28"/>
      <c r="BH29" s="44"/>
      <c r="BI29" s="44"/>
      <c r="BJ29" s="44"/>
      <c r="BK29" s="44"/>
      <c r="BL29" s="44"/>
      <c r="BM29" s="44"/>
      <c r="BN29" s="28"/>
      <c r="BO29" s="44"/>
      <c r="BP29" s="44"/>
      <c r="BQ29" s="44"/>
      <c r="BR29" s="44"/>
    </row>
    <row r="30">
      <c r="A30" s="42">
        <v>27.0</v>
      </c>
      <c r="B30" s="43" t="s">
        <v>280</v>
      </c>
      <c r="C30" s="43" t="s">
        <v>281</v>
      </c>
      <c r="D30" s="44">
        <f t="shared" si="2"/>
        <v>35</v>
      </c>
      <c r="E30" s="44">
        <f t="shared" si="3"/>
        <v>9</v>
      </c>
      <c r="F30" s="44">
        <f t="shared" si="4"/>
        <v>44</v>
      </c>
      <c r="G30" s="45">
        <f t="shared" si="5"/>
        <v>0.7954545455</v>
      </c>
      <c r="H30" s="46" t="s">
        <v>181</v>
      </c>
      <c r="I30" s="46" t="s">
        <v>181</v>
      </c>
      <c r="J30" s="52"/>
      <c r="K30" s="46" t="s">
        <v>181</v>
      </c>
      <c r="L30" s="46" t="s">
        <v>181</v>
      </c>
      <c r="M30" s="46" t="s">
        <v>181</v>
      </c>
      <c r="N30" s="46" t="s">
        <v>181</v>
      </c>
      <c r="O30" s="46" t="s">
        <v>181</v>
      </c>
      <c r="P30" s="46" t="s">
        <v>181</v>
      </c>
      <c r="Q30" s="52"/>
      <c r="R30" s="46" t="s">
        <v>181</v>
      </c>
      <c r="S30" s="46" t="s">
        <v>181</v>
      </c>
      <c r="T30" s="46" t="s">
        <v>181</v>
      </c>
      <c r="U30" s="46" t="s">
        <v>181</v>
      </c>
      <c r="V30" s="46" t="s">
        <v>181</v>
      </c>
      <c r="W30" s="46" t="s">
        <v>181</v>
      </c>
      <c r="X30" s="52"/>
      <c r="Y30" s="46" t="s">
        <v>181</v>
      </c>
      <c r="Z30" s="46" t="s">
        <v>181</v>
      </c>
      <c r="AA30" s="46" t="s">
        <v>181</v>
      </c>
      <c r="AB30" s="46" t="s">
        <v>181</v>
      </c>
      <c r="AC30" s="46" t="s">
        <v>181</v>
      </c>
      <c r="AD30" s="46" t="s">
        <v>181</v>
      </c>
      <c r="AE30" s="28"/>
      <c r="AF30" s="46" t="s">
        <v>181</v>
      </c>
      <c r="AG30" s="46" t="s">
        <v>217</v>
      </c>
      <c r="AH30" s="46" t="s">
        <v>181</v>
      </c>
      <c r="AI30" s="46" t="s">
        <v>217</v>
      </c>
      <c r="AJ30" s="46" t="s">
        <v>181</v>
      </c>
      <c r="AK30" s="46" t="s">
        <v>181</v>
      </c>
      <c r="AL30" s="28"/>
      <c r="AM30" s="46" t="s">
        <v>217</v>
      </c>
      <c r="AN30" s="46" t="s">
        <v>181</v>
      </c>
      <c r="AO30" s="46" t="s">
        <v>181</v>
      </c>
      <c r="AP30" s="46" t="s">
        <v>181</v>
      </c>
      <c r="AQ30" s="46" t="s">
        <v>181</v>
      </c>
      <c r="AR30" s="46" t="s">
        <v>181</v>
      </c>
      <c r="AS30" s="28"/>
      <c r="AT30" s="46" t="s">
        <v>181</v>
      </c>
      <c r="AU30" s="46" t="s">
        <v>181</v>
      </c>
      <c r="AV30" s="46" t="s">
        <v>217</v>
      </c>
      <c r="AW30" s="46" t="s">
        <v>181</v>
      </c>
      <c r="AX30" s="46" t="s">
        <v>181</v>
      </c>
      <c r="AY30" s="46" t="s">
        <v>181</v>
      </c>
      <c r="AZ30" s="28"/>
      <c r="BA30" s="46" t="s">
        <v>217</v>
      </c>
      <c r="BB30" s="46" t="s">
        <v>217</v>
      </c>
      <c r="BC30" s="46" t="s">
        <v>217</v>
      </c>
      <c r="BD30" s="46" t="s">
        <v>217</v>
      </c>
      <c r="BE30" s="46" t="s">
        <v>217</v>
      </c>
      <c r="BF30" s="46" t="s">
        <v>181</v>
      </c>
      <c r="BG30" s="28"/>
      <c r="BH30" s="43"/>
      <c r="BI30" s="43"/>
      <c r="BJ30" s="43"/>
      <c r="BK30" s="43"/>
      <c r="BL30" s="43"/>
      <c r="BM30" s="43"/>
      <c r="BN30" s="28"/>
      <c r="BO30" s="43"/>
      <c r="BP30" s="43"/>
      <c r="BQ30" s="43"/>
      <c r="BR30" s="43"/>
    </row>
    <row r="31">
      <c r="A31" s="42">
        <v>28.0</v>
      </c>
      <c r="B31" s="43" t="s">
        <v>284</v>
      </c>
      <c r="C31" s="43" t="s">
        <v>285</v>
      </c>
      <c r="D31" s="44">
        <f t="shared" si="2"/>
        <v>17</v>
      </c>
      <c r="E31" s="44">
        <f t="shared" si="3"/>
        <v>27</v>
      </c>
      <c r="F31" s="44">
        <f t="shared" si="4"/>
        <v>44</v>
      </c>
      <c r="G31" s="45">
        <f t="shared" si="5"/>
        <v>0.3863636364</v>
      </c>
      <c r="H31" s="42" t="s">
        <v>181</v>
      </c>
      <c r="I31" s="42" t="s">
        <v>181</v>
      </c>
      <c r="J31" s="52"/>
      <c r="K31" s="46" t="s">
        <v>217</v>
      </c>
      <c r="L31" s="42" t="s">
        <v>181</v>
      </c>
      <c r="M31" s="42" t="s">
        <v>181</v>
      </c>
      <c r="N31" s="42" t="s">
        <v>217</v>
      </c>
      <c r="O31" s="42" t="s">
        <v>181</v>
      </c>
      <c r="P31" s="42" t="s">
        <v>217</v>
      </c>
      <c r="Q31" s="52"/>
      <c r="R31" s="42" t="s">
        <v>217</v>
      </c>
      <c r="S31" s="42" t="s">
        <v>217</v>
      </c>
      <c r="T31" s="42" t="s">
        <v>217</v>
      </c>
      <c r="U31" s="42" t="s">
        <v>181</v>
      </c>
      <c r="V31" s="42" t="s">
        <v>217</v>
      </c>
      <c r="W31" s="42" t="s">
        <v>181</v>
      </c>
      <c r="X31" s="52"/>
      <c r="Y31" s="42" t="s">
        <v>217</v>
      </c>
      <c r="Z31" s="42" t="s">
        <v>181</v>
      </c>
      <c r="AA31" s="42" t="s">
        <v>181</v>
      </c>
      <c r="AB31" s="42" t="s">
        <v>217</v>
      </c>
      <c r="AC31" s="42" t="s">
        <v>181</v>
      </c>
      <c r="AD31" s="42" t="s">
        <v>181</v>
      </c>
      <c r="AE31" s="28"/>
      <c r="AF31" s="42" t="s">
        <v>181</v>
      </c>
      <c r="AG31" s="42" t="s">
        <v>217</v>
      </c>
      <c r="AH31" s="42" t="s">
        <v>181</v>
      </c>
      <c r="AI31" s="42" t="s">
        <v>217</v>
      </c>
      <c r="AJ31" s="42" t="s">
        <v>181</v>
      </c>
      <c r="AK31" s="42" t="s">
        <v>181</v>
      </c>
      <c r="AL31" s="28"/>
      <c r="AM31" s="42" t="s">
        <v>181</v>
      </c>
      <c r="AN31" s="42" t="s">
        <v>217</v>
      </c>
      <c r="AO31" s="42" t="s">
        <v>217</v>
      </c>
      <c r="AP31" s="42" t="s">
        <v>217</v>
      </c>
      <c r="AQ31" s="42" t="s">
        <v>217</v>
      </c>
      <c r="AR31" s="42" t="s">
        <v>181</v>
      </c>
      <c r="AS31" s="28"/>
      <c r="AT31" s="42" t="s">
        <v>217</v>
      </c>
      <c r="AU31" s="42" t="s">
        <v>217</v>
      </c>
      <c r="AV31" s="42" t="s">
        <v>217</v>
      </c>
      <c r="AW31" s="42" t="s">
        <v>217</v>
      </c>
      <c r="AX31" s="42" t="s">
        <v>217</v>
      </c>
      <c r="AY31" s="42" t="s">
        <v>217</v>
      </c>
      <c r="AZ31" s="28"/>
      <c r="BA31" s="42" t="s">
        <v>217</v>
      </c>
      <c r="BB31" s="42" t="s">
        <v>217</v>
      </c>
      <c r="BC31" s="42" t="s">
        <v>217</v>
      </c>
      <c r="BD31" s="42" t="s">
        <v>217</v>
      </c>
      <c r="BE31" s="42" t="s">
        <v>217</v>
      </c>
      <c r="BF31" s="42" t="s">
        <v>217</v>
      </c>
      <c r="BG31" s="28"/>
      <c r="BH31" s="44"/>
      <c r="BI31" s="44"/>
      <c r="BJ31" s="44"/>
      <c r="BK31" s="44"/>
      <c r="BL31" s="44"/>
      <c r="BM31" s="44"/>
      <c r="BN31" s="28"/>
      <c r="BO31" s="44"/>
      <c r="BP31" s="44"/>
      <c r="BQ31" s="44"/>
      <c r="BR31" s="44"/>
    </row>
    <row r="32">
      <c r="A32" s="42">
        <v>29.0</v>
      </c>
      <c r="B32" s="43" t="s">
        <v>287</v>
      </c>
      <c r="C32" s="43" t="s">
        <v>288</v>
      </c>
      <c r="D32" s="44">
        <f t="shared" si="2"/>
        <v>22</v>
      </c>
      <c r="E32" s="44">
        <f t="shared" si="3"/>
        <v>22</v>
      </c>
      <c r="F32" s="44">
        <f t="shared" si="4"/>
        <v>44</v>
      </c>
      <c r="G32" s="45">
        <f t="shared" si="5"/>
        <v>0.5</v>
      </c>
      <c r="H32" s="46" t="s">
        <v>181</v>
      </c>
      <c r="I32" s="46" t="s">
        <v>181</v>
      </c>
      <c r="J32" s="52"/>
      <c r="K32" s="46" t="s">
        <v>217</v>
      </c>
      <c r="L32" s="46" t="s">
        <v>181</v>
      </c>
      <c r="M32" s="46" t="s">
        <v>181</v>
      </c>
      <c r="N32" s="46" t="s">
        <v>181</v>
      </c>
      <c r="O32" s="46" t="s">
        <v>181</v>
      </c>
      <c r="P32" s="46" t="s">
        <v>181</v>
      </c>
      <c r="Q32" s="52"/>
      <c r="R32" s="46" t="s">
        <v>181</v>
      </c>
      <c r="S32" s="46" t="s">
        <v>217</v>
      </c>
      <c r="T32" s="46" t="s">
        <v>181</v>
      </c>
      <c r="U32" s="46" t="s">
        <v>181</v>
      </c>
      <c r="V32" s="46" t="s">
        <v>217</v>
      </c>
      <c r="W32" s="46" t="s">
        <v>217</v>
      </c>
      <c r="X32" s="52"/>
      <c r="Y32" s="46" t="s">
        <v>181</v>
      </c>
      <c r="Z32" s="46" t="s">
        <v>217</v>
      </c>
      <c r="AA32" s="46" t="s">
        <v>181</v>
      </c>
      <c r="AB32" s="46" t="s">
        <v>181</v>
      </c>
      <c r="AC32" s="46" t="s">
        <v>181</v>
      </c>
      <c r="AD32" s="46" t="s">
        <v>217</v>
      </c>
      <c r="AE32" s="28"/>
      <c r="AF32" s="46" t="s">
        <v>181</v>
      </c>
      <c r="AG32" s="46" t="s">
        <v>181</v>
      </c>
      <c r="AH32" s="46" t="s">
        <v>217</v>
      </c>
      <c r="AI32" s="46" t="s">
        <v>181</v>
      </c>
      <c r="AJ32" s="46" t="s">
        <v>181</v>
      </c>
      <c r="AK32" s="46" t="s">
        <v>181</v>
      </c>
      <c r="AL32" s="28"/>
      <c r="AM32" s="46" t="s">
        <v>217</v>
      </c>
      <c r="AN32" s="46" t="s">
        <v>181</v>
      </c>
      <c r="AO32" s="46" t="s">
        <v>181</v>
      </c>
      <c r="AP32" s="46" t="s">
        <v>181</v>
      </c>
      <c r="AQ32" s="46" t="s">
        <v>217</v>
      </c>
      <c r="AR32" s="46" t="s">
        <v>217</v>
      </c>
      <c r="AS32" s="28"/>
      <c r="AT32" s="46" t="s">
        <v>217</v>
      </c>
      <c r="AU32" s="46" t="s">
        <v>217</v>
      </c>
      <c r="AV32" s="46" t="s">
        <v>217</v>
      </c>
      <c r="AW32" s="46" t="s">
        <v>217</v>
      </c>
      <c r="AX32" s="46" t="s">
        <v>217</v>
      </c>
      <c r="AY32" s="46" t="s">
        <v>217</v>
      </c>
      <c r="AZ32" s="28"/>
      <c r="BA32" s="46" t="s">
        <v>217</v>
      </c>
      <c r="BB32" s="46" t="s">
        <v>217</v>
      </c>
      <c r="BC32" s="46" t="s">
        <v>217</v>
      </c>
      <c r="BD32" s="46" t="s">
        <v>217</v>
      </c>
      <c r="BE32" s="46" t="s">
        <v>217</v>
      </c>
      <c r="BF32" s="46" t="s">
        <v>217</v>
      </c>
      <c r="BG32" s="28"/>
      <c r="BH32" s="43"/>
      <c r="BI32" s="43"/>
      <c r="BJ32" s="43"/>
      <c r="BK32" s="43"/>
      <c r="BL32" s="43"/>
      <c r="BM32" s="43"/>
      <c r="BN32" s="28"/>
      <c r="BO32" s="43"/>
      <c r="BP32" s="43"/>
      <c r="BQ32" s="43"/>
      <c r="BR32" s="43"/>
    </row>
    <row r="33">
      <c r="A33" s="42">
        <v>30.0</v>
      </c>
      <c r="B33" s="43" t="s">
        <v>291</v>
      </c>
      <c r="C33" s="43" t="s">
        <v>292</v>
      </c>
      <c r="D33" s="44">
        <f t="shared" si="2"/>
        <v>37</v>
      </c>
      <c r="E33" s="44">
        <f t="shared" si="3"/>
        <v>7</v>
      </c>
      <c r="F33" s="44">
        <f t="shared" si="4"/>
        <v>44</v>
      </c>
      <c r="G33" s="45">
        <f t="shared" si="5"/>
        <v>0.8409090909</v>
      </c>
      <c r="H33" s="46" t="s">
        <v>181</v>
      </c>
      <c r="I33" s="46" t="s">
        <v>181</v>
      </c>
      <c r="J33" s="52"/>
      <c r="K33" s="46" t="s">
        <v>181</v>
      </c>
      <c r="L33" s="46" t="s">
        <v>181</v>
      </c>
      <c r="M33" s="46" t="s">
        <v>181</v>
      </c>
      <c r="N33" s="46" t="s">
        <v>181</v>
      </c>
      <c r="O33" s="46" t="s">
        <v>181</v>
      </c>
      <c r="P33" s="46" t="s">
        <v>181</v>
      </c>
      <c r="Q33" s="52"/>
      <c r="R33" s="46" t="s">
        <v>181</v>
      </c>
      <c r="S33" s="46" t="s">
        <v>181</v>
      </c>
      <c r="T33" s="46" t="s">
        <v>181</v>
      </c>
      <c r="U33" s="46" t="s">
        <v>181</v>
      </c>
      <c r="V33" s="46" t="s">
        <v>181</v>
      </c>
      <c r="W33" s="46" t="s">
        <v>181</v>
      </c>
      <c r="X33" s="52"/>
      <c r="Y33" s="46" t="s">
        <v>181</v>
      </c>
      <c r="Z33" s="46" t="s">
        <v>181</v>
      </c>
      <c r="AA33" s="46" t="s">
        <v>181</v>
      </c>
      <c r="AB33" s="46" t="s">
        <v>181</v>
      </c>
      <c r="AC33" s="46" t="s">
        <v>181</v>
      </c>
      <c r="AD33" s="46" t="s">
        <v>181</v>
      </c>
      <c r="AE33" s="28"/>
      <c r="AF33" s="46" t="s">
        <v>181</v>
      </c>
      <c r="AG33" s="46" t="s">
        <v>181</v>
      </c>
      <c r="AH33" s="46" t="s">
        <v>181</v>
      </c>
      <c r="AI33" s="46" t="s">
        <v>181</v>
      </c>
      <c r="AJ33" s="46" t="s">
        <v>181</v>
      </c>
      <c r="AK33" s="46" t="s">
        <v>181</v>
      </c>
      <c r="AL33" s="28"/>
      <c r="AM33" s="46" t="s">
        <v>181</v>
      </c>
      <c r="AN33" s="46" t="s">
        <v>181</v>
      </c>
      <c r="AO33" s="46" t="s">
        <v>181</v>
      </c>
      <c r="AP33" s="46" t="s">
        <v>181</v>
      </c>
      <c r="AQ33" s="46" t="s">
        <v>181</v>
      </c>
      <c r="AR33" s="46" t="s">
        <v>217</v>
      </c>
      <c r="AS33" s="28"/>
      <c r="AT33" s="46" t="s">
        <v>181</v>
      </c>
      <c r="AU33" s="46" t="s">
        <v>181</v>
      </c>
      <c r="AV33" s="46" t="s">
        <v>181</v>
      </c>
      <c r="AW33" s="46" t="s">
        <v>181</v>
      </c>
      <c r="AX33" s="46" t="s">
        <v>181</v>
      </c>
      <c r="AY33" s="46" t="s">
        <v>217</v>
      </c>
      <c r="AZ33" s="28"/>
      <c r="BA33" s="46" t="s">
        <v>217</v>
      </c>
      <c r="BB33" s="46" t="s">
        <v>217</v>
      </c>
      <c r="BC33" s="46" t="s">
        <v>217</v>
      </c>
      <c r="BD33" s="46" t="s">
        <v>217</v>
      </c>
      <c r="BE33" s="46" t="s">
        <v>181</v>
      </c>
      <c r="BF33" s="46" t="s">
        <v>217</v>
      </c>
      <c r="BG33" s="28"/>
      <c r="BH33" s="43"/>
      <c r="BI33" s="43"/>
      <c r="BJ33" s="43"/>
      <c r="BK33" s="43"/>
      <c r="BL33" s="43"/>
      <c r="BM33" s="43"/>
      <c r="BN33" s="28"/>
      <c r="BO33" s="43"/>
      <c r="BP33" s="43"/>
      <c r="BQ33" s="43"/>
      <c r="BR33" s="43"/>
    </row>
    <row r="34">
      <c r="A34" s="42">
        <v>31.0</v>
      </c>
      <c r="B34" s="43" t="s">
        <v>294</v>
      </c>
      <c r="C34" s="43" t="s">
        <v>295</v>
      </c>
      <c r="D34" s="44">
        <f t="shared" si="2"/>
        <v>0</v>
      </c>
      <c r="E34" s="44">
        <f t="shared" si="3"/>
        <v>35</v>
      </c>
      <c r="F34" s="44">
        <f t="shared" si="4"/>
        <v>35</v>
      </c>
      <c r="G34" s="45">
        <f t="shared" si="5"/>
        <v>0</v>
      </c>
      <c r="H34" s="42" t="s">
        <v>383</v>
      </c>
      <c r="I34" s="42" t="s">
        <v>383</v>
      </c>
      <c r="J34" s="52"/>
      <c r="K34" s="42" t="s">
        <v>383</v>
      </c>
      <c r="L34" s="42" t="s">
        <v>383</v>
      </c>
      <c r="M34" s="42" t="s">
        <v>383</v>
      </c>
      <c r="N34" s="42" t="s">
        <v>383</v>
      </c>
      <c r="O34" s="42" t="s">
        <v>383</v>
      </c>
      <c r="P34" s="42" t="s">
        <v>383</v>
      </c>
      <c r="Q34" s="52"/>
      <c r="R34" s="42" t="s">
        <v>383</v>
      </c>
      <c r="S34" s="42" t="s">
        <v>217</v>
      </c>
      <c r="T34" s="42" t="s">
        <v>217</v>
      </c>
      <c r="U34" s="42" t="s">
        <v>217</v>
      </c>
      <c r="V34" s="42" t="s">
        <v>217</v>
      </c>
      <c r="W34" s="42" t="s">
        <v>217</v>
      </c>
      <c r="X34" s="52"/>
      <c r="Y34" s="42" t="s">
        <v>217</v>
      </c>
      <c r="Z34" s="42" t="s">
        <v>217</v>
      </c>
      <c r="AA34" s="42" t="s">
        <v>217</v>
      </c>
      <c r="AB34" s="42" t="s">
        <v>217</v>
      </c>
      <c r="AC34" s="42" t="s">
        <v>217</v>
      </c>
      <c r="AD34" s="42" t="s">
        <v>217</v>
      </c>
      <c r="AE34" s="28"/>
      <c r="AF34" s="42" t="s">
        <v>217</v>
      </c>
      <c r="AG34" s="42" t="s">
        <v>217</v>
      </c>
      <c r="AH34" s="42" t="s">
        <v>217</v>
      </c>
      <c r="AI34" s="42" t="s">
        <v>217</v>
      </c>
      <c r="AJ34" s="42" t="s">
        <v>217</v>
      </c>
      <c r="AK34" s="42" t="s">
        <v>217</v>
      </c>
      <c r="AL34" s="28"/>
      <c r="AM34" s="42" t="s">
        <v>217</v>
      </c>
      <c r="AN34" s="42" t="s">
        <v>217</v>
      </c>
      <c r="AO34" s="42" t="s">
        <v>217</v>
      </c>
      <c r="AP34" s="42" t="s">
        <v>217</v>
      </c>
      <c r="AQ34" s="42" t="s">
        <v>217</v>
      </c>
      <c r="AR34" s="42" t="s">
        <v>217</v>
      </c>
      <c r="AS34" s="28"/>
      <c r="AT34" s="42" t="s">
        <v>217</v>
      </c>
      <c r="AU34" s="42" t="s">
        <v>217</v>
      </c>
      <c r="AV34" s="42" t="s">
        <v>217</v>
      </c>
      <c r="AW34" s="42" t="s">
        <v>217</v>
      </c>
      <c r="AX34" s="42" t="s">
        <v>217</v>
      </c>
      <c r="AY34" s="42" t="s">
        <v>217</v>
      </c>
      <c r="AZ34" s="28"/>
      <c r="BA34" s="42" t="s">
        <v>217</v>
      </c>
      <c r="BB34" s="42" t="s">
        <v>217</v>
      </c>
      <c r="BC34" s="42" t="s">
        <v>217</v>
      </c>
      <c r="BD34" s="42" t="s">
        <v>217</v>
      </c>
      <c r="BE34" s="42" t="s">
        <v>217</v>
      </c>
      <c r="BF34" s="42" t="s">
        <v>217</v>
      </c>
      <c r="BG34" s="28"/>
      <c r="BH34" s="44"/>
      <c r="BI34" s="44"/>
      <c r="BJ34" s="44"/>
      <c r="BK34" s="44"/>
      <c r="BL34" s="44"/>
      <c r="BM34" s="44"/>
      <c r="BN34" s="28"/>
      <c r="BO34" s="44"/>
      <c r="BP34" s="44"/>
      <c r="BQ34" s="44"/>
      <c r="BR34" s="44"/>
    </row>
    <row r="35">
      <c r="A35" s="42">
        <v>32.0</v>
      </c>
      <c r="B35" s="43" t="s">
        <v>298</v>
      </c>
      <c r="C35" s="43" t="s">
        <v>299</v>
      </c>
      <c r="D35" s="44">
        <f t="shared" si="2"/>
        <v>16</v>
      </c>
      <c r="E35" s="44">
        <f t="shared" si="3"/>
        <v>17</v>
      </c>
      <c r="F35" s="44">
        <f t="shared" si="4"/>
        <v>33</v>
      </c>
      <c r="G35" s="45">
        <f t="shared" si="5"/>
        <v>0.4848484848</v>
      </c>
      <c r="H35" s="42" t="s">
        <v>383</v>
      </c>
      <c r="I35" s="42" t="s">
        <v>383</v>
      </c>
      <c r="J35" s="52"/>
      <c r="K35" s="42" t="s">
        <v>383</v>
      </c>
      <c r="L35" s="42" t="s">
        <v>383</v>
      </c>
      <c r="M35" s="42" t="s">
        <v>383</v>
      </c>
      <c r="N35" s="42" t="s">
        <v>383</v>
      </c>
      <c r="O35" s="42" t="s">
        <v>383</v>
      </c>
      <c r="P35" s="42" t="s">
        <v>383</v>
      </c>
      <c r="Q35" s="52"/>
      <c r="R35" s="42" t="s">
        <v>383</v>
      </c>
      <c r="S35" s="42" t="s">
        <v>383</v>
      </c>
      <c r="T35" s="42" t="s">
        <v>383</v>
      </c>
      <c r="U35" s="42" t="s">
        <v>217</v>
      </c>
      <c r="V35" s="42" t="s">
        <v>181</v>
      </c>
      <c r="W35" s="42" t="s">
        <v>217</v>
      </c>
      <c r="X35" s="52"/>
      <c r="Y35" s="42" t="s">
        <v>181</v>
      </c>
      <c r="Z35" s="42" t="s">
        <v>217</v>
      </c>
      <c r="AA35" s="42" t="s">
        <v>217</v>
      </c>
      <c r="AB35" s="42" t="s">
        <v>181</v>
      </c>
      <c r="AC35" s="42" t="s">
        <v>181</v>
      </c>
      <c r="AD35" s="42" t="s">
        <v>181</v>
      </c>
      <c r="AE35" s="28"/>
      <c r="AF35" s="42" t="s">
        <v>217</v>
      </c>
      <c r="AG35" s="42" t="s">
        <v>217</v>
      </c>
      <c r="AH35" s="42" t="s">
        <v>217</v>
      </c>
      <c r="AI35" s="42" t="s">
        <v>217</v>
      </c>
      <c r="AJ35" s="42" t="s">
        <v>217</v>
      </c>
      <c r="AK35" s="42" t="s">
        <v>217</v>
      </c>
      <c r="AL35" s="28"/>
      <c r="AM35" s="42" t="s">
        <v>181</v>
      </c>
      <c r="AN35" s="42" t="s">
        <v>181</v>
      </c>
      <c r="AO35" s="42" t="s">
        <v>181</v>
      </c>
      <c r="AP35" s="42" t="s">
        <v>181</v>
      </c>
      <c r="AQ35" s="42" t="s">
        <v>181</v>
      </c>
      <c r="AR35" s="42" t="s">
        <v>217</v>
      </c>
      <c r="AS35" s="28"/>
      <c r="AT35" s="42" t="s">
        <v>181</v>
      </c>
      <c r="AU35" s="42" t="s">
        <v>217</v>
      </c>
      <c r="AV35" s="42" t="s">
        <v>217</v>
      </c>
      <c r="AW35" s="42" t="s">
        <v>181</v>
      </c>
      <c r="AX35" s="42" t="s">
        <v>217</v>
      </c>
      <c r="AY35" s="42" t="s">
        <v>217</v>
      </c>
      <c r="AZ35" s="28"/>
      <c r="BA35" s="42" t="s">
        <v>181</v>
      </c>
      <c r="BB35" s="42" t="s">
        <v>181</v>
      </c>
      <c r="BC35" s="42" t="s">
        <v>181</v>
      </c>
      <c r="BD35" s="42" t="s">
        <v>181</v>
      </c>
      <c r="BE35" s="42" t="s">
        <v>217</v>
      </c>
      <c r="BF35" s="42" t="s">
        <v>217</v>
      </c>
      <c r="BG35" s="28"/>
      <c r="BH35" s="44"/>
      <c r="BI35" s="44"/>
      <c r="BJ35" s="44"/>
      <c r="BK35" s="44"/>
      <c r="BL35" s="44"/>
      <c r="BM35" s="44"/>
      <c r="BN35" s="28"/>
      <c r="BO35" s="44"/>
      <c r="BP35" s="44"/>
      <c r="BQ35" s="44"/>
      <c r="BR35" s="44"/>
    </row>
    <row r="36">
      <c r="A36" s="42">
        <v>33.0</v>
      </c>
      <c r="B36" s="43" t="s">
        <v>302</v>
      </c>
      <c r="C36" s="43" t="s">
        <v>303</v>
      </c>
      <c r="D36" s="44">
        <f t="shared" si="2"/>
        <v>16</v>
      </c>
      <c r="E36" s="44">
        <f t="shared" si="3"/>
        <v>28</v>
      </c>
      <c r="F36" s="44">
        <f t="shared" si="4"/>
        <v>44</v>
      </c>
      <c r="G36" s="45">
        <f t="shared" si="5"/>
        <v>0.3636363636</v>
      </c>
      <c r="H36" s="46" t="s">
        <v>181</v>
      </c>
      <c r="I36" s="46" t="s">
        <v>181</v>
      </c>
      <c r="J36" s="52"/>
      <c r="K36" s="46" t="s">
        <v>181</v>
      </c>
      <c r="L36" s="46" t="s">
        <v>217</v>
      </c>
      <c r="M36" s="46" t="s">
        <v>181</v>
      </c>
      <c r="N36" s="46" t="s">
        <v>217</v>
      </c>
      <c r="O36" s="46" t="s">
        <v>217</v>
      </c>
      <c r="P36" s="46" t="s">
        <v>217</v>
      </c>
      <c r="Q36" s="52"/>
      <c r="R36" s="46" t="s">
        <v>217</v>
      </c>
      <c r="S36" s="46" t="s">
        <v>217</v>
      </c>
      <c r="T36" s="46" t="s">
        <v>181</v>
      </c>
      <c r="U36" s="46" t="s">
        <v>217</v>
      </c>
      <c r="V36" s="46" t="s">
        <v>181</v>
      </c>
      <c r="W36" s="46" t="s">
        <v>181</v>
      </c>
      <c r="X36" s="52"/>
      <c r="Y36" s="46" t="s">
        <v>181</v>
      </c>
      <c r="Z36" s="46" t="s">
        <v>217</v>
      </c>
      <c r="AA36" s="46" t="s">
        <v>217</v>
      </c>
      <c r="AB36" s="46" t="s">
        <v>181</v>
      </c>
      <c r="AC36" s="46" t="s">
        <v>181</v>
      </c>
      <c r="AD36" s="46" t="s">
        <v>217</v>
      </c>
      <c r="AE36" s="28"/>
      <c r="AF36" s="46" t="s">
        <v>181</v>
      </c>
      <c r="AG36" s="46" t="s">
        <v>217</v>
      </c>
      <c r="AH36" s="46" t="s">
        <v>217</v>
      </c>
      <c r="AI36" s="46" t="s">
        <v>181</v>
      </c>
      <c r="AJ36" s="46" t="s">
        <v>181</v>
      </c>
      <c r="AK36" s="46" t="s">
        <v>217</v>
      </c>
      <c r="AL36" s="28"/>
      <c r="AM36" s="46" t="s">
        <v>217</v>
      </c>
      <c r="AN36" s="46" t="s">
        <v>181</v>
      </c>
      <c r="AO36" s="46" t="s">
        <v>217</v>
      </c>
      <c r="AP36" s="46" t="s">
        <v>217</v>
      </c>
      <c r="AQ36" s="46" t="s">
        <v>181</v>
      </c>
      <c r="AR36" s="46" t="s">
        <v>181</v>
      </c>
      <c r="AS36" s="28"/>
      <c r="AT36" s="46" t="s">
        <v>217</v>
      </c>
      <c r="AU36" s="46" t="s">
        <v>217</v>
      </c>
      <c r="AV36" s="46" t="s">
        <v>217</v>
      </c>
      <c r="AW36" s="46" t="s">
        <v>217</v>
      </c>
      <c r="AX36" s="46" t="s">
        <v>217</v>
      </c>
      <c r="AY36" s="46" t="s">
        <v>217</v>
      </c>
      <c r="AZ36" s="28"/>
      <c r="BA36" s="46" t="s">
        <v>217</v>
      </c>
      <c r="BB36" s="46" t="s">
        <v>217</v>
      </c>
      <c r="BC36" s="46" t="s">
        <v>217</v>
      </c>
      <c r="BD36" s="46" t="s">
        <v>217</v>
      </c>
      <c r="BE36" s="46" t="s">
        <v>217</v>
      </c>
      <c r="BF36" s="46" t="s">
        <v>217</v>
      </c>
      <c r="BG36" s="28"/>
      <c r="BH36" s="43"/>
      <c r="BI36" s="43"/>
      <c r="BJ36" s="43"/>
      <c r="BK36" s="43"/>
      <c r="BL36" s="43"/>
      <c r="BM36" s="43"/>
      <c r="BN36" s="28"/>
      <c r="BO36" s="43"/>
      <c r="BP36" s="43"/>
      <c r="BQ36" s="43"/>
      <c r="BR36" s="43"/>
    </row>
    <row r="37">
      <c r="A37" s="42">
        <v>34.0</v>
      </c>
      <c r="B37" s="43" t="s">
        <v>305</v>
      </c>
      <c r="C37" s="43" t="s">
        <v>307</v>
      </c>
      <c r="D37" s="44">
        <f t="shared" si="2"/>
        <v>29</v>
      </c>
      <c r="E37" s="44">
        <f t="shared" si="3"/>
        <v>15</v>
      </c>
      <c r="F37" s="44">
        <f t="shared" si="4"/>
        <v>44</v>
      </c>
      <c r="G37" s="45">
        <f t="shared" si="5"/>
        <v>0.6590909091</v>
      </c>
      <c r="H37" s="46" t="s">
        <v>181</v>
      </c>
      <c r="I37" s="46" t="s">
        <v>181</v>
      </c>
      <c r="J37" s="52"/>
      <c r="K37" s="46" t="s">
        <v>217</v>
      </c>
      <c r="L37" s="46" t="s">
        <v>181</v>
      </c>
      <c r="M37" s="46" t="s">
        <v>181</v>
      </c>
      <c r="N37" s="46" t="s">
        <v>181</v>
      </c>
      <c r="O37" s="46" t="s">
        <v>181</v>
      </c>
      <c r="P37" s="46" t="s">
        <v>217</v>
      </c>
      <c r="Q37" s="52"/>
      <c r="R37" s="46" t="s">
        <v>181</v>
      </c>
      <c r="S37" s="46" t="s">
        <v>181</v>
      </c>
      <c r="T37" s="46" t="s">
        <v>181</v>
      </c>
      <c r="U37" s="46" t="s">
        <v>181</v>
      </c>
      <c r="V37" s="46" t="s">
        <v>217</v>
      </c>
      <c r="W37" s="46" t="s">
        <v>181</v>
      </c>
      <c r="X37" s="52"/>
      <c r="Y37" s="46" t="s">
        <v>181</v>
      </c>
      <c r="Z37" s="46" t="s">
        <v>217</v>
      </c>
      <c r="AA37" s="46" t="s">
        <v>181</v>
      </c>
      <c r="AB37" s="46" t="s">
        <v>181</v>
      </c>
      <c r="AC37" s="46" t="s">
        <v>181</v>
      </c>
      <c r="AD37" s="46" t="s">
        <v>181</v>
      </c>
      <c r="AE37" s="28"/>
      <c r="AF37" s="46" t="s">
        <v>217</v>
      </c>
      <c r="AG37" s="46" t="s">
        <v>181</v>
      </c>
      <c r="AH37" s="46" t="s">
        <v>217</v>
      </c>
      <c r="AI37" s="46" t="s">
        <v>217</v>
      </c>
      <c r="AJ37" s="46" t="s">
        <v>181</v>
      </c>
      <c r="AK37" s="46" t="s">
        <v>181</v>
      </c>
      <c r="AL37" s="28"/>
      <c r="AM37" s="46" t="s">
        <v>181</v>
      </c>
      <c r="AN37" s="46" t="s">
        <v>217</v>
      </c>
      <c r="AO37" s="46" t="s">
        <v>181</v>
      </c>
      <c r="AP37" s="46" t="s">
        <v>181</v>
      </c>
      <c r="AQ37" s="46" t="s">
        <v>181</v>
      </c>
      <c r="AR37" s="46" t="s">
        <v>217</v>
      </c>
      <c r="AS37" s="28"/>
      <c r="AT37" s="46" t="s">
        <v>217</v>
      </c>
      <c r="AU37" s="46" t="s">
        <v>181</v>
      </c>
      <c r="AV37" s="46" t="s">
        <v>217</v>
      </c>
      <c r="AW37" s="46" t="s">
        <v>181</v>
      </c>
      <c r="AX37" s="46" t="s">
        <v>181</v>
      </c>
      <c r="AY37" s="46" t="s">
        <v>181</v>
      </c>
      <c r="AZ37" s="28"/>
      <c r="BA37" s="46" t="s">
        <v>217</v>
      </c>
      <c r="BB37" s="46" t="s">
        <v>217</v>
      </c>
      <c r="BC37" s="46" t="s">
        <v>217</v>
      </c>
      <c r="BD37" s="46" t="s">
        <v>217</v>
      </c>
      <c r="BE37" s="46" t="s">
        <v>181</v>
      </c>
      <c r="BF37" s="46" t="s">
        <v>181</v>
      </c>
      <c r="BG37" s="28"/>
      <c r="BH37" s="43"/>
      <c r="BI37" s="43"/>
      <c r="BJ37" s="43"/>
      <c r="BK37" s="43"/>
      <c r="BL37" s="43"/>
      <c r="BM37" s="43"/>
      <c r="BN37" s="28"/>
      <c r="BO37" s="43"/>
      <c r="BP37" s="43"/>
      <c r="BQ37" s="43"/>
      <c r="BR37" s="43"/>
    </row>
    <row r="38">
      <c r="A38" s="42">
        <v>35.0</v>
      </c>
      <c r="B38" s="43" t="s">
        <v>309</v>
      </c>
      <c r="C38" s="54" t="s">
        <v>310</v>
      </c>
      <c r="D38" s="44">
        <f t="shared" si="2"/>
        <v>2</v>
      </c>
      <c r="E38" s="44">
        <f t="shared" si="3"/>
        <v>42</v>
      </c>
      <c r="F38" s="44">
        <f t="shared" si="4"/>
        <v>44</v>
      </c>
      <c r="G38" s="45">
        <f t="shared" si="5"/>
        <v>0.04545454545</v>
      </c>
      <c r="H38" s="46" t="s">
        <v>217</v>
      </c>
      <c r="I38" s="46" t="s">
        <v>217</v>
      </c>
      <c r="J38" s="52"/>
      <c r="K38" s="46" t="s">
        <v>217</v>
      </c>
      <c r="L38" s="46" t="s">
        <v>217</v>
      </c>
      <c r="M38" s="46" t="s">
        <v>217</v>
      </c>
      <c r="N38" s="46" t="s">
        <v>217</v>
      </c>
      <c r="O38" s="46" t="s">
        <v>217</v>
      </c>
      <c r="P38" s="46" t="s">
        <v>217</v>
      </c>
      <c r="Q38" s="52"/>
      <c r="R38" s="46" t="s">
        <v>217</v>
      </c>
      <c r="S38" s="46" t="s">
        <v>217</v>
      </c>
      <c r="T38" s="46" t="s">
        <v>217</v>
      </c>
      <c r="U38" s="46" t="s">
        <v>217</v>
      </c>
      <c r="V38" s="46" t="s">
        <v>217</v>
      </c>
      <c r="W38" s="46" t="s">
        <v>217</v>
      </c>
      <c r="X38" s="52"/>
      <c r="Y38" s="46" t="s">
        <v>217</v>
      </c>
      <c r="Z38" s="46" t="s">
        <v>217</v>
      </c>
      <c r="AA38" s="46" t="s">
        <v>217</v>
      </c>
      <c r="AB38" s="46" t="s">
        <v>217</v>
      </c>
      <c r="AC38" s="46" t="s">
        <v>181</v>
      </c>
      <c r="AD38" s="46" t="s">
        <v>217</v>
      </c>
      <c r="AE38" s="28"/>
      <c r="AF38" s="46" t="s">
        <v>217</v>
      </c>
      <c r="AG38" s="46" t="s">
        <v>217</v>
      </c>
      <c r="AH38" s="46" t="s">
        <v>217</v>
      </c>
      <c r="AI38" s="46" t="s">
        <v>217</v>
      </c>
      <c r="AJ38" s="46" t="s">
        <v>181</v>
      </c>
      <c r="AK38" s="46" t="s">
        <v>217</v>
      </c>
      <c r="AL38" s="28"/>
      <c r="AM38" s="46" t="s">
        <v>217</v>
      </c>
      <c r="AN38" s="46" t="s">
        <v>217</v>
      </c>
      <c r="AO38" s="46" t="s">
        <v>217</v>
      </c>
      <c r="AP38" s="46" t="s">
        <v>217</v>
      </c>
      <c r="AQ38" s="46" t="s">
        <v>217</v>
      </c>
      <c r="AR38" s="46" t="s">
        <v>217</v>
      </c>
      <c r="AS38" s="28"/>
      <c r="AT38" s="46" t="s">
        <v>217</v>
      </c>
      <c r="AU38" s="46" t="s">
        <v>217</v>
      </c>
      <c r="AV38" s="46" t="s">
        <v>217</v>
      </c>
      <c r="AW38" s="46" t="s">
        <v>217</v>
      </c>
      <c r="AX38" s="46" t="s">
        <v>217</v>
      </c>
      <c r="AY38" s="46" t="s">
        <v>217</v>
      </c>
      <c r="AZ38" s="28"/>
      <c r="BA38" s="46" t="s">
        <v>217</v>
      </c>
      <c r="BB38" s="46" t="s">
        <v>217</v>
      </c>
      <c r="BC38" s="46" t="s">
        <v>217</v>
      </c>
      <c r="BD38" s="46" t="s">
        <v>217</v>
      </c>
      <c r="BE38" s="46" t="s">
        <v>217</v>
      </c>
      <c r="BF38" s="46" t="s">
        <v>217</v>
      </c>
      <c r="BG38" s="28"/>
      <c r="BH38" s="43"/>
      <c r="BI38" s="43"/>
      <c r="BJ38" s="43"/>
      <c r="BK38" s="43"/>
      <c r="BL38" s="43"/>
      <c r="BM38" s="43"/>
      <c r="BN38" s="28"/>
      <c r="BO38" s="43"/>
      <c r="BP38" s="43"/>
      <c r="BQ38" s="43"/>
      <c r="BR38" s="43"/>
    </row>
    <row r="39">
      <c r="A39" s="42">
        <v>36.0</v>
      </c>
      <c r="B39" s="43" t="s">
        <v>313</v>
      </c>
      <c r="C39" s="43" t="s">
        <v>314</v>
      </c>
      <c r="D39" s="44">
        <f t="shared" si="2"/>
        <v>34</v>
      </c>
      <c r="E39" s="44">
        <f t="shared" si="3"/>
        <v>10</v>
      </c>
      <c r="F39" s="44">
        <f t="shared" si="4"/>
        <v>44</v>
      </c>
      <c r="G39" s="45">
        <f t="shared" si="5"/>
        <v>0.7727272727</v>
      </c>
      <c r="H39" s="46" t="s">
        <v>181</v>
      </c>
      <c r="I39" s="46" t="s">
        <v>181</v>
      </c>
      <c r="J39" s="52"/>
      <c r="K39" s="46" t="s">
        <v>181</v>
      </c>
      <c r="L39" s="46" t="s">
        <v>181</v>
      </c>
      <c r="M39" s="46" t="s">
        <v>181</v>
      </c>
      <c r="N39" s="46" t="s">
        <v>217</v>
      </c>
      <c r="O39" s="46" t="s">
        <v>181</v>
      </c>
      <c r="P39" s="46" t="s">
        <v>181</v>
      </c>
      <c r="Q39" s="52"/>
      <c r="R39" s="46" t="s">
        <v>217</v>
      </c>
      <c r="S39" s="46" t="s">
        <v>181</v>
      </c>
      <c r="T39" s="46" t="s">
        <v>181</v>
      </c>
      <c r="U39" s="46" t="s">
        <v>181</v>
      </c>
      <c r="V39" s="46" t="s">
        <v>181</v>
      </c>
      <c r="W39" s="46" t="s">
        <v>181</v>
      </c>
      <c r="X39" s="52"/>
      <c r="Y39" s="46" t="s">
        <v>181</v>
      </c>
      <c r="Z39" s="46" t="s">
        <v>181</v>
      </c>
      <c r="AA39" s="46" t="s">
        <v>181</v>
      </c>
      <c r="AB39" s="46" t="s">
        <v>181</v>
      </c>
      <c r="AC39" s="46" t="s">
        <v>217</v>
      </c>
      <c r="AD39" s="46" t="s">
        <v>181</v>
      </c>
      <c r="AE39" s="28"/>
      <c r="AF39" s="46" t="s">
        <v>181</v>
      </c>
      <c r="AG39" s="46" t="s">
        <v>181</v>
      </c>
      <c r="AH39" s="46" t="s">
        <v>181</v>
      </c>
      <c r="AI39" s="46" t="s">
        <v>217</v>
      </c>
      <c r="AJ39" s="46" t="s">
        <v>217</v>
      </c>
      <c r="AK39" s="46" t="s">
        <v>181</v>
      </c>
      <c r="AL39" s="28"/>
      <c r="AM39" s="46" t="s">
        <v>181</v>
      </c>
      <c r="AN39" s="46" t="s">
        <v>181</v>
      </c>
      <c r="AO39" s="46" t="s">
        <v>181</v>
      </c>
      <c r="AP39" s="46" t="s">
        <v>181</v>
      </c>
      <c r="AQ39" s="46" t="s">
        <v>181</v>
      </c>
      <c r="AR39" s="46" t="s">
        <v>181</v>
      </c>
      <c r="AS39" s="28"/>
      <c r="AT39" s="46" t="s">
        <v>217</v>
      </c>
      <c r="AU39" s="46" t="s">
        <v>181</v>
      </c>
      <c r="AV39" s="46" t="s">
        <v>217</v>
      </c>
      <c r="AW39" s="46" t="s">
        <v>217</v>
      </c>
      <c r="AX39" s="46" t="s">
        <v>217</v>
      </c>
      <c r="AY39" s="46" t="s">
        <v>217</v>
      </c>
      <c r="AZ39" s="28"/>
      <c r="BA39" s="46" t="s">
        <v>181</v>
      </c>
      <c r="BB39" s="46" t="s">
        <v>181</v>
      </c>
      <c r="BC39" s="46" t="s">
        <v>181</v>
      </c>
      <c r="BD39" s="46" t="s">
        <v>181</v>
      </c>
      <c r="BE39" s="46" t="s">
        <v>181</v>
      </c>
      <c r="BF39" s="46" t="s">
        <v>181</v>
      </c>
      <c r="BG39" s="28"/>
      <c r="BH39" s="43"/>
      <c r="BI39" s="43"/>
      <c r="BJ39" s="43"/>
      <c r="BK39" s="43"/>
      <c r="BL39" s="43"/>
      <c r="BM39" s="43"/>
      <c r="BN39" s="28"/>
      <c r="BO39" s="43"/>
      <c r="BP39" s="43"/>
      <c r="BQ39" s="43"/>
      <c r="BR39" s="43"/>
    </row>
    <row r="40">
      <c r="A40" s="42">
        <v>37.0</v>
      </c>
      <c r="B40" s="43" t="s">
        <v>317</v>
      </c>
      <c r="C40" s="55" t="s">
        <v>318</v>
      </c>
      <c r="D40" s="44">
        <f t="shared" si="2"/>
        <v>2</v>
      </c>
      <c r="E40" s="44">
        <f t="shared" si="3"/>
        <v>31</v>
      </c>
      <c r="F40" s="44">
        <f t="shared" si="4"/>
        <v>33</v>
      </c>
      <c r="G40" s="45">
        <f t="shared" si="5"/>
        <v>0.06060606061</v>
      </c>
      <c r="H40" s="42" t="s">
        <v>383</v>
      </c>
      <c r="I40" s="42" t="s">
        <v>383</v>
      </c>
      <c r="J40" s="52"/>
      <c r="K40" s="42" t="s">
        <v>383</v>
      </c>
      <c r="L40" s="42" t="s">
        <v>383</v>
      </c>
      <c r="M40" s="42" t="s">
        <v>383</v>
      </c>
      <c r="N40" s="42" t="s">
        <v>383</v>
      </c>
      <c r="O40" s="42" t="s">
        <v>383</v>
      </c>
      <c r="P40" s="42" t="s">
        <v>383</v>
      </c>
      <c r="Q40" s="52"/>
      <c r="R40" s="42" t="s">
        <v>383</v>
      </c>
      <c r="S40" s="42" t="s">
        <v>383</v>
      </c>
      <c r="T40" s="42" t="s">
        <v>383</v>
      </c>
      <c r="U40" s="42" t="s">
        <v>217</v>
      </c>
      <c r="V40" s="42" t="s">
        <v>217</v>
      </c>
      <c r="W40" s="42" t="s">
        <v>217</v>
      </c>
      <c r="X40" s="52"/>
      <c r="Y40" s="42" t="s">
        <v>217</v>
      </c>
      <c r="Z40" s="42" t="s">
        <v>217</v>
      </c>
      <c r="AA40" s="42" t="s">
        <v>217</v>
      </c>
      <c r="AB40" s="42" t="s">
        <v>217</v>
      </c>
      <c r="AC40" s="42" t="s">
        <v>217</v>
      </c>
      <c r="AD40" s="42" t="s">
        <v>217</v>
      </c>
      <c r="AE40" s="28"/>
      <c r="AF40" s="42" t="s">
        <v>217</v>
      </c>
      <c r="AG40" s="42" t="s">
        <v>217</v>
      </c>
      <c r="AH40" s="42" t="s">
        <v>217</v>
      </c>
      <c r="AI40" s="42" t="s">
        <v>217</v>
      </c>
      <c r="AJ40" s="42" t="s">
        <v>217</v>
      </c>
      <c r="AK40" s="42" t="s">
        <v>217</v>
      </c>
      <c r="AL40" s="28"/>
      <c r="AM40" s="42" t="s">
        <v>217</v>
      </c>
      <c r="AN40" s="42" t="s">
        <v>217</v>
      </c>
      <c r="AO40" s="42" t="s">
        <v>217</v>
      </c>
      <c r="AP40" s="42" t="s">
        <v>217</v>
      </c>
      <c r="AQ40" s="42" t="s">
        <v>217</v>
      </c>
      <c r="AR40" s="42" t="s">
        <v>181</v>
      </c>
      <c r="AS40" s="28"/>
      <c r="AT40" s="42" t="s">
        <v>217</v>
      </c>
      <c r="AU40" s="42" t="s">
        <v>217</v>
      </c>
      <c r="AV40" s="42" t="s">
        <v>217</v>
      </c>
      <c r="AW40" s="42" t="s">
        <v>217</v>
      </c>
      <c r="AX40" s="42" t="s">
        <v>217</v>
      </c>
      <c r="AY40" s="42" t="s">
        <v>181</v>
      </c>
      <c r="AZ40" s="28"/>
      <c r="BA40" s="42" t="s">
        <v>217</v>
      </c>
      <c r="BB40" s="42" t="s">
        <v>217</v>
      </c>
      <c r="BC40" s="42" t="s">
        <v>217</v>
      </c>
      <c r="BD40" s="42" t="s">
        <v>217</v>
      </c>
      <c r="BE40" s="42" t="s">
        <v>217</v>
      </c>
      <c r="BF40" s="42" t="s">
        <v>217</v>
      </c>
      <c r="BG40" s="28"/>
      <c r="BH40" s="44"/>
      <c r="BI40" s="44"/>
      <c r="BJ40" s="44"/>
      <c r="BK40" s="44"/>
      <c r="BL40" s="44"/>
      <c r="BM40" s="44"/>
      <c r="BN40" s="28"/>
      <c r="BO40" s="44"/>
      <c r="BP40" s="44"/>
      <c r="BQ40" s="44"/>
      <c r="BR40" s="44"/>
    </row>
    <row r="41">
      <c r="A41" s="42">
        <v>38.0</v>
      </c>
      <c r="B41" s="43" t="s">
        <v>320</v>
      </c>
      <c r="C41" s="43" t="s">
        <v>321</v>
      </c>
      <c r="D41" s="44">
        <f t="shared" si="2"/>
        <v>5</v>
      </c>
      <c r="E41" s="44">
        <f t="shared" si="3"/>
        <v>39</v>
      </c>
      <c r="F41" s="44">
        <f t="shared" si="4"/>
        <v>44</v>
      </c>
      <c r="G41" s="45">
        <f t="shared" si="5"/>
        <v>0.1136363636</v>
      </c>
      <c r="H41" s="46" t="s">
        <v>217</v>
      </c>
      <c r="I41" s="46" t="s">
        <v>217</v>
      </c>
      <c r="J41" s="52"/>
      <c r="K41" s="46" t="s">
        <v>217</v>
      </c>
      <c r="L41" s="46" t="s">
        <v>217</v>
      </c>
      <c r="M41" s="46" t="s">
        <v>217</v>
      </c>
      <c r="N41" s="46" t="s">
        <v>217</v>
      </c>
      <c r="O41" s="46" t="s">
        <v>217</v>
      </c>
      <c r="P41" s="46" t="s">
        <v>217</v>
      </c>
      <c r="Q41" s="52"/>
      <c r="R41" s="46" t="s">
        <v>217</v>
      </c>
      <c r="S41" s="46" t="s">
        <v>217</v>
      </c>
      <c r="T41" s="46" t="s">
        <v>217</v>
      </c>
      <c r="U41" s="46" t="s">
        <v>217</v>
      </c>
      <c r="V41" s="46" t="s">
        <v>217</v>
      </c>
      <c r="W41" s="46" t="s">
        <v>181</v>
      </c>
      <c r="X41" s="52"/>
      <c r="Y41" s="46" t="s">
        <v>217</v>
      </c>
      <c r="Z41" s="46" t="s">
        <v>217</v>
      </c>
      <c r="AA41" s="46" t="s">
        <v>217</v>
      </c>
      <c r="AB41" s="46" t="s">
        <v>217</v>
      </c>
      <c r="AC41" s="46" t="s">
        <v>217</v>
      </c>
      <c r="AD41" s="46" t="s">
        <v>217</v>
      </c>
      <c r="AE41" s="28"/>
      <c r="AF41" s="46" t="s">
        <v>217</v>
      </c>
      <c r="AG41" s="46" t="s">
        <v>217</v>
      </c>
      <c r="AH41" s="46" t="s">
        <v>181</v>
      </c>
      <c r="AI41" s="46" t="s">
        <v>217</v>
      </c>
      <c r="AJ41" s="46" t="s">
        <v>217</v>
      </c>
      <c r="AK41" s="46" t="s">
        <v>181</v>
      </c>
      <c r="AL41" s="28"/>
      <c r="AM41" s="46" t="s">
        <v>181</v>
      </c>
      <c r="AN41" s="46" t="s">
        <v>181</v>
      </c>
      <c r="AO41" s="46" t="s">
        <v>217</v>
      </c>
      <c r="AP41" s="46" t="s">
        <v>217</v>
      </c>
      <c r="AQ41" s="46" t="s">
        <v>217</v>
      </c>
      <c r="AR41" s="46" t="s">
        <v>217</v>
      </c>
      <c r="AS41" s="28"/>
      <c r="AT41" s="46" t="s">
        <v>217</v>
      </c>
      <c r="AU41" s="46" t="s">
        <v>217</v>
      </c>
      <c r="AV41" s="46" t="s">
        <v>217</v>
      </c>
      <c r="AW41" s="46" t="s">
        <v>217</v>
      </c>
      <c r="AX41" s="46" t="s">
        <v>217</v>
      </c>
      <c r="AY41" s="46" t="s">
        <v>217</v>
      </c>
      <c r="AZ41" s="28"/>
      <c r="BA41" s="46" t="s">
        <v>217</v>
      </c>
      <c r="BB41" s="46" t="s">
        <v>217</v>
      </c>
      <c r="BC41" s="46" t="s">
        <v>217</v>
      </c>
      <c r="BD41" s="46" t="s">
        <v>217</v>
      </c>
      <c r="BE41" s="46" t="s">
        <v>217</v>
      </c>
      <c r="BF41" s="46" t="s">
        <v>217</v>
      </c>
      <c r="BG41" s="28"/>
      <c r="BH41" s="43"/>
      <c r="BI41" s="43"/>
      <c r="BJ41" s="43"/>
      <c r="BK41" s="43"/>
      <c r="BL41" s="43"/>
      <c r="BM41" s="43"/>
      <c r="BN41" s="28"/>
      <c r="BO41" s="43"/>
      <c r="BP41" s="43"/>
      <c r="BQ41" s="43"/>
      <c r="BR41" s="43"/>
    </row>
    <row r="42">
      <c r="A42" s="42">
        <v>39.0</v>
      </c>
      <c r="B42" s="43" t="s">
        <v>322</v>
      </c>
      <c r="C42" s="43" t="s">
        <v>324</v>
      </c>
      <c r="D42" s="44">
        <f t="shared" si="2"/>
        <v>29</v>
      </c>
      <c r="E42" s="44">
        <f t="shared" si="3"/>
        <v>15</v>
      </c>
      <c r="F42" s="44">
        <f t="shared" si="4"/>
        <v>44</v>
      </c>
      <c r="G42" s="45">
        <f t="shared" si="5"/>
        <v>0.6590909091</v>
      </c>
      <c r="H42" s="46" t="s">
        <v>181</v>
      </c>
      <c r="I42" s="46" t="s">
        <v>181</v>
      </c>
      <c r="J42" s="52"/>
      <c r="K42" s="46" t="s">
        <v>181</v>
      </c>
      <c r="L42" s="46" t="s">
        <v>181</v>
      </c>
      <c r="M42" s="46" t="s">
        <v>181</v>
      </c>
      <c r="N42" s="46" t="s">
        <v>181</v>
      </c>
      <c r="O42" s="46" t="s">
        <v>181</v>
      </c>
      <c r="P42" s="46" t="s">
        <v>217</v>
      </c>
      <c r="Q42" s="52"/>
      <c r="R42" s="46" t="s">
        <v>181</v>
      </c>
      <c r="S42" s="46" t="s">
        <v>181</v>
      </c>
      <c r="T42" s="46" t="s">
        <v>181</v>
      </c>
      <c r="U42" s="46" t="s">
        <v>181</v>
      </c>
      <c r="V42" s="46" t="s">
        <v>181</v>
      </c>
      <c r="W42" s="46" t="s">
        <v>181</v>
      </c>
      <c r="X42" s="52"/>
      <c r="Y42" s="46" t="s">
        <v>181</v>
      </c>
      <c r="Z42" s="46" t="s">
        <v>181</v>
      </c>
      <c r="AA42" s="46" t="s">
        <v>217</v>
      </c>
      <c r="AB42" s="46" t="s">
        <v>181</v>
      </c>
      <c r="AC42" s="46" t="s">
        <v>181</v>
      </c>
      <c r="AD42" s="46" t="s">
        <v>181</v>
      </c>
      <c r="AE42" s="28"/>
      <c r="AF42" s="46" t="s">
        <v>217</v>
      </c>
      <c r="AG42" s="46" t="s">
        <v>181</v>
      </c>
      <c r="AH42" s="46" t="s">
        <v>181</v>
      </c>
      <c r="AI42" s="46" t="s">
        <v>181</v>
      </c>
      <c r="AJ42" s="46" t="s">
        <v>181</v>
      </c>
      <c r="AK42" s="46" t="s">
        <v>181</v>
      </c>
      <c r="AL42" s="28"/>
      <c r="AM42" s="46" t="s">
        <v>181</v>
      </c>
      <c r="AN42" s="46" t="s">
        <v>181</v>
      </c>
      <c r="AO42" s="46" t="s">
        <v>181</v>
      </c>
      <c r="AP42" s="46" t="s">
        <v>217</v>
      </c>
      <c r="AQ42" s="46" t="s">
        <v>181</v>
      </c>
      <c r="AR42" s="46" t="s">
        <v>181</v>
      </c>
      <c r="AS42" s="28"/>
      <c r="AT42" s="46" t="s">
        <v>217</v>
      </c>
      <c r="AU42" s="46" t="s">
        <v>181</v>
      </c>
      <c r="AV42" s="46" t="s">
        <v>217</v>
      </c>
      <c r="AW42" s="46" t="s">
        <v>217</v>
      </c>
      <c r="AX42" s="46" t="s">
        <v>217</v>
      </c>
      <c r="AY42" s="46" t="s">
        <v>217</v>
      </c>
      <c r="AZ42" s="28"/>
      <c r="BA42" s="46" t="s">
        <v>217</v>
      </c>
      <c r="BB42" s="46" t="s">
        <v>217</v>
      </c>
      <c r="BC42" s="46" t="s">
        <v>217</v>
      </c>
      <c r="BD42" s="46" t="s">
        <v>217</v>
      </c>
      <c r="BE42" s="46" t="s">
        <v>217</v>
      </c>
      <c r="BF42" s="46" t="s">
        <v>217</v>
      </c>
      <c r="BG42" s="28"/>
      <c r="BH42" s="43"/>
      <c r="BI42" s="43"/>
      <c r="BJ42" s="43"/>
      <c r="BK42" s="43"/>
      <c r="BL42" s="43"/>
      <c r="BM42" s="43"/>
      <c r="BN42" s="28"/>
      <c r="BO42" s="43"/>
      <c r="BP42" s="43"/>
      <c r="BQ42" s="43"/>
      <c r="BR42" s="43"/>
    </row>
    <row r="43">
      <c r="A43" s="42">
        <v>40.0</v>
      </c>
      <c r="B43" s="43" t="s">
        <v>326</v>
      </c>
      <c r="C43" s="43" t="s">
        <v>327</v>
      </c>
      <c r="D43" s="44">
        <f t="shared" si="2"/>
        <v>10</v>
      </c>
      <c r="E43" s="44">
        <f t="shared" si="3"/>
        <v>25</v>
      </c>
      <c r="F43" s="44">
        <f t="shared" si="4"/>
        <v>35</v>
      </c>
      <c r="G43" s="45">
        <f t="shared" si="5"/>
        <v>0.2857142857</v>
      </c>
      <c r="H43" s="42" t="s">
        <v>383</v>
      </c>
      <c r="I43" s="42" t="s">
        <v>383</v>
      </c>
      <c r="J43" s="52"/>
      <c r="K43" s="42" t="s">
        <v>383</v>
      </c>
      <c r="L43" s="42" t="s">
        <v>383</v>
      </c>
      <c r="M43" s="42" t="s">
        <v>383</v>
      </c>
      <c r="N43" s="42" t="s">
        <v>383</v>
      </c>
      <c r="O43" s="42" t="s">
        <v>383</v>
      </c>
      <c r="P43" s="42" t="s">
        <v>383</v>
      </c>
      <c r="Q43" s="52"/>
      <c r="R43" s="42" t="s">
        <v>383</v>
      </c>
      <c r="S43" s="42" t="s">
        <v>217</v>
      </c>
      <c r="T43" s="42" t="s">
        <v>217</v>
      </c>
      <c r="U43" s="42" t="s">
        <v>217</v>
      </c>
      <c r="V43" s="42" t="s">
        <v>217</v>
      </c>
      <c r="W43" s="42" t="s">
        <v>217</v>
      </c>
      <c r="X43" s="52"/>
      <c r="Y43" s="42" t="s">
        <v>181</v>
      </c>
      <c r="Z43" s="42" t="s">
        <v>217</v>
      </c>
      <c r="AA43" s="42" t="s">
        <v>217</v>
      </c>
      <c r="AB43" s="42" t="s">
        <v>217</v>
      </c>
      <c r="AC43" s="42" t="s">
        <v>217</v>
      </c>
      <c r="AD43" s="42" t="s">
        <v>217</v>
      </c>
      <c r="AE43" s="28"/>
      <c r="AF43" s="42" t="s">
        <v>217</v>
      </c>
      <c r="AG43" s="42" t="s">
        <v>217</v>
      </c>
      <c r="AH43" s="42" t="s">
        <v>217</v>
      </c>
      <c r="AI43" s="42" t="s">
        <v>217</v>
      </c>
      <c r="AJ43" s="42" t="s">
        <v>217</v>
      </c>
      <c r="AK43" s="42" t="s">
        <v>181</v>
      </c>
      <c r="AL43" s="28"/>
      <c r="AM43" s="42" t="s">
        <v>181</v>
      </c>
      <c r="AN43" s="42" t="s">
        <v>181</v>
      </c>
      <c r="AO43" s="42" t="s">
        <v>181</v>
      </c>
      <c r="AP43" s="42" t="s">
        <v>181</v>
      </c>
      <c r="AQ43" s="42" t="s">
        <v>217</v>
      </c>
      <c r="AR43" s="42" t="s">
        <v>181</v>
      </c>
      <c r="AS43" s="28"/>
      <c r="AT43" s="42" t="s">
        <v>181</v>
      </c>
      <c r="AU43" s="42" t="s">
        <v>181</v>
      </c>
      <c r="AV43" s="42" t="s">
        <v>217</v>
      </c>
      <c r="AW43" s="42" t="s">
        <v>217</v>
      </c>
      <c r="AX43" s="42" t="s">
        <v>217</v>
      </c>
      <c r="AY43" s="42" t="s">
        <v>181</v>
      </c>
      <c r="AZ43" s="28"/>
      <c r="BA43" s="42" t="s">
        <v>217</v>
      </c>
      <c r="BB43" s="42" t="s">
        <v>217</v>
      </c>
      <c r="BC43" s="42" t="s">
        <v>217</v>
      </c>
      <c r="BD43" s="42" t="s">
        <v>217</v>
      </c>
      <c r="BE43" s="42" t="s">
        <v>217</v>
      </c>
      <c r="BF43" s="42" t="s">
        <v>217</v>
      </c>
      <c r="BG43" s="28"/>
      <c r="BH43" s="44"/>
      <c r="BI43" s="44"/>
      <c r="BJ43" s="44"/>
      <c r="BK43" s="44"/>
      <c r="BL43" s="44"/>
      <c r="BM43" s="44"/>
      <c r="BN43" s="28"/>
      <c r="BO43" s="44"/>
      <c r="BP43" s="44"/>
      <c r="BQ43" s="44"/>
      <c r="BR43" s="44"/>
    </row>
    <row r="44">
      <c r="A44" s="42">
        <v>41.0</v>
      </c>
      <c r="B44" s="53" t="s">
        <v>329</v>
      </c>
      <c r="C44" s="53" t="s">
        <v>331</v>
      </c>
      <c r="D44" s="44">
        <f t="shared" si="2"/>
        <v>38</v>
      </c>
      <c r="E44" s="44">
        <f t="shared" si="3"/>
        <v>6</v>
      </c>
      <c r="F44" s="44">
        <f t="shared" si="4"/>
        <v>44</v>
      </c>
      <c r="G44" s="45">
        <f t="shared" si="5"/>
        <v>0.8636363636</v>
      </c>
      <c r="H44" s="46" t="s">
        <v>181</v>
      </c>
      <c r="I44" s="46" t="s">
        <v>181</v>
      </c>
      <c r="J44" s="52"/>
      <c r="K44" s="46" t="s">
        <v>181</v>
      </c>
      <c r="L44" s="46" t="s">
        <v>181</v>
      </c>
      <c r="M44" s="46" t="s">
        <v>181</v>
      </c>
      <c r="N44" s="46" t="s">
        <v>181</v>
      </c>
      <c r="O44" s="46" t="s">
        <v>181</v>
      </c>
      <c r="P44" s="46" t="s">
        <v>181</v>
      </c>
      <c r="Q44" s="52"/>
      <c r="R44" s="46" t="s">
        <v>181</v>
      </c>
      <c r="S44" s="46" t="s">
        <v>181</v>
      </c>
      <c r="T44" s="46" t="s">
        <v>181</v>
      </c>
      <c r="U44" s="46" t="s">
        <v>181</v>
      </c>
      <c r="V44" s="46" t="s">
        <v>181</v>
      </c>
      <c r="W44" s="46" t="s">
        <v>181</v>
      </c>
      <c r="X44" s="52"/>
      <c r="Y44" s="46" t="s">
        <v>181</v>
      </c>
      <c r="Z44" s="46" t="s">
        <v>181</v>
      </c>
      <c r="AA44" s="46" t="s">
        <v>181</v>
      </c>
      <c r="AB44" s="46" t="s">
        <v>181</v>
      </c>
      <c r="AC44" s="46" t="s">
        <v>181</v>
      </c>
      <c r="AD44" s="46" t="s">
        <v>181</v>
      </c>
      <c r="AE44" s="28"/>
      <c r="AF44" s="46" t="s">
        <v>181</v>
      </c>
      <c r="AG44" s="46" t="s">
        <v>181</v>
      </c>
      <c r="AH44" s="46" t="s">
        <v>181</v>
      </c>
      <c r="AI44" s="46" t="s">
        <v>181</v>
      </c>
      <c r="AJ44" s="46" t="s">
        <v>181</v>
      </c>
      <c r="AK44" s="46" t="s">
        <v>181</v>
      </c>
      <c r="AL44" s="28"/>
      <c r="AM44" s="46" t="s">
        <v>181</v>
      </c>
      <c r="AN44" s="46" t="s">
        <v>181</v>
      </c>
      <c r="AO44" s="46" t="s">
        <v>181</v>
      </c>
      <c r="AP44" s="46" t="s">
        <v>181</v>
      </c>
      <c r="AQ44" s="46" t="s">
        <v>181</v>
      </c>
      <c r="AR44" s="46" t="s">
        <v>181</v>
      </c>
      <c r="AS44" s="28"/>
      <c r="AT44" s="46" t="s">
        <v>181</v>
      </c>
      <c r="AU44" s="46" t="s">
        <v>181</v>
      </c>
      <c r="AV44" s="46" t="s">
        <v>217</v>
      </c>
      <c r="AW44" s="46" t="s">
        <v>181</v>
      </c>
      <c r="AX44" s="46" t="s">
        <v>217</v>
      </c>
      <c r="AY44" s="46" t="s">
        <v>181</v>
      </c>
      <c r="AZ44" s="28"/>
      <c r="BA44" s="46" t="s">
        <v>217</v>
      </c>
      <c r="BB44" s="46" t="s">
        <v>217</v>
      </c>
      <c r="BC44" s="46" t="s">
        <v>217</v>
      </c>
      <c r="BD44" s="46" t="s">
        <v>217</v>
      </c>
      <c r="BE44" s="46" t="s">
        <v>181</v>
      </c>
      <c r="BF44" s="46" t="s">
        <v>181</v>
      </c>
      <c r="BG44" s="28"/>
      <c r="BH44" s="43"/>
      <c r="BI44" s="43"/>
      <c r="BJ44" s="43"/>
      <c r="BK44" s="43"/>
      <c r="BL44" s="43"/>
      <c r="BM44" s="43"/>
      <c r="BN44" s="28"/>
      <c r="BO44" s="43"/>
      <c r="BP44" s="43"/>
      <c r="BQ44" s="43"/>
      <c r="BR44" s="43"/>
    </row>
    <row r="45">
      <c r="A45" s="42">
        <v>42.0</v>
      </c>
      <c r="B45" s="43" t="s">
        <v>334</v>
      </c>
      <c r="C45" s="43" t="s">
        <v>335</v>
      </c>
      <c r="D45" s="44">
        <f t="shared" si="2"/>
        <v>27</v>
      </c>
      <c r="E45" s="44">
        <f t="shared" si="3"/>
        <v>17</v>
      </c>
      <c r="F45" s="44">
        <f t="shared" si="4"/>
        <v>44</v>
      </c>
      <c r="G45" s="45">
        <f t="shared" si="5"/>
        <v>0.6136363636</v>
      </c>
      <c r="H45" s="46" t="s">
        <v>181</v>
      </c>
      <c r="I45" s="46" t="s">
        <v>181</v>
      </c>
      <c r="J45" s="52"/>
      <c r="K45" s="46" t="s">
        <v>181</v>
      </c>
      <c r="L45" s="46" t="s">
        <v>181</v>
      </c>
      <c r="M45" s="46" t="s">
        <v>181</v>
      </c>
      <c r="N45" s="42" t="s">
        <v>181</v>
      </c>
      <c r="O45" s="42" t="s">
        <v>181</v>
      </c>
      <c r="P45" s="42" t="s">
        <v>181</v>
      </c>
      <c r="Q45" s="52"/>
      <c r="R45" s="42" t="s">
        <v>217</v>
      </c>
      <c r="S45" s="42" t="s">
        <v>181</v>
      </c>
      <c r="T45" s="42" t="s">
        <v>181</v>
      </c>
      <c r="U45" s="42" t="s">
        <v>181</v>
      </c>
      <c r="V45" s="42" t="s">
        <v>217</v>
      </c>
      <c r="W45" s="42" t="s">
        <v>181</v>
      </c>
      <c r="X45" s="52"/>
      <c r="Y45" s="42" t="s">
        <v>217</v>
      </c>
      <c r="Z45" s="42" t="s">
        <v>181</v>
      </c>
      <c r="AA45" s="42" t="s">
        <v>181</v>
      </c>
      <c r="AB45" s="42" t="s">
        <v>217</v>
      </c>
      <c r="AC45" s="42" t="s">
        <v>217</v>
      </c>
      <c r="AD45" s="42" t="s">
        <v>217</v>
      </c>
      <c r="AE45" s="28"/>
      <c r="AF45" s="42" t="s">
        <v>181</v>
      </c>
      <c r="AG45" s="42" t="s">
        <v>181</v>
      </c>
      <c r="AH45" s="42" t="s">
        <v>181</v>
      </c>
      <c r="AI45" s="42" t="s">
        <v>181</v>
      </c>
      <c r="AJ45" s="42" t="s">
        <v>217</v>
      </c>
      <c r="AK45" s="42" t="s">
        <v>181</v>
      </c>
      <c r="AL45" s="28"/>
      <c r="AM45" s="42" t="s">
        <v>181</v>
      </c>
      <c r="AN45" s="42" t="s">
        <v>181</v>
      </c>
      <c r="AO45" s="42" t="s">
        <v>181</v>
      </c>
      <c r="AP45" s="42" t="s">
        <v>181</v>
      </c>
      <c r="AQ45" s="42" t="s">
        <v>217</v>
      </c>
      <c r="AR45" s="42" t="s">
        <v>217</v>
      </c>
      <c r="AS45" s="28"/>
      <c r="AT45" s="42" t="s">
        <v>181</v>
      </c>
      <c r="AU45" s="42" t="s">
        <v>217</v>
      </c>
      <c r="AV45" s="42" t="s">
        <v>217</v>
      </c>
      <c r="AW45" s="42" t="s">
        <v>181</v>
      </c>
      <c r="AX45" s="42" t="s">
        <v>181</v>
      </c>
      <c r="AY45" s="42" t="s">
        <v>181</v>
      </c>
      <c r="AZ45" s="28"/>
      <c r="BA45" s="42" t="s">
        <v>217</v>
      </c>
      <c r="BB45" s="42" t="s">
        <v>217</v>
      </c>
      <c r="BC45" s="42" t="s">
        <v>217</v>
      </c>
      <c r="BD45" s="42" t="s">
        <v>217</v>
      </c>
      <c r="BE45" s="42" t="s">
        <v>217</v>
      </c>
      <c r="BF45" s="42" t="s">
        <v>217</v>
      </c>
      <c r="BG45" s="28"/>
      <c r="BH45" s="44"/>
      <c r="BI45" s="44"/>
      <c r="BJ45" s="44"/>
      <c r="BK45" s="44"/>
      <c r="BL45" s="44"/>
      <c r="BM45" s="44"/>
      <c r="BN45" s="28"/>
      <c r="BO45" s="44"/>
      <c r="BP45" s="44"/>
      <c r="BQ45" s="44"/>
      <c r="BR45" s="44"/>
    </row>
    <row r="46">
      <c r="A46" s="42">
        <v>43.0</v>
      </c>
      <c r="B46" s="43" t="s">
        <v>339</v>
      </c>
      <c r="C46" s="43" t="s">
        <v>340</v>
      </c>
      <c r="D46" s="44">
        <f t="shared" si="2"/>
        <v>35</v>
      </c>
      <c r="E46" s="44">
        <f t="shared" si="3"/>
        <v>9</v>
      </c>
      <c r="F46" s="44">
        <f t="shared" si="4"/>
        <v>44</v>
      </c>
      <c r="G46" s="45">
        <f t="shared" si="5"/>
        <v>0.7954545455</v>
      </c>
      <c r="H46" s="46" t="s">
        <v>181</v>
      </c>
      <c r="I46" s="46" t="s">
        <v>181</v>
      </c>
      <c r="J46" s="52"/>
      <c r="K46" s="46" t="s">
        <v>181</v>
      </c>
      <c r="L46" s="46" t="s">
        <v>217</v>
      </c>
      <c r="M46" s="46" t="s">
        <v>181</v>
      </c>
      <c r="N46" s="46" t="s">
        <v>181</v>
      </c>
      <c r="O46" s="46" t="s">
        <v>181</v>
      </c>
      <c r="P46" s="46" t="s">
        <v>181</v>
      </c>
      <c r="Q46" s="52"/>
      <c r="R46" s="46" t="s">
        <v>217</v>
      </c>
      <c r="S46" s="46" t="s">
        <v>181</v>
      </c>
      <c r="T46" s="46" t="s">
        <v>181</v>
      </c>
      <c r="U46" s="46" t="s">
        <v>181</v>
      </c>
      <c r="V46" s="46" t="s">
        <v>181</v>
      </c>
      <c r="W46" s="46" t="s">
        <v>181</v>
      </c>
      <c r="X46" s="52"/>
      <c r="Y46" s="46" t="s">
        <v>181</v>
      </c>
      <c r="Z46" s="46" t="s">
        <v>181</v>
      </c>
      <c r="AA46" s="46" t="s">
        <v>217</v>
      </c>
      <c r="AB46" s="46" t="s">
        <v>181</v>
      </c>
      <c r="AC46" s="46" t="s">
        <v>181</v>
      </c>
      <c r="AD46" s="46" t="s">
        <v>181</v>
      </c>
      <c r="AE46" s="28"/>
      <c r="AF46" s="46" t="s">
        <v>181</v>
      </c>
      <c r="AG46" s="46" t="s">
        <v>181</v>
      </c>
      <c r="AH46" s="46" t="s">
        <v>181</v>
      </c>
      <c r="AI46" s="46" t="s">
        <v>217</v>
      </c>
      <c r="AJ46" s="46" t="s">
        <v>217</v>
      </c>
      <c r="AK46" s="46" t="s">
        <v>181</v>
      </c>
      <c r="AL46" s="28"/>
      <c r="AM46" s="46" t="s">
        <v>181</v>
      </c>
      <c r="AN46" s="46" t="s">
        <v>181</v>
      </c>
      <c r="AO46" s="46" t="s">
        <v>181</v>
      </c>
      <c r="AP46" s="46" t="s">
        <v>181</v>
      </c>
      <c r="AQ46" s="46" t="s">
        <v>181</v>
      </c>
      <c r="AR46" s="46" t="s">
        <v>181</v>
      </c>
      <c r="AS46" s="28"/>
      <c r="AT46" s="46" t="s">
        <v>181</v>
      </c>
      <c r="AU46" s="46" t="s">
        <v>181</v>
      </c>
      <c r="AV46" s="46" t="s">
        <v>217</v>
      </c>
      <c r="AW46" s="46" t="s">
        <v>181</v>
      </c>
      <c r="AX46" s="46" t="s">
        <v>217</v>
      </c>
      <c r="AY46" s="46" t="s">
        <v>181</v>
      </c>
      <c r="AZ46" s="28"/>
      <c r="BA46" s="46" t="s">
        <v>181</v>
      </c>
      <c r="BB46" s="46" t="s">
        <v>181</v>
      </c>
      <c r="BC46" s="46" t="s">
        <v>181</v>
      </c>
      <c r="BD46" s="46" t="s">
        <v>181</v>
      </c>
      <c r="BE46" s="46" t="s">
        <v>217</v>
      </c>
      <c r="BF46" s="46" t="s">
        <v>217</v>
      </c>
      <c r="BG46" s="28"/>
      <c r="BH46" s="43"/>
      <c r="BI46" s="43"/>
      <c r="BJ46" s="43"/>
      <c r="BK46" s="43"/>
      <c r="BL46" s="43"/>
      <c r="BM46" s="43"/>
      <c r="BN46" s="28"/>
      <c r="BO46" s="43"/>
      <c r="BP46" s="43"/>
      <c r="BQ46" s="43"/>
      <c r="BR46" s="43"/>
    </row>
    <row r="47">
      <c r="A47" s="42">
        <v>44.0</v>
      </c>
      <c r="B47" s="43" t="s">
        <v>344</v>
      </c>
      <c r="C47" s="43" t="s">
        <v>346</v>
      </c>
      <c r="D47" s="44">
        <f t="shared" si="2"/>
        <v>0</v>
      </c>
      <c r="E47" s="44">
        <f t="shared" si="3"/>
        <v>44</v>
      </c>
      <c r="F47" s="44">
        <f t="shared" si="4"/>
        <v>44</v>
      </c>
      <c r="G47" s="45">
        <f t="shared" si="5"/>
        <v>0</v>
      </c>
      <c r="H47" s="46" t="s">
        <v>217</v>
      </c>
      <c r="I47" s="46" t="s">
        <v>217</v>
      </c>
      <c r="J47" s="52"/>
      <c r="K47" s="46" t="s">
        <v>217</v>
      </c>
      <c r="L47" s="46" t="s">
        <v>217</v>
      </c>
      <c r="M47" s="46" t="s">
        <v>217</v>
      </c>
      <c r="N47" s="46" t="s">
        <v>217</v>
      </c>
      <c r="O47" s="46" t="s">
        <v>217</v>
      </c>
      <c r="P47" s="46" t="s">
        <v>217</v>
      </c>
      <c r="Q47" s="52"/>
      <c r="R47" s="46" t="s">
        <v>217</v>
      </c>
      <c r="S47" s="46" t="s">
        <v>217</v>
      </c>
      <c r="T47" s="46" t="s">
        <v>217</v>
      </c>
      <c r="U47" s="46" t="s">
        <v>217</v>
      </c>
      <c r="V47" s="46" t="s">
        <v>217</v>
      </c>
      <c r="W47" s="46" t="s">
        <v>217</v>
      </c>
      <c r="X47" s="52"/>
      <c r="Y47" s="46" t="s">
        <v>217</v>
      </c>
      <c r="Z47" s="46" t="s">
        <v>217</v>
      </c>
      <c r="AA47" s="46" t="s">
        <v>217</v>
      </c>
      <c r="AB47" s="46" t="s">
        <v>217</v>
      </c>
      <c r="AC47" s="46" t="s">
        <v>217</v>
      </c>
      <c r="AD47" s="46" t="s">
        <v>217</v>
      </c>
      <c r="AE47" s="28"/>
      <c r="AF47" s="46" t="s">
        <v>217</v>
      </c>
      <c r="AG47" s="46" t="s">
        <v>217</v>
      </c>
      <c r="AH47" s="46" t="s">
        <v>217</v>
      </c>
      <c r="AI47" s="46" t="s">
        <v>217</v>
      </c>
      <c r="AJ47" s="46" t="s">
        <v>217</v>
      </c>
      <c r="AK47" s="46" t="s">
        <v>217</v>
      </c>
      <c r="AL47" s="28"/>
      <c r="AM47" s="46" t="s">
        <v>217</v>
      </c>
      <c r="AN47" s="46" t="s">
        <v>217</v>
      </c>
      <c r="AO47" s="46" t="s">
        <v>217</v>
      </c>
      <c r="AP47" s="46" t="s">
        <v>217</v>
      </c>
      <c r="AQ47" s="46" t="s">
        <v>217</v>
      </c>
      <c r="AR47" s="46" t="s">
        <v>217</v>
      </c>
      <c r="AS47" s="28"/>
      <c r="AT47" s="46" t="s">
        <v>217</v>
      </c>
      <c r="AU47" s="46" t="s">
        <v>217</v>
      </c>
      <c r="AV47" s="46" t="s">
        <v>217</v>
      </c>
      <c r="AW47" s="46" t="s">
        <v>217</v>
      </c>
      <c r="AX47" s="46" t="s">
        <v>217</v>
      </c>
      <c r="AY47" s="46" t="s">
        <v>217</v>
      </c>
      <c r="AZ47" s="28"/>
      <c r="BA47" s="46" t="s">
        <v>217</v>
      </c>
      <c r="BB47" s="46" t="s">
        <v>217</v>
      </c>
      <c r="BC47" s="46" t="s">
        <v>217</v>
      </c>
      <c r="BD47" s="46" t="s">
        <v>217</v>
      </c>
      <c r="BE47" s="46" t="s">
        <v>217</v>
      </c>
      <c r="BF47" s="46" t="s">
        <v>217</v>
      </c>
      <c r="BG47" s="28"/>
      <c r="BH47" s="43"/>
      <c r="BI47" s="43"/>
      <c r="BJ47" s="43"/>
      <c r="BK47" s="43"/>
      <c r="BL47" s="43"/>
      <c r="BM47" s="43"/>
      <c r="BN47" s="28"/>
      <c r="BO47" s="43"/>
      <c r="BP47" s="43"/>
      <c r="BQ47" s="43"/>
      <c r="BR47" s="43"/>
    </row>
    <row r="48">
      <c r="A48" s="42">
        <v>45.0</v>
      </c>
      <c r="B48" s="43" t="s">
        <v>349</v>
      </c>
      <c r="C48" s="43" t="s">
        <v>350</v>
      </c>
      <c r="D48" s="44">
        <f t="shared" si="2"/>
        <v>36</v>
      </c>
      <c r="E48" s="44">
        <f t="shared" si="3"/>
        <v>8</v>
      </c>
      <c r="F48" s="44">
        <f t="shared" si="4"/>
        <v>44</v>
      </c>
      <c r="G48" s="45">
        <f t="shared" si="5"/>
        <v>0.8181818182</v>
      </c>
      <c r="H48" s="46" t="s">
        <v>181</v>
      </c>
      <c r="I48" s="46" t="s">
        <v>181</v>
      </c>
      <c r="J48" s="52"/>
      <c r="K48" s="46" t="s">
        <v>181</v>
      </c>
      <c r="L48" s="46" t="s">
        <v>181</v>
      </c>
      <c r="M48" s="46" t="s">
        <v>181</v>
      </c>
      <c r="N48" s="46" t="s">
        <v>181</v>
      </c>
      <c r="O48" s="46" t="s">
        <v>181</v>
      </c>
      <c r="P48" s="46" t="s">
        <v>181</v>
      </c>
      <c r="Q48" s="52"/>
      <c r="R48" s="46" t="s">
        <v>181</v>
      </c>
      <c r="S48" s="46" t="s">
        <v>181</v>
      </c>
      <c r="T48" s="46" t="s">
        <v>181</v>
      </c>
      <c r="U48" s="46" t="s">
        <v>181</v>
      </c>
      <c r="V48" s="46" t="s">
        <v>181</v>
      </c>
      <c r="W48" s="46" t="s">
        <v>181</v>
      </c>
      <c r="X48" s="52"/>
      <c r="Y48" s="46" t="s">
        <v>181</v>
      </c>
      <c r="Z48" s="46" t="s">
        <v>181</v>
      </c>
      <c r="AA48" s="46" t="s">
        <v>181</v>
      </c>
      <c r="AB48" s="46" t="s">
        <v>217</v>
      </c>
      <c r="AC48" s="46" t="s">
        <v>181</v>
      </c>
      <c r="AD48" s="46" t="s">
        <v>181</v>
      </c>
      <c r="AE48" s="28"/>
      <c r="AF48" s="46" t="s">
        <v>181</v>
      </c>
      <c r="AG48" s="46" t="s">
        <v>181</v>
      </c>
      <c r="AH48" s="46" t="s">
        <v>181</v>
      </c>
      <c r="AI48" s="46" t="s">
        <v>181</v>
      </c>
      <c r="AJ48" s="46" t="s">
        <v>181</v>
      </c>
      <c r="AK48" s="46" t="s">
        <v>181</v>
      </c>
      <c r="AL48" s="28"/>
      <c r="AM48" s="46" t="s">
        <v>181</v>
      </c>
      <c r="AN48" s="46" t="s">
        <v>181</v>
      </c>
      <c r="AO48" s="46" t="s">
        <v>181</v>
      </c>
      <c r="AP48" s="46" t="s">
        <v>217</v>
      </c>
      <c r="AQ48" s="46" t="s">
        <v>217</v>
      </c>
      <c r="AR48" s="46" t="s">
        <v>181</v>
      </c>
      <c r="AS48" s="28"/>
      <c r="AT48" s="46" t="s">
        <v>217</v>
      </c>
      <c r="AU48" s="46" t="s">
        <v>181</v>
      </c>
      <c r="AV48" s="46" t="s">
        <v>181</v>
      </c>
      <c r="AW48" s="46" t="s">
        <v>181</v>
      </c>
      <c r="AX48" s="46" t="s">
        <v>181</v>
      </c>
      <c r="AY48" s="46" t="s">
        <v>181</v>
      </c>
      <c r="AZ48" s="28"/>
      <c r="BA48" s="46" t="s">
        <v>217</v>
      </c>
      <c r="BB48" s="46" t="s">
        <v>217</v>
      </c>
      <c r="BC48" s="46" t="s">
        <v>217</v>
      </c>
      <c r="BD48" s="46" t="s">
        <v>217</v>
      </c>
      <c r="BE48" s="46" t="s">
        <v>181</v>
      </c>
      <c r="BF48" s="46" t="s">
        <v>181</v>
      </c>
      <c r="BG48" s="28"/>
      <c r="BH48" s="43"/>
      <c r="BI48" s="43"/>
      <c r="BJ48" s="43"/>
      <c r="BK48" s="43"/>
      <c r="BL48" s="43"/>
      <c r="BM48" s="43"/>
      <c r="BN48" s="28"/>
      <c r="BO48" s="43"/>
      <c r="BP48" s="43"/>
      <c r="BQ48" s="43"/>
      <c r="BR48" s="43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52"/>
      <c r="K49" s="44"/>
      <c r="L49" s="44"/>
      <c r="M49" s="44"/>
      <c r="N49" s="44"/>
      <c r="O49" s="44"/>
      <c r="P49" s="44"/>
      <c r="Q49" s="52"/>
      <c r="R49" s="44"/>
      <c r="S49" s="44"/>
      <c r="T49" s="44"/>
      <c r="U49" s="44"/>
      <c r="V49" s="44"/>
      <c r="W49" s="44"/>
      <c r="X49" s="52"/>
      <c r="Y49" s="44"/>
      <c r="Z49" s="44"/>
      <c r="AA49" s="44"/>
      <c r="AB49" s="44"/>
      <c r="AC49" s="44"/>
      <c r="AD49" s="44"/>
      <c r="AE49" s="28"/>
      <c r="AF49" s="44"/>
      <c r="AG49" s="44"/>
      <c r="AH49" s="44"/>
      <c r="AI49" s="44"/>
      <c r="AJ49" s="44"/>
      <c r="AK49" s="44"/>
      <c r="AL49" s="28"/>
      <c r="AM49" s="44"/>
      <c r="AN49" s="44"/>
      <c r="AO49" s="44"/>
      <c r="AP49" s="44"/>
      <c r="AQ49" s="44"/>
      <c r="AR49" s="44"/>
      <c r="AS49" s="28"/>
      <c r="AT49" s="44"/>
      <c r="AU49" s="44"/>
      <c r="AV49" s="44"/>
      <c r="AW49" s="44"/>
      <c r="AX49" s="44"/>
      <c r="AY49" s="44"/>
      <c r="AZ49" s="28"/>
      <c r="BA49" s="44"/>
      <c r="BB49" s="44"/>
      <c r="BC49" s="44"/>
      <c r="BD49" s="44"/>
      <c r="BE49" s="44"/>
      <c r="BF49" s="44"/>
      <c r="BG49" s="28"/>
      <c r="BH49" s="44"/>
      <c r="BI49" s="44"/>
      <c r="BJ49" s="44"/>
      <c r="BK49" s="44"/>
      <c r="BL49" s="44"/>
      <c r="BM49" s="44"/>
      <c r="BN49" s="28"/>
      <c r="BO49" s="44"/>
      <c r="BP49" s="44"/>
      <c r="BQ49" s="44"/>
      <c r="BR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63"/>
      <c r="K50" s="44"/>
      <c r="L50" s="44"/>
      <c r="M50" s="44"/>
      <c r="N50" s="44"/>
      <c r="O50" s="44"/>
      <c r="P50" s="44"/>
      <c r="Q50" s="63"/>
      <c r="R50" s="44"/>
      <c r="S50" s="44"/>
      <c r="T50" s="44"/>
      <c r="U50" s="44"/>
      <c r="V50" s="44"/>
      <c r="W50" s="44"/>
      <c r="X50" s="63"/>
      <c r="Y50" s="44"/>
      <c r="Z50" s="44"/>
      <c r="AA50" s="44"/>
      <c r="AB50" s="44"/>
      <c r="AC50" s="44"/>
      <c r="AD50" s="44"/>
      <c r="AE50" s="37"/>
      <c r="AF50" s="44"/>
      <c r="AG50" s="44"/>
      <c r="AH50" s="44"/>
      <c r="AI50" s="44"/>
      <c r="AJ50" s="44"/>
      <c r="AK50" s="44"/>
      <c r="AL50" s="37"/>
      <c r="AM50" s="44"/>
      <c r="AN50" s="44"/>
      <c r="AO50" s="44"/>
      <c r="AP50" s="44"/>
      <c r="AQ50" s="44"/>
      <c r="AR50" s="44"/>
      <c r="AS50" s="37"/>
      <c r="AT50" s="44"/>
      <c r="AU50" s="44"/>
      <c r="AV50" s="44"/>
      <c r="AW50" s="44"/>
      <c r="AX50" s="44"/>
      <c r="AY50" s="44"/>
      <c r="AZ50" s="37"/>
      <c r="BA50" s="44"/>
      <c r="BB50" s="44"/>
      <c r="BC50" s="44"/>
      <c r="BD50" s="44"/>
      <c r="BE50" s="44"/>
      <c r="BF50" s="44"/>
      <c r="BG50" s="37"/>
      <c r="BH50" s="44"/>
      <c r="BI50" s="44"/>
      <c r="BJ50" s="44"/>
      <c r="BK50" s="44"/>
      <c r="BL50" s="44"/>
      <c r="BM50" s="44"/>
      <c r="BN50" s="37"/>
      <c r="BO50" s="44"/>
      <c r="BP50" s="44"/>
      <c r="BQ50" s="44"/>
      <c r="BR50" s="4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</row>
    <row r="54">
      <c r="A54" s="64"/>
      <c r="B54" s="64"/>
      <c r="C54" s="64"/>
      <c r="D54" s="64" t="str">
        <f>IFERROR(__xludf.DUMMYFUNCTION("FILTER(B2:C48,G2:G48&lt;=50)"),"")</f>
        <v/>
      </c>
      <c r="E54" s="64"/>
      <c r="F54" s="64" t="str">
        <f>IFERROR(__xludf.DUMMYFUNCTION("FILTER(G2:G48,G2:G48&lt;=50)"),"")</f>
        <v/>
      </c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</row>
    <row r="56">
      <c r="A56" s="64"/>
      <c r="B56" s="64"/>
      <c r="C56" s="64"/>
      <c r="D56" s="64" t="str">
        <f>IFERROR(__xludf.DUMMYFUNCTION("""COMPUTED_VALUE"""),"Akansha Meena")</f>
        <v>Akansha Meena</v>
      </c>
      <c r="E56" s="64" t="str">
        <f>IFERROR(__xludf.DUMMYFUNCTION("""COMPUTED_VALUE"""),"23EACAD006")</f>
        <v>23EACAD006</v>
      </c>
      <c r="F56" s="65">
        <f>IFERROR(__xludf.DUMMYFUNCTION("""COMPUTED_VALUE"""),1.0)</f>
        <v>1</v>
      </c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</row>
    <row r="57">
      <c r="A57" s="64"/>
      <c r="B57" s="64"/>
      <c r="C57" s="64"/>
      <c r="D57" s="64" t="str">
        <f>IFERROR(__xludf.DUMMYFUNCTION("""COMPUTED_VALUE"""),"Ankit mehra")</f>
        <v>Ankit mehra</v>
      </c>
      <c r="E57" s="64" t="str">
        <f>IFERROR(__xludf.DUMMYFUNCTION("""COMPUTED_VALUE"""),"23EACCA013")</f>
        <v>23EACCA013</v>
      </c>
      <c r="F57" s="65">
        <f>IFERROR(__xludf.DUMMYFUNCTION("""COMPUTED_VALUE"""),0.7727272727272727)</f>
        <v>0.7727272727</v>
      </c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</row>
    <row r="58">
      <c r="A58" s="64"/>
      <c r="B58" s="64"/>
      <c r="C58" s="64"/>
      <c r="D58" s="64" t="str">
        <f>IFERROR(__xludf.DUMMYFUNCTION("""COMPUTED_VALUE"""),"Ankit Mewara")</f>
        <v>Ankit Mewara</v>
      </c>
      <c r="E58" s="64" t="str">
        <f>IFERROR(__xludf.DUMMYFUNCTION("""COMPUTED_VALUE"""),"23EACIT006")</f>
        <v>23EACIT006</v>
      </c>
      <c r="F58" s="65">
        <f>IFERROR(__xludf.DUMMYFUNCTION("""COMPUTED_VALUE"""),0.8409090909090909)</f>
        <v>0.8409090909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</row>
    <row r="59">
      <c r="A59" s="64"/>
      <c r="B59" s="64"/>
      <c r="C59" s="64"/>
      <c r="D59" s="64" t="str">
        <f>IFERROR(__xludf.DUMMYFUNCTION("""COMPUTED_VALUE"""),"Anmol Aditya")</f>
        <v>Anmol Aditya</v>
      </c>
      <c r="E59" s="64" t="str">
        <f>IFERROR(__xludf.DUMMYFUNCTION("""COMPUTED_VALUE"""),"23EACCS046")</f>
        <v>23EACCS046</v>
      </c>
      <c r="F59" s="65">
        <f>IFERROR(__xludf.DUMMYFUNCTION("""COMPUTED_VALUE"""),0.6136363636363636)</f>
        <v>0.6136363636</v>
      </c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</row>
    <row r="60">
      <c r="A60" s="64"/>
      <c r="B60" s="64"/>
      <c r="C60" s="64"/>
      <c r="D60" s="64" t="str">
        <f>IFERROR(__xludf.DUMMYFUNCTION("""COMPUTED_VALUE"""),"Anushka Singh")</f>
        <v>Anushka Singh</v>
      </c>
      <c r="E60" s="64" t="str">
        <f>IFERROR(__xludf.DUMMYFUNCTION("""COMPUTED_VALUE"""),"23EACCS052")</f>
        <v>23EACCS052</v>
      </c>
      <c r="F60" s="65">
        <f>IFERROR(__xludf.DUMMYFUNCTION("""COMPUTED_VALUE"""),1.0)</f>
        <v>1</v>
      </c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</row>
    <row r="61">
      <c r="A61" s="64"/>
      <c r="B61" s="64"/>
      <c r="C61" s="64"/>
      <c r="D61" s="64" t="str">
        <f>IFERROR(__xludf.DUMMYFUNCTION("""COMPUTED_VALUE"""),"Arpit Prajapat")</f>
        <v>Arpit Prajapat</v>
      </c>
      <c r="E61" s="64" t="str">
        <f>IFERROR(__xludf.DUMMYFUNCTION("""COMPUTED_VALUE"""),"23EAOCA016")</f>
        <v>23EAOCA016</v>
      </c>
      <c r="F61" s="65">
        <f>IFERROR(__xludf.DUMMYFUNCTION("""COMPUTED_VALUE"""),1.0)</f>
        <v>1</v>
      </c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</row>
    <row r="62">
      <c r="A62" s="64"/>
      <c r="B62" s="64"/>
      <c r="C62" s="64"/>
      <c r="D62" s="64" t="str">
        <f>IFERROR(__xludf.DUMMYFUNCTION("""COMPUTED_VALUE"""),"Arpita Goutam")</f>
        <v>Arpita Goutam</v>
      </c>
      <c r="E62" s="64" t="str">
        <f>IFERROR(__xludf.DUMMYFUNCTION("""COMPUTED_VALUE"""),"23EACCS055")</f>
        <v>23EACCS055</v>
      </c>
      <c r="F62" s="65">
        <f>IFERROR(__xludf.DUMMYFUNCTION("""COMPUTED_VALUE"""),0.8181818181818182)</f>
        <v>0.8181818182</v>
      </c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</row>
    <row r="63">
      <c r="A63" s="64"/>
      <c r="B63" s="64"/>
      <c r="C63" s="64"/>
      <c r="D63" s="64" t="str">
        <f>IFERROR(__xludf.DUMMYFUNCTION("""COMPUTED_VALUE"""),"Ashish Kudi")</f>
        <v>Ashish Kudi</v>
      </c>
      <c r="E63" s="64" t="str">
        <f>IFERROR(__xludf.DUMMYFUNCTION("""COMPUTED_VALUE"""),"23EAOCA019")</f>
        <v>23EAOCA019</v>
      </c>
      <c r="F63" s="65">
        <f>IFERROR(__xludf.DUMMYFUNCTION("""COMPUTED_VALUE"""),0.8409090909090909)</f>
        <v>0.8409090909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</row>
    <row r="64">
      <c r="A64" s="64"/>
      <c r="B64" s="64"/>
      <c r="C64" s="64"/>
      <c r="D64" s="64" t="str">
        <f>IFERROR(__xludf.DUMMYFUNCTION("""COMPUTED_VALUE"""),"Ayushi Raizada")</f>
        <v>Ayushi Raizada</v>
      </c>
      <c r="E64" s="66" t="str">
        <f>IFERROR(__xludf.DUMMYFUNCTION("""COMPUTED_VALUE"""),"23EAOCA020")</f>
        <v>23EAOCA020</v>
      </c>
      <c r="F64" s="65">
        <f>IFERROR(__xludf.DUMMYFUNCTION("""COMPUTED_VALUE"""),1.0)</f>
        <v>1</v>
      </c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</row>
    <row r="65">
      <c r="A65" s="64"/>
      <c r="B65" s="64"/>
      <c r="C65" s="64"/>
      <c r="D65" s="64" t="str">
        <f>IFERROR(__xludf.DUMMYFUNCTION("""COMPUTED_VALUE"""),"Bhavesh Kumar")</f>
        <v>Bhavesh Kumar</v>
      </c>
      <c r="E65" s="64" t="str">
        <f>IFERROR(__xludf.DUMMYFUNCTION("""COMPUTED_VALUE"""),"23EACCS071")</f>
        <v>23EACCS071</v>
      </c>
      <c r="F65" s="65">
        <f>IFERROR(__xludf.DUMMYFUNCTION("""COMPUTED_VALUE"""),0.0)</f>
        <v>0</v>
      </c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</row>
    <row r="66">
      <c r="A66" s="64"/>
      <c r="B66" s="64"/>
      <c r="C66" s="64"/>
      <c r="D66" s="64" t="str">
        <f>IFERROR(__xludf.DUMMYFUNCTION("""COMPUTED_VALUE"""),"Chakshu Sharma")</f>
        <v>Chakshu Sharma</v>
      </c>
      <c r="E66" s="64" t="str">
        <f>IFERROR(__xludf.DUMMYFUNCTION("""COMPUTED_VALUE"""),"23EACAD030")</f>
        <v>23EACAD030</v>
      </c>
      <c r="F66" s="65">
        <f>IFERROR(__xludf.DUMMYFUNCTION("""COMPUTED_VALUE"""),0.9772727272727273)</f>
        <v>0.9772727273</v>
      </c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</row>
    <row r="67">
      <c r="A67" s="64"/>
      <c r="B67" s="64"/>
      <c r="C67" s="64"/>
      <c r="D67" s="64" t="str">
        <f>IFERROR(__xludf.DUMMYFUNCTION("""COMPUTED_VALUE"""),"Deepak purohit")</f>
        <v>Deepak purohit</v>
      </c>
      <c r="E67" s="64" t="str">
        <f>IFERROR(__xludf.DUMMYFUNCTION("""COMPUTED_VALUE"""),"23EACCS083")</f>
        <v>23EACCS083</v>
      </c>
      <c r="F67" s="65">
        <f>IFERROR(__xludf.DUMMYFUNCTION("""COMPUTED_VALUE"""),0.5)</f>
        <v>0.5</v>
      </c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</row>
    <row r="68">
      <c r="A68" s="64"/>
      <c r="B68" s="64"/>
      <c r="C68" s="64"/>
      <c r="D68" s="64" t="str">
        <f>IFERROR(__xludf.DUMMYFUNCTION("""COMPUTED_VALUE"""),"Deepak Singh Chouhan")</f>
        <v>Deepak Singh Chouhan</v>
      </c>
      <c r="E68" s="64" t="str">
        <f>IFERROR(__xludf.DUMMYFUNCTION("""COMPUTED_VALUE"""),"23EACAD036")</f>
        <v>23EACAD036</v>
      </c>
      <c r="F68" s="65">
        <f>IFERROR(__xludf.DUMMYFUNCTION("""COMPUTED_VALUE"""),0.6666666666666666)</f>
        <v>0.6666666667</v>
      </c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</row>
    <row r="69">
      <c r="A69" s="64"/>
      <c r="B69" s="64"/>
      <c r="C69" s="64"/>
      <c r="D69" s="64" t="str">
        <f>IFERROR(__xludf.DUMMYFUNCTION("""COMPUTED_VALUE"""),"Deepali Menaria")</f>
        <v>Deepali Menaria</v>
      </c>
      <c r="E69" s="64" t="str">
        <f>IFERROR(__xludf.DUMMYFUNCTION("""COMPUTED_VALUE"""),"23EACCA017")</f>
        <v>23EACCA017</v>
      </c>
      <c r="F69" s="65">
        <f>IFERROR(__xludf.DUMMYFUNCTION("""COMPUTED_VALUE"""),0.4090909090909091)</f>
        <v>0.4090909091</v>
      </c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</row>
    <row r="70">
      <c r="A70" s="64"/>
      <c r="B70" s="64"/>
      <c r="C70" s="64"/>
      <c r="D70" s="64" t="str">
        <f>IFERROR(__xludf.DUMMYFUNCTION("""COMPUTED_VALUE"""),"Dev khanna")</f>
        <v>Dev khanna</v>
      </c>
      <c r="E70" s="64" t="str">
        <f>IFERROR(__xludf.DUMMYFUNCTION("""COMPUTED_VALUE"""),"23EACAD062")</f>
        <v>23EACAD062</v>
      </c>
      <c r="F70" s="65">
        <f>IFERROR(__xludf.DUMMYFUNCTION("""COMPUTED_VALUE"""),0.3181818181818182)</f>
        <v>0.3181818182</v>
      </c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</row>
    <row r="71">
      <c r="A71" s="64"/>
      <c r="B71" s="64"/>
      <c r="C71" s="64"/>
      <c r="D71" s="64" t="str">
        <f>IFERROR(__xludf.DUMMYFUNCTION("""COMPUTED_VALUE"""),"Dev Kumawat")</f>
        <v>Dev Kumawat</v>
      </c>
      <c r="E71" s="66" t="str">
        <f>IFERROR(__xludf.DUMMYFUNCTION("""COMPUTED_VALUE"""),"23EACIT009")</f>
        <v>23EACIT009</v>
      </c>
      <c r="F71" s="65">
        <f>IFERROR(__xludf.DUMMYFUNCTION("""COMPUTED_VALUE"""),0.8181818181818182)</f>
        <v>0.8181818182</v>
      </c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</row>
    <row r="72">
      <c r="A72" s="64"/>
      <c r="B72" s="64"/>
      <c r="C72" s="64"/>
      <c r="D72" s="64" t="str">
        <f>IFERROR(__xludf.DUMMYFUNCTION("""COMPUTED_VALUE"""),"Devraj Singh")</f>
        <v>Devraj Singh</v>
      </c>
      <c r="E72" s="64" t="str">
        <f>IFERROR(__xludf.DUMMYFUNCTION("""COMPUTED_VALUE"""),"23EACCS091")</f>
        <v>23EACCS091</v>
      </c>
      <c r="F72" s="65">
        <f>IFERROR(__xludf.DUMMYFUNCTION("""COMPUTED_VALUE"""),0.45454545454545453)</f>
        <v>0.4545454545</v>
      </c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</row>
    <row r="73">
      <c r="A73" s="64"/>
      <c r="B73" s="64"/>
      <c r="C73" s="64"/>
      <c r="D73" s="64" t="str">
        <f>IFERROR(__xludf.DUMMYFUNCTION("""COMPUTED_VALUE"""),"Dipesh verma")</f>
        <v>Dipesh verma</v>
      </c>
      <c r="E73" s="64" t="str">
        <f>IFERROR(__xludf.DUMMYFUNCTION("""COMPUTED_VALUE"""),"23EAOCA026")</f>
        <v>23EAOCA026</v>
      </c>
      <c r="F73" s="65">
        <f>IFERROR(__xludf.DUMMYFUNCTION("""COMPUTED_VALUE"""),0.8181818181818182)</f>
        <v>0.8181818182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</row>
    <row r="74">
      <c r="A74" s="64"/>
      <c r="B74" s="64"/>
      <c r="C74" s="64"/>
      <c r="D74" s="64" t="str">
        <f>IFERROR(__xludf.DUMMYFUNCTION("""COMPUTED_VALUE"""),"Divya")</f>
        <v>Divya</v>
      </c>
      <c r="E74" s="64" t="str">
        <f>IFERROR(__xludf.DUMMYFUNCTION("""COMPUTED_VALUE"""),"23EACCS100")</f>
        <v>23EACCS100</v>
      </c>
      <c r="F74" s="65">
        <f>IFERROR(__xludf.DUMMYFUNCTION("""COMPUTED_VALUE"""),0.6571428571428571)</f>
        <v>0.6571428571</v>
      </c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</row>
    <row r="75">
      <c r="A75" s="64"/>
      <c r="B75" s="64"/>
      <c r="C75" s="64"/>
      <c r="D75" s="64" t="str">
        <f>IFERROR(__xludf.DUMMYFUNCTION("""COMPUTED_VALUE"""),"Divyanshu Sharma")</f>
        <v>Divyanshu Sharma</v>
      </c>
      <c r="E75" s="64" t="str">
        <f>IFERROR(__xludf.DUMMYFUNCTION("""COMPUTED_VALUE"""),"23EACAD042")</f>
        <v>23EACAD042</v>
      </c>
      <c r="F75" s="65">
        <f>IFERROR(__xludf.DUMMYFUNCTION("""COMPUTED_VALUE"""),0.08571428571428572)</f>
        <v>0.08571428571</v>
      </c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</row>
    <row r="76">
      <c r="A76" s="64"/>
      <c r="B76" s="64"/>
      <c r="C76" s="64"/>
      <c r="D76" s="64" t="str">
        <f>IFERROR(__xludf.DUMMYFUNCTION("""COMPUTED_VALUE"""),"Hariom Sharma")</f>
        <v>Hariom Sharma</v>
      </c>
      <c r="E76" s="64" t="str">
        <f>IFERROR(__xludf.DUMMYFUNCTION("""COMPUTED_VALUE"""),"23EACAD047")</f>
        <v>23EACAD047</v>
      </c>
      <c r="F76" s="65">
        <f>IFERROR(__xludf.DUMMYFUNCTION("""COMPUTED_VALUE"""),0.5681818181818182)</f>
        <v>0.5681818182</v>
      </c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</row>
    <row r="77">
      <c r="A77" s="64"/>
      <c r="B77" s="64"/>
      <c r="C77" s="64"/>
      <c r="D77" s="64" t="str">
        <f>IFERROR(__xludf.DUMMYFUNCTION("""COMPUTED_VALUE"""),"Himesh Soni")</f>
        <v>Himesh Soni</v>
      </c>
      <c r="E77" s="64" t="str">
        <f>IFERROR(__xludf.DUMMYFUNCTION("""COMPUTED_VALUE"""),"23EACCS126")</f>
        <v>23EACCS126</v>
      </c>
      <c r="F77" s="65">
        <f>IFERROR(__xludf.DUMMYFUNCTION("""COMPUTED_VALUE"""),0.4090909090909091)</f>
        <v>0.4090909091</v>
      </c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</row>
    <row r="78">
      <c r="A78" s="64"/>
      <c r="B78" s="64"/>
      <c r="C78" s="64"/>
      <c r="D78" s="64" t="str">
        <f>IFERROR(__xludf.DUMMYFUNCTION("""COMPUTED_VALUE"""),"KAMLESH KUMHAR")</f>
        <v>KAMLESH KUMHAR</v>
      </c>
      <c r="E78" s="64" t="str">
        <f>IFERROR(__xludf.DUMMYFUNCTION("""COMPUTED_VALUE"""),"23EACCS141")</f>
        <v>23EACCS141</v>
      </c>
      <c r="F78" s="65">
        <f>IFERROR(__xludf.DUMMYFUNCTION("""COMPUTED_VALUE"""),0.9090909090909091)</f>
        <v>0.9090909091</v>
      </c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</row>
    <row r="79">
      <c r="A79" s="64"/>
      <c r="B79" s="64"/>
      <c r="C79" s="64"/>
      <c r="D79" s="64" t="str">
        <f>IFERROR(__xludf.DUMMYFUNCTION("""COMPUTED_VALUE"""),"Kanika Khetan")</f>
        <v>Kanika Khetan</v>
      </c>
      <c r="E79" s="64" t="str">
        <f>IFERROR(__xludf.DUMMYFUNCTION("""COMPUTED_VALUE"""),"23EACCS143")</f>
        <v>23EACCS143</v>
      </c>
      <c r="F79" s="65">
        <f>IFERROR(__xludf.DUMMYFUNCTION("""COMPUTED_VALUE"""),0.9318181818181818)</f>
        <v>0.9318181818</v>
      </c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</row>
    <row r="80">
      <c r="A80" s="64"/>
      <c r="B80" s="64"/>
      <c r="C80" s="64"/>
      <c r="D80" s="64" t="str">
        <f>IFERROR(__xludf.DUMMYFUNCTION("""COMPUTED_VALUE"""),"Karan Verma")</f>
        <v>Karan Verma</v>
      </c>
      <c r="E80" s="64" t="str">
        <f>IFERROR(__xludf.DUMMYFUNCTION("""COMPUTED_VALUE"""),"23EACAD058")</f>
        <v>23EACAD058</v>
      </c>
      <c r="F80" s="65">
        <f>IFERROR(__xludf.DUMMYFUNCTION("""COMPUTED_VALUE"""),0.9318181818181818)</f>
        <v>0.9318181818</v>
      </c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</row>
    <row r="81">
      <c r="A81" s="64"/>
      <c r="B81" s="64"/>
      <c r="C81" s="64"/>
      <c r="D81" s="64" t="str">
        <f>IFERROR(__xludf.DUMMYFUNCTION("""COMPUTED_VALUE"""),"Kunal Bafna")</f>
        <v>Kunal Bafna</v>
      </c>
      <c r="E81" s="64" t="str">
        <f>IFERROR(__xludf.DUMMYFUNCTION("""COMPUTED_VALUE"""),"23EAOCS048")</f>
        <v>23EAOCS048</v>
      </c>
      <c r="F81" s="65">
        <f>IFERROR(__xludf.DUMMYFUNCTION("""COMPUTED_VALUE"""),0.34285714285714286)</f>
        <v>0.3428571429</v>
      </c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</row>
    <row r="82">
      <c r="A82" s="64"/>
      <c r="B82" s="64"/>
      <c r="C82" s="64"/>
      <c r="D82" s="64" t="str">
        <f>IFERROR(__xludf.DUMMYFUNCTION("""COMPUTED_VALUE"""),"Lakshy Goyal")</f>
        <v>Lakshy Goyal</v>
      </c>
      <c r="E82" s="64" t="str">
        <f>IFERROR(__xludf.DUMMYFUNCTION("""COMPUTED_VALUE"""),"23EACCS165")</f>
        <v>23EACCS165</v>
      </c>
      <c r="F82" s="65">
        <f>IFERROR(__xludf.DUMMYFUNCTION("""COMPUTED_VALUE"""),0.7954545454545454)</f>
        <v>0.7954545455</v>
      </c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</row>
    <row r="83">
      <c r="A83" s="64"/>
      <c r="B83" s="64"/>
      <c r="C83" s="64"/>
      <c r="D83" s="64" t="str">
        <f>IFERROR(__xludf.DUMMYFUNCTION("""COMPUTED_VALUE"""),"Mahi Soni")</f>
        <v>Mahi Soni</v>
      </c>
      <c r="E83" s="64" t="str">
        <f>IFERROR(__xludf.DUMMYFUNCTION("""COMPUTED_VALUE"""),"23EACCS172")</f>
        <v>23EACCS172</v>
      </c>
      <c r="F83" s="65">
        <f>IFERROR(__xludf.DUMMYFUNCTION("""COMPUTED_VALUE"""),0.38636363636363635)</f>
        <v>0.3863636364</v>
      </c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</row>
    <row r="84">
      <c r="A84" s="64"/>
      <c r="B84" s="64"/>
      <c r="C84" s="64"/>
      <c r="D84" s="64" t="str">
        <f>IFERROR(__xludf.DUMMYFUNCTION("""COMPUTED_VALUE"""),"Manish Singh")</f>
        <v>Manish Singh</v>
      </c>
      <c r="E84" s="64" t="str">
        <f>IFERROR(__xludf.DUMMYFUNCTION("""COMPUTED_VALUE"""),"23eacad072")</f>
        <v>23eacad072</v>
      </c>
      <c r="F84" s="65">
        <f>IFERROR(__xludf.DUMMYFUNCTION("""COMPUTED_VALUE"""),0.5)</f>
        <v>0.5</v>
      </c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</row>
    <row r="85">
      <c r="A85" s="64"/>
      <c r="B85" s="64"/>
      <c r="C85" s="64"/>
      <c r="D85" s="64" t="str">
        <f>IFERROR(__xludf.DUMMYFUNCTION("""COMPUTED_VALUE"""),"Mayank Sharma")</f>
        <v>Mayank Sharma</v>
      </c>
      <c r="E85" s="64" t="str">
        <f>IFERROR(__xludf.DUMMYFUNCTION("""COMPUTED_VALUE"""),"23EACIT029")</f>
        <v>23EACIT029</v>
      </c>
      <c r="F85" s="65">
        <f>IFERROR(__xludf.DUMMYFUNCTION("""COMPUTED_VALUE"""),0.8409090909090909)</f>
        <v>0.8409090909</v>
      </c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</row>
    <row r="86">
      <c r="A86" s="64"/>
      <c r="B86" s="64"/>
      <c r="C86" s="64"/>
      <c r="D86" s="64" t="str">
        <f>IFERROR(__xludf.DUMMYFUNCTION("""COMPUTED_VALUE"""),"Md kaif")</f>
        <v>Md kaif</v>
      </c>
      <c r="E86" s="64" t="str">
        <f>IFERROR(__xludf.DUMMYFUNCTION("""COMPUTED_VALUE"""),"23EACCS182")</f>
        <v>23EACCS182</v>
      </c>
      <c r="F86" s="65">
        <f>IFERROR(__xludf.DUMMYFUNCTION("""COMPUTED_VALUE"""),0.0)</f>
        <v>0</v>
      </c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</row>
    <row r="87">
      <c r="A87" s="64"/>
      <c r="B87" s="64"/>
      <c r="C87" s="64"/>
      <c r="D87" s="64" t="str">
        <f>IFERROR(__xludf.DUMMYFUNCTION("""COMPUTED_VALUE"""),"Milan sharma")</f>
        <v>Milan sharma</v>
      </c>
      <c r="E87" s="64" t="str">
        <f>IFERROR(__xludf.DUMMYFUNCTION("""COMPUTED_VALUE"""),"23eaccs188")</f>
        <v>23eaccs188</v>
      </c>
      <c r="F87" s="65">
        <f>IFERROR(__xludf.DUMMYFUNCTION("""COMPUTED_VALUE"""),0.48484848484848486)</f>
        <v>0.4848484848</v>
      </c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</row>
    <row r="88">
      <c r="A88" s="64"/>
      <c r="B88" s="64"/>
      <c r="C88" s="64"/>
      <c r="D88" s="64" t="str">
        <f>IFERROR(__xludf.DUMMYFUNCTION("""COMPUTED_VALUE"""),"Mohindar Singh")</f>
        <v>Mohindar Singh</v>
      </c>
      <c r="E88" s="64" t="str">
        <f>IFERROR(__xludf.DUMMYFUNCTION("""COMPUTED_VALUE"""),"23EACAD077")</f>
        <v>23EACAD077</v>
      </c>
      <c r="F88" s="65">
        <f>IFERROR(__xludf.DUMMYFUNCTION("""COMPUTED_VALUE"""),0.36363636363636365)</f>
        <v>0.3636363636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</row>
    <row r="89">
      <c r="A89" s="64"/>
      <c r="B89" s="64"/>
      <c r="C89" s="64"/>
      <c r="D89" s="64" t="str">
        <f>IFERROR(__xludf.DUMMYFUNCTION("""COMPUTED_VALUE"""),"Nitesh Kumar Dubey")</f>
        <v>Nitesh Kumar Dubey</v>
      </c>
      <c r="E89" s="64" t="str">
        <f>IFERROR(__xludf.DUMMYFUNCTION("""COMPUTED_VALUE"""),"23EACCS820")</f>
        <v>23EACCS820</v>
      </c>
      <c r="F89" s="65">
        <f>IFERROR(__xludf.DUMMYFUNCTION("""COMPUTED_VALUE"""),0.6590909090909091)</f>
        <v>0.6590909091</v>
      </c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</row>
    <row r="90">
      <c r="A90" s="64"/>
      <c r="B90" s="64"/>
      <c r="C90" s="64"/>
      <c r="D90" s="64" t="str">
        <f>IFERROR(__xludf.DUMMYFUNCTION("""COMPUTED_VALUE"""),"paresh gupta")</f>
        <v>paresh gupta</v>
      </c>
      <c r="E90" s="66" t="str">
        <f>IFERROR(__xludf.DUMMYFUNCTION("""COMPUTED_VALUE"""),"23EACCA037")</f>
        <v>23EACCA037</v>
      </c>
      <c r="F90" s="65">
        <f>IFERROR(__xludf.DUMMYFUNCTION("""COMPUTED_VALUE"""),0.045454545454545456)</f>
        <v>0.04545454545</v>
      </c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</row>
    <row r="91">
      <c r="A91" s="64"/>
      <c r="B91" s="64"/>
      <c r="C91" s="64"/>
      <c r="D91" s="64" t="str">
        <f>IFERROR(__xludf.DUMMYFUNCTION("""COMPUTED_VALUE"""),"Priyanshi Sain")</f>
        <v>Priyanshi Sain</v>
      </c>
      <c r="E91" s="64" t="str">
        <f>IFERROR(__xludf.DUMMYFUNCTION("""COMPUTED_VALUE"""),"23EACAD089")</f>
        <v>23EACAD089</v>
      </c>
      <c r="F91" s="65">
        <f>IFERROR(__xludf.DUMMYFUNCTION("""COMPUTED_VALUE"""),0.7727272727272727)</f>
        <v>0.7727272727</v>
      </c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</row>
    <row r="92">
      <c r="A92" s="64"/>
      <c r="B92" s="64"/>
      <c r="C92" s="64"/>
      <c r="D92" s="64" t="str">
        <f>IFERROR(__xludf.DUMMYFUNCTION("""COMPUTED_VALUE"""),"Rakshit Singh Jalal")</f>
        <v>Rakshit Singh Jalal</v>
      </c>
      <c r="E92" s="64" t="str">
        <f>IFERROR(__xludf.DUMMYFUNCTION("""COMPUTED_VALUE"""),"23EACAD094")</f>
        <v>23EACAD094</v>
      </c>
      <c r="F92" s="65">
        <f>IFERROR(__xludf.DUMMYFUNCTION("""COMPUTED_VALUE"""),0.06060606060606061)</f>
        <v>0.06060606061</v>
      </c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</row>
    <row r="93">
      <c r="A93" s="64"/>
      <c r="B93" s="64"/>
      <c r="C93" s="64"/>
      <c r="D93" s="64" t="str">
        <f>IFERROR(__xludf.DUMMYFUNCTION("""COMPUTED_VALUE"""),"Ram krishna")</f>
        <v>Ram krishna</v>
      </c>
      <c r="E93" s="64" t="str">
        <f>IFERROR(__xludf.DUMMYFUNCTION("""COMPUTED_VALUE"""),"23EACIT045")</f>
        <v>23EACIT045</v>
      </c>
      <c r="F93" s="65">
        <f>IFERROR(__xludf.DUMMYFUNCTION("""COMPUTED_VALUE"""),0.11363636363636363)</f>
        <v>0.1136363636</v>
      </c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</row>
    <row r="94">
      <c r="A94" s="64"/>
      <c r="B94" s="64"/>
      <c r="C94" s="64"/>
      <c r="D94" s="64" t="str">
        <f>IFERROR(__xludf.DUMMYFUNCTION("""COMPUTED_VALUE"""),"Ritik")</f>
        <v>Ritik</v>
      </c>
      <c r="E94" s="64" t="str">
        <f>IFERROR(__xludf.DUMMYFUNCTION("""COMPUTED_VALUE"""),"23eacad097")</f>
        <v>23eacad097</v>
      </c>
      <c r="F94" s="65">
        <f>IFERROR(__xludf.DUMMYFUNCTION("""COMPUTED_VALUE"""),0.6590909090909091)</f>
        <v>0.6590909091</v>
      </c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</row>
    <row r="95">
      <c r="A95" s="64"/>
      <c r="B95" s="64"/>
      <c r="C95" s="64"/>
      <c r="D95" s="64" t="str">
        <f>IFERROR(__xludf.DUMMYFUNCTION("""COMPUTED_VALUE"""),"Riya Sharma")</f>
        <v>Riya Sharma</v>
      </c>
      <c r="E95" s="64" t="str">
        <f>IFERROR(__xludf.DUMMYFUNCTION("""COMPUTED_VALUE"""),"23EACAD099")</f>
        <v>23EACAD099</v>
      </c>
      <c r="F95" s="65">
        <f>IFERROR(__xludf.DUMMYFUNCTION("""COMPUTED_VALUE"""),0.2857142857142857)</f>
        <v>0.2857142857</v>
      </c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</row>
    <row r="96">
      <c r="A96" s="64"/>
      <c r="B96" s="64"/>
      <c r="C96" s="64"/>
      <c r="D96" s="64" t="str">
        <f>IFERROR(__xludf.DUMMYFUNCTION("""COMPUTED_VALUE"""),"Sakshi Singh")</f>
        <v>Sakshi Singh</v>
      </c>
      <c r="E96" s="64" t="str">
        <f>IFERROR(__xludf.DUMMYFUNCTION("""COMPUTED_VALUE"""),"23EACCA042")</f>
        <v>23EACCA042</v>
      </c>
      <c r="F96" s="65">
        <f>IFERROR(__xludf.DUMMYFUNCTION("""COMPUTED_VALUE"""),0.8636363636363636)</f>
        <v>0.8636363636</v>
      </c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</row>
    <row r="97">
      <c r="A97" s="64"/>
      <c r="B97" s="64"/>
      <c r="C97" s="64"/>
      <c r="D97" s="64" t="str">
        <f>IFERROR(__xludf.DUMMYFUNCTION("""COMPUTED_VALUE"""),"Siddharth Singh")</f>
        <v>Siddharth Singh</v>
      </c>
      <c r="E97" s="64" t="str">
        <f>IFERROR(__xludf.DUMMYFUNCTION("""COMPUTED_VALUE"""),"23EACAD112")</f>
        <v>23EACAD112</v>
      </c>
      <c r="F97" s="65">
        <f>IFERROR(__xludf.DUMMYFUNCTION("""COMPUTED_VALUE"""),0.6136363636363636)</f>
        <v>0.6136363636</v>
      </c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</row>
    <row r="98">
      <c r="A98" s="64"/>
      <c r="B98" s="64"/>
      <c r="C98" s="64"/>
      <c r="D98" s="64" t="str">
        <f>IFERROR(__xludf.DUMMYFUNCTION("""COMPUTED_VALUE"""),"Surendra Gurjar")</f>
        <v>Surendra Gurjar</v>
      </c>
      <c r="E98" s="64" t="str">
        <f>IFERROR(__xludf.DUMMYFUNCTION("""COMPUTED_VALUE"""),"23EACCS943")</f>
        <v>23EACCS943</v>
      </c>
      <c r="F98" s="65">
        <f>IFERROR(__xludf.DUMMYFUNCTION("""COMPUTED_VALUE"""),0.7954545454545454)</f>
        <v>0.7954545455</v>
      </c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</row>
    <row r="99">
      <c r="A99" s="64"/>
      <c r="B99" s="64"/>
      <c r="C99" s="64"/>
      <c r="D99" s="64" t="str">
        <f>IFERROR(__xludf.DUMMYFUNCTION("""COMPUTED_VALUE"""),"Vijesh suthar")</f>
        <v>Vijesh suthar</v>
      </c>
      <c r="E99" s="64" t="str">
        <f>IFERROR(__xludf.DUMMYFUNCTION("""COMPUTED_VALUE"""),"23EACAD122")</f>
        <v>23EACAD122</v>
      </c>
      <c r="F99" s="65">
        <f>IFERROR(__xludf.DUMMYFUNCTION("""COMPUTED_VALUE"""),0.0)</f>
        <v>0</v>
      </c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</row>
    <row r="100">
      <c r="A100" s="64"/>
      <c r="B100" s="64"/>
      <c r="C100" s="64"/>
      <c r="D100" s="64" t="str">
        <f>IFERROR(__xludf.DUMMYFUNCTION("""COMPUTED_VALUE"""),"Yashashwani Singh")</f>
        <v>Yashashwani Singh</v>
      </c>
      <c r="E100" s="64" t="str">
        <f>IFERROR(__xludf.DUMMYFUNCTION("""COMPUTED_VALUE"""),"23EACAD124")</f>
        <v>23EACAD124</v>
      </c>
      <c r="F100" s="65">
        <f>IFERROR(__xludf.DUMMYFUNCTION("""COMPUTED_VALUE"""),0.8181818181818182)</f>
        <v>0.8181818182</v>
      </c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/>
      <c r="BR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/>
      <c r="BR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/>
      <c r="BR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/>
      <c r="BR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/>
      <c r="BR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  <c r="BQ614" s="64"/>
      <c r="BR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/>
      <c r="BR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/>
      <c r="BR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/>
      <c r="BR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/>
      <c r="BR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/>
      <c r="BR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/>
      <c r="BR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/>
      <c r="BR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/>
      <c r="BR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/>
      <c r="BR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/>
      <c r="BR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/>
      <c r="BR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/>
      <c r="BR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  <c r="BQ774" s="64"/>
      <c r="BR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/>
      <c r="BR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/>
      <c r="BR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  <c r="BQ779" s="64"/>
      <c r="BR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/>
      <c r="BD780" s="64"/>
      <c r="BE780" s="64"/>
      <c r="BF780" s="64"/>
      <c r="BG780" s="64"/>
      <c r="BH780" s="64"/>
      <c r="BI780" s="64"/>
      <c r="BJ780" s="64"/>
      <c r="BK780" s="64"/>
      <c r="BL780" s="64"/>
      <c r="BM780" s="64"/>
      <c r="BN780" s="64"/>
      <c r="BO780" s="64"/>
      <c r="BP780" s="64"/>
      <c r="BQ780" s="64"/>
      <c r="BR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  <c r="BQ781" s="64"/>
      <c r="BR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  <c r="BQ782" s="64"/>
      <c r="BR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/>
      <c r="BR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  <c r="BQ786" s="64"/>
      <c r="BR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/>
      <c r="BD787" s="64"/>
      <c r="BE787" s="64"/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  <c r="BQ787" s="64"/>
      <c r="BR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/>
      <c r="BD788" s="64"/>
      <c r="BE788" s="64"/>
      <c r="BF788" s="64"/>
      <c r="BG788" s="64"/>
      <c r="BH788" s="64"/>
      <c r="BI788" s="64"/>
      <c r="BJ788" s="64"/>
      <c r="BK788" s="64"/>
      <c r="BL788" s="64"/>
      <c r="BM788" s="64"/>
      <c r="BN788" s="64"/>
      <c r="BO788" s="64"/>
      <c r="BP788" s="64"/>
      <c r="BQ788" s="64"/>
      <c r="BR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  <c r="BQ789" s="64"/>
      <c r="BR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/>
      <c r="BR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/>
      <c r="BR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/>
      <c r="BR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/>
      <c r="BR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  <c r="BQ795" s="64"/>
      <c r="BR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/>
      <c r="BR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/>
      <c r="BR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/>
      <c r="BR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/>
      <c r="BR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/>
      <c r="BR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/>
      <c r="BR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/>
      <c r="BR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/>
      <c r="BR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  <c r="BQ810" s="64"/>
      <c r="BR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/>
      <c r="BR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/>
      <c r="BR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/>
      <c r="BR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/>
      <c r="BR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/>
      <c r="BR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/>
      <c r="BR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/>
      <c r="BR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  <c r="BQ825" s="64"/>
      <c r="BR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/>
      <c r="BR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  <c r="BQ827" s="64"/>
      <c r="BR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  <c r="BQ828" s="64"/>
      <c r="BR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/>
      <c r="BR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/>
      <c r="BR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  <c r="BQ832" s="64"/>
      <c r="BR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/>
      <c r="BR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  <c r="BQ834" s="64"/>
      <c r="BR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  <c r="BQ835" s="64"/>
      <c r="BR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/>
      <c r="BR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/>
      <c r="BR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/>
      <c r="BR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/>
      <c r="BR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/>
      <c r="BR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/>
      <c r="BR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/>
      <c r="BR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/>
      <c r="BR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/>
      <c r="BR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/>
      <c r="BR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/>
      <c r="BR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/>
      <c r="BR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/>
      <c r="BR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/>
      <c r="BR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/>
      <c r="BR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/>
      <c r="BR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/>
      <c r="BR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/>
      <c r="BR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/>
      <c r="BR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/>
      <c r="BR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/>
      <c r="BR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  <c r="BQ883" s="64"/>
      <c r="BR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/>
      <c r="BR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/>
      <c r="BR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  <c r="BQ890" s="64"/>
      <c r="BR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/>
      <c r="BR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  <c r="BQ892" s="64"/>
      <c r="BR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  <c r="BQ894" s="64"/>
      <c r="BR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  <c r="BQ897" s="64"/>
      <c r="BR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/>
      <c r="BR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/>
      <c r="BR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  <c r="BQ902" s="64"/>
      <c r="BR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/>
      <c r="BR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/>
      <c r="BR908" s="64"/>
    </row>
  </sheetData>
  <autoFilter ref="$AW$3:$AY$50"/>
  <mergeCells count="16">
    <mergeCell ref="H1:J1"/>
    <mergeCell ref="K1:AN1"/>
    <mergeCell ref="AO1:BR1"/>
    <mergeCell ref="AE4:AE50"/>
    <mergeCell ref="AL4:AL50"/>
    <mergeCell ref="AS4:AS50"/>
    <mergeCell ref="AZ4:AZ50"/>
    <mergeCell ref="BG4:BG50"/>
    <mergeCell ref="BN4:BN50"/>
    <mergeCell ref="A1:A3"/>
    <mergeCell ref="B1:B3"/>
    <mergeCell ref="C1:C3"/>
    <mergeCell ref="D1:D3"/>
    <mergeCell ref="E1:E3"/>
    <mergeCell ref="F1:F3"/>
    <mergeCell ref="G1:G3"/>
  </mergeCells>
  <conditionalFormatting sqref="G4:BR50">
    <cfRule type="beginsWith" dxfId="1" priority="1" operator="beginsWith" text="p">
      <formula>LEFT((G4),LEN("p"))=("p")</formula>
    </cfRule>
  </conditionalFormatting>
  <conditionalFormatting sqref="G4:BR50">
    <cfRule type="beginsWith" dxfId="0" priority="2" operator="beginsWith" text="A">
      <formula>LEFT((G4),LEN("A"))=("A")</formula>
    </cfRule>
  </conditionalFormatting>
  <conditionalFormatting sqref="G4:BR50">
    <cfRule type="beginsWith" dxfId="2" priority="3" operator="beginsWith" text="op">
      <formula>LEFT((G4),LEN("op"))=("op")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5"/>
    <col customWidth="1" min="4" max="4" width="32.0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</row>
    <row r="2">
      <c r="A2" s="5">
        <v>1.0</v>
      </c>
      <c r="B2" s="7" t="s">
        <v>11</v>
      </c>
      <c r="C2" s="9" t="s">
        <v>13</v>
      </c>
      <c r="D2" s="5">
        <v>29.0</v>
      </c>
      <c r="E2" s="5" t="s">
        <v>17</v>
      </c>
    </row>
    <row r="3">
      <c r="A3" s="5">
        <v>2.0</v>
      </c>
      <c r="B3" s="7" t="s">
        <v>19</v>
      </c>
      <c r="C3" s="9" t="s">
        <v>20</v>
      </c>
      <c r="D3" s="5">
        <v>29.0</v>
      </c>
      <c r="E3" s="5" t="s">
        <v>17</v>
      </c>
    </row>
    <row r="4">
      <c r="A4" s="5">
        <v>3.0</v>
      </c>
      <c r="B4" s="13">
        <v>46028.0</v>
      </c>
      <c r="C4" s="9" t="s">
        <v>26</v>
      </c>
      <c r="D4" s="5">
        <v>25.0</v>
      </c>
      <c r="E4" s="5" t="s">
        <v>17</v>
      </c>
    </row>
    <row r="5">
      <c r="A5" s="5">
        <v>4.0</v>
      </c>
      <c r="B5" s="13">
        <v>46059.0</v>
      </c>
      <c r="C5" s="9" t="s">
        <v>27</v>
      </c>
      <c r="D5" s="5">
        <v>26.0</v>
      </c>
      <c r="E5" s="5" t="s">
        <v>17</v>
      </c>
    </row>
    <row r="6">
      <c r="A6" s="5">
        <v>5.0</v>
      </c>
      <c r="B6" s="13">
        <v>46087.0</v>
      </c>
      <c r="C6" s="9" t="s">
        <v>29</v>
      </c>
      <c r="D6" s="5">
        <v>28.0</v>
      </c>
      <c r="E6" s="5" t="s">
        <v>17</v>
      </c>
    </row>
    <row r="7">
      <c r="A7" s="5">
        <v>6.0</v>
      </c>
      <c r="B7" s="13">
        <v>46118.0</v>
      </c>
      <c r="C7" s="5" t="s">
        <v>32</v>
      </c>
      <c r="D7" s="5">
        <v>26.0</v>
      </c>
      <c r="E7" s="5" t="s">
        <v>17</v>
      </c>
    </row>
    <row r="8">
      <c r="A8" s="5">
        <v>7.0</v>
      </c>
      <c r="B8" s="13">
        <v>46148.0</v>
      </c>
      <c r="C8" s="24" t="s">
        <v>39</v>
      </c>
      <c r="D8" s="5">
        <v>25.0</v>
      </c>
      <c r="E8" s="5" t="s">
        <v>17</v>
      </c>
    </row>
    <row r="9">
      <c r="A9" s="5">
        <v>8.0</v>
      </c>
      <c r="B9" s="13">
        <v>46179.0</v>
      </c>
      <c r="C9" s="5" t="s">
        <v>47</v>
      </c>
      <c r="D9" s="5">
        <v>23.0</v>
      </c>
      <c r="E9" s="5" t="s">
        <v>17</v>
      </c>
    </row>
    <row r="10">
      <c r="A10" s="5">
        <v>9.0</v>
      </c>
      <c r="B10" s="13">
        <v>46240.0</v>
      </c>
      <c r="C10" s="5" t="s">
        <v>54</v>
      </c>
      <c r="D10" s="5">
        <v>23.0</v>
      </c>
      <c r="E10" s="5" t="s">
        <v>17</v>
      </c>
    </row>
    <row r="11">
      <c r="A11" s="5">
        <v>10.0</v>
      </c>
      <c r="B11" s="13">
        <v>46271.0</v>
      </c>
      <c r="C11" s="5" t="s">
        <v>56</v>
      </c>
      <c r="D11" s="5">
        <v>29.0</v>
      </c>
      <c r="E11" s="5" t="s">
        <v>17</v>
      </c>
    </row>
    <row r="12">
      <c r="A12" s="5">
        <v>11.0</v>
      </c>
      <c r="B12" s="13">
        <v>46301.0</v>
      </c>
      <c r="C12" s="5" t="s">
        <v>59</v>
      </c>
      <c r="D12" s="5">
        <v>28.0</v>
      </c>
      <c r="E12" s="5" t="s">
        <v>17</v>
      </c>
    </row>
    <row r="13">
      <c r="A13" s="5">
        <v>12.0</v>
      </c>
      <c r="B13" s="13">
        <v>46332.0</v>
      </c>
      <c r="C13" s="5" t="s">
        <v>59</v>
      </c>
      <c r="D13" s="5">
        <v>26.0</v>
      </c>
      <c r="E13" s="5" t="s">
        <v>17</v>
      </c>
    </row>
    <row r="14">
      <c r="A14" s="5">
        <v>13.0</v>
      </c>
      <c r="B14" s="13">
        <v>46362.0</v>
      </c>
      <c r="C14" s="5" t="s">
        <v>64</v>
      </c>
      <c r="D14" s="5">
        <v>24.0</v>
      </c>
      <c r="E14" s="5" t="s">
        <v>17</v>
      </c>
    </row>
    <row r="15">
      <c r="A15" s="5">
        <v>14.0</v>
      </c>
      <c r="B15" s="7" t="s">
        <v>66</v>
      </c>
      <c r="C15" s="5" t="s">
        <v>67</v>
      </c>
      <c r="D15" s="5">
        <v>31.0</v>
      </c>
      <c r="E15" s="5" t="s">
        <v>17</v>
      </c>
    </row>
    <row r="16">
      <c r="A16" s="5">
        <v>15.0</v>
      </c>
      <c r="B16" s="7" t="s">
        <v>70</v>
      </c>
      <c r="C16" s="5" t="s">
        <v>71</v>
      </c>
      <c r="D16" s="5">
        <v>32.0</v>
      </c>
      <c r="E16" s="5" t="s">
        <v>17</v>
      </c>
    </row>
    <row r="17">
      <c r="A17" s="5">
        <v>16.0</v>
      </c>
      <c r="B17" s="7" t="s">
        <v>73</v>
      </c>
      <c r="C17" s="5" t="s">
        <v>75</v>
      </c>
      <c r="D17" s="5">
        <v>29.0</v>
      </c>
      <c r="E17" s="5" t="s">
        <v>17</v>
      </c>
    </row>
    <row r="18">
      <c r="A18" s="5">
        <v>17.0</v>
      </c>
      <c r="B18" s="7" t="s">
        <v>77</v>
      </c>
      <c r="C18" s="5" t="s">
        <v>78</v>
      </c>
      <c r="D18" s="5">
        <v>27.0</v>
      </c>
      <c r="E18" s="5" t="s">
        <v>17</v>
      </c>
    </row>
    <row r="19">
      <c r="A19" s="5">
        <v>18.0</v>
      </c>
      <c r="B19" s="7" t="s">
        <v>81</v>
      </c>
      <c r="C19" s="5" t="s">
        <v>84</v>
      </c>
      <c r="D19" s="5">
        <v>28.0</v>
      </c>
      <c r="E19" s="5" t="s">
        <v>17</v>
      </c>
    </row>
    <row r="20">
      <c r="A20" s="5">
        <v>19.0</v>
      </c>
      <c r="B20" s="7" t="s">
        <v>85</v>
      </c>
      <c r="C20" s="5" t="s">
        <v>87</v>
      </c>
      <c r="D20" s="5">
        <v>33.0</v>
      </c>
      <c r="E20" s="5" t="s">
        <v>17</v>
      </c>
    </row>
    <row r="21">
      <c r="A21" s="5">
        <v>20.0</v>
      </c>
      <c r="B21" s="5" t="s">
        <v>89</v>
      </c>
      <c r="C21" s="5" t="s">
        <v>91</v>
      </c>
      <c r="D21" s="5">
        <v>28.0</v>
      </c>
      <c r="E21" s="5" t="s">
        <v>17</v>
      </c>
    </row>
    <row r="22">
      <c r="A22" s="32">
        <v>21.0</v>
      </c>
      <c r="B22" s="32" t="s">
        <v>93</v>
      </c>
      <c r="C22" s="5" t="s">
        <v>95</v>
      </c>
      <c r="D22" s="32">
        <v>31.0</v>
      </c>
      <c r="E22" s="5" t="s">
        <v>17</v>
      </c>
    </row>
    <row r="23">
      <c r="A23" s="32">
        <v>22.0</v>
      </c>
      <c r="B23" s="32" t="s">
        <v>98</v>
      </c>
      <c r="C23" s="32" t="s">
        <v>100</v>
      </c>
      <c r="D23" s="32">
        <v>29.0</v>
      </c>
      <c r="E23" s="5" t="s">
        <v>17</v>
      </c>
    </row>
    <row r="24">
      <c r="A24" s="32">
        <v>23.0</v>
      </c>
      <c r="B24" s="32" t="s">
        <v>104</v>
      </c>
      <c r="C24" s="24" t="s">
        <v>105</v>
      </c>
      <c r="D24" s="32">
        <v>31.0</v>
      </c>
      <c r="E24" s="32" t="s">
        <v>17</v>
      </c>
    </row>
    <row r="25">
      <c r="A25" s="32">
        <v>24.0</v>
      </c>
      <c r="B25" s="32" t="s">
        <v>107</v>
      </c>
      <c r="C25" s="32" t="s">
        <v>109</v>
      </c>
      <c r="D25" s="32">
        <v>26.0</v>
      </c>
      <c r="E25" s="32" t="s">
        <v>17</v>
      </c>
    </row>
    <row r="26">
      <c r="A26" s="32">
        <v>25.0</v>
      </c>
      <c r="B26" s="32" t="s">
        <v>111</v>
      </c>
      <c r="C26" s="32" t="s">
        <v>113</v>
      </c>
      <c r="D26" s="32">
        <v>27.0</v>
      </c>
      <c r="E26" s="32" t="s">
        <v>17</v>
      </c>
    </row>
    <row r="27">
      <c r="A27" s="32">
        <v>26.0</v>
      </c>
      <c r="B27" s="32" t="s">
        <v>117</v>
      </c>
      <c r="C27" s="32" t="s">
        <v>118</v>
      </c>
      <c r="D27" s="32">
        <v>36.0</v>
      </c>
      <c r="E27" s="32" t="s">
        <v>17</v>
      </c>
    </row>
    <row r="28">
      <c r="A28" s="32">
        <v>27.0</v>
      </c>
      <c r="B28" s="32" t="s">
        <v>120</v>
      </c>
      <c r="C28" s="32" t="s">
        <v>122</v>
      </c>
      <c r="D28" s="32">
        <v>29.0</v>
      </c>
      <c r="E28" s="32" t="s">
        <v>17</v>
      </c>
    </row>
    <row r="29">
      <c r="A29" s="32">
        <v>29.0</v>
      </c>
      <c r="B29" s="32" t="s">
        <v>124</v>
      </c>
      <c r="C29" s="32" t="s">
        <v>125</v>
      </c>
      <c r="D29" s="32">
        <v>34.0</v>
      </c>
      <c r="E29" s="32" t="s">
        <v>17</v>
      </c>
    </row>
    <row r="30">
      <c r="A30" s="32">
        <v>30.0</v>
      </c>
      <c r="B30" s="36">
        <v>46029.0</v>
      </c>
      <c r="C30" s="32" t="s">
        <v>129</v>
      </c>
      <c r="D30" s="32">
        <v>31.0</v>
      </c>
      <c r="E30" s="32" t="s">
        <v>17</v>
      </c>
    </row>
    <row r="31">
      <c r="A31" s="32">
        <v>31.0</v>
      </c>
      <c r="B31" s="36">
        <v>46060.0</v>
      </c>
      <c r="C31" s="32" t="s">
        <v>133</v>
      </c>
      <c r="D31" s="32">
        <v>30.0</v>
      </c>
      <c r="E31" s="32" t="s">
        <v>17</v>
      </c>
    </row>
    <row r="32">
      <c r="A32" s="32">
        <v>32.0</v>
      </c>
      <c r="B32" s="36">
        <v>46088.0</v>
      </c>
      <c r="C32" s="32" t="s">
        <v>135</v>
      </c>
      <c r="D32" s="32">
        <v>30.0</v>
      </c>
      <c r="E32" s="32" t="s">
        <v>17</v>
      </c>
    </row>
    <row r="33">
      <c r="A33" s="32">
        <v>33.0</v>
      </c>
      <c r="B33" s="36">
        <v>46119.0</v>
      </c>
      <c r="C33" s="32" t="s">
        <v>137</v>
      </c>
      <c r="D33" s="32">
        <v>34.0</v>
      </c>
      <c r="E33" s="32" t="s">
        <v>17</v>
      </c>
    </row>
    <row r="34">
      <c r="A34" s="32">
        <v>34.0</v>
      </c>
      <c r="B34" s="36">
        <v>46180.0</v>
      </c>
      <c r="C34" s="32" t="s">
        <v>139</v>
      </c>
      <c r="D34" s="32">
        <v>27.0</v>
      </c>
      <c r="E34" s="32" t="s">
        <v>17</v>
      </c>
    </row>
    <row r="35">
      <c r="A35" s="32">
        <v>35.0</v>
      </c>
      <c r="B35" s="36">
        <v>46210.0</v>
      </c>
      <c r="C35" s="32" t="s">
        <v>142</v>
      </c>
      <c r="D35" s="32">
        <v>24.0</v>
      </c>
      <c r="E35" s="32" t="s">
        <v>17</v>
      </c>
    </row>
    <row r="36">
      <c r="A36" s="32">
        <v>36.0</v>
      </c>
      <c r="B36" s="36">
        <v>46241.0</v>
      </c>
      <c r="C36" s="32" t="s">
        <v>145</v>
      </c>
      <c r="D36" s="32">
        <v>13.0</v>
      </c>
      <c r="E36" s="32" t="s">
        <v>17</v>
      </c>
    </row>
    <row r="37">
      <c r="A37" s="32">
        <v>37.0</v>
      </c>
      <c r="B37" s="36">
        <v>46272.0</v>
      </c>
      <c r="C37" s="32" t="s">
        <v>147</v>
      </c>
      <c r="D37" s="32">
        <v>27.0</v>
      </c>
      <c r="E37" s="32" t="s">
        <v>17</v>
      </c>
    </row>
    <row r="38">
      <c r="A38" s="32">
        <v>38.0</v>
      </c>
      <c r="B38" s="36">
        <v>46302.0</v>
      </c>
      <c r="C38" s="32" t="s">
        <v>149</v>
      </c>
      <c r="D38" s="32">
        <v>23.0</v>
      </c>
      <c r="E38" s="32" t="s">
        <v>17</v>
      </c>
    </row>
    <row r="39">
      <c r="A39" s="32">
        <v>39.0</v>
      </c>
      <c r="B39" s="36">
        <v>46333.0</v>
      </c>
      <c r="C39" s="32" t="s">
        <v>154</v>
      </c>
      <c r="D39" s="32">
        <v>24.0</v>
      </c>
      <c r="E39" s="32" t="s">
        <v>17</v>
      </c>
    </row>
    <row r="40">
      <c r="A40" s="32">
        <v>40.0</v>
      </c>
      <c r="B40" s="32" t="s">
        <v>155</v>
      </c>
      <c r="C40" s="32" t="s">
        <v>157</v>
      </c>
      <c r="D40" s="32">
        <v>15.0</v>
      </c>
      <c r="E40" s="32" t="s">
        <v>17</v>
      </c>
    </row>
    <row r="41">
      <c r="A41" s="32">
        <v>41.0</v>
      </c>
      <c r="B41" s="32" t="s">
        <v>159</v>
      </c>
      <c r="C41" s="32" t="s">
        <v>160</v>
      </c>
      <c r="D41" s="32">
        <v>14.0</v>
      </c>
      <c r="E41" s="32" t="s">
        <v>17</v>
      </c>
    </row>
    <row r="42">
      <c r="A42" s="40">
        <v>42.0</v>
      </c>
      <c r="B42" s="40" t="s">
        <v>161</v>
      </c>
      <c r="C42" s="40" t="s">
        <v>163</v>
      </c>
      <c r="D42" s="40">
        <v>14.0</v>
      </c>
      <c r="E42" s="40" t="s">
        <v>17</v>
      </c>
    </row>
    <row r="43">
      <c r="A43" s="40">
        <v>43.0</v>
      </c>
      <c r="B43" s="40" t="s">
        <v>166</v>
      </c>
      <c r="C43" s="40" t="s">
        <v>167</v>
      </c>
      <c r="E43" s="40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25"/>
    <col customWidth="1" min="3" max="3" width="14.88"/>
  </cols>
  <sheetData>
    <row r="1">
      <c r="A1" s="1" t="s">
        <v>0</v>
      </c>
      <c r="C1" s="3"/>
    </row>
    <row r="2">
      <c r="A2" s="1" t="s">
        <v>4</v>
      </c>
      <c r="C2" s="3"/>
    </row>
    <row r="3">
      <c r="A3" s="1" t="s">
        <v>6</v>
      </c>
      <c r="C3" s="3"/>
    </row>
    <row r="4">
      <c r="A4" s="6" t="s">
        <v>9</v>
      </c>
      <c r="B4" s="3"/>
      <c r="C4" s="3"/>
    </row>
    <row r="5">
      <c r="A5" s="6" t="s">
        <v>12</v>
      </c>
      <c r="B5" s="3"/>
      <c r="C5" s="3"/>
    </row>
    <row r="6">
      <c r="A6" s="3"/>
      <c r="B6" s="3"/>
      <c r="C6" s="3"/>
    </row>
    <row r="7">
      <c r="A7" s="11" t="s">
        <v>16</v>
      </c>
      <c r="B7" s="11" t="s">
        <v>22</v>
      </c>
      <c r="C7" s="11" t="s">
        <v>23</v>
      </c>
    </row>
    <row r="8">
      <c r="A8" s="12">
        <v>1.0</v>
      </c>
      <c r="B8" s="14" t="s">
        <v>25</v>
      </c>
      <c r="C8" s="20" t="s">
        <v>28</v>
      </c>
    </row>
    <row r="9">
      <c r="A9" s="21"/>
      <c r="B9" s="14" t="s">
        <v>30</v>
      </c>
      <c r="C9" s="20" t="s">
        <v>28</v>
      </c>
    </row>
    <row r="10">
      <c r="A10" s="21"/>
      <c r="B10" s="14" t="s">
        <v>31</v>
      </c>
      <c r="C10" s="20" t="s">
        <v>28</v>
      </c>
    </row>
    <row r="11">
      <c r="A11" s="21"/>
      <c r="B11" s="14" t="s">
        <v>34</v>
      </c>
      <c r="C11" s="20" t="s">
        <v>28</v>
      </c>
    </row>
    <row r="12">
      <c r="A12" s="21"/>
      <c r="B12" s="14" t="s">
        <v>37</v>
      </c>
      <c r="C12" s="20" t="s">
        <v>28</v>
      </c>
    </row>
    <row r="13">
      <c r="A13" s="21"/>
      <c r="B13" s="14" t="s">
        <v>42</v>
      </c>
      <c r="C13" s="20" t="s">
        <v>28</v>
      </c>
    </row>
    <row r="14">
      <c r="A14" s="21"/>
      <c r="B14" s="14" t="s">
        <v>45</v>
      </c>
      <c r="C14" s="20" t="s">
        <v>28</v>
      </c>
    </row>
    <row r="15">
      <c r="A15" s="21"/>
      <c r="B15" s="14" t="s">
        <v>51</v>
      </c>
      <c r="C15" s="20" t="s">
        <v>28</v>
      </c>
    </row>
    <row r="16">
      <c r="A16" s="21"/>
      <c r="B16" s="14" t="s">
        <v>53</v>
      </c>
      <c r="C16" s="20" t="s">
        <v>28</v>
      </c>
    </row>
    <row r="17">
      <c r="A17" s="21"/>
      <c r="B17" s="14" t="s">
        <v>55</v>
      </c>
      <c r="C17" s="20" t="s">
        <v>28</v>
      </c>
    </row>
    <row r="18">
      <c r="A18" s="21"/>
      <c r="B18" s="14" t="s">
        <v>57</v>
      </c>
      <c r="C18" s="20" t="s">
        <v>28</v>
      </c>
    </row>
    <row r="19">
      <c r="A19" s="21"/>
      <c r="B19" s="14" t="s">
        <v>60</v>
      </c>
      <c r="C19" s="20" t="s">
        <v>28</v>
      </c>
    </row>
    <row r="20">
      <c r="A20" s="12">
        <v>2.0</v>
      </c>
      <c r="B20" s="14" t="s">
        <v>62</v>
      </c>
      <c r="C20" s="20" t="s">
        <v>28</v>
      </c>
    </row>
    <row r="21">
      <c r="A21" s="21"/>
      <c r="B21" s="14" t="s">
        <v>63</v>
      </c>
      <c r="C21" s="20" t="s">
        <v>28</v>
      </c>
    </row>
    <row r="22">
      <c r="A22" s="21"/>
      <c r="B22" s="14" t="s">
        <v>65</v>
      </c>
      <c r="C22" s="20" t="s">
        <v>28</v>
      </c>
    </row>
    <row r="23">
      <c r="A23" s="21"/>
      <c r="B23" s="14" t="s">
        <v>68</v>
      </c>
      <c r="C23" s="20" t="s">
        <v>28</v>
      </c>
    </row>
    <row r="24">
      <c r="A24" s="21"/>
      <c r="B24" s="14" t="s">
        <v>69</v>
      </c>
      <c r="C24" s="20" t="s">
        <v>28</v>
      </c>
    </row>
    <row r="25">
      <c r="A25" s="21"/>
      <c r="B25" s="14" t="s">
        <v>72</v>
      </c>
      <c r="C25" s="20" t="s">
        <v>28</v>
      </c>
    </row>
    <row r="26">
      <c r="A26" s="21"/>
      <c r="B26" s="14" t="s">
        <v>74</v>
      </c>
      <c r="C26" s="20" t="s">
        <v>28</v>
      </c>
    </row>
    <row r="27">
      <c r="A27" s="21"/>
      <c r="B27" s="14" t="s">
        <v>76</v>
      </c>
      <c r="C27" s="20" t="s">
        <v>28</v>
      </c>
    </row>
    <row r="28">
      <c r="A28" s="21"/>
      <c r="B28" s="14" t="s">
        <v>79</v>
      </c>
      <c r="C28" s="20" t="s">
        <v>28</v>
      </c>
    </row>
    <row r="29">
      <c r="A29" s="21"/>
      <c r="B29" s="14" t="s">
        <v>83</v>
      </c>
      <c r="C29" s="20" t="s">
        <v>28</v>
      </c>
    </row>
    <row r="30">
      <c r="A30" s="21"/>
      <c r="B30" s="14" t="s">
        <v>86</v>
      </c>
      <c r="C30" s="20" t="s">
        <v>28</v>
      </c>
    </row>
    <row r="31">
      <c r="A31" s="12">
        <v>3.0</v>
      </c>
      <c r="B31" s="14" t="s">
        <v>88</v>
      </c>
      <c r="C31" s="20" t="s">
        <v>28</v>
      </c>
    </row>
    <row r="32">
      <c r="A32" s="21"/>
      <c r="B32" s="14" t="s">
        <v>92</v>
      </c>
      <c r="C32" s="20" t="s">
        <v>28</v>
      </c>
    </row>
    <row r="33">
      <c r="A33" s="21"/>
      <c r="B33" s="14" t="s">
        <v>94</v>
      </c>
      <c r="C33" s="20" t="s">
        <v>28</v>
      </c>
    </row>
    <row r="34">
      <c r="A34" s="21"/>
      <c r="B34" s="14" t="s">
        <v>96</v>
      </c>
      <c r="C34" s="20" t="s">
        <v>28</v>
      </c>
    </row>
    <row r="35">
      <c r="A35" s="21"/>
      <c r="B35" s="14" t="s">
        <v>101</v>
      </c>
      <c r="C35" s="20" t="s">
        <v>28</v>
      </c>
    </row>
    <row r="36">
      <c r="A36" s="21"/>
      <c r="B36" s="14" t="s">
        <v>102</v>
      </c>
      <c r="C36" s="20" t="s">
        <v>28</v>
      </c>
    </row>
    <row r="37">
      <c r="A37" s="21"/>
      <c r="B37" s="14" t="s">
        <v>103</v>
      </c>
      <c r="C37" s="20" t="s">
        <v>28</v>
      </c>
    </row>
    <row r="38">
      <c r="A38" s="21"/>
      <c r="B38" s="14" t="s">
        <v>106</v>
      </c>
      <c r="C38" s="20" t="s">
        <v>28</v>
      </c>
    </row>
    <row r="39">
      <c r="A39" s="12">
        <v>4.0</v>
      </c>
      <c r="B39" s="14" t="s">
        <v>108</v>
      </c>
      <c r="C39" s="20" t="s">
        <v>28</v>
      </c>
    </row>
    <row r="40">
      <c r="A40" s="21"/>
      <c r="B40" s="14" t="s">
        <v>110</v>
      </c>
      <c r="C40" s="20" t="s">
        <v>28</v>
      </c>
    </row>
    <row r="41">
      <c r="A41" s="21"/>
      <c r="B41" s="14" t="s">
        <v>112</v>
      </c>
      <c r="C41" s="20" t="s">
        <v>28</v>
      </c>
    </row>
    <row r="42">
      <c r="A42" s="21"/>
      <c r="B42" s="14" t="s">
        <v>116</v>
      </c>
      <c r="C42" s="20" t="s">
        <v>28</v>
      </c>
    </row>
    <row r="43">
      <c r="A43" s="21"/>
      <c r="B43" s="14" t="s">
        <v>119</v>
      </c>
      <c r="C43" s="20" t="s">
        <v>28</v>
      </c>
    </row>
    <row r="44">
      <c r="A44" s="21"/>
      <c r="B44" s="14" t="s">
        <v>121</v>
      </c>
      <c r="C44" s="20" t="s">
        <v>28</v>
      </c>
    </row>
    <row r="45">
      <c r="A45" s="21"/>
      <c r="B45" s="14" t="s">
        <v>123</v>
      </c>
      <c r="C45" s="20" t="s">
        <v>28</v>
      </c>
    </row>
    <row r="46">
      <c r="A46" s="21"/>
      <c r="B46" s="14" t="s">
        <v>126</v>
      </c>
      <c r="C46" s="20" t="s">
        <v>28</v>
      </c>
    </row>
    <row r="47">
      <c r="A47" s="21"/>
      <c r="B47" s="14" t="s">
        <v>127</v>
      </c>
      <c r="C47" s="20" t="s">
        <v>28</v>
      </c>
    </row>
    <row r="48">
      <c r="A48" s="21"/>
      <c r="B48" s="14" t="s">
        <v>128</v>
      </c>
      <c r="C48" s="20" t="s">
        <v>28</v>
      </c>
    </row>
    <row r="49">
      <c r="A49" s="21"/>
      <c r="B49" s="14" t="s">
        <v>130</v>
      </c>
      <c r="C49" s="20" t="s">
        <v>28</v>
      </c>
    </row>
    <row r="50">
      <c r="A50" s="12">
        <v>5.0</v>
      </c>
      <c r="B50" s="14" t="s">
        <v>134</v>
      </c>
      <c r="C50" s="20" t="s">
        <v>28</v>
      </c>
    </row>
    <row r="51">
      <c r="A51" s="21"/>
      <c r="B51" s="14" t="s">
        <v>136</v>
      </c>
      <c r="C51" s="20" t="s">
        <v>28</v>
      </c>
    </row>
    <row r="52">
      <c r="A52" s="21"/>
      <c r="B52" s="14" t="s">
        <v>138</v>
      </c>
      <c r="C52" s="20" t="s">
        <v>28</v>
      </c>
    </row>
    <row r="53">
      <c r="A53" s="21"/>
      <c r="B53" s="14" t="s">
        <v>140</v>
      </c>
      <c r="C53" s="20" t="s">
        <v>28</v>
      </c>
    </row>
    <row r="54">
      <c r="A54" s="21"/>
      <c r="B54" s="14" t="s">
        <v>144</v>
      </c>
      <c r="C54" s="20" t="s">
        <v>28</v>
      </c>
    </row>
    <row r="55">
      <c r="A55" s="21"/>
      <c r="B55" s="14" t="s">
        <v>146</v>
      </c>
      <c r="C55" s="20" t="s">
        <v>28</v>
      </c>
    </row>
    <row r="56">
      <c r="A56" s="21"/>
      <c r="B56" s="14" t="s">
        <v>148</v>
      </c>
      <c r="C56" s="20" t="s">
        <v>28</v>
      </c>
    </row>
    <row r="57">
      <c r="A57" s="21"/>
      <c r="B57" s="14" t="s">
        <v>150</v>
      </c>
      <c r="C57" s="20" t="s">
        <v>28</v>
      </c>
    </row>
    <row r="58">
      <c r="A58" s="21"/>
      <c r="B58" s="14" t="s">
        <v>152</v>
      </c>
      <c r="C58" s="20" t="s">
        <v>28</v>
      </c>
    </row>
    <row r="59">
      <c r="A59" s="21"/>
      <c r="B59" s="14" t="s">
        <v>156</v>
      </c>
      <c r="C59" s="20" t="s">
        <v>28</v>
      </c>
    </row>
    <row r="60">
      <c r="A60" s="12">
        <v>6.0</v>
      </c>
      <c r="B60" s="14" t="s">
        <v>158</v>
      </c>
      <c r="C60" s="20" t="s">
        <v>28</v>
      </c>
    </row>
    <row r="61">
      <c r="A61" s="21"/>
      <c r="B61" s="14" t="s">
        <v>162</v>
      </c>
      <c r="C61" s="20" t="s">
        <v>28</v>
      </c>
    </row>
    <row r="62">
      <c r="A62" s="21"/>
      <c r="B62" s="14" t="s">
        <v>168</v>
      </c>
      <c r="C62" s="20" t="s">
        <v>28</v>
      </c>
    </row>
    <row r="63">
      <c r="A63" s="21"/>
      <c r="B63" s="14" t="s">
        <v>169</v>
      </c>
      <c r="C63" s="20" t="s">
        <v>28</v>
      </c>
    </row>
    <row r="64">
      <c r="A64" s="21"/>
      <c r="B64" s="14" t="s">
        <v>170</v>
      </c>
      <c r="C64" s="20" t="s">
        <v>28</v>
      </c>
    </row>
    <row r="65">
      <c r="A65" s="12">
        <v>7.0</v>
      </c>
      <c r="B65" s="14" t="s">
        <v>171</v>
      </c>
      <c r="C65" s="20" t="s">
        <v>28</v>
      </c>
    </row>
    <row r="66">
      <c r="A66" s="21"/>
      <c r="B66" s="14" t="s">
        <v>174</v>
      </c>
      <c r="C66" s="20" t="s">
        <v>28</v>
      </c>
    </row>
    <row r="67">
      <c r="A67" s="21"/>
      <c r="B67" s="14" t="s">
        <v>175</v>
      </c>
      <c r="C67" s="20" t="s">
        <v>28</v>
      </c>
    </row>
    <row r="68">
      <c r="A68" s="12">
        <v>8.0</v>
      </c>
      <c r="B68" s="14" t="s">
        <v>176</v>
      </c>
      <c r="C68" s="20" t="s">
        <v>28</v>
      </c>
    </row>
    <row r="69">
      <c r="A69" s="21"/>
      <c r="B69" s="14" t="s">
        <v>39</v>
      </c>
      <c r="C69" s="20" t="s">
        <v>28</v>
      </c>
    </row>
    <row r="70">
      <c r="A70" s="21"/>
      <c r="B70" s="14" t="s">
        <v>177</v>
      </c>
      <c r="C70" s="20" t="s">
        <v>28</v>
      </c>
    </row>
    <row r="71">
      <c r="A71" s="21"/>
      <c r="B71" s="14" t="s">
        <v>180</v>
      </c>
      <c r="C71" s="20" t="s">
        <v>28</v>
      </c>
    </row>
    <row r="72">
      <c r="A72" s="21"/>
      <c r="B72" s="14" t="s">
        <v>183</v>
      </c>
      <c r="C72" s="20" t="s">
        <v>28</v>
      </c>
    </row>
    <row r="73">
      <c r="A73" s="21"/>
      <c r="B73" s="14" t="s">
        <v>184</v>
      </c>
      <c r="C73" s="20" t="s">
        <v>28</v>
      </c>
    </row>
    <row r="74">
      <c r="A74" s="21"/>
      <c r="B74" s="14" t="s">
        <v>185</v>
      </c>
      <c r="C74" s="20" t="s">
        <v>28</v>
      </c>
    </row>
    <row r="75">
      <c r="A75" s="21"/>
      <c r="B75" s="14" t="s">
        <v>187</v>
      </c>
      <c r="C75" s="20" t="s">
        <v>28</v>
      </c>
    </row>
    <row r="76">
      <c r="A76" s="21"/>
      <c r="B76" s="14" t="s">
        <v>189</v>
      </c>
      <c r="C76" s="20" t="s">
        <v>28</v>
      </c>
    </row>
    <row r="77">
      <c r="A77" s="21"/>
      <c r="B77" s="14" t="s">
        <v>190</v>
      </c>
      <c r="C77" s="20" t="s">
        <v>28</v>
      </c>
    </row>
    <row r="78">
      <c r="A78" s="21"/>
      <c r="B78" s="14" t="s">
        <v>191</v>
      </c>
      <c r="C78" s="20" t="s">
        <v>28</v>
      </c>
    </row>
    <row r="79">
      <c r="A79" s="12">
        <v>9.0</v>
      </c>
      <c r="B79" s="14" t="s">
        <v>192</v>
      </c>
      <c r="C79" s="20" t="s">
        <v>28</v>
      </c>
    </row>
    <row r="80">
      <c r="A80" s="21"/>
      <c r="B80" s="14" t="s">
        <v>193</v>
      </c>
      <c r="C80" s="20" t="s">
        <v>28</v>
      </c>
    </row>
    <row r="81">
      <c r="A81" s="21"/>
      <c r="B81" s="14" t="s">
        <v>196</v>
      </c>
      <c r="C81" s="20" t="s">
        <v>28</v>
      </c>
    </row>
    <row r="82">
      <c r="A82" s="21"/>
      <c r="B82" s="14" t="s">
        <v>197</v>
      </c>
      <c r="C82" s="20" t="s">
        <v>28</v>
      </c>
    </row>
    <row r="83">
      <c r="A83" s="21"/>
      <c r="B83" s="14" t="s">
        <v>198</v>
      </c>
      <c r="C83" s="20" t="s">
        <v>28</v>
      </c>
    </row>
    <row r="84">
      <c r="A84" s="21"/>
      <c r="B84" s="14" t="s">
        <v>199</v>
      </c>
      <c r="C84" s="20" t="s">
        <v>28</v>
      </c>
    </row>
    <row r="85">
      <c r="A85" s="21"/>
      <c r="B85" s="14" t="s">
        <v>200</v>
      </c>
      <c r="C85" s="20" t="s">
        <v>28</v>
      </c>
    </row>
    <row r="86">
      <c r="A86" s="21"/>
      <c r="B86" s="14" t="s">
        <v>204</v>
      </c>
      <c r="C86" s="20" t="s">
        <v>28</v>
      </c>
    </row>
    <row r="87">
      <c r="A87" s="21"/>
      <c r="B87" s="14" t="s">
        <v>208</v>
      </c>
      <c r="C87" s="20" t="s">
        <v>28</v>
      </c>
    </row>
    <row r="88">
      <c r="A88" s="21"/>
      <c r="B88" s="14" t="s">
        <v>210</v>
      </c>
      <c r="C88" s="20" t="s">
        <v>28</v>
      </c>
    </row>
    <row r="89">
      <c r="A89" s="21"/>
      <c r="B89" s="14" t="s">
        <v>211</v>
      </c>
      <c r="C89" s="20" t="s">
        <v>28</v>
      </c>
    </row>
    <row r="90">
      <c r="A90" s="21"/>
      <c r="B90" s="14" t="s">
        <v>212</v>
      </c>
      <c r="C90" s="20" t="s">
        <v>28</v>
      </c>
    </row>
    <row r="91">
      <c r="A91" s="21"/>
      <c r="B91" s="14" t="s">
        <v>214</v>
      </c>
      <c r="C91" s="20" t="s">
        <v>28</v>
      </c>
    </row>
    <row r="92">
      <c r="A92" s="12">
        <v>10.0</v>
      </c>
      <c r="B92" s="14" t="s">
        <v>216</v>
      </c>
      <c r="C92" s="20" t="s">
        <v>28</v>
      </c>
    </row>
    <row r="93">
      <c r="A93" s="21"/>
      <c r="B93" s="14" t="s">
        <v>218</v>
      </c>
      <c r="C93" s="20" t="s">
        <v>28</v>
      </c>
    </row>
    <row r="94">
      <c r="A94" s="21"/>
      <c r="B94" s="14" t="s">
        <v>219</v>
      </c>
      <c r="C94" s="20" t="s">
        <v>28</v>
      </c>
    </row>
    <row r="95">
      <c r="A95" s="21"/>
      <c r="B95" s="14" t="s">
        <v>222</v>
      </c>
      <c r="C95" s="20" t="s">
        <v>28</v>
      </c>
    </row>
    <row r="96">
      <c r="A96" s="21"/>
      <c r="B96" s="14" t="s">
        <v>223</v>
      </c>
      <c r="C96" s="20" t="s">
        <v>28</v>
      </c>
    </row>
    <row r="97">
      <c r="A97" s="21"/>
      <c r="B97" s="14" t="s">
        <v>224</v>
      </c>
      <c r="C97" s="20" t="s">
        <v>28</v>
      </c>
    </row>
    <row r="98">
      <c r="A98" s="21"/>
      <c r="B98" s="14" t="s">
        <v>225</v>
      </c>
      <c r="C98" s="20" t="s">
        <v>28</v>
      </c>
    </row>
    <row r="99">
      <c r="A99" s="21"/>
      <c r="B99" s="14" t="s">
        <v>228</v>
      </c>
      <c r="C99" s="20" t="s">
        <v>28</v>
      </c>
    </row>
    <row r="100">
      <c r="A100" s="12">
        <v>11.0</v>
      </c>
      <c r="B100" s="14" t="s">
        <v>229</v>
      </c>
      <c r="C100" s="20" t="s">
        <v>28</v>
      </c>
    </row>
    <row r="101">
      <c r="A101" s="21"/>
      <c r="B101" s="14" t="s">
        <v>230</v>
      </c>
      <c r="C101" s="20" t="s">
        <v>28</v>
      </c>
    </row>
    <row r="102">
      <c r="A102" s="21"/>
      <c r="B102" s="14" t="s">
        <v>231</v>
      </c>
      <c r="C102" s="20" t="s">
        <v>28</v>
      </c>
    </row>
    <row r="103">
      <c r="A103" s="21"/>
      <c r="B103" s="14" t="s">
        <v>233</v>
      </c>
      <c r="C103" s="20" t="s">
        <v>28</v>
      </c>
    </row>
    <row r="104">
      <c r="A104" s="21"/>
      <c r="B104" s="14" t="s">
        <v>235</v>
      </c>
      <c r="C104" s="20" t="s">
        <v>28</v>
      </c>
    </row>
    <row r="105">
      <c r="A105" s="21"/>
      <c r="B105" s="14" t="s">
        <v>238</v>
      </c>
      <c r="C105" s="20" t="s">
        <v>28</v>
      </c>
    </row>
    <row r="106">
      <c r="A106" s="21"/>
      <c r="B106" s="14" t="s">
        <v>239</v>
      </c>
      <c r="C106" s="20" t="s">
        <v>28</v>
      </c>
    </row>
    <row r="107">
      <c r="A107" s="21"/>
      <c r="B107" s="14" t="s">
        <v>240</v>
      </c>
      <c r="C107" s="20" t="s">
        <v>28</v>
      </c>
    </row>
    <row r="108">
      <c r="A108" s="21"/>
      <c r="B108" s="14" t="s">
        <v>241</v>
      </c>
      <c r="C108" s="20" t="s">
        <v>28</v>
      </c>
    </row>
    <row r="109">
      <c r="A109" s="12">
        <v>12.0</v>
      </c>
      <c r="B109" s="14" t="s">
        <v>246</v>
      </c>
      <c r="C109" s="20" t="s">
        <v>28</v>
      </c>
    </row>
    <row r="110">
      <c r="A110" s="21"/>
      <c r="B110" s="14" t="s">
        <v>247</v>
      </c>
      <c r="C110" s="20" t="s">
        <v>28</v>
      </c>
    </row>
    <row r="111">
      <c r="A111" s="21"/>
      <c r="B111" s="14" t="s">
        <v>248</v>
      </c>
      <c r="C111" s="20" t="s">
        <v>28</v>
      </c>
    </row>
    <row r="112">
      <c r="A112" s="21"/>
      <c r="B112" s="14" t="s">
        <v>249</v>
      </c>
      <c r="C112" s="20" t="s">
        <v>28</v>
      </c>
    </row>
    <row r="113">
      <c r="A113" s="21"/>
      <c r="B113" s="14" t="s">
        <v>250</v>
      </c>
      <c r="C113" s="20" t="s">
        <v>28</v>
      </c>
    </row>
    <row r="114">
      <c r="A114" s="21"/>
      <c r="B114" s="14" t="s">
        <v>253</v>
      </c>
      <c r="C114" s="20" t="s">
        <v>28</v>
      </c>
    </row>
    <row r="115">
      <c r="A115" s="21"/>
      <c r="B115" s="14" t="s">
        <v>254</v>
      </c>
      <c r="C115" s="20" t="s">
        <v>28</v>
      </c>
    </row>
    <row r="116">
      <c r="A116" s="21"/>
      <c r="B116" s="14" t="s">
        <v>255</v>
      </c>
      <c r="C116" s="20" t="s">
        <v>28</v>
      </c>
    </row>
    <row r="117">
      <c r="A117" s="21"/>
      <c r="B117" s="14" t="s">
        <v>256</v>
      </c>
      <c r="C117" s="20" t="s">
        <v>28</v>
      </c>
    </row>
    <row r="118">
      <c r="A118" s="21"/>
      <c r="B118" s="14" t="s">
        <v>257</v>
      </c>
      <c r="C118" s="20" t="s">
        <v>28</v>
      </c>
    </row>
    <row r="119">
      <c r="A119" s="12">
        <v>13.0</v>
      </c>
      <c r="B119" s="14" t="s">
        <v>260</v>
      </c>
      <c r="C119" s="20" t="s">
        <v>28</v>
      </c>
    </row>
    <row r="120">
      <c r="A120" s="21"/>
      <c r="B120" s="14" t="s">
        <v>261</v>
      </c>
      <c r="C120" s="20" t="s">
        <v>28</v>
      </c>
    </row>
    <row r="121">
      <c r="A121" s="21"/>
      <c r="B121" s="14" t="s">
        <v>262</v>
      </c>
      <c r="C121" s="20" t="s">
        <v>28</v>
      </c>
    </row>
    <row r="122">
      <c r="A122" s="21"/>
      <c r="B122" s="14" t="s">
        <v>263</v>
      </c>
      <c r="C122" s="20" t="s">
        <v>28</v>
      </c>
    </row>
    <row r="123">
      <c r="A123" s="21"/>
      <c r="B123" s="14" t="s">
        <v>264</v>
      </c>
      <c r="C123" s="20" t="s">
        <v>28</v>
      </c>
    </row>
    <row r="124">
      <c r="A124" s="21"/>
      <c r="B124" s="14" t="s">
        <v>266</v>
      </c>
      <c r="C124" s="20" t="s">
        <v>28</v>
      </c>
    </row>
    <row r="125">
      <c r="A125" s="21"/>
      <c r="B125" s="14" t="s">
        <v>268</v>
      </c>
      <c r="C125" s="20" t="s">
        <v>28</v>
      </c>
    </row>
    <row r="126">
      <c r="A126" s="21"/>
      <c r="B126" s="14" t="s">
        <v>271</v>
      </c>
      <c r="C126" s="20" t="s">
        <v>28</v>
      </c>
    </row>
    <row r="127">
      <c r="A127" s="21"/>
      <c r="B127" s="14" t="s">
        <v>272</v>
      </c>
      <c r="C127" s="20" t="s">
        <v>28</v>
      </c>
    </row>
    <row r="128">
      <c r="A128" s="12">
        <v>14.0</v>
      </c>
      <c r="B128" s="14" t="s">
        <v>275</v>
      </c>
      <c r="C128" s="20" t="s">
        <v>28</v>
      </c>
    </row>
    <row r="129">
      <c r="A129" s="21"/>
      <c r="B129" s="14" t="s">
        <v>277</v>
      </c>
      <c r="C129" s="20" t="s">
        <v>28</v>
      </c>
    </row>
    <row r="130">
      <c r="A130" s="21"/>
      <c r="B130" s="14" t="s">
        <v>279</v>
      </c>
      <c r="C130" s="20" t="s">
        <v>28</v>
      </c>
    </row>
    <row r="131">
      <c r="A131" s="21"/>
      <c r="B131" s="14" t="s">
        <v>282</v>
      </c>
      <c r="C131" s="20" t="s">
        <v>28</v>
      </c>
    </row>
    <row r="132">
      <c r="A132" s="21"/>
      <c r="B132" s="14" t="s">
        <v>283</v>
      </c>
      <c r="C132" s="20" t="s">
        <v>28</v>
      </c>
    </row>
    <row r="133">
      <c r="A133" s="21"/>
      <c r="B133" s="14" t="s">
        <v>286</v>
      </c>
      <c r="C133" s="20" t="s">
        <v>28</v>
      </c>
    </row>
    <row r="134">
      <c r="A134" s="21"/>
      <c r="B134" s="14" t="s">
        <v>289</v>
      </c>
      <c r="C134" s="20" t="s">
        <v>28</v>
      </c>
    </row>
    <row r="135">
      <c r="A135" s="21"/>
      <c r="B135" s="14" t="s">
        <v>290</v>
      </c>
      <c r="C135" s="20" t="s">
        <v>28</v>
      </c>
    </row>
    <row r="136">
      <c r="A136" s="21"/>
      <c r="B136" s="14" t="s">
        <v>293</v>
      </c>
      <c r="C136" s="20" t="s">
        <v>28</v>
      </c>
    </row>
    <row r="137">
      <c r="A137" s="21"/>
      <c r="B137" s="14" t="s">
        <v>296</v>
      </c>
      <c r="C137" s="20" t="s">
        <v>28</v>
      </c>
    </row>
    <row r="138">
      <c r="A138" s="21"/>
      <c r="B138" s="14" t="s">
        <v>297</v>
      </c>
      <c r="C138" s="20" t="s">
        <v>28</v>
      </c>
    </row>
    <row r="139">
      <c r="A139" s="12">
        <v>15.0</v>
      </c>
      <c r="B139" s="14" t="s">
        <v>300</v>
      </c>
      <c r="C139" s="20" t="s">
        <v>28</v>
      </c>
    </row>
    <row r="140">
      <c r="A140" s="21"/>
      <c r="B140" s="14" t="s">
        <v>301</v>
      </c>
      <c r="C140" s="20" t="s">
        <v>28</v>
      </c>
    </row>
    <row r="141">
      <c r="A141" s="21"/>
      <c r="B141" s="14" t="s">
        <v>304</v>
      </c>
      <c r="C141" s="20" t="s">
        <v>28</v>
      </c>
    </row>
    <row r="142">
      <c r="A142" s="21"/>
      <c r="B142" s="14" t="s">
        <v>306</v>
      </c>
      <c r="C142" s="20" t="s">
        <v>28</v>
      </c>
    </row>
    <row r="143">
      <c r="A143" s="21"/>
      <c r="B143" s="14" t="s">
        <v>308</v>
      </c>
      <c r="C143" s="20" t="s">
        <v>28</v>
      </c>
    </row>
    <row r="144">
      <c r="A144" s="12">
        <v>16.0</v>
      </c>
      <c r="B144" s="14" t="s">
        <v>311</v>
      </c>
      <c r="C144" s="20" t="s">
        <v>28</v>
      </c>
    </row>
    <row r="145">
      <c r="A145" s="21"/>
      <c r="B145" s="14" t="s">
        <v>312</v>
      </c>
      <c r="C145" s="20" t="s">
        <v>28</v>
      </c>
    </row>
    <row r="146">
      <c r="A146" s="21"/>
      <c r="B146" s="14" t="s">
        <v>315</v>
      </c>
      <c r="C146" s="20" t="s">
        <v>28</v>
      </c>
    </row>
    <row r="147">
      <c r="A147" s="12">
        <v>17.0</v>
      </c>
      <c r="B147" s="14" t="s">
        <v>316</v>
      </c>
      <c r="C147" s="20" t="s">
        <v>28</v>
      </c>
    </row>
    <row r="148">
      <c r="A148" s="21"/>
      <c r="B148" s="14" t="s">
        <v>319</v>
      </c>
      <c r="C148" s="20" t="s">
        <v>28</v>
      </c>
    </row>
    <row r="149">
      <c r="A149" s="21"/>
      <c r="B149" s="14" t="s">
        <v>175</v>
      </c>
      <c r="C149" s="20" t="s">
        <v>28</v>
      </c>
    </row>
    <row r="150">
      <c r="A150" s="12">
        <v>18.0</v>
      </c>
      <c r="B150" s="14" t="s">
        <v>323</v>
      </c>
      <c r="C150" s="20" t="s">
        <v>28</v>
      </c>
    </row>
    <row r="151">
      <c r="A151" s="21"/>
      <c r="B151" s="14" t="s">
        <v>325</v>
      </c>
      <c r="C151" s="20" t="s">
        <v>28</v>
      </c>
    </row>
    <row r="152">
      <c r="A152" s="21"/>
      <c r="B152" s="14" t="s">
        <v>328</v>
      </c>
      <c r="C152" s="20" t="s">
        <v>28</v>
      </c>
    </row>
    <row r="153">
      <c r="A153" s="21"/>
      <c r="B153" s="14" t="s">
        <v>330</v>
      </c>
      <c r="C153" s="20" t="s">
        <v>28</v>
      </c>
    </row>
    <row r="154">
      <c r="A154" s="21"/>
      <c r="B154" s="14" t="s">
        <v>332</v>
      </c>
      <c r="C154" s="20" t="s">
        <v>28</v>
      </c>
    </row>
    <row r="155">
      <c r="A155" s="21"/>
      <c r="B155" s="14" t="s">
        <v>333</v>
      </c>
      <c r="C155" s="20" t="s">
        <v>28</v>
      </c>
    </row>
    <row r="156">
      <c r="A156" s="21"/>
      <c r="B156" s="14" t="s">
        <v>336</v>
      </c>
      <c r="C156" s="20" t="s">
        <v>28</v>
      </c>
    </row>
    <row r="157">
      <c r="A157" s="21"/>
      <c r="B157" s="14" t="s">
        <v>337</v>
      </c>
      <c r="C157" s="20" t="s">
        <v>28</v>
      </c>
    </row>
    <row r="158">
      <c r="A158" s="21"/>
      <c r="B158" s="14" t="s">
        <v>338</v>
      </c>
      <c r="C158" s="20" t="s">
        <v>28</v>
      </c>
    </row>
    <row r="159">
      <c r="A159" s="21"/>
      <c r="B159" s="14" t="s">
        <v>341</v>
      </c>
      <c r="C159" s="20" t="s">
        <v>28</v>
      </c>
    </row>
    <row r="160">
      <c r="A160" s="21"/>
      <c r="B160" s="14" t="s">
        <v>342</v>
      </c>
      <c r="C160" s="20" t="s">
        <v>28</v>
      </c>
    </row>
    <row r="161">
      <c r="A161" s="12">
        <v>19.0</v>
      </c>
      <c r="B161" s="14" t="s">
        <v>343</v>
      </c>
      <c r="C161" s="20" t="s">
        <v>28</v>
      </c>
    </row>
    <row r="162">
      <c r="A162" s="21"/>
      <c r="B162" s="14" t="s">
        <v>345</v>
      </c>
      <c r="C162" s="20" t="s">
        <v>28</v>
      </c>
    </row>
    <row r="163">
      <c r="A163" s="21"/>
      <c r="B163" s="14" t="s">
        <v>347</v>
      </c>
      <c r="C163" s="20" t="s">
        <v>28</v>
      </c>
    </row>
    <row r="164">
      <c r="A164" s="21"/>
      <c r="B164" s="14" t="s">
        <v>348</v>
      </c>
      <c r="C164" s="20" t="s">
        <v>28</v>
      </c>
    </row>
    <row r="165">
      <c r="A165" s="21"/>
      <c r="B165" s="14" t="s">
        <v>351</v>
      </c>
      <c r="C165" s="20" t="s">
        <v>28</v>
      </c>
    </row>
    <row r="166">
      <c r="A166" s="21"/>
      <c r="B166" s="14" t="s">
        <v>352</v>
      </c>
      <c r="C166" s="20" t="s">
        <v>28</v>
      </c>
    </row>
    <row r="167">
      <c r="A167" s="21"/>
      <c r="B167" s="14" t="s">
        <v>353</v>
      </c>
      <c r="C167" s="20" t="s">
        <v>28</v>
      </c>
    </row>
    <row r="168">
      <c r="A168" s="21"/>
      <c r="B168" s="14" t="s">
        <v>354</v>
      </c>
      <c r="C168" s="20" t="s">
        <v>28</v>
      </c>
    </row>
    <row r="169">
      <c r="A169" s="21"/>
      <c r="B169" s="14" t="s">
        <v>355</v>
      </c>
      <c r="C169" s="20" t="s">
        <v>28</v>
      </c>
    </row>
    <row r="170">
      <c r="A170" s="12">
        <v>20.0</v>
      </c>
      <c r="B170" s="14" t="s">
        <v>356</v>
      </c>
      <c r="C170" s="20" t="s">
        <v>28</v>
      </c>
    </row>
    <row r="171">
      <c r="A171" s="21"/>
      <c r="B171" s="14" t="s">
        <v>357</v>
      </c>
      <c r="C171" s="20" t="s">
        <v>28</v>
      </c>
    </row>
    <row r="172">
      <c r="A172" s="21"/>
      <c r="B172" s="14" t="s">
        <v>358</v>
      </c>
      <c r="C172" s="20" t="s">
        <v>28</v>
      </c>
    </row>
    <row r="173">
      <c r="A173" s="21"/>
      <c r="B173" s="14" t="s">
        <v>359</v>
      </c>
      <c r="C173" s="20" t="s">
        <v>28</v>
      </c>
    </row>
    <row r="174">
      <c r="A174" s="21"/>
      <c r="B174" s="14" t="s">
        <v>360</v>
      </c>
      <c r="C174" s="20" t="s">
        <v>28</v>
      </c>
    </row>
    <row r="175">
      <c r="A175" s="21"/>
      <c r="B175" s="14" t="s">
        <v>361</v>
      </c>
      <c r="C175" s="20" t="s">
        <v>28</v>
      </c>
    </row>
    <row r="176">
      <c r="A176" s="21"/>
      <c r="B176" s="14" t="s">
        <v>362</v>
      </c>
      <c r="C176" s="20" t="s">
        <v>28</v>
      </c>
    </row>
    <row r="177">
      <c r="A177" s="21"/>
      <c r="B177" s="14" t="s">
        <v>363</v>
      </c>
      <c r="C177" s="20" t="s">
        <v>28</v>
      </c>
    </row>
    <row r="178">
      <c r="A178" s="12">
        <v>21.0</v>
      </c>
      <c r="B178" s="14" t="s">
        <v>364</v>
      </c>
      <c r="C178" s="20" t="s">
        <v>28</v>
      </c>
    </row>
    <row r="179">
      <c r="A179" s="21"/>
      <c r="B179" s="14" t="s">
        <v>365</v>
      </c>
      <c r="C179" s="20" t="s">
        <v>28</v>
      </c>
    </row>
    <row r="180">
      <c r="A180" s="21"/>
      <c r="B180" s="14" t="s">
        <v>366</v>
      </c>
      <c r="C180" s="20" t="s">
        <v>28</v>
      </c>
    </row>
    <row r="181">
      <c r="A181" s="21"/>
      <c r="B181" s="14" t="s">
        <v>367</v>
      </c>
      <c r="C181" s="20" t="s">
        <v>28</v>
      </c>
    </row>
    <row r="182">
      <c r="A182" s="21"/>
      <c r="B182" s="14" t="s">
        <v>368</v>
      </c>
      <c r="C182" s="20" t="s">
        <v>28</v>
      </c>
    </row>
    <row r="183">
      <c r="A183" s="21"/>
      <c r="B183" s="14" t="s">
        <v>369</v>
      </c>
      <c r="C183" s="20" t="s">
        <v>28</v>
      </c>
    </row>
    <row r="184">
      <c r="A184" s="21"/>
      <c r="B184" s="14" t="s">
        <v>370</v>
      </c>
      <c r="C184" s="20" t="s">
        <v>28</v>
      </c>
    </row>
    <row r="185">
      <c r="A185" s="21"/>
      <c r="B185" s="14" t="s">
        <v>371</v>
      </c>
      <c r="C185" s="20" t="s">
        <v>28</v>
      </c>
    </row>
    <row r="186">
      <c r="A186" s="21"/>
      <c r="B186" s="14" t="s">
        <v>372</v>
      </c>
      <c r="C186" s="20" t="s">
        <v>28</v>
      </c>
    </row>
    <row r="187">
      <c r="A187" s="12">
        <v>22.0</v>
      </c>
      <c r="B187" s="14" t="s">
        <v>373</v>
      </c>
      <c r="C187" s="20" t="s">
        <v>28</v>
      </c>
    </row>
    <row r="188">
      <c r="A188" s="21"/>
      <c r="B188" s="14" t="s">
        <v>374</v>
      </c>
      <c r="C188" s="20" t="s">
        <v>28</v>
      </c>
    </row>
    <row r="189">
      <c r="A189" s="21"/>
      <c r="B189" s="14" t="s">
        <v>375</v>
      </c>
      <c r="C189" s="20" t="s">
        <v>28</v>
      </c>
    </row>
    <row r="190">
      <c r="A190" s="21"/>
      <c r="B190" s="14" t="s">
        <v>376</v>
      </c>
      <c r="C190" s="20" t="s">
        <v>28</v>
      </c>
    </row>
    <row r="191">
      <c r="A191" s="21"/>
      <c r="B191" s="14" t="s">
        <v>377</v>
      </c>
      <c r="C191" s="20" t="s">
        <v>28</v>
      </c>
    </row>
    <row r="192">
      <c r="A192" s="21"/>
      <c r="B192" s="14" t="s">
        <v>378</v>
      </c>
      <c r="C192" s="20" t="s">
        <v>28</v>
      </c>
    </row>
    <row r="193">
      <c r="A193" s="21"/>
      <c r="B193" s="14" t="s">
        <v>379</v>
      </c>
      <c r="C193" s="20" t="s">
        <v>28</v>
      </c>
    </row>
    <row r="194">
      <c r="A194" s="21"/>
      <c r="B194" s="14" t="s">
        <v>380</v>
      </c>
      <c r="C194" s="20" t="s">
        <v>28</v>
      </c>
    </row>
    <row r="195">
      <c r="A195" s="21"/>
      <c r="B195" s="14" t="s">
        <v>381</v>
      </c>
      <c r="C195" s="20" t="s">
        <v>28</v>
      </c>
    </row>
    <row r="196">
      <c r="A196" s="12">
        <v>23.0</v>
      </c>
      <c r="B196" s="14" t="s">
        <v>382</v>
      </c>
      <c r="C196" s="20" t="s">
        <v>28</v>
      </c>
    </row>
    <row r="197">
      <c r="A197" s="21"/>
      <c r="B197" s="14" t="s">
        <v>384</v>
      </c>
      <c r="C197" s="20" t="s">
        <v>28</v>
      </c>
    </row>
    <row r="198">
      <c r="A198" s="21"/>
      <c r="B198" s="14" t="s">
        <v>385</v>
      </c>
      <c r="C198" s="20" t="s">
        <v>28</v>
      </c>
    </row>
    <row r="199">
      <c r="A199" s="21"/>
      <c r="B199" s="14" t="s">
        <v>386</v>
      </c>
      <c r="C199" s="20" t="s">
        <v>28</v>
      </c>
    </row>
    <row r="200">
      <c r="A200" s="21"/>
      <c r="B200" s="14" t="s">
        <v>387</v>
      </c>
      <c r="C200" s="20" t="s">
        <v>28</v>
      </c>
    </row>
    <row r="201">
      <c r="A201" s="21"/>
      <c r="B201" s="14" t="s">
        <v>388</v>
      </c>
      <c r="C201" s="20" t="s">
        <v>28</v>
      </c>
    </row>
    <row r="202">
      <c r="A202" s="21"/>
      <c r="B202" s="14" t="s">
        <v>389</v>
      </c>
      <c r="C202" s="20" t="s">
        <v>28</v>
      </c>
    </row>
    <row r="203">
      <c r="A203" s="21"/>
      <c r="B203" s="14" t="s">
        <v>390</v>
      </c>
      <c r="C203" s="20" t="s">
        <v>28</v>
      </c>
    </row>
    <row r="204">
      <c r="A204" s="21"/>
      <c r="B204" s="14" t="s">
        <v>391</v>
      </c>
      <c r="C204" s="20" t="s">
        <v>28</v>
      </c>
    </row>
    <row r="205">
      <c r="A205" s="21"/>
      <c r="B205" s="14" t="s">
        <v>392</v>
      </c>
      <c r="C205" s="20" t="s">
        <v>28</v>
      </c>
    </row>
    <row r="206">
      <c r="A206" s="21"/>
      <c r="B206" s="14" t="s">
        <v>393</v>
      </c>
      <c r="C206" s="20" t="s">
        <v>28</v>
      </c>
    </row>
    <row r="207">
      <c r="A207" s="21"/>
      <c r="B207" s="14" t="s">
        <v>394</v>
      </c>
      <c r="C207" s="20" t="s">
        <v>28</v>
      </c>
    </row>
    <row r="208">
      <c r="A208" s="12">
        <v>24.0</v>
      </c>
      <c r="B208" s="14" t="s">
        <v>395</v>
      </c>
      <c r="C208" s="20" t="s">
        <v>28</v>
      </c>
    </row>
    <row r="209">
      <c r="A209" s="21"/>
      <c r="B209" s="14" t="s">
        <v>396</v>
      </c>
      <c r="C209" s="20" t="s">
        <v>28</v>
      </c>
    </row>
    <row r="210">
      <c r="A210" s="21"/>
      <c r="B210" s="14" t="s">
        <v>397</v>
      </c>
      <c r="C210" s="20" t="s">
        <v>28</v>
      </c>
    </row>
    <row r="211">
      <c r="A211" s="21"/>
      <c r="B211" s="14" t="s">
        <v>398</v>
      </c>
      <c r="C211" s="20" t="s">
        <v>28</v>
      </c>
    </row>
    <row r="212">
      <c r="A212" s="21"/>
      <c r="B212" s="14" t="s">
        <v>399</v>
      </c>
      <c r="C212" s="20" t="s">
        <v>28</v>
      </c>
    </row>
    <row r="213">
      <c r="A213" s="21"/>
      <c r="B213" s="14" t="s">
        <v>400</v>
      </c>
      <c r="C213" s="20" t="s">
        <v>28</v>
      </c>
    </row>
    <row r="214">
      <c r="A214" s="21"/>
      <c r="B214" s="14" t="s">
        <v>401</v>
      </c>
      <c r="C214" s="20" t="s">
        <v>28</v>
      </c>
    </row>
    <row r="215">
      <c r="A215" s="21"/>
      <c r="B215" s="14" t="s">
        <v>402</v>
      </c>
      <c r="C215" s="20" t="s">
        <v>28</v>
      </c>
    </row>
    <row r="216">
      <c r="A216" s="21"/>
      <c r="B216" s="14" t="s">
        <v>403</v>
      </c>
      <c r="C216" s="20" t="s">
        <v>28</v>
      </c>
    </row>
    <row r="217">
      <c r="A217" s="12">
        <v>25.0</v>
      </c>
      <c r="B217" s="14" t="s">
        <v>404</v>
      </c>
      <c r="C217" s="20" t="s">
        <v>28</v>
      </c>
    </row>
    <row r="218">
      <c r="A218" s="21"/>
      <c r="B218" s="14" t="s">
        <v>405</v>
      </c>
      <c r="C218" s="20" t="s">
        <v>28</v>
      </c>
    </row>
    <row r="219">
      <c r="A219" s="21"/>
      <c r="B219" s="14" t="s">
        <v>406</v>
      </c>
      <c r="C219" s="20" t="s">
        <v>28</v>
      </c>
    </row>
    <row r="220">
      <c r="A220" s="21"/>
      <c r="B220" s="14" t="s">
        <v>407</v>
      </c>
      <c r="C220" s="20" t="s">
        <v>28</v>
      </c>
    </row>
    <row r="221">
      <c r="A221" s="21"/>
      <c r="B221" s="14" t="s">
        <v>408</v>
      </c>
      <c r="C221" s="20" t="s">
        <v>28</v>
      </c>
    </row>
    <row r="222">
      <c r="A222" s="12">
        <v>26.0</v>
      </c>
      <c r="B222" s="14" t="s">
        <v>409</v>
      </c>
      <c r="C222" s="20" t="s">
        <v>28</v>
      </c>
    </row>
    <row r="223">
      <c r="A223" s="21"/>
      <c r="B223" s="14" t="s">
        <v>312</v>
      </c>
      <c r="C223" s="20" t="s">
        <v>28</v>
      </c>
    </row>
    <row r="224">
      <c r="A224" s="21"/>
      <c r="B224" s="14" t="s">
        <v>315</v>
      </c>
      <c r="C224" s="20" t="s">
        <v>28</v>
      </c>
    </row>
    <row r="225">
      <c r="A225" s="12">
        <v>27.0</v>
      </c>
      <c r="B225" s="14" t="s">
        <v>410</v>
      </c>
      <c r="C225" s="20" t="s">
        <v>28</v>
      </c>
    </row>
    <row r="226">
      <c r="A226" s="21"/>
      <c r="B226" s="14" t="s">
        <v>411</v>
      </c>
      <c r="C226" s="20" t="s">
        <v>28</v>
      </c>
    </row>
    <row r="227">
      <c r="A227" s="21"/>
      <c r="B227" s="14" t="s">
        <v>175</v>
      </c>
      <c r="C227" s="20" t="s">
        <v>28</v>
      </c>
    </row>
    <row r="228">
      <c r="A228" s="12">
        <v>28.0</v>
      </c>
      <c r="B228" s="14" t="s">
        <v>412</v>
      </c>
      <c r="C228" s="20" t="s">
        <v>28</v>
      </c>
    </row>
    <row r="229">
      <c r="A229" s="21"/>
      <c r="B229" s="14" t="s">
        <v>413</v>
      </c>
      <c r="C229" s="20" t="s">
        <v>28</v>
      </c>
    </row>
    <row r="230">
      <c r="A230" s="21"/>
      <c r="B230" s="14" t="s">
        <v>414</v>
      </c>
      <c r="C230" s="20" t="s">
        <v>28</v>
      </c>
    </row>
    <row r="231">
      <c r="A231" s="21"/>
      <c r="B231" s="14" t="s">
        <v>415</v>
      </c>
      <c r="C231" s="20" t="s">
        <v>28</v>
      </c>
    </row>
    <row r="232">
      <c r="A232" s="21"/>
      <c r="B232" s="14" t="s">
        <v>416</v>
      </c>
      <c r="C232" s="20" t="s">
        <v>28</v>
      </c>
    </row>
    <row r="233">
      <c r="A233" s="21"/>
      <c r="B233" s="14" t="s">
        <v>417</v>
      </c>
      <c r="C233" s="20" t="s">
        <v>28</v>
      </c>
    </row>
    <row r="234">
      <c r="A234" s="21"/>
      <c r="B234" s="14" t="s">
        <v>418</v>
      </c>
      <c r="C234" s="20" t="s">
        <v>28</v>
      </c>
    </row>
    <row r="235">
      <c r="A235" s="21"/>
      <c r="B235" s="14" t="s">
        <v>419</v>
      </c>
      <c r="C235" s="20" t="s">
        <v>28</v>
      </c>
    </row>
    <row r="236">
      <c r="A236" s="21"/>
      <c r="B236" s="14" t="s">
        <v>420</v>
      </c>
      <c r="C236" s="20" t="s">
        <v>28</v>
      </c>
    </row>
    <row r="237">
      <c r="A237" s="21"/>
      <c r="B237" s="14" t="s">
        <v>421</v>
      </c>
      <c r="C237" s="20" t="s">
        <v>28</v>
      </c>
    </row>
    <row r="238">
      <c r="A238" s="21"/>
      <c r="B238" s="14" t="s">
        <v>422</v>
      </c>
      <c r="C238" s="20" t="s">
        <v>28</v>
      </c>
    </row>
    <row r="239">
      <c r="A239" s="21"/>
      <c r="B239" s="14" t="s">
        <v>423</v>
      </c>
      <c r="C239" s="20" t="s">
        <v>28</v>
      </c>
    </row>
    <row r="240">
      <c r="A240" s="12">
        <v>29.0</v>
      </c>
      <c r="B240" s="14" t="s">
        <v>424</v>
      </c>
      <c r="C240" s="20" t="s">
        <v>28</v>
      </c>
    </row>
    <row r="241">
      <c r="A241" s="21"/>
      <c r="B241" s="14" t="s">
        <v>425</v>
      </c>
      <c r="C241" s="20" t="s">
        <v>28</v>
      </c>
    </row>
    <row r="242">
      <c r="A242" s="21"/>
      <c r="B242" s="14" t="s">
        <v>426</v>
      </c>
      <c r="C242" s="20" t="s">
        <v>28</v>
      </c>
    </row>
    <row r="243">
      <c r="A243" s="21"/>
      <c r="B243" s="14" t="s">
        <v>427</v>
      </c>
      <c r="C243" s="20" t="s">
        <v>28</v>
      </c>
    </row>
    <row r="244">
      <c r="A244" s="21"/>
      <c r="B244" s="14" t="s">
        <v>428</v>
      </c>
      <c r="C244" s="20" t="s">
        <v>28</v>
      </c>
    </row>
    <row r="245">
      <c r="A245" s="21"/>
      <c r="B245" s="14" t="s">
        <v>429</v>
      </c>
      <c r="C245" s="20" t="s">
        <v>28</v>
      </c>
    </row>
    <row r="246">
      <c r="A246" s="21"/>
      <c r="B246" s="14" t="s">
        <v>430</v>
      </c>
      <c r="C246" s="20" t="s">
        <v>28</v>
      </c>
    </row>
    <row r="247">
      <c r="A247" s="21"/>
      <c r="B247" s="14" t="s">
        <v>431</v>
      </c>
      <c r="C247" s="20" t="s">
        <v>28</v>
      </c>
    </row>
    <row r="248">
      <c r="A248" s="21"/>
      <c r="B248" s="14" t="s">
        <v>432</v>
      </c>
      <c r="C248" s="20" t="s">
        <v>28</v>
      </c>
    </row>
    <row r="249">
      <c r="A249" s="21"/>
      <c r="B249" s="14" t="s">
        <v>433</v>
      </c>
      <c r="C249" s="20" t="s">
        <v>28</v>
      </c>
    </row>
    <row r="250">
      <c r="A250" s="21"/>
      <c r="B250" s="14" t="s">
        <v>434</v>
      </c>
      <c r="C250" s="20" t="s">
        <v>28</v>
      </c>
    </row>
    <row r="251">
      <c r="A251" s="12">
        <v>30.0</v>
      </c>
      <c r="B251" s="14" t="s">
        <v>435</v>
      </c>
      <c r="C251" s="20" t="s">
        <v>28</v>
      </c>
    </row>
    <row r="252">
      <c r="A252" s="21"/>
      <c r="B252" s="14" t="s">
        <v>436</v>
      </c>
      <c r="C252" s="20" t="s">
        <v>28</v>
      </c>
    </row>
    <row r="253">
      <c r="A253" s="21"/>
      <c r="B253" s="14" t="s">
        <v>437</v>
      </c>
      <c r="C253" s="20" t="s">
        <v>28</v>
      </c>
    </row>
    <row r="254">
      <c r="A254" s="21"/>
      <c r="B254" s="14" t="s">
        <v>438</v>
      </c>
      <c r="C254" s="20" t="s">
        <v>28</v>
      </c>
    </row>
    <row r="255">
      <c r="A255" s="21"/>
      <c r="B255" s="14" t="s">
        <v>439</v>
      </c>
      <c r="C255" s="20" t="s">
        <v>28</v>
      </c>
    </row>
    <row r="256">
      <c r="A256" s="21"/>
      <c r="B256" s="14" t="s">
        <v>440</v>
      </c>
      <c r="C256" s="20" t="s">
        <v>28</v>
      </c>
    </row>
    <row r="257">
      <c r="A257" s="21"/>
      <c r="B257" s="14" t="s">
        <v>441</v>
      </c>
      <c r="C257" s="20" t="s">
        <v>28</v>
      </c>
    </row>
    <row r="258">
      <c r="A258" s="21"/>
      <c r="B258" s="14" t="s">
        <v>442</v>
      </c>
      <c r="C258" s="20" t="s">
        <v>28</v>
      </c>
    </row>
    <row r="259">
      <c r="A259" s="21"/>
      <c r="B259" s="14" t="s">
        <v>443</v>
      </c>
      <c r="C259" s="20" t="s">
        <v>28</v>
      </c>
    </row>
    <row r="260">
      <c r="A260" s="21"/>
      <c r="B260" s="14" t="s">
        <v>444</v>
      </c>
      <c r="C260" s="20" t="s">
        <v>28</v>
      </c>
    </row>
    <row r="261">
      <c r="A261" s="21"/>
      <c r="B261" s="14" t="s">
        <v>445</v>
      </c>
      <c r="C261" s="20" t="s">
        <v>28</v>
      </c>
    </row>
    <row r="262">
      <c r="A262" s="12">
        <v>31.0</v>
      </c>
      <c r="B262" s="14" t="s">
        <v>446</v>
      </c>
      <c r="C262" s="20" t="s">
        <v>28</v>
      </c>
    </row>
    <row r="263">
      <c r="A263" s="21"/>
      <c r="B263" s="14" t="s">
        <v>447</v>
      </c>
      <c r="C263" s="20" t="s">
        <v>28</v>
      </c>
    </row>
    <row r="264">
      <c r="A264" s="21"/>
      <c r="B264" s="14" t="s">
        <v>448</v>
      </c>
      <c r="C264" s="20" t="s">
        <v>28</v>
      </c>
    </row>
    <row r="265">
      <c r="A265" s="21"/>
      <c r="B265" s="14" t="s">
        <v>449</v>
      </c>
      <c r="C265" s="20" t="s">
        <v>28</v>
      </c>
    </row>
    <row r="266">
      <c r="A266" s="21"/>
      <c r="B266" s="14" t="s">
        <v>450</v>
      </c>
      <c r="C266" s="20" t="s">
        <v>28</v>
      </c>
    </row>
    <row r="267">
      <c r="A267" s="21"/>
      <c r="B267" s="14" t="s">
        <v>451</v>
      </c>
      <c r="C267" s="20" t="s">
        <v>28</v>
      </c>
    </row>
    <row r="268">
      <c r="A268" s="21"/>
      <c r="B268" s="14" t="s">
        <v>452</v>
      </c>
      <c r="C268" s="20" t="s">
        <v>28</v>
      </c>
    </row>
    <row r="269">
      <c r="A269" s="21"/>
      <c r="B269" s="14" t="s">
        <v>453</v>
      </c>
      <c r="C269" s="20" t="s">
        <v>28</v>
      </c>
    </row>
    <row r="270">
      <c r="A270" s="21"/>
      <c r="B270" s="14" t="s">
        <v>454</v>
      </c>
      <c r="C270" s="20" t="s">
        <v>28</v>
      </c>
    </row>
    <row r="271">
      <c r="A271" s="21"/>
      <c r="B271" s="14" t="s">
        <v>455</v>
      </c>
      <c r="C271" s="20" t="s">
        <v>28</v>
      </c>
    </row>
    <row r="272">
      <c r="A272" s="21"/>
      <c r="B272" s="14" t="s">
        <v>456</v>
      </c>
      <c r="C272" s="20" t="s">
        <v>28</v>
      </c>
    </row>
    <row r="273">
      <c r="A273" s="21"/>
      <c r="B273" s="14" t="s">
        <v>457</v>
      </c>
      <c r="C273" s="20" t="s">
        <v>28</v>
      </c>
    </row>
    <row r="274">
      <c r="A274" s="12">
        <v>32.0</v>
      </c>
      <c r="B274" s="14" t="s">
        <v>458</v>
      </c>
      <c r="C274" s="20" t="s">
        <v>28</v>
      </c>
    </row>
    <row r="275">
      <c r="A275" s="21"/>
      <c r="B275" s="14" t="s">
        <v>459</v>
      </c>
      <c r="C275" s="20" t="s">
        <v>28</v>
      </c>
    </row>
    <row r="276">
      <c r="A276" s="21"/>
      <c r="B276" s="14" t="s">
        <v>460</v>
      </c>
      <c r="C276" s="20" t="s">
        <v>28</v>
      </c>
    </row>
    <row r="277">
      <c r="A277" s="21"/>
      <c r="B277" s="14" t="s">
        <v>461</v>
      </c>
      <c r="C277" s="20" t="s">
        <v>28</v>
      </c>
    </row>
    <row r="278">
      <c r="A278" s="21"/>
      <c r="B278" s="14" t="s">
        <v>462</v>
      </c>
      <c r="C278" s="20" t="s">
        <v>28</v>
      </c>
    </row>
    <row r="279">
      <c r="A279" s="21"/>
      <c r="B279" s="14" t="s">
        <v>463</v>
      </c>
      <c r="C279" s="20" t="s">
        <v>28</v>
      </c>
    </row>
    <row r="280">
      <c r="A280" s="21"/>
      <c r="B280" s="14" t="s">
        <v>464</v>
      </c>
      <c r="C280" s="20" t="s">
        <v>28</v>
      </c>
    </row>
    <row r="281">
      <c r="A281" s="21"/>
      <c r="B281" s="14" t="s">
        <v>465</v>
      </c>
      <c r="C281" s="20" t="s">
        <v>28</v>
      </c>
    </row>
    <row r="282">
      <c r="A282" s="21"/>
      <c r="B282" s="14" t="s">
        <v>466</v>
      </c>
      <c r="C282" s="20" t="s">
        <v>28</v>
      </c>
    </row>
    <row r="283">
      <c r="A283" s="12">
        <v>33.0</v>
      </c>
      <c r="B283" s="14" t="s">
        <v>467</v>
      </c>
      <c r="C283" s="20" t="s">
        <v>28</v>
      </c>
    </row>
    <row r="284">
      <c r="A284" s="21"/>
      <c r="B284" s="14" t="s">
        <v>468</v>
      </c>
      <c r="C284" s="20" t="s">
        <v>28</v>
      </c>
    </row>
    <row r="285">
      <c r="A285" s="21"/>
      <c r="B285" s="14" t="s">
        <v>469</v>
      </c>
      <c r="C285" s="20" t="s">
        <v>28</v>
      </c>
    </row>
    <row r="286">
      <c r="A286" s="21"/>
      <c r="B286" s="14" t="s">
        <v>470</v>
      </c>
      <c r="C286" s="20" t="s">
        <v>28</v>
      </c>
    </row>
    <row r="287">
      <c r="A287" s="21"/>
      <c r="B287" s="14" t="s">
        <v>471</v>
      </c>
      <c r="C287" s="20" t="s">
        <v>28</v>
      </c>
    </row>
    <row r="288">
      <c r="A288" s="21"/>
      <c r="B288" s="14" t="s">
        <v>472</v>
      </c>
      <c r="C288" s="20" t="s">
        <v>28</v>
      </c>
    </row>
    <row r="289">
      <c r="A289" s="21"/>
      <c r="B289" s="14" t="s">
        <v>473</v>
      </c>
      <c r="C289" s="20" t="s">
        <v>28</v>
      </c>
    </row>
    <row r="290">
      <c r="A290" s="21"/>
      <c r="B290" s="14" t="s">
        <v>474</v>
      </c>
      <c r="C290" s="20" t="s">
        <v>28</v>
      </c>
    </row>
    <row r="291">
      <c r="A291" s="21"/>
      <c r="B291" s="14" t="s">
        <v>475</v>
      </c>
      <c r="C291" s="20" t="s">
        <v>28</v>
      </c>
    </row>
    <row r="292">
      <c r="A292" s="12">
        <v>34.0</v>
      </c>
      <c r="B292" s="14" t="s">
        <v>476</v>
      </c>
      <c r="C292" s="20" t="s">
        <v>28</v>
      </c>
    </row>
    <row r="293">
      <c r="A293" s="21"/>
      <c r="B293" s="14" t="s">
        <v>477</v>
      </c>
      <c r="C293" s="20" t="s">
        <v>28</v>
      </c>
    </row>
    <row r="294">
      <c r="A294" s="21"/>
      <c r="B294" s="14" t="s">
        <v>478</v>
      </c>
      <c r="C294" s="20" t="s">
        <v>28</v>
      </c>
    </row>
    <row r="295">
      <c r="A295" s="21"/>
      <c r="B295" s="14" t="s">
        <v>479</v>
      </c>
      <c r="C295" s="20" t="s">
        <v>28</v>
      </c>
    </row>
    <row r="296">
      <c r="A296" s="21"/>
      <c r="B296" s="14" t="s">
        <v>480</v>
      </c>
      <c r="C296" s="20" t="s">
        <v>28</v>
      </c>
    </row>
    <row r="297">
      <c r="A297" s="12">
        <v>35.0</v>
      </c>
      <c r="B297" s="14" t="s">
        <v>481</v>
      </c>
      <c r="C297" s="20" t="s">
        <v>28</v>
      </c>
    </row>
    <row r="298">
      <c r="A298" s="21"/>
      <c r="B298" s="14" t="s">
        <v>312</v>
      </c>
      <c r="C298" s="20" t="s">
        <v>28</v>
      </c>
    </row>
    <row r="299">
      <c r="A299" s="21"/>
      <c r="B299" s="14" t="s">
        <v>315</v>
      </c>
      <c r="C299" s="20" t="s">
        <v>28</v>
      </c>
    </row>
    <row r="300">
      <c r="A300" s="12">
        <v>36.0</v>
      </c>
      <c r="B300" s="14" t="s">
        <v>482</v>
      </c>
      <c r="C300" s="20" t="s">
        <v>28</v>
      </c>
    </row>
    <row r="301">
      <c r="A301" s="21"/>
      <c r="B301" s="14" t="s">
        <v>483</v>
      </c>
      <c r="C301" s="20" t="s">
        <v>28</v>
      </c>
    </row>
    <row r="302">
      <c r="A302" s="21"/>
      <c r="B302" s="14" t="s">
        <v>175</v>
      </c>
      <c r="C302" s="20" t="s">
        <v>28</v>
      </c>
    </row>
    <row r="303">
      <c r="A303" s="12">
        <v>37.0</v>
      </c>
      <c r="B303" s="14" t="s">
        <v>484</v>
      </c>
      <c r="C303" s="20" t="s">
        <v>28</v>
      </c>
    </row>
    <row r="304">
      <c r="A304" s="21"/>
      <c r="B304" s="14" t="s">
        <v>485</v>
      </c>
      <c r="C304" s="20" t="s">
        <v>28</v>
      </c>
    </row>
    <row r="305">
      <c r="A305" s="21"/>
      <c r="B305" s="14" t="s">
        <v>486</v>
      </c>
      <c r="C305" s="20" t="s">
        <v>28</v>
      </c>
    </row>
    <row r="306">
      <c r="A306" s="21"/>
      <c r="B306" s="14" t="s">
        <v>487</v>
      </c>
      <c r="C306" s="20" t="s">
        <v>28</v>
      </c>
    </row>
    <row r="307">
      <c r="A307" s="21"/>
      <c r="B307" s="14" t="s">
        <v>488</v>
      </c>
      <c r="C307" s="20" t="s">
        <v>28</v>
      </c>
    </row>
    <row r="308">
      <c r="A308" s="21"/>
      <c r="B308" s="14" t="s">
        <v>489</v>
      </c>
      <c r="C308" s="20" t="s">
        <v>28</v>
      </c>
    </row>
    <row r="309">
      <c r="A309" s="21"/>
      <c r="B309" s="14" t="s">
        <v>490</v>
      </c>
      <c r="C309" s="20" t="s">
        <v>28</v>
      </c>
    </row>
    <row r="310">
      <c r="A310" s="21"/>
      <c r="B310" s="14" t="s">
        <v>491</v>
      </c>
      <c r="C310" s="20" t="s">
        <v>28</v>
      </c>
    </row>
    <row r="311">
      <c r="A311" s="21"/>
      <c r="B311" s="14" t="s">
        <v>492</v>
      </c>
      <c r="C311" s="20" t="s">
        <v>28</v>
      </c>
    </row>
    <row r="312">
      <c r="A312" s="21"/>
      <c r="B312" s="14" t="s">
        <v>493</v>
      </c>
      <c r="C312" s="20" t="s">
        <v>28</v>
      </c>
    </row>
    <row r="313">
      <c r="A313" s="21"/>
      <c r="B313" s="14" t="s">
        <v>494</v>
      </c>
      <c r="C313" s="20" t="s">
        <v>28</v>
      </c>
    </row>
    <row r="314">
      <c r="A314" s="21"/>
      <c r="B314" s="14" t="s">
        <v>495</v>
      </c>
      <c r="C314" s="20" t="s">
        <v>28</v>
      </c>
    </row>
    <row r="315">
      <c r="A315" s="12">
        <v>38.0</v>
      </c>
      <c r="B315" s="14" t="s">
        <v>496</v>
      </c>
      <c r="C315" s="20" t="s">
        <v>28</v>
      </c>
    </row>
    <row r="316">
      <c r="A316" s="21"/>
      <c r="B316" s="14" t="s">
        <v>497</v>
      </c>
      <c r="C316" s="20" t="s">
        <v>28</v>
      </c>
    </row>
    <row r="317">
      <c r="A317" s="21"/>
      <c r="B317" s="14" t="s">
        <v>498</v>
      </c>
      <c r="C317" s="20" t="s">
        <v>28</v>
      </c>
    </row>
    <row r="318">
      <c r="A318" s="21"/>
      <c r="B318" s="14" t="s">
        <v>499</v>
      </c>
      <c r="C318" s="20" t="s">
        <v>28</v>
      </c>
    </row>
    <row r="319">
      <c r="A319" s="21"/>
      <c r="B319" s="14" t="s">
        <v>500</v>
      </c>
      <c r="C319" s="20" t="s">
        <v>28</v>
      </c>
    </row>
    <row r="320">
      <c r="A320" s="21"/>
      <c r="B320" s="14" t="s">
        <v>501</v>
      </c>
      <c r="C320" s="20" t="s">
        <v>28</v>
      </c>
    </row>
    <row r="321">
      <c r="A321" s="21"/>
      <c r="B321" s="14" t="s">
        <v>502</v>
      </c>
      <c r="C321" s="20" t="s">
        <v>28</v>
      </c>
    </row>
    <row r="322">
      <c r="A322" s="21"/>
      <c r="B322" s="14" t="s">
        <v>503</v>
      </c>
      <c r="C322" s="20" t="s">
        <v>28</v>
      </c>
    </row>
    <row r="323">
      <c r="A323" s="21"/>
      <c r="B323" s="14" t="s">
        <v>504</v>
      </c>
      <c r="C323" s="20" t="s">
        <v>28</v>
      </c>
    </row>
    <row r="324">
      <c r="A324" s="21"/>
      <c r="B324" s="14" t="s">
        <v>505</v>
      </c>
      <c r="C324" s="20" t="s">
        <v>28</v>
      </c>
    </row>
    <row r="325">
      <c r="A325" s="21"/>
      <c r="B325" s="14" t="s">
        <v>506</v>
      </c>
      <c r="C325" s="20" t="s">
        <v>28</v>
      </c>
    </row>
    <row r="326">
      <c r="A326" s="21"/>
      <c r="B326" s="14" t="s">
        <v>507</v>
      </c>
      <c r="C326" s="20" t="s">
        <v>28</v>
      </c>
    </row>
    <row r="327">
      <c r="A327" s="21"/>
      <c r="B327" s="14" t="s">
        <v>508</v>
      </c>
      <c r="C327" s="20" t="s">
        <v>28</v>
      </c>
    </row>
    <row r="328">
      <c r="A328" s="12">
        <v>39.0</v>
      </c>
      <c r="B328" s="14" t="s">
        <v>509</v>
      </c>
      <c r="C328" s="20" t="s">
        <v>28</v>
      </c>
    </row>
    <row r="329">
      <c r="A329" s="21"/>
      <c r="B329" s="14" t="s">
        <v>510</v>
      </c>
      <c r="C329" s="20" t="s">
        <v>28</v>
      </c>
    </row>
    <row r="330">
      <c r="A330" s="21"/>
      <c r="B330" s="14" t="s">
        <v>511</v>
      </c>
      <c r="C330" s="20" t="s">
        <v>28</v>
      </c>
    </row>
    <row r="331">
      <c r="A331" s="21"/>
      <c r="B331" s="14" t="s">
        <v>512</v>
      </c>
      <c r="C331" s="20" t="s">
        <v>28</v>
      </c>
    </row>
    <row r="332">
      <c r="A332" s="21"/>
      <c r="B332" s="14" t="s">
        <v>513</v>
      </c>
      <c r="C332" s="20" t="s">
        <v>28</v>
      </c>
    </row>
    <row r="333">
      <c r="A333" s="21"/>
      <c r="B333" s="14" t="s">
        <v>514</v>
      </c>
      <c r="C333" s="20" t="s">
        <v>28</v>
      </c>
    </row>
    <row r="334">
      <c r="A334" s="21"/>
      <c r="B334" s="14" t="s">
        <v>515</v>
      </c>
      <c r="C334" s="20" t="s">
        <v>28</v>
      </c>
    </row>
    <row r="335">
      <c r="A335" s="21"/>
      <c r="B335" s="14" t="s">
        <v>516</v>
      </c>
      <c r="C335" s="20" t="s">
        <v>28</v>
      </c>
    </row>
    <row r="336">
      <c r="A336" s="21"/>
      <c r="B336" s="14" t="s">
        <v>517</v>
      </c>
      <c r="C336" s="20" t="s">
        <v>28</v>
      </c>
    </row>
    <row r="337">
      <c r="A337" s="21"/>
      <c r="B337" s="14" t="s">
        <v>518</v>
      </c>
      <c r="C337" s="20" t="s">
        <v>28</v>
      </c>
    </row>
    <row r="338">
      <c r="A338" s="12">
        <v>40.0</v>
      </c>
      <c r="B338" s="14" t="s">
        <v>519</v>
      </c>
      <c r="C338" s="20" t="s">
        <v>28</v>
      </c>
    </row>
    <row r="339">
      <c r="A339" s="21"/>
      <c r="B339" s="14" t="s">
        <v>520</v>
      </c>
      <c r="C339" s="20" t="s">
        <v>28</v>
      </c>
    </row>
    <row r="340">
      <c r="A340" s="21"/>
      <c r="B340" s="14" t="s">
        <v>521</v>
      </c>
      <c r="C340" s="20" t="s">
        <v>28</v>
      </c>
    </row>
    <row r="341">
      <c r="A341" s="21"/>
      <c r="B341" s="14" t="s">
        <v>522</v>
      </c>
      <c r="C341" s="20" t="s">
        <v>28</v>
      </c>
    </row>
    <row r="342">
      <c r="A342" s="21"/>
      <c r="B342" s="14" t="s">
        <v>523</v>
      </c>
      <c r="C342" s="20" t="s">
        <v>28</v>
      </c>
    </row>
    <row r="343">
      <c r="A343" s="21"/>
      <c r="B343" s="14" t="s">
        <v>524</v>
      </c>
      <c r="C343" s="20" t="s">
        <v>28</v>
      </c>
    </row>
    <row r="344">
      <c r="A344" s="21"/>
      <c r="B344" s="14" t="s">
        <v>525</v>
      </c>
      <c r="C344" s="20" t="s">
        <v>28</v>
      </c>
    </row>
    <row r="345">
      <c r="A345" s="21"/>
      <c r="B345" s="14" t="s">
        <v>526</v>
      </c>
      <c r="C345" s="20" t="s">
        <v>28</v>
      </c>
    </row>
    <row r="346">
      <c r="A346" s="21"/>
      <c r="B346" s="14" t="s">
        <v>527</v>
      </c>
      <c r="C346" s="20" t="s">
        <v>28</v>
      </c>
    </row>
    <row r="347">
      <c r="A347" s="21"/>
      <c r="B347" s="14" t="s">
        <v>528</v>
      </c>
      <c r="C347" s="20" t="s">
        <v>28</v>
      </c>
    </row>
    <row r="348">
      <c r="A348" s="12">
        <v>41.0</v>
      </c>
      <c r="B348" s="14" t="s">
        <v>529</v>
      </c>
      <c r="C348" s="20" t="s">
        <v>28</v>
      </c>
    </row>
    <row r="349">
      <c r="A349" s="21"/>
      <c r="B349" s="14" t="s">
        <v>530</v>
      </c>
      <c r="C349" s="20" t="s">
        <v>28</v>
      </c>
    </row>
    <row r="350">
      <c r="A350" s="21"/>
      <c r="B350" s="14" t="s">
        <v>531</v>
      </c>
      <c r="C350" s="20" t="s">
        <v>28</v>
      </c>
    </row>
    <row r="351">
      <c r="A351" s="21"/>
      <c r="B351" s="14" t="s">
        <v>532</v>
      </c>
      <c r="C351" s="20" t="s">
        <v>28</v>
      </c>
    </row>
    <row r="352">
      <c r="A352" s="21"/>
      <c r="B352" s="14" t="s">
        <v>533</v>
      </c>
      <c r="C352" s="20" t="s">
        <v>28</v>
      </c>
    </row>
    <row r="353">
      <c r="A353" s="21"/>
      <c r="B353" s="14" t="s">
        <v>534</v>
      </c>
      <c r="C353" s="20" t="s">
        <v>28</v>
      </c>
    </row>
    <row r="354">
      <c r="A354" s="21"/>
      <c r="B354" s="14" t="s">
        <v>535</v>
      </c>
      <c r="C354" s="20" t="s">
        <v>28</v>
      </c>
    </row>
    <row r="355">
      <c r="A355" s="21"/>
      <c r="B355" s="14" t="s">
        <v>536</v>
      </c>
      <c r="C355" s="20" t="s">
        <v>28</v>
      </c>
    </row>
    <row r="356">
      <c r="A356" s="21"/>
      <c r="B356" s="14" t="s">
        <v>537</v>
      </c>
      <c r="C356" s="20" t="s">
        <v>28</v>
      </c>
    </row>
    <row r="357">
      <c r="A357" s="12">
        <v>42.0</v>
      </c>
      <c r="B357" s="14" t="s">
        <v>538</v>
      </c>
      <c r="C357" s="20" t="s">
        <v>28</v>
      </c>
    </row>
    <row r="358">
      <c r="A358" s="21"/>
      <c r="B358" s="14" t="s">
        <v>312</v>
      </c>
      <c r="C358" s="20" t="s">
        <v>28</v>
      </c>
    </row>
    <row r="359">
      <c r="A359" s="21"/>
      <c r="B359" s="14" t="s">
        <v>315</v>
      </c>
      <c r="C359" s="20" t="s">
        <v>28</v>
      </c>
    </row>
    <row r="360">
      <c r="A360" s="21"/>
      <c r="B360" s="14" t="s">
        <v>539</v>
      </c>
      <c r="C360" s="20" t="s">
        <v>28</v>
      </c>
    </row>
    <row r="361">
      <c r="A361" s="21"/>
      <c r="B361" s="14" t="s">
        <v>540</v>
      </c>
      <c r="C361" s="20" t="s">
        <v>28</v>
      </c>
    </row>
    <row r="362">
      <c r="A362" s="21"/>
      <c r="B362" s="14" t="s">
        <v>175</v>
      </c>
      <c r="C362" s="20" t="s">
        <v>28</v>
      </c>
    </row>
    <row r="363">
      <c r="A363" s="12">
        <v>43.0</v>
      </c>
      <c r="B363" s="14" t="s">
        <v>541</v>
      </c>
      <c r="C363" s="20" t="s">
        <v>28</v>
      </c>
    </row>
    <row r="364">
      <c r="A364" s="21"/>
      <c r="B364" s="14" t="s">
        <v>542</v>
      </c>
      <c r="C364" s="20" t="s">
        <v>28</v>
      </c>
    </row>
    <row r="365">
      <c r="A365" s="21"/>
      <c r="B365" s="14" t="s">
        <v>543</v>
      </c>
      <c r="C365" s="20" t="s">
        <v>28</v>
      </c>
    </row>
    <row r="366">
      <c r="A366" s="21"/>
      <c r="B366" s="14" t="s">
        <v>544</v>
      </c>
      <c r="C366" s="20" t="s">
        <v>28</v>
      </c>
    </row>
    <row r="367">
      <c r="A367" s="21"/>
      <c r="B367" s="14" t="s">
        <v>545</v>
      </c>
      <c r="C367" s="20" t="s">
        <v>28</v>
      </c>
    </row>
    <row r="368">
      <c r="A368" s="21"/>
      <c r="B368" s="14" t="s">
        <v>546</v>
      </c>
      <c r="C368" s="20" t="s">
        <v>28</v>
      </c>
    </row>
    <row r="369">
      <c r="A369" s="21"/>
      <c r="B369" s="14" t="s">
        <v>547</v>
      </c>
      <c r="C369" s="20" t="s">
        <v>28</v>
      </c>
    </row>
    <row r="370">
      <c r="A370" s="21"/>
      <c r="B370" s="14" t="s">
        <v>548</v>
      </c>
      <c r="C370" s="20" t="s">
        <v>28</v>
      </c>
    </row>
    <row r="371">
      <c r="A371" s="21"/>
      <c r="B371" s="14" t="s">
        <v>549</v>
      </c>
      <c r="C371" s="20" t="s">
        <v>28</v>
      </c>
    </row>
    <row r="372">
      <c r="A372" s="21"/>
      <c r="B372" s="14" t="s">
        <v>550</v>
      </c>
      <c r="C372" s="20" t="s">
        <v>28</v>
      </c>
    </row>
    <row r="373">
      <c r="A373" s="12">
        <v>44.0</v>
      </c>
      <c r="B373" s="14" t="s">
        <v>551</v>
      </c>
      <c r="C373" s="20" t="s">
        <v>28</v>
      </c>
    </row>
    <row r="374">
      <c r="A374" s="21"/>
      <c r="B374" s="14" t="s">
        <v>552</v>
      </c>
      <c r="C374" s="20" t="s">
        <v>28</v>
      </c>
    </row>
    <row r="375">
      <c r="A375" s="21"/>
      <c r="B375" s="14" t="s">
        <v>553</v>
      </c>
      <c r="C375" s="20" t="s">
        <v>28</v>
      </c>
    </row>
    <row r="376">
      <c r="A376" s="21"/>
      <c r="B376" s="14" t="s">
        <v>554</v>
      </c>
      <c r="C376" s="20" t="s">
        <v>28</v>
      </c>
    </row>
    <row r="377">
      <c r="A377" s="21"/>
      <c r="B377" s="14" t="s">
        <v>555</v>
      </c>
      <c r="C377" s="20" t="s">
        <v>28</v>
      </c>
    </row>
    <row r="378">
      <c r="A378" s="21"/>
      <c r="B378" s="14" t="s">
        <v>556</v>
      </c>
      <c r="C378" s="20" t="s">
        <v>28</v>
      </c>
    </row>
    <row r="379">
      <c r="A379" s="21"/>
      <c r="B379" s="14" t="s">
        <v>557</v>
      </c>
      <c r="C379" s="20" t="s">
        <v>28</v>
      </c>
    </row>
    <row r="380">
      <c r="A380" s="21"/>
      <c r="B380" s="14" t="s">
        <v>558</v>
      </c>
      <c r="C380" s="20" t="s">
        <v>28</v>
      </c>
    </row>
    <row r="381">
      <c r="A381" s="21"/>
      <c r="B381" s="14" t="s">
        <v>559</v>
      </c>
      <c r="C381" s="20" t="s">
        <v>28</v>
      </c>
    </row>
    <row r="382">
      <c r="A382" s="21"/>
      <c r="B382" s="14" t="s">
        <v>560</v>
      </c>
      <c r="C382" s="20" t="s">
        <v>28</v>
      </c>
    </row>
    <row r="383">
      <c r="A383" s="12">
        <v>45.0</v>
      </c>
      <c r="B383" s="14" t="s">
        <v>561</v>
      </c>
      <c r="C383" s="20" t="s">
        <v>28</v>
      </c>
    </row>
    <row r="384">
      <c r="A384" s="21"/>
      <c r="B384" s="14" t="s">
        <v>562</v>
      </c>
      <c r="C384" s="20" t="s">
        <v>28</v>
      </c>
    </row>
    <row r="385">
      <c r="A385" s="21"/>
      <c r="B385" s="14" t="s">
        <v>563</v>
      </c>
      <c r="C385" s="20" t="s">
        <v>28</v>
      </c>
    </row>
    <row r="386">
      <c r="A386" s="21"/>
      <c r="B386" s="14" t="s">
        <v>564</v>
      </c>
      <c r="C386" s="20" t="s">
        <v>28</v>
      </c>
    </row>
    <row r="387">
      <c r="A387" s="21"/>
      <c r="B387" s="14" t="s">
        <v>565</v>
      </c>
      <c r="C387" s="20" t="s">
        <v>28</v>
      </c>
    </row>
    <row r="388">
      <c r="A388" s="21"/>
      <c r="B388" s="14" t="s">
        <v>566</v>
      </c>
      <c r="C388" s="20" t="s">
        <v>28</v>
      </c>
    </row>
    <row r="389">
      <c r="A389" s="21"/>
      <c r="B389" s="14" t="s">
        <v>567</v>
      </c>
      <c r="C389" s="20" t="s">
        <v>28</v>
      </c>
    </row>
    <row r="390">
      <c r="A390" s="21"/>
      <c r="B390" s="14" t="s">
        <v>568</v>
      </c>
      <c r="C390" s="20" t="s">
        <v>28</v>
      </c>
    </row>
    <row r="391">
      <c r="A391" s="21"/>
      <c r="B391" s="14" t="s">
        <v>569</v>
      </c>
      <c r="C391" s="20" t="s">
        <v>28</v>
      </c>
    </row>
    <row r="392">
      <c r="A392" s="21"/>
      <c r="B392" s="14" t="s">
        <v>570</v>
      </c>
      <c r="C392" s="20" t="s">
        <v>28</v>
      </c>
    </row>
    <row r="393">
      <c r="A393" s="21"/>
      <c r="B393" s="14" t="s">
        <v>571</v>
      </c>
      <c r="C393" s="20" t="s">
        <v>28</v>
      </c>
    </row>
    <row r="394">
      <c r="A394" s="21"/>
      <c r="B394" s="14" t="s">
        <v>572</v>
      </c>
      <c r="C394" s="20" t="s">
        <v>28</v>
      </c>
    </row>
    <row r="395">
      <c r="A395" s="21"/>
      <c r="B395" s="14" t="s">
        <v>573</v>
      </c>
      <c r="C395" s="20" t="s">
        <v>28</v>
      </c>
    </row>
    <row r="396">
      <c r="A396" s="61" t="s">
        <v>574</v>
      </c>
      <c r="B396" s="62" t="s">
        <v>575</v>
      </c>
      <c r="C396" s="20" t="s">
        <v>28</v>
      </c>
    </row>
  </sheetData>
  <mergeCells count="3">
    <mergeCell ref="A1:B1"/>
    <mergeCell ref="A2:B2"/>
    <mergeCell ref="A3:B3"/>
  </mergeCells>
  <dataValidations>
    <dataValidation type="list" allowBlank="1" showErrorMessage="1" sqref="C8:C396">
      <formula1>"Done,Pending"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4" max="4" width="12.63"/>
    <col customWidth="1" min="6" max="6" width="12.63"/>
    <col customWidth="1" min="7" max="7" width="12.38"/>
  </cols>
  <sheetData>
    <row r="1">
      <c r="A1" s="8"/>
      <c r="B1" s="8"/>
      <c r="C1" s="8"/>
      <c r="D1" s="10">
        <v>1.0</v>
      </c>
      <c r="E1" s="10">
        <v>2.0</v>
      </c>
      <c r="F1" s="10">
        <v>3.0</v>
      </c>
      <c r="G1" s="10">
        <v>4.0</v>
      </c>
      <c r="H1" s="10">
        <v>5.0</v>
      </c>
      <c r="I1" s="10">
        <v>6.0</v>
      </c>
      <c r="J1" s="10">
        <v>7.0</v>
      </c>
      <c r="K1" s="10">
        <v>8.0</v>
      </c>
      <c r="L1" s="10">
        <v>9.0</v>
      </c>
      <c r="M1" s="10">
        <v>10.0</v>
      </c>
      <c r="N1" s="10">
        <v>11.0</v>
      </c>
      <c r="O1" s="10">
        <v>12.0</v>
      </c>
      <c r="P1" s="16"/>
      <c r="Q1" s="16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22" t="s">
        <v>2</v>
      </c>
      <c r="B2" s="22" t="s">
        <v>10</v>
      </c>
      <c r="C2" s="22" t="s">
        <v>14</v>
      </c>
      <c r="D2" s="23" t="s">
        <v>33</v>
      </c>
      <c r="E2" s="23" t="s">
        <v>35</v>
      </c>
      <c r="F2" s="23" t="s">
        <v>36</v>
      </c>
      <c r="G2" s="23" t="s">
        <v>38</v>
      </c>
      <c r="H2" s="23" t="s">
        <v>40</v>
      </c>
      <c r="I2" s="25" t="s">
        <v>41</v>
      </c>
      <c r="J2" s="23" t="s">
        <v>43</v>
      </c>
      <c r="K2" s="23" t="s">
        <v>44</v>
      </c>
      <c r="L2" s="23" t="s">
        <v>46</v>
      </c>
      <c r="M2" s="23" t="s">
        <v>48</v>
      </c>
      <c r="N2" s="23" t="s">
        <v>49</v>
      </c>
      <c r="O2" s="23" t="s">
        <v>50</v>
      </c>
      <c r="P2" s="26" t="s">
        <v>52</v>
      </c>
      <c r="Q2" s="19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27">
        <v>1.0</v>
      </c>
      <c r="B3" s="29" t="s">
        <v>58</v>
      </c>
      <c r="C3" s="29" t="s">
        <v>61</v>
      </c>
      <c r="D3" s="27">
        <v>37.0</v>
      </c>
      <c r="E3" s="27">
        <v>38.0</v>
      </c>
      <c r="F3" s="27">
        <v>36.0</v>
      </c>
      <c r="G3" s="31">
        <v>40.0</v>
      </c>
      <c r="H3" s="27">
        <v>36.0</v>
      </c>
      <c r="I3" s="27">
        <v>34.0</v>
      </c>
      <c r="J3" s="27">
        <v>38.0</v>
      </c>
      <c r="K3" s="27">
        <v>39.0</v>
      </c>
      <c r="L3" s="27">
        <v>36.0</v>
      </c>
      <c r="M3" s="27">
        <v>37.0</v>
      </c>
      <c r="N3" s="32">
        <v>35.0</v>
      </c>
      <c r="O3" s="32">
        <v>34.0</v>
      </c>
      <c r="P3" s="33">
        <f t="shared" ref="P3:P45" si="1">Countif(D3:O3,"AB")</f>
        <v>0</v>
      </c>
      <c r="Q3" s="19"/>
      <c r="R3" s="34" t="str">
        <f>IFERROR(__xludf.DUMMYFUNCTION("TEXTJOIN("", "",TRUE,FILTER(D$1:O$1, D3:O3=""AB""))"),"#N/A")</f>
        <v>#N/A</v>
      </c>
    </row>
    <row r="4">
      <c r="A4" s="27">
        <v>2.0</v>
      </c>
      <c r="B4" s="29" t="s">
        <v>80</v>
      </c>
      <c r="C4" s="29" t="s">
        <v>82</v>
      </c>
      <c r="D4" s="27">
        <v>38.0</v>
      </c>
      <c r="E4" s="27">
        <v>32.0</v>
      </c>
      <c r="F4" s="27">
        <v>37.0</v>
      </c>
      <c r="G4" s="31">
        <v>37.0</v>
      </c>
      <c r="H4" s="27">
        <v>37.0</v>
      </c>
      <c r="I4" s="27">
        <v>32.0</v>
      </c>
      <c r="J4" s="27">
        <v>38.0</v>
      </c>
      <c r="K4" s="27">
        <v>35.0</v>
      </c>
      <c r="L4" s="27">
        <v>35.0</v>
      </c>
      <c r="M4" s="27">
        <v>40.0</v>
      </c>
      <c r="N4" s="32" t="s">
        <v>90</v>
      </c>
      <c r="O4" s="32">
        <v>36.0</v>
      </c>
      <c r="P4" s="33">
        <f t="shared" si="1"/>
        <v>1</v>
      </c>
      <c r="Q4" s="19"/>
      <c r="R4" s="34" t="str">
        <f>IFERROR(__xludf.DUMMYFUNCTION("TEXTJOIN("", "",TRUE,FILTER(D$1:O$1, D4:O4=""AB""))"),"11")</f>
        <v>11</v>
      </c>
    </row>
    <row r="5">
      <c r="A5" s="27">
        <v>3.0</v>
      </c>
      <c r="B5" s="29" t="s">
        <v>97</v>
      </c>
      <c r="C5" s="29" t="s">
        <v>99</v>
      </c>
      <c r="D5" s="27">
        <v>38.0</v>
      </c>
      <c r="E5" s="27">
        <v>33.0</v>
      </c>
      <c r="F5" s="27">
        <v>35.0</v>
      </c>
      <c r="G5" s="31">
        <v>37.0</v>
      </c>
      <c r="H5" s="27">
        <v>39.0</v>
      </c>
      <c r="I5" s="27">
        <v>38.0</v>
      </c>
      <c r="J5" s="27">
        <v>40.0</v>
      </c>
      <c r="K5" s="27">
        <v>39.0</v>
      </c>
      <c r="L5" s="27">
        <v>39.0</v>
      </c>
      <c r="M5" s="27">
        <v>40.0</v>
      </c>
      <c r="N5" s="32">
        <v>37.0</v>
      </c>
      <c r="O5" s="32">
        <v>36.0</v>
      </c>
      <c r="P5" s="33">
        <f t="shared" si="1"/>
        <v>0</v>
      </c>
      <c r="Q5" s="19"/>
      <c r="R5" s="34" t="str">
        <f>IFERROR(__xludf.DUMMYFUNCTION("TEXTJOIN("", "",TRUE,FILTER(D$1:O$1, D5:O5=""AB""))"),"#N/A")</f>
        <v>#N/A</v>
      </c>
    </row>
    <row r="6">
      <c r="A6" s="27">
        <v>4.0</v>
      </c>
      <c r="B6" s="29" t="s">
        <v>114</v>
      </c>
      <c r="C6" s="29" t="s">
        <v>115</v>
      </c>
      <c r="D6" s="27" t="s">
        <v>90</v>
      </c>
      <c r="E6" s="27">
        <v>37.0</v>
      </c>
      <c r="F6" s="27">
        <v>32.0</v>
      </c>
      <c r="G6" s="31">
        <v>29.0</v>
      </c>
      <c r="H6" s="27" t="s">
        <v>90</v>
      </c>
      <c r="I6" s="27">
        <v>32.0</v>
      </c>
      <c r="J6" s="27">
        <v>38.0</v>
      </c>
      <c r="K6" s="27">
        <v>38.0</v>
      </c>
      <c r="L6" s="27">
        <v>40.0</v>
      </c>
      <c r="M6" s="27">
        <v>33.0</v>
      </c>
      <c r="N6" s="32" t="s">
        <v>90</v>
      </c>
      <c r="O6" s="35" t="s">
        <v>90</v>
      </c>
      <c r="P6" s="33">
        <f t="shared" si="1"/>
        <v>4</v>
      </c>
      <c r="Q6" s="19"/>
      <c r="R6" s="34" t="str">
        <f>IFERROR(__xludf.DUMMYFUNCTION("TEXTJOIN("", "",TRUE,FILTER(D$1:O$1, D6:O6=""AB""))"),"1, 5, 11, 12")</f>
        <v>1, 5, 11, 12</v>
      </c>
    </row>
    <row r="7">
      <c r="A7" s="27">
        <v>5.0</v>
      </c>
      <c r="B7" s="29" t="s">
        <v>131</v>
      </c>
      <c r="C7" s="29" t="s">
        <v>132</v>
      </c>
      <c r="D7" s="27">
        <v>38.0</v>
      </c>
      <c r="E7" s="27">
        <v>34.0</v>
      </c>
      <c r="F7" s="27">
        <v>37.0</v>
      </c>
      <c r="G7" s="31">
        <v>38.0</v>
      </c>
      <c r="H7" s="27">
        <v>36.0</v>
      </c>
      <c r="I7" s="27">
        <v>36.0</v>
      </c>
      <c r="J7" s="27">
        <v>35.0</v>
      </c>
      <c r="K7" s="27">
        <v>39.0</v>
      </c>
      <c r="L7" s="27">
        <v>36.0</v>
      </c>
      <c r="M7" s="27">
        <v>38.0</v>
      </c>
      <c r="N7" s="32">
        <v>34.0</v>
      </c>
      <c r="O7" s="32">
        <v>36.0</v>
      </c>
      <c r="P7" s="33">
        <f t="shared" si="1"/>
        <v>0</v>
      </c>
      <c r="Q7" s="19"/>
      <c r="R7" s="34" t="str">
        <f>IFERROR(__xludf.DUMMYFUNCTION("TEXTJOIN("", "",TRUE,FILTER(D$1:O$1, D7:O7=""AB""))"),"#N/A")</f>
        <v>#N/A</v>
      </c>
    </row>
    <row r="8">
      <c r="A8" s="27">
        <v>6.0</v>
      </c>
      <c r="B8" s="29" t="s">
        <v>141</v>
      </c>
      <c r="C8" s="29" t="s">
        <v>143</v>
      </c>
      <c r="D8" s="27">
        <v>36.0</v>
      </c>
      <c r="E8" s="27">
        <v>36.0</v>
      </c>
      <c r="F8" s="27">
        <v>36.0</v>
      </c>
      <c r="G8" s="31">
        <v>40.0</v>
      </c>
      <c r="H8" s="27">
        <v>38.0</v>
      </c>
      <c r="I8" s="27">
        <v>34.0</v>
      </c>
      <c r="J8" s="27">
        <v>38.0</v>
      </c>
      <c r="K8" s="27">
        <v>38.0</v>
      </c>
      <c r="L8" s="27">
        <v>39.0</v>
      </c>
      <c r="M8" s="27">
        <v>38.0</v>
      </c>
      <c r="N8" s="32">
        <v>40.0</v>
      </c>
      <c r="O8" s="32">
        <v>32.0</v>
      </c>
      <c r="P8" s="33">
        <f t="shared" si="1"/>
        <v>0</v>
      </c>
      <c r="Q8" s="19"/>
      <c r="R8" s="34" t="str">
        <f>IFERROR(__xludf.DUMMYFUNCTION("TEXTJOIN("", "",TRUE,FILTER(D$1:O$1, D8:O8=""AB""))"),"#N/A")</f>
        <v>#N/A</v>
      </c>
    </row>
    <row r="9">
      <c r="A9" s="27">
        <v>7.0</v>
      </c>
      <c r="B9" s="39" t="s">
        <v>151</v>
      </c>
      <c r="C9" s="39" t="s">
        <v>153</v>
      </c>
      <c r="D9" s="27">
        <v>39.0</v>
      </c>
      <c r="E9" s="27">
        <v>33.0</v>
      </c>
      <c r="F9" s="27">
        <v>35.0</v>
      </c>
      <c r="G9" s="27" t="s">
        <v>90</v>
      </c>
      <c r="H9" s="27">
        <v>36.0</v>
      </c>
      <c r="I9" s="27">
        <v>28.0</v>
      </c>
      <c r="J9" s="27">
        <v>37.0</v>
      </c>
      <c r="K9" s="27">
        <v>34.0</v>
      </c>
      <c r="L9" s="27">
        <v>32.0</v>
      </c>
      <c r="M9" s="27">
        <v>36.0</v>
      </c>
      <c r="N9" s="32">
        <v>33.0</v>
      </c>
      <c r="O9" s="32">
        <v>30.0</v>
      </c>
      <c r="P9" s="33">
        <f t="shared" si="1"/>
        <v>1</v>
      </c>
      <c r="Q9" s="19"/>
      <c r="R9" s="34" t="str">
        <f>IFERROR(__xludf.DUMMYFUNCTION("TEXTJOIN("", "",TRUE,FILTER(D$1:O$1, D9:O9=""AB""))"),"4")</f>
        <v>4</v>
      </c>
    </row>
    <row r="10">
      <c r="A10" s="27">
        <v>8.0</v>
      </c>
      <c r="B10" s="29" t="s">
        <v>164</v>
      </c>
      <c r="C10" s="29" t="s">
        <v>165</v>
      </c>
      <c r="D10" s="27">
        <v>38.0</v>
      </c>
      <c r="E10" s="27">
        <v>38.0</v>
      </c>
      <c r="F10" s="27">
        <v>31.0</v>
      </c>
      <c r="G10" s="31">
        <v>33.0</v>
      </c>
      <c r="H10" s="27">
        <v>40.0</v>
      </c>
      <c r="I10" s="27">
        <v>36.0</v>
      </c>
      <c r="J10" s="27" t="s">
        <v>90</v>
      </c>
      <c r="K10" s="27">
        <v>36.0</v>
      </c>
      <c r="L10" s="27">
        <v>37.0</v>
      </c>
      <c r="M10" s="27" t="s">
        <v>90</v>
      </c>
      <c r="N10" s="32">
        <v>36.0</v>
      </c>
      <c r="O10" s="32">
        <v>34.0</v>
      </c>
      <c r="P10" s="33">
        <f t="shared" si="1"/>
        <v>2</v>
      </c>
      <c r="Q10" s="19"/>
      <c r="R10" s="34" t="str">
        <f>IFERROR(__xludf.DUMMYFUNCTION("TEXTJOIN("", "",TRUE,FILTER(D$1:O$1, D10:O10=""AB""))"),"7, 10")</f>
        <v>7, 10</v>
      </c>
    </row>
    <row r="11">
      <c r="A11" s="27">
        <v>9.0</v>
      </c>
      <c r="B11" s="29" t="s">
        <v>172</v>
      </c>
      <c r="C11" s="41" t="s">
        <v>173</v>
      </c>
      <c r="D11" s="27">
        <v>38.0</v>
      </c>
      <c r="E11" s="27">
        <v>38.0</v>
      </c>
      <c r="F11" s="27">
        <v>35.0</v>
      </c>
      <c r="G11" s="31">
        <v>40.0</v>
      </c>
      <c r="H11" s="27">
        <v>39.0</v>
      </c>
      <c r="I11" s="27">
        <v>36.0</v>
      </c>
      <c r="J11" s="27">
        <v>30.0</v>
      </c>
      <c r="K11" s="27">
        <v>37.0</v>
      </c>
      <c r="L11" s="27">
        <v>40.0</v>
      </c>
      <c r="M11" s="27">
        <v>40.0</v>
      </c>
      <c r="N11" s="32">
        <v>40.0</v>
      </c>
      <c r="O11" s="32">
        <v>40.0</v>
      </c>
      <c r="P11" s="33">
        <f t="shared" si="1"/>
        <v>0</v>
      </c>
      <c r="Q11" s="19"/>
      <c r="R11" s="34" t="str">
        <f>IFERROR(__xludf.DUMMYFUNCTION("TEXTJOIN("", "",TRUE,FILTER(D$1:O$1, D11:O11=""AB""))"),"#N/A")</f>
        <v>#N/A</v>
      </c>
    </row>
    <row r="12">
      <c r="A12" s="27">
        <v>10.0</v>
      </c>
      <c r="B12" s="29" t="s">
        <v>178</v>
      </c>
      <c r="C12" s="29" t="s">
        <v>179</v>
      </c>
      <c r="D12" s="27">
        <v>39.0</v>
      </c>
      <c r="E12" s="27">
        <v>32.0</v>
      </c>
      <c r="F12" s="27">
        <v>31.0</v>
      </c>
      <c r="G12" s="31">
        <v>40.0</v>
      </c>
      <c r="H12" s="27">
        <v>40.0</v>
      </c>
      <c r="I12" s="27">
        <v>37.0</v>
      </c>
      <c r="J12" s="27">
        <v>40.0</v>
      </c>
      <c r="K12" s="27">
        <v>39.0</v>
      </c>
      <c r="L12" s="27">
        <v>40.0</v>
      </c>
      <c r="M12" s="27">
        <v>37.0</v>
      </c>
      <c r="N12" s="32">
        <v>36.0</v>
      </c>
      <c r="O12" s="32">
        <v>30.0</v>
      </c>
      <c r="P12" s="33">
        <f t="shared" si="1"/>
        <v>0</v>
      </c>
      <c r="Q12" s="19"/>
      <c r="R12" s="34" t="str">
        <f>IFERROR(__xludf.DUMMYFUNCTION("TEXTJOIN("", "",TRUE,FILTER(D$1:O$1, D12:O12=""AB""))"),"#N/A")</f>
        <v>#N/A</v>
      </c>
    </row>
    <row r="13">
      <c r="A13" s="27">
        <v>11.0</v>
      </c>
      <c r="B13" s="29" t="s">
        <v>186</v>
      </c>
      <c r="C13" s="29" t="s">
        <v>188</v>
      </c>
      <c r="D13" s="27" t="s">
        <v>90</v>
      </c>
      <c r="E13" s="27" t="s">
        <v>90</v>
      </c>
      <c r="F13" s="27" t="s">
        <v>90</v>
      </c>
      <c r="G13" s="31">
        <v>20.0</v>
      </c>
      <c r="H13" s="27">
        <v>39.0</v>
      </c>
      <c r="I13" s="27" t="s">
        <v>90</v>
      </c>
      <c r="J13" s="27">
        <v>39.0</v>
      </c>
      <c r="K13" s="27" t="s">
        <v>90</v>
      </c>
      <c r="L13" s="27">
        <v>40.0</v>
      </c>
      <c r="M13" s="27">
        <v>40.0</v>
      </c>
      <c r="N13" s="32">
        <v>33.0</v>
      </c>
      <c r="O13" s="32">
        <v>30.0</v>
      </c>
      <c r="P13" s="33">
        <f t="shared" si="1"/>
        <v>5</v>
      </c>
      <c r="Q13" s="19"/>
      <c r="R13" s="34" t="str">
        <f>IFERROR(__xludf.DUMMYFUNCTION("TEXTJOIN("", "",TRUE,FILTER(D$1:O$1, D13:O13=""AB""))"),"1, 2, 3, 6, 8")</f>
        <v>1, 2, 3, 6, 8</v>
      </c>
    </row>
    <row r="14">
      <c r="A14" s="27">
        <v>12.0</v>
      </c>
      <c r="B14" s="29" t="s">
        <v>194</v>
      </c>
      <c r="C14" s="29" t="s">
        <v>195</v>
      </c>
      <c r="D14" s="27">
        <v>35.0</v>
      </c>
      <c r="E14" s="27" t="s">
        <v>90</v>
      </c>
      <c r="F14" s="27" t="s">
        <v>90</v>
      </c>
      <c r="G14" s="27" t="s">
        <v>90</v>
      </c>
      <c r="H14" s="27" t="s">
        <v>90</v>
      </c>
      <c r="I14" s="27" t="s">
        <v>90</v>
      </c>
      <c r="J14" s="27">
        <v>30.0</v>
      </c>
      <c r="K14" s="27">
        <v>33.0</v>
      </c>
      <c r="L14" s="27">
        <v>32.0</v>
      </c>
      <c r="M14" s="27">
        <v>33.0</v>
      </c>
      <c r="N14" s="32" t="s">
        <v>90</v>
      </c>
      <c r="O14" s="32">
        <v>26.0</v>
      </c>
      <c r="P14" s="33">
        <f t="shared" si="1"/>
        <v>6</v>
      </c>
      <c r="Q14" s="19"/>
      <c r="R14" s="34" t="str">
        <f>IFERROR(__xludf.DUMMYFUNCTION("TEXTJOIN("", "",TRUE,FILTER(D$1:O$1, D14:O14=""AB""))"),"2, 3, 4, 5, 6, 11")</f>
        <v>2, 3, 4, 5, 6, 11</v>
      </c>
    </row>
    <row r="15">
      <c r="A15" s="27">
        <v>13.0</v>
      </c>
      <c r="B15" s="29" t="s">
        <v>202</v>
      </c>
      <c r="C15" s="29" t="s">
        <v>205</v>
      </c>
      <c r="D15" s="27">
        <v>36.0</v>
      </c>
      <c r="E15" s="27">
        <v>38.0</v>
      </c>
      <c r="F15" s="27">
        <v>39.0</v>
      </c>
      <c r="G15" s="27" t="s">
        <v>90</v>
      </c>
      <c r="H15" s="27" t="s">
        <v>90</v>
      </c>
      <c r="I15" s="27">
        <v>38.0</v>
      </c>
      <c r="J15" s="27"/>
      <c r="K15" s="27" t="s">
        <v>90</v>
      </c>
      <c r="L15" s="27">
        <v>39.0</v>
      </c>
      <c r="M15" s="27">
        <v>40.0</v>
      </c>
      <c r="N15" s="32" t="s">
        <v>90</v>
      </c>
      <c r="O15" s="32">
        <v>40.0</v>
      </c>
      <c r="P15" s="33">
        <f t="shared" si="1"/>
        <v>4</v>
      </c>
      <c r="Q15" s="19"/>
      <c r="R15" s="34" t="str">
        <f>IFERROR(__xludf.DUMMYFUNCTION("TEXTJOIN("", "",TRUE,FILTER(D$1:O$1, D15:O15=""AB""))"),"4, 5, 8, 11")</f>
        <v>4, 5, 8, 11</v>
      </c>
    </row>
    <row r="16">
      <c r="A16" s="27">
        <v>14.0</v>
      </c>
      <c r="B16" s="29" t="s">
        <v>213</v>
      </c>
      <c r="C16" s="41" t="s">
        <v>215</v>
      </c>
      <c r="D16" s="27">
        <v>40.0</v>
      </c>
      <c r="E16" s="27" t="s">
        <v>90</v>
      </c>
      <c r="F16" s="27">
        <v>34.0</v>
      </c>
      <c r="G16" s="31">
        <v>39.0</v>
      </c>
      <c r="H16" s="27">
        <v>39.0</v>
      </c>
      <c r="I16" s="27">
        <v>37.0</v>
      </c>
      <c r="J16" s="27" t="s">
        <v>90</v>
      </c>
      <c r="K16" s="27">
        <v>38.0</v>
      </c>
      <c r="L16" s="27">
        <v>40.0</v>
      </c>
      <c r="M16" s="27">
        <v>40.0</v>
      </c>
      <c r="N16" s="32">
        <v>39.0</v>
      </c>
      <c r="O16" s="32">
        <v>40.0</v>
      </c>
      <c r="P16" s="33">
        <f t="shared" si="1"/>
        <v>2</v>
      </c>
      <c r="Q16" s="19"/>
      <c r="R16" s="34" t="str">
        <f>IFERROR(__xludf.DUMMYFUNCTION("TEXTJOIN("", "",TRUE,FILTER(D$1:O$1, D16:O16=""AB""))"),"2, 7")</f>
        <v>2, 7</v>
      </c>
    </row>
    <row r="17">
      <c r="A17" s="27">
        <v>15.0</v>
      </c>
      <c r="B17" s="29" t="s">
        <v>220</v>
      </c>
      <c r="C17" s="29" t="s">
        <v>221</v>
      </c>
      <c r="D17" s="27" t="s">
        <v>90</v>
      </c>
      <c r="E17" s="27" t="s">
        <v>90</v>
      </c>
      <c r="F17" s="27" t="s">
        <v>90</v>
      </c>
      <c r="G17" s="31">
        <v>16.0</v>
      </c>
      <c r="H17" s="27" t="s">
        <v>90</v>
      </c>
      <c r="I17" s="27">
        <v>26.0</v>
      </c>
      <c r="J17" s="27">
        <v>33.0</v>
      </c>
      <c r="K17" s="27">
        <v>33.0</v>
      </c>
      <c r="L17" s="27" t="s">
        <v>90</v>
      </c>
      <c r="M17" s="27">
        <v>31.0</v>
      </c>
      <c r="N17" s="32" t="s">
        <v>90</v>
      </c>
      <c r="O17" s="32">
        <v>38.0</v>
      </c>
      <c r="P17" s="33">
        <f t="shared" si="1"/>
        <v>6</v>
      </c>
      <c r="Q17" s="19"/>
      <c r="R17" s="34" t="str">
        <f>IFERROR(__xludf.DUMMYFUNCTION("TEXTJOIN("", "",TRUE,FILTER(D$1:O$1, D17:O17=""AB""))"),"1, 2, 3, 5, 9, 11")</f>
        <v>1, 2, 3, 5, 9, 11</v>
      </c>
    </row>
    <row r="18">
      <c r="A18" s="27">
        <v>16.0</v>
      </c>
      <c r="B18" s="29" t="s">
        <v>226</v>
      </c>
      <c r="C18" s="29" t="s">
        <v>227</v>
      </c>
      <c r="D18" s="27">
        <v>40.0</v>
      </c>
      <c r="E18" s="27">
        <v>33.0</v>
      </c>
      <c r="F18" s="27">
        <v>40.0</v>
      </c>
      <c r="G18" s="31">
        <v>40.0</v>
      </c>
      <c r="H18" s="27">
        <v>39.0</v>
      </c>
      <c r="I18" s="27">
        <v>38.0</v>
      </c>
      <c r="J18" s="27">
        <v>40.0</v>
      </c>
      <c r="K18" s="27">
        <v>40.0</v>
      </c>
      <c r="L18" s="27">
        <v>39.0</v>
      </c>
      <c r="M18" s="27">
        <v>40.0</v>
      </c>
      <c r="N18" s="32" t="s">
        <v>90</v>
      </c>
      <c r="O18" s="32">
        <v>40.0</v>
      </c>
      <c r="P18" s="33">
        <f t="shared" si="1"/>
        <v>1</v>
      </c>
      <c r="Q18" s="19"/>
      <c r="R18" s="34" t="str">
        <f>IFERROR(__xludf.DUMMYFUNCTION("TEXTJOIN("", "",TRUE,FILTER(D$1:O$1, D18:O18=""AB""))"),"11")</f>
        <v>11</v>
      </c>
    </row>
    <row r="19">
      <c r="A19" s="27">
        <v>17.0</v>
      </c>
      <c r="B19" s="29" t="s">
        <v>232</v>
      </c>
      <c r="C19" s="29" t="s">
        <v>234</v>
      </c>
      <c r="D19" s="50"/>
      <c r="E19" s="50"/>
      <c r="F19" s="50"/>
      <c r="G19" s="27" t="s">
        <v>90</v>
      </c>
      <c r="H19" s="27">
        <v>30.0</v>
      </c>
      <c r="I19" s="27">
        <v>32.0</v>
      </c>
      <c r="J19" s="27">
        <v>33.0</v>
      </c>
      <c r="K19" s="27">
        <v>28.0</v>
      </c>
      <c r="L19" s="27">
        <v>31.0</v>
      </c>
      <c r="M19" s="27">
        <v>31.0</v>
      </c>
      <c r="N19" s="32" t="s">
        <v>90</v>
      </c>
      <c r="O19" s="35" t="s">
        <v>90</v>
      </c>
      <c r="P19" s="33">
        <f t="shared" si="1"/>
        <v>3</v>
      </c>
      <c r="Q19" s="19"/>
      <c r="R19" s="34" t="str">
        <f>IFERROR(__xludf.DUMMYFUNCTION("TEXTJOIN("", "",TRUE,FILTER(D$1:O$1, D19:O19=""AB""))"),"4, 11, 12")</f>
        <v>4, 11, 12</v>
      </c>
    </row>
    <row r="20">
      <c r="A20" s="27">
        <v>18.0</v>
      </c>
      <c r="B20" s="29" t="s">
        <v>242</v>
      </c>
      <c r="C20" s="29" t="s">
        <v>244</v>
      </c>
      <c r="D20" s="50"/>
      <c r="E20" s="50"/>
      <c r="F20" s="50"/>
      <c r="G20" s="31">
        <v>16.0</v>
      </c>
      <c r="H20" s="27" t="s">
        <v>90</v>
      </c>
      <c r="I20" s="27" t="s">
        <v>90</v>
      </c>
      <c r="J20" s="27" t="s">
        <v>90</v>
      </c>
      <c r="K20" s="27" t="s">
        <v>90</v>
      </c>
      <c r="L20" s="27" t="s">
        <v>90</v>
      </c>
      <c r="M20" s="27" t="s">
        <v>90</v>
      </c>
      <c r="N20" s="32" t="s">
        <v>90</v>
      </c>
      <c r="O20" s="35" t="s">
        <v>90</v>
      </c>
      <c r="P20" s="33">
        <f t="shared" si="1"/>
        <v>8</v>
      </c>
      <c r="Q20" s="19"/>
      <c r="R20" s="34" t="str">
        <f>IFERROR(__xludf.DUMMYFUNCTION("TEXTJOIN("", "",TRUE,FILTER(D$1:O$1, D20:O20=""AB""))"),"5, 6, 7, 8, 9, 10, 11, 12")</f>
        <v>5, 6, 7, 8, 9, 10, 11, 12</v>
      </c>
    </row>
    <row r="21">
      <c r="A21" s="27">
        <v>19.0</v>
      </c>
      <c r="B21" s="29" t="s">
        <v>251</v>
      </c>
      <c r="C21" s="29" t="s">
        <v>252</v>
      </c>
      <c r="D21" s="27">
        <v>32.0</v>
      </c>
      <c r="E21" s="27" t="s">
        <v>90</v>
      </c>
      <c r="F21" s="27">
        <v>37.0</v>
      </c>
      <c r="G21" s="27" t="s">
        <v>90</v>
      </c>
      <c r="H21" s="27">
        <v>35.0</v>
      </c>
      <c r="I21" s="27" t="s">
        <v>90</v>
      </c>
      <c r="J21" s="27">
        <v>34.0</v>
      </c>
      <c r="K21" s="27">
        <v>35.0</v>
      </c>
      <c r="L21" s="27">
        <v>31.0</v>
      </c>
      <c r="M21" s="27" t="s">
        <v>90</v>
      </c>
      <c r="N21" s="32">
        <v>37.0</v>
      </c>
      <c r="O21" s="32">
        <v>12.0</v>
      </c>
      <c r="P21" s="33">
        <f t="shared" si="1"/>
        <v>4</v>
      </c>
      <c r="Q21" s="19"/>
      <c r="R21" s="34" t="str">
        <f>IFERROR(__xludf.DUMMYFUNCTION("TEXTJOIN("", "",TRUE,FILTER(D$1:O$1, D21:O21=""AB""))"),"2, 4, 6, 10")</f>
        <v>2, 4, 6, 10</v>
      </c>
    </row>
    <row r="22">
      <c r="A22" s="27">
        <v>20.0</v>
      </c>
      <c r="B22" s="29" t="s">
        <v>258</v>
      </c>
      <c r="C22" s="29" t="s">
        <v>259</v>
      </c>
      <c r="D22" s="27" t="s">
        <v>90</v>
      </c>
      <c r="E22" s="27" t="s">
        <v>90</v>
      </c>
      <c r="F22" s="27" t="s">
        <v>90</v>
      </c>
      <c r="G22" s="31">
        <v>33.0</v>
      </c>
      <c r="H22" s="27">
        <v>32.0</v>
      </c>
      <c r="I22" s="27">
        <v>31.0</v>
      </c>
      <c r="J22" s="27" t="s">
        <v>90</v>
      </c>
      <c r="K22" s="27">
        <v>36.0</v>
      </c>
      <c r="L22" s="27">
        <v>31.0</v>
      </c>
      <c r="M22" s="27" t="s">
        <v>90</v>
      </c>
      <c r="N22" s="32" t="s">
        <v>90</v>
      </c>
      <c r="O22" s="35" t="s">
        <v>90</v>
      </c>
      <c r="P22" s="33">
        <f t="shared" si="1"/>
        <v>7</v>
      </c>
      <c r="Q22" s="19"/>
      <c r="R22" s="34" t="str">
        <f>IFERROR(__xludf.DUMMYFUNCTION("TEXTJOIN("", "",TRUE,FILTER(D$1:O$1, D22:O22=""AB""))"),"1, 2, 3, 7, 10, 11, 12")</f>
        <v>1, 2, 3, 7, 10, 11, 12</v>
      </c>
    </row>
    <row r="23">
      <c r="A23" s="27">
        <v>21.0</v>
      </c>
      <c r="B23" s="29" t="s">
        <v>265</v>
      </c>
      <c r="C23" s="29" t="s">
        <v>267</v>
      </c>
      <c r="D23" s="27">
        <v>39.0</v>
      </c>
      <c r="E23" s="27">
        <v>35.0</v>
      </c>
      <c r="F23" s="27">
        <v>35.0</v>
      </c>
      <c r="G23" s="27" t="s">
        <v>90</v>
      </c>
      <c r="H23" s="27">
        <v>38.0</v>
      </c>
      <c r="I23" s="27">
        <v>37.0</v>
      </c>
      <c r="J23" s="27">
        <v>38.0</v>
      </c>
      <c r="K23" s="27">
        <v>36.0</v>
      </c>
      <c r="L23" s="27">
        <v>38.0</v>
      </c>
      <c r="M23" s="27" t="s">
        <v>90</v>
      </c>
      <c r="N23" s="32" t="s">
        <v>90</v>
      </c>
      <c r="O23" s="32">
        <v>32.0</v>
      </c>
      <c r="P23" s="33">
        <f t="shared" si="1"/>
        <v>3</v>
      </c>
      <c r="Q23" s="19"/>
      <c r="R23" s="34" t="str">
        <f>IFERROR(__xludf.DUMMYFUNCTION("TEXTJOIN("", "",TRUE,FILTER(D$1:O$1, D23:O23=""AB""))"),"4, 10, 11")</f>
        <v>4, 10, 11</v>
      </c>
    </row>
    <row r="24">
      <c r="A24" s="27">
        <v>22.0</v>
      </c>
      <c r="B24" s="29" t="s">
        <v>269</v>
      </c>
      <c r="C24" s="29" t="s">
        <v>270</v>
      </c>
      <c r="D24" s="27">
        <v>35.0</v>
      </c>
      <c r="E24" s="27">
        <v>32.0</v>
      </c>
      <c r="F24" s="27">
        <v>37.0</v>
      </c>
      <c r="G24" s="31">
        <v>20.0</v>
      </c>
      <c r="H24" s="27">
        <v>39.0</v>
      </c>
      <c r="I24" s="27">
        <v>37.0</v>
      </c>
      <c r="J24" s="27">
        <v>38.0</v>
      </c>
      <c r="K24" s="27">
        <v>39.0</v>
      </c>
      <c r="L24" s="27">
        <v>38.0</v>
      </c>
      <c r="M24" s="27">
        <v>37.0</v>
      </c>
      <c r="N24" s="32" t="s">
        <v>90</v>
      </c>
      <c r="O24" s="32">
        <v>38.0</v>
      </c>
      <c r="P24" s="33">
        <f t="shared" si="1"/>
        <v>1</v>
      </c>
      <c r="Q24" s="19"/>
      <c r="R24" s="34" t="str">
        <f>IFERROR(__xludf.DUMMYFUNCTION("TEXTJOIN("", "",TRUE,FILTER(D$1:O$1, D24:O24=""AB""))"),"11")</f>
        <v>11</v>
      </c>
    </row>
    <row r="25">
      <c r="A25" s="27">
        <v>23.0</v>
      </c>
      <c r="B25" s="29" t="s">
        <v>273</v>
      </c>
      <c r="C25" s="29" t="s">
        <v>274</v>
      </c>
      <c r="D25" s="27">
        <v>39.0</v>
      </c>
      <c r="E25" s="27">
        <v>36.0</v>
      </c>
      <c r="F25" s="27">
        <v>37.0</v>
      </c>
      <c r="G25" s="31">
        <v>40.0</v>
      </c>
      <c r="H25" s="27">
        <v>35.0</v>
      </c>
      <c r="I25" s="27">
        <v>38.0</v>
      </c>
      <c r="J25" s="27">
        <v>39.0</v>
      </c>
      <c r="K25" s="27">
        <v>39.0</v>
      </c>
      <c r="L25" s="27">
        <v>40.0</v>
      </c>
      <c r="M25" s="27">
        <v>39.0</v>
      </c>
      <c r="N25" s="32">
        <v>38.0</v>
      </c>
      <c r="O25" s="32">
        <v>40.0</v>
      </c>
      <c r="P25" s="33">
        <f t="shared" si="1"/>
        <v>0</v>
      </c>
      <c r="Q25" s="19"/>
      <c r="R25" s="34" t="str">
        <f>IFERROR(__xludf.DUMMYFUNCTION("TEXTJOIN("", "",TRUE,FILTER(D$1:O$1, D25:O25=""AB""))"),"#N/A")</f>
        <v>#N/A</v>
      </c>
    </row>
    <row r="26">
      <c r="A26" s="27">
        <v>24.0</v>
      </c>
      <c r="B26" s="29" t="s">
        <v>276</v>
      </c>
      <c r="C26" s="29" t="s">
        <v>278</v>
      </c>
      <c r="D26" s="50"/>
      <c r="E26" s="50"/>
      <c r="F26" s="50"/>
      <c r="G26" s="27" t="s">
        <v>90</v>
      </c>
      <c r="H26" s="27">
        <v>30.0</v>
      </c>
      <c r="I26" s="27">
        <v>32.0</v>
      </c>
      <c r="J26" s="27" t="s">
        <v>90</v>
      </c>
      <c r="K26" s="27" t="s">
        <v>90</v>
      </c>
      <c r="L26" s="27">
        <v>29.0</v>
      </c>
      <c r="M26" s="27" t="s">
        <v>90</v>
      </c>
      <c r="N26" s="32">
        <v>31.0</v>
      </c>
      <c r="O26" s="35" t="s">
        <v>90</v>
      </c>
      <c r="P26" s="33">
        <f t="shared" si="1"/>
        <v>5</v>
      </c>
      <c r="Q26" s="19"/>
      <c r="R26" s="34" t="str">
        <f>IFERROR(__xludf.DUMMYFUNCTION("TEXTJOIN("", "",TRUE,FILTER(D$1:O$1, D26:O26=""AB""))"),"4, 7, 8, 10, 12")</f>
        <v>4, 7, 8, 10, 12</v>
      </c>
    </row>
    <row r="27">
      <c r="A27" s="27">
        <v>25.0</v>
      </c>
      <c r="B27" s="29" t="s">
        <v>280</v>
      </c>
      <c r="C27" s="29" t="s">
        <v>281</v>
      </c>
      <c r="D27" s="27" t="s">
        <v>90</v>
      </c>
      <c r="E27" s="27">
        <v>34.0</v>
      </c>
      <c r="F27" s="27">
        <v>30.0</v>
      </c>
      <c r="G27" s="31">
        <v>34.0</v>
      </c>
      <c r="H27" s="27">
        <v>31.0</v>
      </c>
      <c r="I27" s="27">
        <v>33.0</v>
      </c>
      <c r="J27" s="27">
        <v>38.0</v>
      </c>
      <c r="K27" s="27">
        <v>29.0</v>
      </c>
      <c r="L27" s="27">
        <v>40.0</v>
      </c>
      <c r="M27" s="27">
        <v>38.0</v>
      </c>
      <c r="N27" s="32" t="s">
        <v>90</v>
      </c>
      <c r="O27" s="32">
        <v>38.0</v>
      </c>
      <c r="P27" s="33">
        <f t="shared" si="1"/>
        <v>2</v>
      </c>
      <c r="Q27" s="19"/>
      <c r="R27" s="34" t="str">
        <f>IFERROR(__xludf.DUMMYFUNCTION("TEXTJOIN("", "",TRUE,FILTER(D$1:O$1, D27:O27=""AB""))"),"1, 11")</f>
        <v>1, 11</v>
      </c>
    </row>
    <row r="28">
      <c r="A28" s="27">
        <v>26.0</v>
      </c>
      <c r="B28" s="29" t="s">
        <v>284</v>
      </c>
      <c r="C28" s="29" t="s">
        <v>285</v>
      </c>
      <c r="D28" s="27" t="s">
        <v>90</v>
      </c>
      <c r="E28" s="27">
        <v>30.0</v>
      </c>
      <c r="F28" s="27" t="s">
        <v>90</v>
      </c>
      <c r="G28" s="27" t="s">
        <v>90</v>
      </c>
      <c r="H28" s="27">
        <v>26.0</v>
      </c>
      <c r="I28" s="27">
        <v>34.0</v>
      </c>
      <c r="J28" s="27">
        <v>26.0</v>
      </c>
      <c r="K28" s="27">
        <v>30.0</v>
      </c>
      <c r="L28" s="27">
        <v>34.0</v>
      </c>
      <c r="M28" s="27" t="s">
        <v>90</v>
      </c>
      <c r="N28" s="32" t="s">
        <v>90</v>
      </c>
      <c r="O28" s="35" t="s">
        <v>90</v>
      </c>
      <c r="P28" s="33">
        <f t="shared" si="1"/>
        <v>6</v>
      </c>
      <c r="Q28" s="19"/>
      <c r="R28" s="34" t="str">
        <f>IFERROR(__xludf.DUMMYFUNCTION("TEXTJOIN("", "",TRUE,FILTER(D$1:O$1, D28:O28=""AB""))"),"1, 3, 4, 10, 11, 12")</f>
        <v>1, 3, 4, 10, 11, 12</v>
      </c>
    </row>
    <row r="29">
      <c r="A29" s="27">
        <v>27.0</v>
      </c>
      <c r="B29" s="29" t="s">
        <v>287</v>
      </c>
      <c r="C29" s="29" t="s">
        <v>288</v>
      </c>
      <c r="D29" s="27">
        <v>40.0</v>
      </c>
      <c r="E29" s="27">
        <v>35.0</v>
      </c>
      <c r="F29" s="27">
        <v>36.0</v>
      </c>
      <c r="G29" s="31">
        <v>35.0</v>
      </c>
      <c r="H29" s="27" t="s">
        <v>90</v>
      </c>
      <c r="I29" s="27" t="s">
        <v>90</v>
      </c>
      <c r="J29" s="27" t="s">
        <v>90</v>
      </c>
      <c r="K29" s="27" t="s">
        <v>90</v>
      </c>
      <c r="L29" s="27">
        <v>37.0</v>
      </c>
      <c r="M29" s="27">
        <v>39.0</v>
      </c>
      <c r="N29" s="32" t="s">
        <v>90</v>
      </c>
      <c r="O29" s="35" t="s">
        <v>90</v>
      </c>
      <c r="P29" s="33">
        <f t="shared" si="1"/>
        <v>6</v>
      </c>
      <c r="Q29" s="19"/>
      <c r="R29" s="34" t="str">
        <f>IFERROR(__xludf.DUMMYFUNCTION("TEXTJOIN("", "",TRUE,FILTER(D$1:O$1, D29:O29=""AB""))"),"5, 6, 7, 8, 11, 12")</f>
        <v>5, 6, 7, 8, 11, 12</v>
      </c>
    </row>
    <row r="30">
      <c r="A30" s="27">
        <v>28.0</v>
      </c>
      <c r="B30" s="29" t="s">
        <v>291</v>
      </c>
      <c r="C30" s="29" t="s">
        <v>292</v>
      </c>
      <c r="D30" s="27">
        <v>32.0</v>
      </c>
      <c r="E30" s="27">
        <v>32.0</v>
      </c>
      <c r="F30" s="27">
        <v>39.0</v>
      </c>
      <c r="G30" s="31">
        <v>14.0</v>
      </c>
      <c r="H30" s="27">
        <v>37.0</v>
      </c>
      <c r="I30" s="27">
        <v>34.0</v>
      </c>
      <c r="J30" s="27">
        <v>38.0</v>
      </c>
      <c r="K30" s="27">
        <v>37.0</v>
      </c>
      <c r="L30" s="27">
        <v>38.0</v>
      </c>
      <c r="M30" s="27">
        <v>36.0</v>
      </c>
      <c r="N30" s="32">
        <v>32.0</v>
      </c>
      <c r="O30" s="32">
        <v>38.0</v>
      </c>
      <c r="P30" s="33">
        <f t="shared" si="1"/>
        <v>0</v>
      </c>
      <c r="Q30" s="19"/>
      <c r="R30" s="34" t="str">
        <f>IFERROR(__xludf.DUMMYFUNCTION("TEXTJOIN("", "",TRUE,FILTER(D$1:O$1, D30:O30=""AB""))"),"#N/A")</f>
        <v>#N/A</v>
      </c>
    </row>
    <row r="31">
      <c r="A31" s="27">
        <v>29.0</v>
      </c>
      <c r="B31" s="29" t="s">
        <v>294</v>
      </c>
      <c r="C31" s="29" t="s">
        <v>295</v>
      </c>
      <c r="D31" s="50"/>
      <c r="E31" s="50"/>
      <c r="F31" s="50"/>
      <c r="G31" s="27" t="s">
        <v>90</v>
      </c>
      <c r="H31" s="27" t="s">
        <v>90</v>
      </c>
      <c r="I31" s="27" t="s">
        <v>90</v>
      </c>
      <c r="J31" s="27" t="s">
        <v>90</v>
      </c>
      <c r="K31" s="27" t="s">
        <v>90</v>
      </c>
      <c r="L31" s="27" t="s">
        <v>90</v>
      </c>
      <c r="M31" s="27" t="s">
        <v>90</v>
      </c>
      <c r="N31" s="32" t="s">
        <v>90</v>
      </c>
      <c r="O31" s="35" t="s">
        <v>90</v>
      </c>
      <c r="P31" s="33">
        <f t="shared" si="1"/>
        <v>9</v>
      </c>
      <c r="Q31" s="19"/>
      <c r="R31" s="34" t="str">
        <f>IFERROR(__xludf.DUMMYFUNCTION("TEXTJOIN("", "",TRUE,FILTER(D$1:O$1, D31:O31=""AB""))"),"4, 5, 6, 7, 8, 9, 10, 11, 12")</f>
        <v>4, 5, 6, 7, 8, 9, 10, 11, 12</v>
      </c>
    </row>
    <row r="32">
      <c r="A32" s="27">
        <v>30.0</v>
      </c>
      <c r="B32" s="29" t="s">
        <v>298</v>
      </c>
      <c r="C32" s="29" t="s">
        <v>299</v>
      </c>
      <c r="D32" s="50"/>
      <c r="E32" s="50"/>
      <c r="F32" s="50"/>
      <c r="G32" s="50"/>
      <c r="H32" s="27" t="s">
        <v>90</v>
      </c>
      <c r="I32" s="27" t="s">
        <v>90</v>
      </c>
      <c r="J32" s="27">
        <v>40.0</v>
      </c>
      <c r="K32" s="27" t="s">
        <v>90</v>
      </c>
      <c r="L32" s="27" t="s">
        <v>90</v>
      </c>
      <c r="M32" s="27">
        <v>39.0</v>
      </c>
      <c r="N32" s="32" t="s">
        <v>90</v>
      </c>
      <c r="O32" s="35" t="s">
        <v>90</v>
      </c>
      <c r="P32" s="33">
        <f t="shared" si="1"/>
        <v>6</v>
      </c>
      <c r="Q32" s="19"/>
      <c r="R32" s="34" t="str">
        <f>IFERROR(__xludf.DUMMYFUNCTION("TEXTJOIN("", "",TRUE,FILTER(D$1:O$1, D32:O32=""AB""))"),"5, 6, 8, 9, 11, 12")</f>
        <v>5, 6, 8, 9, 11, 12</v>
      </c>
    </row>
    <row r="33">
      <c r="A33" s="27">
        <v>31.0</v>
      </c>
      <c r="B33" s="29" t="s">
        <v>302</v>
      </c>
      <c r="C33" s="29" t="s">
        <v>303</v>
      </c>
      <c r="D33" s="27">
        <v>37.0</v>
      </c>
      <c r="E33" s="27">
        <v>35.0</v>
      </c>
      <c r="F33" s="27" t="s">
        <v>90</v>
      </c>
      <c r="G33" s="27">
        <v>35.0</v>
      </c>
      <c r="H33" s="27">
        <v>37.0</v>
      </c>
      <c r="I33" s="27" t="s">
        <v>90</v>
      </c>
      <c r="J33" s="27" t="s">
        <v>90</v>
      </c>
      <c r="K33" s="27" t="s">
        <v>90</v>
      </c>
      <c r="L33" s="27" t="s">
        <v>90</v>
      </c>
      <c r="M33" s="27" t="s">
        <v>90</v>
      </c>
      <c r="N33" s="32" t="s">
        <v>90</v>
      </c>
      <c r="O33" s="35" t="s">
        <v>90</v>
      </c>
      <c r="P33" s="33">
        <f t="shared" si="1"/>
        <v>8</v>
      </c>
      <c r="Q33" s="19"/>
      <c r="R33" s="34" t="str">
        <f>IFERROR(__xludf.DUMMYFUNCTION("TEXTJOIN("", "",TRUE,FILTER(D$1:O$1, D33:O33=""AB""))"),"3, 6, 7, 8, 9, 10, 11, 12")</f>
        <v>3, 6, 7, 8, 9, 10, 11, 12</v>
      </c>
    </row>
    <row r="34">
      <c r="A34" s="27">
        <v>32.0</v>
      </c>
      <c r="B34" s="29" t="s">
        <v>305</v>
      </c>
      <c r="C34" s="29" t="s">
        <v>307</v>
      </c>
      <c r="D34" s="27" t="s">
        <v>90</v>
      </c>
      <c r="E34" s="27">
        <v>26.0</v>
      </c>
      <c r="F34" s="27">
        <v>39.0</v>
      </c>
      <c r="G34" s="31">
        <v>20.0</v>
      </c>
      <c r="H34" s="27">
        <v>40.0</v>
      </c>
      <c r="I34" s="27" t="s">
        <v>90</v>
      </c>
      <c r="J34" s="27">
        <v>40.0</v>
      </c>
      <c r="K34" s="27" t="s">
        <v>90</v>
      </c>
      <c r="L34" s="27">
        <v>38.0</v>
      </c>
      <c r="M34" s="27">
        <v>40.0</v>
      </c>
      <c r="N34" s="32" t="s">
        <v>90</v>
      </c>
      <c r="O34" s="32">
        <v>40.0</v>
      </c>
      <c r="P34" s="33">
        <f t="shared" si="1"/>
        <v>4</v>
      </c>
      <c r="Q34" s="19"/>
      <c r="R34" s="34" t="str">
        <f>IFERROR(__xludf.DUMMYFUNCTION("TEXTJOIN("", "",TRUE,FILTER(D$1:O$1, D34:O34=""AB""))"),"1, 6, 8, 11")</f>
        <v>1, 6, 8, 11</v>
      </c>
    </row>
    <row r="35">
      <c r="A35" s="27">
        <v>33.0</v>
      </c>
      <c r="B35" s="29" t="s">
        <v>309</v>
      </c>
      <c r="C35" s="41" t="s">
        <v>310</v>
      </c>
      <c r="D35" s="27" t="s">
        <v>90</v>
      </c>
      <c r="E35" s="27" t="s">
        <v>90</v>
      </c>
      <c r="F35" s="27" t="s">
        <v>90</v>
      </c>
      <c r="G35" s="27" t="s">
        <v>90</v>
      </c>
      <c r="H35" s="27" t="s">
        <v>90</v>
      </c>
      <c r="I35" s="27" t="s">
        <v>90</v>
      </c>
      <c r="J35" s="27" t="s">
        <v>90</v>
      </c>
      <c r="K35" s="27" t="s">
        <v>90</v>
      </c>
      <c r="L35" s="27" t="s">
        <v>90</v>
      </c>
      <c r="M35" s="27" t="s">
        <v>90</v>
      </c>
      <c r="N35" s="32" t="s">
        <v>90</v>
      </c>
      <c r="O35" s="35" t="s">
        <v>90</v>
      </c>
      <c r="P35" s="33">
        <f t="shared" si="1"/>
        <v>12</v>
      </c>
      <c r="Q35" s="19"/>
      <c r="R35" s="34" t="str">
        <f>IFERROR(__xludf.DUMMYFUNCTION("TEXTJOIN("", "",TRUE,FILTER(D$1:O$1, D35:O35=""AB""))"),"1, 2, 3, 4, 5, 6, 7, 8, 9, 10, 11, 12")</f>
        <v>1, 2, 3, 4, 5, 6, 7, 8, 9, 10, 11, 12</v>
      </c>
    </row>
    <row r="36">
      <c r="A36" s="27">
        <v>34.0</v>
      </c>
      <c r="B36" s="29" t="s">
        <v>313</v>
      </c>
      <c r="C36" s="29" t="s">
        <v>314</v>
      </c>
      <c r="D36" s="27">
        <v>33.0</v>
      </c>
      <c r="E36" s="27">
        <v>37.0</v>
      </c>
      <c r="F36" s="27">
        <v>36.0</v>
      </c>
      <c r="G36" s="31">
        <v>20.0</v>
      </c>
      <c r="H36" s="27">
        <v>38.0</v>
      </c>
      <c r="I36" s="27">
        <v>34.0</v>
      </c>
      <c r="J36" s="27">
        <v>38.0</v>
      </c>
      <c r="K36" s="27">
        <v>38.0</v>
      </c>
      <c r="L36" s="27">
        <v>39.0</v>
      </c>
      <c r="M36" s="27">
        <v>37.0</v>
      </c>
      <c r="N36" s="32" t="s">
        <v>90</v>
      </c>
      <c r="O36" s="32">
        <v>36.0</v>
      </c>
      <c r="P36" s="33">
        <f t="shared" si="1"/>
        <v>1</v>
      </c>
      <c r="Q36" s="19"/>
      <c r="R36" s="34" t="str">
        <f>IFERROR(__xludf.DUMMYFUNCTION("TEXTJOIN("", "",TRUE,FILTER(D$1:O$1, D36:O36=""AB""))"),"11")</f>
        <v>11</v>
      </c>
    </row>
    <row r="37">
      <c r="A37" s="27">
        <v>35.0</v>
      </c>
      <c r="B37" s="29" t="s">
        <v>317</v>
      </c>
      <c r="C37" s="56" t="s">
        <v>318</v>
      </c>
      <c r="D37" s="50"/>
      <c r="E37" s="50"/>
      <c r="F37" s="50"/>
      <c r="G37" s="50"/>
      <c r="H37" s="27" t="s">
        <v>90</v>
      </c>
      <c r="I37" s="27" t="s">
        <v>90</v>
      </c>
      <c r="J37" s="27" t="s">
        <v>90</v>
      </c>
      <c r="K37" s="27" t="s">
        <v>90</v>
      </c>
      <c r="L37" s="27" t="s">
        <v>90</v>
      </c>
      <c r="M37" s="27" t="s">
        <v>90</v>
      </c>
      <c r="N37" s="32" t="s">
        <v>90</v>
      </c>
      <c r="O37" s="35" t="s">
        <v>90</v>
      </c>
      <c r="P37" s="33">
        <f t="shared" si="1"/>
        <v>8</v>
      </c>
      <c r="Q37" s="19"/>
      <c r="R37" s="34" t="str">
        <f>IFERROR(__xludf.DUMMYFUNCTION("TEXTJOIN("", "",TRUE,FILTER(D$1:O$1, D37:O37=""AB""))"),"5, 6, 7, 8, 9, 10, 11, 12")</f>
        <v>5, 6, 7, 8, 9, 10, 11, 12</v>
      </c>
    </row>
    <row r="38">
      <c r="A38" s="27">
        <v>36.0</v>
      </c>
      <c r="B38" s="29" t="s">
        <v>320</v>
      </c>
      <c r="C38" s="29" t="s">
        <v>321</v>
      </c>
      <c r="D38" s="27" t="s">
        <v>90</v>
      </c>
      <c r="E38" s="27" t="s">
        <v>90</v>
      </c>
      <c r="F38" s="27" t="s">
        <v>90</v>
      </c>
      <c r="G38" s="27" t="s">
        <v>90</v>
      </c>
      <c r="H38" s="27">
        <v>34.0</v>
      </c>
      <c r="I38" s="27" t="s">
        <v>90</v>
      </c>
      <c r="J38" s="27" t="s">
        <v>90</v>
      </c>
      <c r="K38" s="27">
        <v>37.0</v>
      </c>
      <c r="L38" s="27">
        <v>36.0</v>
      </c>
      <c r="M38" s="27" t="s">
        <v>90</v>
      </c>
      <c r="N38" s="32" t="s">
        <v>90</v>
      </c>
      <c r="O38" s="35" t="s">
        <v>90</v>
      </c>
      <c r="P38" s="33">
        <f t="shared" si="1"/>
        <v>9</v>
      </c>
      <c r="Q38" s="19"/>
      <c r="R38" s="34" t="str">
        <f>IFERROR(__xludf.DUMMYFUNCTION("TEXTJOIN("", "",TRUE,FILTER(D$1:O$1, D38:O38=""AB""))"),"1, 2, 3, 4, 6, 7, 10, 11, 12")</f>
        <v>1, 2, 3, 4, 6, 7, 10, 11, 12</v>
      </c>
    </row>
    <row r="39">
      <c r="A39" s="27">
        <v>37.0</v>
      </c>
      <c r="B39" s="29" t="s">
        <v>322</v>
      </c>
      <c r="C39" s="29" t="s">
        <v>324</v>
      </c>
      <c r="D39" s="27">
        <v>30.0</v>
      </c>
      <c r="E39" s="27">
        <v>38.0</v>
      </c>
      <c r="F39" s="27">
        <v>38.0</v>
      </c>
      <c r="G39" s="27" t="s">
        <v>90</v>
      </c>
      <c r="H39" s="27">
        <v>39.0</v>
      </c>
      <c r="I39" s="27">
        <v>40.0</v>
      </c>
      <c r="J39" s="27">
        <v>40.0</v>
      </c>
      <c r="K39" s="27">
        <v>39.0</v>
      </c>
      <c r="L39" s="27">
        <v>40.0</v>
      </c>
      <c r="M39" s="27">
        <v>40.0</v>
      </c>
      <c r="N39" s="32" t="s">
        <v>90</v>
      </c>
      <c r="O39" s="32">
        <v>38.0</v>
      </c>
      <c r="P39" s="33">
        <f t="shared" si="1"/>
        <v>2</v>
      </c>
      <c r="Q39" s="19"/>
      <c r="R39" s="34" t="str">
        <f>IFERROR(__xludf.DUMMYFUNCTION("TEXTJOIN("", "",TRUE,FILTER(D$1:O$1, D39:O39=""AB""))"),"4, 11")</f>
        <v>4, 11</v>
      </c>
    </row>
    <row r="40">
      <c r="A40" s="27">
        <v>38.0</v>
      </c>
      <c r="B40" s="29" t="s">
        <v>326</v>
      </c>
      <c r="C40" s="29" t="s">
        <v>327</v>
      </c>
      <c r="D40" s="50"/>
      <c r="E40" s="50"/>
      <c r="F40" s="50"/>
      <c r="G40" s="27" t="s">
        <v>90</v>
      </c>
      <c r="H40" s="27" t="s">
        <v>90</v>
      </c>
      <c r="I40" s="27" t="s">
        <v>90</v>
      </c>
      <c r="J40" s="27" t="s">
        <v>90</v>
      </c>
      <c r="K40" s="27" t="s">
        <v>90</v>
      </c>
      <c r="L40" s="27">
        <v>40.0</v>
      </c>
      <c r="M40" s="27">
        <v>31.0</v>
      </c>
      <c r="N40" s="32" t="s">
        <v>90</v>
      </c>
      <c r="O40" s="32">
        <v>32.0</v>
      </c>
      <c r="P40" s="33">
        <f t="shared" si="1"/>
        <v>6</v>
      </c>
      <c r="Q40" s="19"/>
      <c r="R40" s="34" t="str">
        <f>IFERROR(__xludf.DUMMYFUNCTION("TEXTJOIN("", "",TRUE,FILTER(D$1:O$1, D40:O40=""AB""))"),"4, 5, 6, 7, 8, 11")</f>
        <v>4, 5, 6, 7, 8, 11</v>
      </c>
    </row>
    <row r="41">
      <c r="A41" s="27">
        <v>39.0</v>
      </c>
      <c r="B41" s="39" t="s">
        <v>329</v>
      </c>
      <c r="C41" s="39" t="s">
        <v>331</v>
      </c>
      <c r="D41" s="27">
        <v>39.0</v>
      </c>
      <c r="E41" s="27">
        <v>38.0</v>
      </c>
      <c r="F41" s="27">
        <v>40.0</v>
      </c>
      <c r="G41" s="27" t="s">
        <v>90</v>
      </c>
      <c r="H41" s="27">
        <v>40.0</v>
      </c>
      <c r="I41" s="27">
        <v>37.0</v>
      </c>
      <c r="J41" s="27">
        <v>37.0</v>
      </c>
      <c r="K41" s="27">
        <v>38.0</v>
      </c>
      <c r="L41" s="27">
        <v>36.0</v>
      </c>
      <c r="M41" s="27">
        <v>36.0</v>
      </c>
      <c r="N41" s="32" t="s">
        <v>90</v>
      </c>
      <c r="O41" s="35" t="s">
        <v>90</v>
      </c>
      <c r="P41" s="33">
        <f t="shared" si="1"/>
        <v>3</v>
      </c>
      <c r="Q41" s="19"/>
      <c r="R41" s="34" t="str">
        <f>IFERROR(__xludf.DUMMYFUNCTION("TEXTJOIN("", "",TRUE,FILTER(D$1:O$1, D41:O41=""AB""))"),"4, 11, 12")</f>
        <v>4, 11, 12</v>
      </c>
    </row>
    <row r="42">
      <c r="A42" s="27">
        <v>40.0</v>
      </c>
      <c r="B42" s="29" t="s">
        <v>334</v>
      </c>
      <c r="C42" s="29" t="s">
        <v>335</v>
      </c>
      <c r="D42" s="27" t="s">
        <v>90</v>
      </c>
      <c r="E42" s="27">
        <v>35.0</v>
      </c>
      <c r="F42" s="27">
        <v>36.0</v>
      </c>
      <c r="G42" s="27" t="s">
        <v>90</v>
      </c>
      <c r="H42" s="27">
        <v>36.0</v>
      </c>
      <c r="I42" s="27">
        <v>34.0</v>
      </c>
      <c r="J42" s="27" t="s">
        <v>90</v>
      </c>
      <c r="K42" s="27">
        <v>38.0</v>
      </c>
      <c r="L42" s="27">
        <v>39.0</v>
      </c>
      <c r="M42" s="27">
        <v>38.0</v>
      </c>
      <c r="N42" s="32" t="s">
        <v>90</v>
      </c>
      <c r="O42" s="32">
        <v>36.0</v>
      </c>
      <c r="P42" s="33">
        <f t="shared" si="1"/>
        <v>4</v>
      </c>
      <c r="Q42" s="19"/>
      <c r="R42" s="34" t="str">
        <f>IFERROR(__xludf.DUMMYFUNCTION("TEXTJOIN("", "",TRUE,FILTER(D$1:O$1, D42:O42=""AB""))"),"1, 4, 7, 11")</f>
        <v>1, 4, 7, 11</v>
      </c>
    </row>
    <row r="43">
      <c r="A43" s="27">
        <v>41.0</v>
      </c>
      <c r="B43" s="29" t="s">
        <v>339</v>
      </c>
      <c r="C43" s="29" t="s">
        <v>340</v>
      </c>
      <c r="D43" s="27" t="s">
        <v>90</v>
      </c>
      <c r="E43" s="27" t="s">
        <v>90</v>
      </c>
      <c r="F43" s="27">
        <v>31.0</v>
      </c>
      <c r="G43" s="31">
        <v>14.0</v>
      </c>
      <c r="H43" s="27">
        <v>30.0</v>
      </c>
      <c r="I43" s="27">
        <v>30.0</v>
      </c>
      <c r="J43" s="27">
        <v>33.0</v>
      </c>
      <c r="K43" s="27">
        <v>38.0</v>
      </c>
      <c r="L43" s="27">
        <v>38.0</v>
      </c>
      <c r="M43" s="27">
        <v>39.0</v>
      </c>
      <c r="N43" s="32" t="s">
        <v>90</v>
      </c>
      <c r="O43" s="35" t="s">
        <v>90</v>
      </c>
      <c r="P43" s="33">
        <f t="shared" si="1"/>
        <v>4</v>
      </c>
      <c r="Q43" s="19"/>
      <c r="R43" s="34" t="str">
        <f>IFERROR(__xludf.DUMMYFUNCTION("TEXTJOIN("", "",TRUE,FILTER(D$1:O$1, D43:O43=""AB""))"),"1, 2, 11, 12")</f>
        <v>1, 2, 11, 12</v>
      </c>
    </row>
    <row r="44">
      <c r="A44" s="27">
        <v>42.0</v>
      </c>
      <c r="B44" s="29" t="s">
        <v>344</v>
      </c>
      <c r="C44" s="29" t="s">
        <v>346</v>
      </c>
      <c r="D44" s="27" t="s">
        <v>90</v>
      </c>
      <c r="E44" s="27" t="s">
        <v>90</v>
      </c>
      <c r="F44" s="27" t="s">
        <v>90</v>
      </c>
      <c r="G44" s="27" t="s">
        <v>90</v>
      </c>
      <c r="H44" s="27" t="s">
        <v>90</v>
      </c>
      <c r="I44" s="27" t="s">
        <v>90</v>
      </c>
      <c r="J44" s="27" t="s">
        <v>90</v>
      </c>
      <c r="K44" s="27" t="s">
        <v>90</v>
      </c>
      <c r="L44" s="27" t="s">
        <v>90</v>
      </c>
      <c r="M44" s="27" t="s">
        <v>90</v>
      </c>
      <c r="N44" s="32" t="s">
        <v>90</v>
      </c>
      <c r="O44" s="35" t="s">
        <v>90</v>
      </c>
      <c r="P44" s="33">
        <f t="shared" si="1"/>
        <v>12</v>
      </c>
      <c r="Q44" s="19"/>
      <c r="R44" s="34" t="str">
        <f>IFERROR(__xludf.DUMMYFUNCTION("TEXTJOIN("", "",TRUE,FILTER(D$1:O$1, D44:O44=""AB""))"),"1, 2, 3, 4, 5, 6, 7, 8, 9, 10, 11, 12")</f>
        <v>1, 2, 3, 4, 5, 6, 7, 8, 9, 10, 11, 12</v>
      </c>
    </row>
    <row r="45">
      <c r="A45" s="27">
        <v>43.0</v>
      </c>
      <c r="B45" s="29" t="s">
        <v>349</v>
      </c>
      <c r="C45" s="29" t="s">
        <v>350</v>
      </c>
      <c r="D45" s="27" t="s">
        <v>90</v>
      </c>
      <c r="E45" s="27">
        <v>38.0</v>
      </c>
      <c r="F45" s="27">
        <v>37.0</v>
      </c>
      <c r="G45" s="31">
        <v>39.0</v>
      </c>
      <c r="H45" s="27">
        <v>37.0</v>
      </c>
      <c r="I45" s="27">
        <v>39.0</v>
      </c>
      <c r="J45" s="27">
        <v>39.0</v>
      </c>
      <c r="K45" s="27">
        <v>40.0</v>
      </c>
      <c r="L45" s="27">
        <v>40.0</v>
      </c>
      <c r="M45" s="27">
        <v>38.0</v>
      </c>
      <c r="N45" s="32">
        <v>38.0</v>
      </c>
      <c r="O45" s="32">
        <v>40.0</v>
      </c>
      <c r="P45" s="33">
        <f t="shared" si="1"/>
        <v>1</v>
      </c>
      <c r="Q45" s="19"/>
      <c r="R45" s="34" t="str">
        <f>IFERROR(__xludf.DUMMYFUNCTION("TEXTJOIN("", "",TRUE,FILTER(D$1:O$1, D45:O45=""AB""))"),"1")</f>
        <v>1</v>
      </c>
    </row>
    <row r="46">
      <c r="A46" s="32">
        <v>44.0</v>
      </c>
      <c r="B46" s="32" t="s">
        <v>236</v>
      </c>
      <c r="C46" s="58"/>
      <c r="D46" s="32" t="s">
        <v>383</v>
      </c>
      <c r="E46" s="32" t="s">
        <v>383</v>
      </c>
      <c r="F46" s="32" t="s">
        <v>383</v>
      </c>
      <c r="G46" s="32" t="s">
        <v>383</v>
      </c>
      <c r="H46" s="32" t="s">
        <v>383</v>
      </c>
      <c r="I46" s="32" t="s">
        <v>383</v>
      </c>
      <c r="J46" s="32" t="s">
        <v>383</v>
      </c>
      <c r="K46" s="32" t="s">
        <v>383</v>
      </c>
      <c r="L46" s="32" t="s">
        <v>383</v>
      </c>
      <c r="M46" s="58"/>
      <c r="N46" s="32" t="s">
        <v>90</v>
      </c>
      <c r="O46" s="32">
        <v>32.0</v>
      </c>
      <c r="P46" s="59"/>
      <c r="Q46" s="19"/>
    </row>
    <row r="47">
      <c r="A47" s="32">
        <v>45.0</v>
      </c>
      <c r="B47" s="32" t="s">
        <v>243</v>
      </c>
      <c r="C47" s="58"/>
      <c r="D47" s="32" t="s">
        <v>383</v>
      </c>
      <c r="E47" s="32" t="s">
        <v>383</v>
      </c>
      <c r="F47" s="32" t="s">
        <v>383</v>
      </c>
      <c r="G47" s="32" t="s">
        <v>383</v>
      </c>
      <c r="H47" s="32" t="s">
        <v>383</v>
      </c>
      <c r="I47" s="32" t="s">
        <v>383</v>
      </c>
      <c r="J47" s="32" t="s">
        <v>383</v>
      </c>
      <c r="K47" s="32" t="s">
        <v>383</v>
      </c>
      <c r="L47" s="32" t="s">
        <v>383</v>
      </c>
      <c r="M47" s="58"/>
      <c r="N47" s="32">
        <v>40.0</v>
      </c>
      <c r="O47" s="32">
        <v>40.0</v>
      </c>
      <c r="P47" s="59"/>
      <c r="Q47" s="19"/>
    </row>
    <row r="48">
      <c r="P48" s="60"/>
    </row>
    <row r="49">
      <c r="P49" s="60"/>
    </row>
    <row r="50">
      <c r="P50" s="60"/>
    </row>
    <row r="51">
      <c r="P51" s="60"/>
    </row>
    <row r="52">
      <c r="P52" s="60"/>
    </row>
    <row r="53">
      <c r="P53" s="60"/>
    </row>
    <row r="54">
      <c r="P54" s="60"/>
    </row>
    <row r="55">
      <c r="P55" s="60"/>
    </row>
    <row r="56">
      <c r="P56" s="60"/>
    </row>
    <row r="57">
      <c r="P57" s="60"/>
    </row>
    <row r="58">
      <c r="P58" s="60"/>
    </row>
    <row r="59">
      <c r="P59" s="60"/>
    </row>
    <row r="60">
      <c r="P60" s="60"/>
    </row>
    <row r="61">
      <c r="P61" s="60"/>
    </row>
    <row r="62">
      <c r="P62" s="60"/>
    </row>
    <row r="63">
      <c r="P63" s="60"/>
    </row>
    <row r="64">
      <c r="P64" s="60"/>
    </row>
    <row r="65">
      <c r="P65" s="60"/>
    </row>
    <row r="66">
      <c r="P66" s="60"/>
    </row>
    <row r="67">
      <c r="P67" s="60"/>
    </row>
    <row r="68">
      <c r="P68" s="60"/>
    </row>
    <row r="69">
      <c r="P69" s="60"/>
    </row>
    <row r="70">
      <c r="P70" s="60"/>
    </row>
    <row r="71">
      <c r="P71" s="60"/>
    </row>
    <row r="72">
      <c r="P72" s="60"/>
    </row>
    <row r="73">
      <c r="P73" s="60"/>
    </row>
    <row r="74">
      <c r="P74" s="60"/>
    </row>
    <row r="75">
      <c r="P75" s="60"/>
    </row>
    <row r="76">
      <c r="P76" s="60"/>
    </row>
    <row r="77">
      <c r="P77" s="60"/>
    </row>
    <row r="78">
      <c r="P78" s="60"/>
    </row>
    <row r="79">
      <c r="P79" s="60"/>
    </row>
    <row r="80">
      <c r="P80" s="60"/>
    </row>
  </sheetData>
  <autoFilter ref="$O$2:$O$47"/>
  <mergeCells count="79"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9:Q79"/>
    <mergeCell ref="P80:Q80"/>
    <mergeCell ref="P72:Q72"/>
    <mergeCell ref="P73:Q73"/>
    <mergeCell ref="P74:Q74"/>
    <mergeCell ref="P75:Q75"/>
    <mergeCell ref="P76:Q76"/>
    <mergeCell ref="P77:Q77"/>
    <mergeCell ref="P78:Q78"/>
    <mergeCell ref="P2:Q2"/>
    <mergeCell ref="P3:Q3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</mergeCells>
  <conditionalFormatting sqref="D3:N50 O46:O50">
    <cfRule type="beginsWith" dxfId="0" priority="1" operator="beginsWith" text="a">
      <formula>LEFT((D3),LEN("a"))=("a")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2">
      <c r="A2" s="48" t="s">
        <v>2</v>
      </c>
      <c r="B2" s="48" t="s">
        <v>10</v>
      </c>
      <c r="C2" s="49" t="s">
        <v>14</v>
      </c>
      <c r="D2" s="23" t="s">
        <v>201</v>
      </c>
      <c r="E2" s="23" t="s">
        <v>203</v>
      </c>
      <c r="F2" s="23" t="s">
        <v>206</v>
      </c>
      <c r="G2" s="23" t="s">
        <v>207</v>
      </c>
      <c r="H2" s="23" t="s">
        <v>209</v>
      </c>
    </row>
    <row r="3">
      <c r="A3" s="42">
        <v>1.0</v>
      </c>
      <c r="B3" s="43" t="s">
        <v>58</v>
      </c>
      <c r="C3" s="43" t="s">
        <v>61</v>
      </c>
      <c r="D3" s="50">
        <v>39.0</v>
      </c>
      <c r="E3" s="50">
        <v>38.0</v>
      </c>
      <c r="F3" s="50">
        <v>37.0</v>
      </c>
      <c r="G3" s="27">
        <v>39.0</v>
      </c>
      <c r="H3" s="40">
        <v>39.0</v>
      </c>
    </row>
    <row r="4">
      <c r="A4" s="42">
        <v>2.0</v>
      </c>
      <c r="B4" s="43" t="s">
        <v>80</v>
      </c>
      <c r="C4" s="43" t="s">
        <v>82</v>
      </c>
      <c r="D4" s="50">
        <v>37.0</v>
      </c>
      <c r="E4" s="50">
        <v>40.0</v>
      </c>
      <c r="F4" s="50">
        <v>39.0</v>
      </c>
      <c r="G4" s="27">
        <v>38.0</v>
      </c>
      <c r="H4" s="51" t="s">
        <v>90</v>
      </c>
    </row>
    <row r="5">
      <c r="A5" s="42">
        <v>3.0</v>
      </c>
      <c r="B5" s="43" t="s">
        <v>97</v>
      </c>
      <c r="C5" s="43" t="s">
        <v>99</v>
      </c>
      <c r="D5" s="50" t="s">
        <v>90</v>
      </c>
      <c r="E5" s="50" t="s">
        <v>90</v>
      </c>
      <c r="F5" s="50" t="s">
        <v>90</v>
      </c>
      <c r="G5" s="27">
        <v>38.0</v>
      </c>
      <c r="H5" s="51" t="s">
        <v>90</v>
      </c>
    </row>
    <row r="6">
      <c r="A6" s="42">
        <v>4.0</v>
      </c>
      <c r="B6" s="43" t="s">
        <v>114</v>
      </c>
      <c r="C6" s="43" t="s">
        <v>115</v>
      </c>
      <c r="D6" s="50">
        <v>37.0</v>
      </c>
      <c r="E6" s="50">
        <v>39.0</v>
      </c>
      <c r="F6" s="50">
        <v>38.0</v>
      </c>
      <c r="G6" s="27">
        <v>38.0</v>
      </c>
      <c r="H6" s="51" t="s">
        <v>90</v>
      </c>
    </row>
    <row r="7">
      <c r="A7" s="42">
        <v>5.0</v>
      </c>
      <c r="B7" s="43" t="s">
        <v>131</v>
      </c>
      <c r="C7" s="43" t="s">
        <v>132</v>
      </c>
      <c r="D7" s="50">
        <v>38.0</v>
      </c>
      <c r="E7" s="50">
        <v>40.0</v>
      </c>
      <c r="F7" s="50">
        <v>40.0</v>
      </c>
      <c r="G7" s="27">
        <v>40.0</v>
      </c>
      <c r="H7" s="51" t="s">
        <v>90</v>
      </c>
    </row>
    <row r="8">
      <c r="A8" s="42">
        <v>6.0</v>
      </c>
      <c r="B8" s="43" t="s">
        <v>141</v>
      </c>
      <c r="C8" s="43" t="s">
        <v>143</v>
      </c>
      <c r="D8" s="50">
        <v>39.0</v>
      </c>
      <c r="E8" s="50">
        <v>40.0</v>
      </c>
      <c r="F8" s="50">
        <v>39.0</v>
      </c>
      <c r="G8" s="27">
        <v>38.0</v>
      </c>
      <c r="H8" s="40">
        <v>38.0</v>
      </c>
    </row>
    <row r="9">
      <c r="A9" s="42">
        <v>7.0</v>
      </c>
      <c r="B9" s="53" t="s">
        <v>151</v>
      </c>
      <c r="C9" s="53" t="s">
        <v>153</v>
      </c>
      <c r="D9" s="50">
        <v>39.0</v>
      </c>
      <c r="E9" s="50">
        <v>38.0</v>
      </c>
      <c r="F9" s="50">
        <v>39.0</v>
      </c>
      <c r="G9" s="27">
        <v>39.0</v>
      </c>
      <c r="H9" s="51" t="s">
        <v>90</v>
      </c>
    </row>
    <row r="10">
      <c r="A10" s="42">
        <v>8.0</v>
      </c>
      <c r="B10" s="43" t="s">
        <v>164</v>
      </c>
      <c r="C10" s="43" t="s">
        <v>165</v>
      </c>
      <c r="D10" s="50">
        <v>37.0</v>
      </c>
      <c r="E10" s="50">
        <v>37.0</v>
      </c>
      <c r="F10" s="50">
        <v>40.0</v>
      </c>
      <c r="G10" s="27">
        <v>40.0</v>
      </c>
      <c r="H10" s="51" t="s">
        <v>90</v>
      </c>
    </row>
    <row r="11">
      <c r="A11" s="42">
        <v>9.0</v>
      </c>
      <c r="B11" s="43" t="s">
        <v>172</v>
      </c>
      <c r="C11" s="54" t="s">
        <v>173</v>
      </c>
      <c r="D11" s="50">
        <v>38.0</v>
      </c>
      <c r="E11" s="50">
        <v>38.0</v>
      </c>
      <c r="F11" s="50">
        <v>39.0</v>
      </c>
      <c r="G11" s="27">
        <v>38.0</v>
      </c>
      <c r="H11" s="40">
        <v>40.0</v>
      </c>
    </row>
    <row r="12">
      <c r="A12" s="42">
        <v>10.0</v>
      </c>
      <c r="B12" s="43" t="s">
        <v>236</v>
      </c>
      <c r="C12" s="43" t="s">
        <v>237</v>
      </c>
      <c r="H12" s="51" t="s">
        <v>90</v>
      </c>
    </row>
    <row r="13">
      <c r="A13" s="42">
        <v>11.0</v>
      </c>
      <c r="B13" s="43" t="s">
        <v>178</v>
      </c>
      <c r="C13" s="43" t="s">
        <v>179</v>
      </c>
      <c r="D13" s="50">
        <v>40.0</v>
      </c>
      <c r="E13" s="50">
        <v>39.0</v>
      </c>
      <c r="F13" s="50">
        <v>39.0</v>
      </c>
      <c r="G13" s="27">
        <v>38.0</v>
      </c>
      <c r="H13" s="40">
        <v>39.0</v>
      </c>
    </row>
    <row r="14">
      <c r="A14" s="42">
        <v>12.0</v>
      </c>
      <c r="B14" s="43" t="s">
        <v>186</v>
      </c>
      <c r="C14" s="43" t="s">
        <v>188</v>
      </c>
      <c r="D14" s="50" t="s">
        <v>90</v>
      </c>
      <c r="E14" s="50" t="s">
        <v>90</v>
      </c>
      <c r="F14" s="50" t="s">
        <v>90</v>
      </c>
      <c r="G14" s="27" t="s">
        <v>90</v>
      </c>
      <c r="H14" s="51" t="s">
        <v>90</v>
      </c>
    </row>
    <row r="15">
      <c r="A15" s="42">
        <v>13.0</v>
      </c>
      <c r="B15" s="55" t="s">
        <v>243</v>
      </c>
      <c r="C15" s="55" t="s">
        <v>245</v>
      </c>
      <c r="H15" s="51" t="s">
        <v>90</v>
      </c>
    </row>
    <row r="16">
      <c r="A16" s="42">
        <v>14.0</v>
      </c>
      <c r="B16" s="43" t="s">
        <v>194</v>
      </c>
      <c r="C16" s="43" t="s">
        <v>195</v>
      </c>
      <c r="D16" s="50" t="s">
        <v>90</v>
      </c>
      <c r="E16" s="50" t="s">
        <v>90</v>
      </c>
      <c r="F16" s="50" t="s">
        <v>90</v>
      </c>
      <c r="G16" s="27">
        <v>37.0</v>
      </c>
      <c r="H16" s="51" t="s">
        <v>90</v>
      </c>
    </row>
    <row r="17">
      <c r="A17" s="42">
        <v>15.0</v>
      </c>
      <c r="B17" s="43" t="s">
        <v>202</v>
      </c>
      <c r="C17" s="43" t="s">
        <v>205</v>
      </c>
      <c r="D17" s="50" t="s">
        <v>90</v>
      </c>
      <c r="E17" s="50" t="s">
        <v>90</v>
      </c>
      <c r="F17" s="50" t="s">
        <v>90</v>
      </c>
      <c r="G17" s="27" t="s">
        <v>90</v>
      </c>
      <c r="H17" s="51" t="s">
        <v>90</v>
      </c>
    </row>
    <row r="18">
      <c r="A18" s="42">
        <v>16.0</v>
      </c>
      <c r="B18" s="43" t="s">
        <v>213</v>
      </c>
      <c r="C18" s="54" t="s">
        <v>215</v>
      </c>
      <c r="D18" s="50">
        <v>40.0</v>
      </c>
      <c r="E18" s="50">
        <v>39.0</v>
      </c>
      <c r="F18" s="50">
        <v>39.0</v>
      </c>
      <c r="G18" s="27">
        <v>39.0</v>
      </c>
      <c r="H18" s="51" t="s">
        <v>90</v>
      </c>
    </row>
    <row r="19">
      <c r="A19" s="42">
        <v>17.0</v>
      </c>
      <c r="B19" s="43" t="s">
        <v>220</v>
      </c>
      <c r="C19" s="43" t="s">
        <v>221</v>
      </c>
      <c r="D19" s="50" t="s">
        <v>90</v>
      </c>
      <c r="E19" s="50" t="s">
        <v>90</v>
      </c>
      <c r="F19" s="50" t="s">
        <v>90</v>
      </c>
      <c r="G19" s="27" t="s">
        <v>90</v>
      </c>
      <c r="H19" s="51" t="s">
        <v>90</v>
      </c>
    </row>
    <row r="20">
      <c r="A20" s="42">
        <v>18.0</v>
      </c>
      <c r="B20" s="43" t="s">
        <v>226</v>
      </c>
      <c r="C20" s="43" t="s">
        <v>227</v>
      </c>
      <c r="D20" s="50">
        <v>37.0</v>
      </c>
      <c r="E20" s="50">
        <v>38.0</v>
      </c>
      <c r="F20" s="50">
        <v>37.0</v>
      </c>
      <c r="G20" s="27">
        <v>39.0</v>
      </c>
      <c r="H20" s="40">
        <v>38.0</v>
      </c>
    </row>
    <row r="21">
      <c r="A21" s="42">
        <v>19.0</v>
      </c>
      <c r="B21" s="43" t="s">
        <v>232</v>
      </c>
      <c r="C21" s="43" t="s">
        <v>234</v>
      </c>
      <c r="D21" s="50" t="s">
        <v>90</v>
      </c>
      <c r="E21" s="50" t="s">
        <v>90</v>
      </c>
      <c r="F21" s="50" t="s">
        <v>90</v>
      </c>
      <c r="G21" s="27" t="s">
        <v>90</v>
      </c>
      <c r="H21" s="51" t="s">
        <v>90</v>
      </c>
    </row>
    <row r="22">
      <c r="A22" s="42">
        <v>20.0</v>
      </c>
      <c r="B22" s="43" t="s">
        <v>242</v>
      </c>
      <c r="C22" s="43" t="s">
        <v>244</v>
      </c>
      <c r="D22" s="50" t="s">
        <v>90</v>
      </c>
      <c r="E22" s="50" t="s">
        <v>90</v>
      </c>
      <c r="F22" s="50" t="s">
        <v>90</v>
      </c>
      <c r="G22" s="27" t="s">
        <v>90</v>
      </c>
      <c r="H22" s="51" t="s">
        <v>90</v>
      </c>
    </row>
    <row r="23">
      <c r="A23" s="42">
        <v>21.0</v>
      </c>
      <c r="B23" s="43" t="s">
        <v>251</v>
      </c>
      <c r="C23" s="43" t="s">
        <v>252</v>
      </c>
      <c r="D23" s="50">
        <v>40.0</v>
      </c>
      <c r="E23" s="50">
        <v>38.0</v>
      </c>
      <c r="F23" s="50">
        <v>40.0</v>
      </c>
      <c r="G23" s="27">
        <v>38.0</v>
      </c>
      <c r="H23" s="51" t="s">
        <v>90</v>
      </c>
    </row>
    <row r="24">
      <c r="A24" s="42">
        <v>22.0</v>
      </c>
      <c r="B24" s="43" t="s">
        <v>258</v>
      </c>
      <c r="C24" s="43" t="s">
        <v>259</v>
      </c>
      <c r="D24" s="50" t="s">
        <v>90</v>
      </c>
      <c r="E24" s="50" t="s">
        <v>90</v>
      </c>
      <c r="F24" s="50" t="s">
        <v>90</v>
      </c>
      <c r="G24" s="27" t="s">
        <v>90</v>
      </c>
      <c r="H24" s="51" t="s">
        <v>90</v>
      </c>
    </row>
    <row r="25">
      <c r="A25" s="42">
        <v>23.0</v>
      </c>
      <c r="B25" s="43" t="s">
        <v>265</v>
      </c>
      <c r="C25" s="43" t="s">
        <v>267</v>
      </c>
      <c r="D25" s="50">
        <v>38.0</v>
      </c>
      <c r="E25" s="50">
        <v>40.0</v>
      </c>
      <c r="F25" s="50">
        <v>37.0</v>
      </c>
      <c r="G25" s="27">
        <v>40.0</v>
      </c>
      <c r="H25" s="40">
        <v>40.0</v>
      </c>
    </row>
    <row r="26">
      <c r="A26" s="42">
        <v>24.0</v>
      </c>
      <c r="B26" s="43" t="s">
        <v>269</v>
      </c>
      <c r="C26" s="43" t="s">
        <v>270</v>
      </c>
      <c r="D26" s="50">
        <v>39.0</v>
      </c>
      <c r="E26" s="50">
        <v>40.0</v>
      </c>
      <c r="F26" s="50">
        <v>37.0</v>
      </c>
      <c r="G26" s="27">
        <v>39.0</v>
      </c>
      <c r="H26" s="51" t="s">
        <v>90</v>
      </c>
    </row>
    <row r="27">
      <c r="A27" s="42">
        <v>25.0</v>
      </c>
      <c r="B27" s="43" t="s">
        <v>273</v>
      </c>
      <c r="C27" s="43" t="s">
        <v>274</v>
      </c>
      <c r="D27" s="50">
        <v>37.0</v>
      </c>
      <c r="E27" s="50">
        <v>38.0</v>
      </c>
      <c r="F27" s="50">
        <v>37.0</v>
      </c>
      <c r="G27" s="27">
        <v>39.0</v>
      </c>
      <c r="H27" s="40">
        <v>39.0</v>
      </c>
    </row>
    <row r="28">
      <c r="A28" s="42">
        <v>26.0</v>
      </c>
      <c r="B28" s="43" t="s">
        <v>276</v>
      </c>
      <c r="C28" s="43" t="s">
        <v>278</v>
      </c>
      <c r="D28" s="50" t="s">
        <v>90</v>
      </c>
      <c r="E28" s="50" t="s">
        <v>90</v>
      </c>
      <c r="F28" s="50" t="s">
        <v>90</v>
      </c>
      <c r="G28" s="27" t="s">
        <v>90</v>
      </c>
      <c r="H28" s="51" t="s">
        <v>90</v>
      </c>
    </row>
    <row r="29">
      <c r="A29" s="42">
        <v>27.0</v>
      </c>
      <c r="B29" s="43" t="s">
        <v>280</v>
      </c>
      <c r="C29" s="43" t="s">
        <v>281</v>
      </c>
      <c r="D29" s="50" t="s">
        <v>90</v>
      </c>
      <c r="E29" s="50" t="s">
        <v>90</v>
      </c>
      <c r="F29" s="50" t="s">
        <v>90</v>
      </c>
      <c r="G29" s="27">
        <v>38.0</v>
      </c>
      <c r="H29" s="51" t="s">
        <v>90</v>
      </c>
    </row>
    <row r="30">
      <c r="A30" s="42">
        <v>28.0</v>
      </c>
      <c r="B30" s="43" t="s">
        <v>284</v>
      </c>
      <c r="C30" s="43" t="s">
        <v>285</v>
      </c>
      <c r="D30" s="50" t="s">
        <v>90</v>
      </c>
      <c r="E30" s="50" t="s">
        <v>90</v>
      </c>
      <c r="F30" s="50" t="s">
        <v>90</v>
      </c>
      <c r="G30" s="27">
        <v>40.0</v>
      </c>
      <c r="H30" s="51" t="s">
        <v>90</v>
      </c>
    </row>
    <row r="31">
      <c r="A31" s="42">
        <v>29.0</v>
      </c>
      <c r="B31" s="43" t="s">
        <v>287</v>
      </c>
      <c r="C31" s="43" t="s">
        <v>288</v>
      </c>
      <c r="D31" s="50" t="s">
        <v>90</v>
      </c>
      <c r="E31" s="50" t="s">
        <v>90</v>
      </c>
      <c r="F31" s="50" t="s">
        <v>90</v>
      </c>
      <c r="G31" s="27">
        <v>40.0</v>
      </c>
      <c r="H31" s="51" t="s">
        <v>90</v>
      </c>
    </row>
    <row r="32">
      <c r="A32" s="42">
        <v>30.0</v>
      </c>
      <c r="B32" s="43" t="s">
        <v>291</v>
      </c>
      <c r="C32" s="43" t="s">
        <v>292</v>
      </c>
      <c r="D32" s="50" t="s">
        <v>90</v>
      </c>
      <c r="E32" s="50" t="s">
        <v>90</v>
      </c>
      <c r="F32" s="50" t="s">
        <v>90</v>
      </c>
      <c r="G32" s="27">
        <v>38.0</v>
      </c>
      <c r="H32" s="51" t="s">
        <v>90</v>
      </c>
    </row>
    <row r="33">
      <c r="A33" s="42">
        <v>31.0</v>
      </c>
      <c r="B33" s="43" t="s">
        <v>294</v>
      </c>
      <c r="C33" s="43" t="s">
        <v>295</v>
      </c>
      <c r="D33" s="50" t="s">
        <v>90</v>
      </c>
      <c r="E33" s="50" t="s">
        <v>90</v>
      </c>
      <c r="F33" s="50" t="s">
        <v>90</v>
      </c>
      <c r="G33" s="27" t="s">
        <v>90</v>
      </c>
      <c r="H33" s="51" t="s">
        <v>90</v>
      </c>
    </row>
    <row r="34">
      <c r="A34" s="42">
        <v>32.0</v>
      </c>
      <c r="B34" s="43" t="s">
        <v>298</v>
      </c>
      <c r="C34" s="43" t="s">
        <v>299</v>
      </c>
      <c r="D34" s="50" t="s">
        <v>90</v>
      </c>
      <c r="E34" s="50" t="s">
        <v>90</v>
      </c>
      <c r="F34" s="50" t="s">
        <v>90</v>
      </c>
      <c r="G34" s="27" t="s">
        <v>90</v>
      </c>
      <c r="H34" s="51" t="s">
        <v>90</v>
      </c>
    </row>
    <row r="35">
      <c r="A35" s="42">
        <v>33.0</v>
      </c>
      <c r="B35" s="43" t="s">
        <v>302</v>
      </c>
      <c r="C35" s="43" t="s">
        <v>303</v>
      </c>
      <c r="D35" s="50">
        <v>40.0</v>
      </c>
      <c r="E35" s="50">
        <v>38.0</v>
      </c>
      <c r="F35" s="50">
        <v>38.0</v>
      </c>
      <c r="G35" s="27">
        <v>40.0</v>
      </c>
      <c r="H35" s="51" t="s">
        <v>90</v>
      </c>
    </row>
    <row r="36">
      <c r="A36" s="42">
        <v>34.0</v>
      </c>
      <c r="B36" s="43" t="s">
        <v>305</v>
      </c>
      <c r="C36" s="43" t="s">
        <v>307</v>
      </c>
      <c r="D36" s="50" t="s">
        <v>90</v>
      </c>
      <c r="E36" s="50" t="s">
        <v>90</v>
      </c>
      <c r="F36" s="50" t="s">
        <v>90</v>
      </c>
      <c r="G36" s="27">
        <v>38.0</v>
      </c>
      <c r="H36" s="51" t="s">
        <v>90</v>
      </c>
    </row>
    <row r="37">
      <c r="A37" s="42">
        <v>35.0</v>
      </c>
      <c r="B37" s="43" t="s">
        <v>309</v>
      </c>
      <c r="C37" s="54" t="s">
        <v>310</v>
      </c>
      <c r="D37" s="50" t="s">
        <v>90</v>
      </c>
      <c r="E37" s="50" t="s">
        <v>90</v>
      </c>
      <c r="F37" s="50" t="s">
        <v>90</v>
      </c>
      <c r="G37" s="27">
        <v>39.0</v>
      </c>
      <c r="H37" s="51" t="s">
        <v>90</v>
      </c>
    </row>
    <row r="38">
      <c r="A38" s="42">
        <v>36.0</v>
      </c>
      <c r="B38" s="43" t="s">
        <v>313</v>
      </c>
      <c r="C38" s="43" t="s">
        <v>314</v>
      </c>
      <c r="D38" s="50">
        <v>37.0</v>
      </c>
      <c r="E38" s="50">
        <v>39.0</v>
      </c>
      <c r="F38" s="50">
        <v>37.0</v>
      </c>
      <c r="G38" s="27" t="s">
        <v>90</v>
      </c>
      <c r="H38" s="51" t="s">
        <v>90</v>
      </c>
    </row>
    <row r="39">
      <c r="A39" s="42">
        <v>37.0</v>
      </c>
      <c r="B39" s="43" t="s">
        <v>317</v>
      </c>
      <c r="C39" s="55" t="s">
        <v>318</v>
      </c>
      <c r="D39" s="50" t="s">
        <v>90</v>
      </c>
      <c r="E39" s="50" t="s">
        <v>90</v>
      </c>
      <c r="F39" s="50" t="s">
        <v>90</v>
      </c>
      <c r="G39" s="27" t="s">
        <v>90</v>
      </c>
      <c r="H39" s="51" t="s">
        <v>90</v>
      </c>
    </row>
    <row r="40">
      <c r="A40" s="42">
        <v>38.0</v>
      </c>
      <c r="B40" s="43" t="s">
        <v>320</v>
      </c>
      <c r="C40" s="43" t="s">
        <v>321</v>
      </c>
      <c r="D40" s="50" t="s">
        <v>90</v>
      </c>
      <c r="E40" s="50" t="s">
        <v>90</v>
      </c>
      <c r="F40" s="50" t="s">
        <v>90</v>
      </c>
      <c r="G40" s="27" t="s">
        <v>90</v>
      </c>
      <c r="H40" s="51" t="s">
        <v>90</v>
      </c>
    </row>
    <row r="41">
      <c r="A41" s="42">
        <v>39.0</v>
      </c>
      <c r="B41" s="43" t="s">
        <v>322</v>
      </c>
      <c r="C41" s="43" t="s">
        <v>324</v>
      </c>
      <c r="D41" s="50">
        <v>39.0</v>
      </c>
      <c r="E41" s="50">
        <v>37.0</v>
      </c>
      <c r="F41" s="50">
        <v>40.0</v>
      </c>
      <c r="G41" s="27">
        <v>38.0</v>
      </c>
      <c r="H41" s="51" t="s">
        <v>90</v>
      </c>
    </row>
    <row r="42">
      <c r="A42" s="42">
        <v>40.0</v>
      </c>
      <c r="B42" s="43" t="s">
        <v>326</v>
      </c>
      <c r="C42" s="43" t="s">
        <v>327</v>
      </c>
      <c r="D42" s="50" t="s">
        <v>90</v>
      </c>
      <c r="E42" s="50" t="s">
        <v>90</v>
      </c>
      <c r="F42" s="50" t="s">
        <v>90</v>
      </c>
      <c r="G42" s="27" t="s">
        <v>90</v>
      </c>
      <c r="H42" s="51" t="s">
        <v>90</v>
      </c>
    </row>
    <row r="43">
      <c r="A43" s="42">
        <v>41.0</v>
      </c>
      <c r="B43" s="53" t="s">
        <v>329</v>
      </c>
      <c r="C43" s="53" t="s">
        <v>331</v>
      </c>
      <c r="D43" s="27">
        <v>38.0</v>
      </c>
      <c r="E43" s="27">
        <v>37.0</v>
      </c>
      <c r="F43" s="27">
        <v>40.0</v>
      </c>
      <c r="G43" s="27">
        <v>39.0</v>
      </c>
      <c r="H43" s="51" t="s">
        <v>90</v>
      </c>
    </row>
    <row r="44">
      <c r="A44" s="42">
        <v>42.0</v>
      </c>
      <c r="B44" s="43" t="s">
        <v>334</v>
      </c>
      <c r="C44" s="43" t="s">
        <v>335</v>
      </c>
      <c r="D44" s="50" t="s">
        <v>90</v>
      </c>
      <c r="E44" s="50" t="s">
        <v>90</v>
      </c>
      <c r="F44" s="50" t="s">
        <v>90</v>
      </c>
      <c r="G44" s="27" t="s">
        <v>90</v>
      </c>
      <c r="H44" s="51" t="s">
        <v>90</v>
      </c>
    </row>
    <row r="45">
      <c r="A45" s="42">
        <v>43.0</v>
      </c>
      <c r="B45" s="43" t="s">
        <v>339</v>
      </c>
      <c r="C45" s="43" t="s">
        <v>340</v>
      </c>
      <c r="D45" s="50" t="s">
        <v>90</v>
      </c>
      <c r="E45" s="50" t="s">
        <v>90</v>
      </c>
      <c r="F45" s="50" t="s">
        <v>90</v>
      </c>
      <c r="G45" s="27" t="s">
        <v>90</v>
      </c>
      <c r="H45" s="51" t="s">
        <v>90</v>
      </c>
    </row>
    <row r="46">
      <c r="A46" s="42">
        <v>44.0</v>
      </c>
      <c r="B46" s="43" t="s">
        <v>344</v>
      </c>
      <c r="C46" s="43" t="s">
        <v>346</v>
      </c>
      <c r="D46" s="50" t="s">
        <v>90</v>
      </c>
      <c r="E46" s="50" t="s">
        <v>90</v>
      </c>
      <c r="F46" s="50" t="s">
        <v>90</v>
      </c>
      <c r="G46" s="27" t="s">
        <v>90</v>
      </c>
      <c r="H46" s="51" t="s">
        <v>90</v>
      </c>
    </row>
    <row r="47">
      <c r="A47" s="42">
        <v>45.0</v>
      </c>
      <c r="B47" s="43" t="s">
        <v>349</v>
      </c>
      <c r="C47" s="43" t="s">
        <v>350</v>
      </c>
      <c r="D47" s="50">
        <v>38.0</v>
      </c>
      <c r="E47" s="50">
        <v>37.0</v>
      </c>
      <c r="F47" s="50">
        <v>40.0</v>
      </c>
      <c r="G47" s="27">
        <v>39.0</v>
      </c>
      <c r="H47" s="51" t="s">
        <v>90</v>
      </c>
    </row>
  </sheetData>
  <autoFilter ref="$H$2:$H$47"/>
  <conditionalFormatting sqref="D3:G47">
    <cfRule type="beginsWith" dxfId="0" priority="1" operator="beginsWith" text="a">
      <formula>LEFT((D3),LEN("a"))=("a")</formula>
    </cfRule>
  </conditionalFormatting>
  <drawing r:id="rId1"/>
</worksheet>
</file>