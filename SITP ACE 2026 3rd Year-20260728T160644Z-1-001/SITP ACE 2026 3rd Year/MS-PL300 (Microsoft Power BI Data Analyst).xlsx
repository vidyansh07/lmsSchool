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Course Timeline" sheetId="2" r:id="rId6"/>
    <sheet state="visible" name="DSR" sheetId="3" r:id="rId7"/>
    <sheet state="visible" name="Assesment" sheetId="4" r:id="rId8"/>
    <sheet state="visible" name="Project Status" sheetId="5" r:id="rId9"/>
  </sheets>
  <definedNames/>
  <calcPr/>
</workbook>
</file>

<file path=xl/sharedStrings.xml><?xml version="1.0" encoding="utf-8"?>
<sst xmlns="http://schemas.openxmlformats.org/spreadsheetml/2006/main" count="6182" uniqueCount="890">
  <si>
    <t>S NO</t>
  </si>
  <si>
    <t>ARYA COLLEGE OF ENGINEERING</t>
  </si>
  <si>
    <t>Student Name</t>
  </si>
  <si>
    <t>RTU Roll No.</t>
  </si>
  <si>
    <t>BLOWN UP SYLLABUS</t>
  </si>
  <si>
    <t>MICROSOFT PL-300 (POWER BI DATA ANALYST)</t>
  </si>
  <si>
    <t xml:space="preserve">Total Present </t>
  </si>
  <si>
    <t>Lecturer Name:</t>
  </si>
  <si>
    <t xml:space="preserve">Total Absent </t>
  </si>
  <si>
    <t>SNO</t>
  </si>
  <si>
    <t xml:space="preserve">Total Class </t>
  </si>
  <si>
    <t>No. of Lectures Required: 60</t>
  </si>
  <si>
    <t>Attendance Percent</t>
  </si>
  <si>
    <t>Date</t>
  </si>
  <si>
    <t>Topic Cover</t>
  </si>
  <si>
    <t>Student Count Online Offline</t>
  </si>
  <si>
    <t xml:space="preserve">Trainer Name </t>
  </si>
  <si>
    <t>Lecture No.</t>
  </si>
  <si>
    <t>BLOWN UP TOPICS</t>
  </si>
  <si>
    <t>25-05-2026</t>
  </si>
  <si>
    <t>Status</t>
  </si>
  <si>
    <t xml:space="preserve">UNIT 1: FOUNDATIONS	
"	1. Introduction to Data Analytics &amp; PL-300"	
"	     1.1 What is Data Analytics"	
"	          1.1.1 Role of a Data Analyst"	
"	          1.1.2 Analyst vs Engineer vs Scientist"	
"	     1.2 Types of Analytics"	
"	          1.2.1 Descriptive Analytics"	
"	          1.2.2 Diagnostic Analytics"	
"	          1.2.3 Predictive Analytics"	
"	          1.2.4 Prescriptive Analytics"	
"	     1.3 Data Analytics Lifecycle"	
"	     1.4 PL-300 Exam Overview"	
"	          1.4.1 Exam Pattern, Duration, Passing Score (700/1000)"	
"	          1.4.2 4 Domains &amp; Weightage"	</t>
  </si>
  <si>
    <t>Rajdeep Ray</t>
  </si>
  <si>
    <t>UNIT 1: FOUNDATIONS</t>
  </si>
  <si>
    <t>26-05-2027</t>
  </si>
  <si>
    <t xml:space="preserve">2. Descriptive Statistics for Analysts	
"	     2.1 Types of Data"	
"	          2.1.1 Qualitative vs Quantitative"	
"	          2.1.2 Nominal, Ordinal, Interval, Ratio"	
"	     2.2 Measures of Central Tendency"	
"	          2.2.1 Mean, Median, Mode"	
"	     2.3 Measures of Dispersion"	
"	          2.3.1 Range, Variance, Standard Deviation"	
"	     2.4 Percentile, Quartile, IQR"	
"	     2.5 Outliers — Quick Detection Methods"	
"	     2.6 Frequency Distribution"	</t>
  </si>
  <si>
    <t>Done</t>
  </si>
  <si>
    <t>27-05-2028</t>
  </si>
  <si>
    <t xml:space="preserve">3. Excel for Analysts — Advanced (Part 1)	
"	     3.1 PivotTables Deep Dive"	
"	          3.1.1 Creating PivotTables from Raw Data"	
"	          3.1.2 Slicers &amp; Timelines"	
"	          3.1.3 Calculated Fields &amp; Calculated Items"	
"	          3.1.4 Grouping by Date &amp; Number"	
"	          3.1.5 Show Values As (% of Total, Running Total, Difference From)"	
"	     3.2 PivotCharts"	
"	     3.3 Conditional Formatting (Advanced)"	
"	          3.3.1 Data Bars, Color Scales, Icon Sets"	
"	          3.3.2 Custom Rules with Formulas"	</t>
  </si>
  <si>
    <t>Assesment 1 (Topics Name ) Out of 25</t>
  </si>
  <si>
    <t>28-05-2026</t>
  </si>
  <si>
    <t>Assesment 2 (Topics Name ) Out of 50</t>
  </si>
  <si>
    <t xml:space="preserve">Excel for Analysts — Advanced (Part 2)	
"	     4.1 Advanced Lookup Functions"	
"	          4.1.1 XLOOKUP"	
"	          4.1.2 INDEX-MATCH"	
"	          4.1.3 INDIRECT"	
"	     4.2 Conditional Aggregation Functions"	
"	          4.2.1 IFS, SUMIFS, COUNTIFS, AVERAGEIFS"	
"	     4.3 Power Query in Excel (Get &amp; Transform)"	
"	     4.4 Power Pivot &amp; Data Model Basics"	
"	     4.5 Excel → Power BI Workflow"	
</t>
  </si>
  <si>
    <t>1. Introduction to Data Analytics &amp; PL-300</t>
  </si>
  <si>
    <t>Assesment 3 (Topics Name ) Out of 80</t>
  </si>
  <si>
    <t>Assesment 4 (Topics Name ) Out of 60</t>
  </si>
  <si>
    <t>1.1 What is Data Analytics</t>
  </si>
  <si>
    <t>Assesment 5 (Topics Name ) Out of 60</t>
  </si>
  <si>
    <t>29-05-2026</t>
  </si>
  <si>
    <t>Assesment 6 (Topics Name ) Out of 50</t>
  </si>
  <si>
    <t>1.1.1 Role of a Data Analyst</t>
  </si>
  <si>
    <t xml:space="preserve">SQL Fundamentals	
"	     5.1 Introduction to Databases"	
"	          5.1.1 RDBMS Concepts"	
"	          5.1.2 Tables, Rows, Columns"	
"	          5.1.3 Primary Key &amp; Foreign Key"	
"	          5.1.4 Data Types in SQL"	
"	     5.2 SELECT Statement"	
"	          5.2.1 SELECT, FROM, WHERE"	
"	          5.2.2 DISTINCT, LIMIT / TOP"	
"	     5.3 Sorting &amp; Filtering"	
"	          5.3.1 ORDER BY"	
"	          5.3.2 Comparison &amp; Logical Operators"	
"	          5.3.3 BETWEEN, IN, LIKE, IS NULL"	
"	          5.3.4 Wildcards (%, _)"	</t>
  </si>
  <si>
    <t>Assesment 7 (Topics Name ) Out of 50</t>
  </si>
  <si>
    <t>Assesment 8 (Topics Name ) Out of 50</t>
  </si>
  <si>
    <t>1.1.2 Analyst vs Engineer vs Scientist</t>
  </si>
  <si>
    <t>Assesment 9 (Topics Name ) Out of 50</t>
  </si>
  <si>
    <t>30-05-2026</t>
  </si>
  <si>
    <t>1.2 Types of Analytics</t>
  </si>
  <si>
    <t xml:space="preserve"> Assesment 10 (Topics Name ) Out of 50</t>
  </si>
  <si>
    <t xml:space="preserve">SQL Aggregations, Grouping &amp; Functions        
"             6.1 Aggregate Functions"        
"                  6.1.1 COUNT, SUM, AVG, MIN, MAX"        
"             6.2 GROUP BY &amp; HAVING"        
"                  6.2.1 Multi-Column Grouping"        
"                  6.2.2 HAVING vs WHERE"        
"             6.3 CASE WHEN Statements (Simple &amp; Searched)"        
"             6.4 String Functions"        
"                  6.4.1 CONCAT, SUBSTRING, LEFT, RIGHT"        
"                  6.4.2 TRIM, REPLACE, UPPER, LOWER, LEN"        
"             6.5 Date Functions"        
"                  6.5.1 GETDATE, DATEDIFF, DATEADD"        
"                  6.5.2 DATEPART, FORMAT, EOMONTH"        
"             6.6 Number Functions (ROUND, CEILING, FLOOR, ABS)"        
"             6.7 Type Conversion (CAST, CONVERT)"        
"             6.8 NULLIF &amp; COALESCE"      </t>
  </si>
  <si>
    <t xml:space="preserve"> Assesment 11 (Topics Name ) Out of 50</t>
  </si>
  <si>
    <t>1.2.1 Descriptive Analytics</t>
  </si>
  <si>
    <t>Assesment 12 (Topics Name ) Out of 50</t>
  </si>
  <si>
    <t>1.2.2 Diagnostic Analytics</t>
  </si>
  <si>
    <t>Assesment 13 (Topics Name ) Out of 50</t>
  </si>
  <si>
    <t>Assesment 14 (Topics Name ) Out of 50</t>
  </si>
  <si>
    <t>Assesment 15 (Topics Name ) Out of 50</t>
  </si>
  <si>
    <t>7. SQL Joins — Deep Dive        
7.1 INNER JOIN"
7.2 LEFT JOIN &amp; RIGHT JOIN"        
7.3 FULL OUTER JOIN"        
7.4 SELF JOIN (Employee-Manager Scenarios)"        
7.5 CROSS JOIN"        
7.6 Multi-Table Joins (3+ Tables)"        
7.7 Join Conditions vs WHERE Filter Difference"        
7.8 Common Interview Join Problems"</t>
  </si>
  <si>
    <t>1.2.3 Predictive Analytics</t>
  </si>
  <si>
    <t>Assesment 16 (Topics Name ) Out of 50</t>
  </si>
  <si>
    <t>Total Assessments Missed</t>
  </si>
  <si>
    <t>1.2.4 Prescriptive Analytics</t>
  </si>
  <si>
    <t>8. SQL Subqueries, CTEs &amp; Set Operations
8.1 Subqueries
8.1.1 Subqueries in SELECT
8.1.2 Subqueries in FROM
8.1.3 Subqueries in WHERE
8.2 Correlated vs Non-Correlated Subqueries
8.3 EXISTS vs IN
8.4 Common Table Expressions (CTEs)
8.4.1 WITH Clause Syntax
8.4.2 Multiple CTEs in One Query
8.5 Set Operations
8.5.1 UNION &amp; UNION ALL
8.5.2 INTERSECT &amp; EXCEPT
8.6 Views &amp; Stored Procedures (Overview)</t>
  </si>
  <si>
    <t>1.3 Data Analytics Lifecycle</t>
  </si>
  <si>
    <t>9. SQL Window Functions &amp; Power BI Integration
9.1 Window Functions Overview
9.1.1 OVER Clause
9.1.2 PARTITION BY
9.2 Ranking Functions
9.2.1 ROW_NUMBER, RANK, DENSE_RANK
9.2.2 NTILE
9.3 Offset Functions (LEAD, LAG)
9.4 Aggregate Window Functions
9.4.1 Running Totals
9.4.2 Moving Averages
9.5 Top-N per Group Analysis
9.6 YoY / MoM Analytical Queries
9.7 Connecting SQL to Power BI
9.7.1 Import vs DirectQuery vs Dual Mode
9.7.2 Query Folding &amp; Native SQL Query</t>
  </si>
  <si>
    <t>1.4 PL-300 Exam Overview</t>
  </si>
  <si>
    <t>1.4.1 Exam Pattern, Duration, Passing Score (700/1000)</t>
  </si>
  <si>
    <t>📁 MINI PROJECT 1: SQL + Excel Sales Analysis (Half Day)	
Query Sales Database using complex SQL (Joins + Window Functions)"	
Export results to Excel &amp; Build Pivot Tables"	
Create Interactive Excel Dashboard with Slicers"	
Document Insights &amp; Findings"	
🏭 INDUSTRY LECTURE 1 (1 Hour)"	
Topic: Data Analyst Career Path &amp; Day-in-the-Life"	
Format: Guest Lecture + Q&amp;A Session"</t>
  </si>
  <si>
    <t>Sanya Khandelwal</t>
  </si>
  <si>
    <t>23EAOCA076</t>
  </si>
  <si>
    <t>1.4.2 4 Domains &amp; Weightage</t>
  </si>
  <si>
    <t>8.3 EXISTS vs IN
8.4 Common Table Expressions (CTEs)
8.4.1 WITH Clause Syntax
8.4.2 Multiple CTEs in One Query
8.5 Set Operations
8.5.1 UNION &amp; UNION ALL
8.5.2 INTERSECT &amp; EXCEPT
8.6 Views &amp; Stored Procedures (Overview)</t>
  </si>
  <si>
    <t>2. Descriptive Statistics for Analysts</t>
  </si>
  <si>
    <t xml:space="preserve">2. Connecting to Data Sources
2.1 Get Data from Various Sources"
2.1.1 Files (Excel, CSV, JSON, XML)"
2.1.2 Databases (SQL Server, MySQL, Oracle)"
2.1.3 Cloud Sources (Azure, Dataverse, SharePoint)"
2.1.4 Web &amp; APIs"
2.2 Storage Modes"
2.2.1 Import Mode"
2.2.2 DirectQuery Mode"
2.2.3 Dual Mode"
2.2.4 Composite Models"
2.3 Data Source Settings &amp; Credentials"
2.4 Data Privacy Levels (Public, Organizational, Private)"
2.5 When to Use Which Storage Mode (Exam Focus)"
</t>
  </si>
  <si>
    <t>A</t>
  </si>
  <si>
    <t>2.1 Types of Data</t>
  </si>
  <si>
    <t>2.1.1 Qualitative vs Quantitative</t>
  </si>
  <si>
    <t xml:space="preserve">3. Power Query Editor — Profiling &amp; Cleaning        
3.1 Power Query Editor Interface"        
3.1.1 Applied Steps Pane"        
3.1.2 Query Settings"        
3.2 Data Profiling"        
3.2.1 Column Quality"        
3.2.2 Column Distribution"        
3.2.3 Column Profile"        
3.3 Data Type Detection &amp; Conversion"        
3.4 Identifying Anomalies &amp; Errors"        
3.5 Handling Null &amp; Missing Values"        
3.6 Removing Duplicates"        </t>
  </si>
  <si>
    <t>2.1.2 Nominal, Ordinal, Interval, Ratio</t>
  </si>
  <si>
    <t>2.2 Measures of Central Tendency</t>
  </si>
  <si>
    <t xml:space="preserve">4. Power Query Editor — Transformations        
4.1 Column Operations"        
4.1.1 Rename, Reorder, Remove Columns"        
4.1.2 Split &amp; Merge Columns"        
4.1.3 Add Custom Columns"        
4.1.4 Add Conditional Columns"        
4.2 Row Operations"        
4.2.1 Filter Rows"        
4.2.2 Promote / Demote Headers"        
4.2.3 Remove Top / Bottom / Alternate Rows"        
4.3 Text, Number &amp; Date Transformations"        
4.4 Replace Values"        
4.5 Group By Operations"        </t>
  </si>
  <si>
    <t>2.2.1 Mean, Median, Mode</t>
  </si>
  <si>
    <t>2.3 Measures of Dispersion</t>
  </si>
  <si>
    <t>5.  DAX functions
5.1 Time Intelligence functions
5.2 Date Time functions
5.3 Aggregate Functions
5.4 Iterator Functions</t>
  </si>
  <si>
    <t>2.3.1 Range, Variance, Standard Deviation</t>
  </si>
  <si>
    <t>2.4 Percentile, Quartile, IQR</t>
  </si>
  <si>
    <t>6.  DAX FunctionTime Intelligence Functions, Row Context, Filter Context</t>
  </si>
  <si>
    <t>2.5 Outliers — Quick Detection Methods</t>
  </si>
  <si>
    <t>2.6 Frequency Distribution</t>
  </si>
  <si>
    <t>Cardinality
Data Modeling
Relationship
Cross-Filter Direction
Normalization &amp; Denormalization
Active-Inactive Relationship
Bridge Table</t>
  </si>
  <si>
    <t>3. Excel for Analysts — Advanced (Part 1)</t>
  </si>
  <si>
    <t>3.1 PivotTables Deep Dive</t>
  </si>
  <si>
    <t>13-06-2026</t>
  </si>
  <si>
    <t>Surrogate Key, Import mode, DirectQuery Mode, Dual Mode</t>
  </si>
  <si>
    <t>3.1.1 Creating PivotTables from Raw Data</t>
  </si>
  <si>
    <t>15-06-2026</t>
  </si>
  <si>
    <t xml:space="preserve">Revision, </t>
  </si>
  <si>
    <t>3.1.2 Slicers &amp; Timelines</t>
  </si>
  <si>
    <t>3.1.3 Calculated Fields &amp; Calculated Items</t>
  </si>
  <si>
    <t>16-06-2026</t>
  </si>
  <si>
    <t>Time Intelligence, Slicer vs Filter, Mini Project</t>
  </si>
  <si>
    <t>3.1.4 Grouping by Date &amp; Number</t>
  </si>
  <si>
    <t>Garima kumawat</t>
  </si>
  <si>
    <t>3.1.5 Show Values As (% of Total, Running Total, Difference From)</t>
  </si>
  <si>
    <t>17-06-2026</t>
  </si>
  <si>
    <t>Mini Project</t>
  </si>
  <si>
    <t>23EACCS106</t>
  </si>
  <si>
    <t>18-06-2026</t>
  </si>
  <si>
    <t>3.2 PivotCharts</t>
  </si>
  <si>
    <t>3.3 Conditional Formatting (Advanced)</t>
  </si>
  <si>
    <t>19-06-2026</t>
  </si>
  <si>
    <t>GitHub/LinkedIn Posting</t>
  </si>
  <si>
    <t>20-06-2026</t>
  </si>
  <si>
    <t>3.3.1 Data Bars, Color Scales, Icon Sets</t>
  </si>
  <si>
    <t>Revision, Problem Slving</t>
  </si>
  <si>
    <t>22-06-2026</t>
  </si>
  <si>
    <t>VAR, Function, Earlier, M</t>
  </si>
  <si>
    <t>3.3.2 Custom Rules with Formulas</t>
  </si>
  <si>
    <t>23-06-2026</t>
  </si>
  <si>
    <t>M Language</t>
  </si>
  <si>
    <t>4. Excel for Analysts — Advanced (Part 2)</t>
  </si>
  <si>
    <t>24-06-2026</t>
  </si>
  <si>
    <t>Pivot/Unpivot/Transpose/Quiz, Query Folding</t>
  </si>
  <si>
    <t>4.1 Advanced Lookup Functions</t>
  </si>
  <si>
    <t>25-06-2026</t>
  </si>
  <si>
    <t>Revision, NativeQuery, Upcoming Project Discussion</t>
  </si>
  <si>
    <t>4.1.1 XLOOKUP</t>
  </si>
  <si>
    <t>26-06-2026</t>
  </si>
  <si>
    <t>Mini Project 2</t>
  </si>
  <si>
    <t>27-06-2026</t>
  </si>
  <si>
    <t>Mini Project 2, Quiz</t>
  </si>
  <si>
    <t>4.1.2 INDEX-MATCH</t>
  </si>
  <si>
    <t>29-06-2026</t>
  </si>
  <si>
    <t>Mini Project 2, GtHub deployment</t>
  </si>
  <si>
    <t>4.1.3 INDIRECT</t>
  </si>
  <si>
    <t>30-06-2026</t>
  </si>
  <si>
    <t>Bookmarks, Conditional Formatting, Power BI Service</t>
  </si>
  <si>
    <t>4.2 Conditional Aggregation Functions</t>
  </si>
  <si>
    <t>Refresh, Scheduled Refresh, Comment, Dashboard, Normalization/Denormalization, Gateway</t>
  </si>
  <si>
    <t>4.2.1 IFS, SUMIFS, COUNTIFS, AVERAGEIFS</t>
  </si>
  <si>
    <t>Deepesh Sharma</t>
  </si>
  <si>
    <t>Parameters, Custom Functions, Revision</t>
  </si>
  <si>
    <t>4.3 Power Query in Excel (Get &amp; Transform)</t>
  </si>
  <si>
    <t>23EACCS087</t>
  </si>
  <si>
    <t>RLS, Roles, Dataflow, Dynamic RLS</t>
  </si>
  <si>
    <t>4.4 Power Pivot &amp; Data Model Basics</t>
  </si>
  <si>
    <t>Live Connection</t>
  </si>
  <si>
    <t>4.5 Excel → Power BI Workflow</t>
  </si>
  <si>
    <t>Static and Dynamic Row Level Security</t>
  </si>
  <si>
    <t>5. SQL Fundamentals</t>
  </si>
  <si>
    <t>Data Security, Workspace Security and Admin Pane</t>
  </si>
  <si>
    <t>5.1 Introduction to Databases</t>
  </si>
  <si>
    <t>Deeper Level Study for data preparation &amp; data modelling, Quiz 12</t>
  </si>
  <si>
    <t>Surprise Test</t>
  </si>
  <si>
    <t>5.1.1 RDBMS Concepts</t>
  </si>
  <si>
    <t>Deeper Level Study for Sources, Storage Modes &amp; the Star
Schema</t>
  </si>
  <si>
    <t>5.1.2 Tables, Rows, Columns</t>
  </si>
  <si>
    <t>Mini Project 3 (Python+SQL+PowerBI), Quiz</t>
  </si>
  <si>
    <t>5.1.3 Primary Key &amp; Foreign Key</t>
  </si>
  <si>
    <t>13-07-2026</t>
  </si>
  <si>
    <t>Deeper Level Study for DAX and Time Intelligence</t>
  </si>
  <si>
    <t>5.1.4 Data Types in SQL</t>
  </si>
  <si>
    <t>14_07_2026</t>
  </si>
  <si>
    <t>Datasets, Dataflows &amp; Refresh</t>
  </si>
  <si>
    <t>5.2 SELECT Statement</t>
  </si>
  <si>
    <t>15-07-2026</t>
  </si>
  <si>
    <t>Visualizations, Quiz</t>
  </si>
  <si>
    <t>5.2.1 SELECT, FROM, WHERE</t>
  </si>
  <si>
    <t>16-07-2026</t>
  </si>
  <si>
    <t>What-If Parameter, Pbix-Pbip-Pbit, Power BI Apps, Paginated Report</t>
  </si>
  <si>
    <t>Riya Gandhi</t>
  </si>
  <si>
    <t>17-07-2026</t>
  </si>
  <si>
    <t>5.2.2 DISTINCT, LIMIT / TOP</t>
  </si>
  <si>
    <t>Revision Day 1</t>
  </si>
  <si>
    <t>23EACCS875</t>
  </si>
  <si>
    <t>18-07-2026</t>
  </si>
  <si>
    <t>Revision Day 2</t>
  </si>
  <si>
    <t>5.3 Sorting &amp; Filtering</t>
  </si>
  <si>
    <t>5.3.1 ORDER BY</t>
  </si>
  <si>
    <t>5.3.2 Comparison &amp; Logical Operators</t>
  </si>
  <si>
    <t>5.3.3 BETWEEN, IN, LIKE, IS NULL</t>
  </si>
  <si>
    <t>5.3.4 Wildcards (%, _)</t>
  </si>
  <si>
    <t>6. SQL Aggregations, Grouping &amp; Functions</t>
  </si>
  <si>
    <t>6.1 Aggregate Functions</t>
  </si>
  <si>
    <t>Sun</t>
  </si>
  <si>
    <t>6.1.1 COUNT, SUM, AVG, MIN, MAX</t>
  </si>
  <si>
    <t>6.2 GROUP BY &amp; HAVING</t>
  </si>
  <si>
    <t>Rahul Kushwaha</t>
  </si>
  <si>
    <t>23EACCS859</t>
  </si>
  <si>
    <t>6.2.1 Multi-Column Grouping</t>
  </si>
  <si>
    <t>6.2.2 HAVING vs WHERE</t>
  </si>
  <si>
    <t>6.3 CASE WHEN Statements (Simple &amp; Searched)</t>
  </si>
  <si>
    <t>6.4 String Functions</t>
  </si>
  <si>
    <t>6.4.1 CONCAT, SUBSTRING, LEFT, RIGHT</t>
  </si>
  <si>
    <t>6.4.2 TRIM, REPLACE, UPPER, LOWER, LEN</t>
  </si>
  <si>
    <t>6.5 Date Functions</t>
  </si>
  <si>
    <t>6.5.1 GETDATE, DATEDIFF, DATEADD</t>
  </si>
  <si>
    <t>6.5.2 DATEPART, FORMAT, EOMONTH</t>
  </si>
  <si>
    <t>6.6 Number Functions (ROUND, CEILING, FLOOR, ABS)</t>
  </si>
  <si>
    <t>Gaurav bhakar</t>
  </si>
  <si>
    <t>6.7 Type Conversion (CAST, CONVERT)</t>
  </si>
  <si>
    <t>23EACCS107</t>
  </si>
  <si>
    <t>6.8 NULLIF &amp; COALESCE</t>
  </si>
  <si>
    <t>7. SQL Joins — Deep Dive</t>
  </si>
  <si>
    <t>Aaryan Arora</t>
  </si>
  <si>
    <t>7.1 INNER JOIN</t>
  </si>
  <si>
    <t>23EACCS002</t>
  </si>
  <si>
    <t>7.2 LEFT JOIN &amp; RIGHT JOIN</t>
  </si>
  <si>
    <t>7.3 FULL OUTER JOIN</t>
  </si>
  <si>
    <t>7.4 SELF JOIN (Employee-Manager Scenarios)</t>
  </si>
  <si>
    <t>7.5 CROSS JOIN</t>
  </si>
  <si>
    <t>7.6 Multi-Table Joins (3+ Tables)</t>
  </si>
  <si>
    <t>7.7 Join Conditions vs WHERE Filter Difference</t>
  </si>
  <si>
    <t>PIYUSH Sharma</t>
  </si>
  <si>
    <t>7.8 Common Interview Join Problems</t>
  </si>
  <si>
    <t>8. SQL Subqueries, CTEs &amp; Set Operations</t>
  </si>
  <si>
    <t>23EACCS832</t>
  </si>
  <si>
    <t>8.1 Subqueries</t>
  </si>
  <si>
    <t>8.1.1 Subqueries in SELECT</t>
  </si>
  <si>
    <t>8.1.2 Subqueries in FROM</t>
  </si>
  <si>
    <t>8.1.3 Subqueries in WHERE</t>
  </si>
  <si>
    <t>P</t>
  </si>
  <si>
    <t>8.2 Correlated vs Non-Correlated Subqueries</t>
  </si>
  <si>
    <t>8.3 EXISTS vs IN</t>
  </si>
  <si>
    <t>8.4 Common Table Expressions (CTEs)</t>
  </si>
  <si>
    <t>Sunday</t>
  </si>
  <si>
    <t>8.4.1 WITH Clause Syntax</t>
  </si>
  <si>
    <t>8.4.2 Multiple CTEs in One Query</t>
  </si>
  <si>
    <t>Rajan kumar</t>
  </si>
  <si>
    <t>8.5 Set Operations</t>
  </si>
  <si>
    <t>23EACCS862</t>
  </si>
  <si>
    <t>8.5.1 UNION &amp; UNION ALL</t>
  </si>
  <si>
    <t>8.5.2 INTERSECT &amp; EXCEPT</t>
  </si>
  <si>
    <t>8.6 Views &amp; Stored Procedures (Overview)</t>
  </si>
  <si>
    <t>9. SQL Window Functions &amp; Power BI Integration</t>
  </si>
  <si>
    <t>9.1 Window Functions Overview</t>
  </si>
  <si>
    <t>9.1.1 OVER Clause</t>
  </si>
  <si>
    <t>9.1.2 PARTITION BY</t>
  </si>
  <si>
    <t>9.2 Ranking Functions</t>
  </si>
  <si>
    <t>9.2.1 ROW_NUMBER, RANK, DENSE_RANK</t>
  </si>
  <si>
    <t>Amit Saini</t>
  </si>
  <si>
    <t>23EACCS035</t>
  </si>
  <si>
    <t>9.2.2 NTILE</t>
  </si>
  <si>
    <t>9.3 Offset Functions (LEAD, LAG)</t>
  </si>
  <si>
    <t>9.4 Aggregate Window Functions</t>
  </si>
  <si>
    <t>9.4.1 Running Totals</t>
  </si>
  <si>
    <t>9.4.2 Moving Averages</t>
  </si>
  <si>
    <t>9.5 Top-N per Group Analysis</t>
  </si>
  <si>
    <t>9.6 YoY / MoM Analytical Queries</t>
  </si>
  <si>
    <t>9.7 Connecting SQL to Power BI</t>
  </si>
  <si>
    <t>9.7.1 Import vs DirectQuery vs Dual Mode</t>
  </si>
  <si>
    <t>9.7.2 Query Folding &amp; Native SQL Query</t>
  </si>
  <si>
    <t>Sonal Kumar</t>
  </si>
  <si>
    <t>📁 MINI PROJECT 1: SQL + Excel Sales Analysis (Half Day)</t>
  </si>
  <si>
    <t>23EACCS936</t>
  </si>
  <si>
    <t>Query Sales Database using complex SQL (Joins + Window Functions)</t>
  </si>
  <si>
    <t>Export results to Excel &amp; Build Pivot Tables</t>
  </si>
  <si>
    <t>Create Interactive Excel Dashboard with Slicers</t>
  </si>
  <si>
    <t>Document Insights &amp; Findings</t>
  </si>
  <si>
    <t>🏭 INDUSTRY LECTURE 1 (1 Hour)</t>
  </si>
  <si>
    <t>Topic: Data Analyst Career Path &amp; Day-in-the-Life</t>
  </si>
  <si>
    <t>Format: Guest Lecture + Q&amp;A Session</t>
  </si>
  <si>
    <t>UNIT 2: POWER BI BASICS + PREPARE DATA (PL-300 Domain 1 — 25–30%)</t>
  </si>
  <si>
    <t>1. Introduction to Power BI Ecosystem</t>
  </si>
  <si>
    <t>1.1 Power BI Components</t>
  </si>
  <si>
    <t>1.1.1 Power BI Desktop</t>
  </si>
  <si>
    <t>1.1.2 Power BI Service (Cloud)</t>
  </si>
  <si>
    <t>Aayush Khatri</t>
  </si>
  <si>
    <t>JOHIT KUMAR</t>
  </si>
  <si>
    <t>1.1.3 Power BI Mobile</t>
  </si>
  <si>
    <t>23EACCS003</t>
  </si>
  <si>
    <t>23EACCS140</t>
  </si>
  <si>
    <t>1.1.4 Power BI Report Server</t>
  </si>
  <si>
    <t>1.2 Power BI Licenses</t>
  </si>
  <si>
    <t>1.2.1 Free, Pro, PPU</t>
  </si>
  <si>
    <t>1.2.2 Premium &amp; Fabric</t>
  </si>
  <si>
    <t>1.3 Installing Power BI Desktop</t>
  </si>
  <si>
    <t>1.4 Desktop Interface Tour</t>
  </si>
  <si>
    <t>1.4.1 Report, Data, Model Views</t>
  </si>
  <si>
    <t>1.4.2 Ribbon &amp; Panes</t>
  </si>
  <si>
    <t>Lakshay Vashistha</t>
  </si>
  <si>
    <t>23EACCS164</t>
  </si>
  <si>
    <t>2. Connecting to Data Sources</t>
  </si>
  <si>
    <t>2.1 Get Data from Various Sources</t>
  </si>
  <si>
    <t>2.1.1 Files (Excel, CSV, JSON, XML)</t>
  </si>
  <si>
    <t>2.1.2 Databases (SQL Server, MySQL, Oracle)</t>
  </si>
  <si>
    <t>2.1.3 Cloud Sources (Azure, Dataverse, SharePoint)</t>
  </si>
  <si>
    <t>2.1.4 Web &amp; APIs</t>
  </si>
  <si>
    <t>2.2 Storage Modes</t>
  </si>
  <si>
    <t>2.2.1 Import Mode</t>
  </si>
  <si>
    <t>2.2.2 DirectQuery Mode</t>
  </si>
  <si>
    <t>2.2.3 Dual Mode</t>
  </si>
  <si>
    <t>2.2.4 Composite Models</t>
  </si>
  <si>
    <t>2.3 Data Source Settings &amp; Credentials</t>
  </si>
  <si>
    <t>2.4 Data Privacy Levels (Public, Organizational, Private)</t>
  </si>
  <si>
    <t>Ritviz</t>
  </si>
  <si>
    <t>23EACCS874</t>
  </si>
  <si>
    <t>2.5 When to Use Which Storage Mode (Exam Focus)</t>
  </si>
  <si>
    <t>3. Power Query Editor — Profiling &amp; Cleaning</t>
  </si>
  <si>
    <t>Aayushi purohit</t>
  </si>
  <si>
    <t>23EACCA003</t>
  </si>
  <si>
    <t>3.1 Power Query Editor Interface</t>
  </si>
  <si>
    <t>3.1.1 Applied Steps Pane</t>
  </si>
  <si>
    <t>3.1.2 Query Settings</t>
  </si>
  <si>
    <t>3.2 Data Profiling</t>
  </si>
  <si>
    <t>3.2.1 Column Quality</t>
  </si>
  <si>
    <t>Piyush Kumar</t>
  </si>
  <si>
    <t>23EACCS829</t>
  </si>
  <si>
    <t>3.2.2 Column Distribution</t>
  </si>
  <si>
    <t>3.2.3 Column Profile</t>
  </si>
  <si>
    <t>3.3 Data Type Detection &amp; Conversion</t>
  </si>
  <si>
    <t>3.4 Identifying Anomalies &amp; Errors</t>
  </si>
  <si>
    <t>3.5 Handling Null &amp; Missing Values</t>
  </si>
  <si>
    <t>3.6 Removing Duplicates</t>
  </si>
  <si>
    <t>4. Power Query Editor — Transformations</t>
  </si>
  <si>
    <t>Arnav Kumar</t>
  </si>
  <si>
    <t>4.1 Column Operations</t>
  </si>
  <si>
    <t>23EACCS053</t>
  </si>
  <si>
    <t>4.1.1 Rename, Reorder, Remove Columns</t>
  </si>
  <si>
    <t>4.1.2 Split &amp; Merge Columns</t>
  </si>
  <si>
    <t>4.1.3 Add Custom Columns</t>
  </si>
  <si>
    <t>4.1.4 Add Conditional Columns</t>
  </si>
  <si>
    <t>4.2 Row Operations</t>
  </si>
  <si>
    <t>AMIT KUMAR</t>
  </si>
  <si>
    <t>23EACAD013</t>
  </si>
  <si>
    <t>4.2.1 Filter Rows</t>
  </si>
  <si>
    <t>4.2.2 Promote / Demote Headers</t>
  </si>
  <si>
    <t>4.2.3 Remove Top / Bottom / Alternate Rows</t>
  </si>
  <si>
    <t>4.3 Text, Number &amp; Date Transformations</t>
  </si>
  <si>
    <t>4.4 Replace Values</t>
  </si>
  <si>
    <t>4.5 Group By Operations</t>
  </si>
  <si>
    <t>Adanan khan</t>
  </si>
  <si>
    <t>23EACCS009</t>
  </si>
  <si>
    <t>5. Power Query — Combining Queries</t>
  </si>
  <si>
    <t>Amit kumar</t>
  </si>
  <si>
    <t>23EACAD014</t>
  </si>
  <si>
    <t>5.1 Merging Queries</t>
  </si>
  <si>
    <t>5.1.1 Inner Join</t>
  </si>
  <si>
    <t>5.1.2 Left Outer &amp; Right Outer Join</t>
  </si>
  <si>
    <t>5.1.3 Full Outer Join</t>
  </si>
  <si>
    <t>5.1.4 Left Anti &amp; Right Anti Join</t>
  </si>
  <si>
    <t>5.2 Appending Queries</t>
  </si>
  <si>
    <t>5.3 Pivot &amp; Unpivot Columns</t>
  </si>
  <si>
    <t>Raviranjan Kumar</t>
  </si>
  <si>
    <t>23EACCS870</t>
  </si>
  <si>
    <t>5.4 Transpose Operation</t>
  </si>
  <si>
    <t>5.5 Reference vs Duplicate Queries</t>
  </si>
  <si>
    <t>6. Power Query — M Language &amp; Optimization</t>
  </si>
  <si>
    <t>6.1 Power Query M Language Basics</t>
  </si>
  <si>
    <t>6.1.1 Reading M Code</t>
  </si>
  <si>
    <t>6.1.2 Editing M Code in Advanced Editor</t>
  </si>
  <si>
    <t>6.1.3 Custom Functions</t>
  </si>
  <si>
    <t>6.2 Query Parameters</t>
  </si>
  <si>
    <t>PRIYANSHU</t>
  </si>
  <si>
    <t>23EACCS845</t>
  </si>
  <si>
    <t>6.3 Query Folding</t>
  </si>
  <si>
    <t>6.3.1 What is Query Folding</t>
  </si>
  <si>
    <t>6.3.2 Identifying Folded vs Unfolded Steps</t>
  </si>
  <si>
    <t>6.4 Incremental Refresh Configuration</t>
  </si>
  <si>
    <t>6.5 Performance Best Practices for Power Query</t>
  </si>
  <si>
    <t>Ajay Tiwari</t>
  </si>
  <si>
    <t>23EACCS021</t>
  </si>
  <si>
    <t>6.6 Dataflows (Cloud Power Query) — Intro</t>
  </si>
  <si>
    <t>📁 MINI PROJECT 2: End-to-End Power Query Pipeline (Half Day)</t>
  </si>
  <si>
    <t>Connect to Multiple Data Sources (Excel + SQL + Web)</t>
  </si>
  <si>
    <t>Apply All Major Transformations on Raw Data</t>
  </si>
  <si>
    <t>OP</t>
  </si>
  <si>
    <t>Merge &amp; Append Queries for Combined Dataset</t>
  </si>
  <si>
    <t>Document Applied Steps &amp; Optimize for Refresh</t>
  </si>
  <si>
    <t>UNIT 3: DATA MODELING + DAX (PL-300 Domain 2 — 25–30%)</t>
  </si>
  <si>
    <t>1. Data Modeling Fundamentals</t>
  </si>
  <si>
    <t>1.1 Why Data Modeling Matters</t>
  </si>
  <si>
    <t>Kartik Singh Gour</t>
  </si>
  <si>
    <t>1.1.1 Performance Impact</t>
  </si>
  <si>
    <t>23EACCC029</t>
  </si>
  <si>
    <t>1.1.2 Scalability &amp; Maintainability</t>
  </si>
  <si>
    <t>1.2 Schema Design</t>
  </si>
  <si>
    <t>1.2.1 Star Schema</t>
  </si>
  <si>
    <t>1.2.2 Snowflake Schema</t>
  </si>
  <si>
    <t>1.2.3 Why Star Schema is Preferred (Exam Focus)</t>
  </si>
  <si>
    <t>1.3 Fact vs Dimension Tables</t>
  </si>
  <si>
    <t>1.4 Normalization vs Denormalization</t>
  </si>
  <si>
    <t>1.5 Granularity of Data</t>
  </si>
  <si>
    <t>Ashish</t>
  </si>
  <si>
    <t>1.6 Surrogate Keys &amp; Natural Keys</t>
  </si>
  <si>
    <t>23EACAD023</t>
  </si>
  <si>
    <t>2. Relationships in Power BI</t>
  </si>
  <si>
    <t>Akshat Pareek</t>
  </si>
  <si>
    <t>23EACCS027</t>
  </si>
  <si>
    <t>2.1 Creating Relationships</t>
  </si>
  <si>
    <t>2.1.1 Automatic vs Manual Relationships</t>
  </si>
  <si>
    <t>2.2 Cardinality</t>
  </si>
  <si>
    <t>2.2.1 One-to-Many (1:N)</t>
  </si>
  <si>
    <t>2.2.2 Many-to-One (N:1)</t>
  </si>
  <si>
    <t>2.2.3 Many-to-Many (N:N)</t>
  </si>
  <si>
    <t>2.2.4 One-to-One (1:1)</t>
  </si>
  <si>
    <t>2.3 Cross-Filter Direction</t>
  </si>
  <si>
    <t>2.3.1 Single Direction</t>
  </si>
  <si>
    <t>2.3.2 Both Directions</t>
  </si>
  <si>
    <t>2.4 Active vs Inactive Relationships</t>
  </si>
  <si>
    <t>2.5 USERELATIONSHIP() Function</t>
  </si>
  <si>
    <t>2.6 Bridge Tables for Many-to-Many</t>
  </si>
  <si>
    <t>3. DAX Fundamentals</t>
  </si>
  <si>
    <t>3.1 What is DAX</t>
  </si>
  <si>
    <t>3.2 Calculated Columns vs Measures vs Calculated Tables</t>
  </si>
  <si>
    <t>Nitesh Kumar</t>
  </si>
  <si>
    <t>23EACCS819</t>
  </si>
  <si>
    <t>3.3 DAX Syntax &amp; Operators</t>
  </si>
  <si>
    <t>3.4 Basic Aggregation Functions</t>
  </si>
  <si>
    <t>3.4.1 SUM, AVERAGE, MIN, MAX, COUNT</t>
  </si>
  <si>
    <t>3.4.2 COUNTROWS, DISTINCTCOUNT, COUNTBLANK</t>
  </si>
  <si>
    <t>3.5 Logical Functions</t>
  </si>
  <si>
    <t>3.5.1 IF, SWITCH</t>
  </si>
  <si>
    <t>3.5.2 AND, OR, NOT</t>
  </si>
  <si>
    <t>3.6 Text &amp; Date Functions in DAX</t>
  </si>
  <si>
    <t>3.7 DIVIDE Function (Safe Division)</t>
  </si>
  <si>
    <t>4. DAX — Context Deep Dive (Most Important!)</t>
  </si>
  <si>
    <t>4.1 Evaluation Contexts</t>
  </si>
  <si>
    <t>Piyush</t>
  </si>
  <si>
    <t>23EACCS827</t>
  </si>
  <si>
    <t>4.1.1 Row Context</t>
  </si>
  <si>
    <t>4.1.2 Filter Context</t>
  </si>
  <si>
    <t>4.2 How Context Flows Through Visuals</t>
  </si>
  <si>
    <t>4.3 Context Transition</t>
  </si>
  <si>
    <t>4.4 Common Mistakes Beginners Make</t>
  </si>
  <si>
    <t>4.5 EARLIER Function (Overview)</t>
  </si>
  <si>
    <t>4.6 Why Calculated Columns Differ from Measures</t>
  </si>
  <si>
    <t>4.7 Exam-Focused Scenarios on Filter Context</t>
  </si>
  <si>
    <t>5. DAX — CALCULATE Mastery</t>
  </si>
  <si>
    <t>Rahul Malhotra</t>
  </si>
  <si>
    <t>23EACCS860</t>
  </si>
  <si>
    <t>5.1 CALCULATE Function (Most Important DAX Function)</t>
  </si>
  <si>
    <t>5.1.1 Syntax &amp; Behavior</t>
  </si>
  <si>
    <t>5.1.2 Modifying Filter Context</t>
  </si>
  <si>
    <t>5.2 FILTER Function</t>
  </si>
  <si>
    <t>5.3 ALL Function</t>
  </si>
  <si>
    <t>5.4 ALLEXCEPT</t>
  </si>
  <si>
    <t>5.5 ALLSELECTED</t>
  </si>
  <si>
    <t>5.6 REMOVEFILTERS</t>
  </si>
  <si>
    <t>5.7 KEEPFILTERS</t>
  </si>
  <si>
    <t>5.8 Common Pitfalls with CALCULATE</t>
  </si>
  <si>
    <t>Raunak</t>
  </si>
  <si>
    <t>23EACCS866</t>
  </si>
  <si>
    <t>6. DAX — Time Intelligence</t>
  </si>
  <si>
    <t>6.1 Date Table — Why &amp; How</t>
  </si>
  <si>
    <t>6.1.1 Mark as Date Table</t>
  </si>
  <si>
    <t>6.1.2 Auto Date/Time vs Custom Date Table</t>
  </si>
  <si>
    <t>6.1.3 Creating Date Table with CALENDAR / CALENDARAUTO</t>
  </si>
  <si>
    <t>6.2 Time Intelligence Functions</t>
  </si>
  <si>
    <t>6.2.1 TOTALYTD, TOTALMTD, TOTALQTD</t>
  </si>
  <si>
    <t>6.2.2 SAMEPERIODLASTYEAR</t>
  </si>
  <si>
    <t>6.2.3 PREVIOUSYEAR, PREVIOUSMONTH, PREVIOUSQUARTER</t>
  </si>
  <si>
    <t>6.2.4 DATEADD, DATESBETWEEN, DATESINPERIOD</t>
  </si>
  <si>
    <t>6.3 YoY, QoQ, MoM Calculations</t>
  </si>
  <si>
    <t>Vaishali Upadhyay</t>
  </si>
  <si>
    <t>6.4 Running Totals &amp; Moving Averages</t>
  </si>
  <si>
    <t>23EACAD121</t>
  </si>
  <si>
    <t>7. DAX — Iterators &amp; Advanced Functions</t>
  </si>
  <si>
    <t>7.1 Iterator Functions (X-Functions)</t>
  </si>
  <si>
    <t>7.1.1 SUMX, AVERAGEX, COUNTX</t>
  </si>
  <si>
    <t>7.1.2 MAXX, MINX</t>
  </si>
  <si>
    <t>7.1.3 SUM vs SUMX Difference (Exam Focus)</t>
  </si>
  <si>
    <t>7.2 Variables in DAX (VAR &amp; RETURN)</t>
  </si>
  <si>
    <t>7.2.1 Improving Readability</t>
  </si>
  <si>
    <t>7.2.2 Performance Benefits</t>
  </si>
  <si>
    <t>7.3 RELATED &amp; RELATEDTABLE</t>
  </si>
  <si>
    <t>Tanya Rajput</t>
  </si>
  <si>
    <t>7.4 RANKX &amp; TOPN</t>
  </si>
  <si>
    <t>23EACAD118</t>
  </si>
  <si>
    <t>7.5 Common Scenario-Based DAX Problems</t>
  </si>
  <si>
    <t>📁 MINI PROJECT 3: Data Model + DAX (Half Day)</t>
  </si>
  <si>
    <t>Build Star Schema from Raw Sales Data</t>
  </si>
  <si>
    <t>Create Fact &amp; Dimension Tables with Relationships</t>
  </si>
  <si>
    <t>Build 10+ Business Measures (Sales, Profit, Margin, YoY, Top-N)</t>
  </si>
  <si>
    <t>Implement Time Intelligence Calculations</t>
  </si>
  <si>
    <t>Validate Measures using Test Visuals</t>
  </si>
  <si>
    <t>🔴 TEST 1: SQL + Power Query + Modeling + DAX (Half Day)</t>
  </si>
  <si>
    <t>MCQ (25 Marks) + Practical Task (25 Marks)</t>
  </si>
  <si>
    <t>Anaitullah alam</t>
  </si>
  <si>
    <t>Duration: 1 to 1.5 Hours</t>
  </si>
  <si>
    <t>Dipesh lamba</t>
  </si>
  <si>
    <t>23EACCS037</t>
  </si>
  <si>
    <t>23EACAD041</t>
  </si>
  <si>
    <t>🏭 INDUSTRY LECTURE 2 (1 Hour)</t>
  </si>
  <si>
    <t>Topic: DAX in Real-World Projects — Common Mistakes &amp; Best Practices</t>
  </si>
  <si>
    <t>LT</t>
  </si>
  <si>
    <t>UNIT 4: VISUALIZATION &amp; ANALYSIS (PL-300 Domain 3 — 25–30%)</t>
  </si>
  <si>
    <t>1. Visualization Fundamentals</t>
  </si>
  <si>
    <t>1.1 Principles of Good Visualization</t>
  </si>
  <si>
    <t>1.1.1 Choosing the Right Chart Type</t>
  </si>
  <si>
    <t>1.1.2 Avoiding Misleading Visuals</t>
  </si>
  <si>
    <t>1.2 Data Storytelling Concepts</t>
  </si>
  <si>
    <t>1.3 Power BI Visual Categories</t>
  </si>
  <si>
    <t>1.3.1 Comparison</t>
  </si>
  <si>
    <t>1.3.2 Composition</t>
  </si>
  <si>
    <t>Pankaj kumar</t>
  </si>
  <si>
    <t>23EACAD084</t>
  </si>
  <si>
    <t>1.3.3 Distribution</t>
  </si>
  <si>
    <t>1.3.4 Relationship</t>
  </si>
  <si>
    <t>1.4 Accessibility in Power BI Reports</t>
  </si>
  <si>
    <t>2. Standard Visualizations</t>
  </si>
  <si>
    <t>2.1 Bar Chart &amp; Column Chart (Comparison)</t>
  </si>
  <si>
    <t>2.2 Line Chart &amp; Area Chart (Trends)</t>
  </si>
  <si>
    <t>2.3 Pie Chart &amp; Donut Chart (Composition)</t>
  </si>
  <si>
    <t>2.4 Treemap &amp; Funnel Chart</t>
  </si>
  <si>
    <t>2.5 Scatter Plot &amp; Bubble Chart</t>
  </si>
  <si>
    <t>2.6 KPI &amp; Gauge Visuals</t>
  </si>
  <si>
    <t>Ankesh kumar Sanu</t>
  </si>
  <si>
    <t>23EACCS042</t>
  </si>
  <si>
    <t>2.7 Card &amp; Multi-Row Card</t>
  </si>
  <si>
    <t>2.8 Table &amp; Matrix Visuals</t>
  </si>
  <si>
    <t>2.9 Conditional Formatting in Visuals</t>
  </si>
  <si>
    <t>3. Advanced Visualizations</t>
  </si>
  <si>
    <t>Anuj Kushawaha</t>
  </si>
  <si>
    <t>23EACCS049</t>
  </si>
  <si>
    <t>3.1 Map Visuals</t>
  </si>
  <si>
    <t>3.1.1 Bing Maps</t>
  </si>
  <si>
    <t>3.1.2 Filled Map &amp; Shape Map</t>
  </si>
  <si>
    <t>3.1.3 ArcGIS Maps</t>
  </si>
  <si>
    <t>3.2 Decomposition Tree</t>
  </si>
  <si>
    <t>3.3 Key Influencers Visual</t>
  </si>
  <si>
    <t>3.4 Q&amp;A Visual (Natural Language Query)</t>
  </si>
  <si>
    <t>3.5 Smart Narrative</t>
  </si>
  <si>
    <t>3.6 Custom Visuals from AppSource</t>
  </si>
  <si>
    <t>4. Filters &amp; Interactivity</t>
  </si>
  <si>
    <t>4.1 Filters in Power BI</t>
  </si>
  <si>
    <t>4.1.1 Visual-Level Filter</t>
  </si>
  <si>
    <t>4.1.2 Page-Level Filter</t>
  </si>
  <si>
    <t>4.1.3 Report-Level Filter</t>
  </si>
  <si>
    <t>4.1.4 Drill-Through Filter</t>
  </si>
  <si>
    <t>4.2 Slicers</t>
  </si>
  <si>
    <t>4.2.1 Single, Multi-Select, Drop-down</t>
  </si>
  <si>
    <t>4.2.2 Sync Slicers Across Pages</t>
  </si>
  <si>
    <t>4.3 Edit Interactions (Filter, Highlight, None)</t>
  </si>
  <si>
    <t>4.4 Drill Down &amp; Drill Up</t>
  </si>
  <si>
    <t>4.5 Drill-Through Pages</t>
  </si>
  <si>
    <t>Sagar kumar</t>
  </si>
  <si>
    <t>4.6 Cross-Filtering Between Visuals</t>
  </si>
  <si>
    <t>23EACIT050</t>
  </si>
  <si>
    <t>5. Bookmarks, Buttons &amp; Navigation</t>
  </si>
  <si>
    <t>5.1 Bookmarks</t>
  </si>
  <si>
    <t>5.1.1 Creating &amp; Managing Bookmarks</t>
  </si>
  <si>
    <t>5.1.2 Bookmark Groups</t>
  </si>
  <si>
    <t>5.2 Buttons &amp; Actions</t>
  </si>
  <si>
    <t>5.2.1 Page Navigation Buttons</t>
  </si>
  <si>
    <t>5.2.2 Bookmark Buttons</t>
  </si>
  <si>
    <t>5.2.3 Q&amp;A &amp; Drill-Through Buttons</t>
  </si>
  <si>
    <t>Krishna Singh</t>
  </si>
  <si>
    <t>23EACCS156</t>
  </si>
  <si>
    <t>5.3 Selection Pane (Show/Hide Visuals)</t>
  </si>
  <si>
    <t>5.4 Tooltips &amp; Custom Page Tooltips</t>
  </si>
  <si>
    <t>5.5 Themes &amp; Custom Themes</t>
  </si>
  <si>
    <t>6. Analytics in Power BI</t>
  </si>
  <si>
    <t>6.1 Analytics Pane</t>
  </si>
  <si>
    <t>6.1.1 Trend Line, Average Line</t>
  </si>
  <si>
    <t>6.1.2 Min/Max/Median Lines</t>
  </si>
  <si>
    <t>6.1.3 Forecasting on Line Charts</t>
  </si>
  <si>
    <t>6.2 Anomaly Detection</t>
  </si>
  <si>
    <t>6.3 What-If Parameters</t>
  </si>
  <si>
    <t>6.4 Grouping &amp; Binning Data</t>
  </si>
  <si>
    <t>Payal Rathore</t>
  </si>
  <si>
    <t>23EACCS826</t>
  </si>
  <si>
    <t>6.5 Top-N Analysis</t>
  </si>
  <si>
    <t>6.6 Sort By Column</t>
  </si>
  <si>
    <t>7. Report Design &amp; Performance Best Practices</t>
  </si>
  <si>
    <t>7.1 Report Layout &amp; Page Size</t>
  </si>
  <si>
    <t>7.2 Mobile Report Layout</t>
  </si>
  <si>
    <t>7.3 Aligning &amp; Distributing Visuals</t>
  </si>
  <si>
    <t>7.4 Color Theory in Dashboards</t>
  </si>
  <si>
    <t>7.5 Font, Spacing &amp; Whitespace</t>
  </si>
  <si>
    <t>7.6 Performance Tips for Reports</t>
  </si>
  <si>
    <t>7.6.1 Reduce Visual Count</t>
  </si>
  <si>
    <t>7.6.2 Limit Data in Visuals</t>
  </si>
  <si>
    <t>Vijaya Bharti</t>
  </si>
  <si>
    <t>7.6.3 Aggregation Strategies</t>
  </si>
  <si>
    <t>23EACCS963</t>
  </si>
  <si>
    <t>7.7 Performance Analyzer Tool</t>
  </si>
  <si>
    <t>📁 MINI PROJECT 4: Interactive Sales Dashboard (Half Day)</t>
  </si>
  <si>
    <t>Build Multi-Page Power BI Report</t>
  </si>
  <si>
    <t>Use Slicers, Filters, Bookmarks &amp; Drill-Through</t>
  </si>
  <si>
    <t>Apply Conditional Formatting &amp; Custom Tooltips</t>
  </si>
  <si>
    <t>Make it Mobile-Responsive</t>
  </si>
  <si>
    <t>🔴 TEST 2: Visualization &amp; Analysis (Half Day)</t>
  </si>
  <si>
    <t>UNIT 5: DEPLOY &amp; MAINTAIN ASSETS (PL-300 Domain 4 — 15–20%)</t>
  </si>
  <si>
    <t>Mandeep Kumar Saini</t>
  </si>
  <si>
    <t>1. Power BI Service Overview</t>
  </si>
  <si>
    <t>23EACCS174</t>
  </si>
  <si>
    <t>1.1 Power BI Service Interface Tour</t>
  </si>
  <si>
    <t>1.2 Publishing Reports from Desktop to Service</t>
  </si>
  <si>
    <t>1.3 Workspaces in Power BI Service</t>
  </si>
  <si>
    <t>1.3.1 My Workspace vs Shared Workspaces</t>
  </si>
  <si>
    <t>1.3.2 Workspace Roles</t>
  </si>
  <si>
    <t>1.3.2.1 Admin</t>
  </si>
  <si>
    <t>1.3.2.2 Member</t>
  </si>
  <si>
    <t>1.3.2.3 Contributor</t>
  </si>
  <si>
    <t>1.3.2.4 Viewer</t>
  </si>
  <si>
    <t>1.4 Reports vs Dashboards (Service Concept)</t>
  </si>
  <si>
    <t>1.5 Pinning Visuals to Dashboards</t>
  </si>
  <si>
    <t>Barkha Kanwar</t>
  </si>
  <si>
    <t>23EACAD027</t>
  </si>
  <si>
    <t>2. Datasets, Dataflows &amp; Refresh</t>
  </si>
  <si>
    <t>Pushpendra Kumar</t>
  </si>
  <si>
    <t>2.1 Datasets in Power BI Service</t>
  </si>
  <si>
    <t>23EACCS853</t>
  </si>
  <si>
    <t>2.2 Scheduled Refresh</t>
  </si>
  <si>
    <t>2.2.1 Setting Refresh Frequency</t>
  </si>
  <si>
    <t>2.2.2 Refresh Failure Notifications</t>
  </si>
  <si>
    <t>2.3 On-Premises Data Gateway</t>
  </si>
  <si>
    <t>2.3.1 Standard vs Personal Mode</t>
  </si>
  <si>
    <t>2.3.2 Gateway Configuration &amp; Setup</t>
  </si>
  <si>
    <t>2.4 Dataflows</t>
  </si>
  <si>
    <t>2.4.1 Creating Dataflows</t>
  </si>
  <si>
    <t>2.4.2 Linked &amp; Computed Entities</t>
  </si>
  <si>
    <t>2.5 Endorsement (Promoted vs Certified Datasets)</t>
  </si>
  <si>
    <t>3. Sharing, Apps &amp; Subscriptions</t>
  </si>
  <si>
    <t>3.1 Sharing Reports &amp; Dashboards</t>
  </si>
  <si>
    <t>3.1.1 Direct Sharing</t>
  </si>
  <si>
    <t>3.1.2 Share with Link</t>
  </si>
  <si>
    <t>3.2 Power BI Apps</t>
  </si>
  <si>
    <t>3.2.1 Creating an App from Workspace</t>
  </si>
  <si>
    <t>3.2.2 Updating &amp; Versioning Apps</t>
  </si>
  <si>
    <t>3.3 Subscriptions &amp; Alerts</t>
  </si>
  <si>
    <t>3.4 Embedding Power BI Reports</t>
  </si>
  <si>
    <t>Bhanu Pratap Singh Rajawat</t>
  </si>
  <si>
    <t>23EACCS069</t>
  </si>
  <si>
    <t>3.4.1 Publish to Web (Public)</t>
  </si>
  <si>
    <t>3.4.2 Embed in SharePoint / Teams</t>
  </si>
  <si>
    <t>3.5 Power BI Mobile App Features</t>
  </si>
  <si>
    <t>4. Security &amp; Governance</t>
  </si>
  <si>
    <t>4.1 Row-Level Security (RLS)</t>
  </si>
  <si>
    <t>Vishwajit Kumar</t>
  </si>
  <si>
    <t>23EACCS971</t>
  </si>
  <si>
    <t>4.1.1 Static RLS</t>
  </si>
  <si>
    <t>4.1.2 Dynamic RLS</t>
  </si>
  <si>
    <t>4.1.3 USERNAME &amp; USERPRINCIPALNAME Functions</t>
  </si>
  <si>
    <t>4.1.4 Testing Roles in Desktop &amp; Service</t>
  </si>
  <si>
    <t>4.2 Object-Level Security (OLS) Overview</t>
  </si>
  <si>
    <t>4.3 Sensitivity Labels</t>
  </si>
  <si>
    <t>4.4 Power BI Admin Portal Overview</t>
  </si>
  <si>
    <t>4.5 Usage Metrics &amp; Audit Logs</t>
  </si>
  <si>
    <t>4.6 Deployment Pipelines (Dev → Test → Prod)</t>
  </si>
  <si>
    <t>4.7 Version Control Best Practices</t>
  </si>
  <si>
    <t>Itish Soni</t>
  </si>
  <si>
    <t>🔴 TEST 3: Deploy &amp; Maintain Assets (Half Day)</t>
  </si>
  <si>
    <t>23EACCS131</t>
  </si>
  <si>
    <t>MCQ (25 Marks) + Scenario-Based (25 Marks)</t>
  </si>
  <si>
    <t>🏭 INDUSTRY LECTURE 3 (1 Hour)</t>
  </si>
  <si>
    <t>Deepanshu Kumawat</t>
  </si>
  <si>
    <t>Topic: Power BI Governance &amp; Enterprise Deployment</t>
  </si>
  <si>
    <t>23EACCS086</t>
  </si>
  <si>
    <t>UNIT 6: EXAM PREPARATION + CAPSTONE PROJECT</t>
  </si>
  <si>
    <t>1. PL-300 Exam Strategy &amp; Case Study Practice</t>
  </si>
  <si>
    <t>1.1 Exam Format Recap</t>
  </si>
  <si>
    <t>1.1.1 Question Types (MCQ, Drag-Drop, Case Study)</t>
  </si>
  <si>
    <t>1.1.2 Case Study Rules (No Going Back!)</t>
  </si>
  <si>
    <t>1.2 Time Management Strategy</t>
  </si>
  <si>
    <t>Manvendra Singh</t>
  </si>
  <si>
    <t>1.2.1 ~2 Minutes per Question</t>
  </si>
  <si>
    <t>23EACCS178</t>
  </si>
  <si>
    <t>1.2.2 Mark &amp; Review Technique</t>
  </si>
  <si>
    <t>1.3 Elimination Method for MCQs</t>
  </si>
  <si>
    <t>1.4 Common Trap Patterns in PL-300</t>
  </si>
  <si>
    <t>1.5 Practice — 10 Case Study Questions</t>
  </si>
  <si>
    <t>2. Common Confusion Pairs — Final Revision</t>
  </si>
  <si>
    <t>2.1 Import vs DirectQuery vs Dual Mode</t>
  </si>
  <si>
    <t>2.2 Calculated Column vs Measure</t>
  </si>
  <si>
    <t>2.3 CALCULATE vs FILTER</t>
  </si>
  <si>
    <t>Manish Lal Gupta</t>
  </si>
  <si>
    <t>2.4 SUM vs SUMX (Iterators)</t>
  </si>
  <si>
    <t>23EACCS176</t>
  </si>
  <si>
    <t>2.5 Dashboard vs Report (in Service)</t>
  </si>
  <si>
    <t>2.6 Workspace Roles Comparison</t>
  </si>
  <si>
    <t>2.7 RLS Static vs Dynamic</t>
  </si>
  <si>
    <t>2.8 Cardinality Decision Guide</t>
  </si>
  <si>
    <t>2.9 Star vs Snowflake Schema</t>
  </si>
  <si>
    <t>3. Full-Length Mock Exam #1</t>
  </si>
  <si>
    <t>3.1 50-60 Questions, 100 Minutes (Real Exam Conditions)</t>
  </si>
  <si>
    <t>3.2 Domain-wise Score Breakdown</t>
  </si>
  <si>
    <t>3.3 Wrong Answer Analysis</t>
  </si>
  <si>
    <t>3.4 Identification of Weak Areas</t>
  </si>
  <si>
    <t>3.5 Targeted Revision Plan</t>
  </si>
  <si>
    <t>📁 CAPSTONE PROJECT — Briefing &amp; Full-Day Work</t>
  </si>
  <si>
    <t>1. Capstone Project Briefing</t>
  </si>
  <si>
    <t>1.1 Problem Statement Distribution</t>
  </si>
  <si>
    <t>1.1.1 Domain Options: Sales, Finance, HR, Healthcare, E-commerce, Retail</t>
  </si>
  <si>
    <t>1.2 Team Formation &amp; Role Distribution</t>
  </si>
  <si>
    <t>1.3 Project Deliverables</t>
  </si>
  <si>
    <t>1.3.1 End-to-End Power BI Report</t>
  </si>
  <si>
    <t>1.3.2 Documentation (Data Dictionary, Model Diagram)</t>
  </si>
  <si>
    <t>1.3.3 Presentation Deck</t>
  </si>
  <si>
    <t>Deva saini</t>
  </si>
  <si>
    <t>23EACAD038</t>
  </si>
  <si>
    <t>Tarun Kumar</t>
  </si>
  <si>
    <t>2. Capstone Work Phase</t>
  </si>
  <si>
    <t>23EACCS949</t>
  </si>
  <si>
    <t>2.1 Data Collection &amp; Connection</t>
  </si>
  <si>
    <t>2.2 Data Cleaning in Power Query</t>
  </si>
  <si>
    <t>2.3 Star Schema &amp; DAX Measures</t>
  </si>
  <si>
    <t>2.4 Multi-Page Interactive Dashboard</t>
  </si>
  <si>
    <t>2.5 RLS Implementation &amp; Publishing to Service</t>
  </si>
  <si>
    <t>4. Full-Length Mock Exam #2 &amp; Final Topic Revision</t>
  </si>
  <si>
    <t>4.1 Second Mock Test under Exam Conditions</t>
  </si>
  <si>
    <t>4.2 Detailed Review of Wrong Answers</t>
  </si>
  <si>
    <t>4.3 Domain-wise Cheat Sheet Walkthrough</t>
  </si>
  <si>
    <t>4.3.1 Prepare Data — Quick Recap</t>
  </si>
  <si>
    <t>Rohit Kumar</t>
  </si>
  <si>
    <t>23EACCS880</t>
  </si>
  <si>
    <t>4.3.2 Model Data — Quick Recap</t>
  </si>
  <si>
    <t>4.3.3 Visualize Data — Quick Recap</t>
  </si>
  <si>
    <t>4.3.4 Deploy &amp; Maintain — Quick Recap</t>
  </si>
  <si>
    <t>4.4 Last-Minute Revision Tips</t>
  </si>
  <si>
    <t>5. Capstone Presentations + Exam Booking &amp; Career Path</t>
  </si>
  <si>
    <t>5.1 Capstone Project Presentations</t>
  </si>
  <si>
    <t>5.1.1 Individual / Group Presentations (10–15 min each)</t>
  </si>
  <si>
    <t>5.1.2 Live Demo of Power BI Dashboard</t>
  </si>
  <si>
    <t>5.1.3 Faculty Evaluation &amp; Q&amp;A</t>
  </si>
  <si>
    <t>5.2 PL-300 Exam Day Strategy (Final)</t>
  </si>
  <si>
    <t>5.2.1 Pre-Exam Checklist</t>
  </si>
  <si>
    <t>Kunal Nogia</t>
  </si>
  <si>
    <t>23EACCS160</t>
  </si>
  <si>
    <t>5.2.2 Exam Booking Process (Pearson VUE / Online Proctored)</t>
  </si>
  <si>
    <t>5.2.3 Exam Day Tips</t>
  </si>
  <si>
    <t>5.3 Post-Certification Career Path</t>
  </si>
  <si>
    <t>5.3.1 Job Roles: Data Analyst, BI Developer, Reporting Analyst</t>
  </si>
  <si>
    <t>5.3.2 Next Certification: DP-600 (Fabric Analytics Engineer)</t>
  </si>
  <si>
    <t>46-60</t>
  </si>
  <si>
    <t>🎯 FINAL CERTIFICATION EXAM PREPARATION</t>
  </si>
  <si>
    <t>Pending</t>
  </si>
  <si>
    <t>Shiv Shankar</t>
  </si>
  <si>
    <t>23EACCS915</t>
  </si>
  <si>
    <t>garima kumawat</t>
  </si>
  <si>
    <t>Vishal Kumar</t>
  </si>
  <si>
    <t>23EACCS969</t>
  </si>
  <si>
    <t>Jyoti Kumari</t>
  </si>
  <si>
    <t>23EACCS139</t>
  </si>
  <si>
    <t>Mini Project 1</t>
  </si>
  <si>
    <t>Mini Project 3</t>
  </si>
  <si>
    <t>https://github.com/sanyakhandelwal/edtech-powerbi-dashboard.zip</t>
  </si>
  <si>
    <t>https://github.com/sanyakhandelwal/Sales-Performance-Analysis_PowerBI-SQL</t>
  </si>
  <si>
    <t>Mohak Chaturvedi</t>
  </si>
  <si>
    <t>23EACCS190</t>
  </si>
  <si>
    <t>https://github.com/sanyakhandelwal/customer-behavior-analytics</t>
  </si>
  <si>
    <t>Gaurav yadav</t>
  </si>
  <si>
    <t>23eacad044</t>
  </si>
  <si>
    <t>https://github.com/Garimaspec123/Ed_tech_MiniPowerbi_PROJECT</t>
  </si>
  <si>
    <t>https://github.com/Garimaspec123/Sales_Analysis_on_POWERBI-SQL</t>
  </si>
  <si>
    <t>https://github.com/Deepesh1209/EdTech-Courses-Analysis-PowerBI</t>
  </si>
  <si>
    <t>https://github.com/Deepesh1209/apple-sales-analysis-postgresql</t>
  </si>
  <si>
    <t>https://github.com/rheagandhi01/online-_course_-analysis</t>
  </si>
  <si>
    <t>https://github.com/rheagandhi01/sales_analysis_project</t>
  </si>
  <si>
    <t>Prince</t>
  </si>
  <si>
    <t>23EACAD088</t>
  </si>
  <si>
    <t>Hariom Anand</t>
  </si>
  <si>
    <t>23EACCS113</t>
  </si>
  <si>
    <t>https://github.com/payal187/Online-_Course-_Analysis</t>
  </si>
  <si>
    <t>https://github.com/payal187/Retail_Sales_Analysis_Power_BI-main</t>
  </si>
  <si>
    <t>https://github.com/kushwahRahul9809/Customer-Behavior-_Analysis</t>
  </si>
  <si>
    <t>Lakhan saini</t>
  </si>
  <si>
    <t>23EACAD069</t>
  </si>
  <si>
    <t>23EACCS833</t>
  </si>
  <si>
    <t>https://github.com/Rajan263/EdTech-Online-Course-Analysis-Dashboard</t>
  </si>
  <si>
    <t>https://github.com/Rajan263/Sales-Analysis-On-Power_BI-SQL</t>
  </si>
  <si>
    <t>https://github.com/Rajan263/Customer_Shopping_Behavior_Analysis-</t>
  </si>
  <si>
    <t>Jaya kumari</t>
  </si>
  <si>
    <t>23EACCS137</t>
  </si>
  <si>
    <t>https://github.com/Sonalsingh9631</t>
  </si>
  <si>
    <t>https://github.com/JOHITKUMAR/EdTech-Project</t>
  </si>
  <si>
    <t>https://github.com/JOHITKUMAR/Sales_Analysis_on_Power_Bi-SQL</t>
  </si>
  <si>
    <t>Mithul kalal</t>
  </si>
  <si>
    <t>https://github.com/JOHITKUMAR/MiniProject-3-SQL-PYTHON-POWER-BI-/tree/main</t>
  </si>
  <si>
    <t>23EACCS189</t>
  </si>
  <si>
    <t>p</t>
  </si>
  <si>
    <t>https://github.com/Aaryan-2004-Arora/Power_BI_mini_project1</t>
  </si>
  <si>
    <t>https://github.com/Aaryan-2004-Arora/Sales-Analysis-on-Power-BI-SQL</t>
  </si>
  <si>
    <t>https://github.com/Aaryan-2004-Arora/Mini_project_3</t>
  </si>
  <si>
    <t>https://github.com/Ritviz01/EdTech_Startup_Analysis_PowerBi_DashBoard</t>
  </si>
  <si>
    <t>https://github.com/Ritviz01/MINI_PROJECT__3</t>
  </si>
  <si>
    <t>https://github.com/Itzraviranjan123/EdTech_mini-Project</t>
  </si>
  <si>
    <t>https://github.com/Itzraviranjan123/Sales_Analysis_on_Power_BI-SQL</t>
  </si>
  <si>
    <t>https://github.com/Itzraviranjan123/Mini_project_3</t>
  </si>
  <si>
    <t>Kunal Rohilla</t>
  </si>
  <si>
    <t>23EACCS161</t>
  </si>
  <si>
    <t>https://github.com/priyanshu909095-rgb/-Power-Bi-Dashboard/blob/main/Grras%20Mini%20project%201.pbix</t>
  </si>
  <si>
    <t>https://github.com/priyanshu909095-rgb/Sales_Analysis_on_PowerBI-SQL</t>
  </si>
  <si>
    <t>Neeraj Kumar meena</t>
  </si>
  <si>
    <t>23EACCS807</t>
  </si>
  <si>
    <t>https://github.com/kartik12-abc/Power-Bi-Mini-Project-</t>
  </si>
  <si>
    <t>github.com/kartik12-abc/Power-Bi-Mini-Project-</t>
  </si>
  <si>
    <t>https://github.com/ashishrao504978/Grras_Mini_Project-1</t>
  </si>
  <si>
    <t>https://github.com/ashishrao504978/Sales_Analysis_on_Power_Bi-Sql</t>
  </si>
  <si>
    <t>Kashyap Choudhary</t>
  </si>
  <si>
    <t>23EACCS148</t>
  </si>
  <si>
    <t>https://github.com/NiteshKumarJat23/EdTech_Analysis_Project</t>
  </si>
  <si>
    <t>https://github.com/NiteshKumarJat23/PowerBI_Sales_Insights_Dashboard</t>
  </si>
  <si>
    <t>https://github.com/Piyushtundwal/Power-BI-Project</t>
  </si>
  <si>
    <t>23EACAD044</t>
  </si>
  <si>
    <t>https://github.com/Piyushtundwal/Sales_Analysis_on_PowerBI-SQL</t>
  </si>
  <si>
    <t>https://github.com/rahulmalhotra7396-art/Online_Courses_analysis_project</t>
  </si>
  <si>
    <t>https://github.com/rahulmalhotra7396-art/Sales_Analaysis_project_on_power_bi</t>
  </si>
  <si>
    <t>Ravi Ranjan Sharma</t>
  </si>
  <si>
    <t>23EACCS868</t>
  </si>
  <si>
    <t>https://github.com/Raunakbansal12/pbi-project-1-online-course-analysis</t>
  </si>
  <si>
    <t>https://github.com/Raunakbansal12/pbi-project-2-sales-analysis</t>
  </si>
  <si>
    <t>https://github.com/Raunakbansal12/PBI-Project-3</t>
  </si>
  <si>
    <t>https://github.com/vaishu1711/Employee-Management-System.git</t>
  </si>
  <si>
    <t>https://github.com/vaishu1711/Sales_Analysis-on-PowerBI-SQL.git</t>
  </si>
  <si>
    <t>https://github.com/vaishu1711/Mini-Project-Power-BI-SQL-Python-</t>
  </si>
  <si>
    <t>Niraj Kumar</t>
  </si>
  <si>
    <t>23EACCS814</t>
  </si>
  <si>
    <t>https://github.com/Tanya1417/mini-project-</t>
  </si>
  <si>
    <t>https://github.com/dipesh7891/Powerbi-Mini-Project</t>
  </si>
  <si>
    <t>https://github.com/dipesh7891/Sales_Analysis_PowerBI</t>
  </si>
  <si>
    <t>https://github.com/dipesh7891/customer-shopping-behavior-analysis.git</t>
  </si>
  <si>
    <t>23eacad084</t>
  </si>
  <si>
    <t>https://github.com/anuj12533/EdTech-Online-Course-Analysis-Dashboard</t>
  </si>
  <si>
    <t>https://github.com/anuj12533/Sales-Analysis-On-Power_BI-SQL</t>
  </si>
  <si>
    <t>Mohit Kumar gupta</t>
  </si>
  <si>
    <t>23EACCS197</t>
  </si>
  <si>
    <t>https://github.com/anuj12533/mini-project-3</t>
  </si>
  <si>
    <t>Piyush Mishra</t>
  </si>
  <si>
    <t>23EACCS830</t>
  </si>
  <si>
    <t>https://github.com/payal187/Customer_shopping_Behavior</t>
  </si>
  <si>
    <t>https://github.com/payal187/Sales_Analysis_on_Power_BI-SQL</t>
  </si>
  <si>
    <t>Sneha Kumari</t>
  </si>
  <si>
    <t>23EACCS934</t>
  </si>
  <si>
    <t>https://github.com/VijayaBharti30/Customer_Shopping_Analysis</t>
  </si>
  <si>
    <t>Shourya Bhanot</t>
  </si>
  <si>
    <t>https://github.com/VijayaBharti30/Edtech-Startup-Analysis</t>
  </si>
  <si>
    <t>23EACCS921</t>
  </si>
  <si>
    <t>https://github.com/VijayaBharti30/Sales_Analysis</t>
  </si>
  <si>
    <t>Sonu</t>
  </si>
  <si>
    <t>https://github.com/pushpendrach1919-dev/Online-course-Analysis-</t>
  </si>
  <si>
    <t>23EACCS938</t>
  </si>
  <si>
    <t>https://github.com/pushpendrach1919-dev/Sales-Analysis-</t>
  </si>
  <si>
    <t>https://github.com/ankesh0singh/Mini-project-3.git</t>
  </si>
  <si>
    <t>Shahid Abrar</t>
  </si>
  <si>
    <t>23EACCS908</t>
  </si>
  <si>
    <t>https://github.com/8890211441/Ecommerce-Sales-Dashboard</t>
  </si>
  <si>
    <t>https://github.com/manvendrasingh40/Grass_solution_project-s-</t>
  </si>
  <si>
    <t>https://github.com/manvendrasingh40/Blinkit-Dashboard-</t>
  </si>
  <si>
    <t>https://github.com/manish92111/mini_project_3_-Python-SQL-PowerBI-Assests</t>
  </si>
  <si>
    <t>https://github.com/manish92111/EdTech-Project</t>
  </si>
  <si>
    <t>https://github.com/kunalnogia2/GRRAS-POWER-BI-MINI-PROJECT.git</t>
  </si>
  <si>
    <t>https://github.com/kunalnogia2/Sales_Analysis_on_Power_BI-SQL</t>
  </si>
  <si>
    <t>23EACCA880</t>
  </si>
  <si>
    <t>https://github.com/vishal90372/Customer_data_analysis-Python-SQL-Power-BI-</t>
  </si>
  <si>
    <t>https://github.com/vishal90372/Online-_Course-_Analysis-Power-BI</t>
  </si>
  <si>
    <t>https://github.com/vishal90372/Sales-_Analysis-_on-_Power-BI-SQL</t>
  </si>
  <si>
    <t>https://github.com/Akshat25-tech/Customer_Behaviour_Analysis</t>
  </si>
  <si>
    <t>https://github.com/Akshat25-tech/Edtech-Courses-PowerBI-analysis</t>
  </si>
  <si>
    <t>23EACCE819</t>
  </si>
  <si>
    <t>https://github.com/Akshat25-tech/Sales_Analysis_On_PowerBI-SQL</t>
  </si>
  <si>
    <t>https://github.com/JyotiKumari253</t>
  </si>
  <si>
    <t>23EACCS196</t>
  </si>
  <si>
    <t>https://github.com/PRINCESHARMA05/Power-BI-Sales-Dashboard</t>
  </si>
  <si>
    <t>https://github.com/jaya874u/Comprehensive-Analysis-of-EdTech-Start-Ups-in-India</t>
  </si>
  <si>
    <t>https://github.com/jaya874u/Sales_Analysis_on_Power_BI-SQL-</t>
  </si>
  <si>
    <t>https://github.com/937msk/mini-proj3</t>
  </si>
  <si>
    <t>https://github.com/937msk/Online-Courses-Analytics-PowerBI</t>
  </si>
  <si>
    <t>https://github.com/937msk/Sales-Analysis-PBI</t>
  </si>
  <si>
    <t>https://github.com/Ajaytiwari-code/Online_course_PowerBI_project</t>
  </si>
  <si>
    <t>https://github.com/bhanupratap190506/Sales_Analysis_on_Power-BI-SQL</t>
  </si>
  <si>
    <t>https://github.com/Kun4l-old/Grras-Repo</t>
  </si>
  <si>
    <t>https://github.com/Kun4l-old/Sales-Analysis-Project-on-Power-BI-SQL</t>
  </si>
  <si>
    <t>https://github.com/kc448510/power-bi-project</t>
  </si>
  <si>
    <t>https://github.com/kashu157/Retail-Sales-Analysis-PowerBi</t>
  </si>
  <si>
    <t>https://github.com/web-by-DK/Retail-Customer-Purchase-Behavior-Revenue-Analytics</t>
  </si>
  <si>
    <t>https://github.com/web-by-DK/Power-Bi-Mini-Project</t>
  </si>
  <si>
    <t>https://github.com/nirajkumar822697/mini_project_3_Python-SQL-PowerBI_Assests</t>
  </si>
  <si>
    <t>https://github.com/nirajkumar822697/NIRAJKUMAR-EdTech-Project</t>
  </si>
  <si>
    <t>https://github.com/nirajkumar822697/Sales_Analysis_on_Power_BI_-SQL</t>
  </si>
  <si>
    <t>https://github.com/piyush-mishra9/Customer_Shopping_Behavior_Analysis</t>
  </si>
  <si>
    <t>https://github.com/piyush-mishra9/EdTech-PowerBI-Dashboard</t>
  </si>
  <si>
    <t>https://github.com/piyush-mishra9/Sales_Analysis_on_Power_BI-SQL</t>
  </si>
  <si>
    <t>https://github.com/snehakumary11-ui/Customer_Shopping_Behaviour_Analysis_Project</t>
  </si>
  <si>
    <t>https://github.com/snehakumary11-ui/Online_Courses_Analysis_Project</t>
  </si>
  <si>
    <t>https://github.com/snehakumary11-ui/Sales_analysis_on_Power_BI-SQL</t>
  </si>
  <si>
    <t>Abhishek Pareta</t>
  </si>
  <si>
    <t>23EACCA005</t>
  </si>
  <si>
    <t>Mohit Kumar</t>
  </si>
  <si>
    <t>233EACCS087</t>
  </si>
  <si>
    <t>23EACCS086 (OP)</t>
  </si>
  <si>
    <t xml:space="preserve">23EACCS197 </t>
  </si>
  <si>
    <t>23EACSS963</t>
  </si>
  <si>
    <t>23EAccs113</t>
  </si>
  <si>
    <t>23EACCS021 (OP)</t>
  </si>
  <si>
    <t>23EACS830</t>
  </si>
  <si>
    <t xml:space="preserve">23EACCS002 </t>
  </si>
  <si>
    <t>23EACAD0690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</si>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</sst>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mm-dd-yyyy"/>
    <numFmt numFmtId="166" formatCode="d"/>
  </numFmts>
  <fonts count="26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sz val="11.0"/>
      <color rgb="FF000000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1.0"/>
      <color theme="1"/>
      <name val="Arial"/>
    </font>
    <font/>
    <font>
      <color theme="1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sz val="11.0"/>
      <color theme="1"/>
      <name val="Aptos Narrow"/>
    </font>
    <font>
      <b/>
      <color rgb="FFFF0000"/>
      <name val="Arial"/>
    </font>
    <font>
      <sz val="11.0"/>
      <color theme="1"/>
      <name val="Arial"/>
    </font>
    <font>
      <color theme="1"/>
      <name val="Calibri"/>
    </font>
    <font>
      <b/>
      <sz val="11.0"/>
      <color rgb="FF000000"/>
      <name val="Calibri"/>
    </font>
    <font>
      <b/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FF99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left" vertical="center"/>
    </xf>
    <xf borderId="1" fillId="2" fontId="4" numFmtId="0" xfId="0" applyAlignment="1" applyBorder="1" applyFont="1">
      <alignment horizontal="center" vertical="center"/>
    </xf>
    <xf borderId="0" fillId="0" fontId="3" numFmtId="0" xfId="0" applyAlignment="1" applyFont="1">
      <alignment readingOrder="0" shrinkToFit="0" vertical="bottom" wrapText="0"/>
    </xf>
    <xf borderId="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bottom"/>
    </xf>
    <xf borderId="0" fillId="0" fontId="1" numFmtId="0" xfId="0" applyFont="1"/>
    <xf borderId="2" fillId="0" fontId="7" numFmtId="0" xfId="0" applyAlignment="1" applyBorder="1" applyFont="1">
      <alignment horizontal="left" vertical="center"/>
    </xf>
    <xf borderId="3" fillId="2" fontId="2" numFmtId="164" xfId="0" applyAlignment="1" applyBorder="1" applyFont="1" applyNumberFormat="1">
      <alignment horizontal="center" vertical="bottom"/>
    </xf>
    <xf borderId="4" fillId="3" fontId="8" numFmtId="0" xfId="0" applyAlignment="1" applyBorder="1" applyFill="1" applyFont="1">
      <alignment horizontal="center" readingOrder="0"/>
    </xf>
    <xf borderId="5" fillId="0" fontId="9" numFmtId="0" xfId="0" applyBorder="1" applyFont="1"/>
    <xf borderId="2" fillId="0" fontId="10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6" fillId="0" fontId="9" numFmtId="0" xfId="0" applyBorder="1" applyFont="1"/>
    <xf borderId="2" fillId="0" fontId="6" numFmtId="0" xfId="0" applyAlignment="1" applyBorder="1" applyFont="1">
      <alignment horizontal="left" readingOrder="0" vertical="center"/>
    </xf>
    <xf borderId="4" fillId="0" fontId="8" numFmtId="0" xfId="0" applyAlignment="1" applyBorder="1" applyFont="1">
      <alignment horizontal="center" readingOrder="0" shrinkToFit="0" vertical="top" wrapText="0"/>
    </xf>
    <xf borderId="4" fillId="0" fontId="1" numFmtId="0" xfId="0" applyAlignment="1" applyBorder="1" applyFont="1">
      <alignment horizontal="left" readingOrder="0" shrinkToFit="0" vertical="top" wrapText="0"/>
    </xf>
    <xf borderId="2" fillId="2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readingOrder="0" vertical="center"/>
    </xf>
    <xf borderId="7" fillId="0" fontId="9" numFmtId="0" xfId="0" applyBorder="1" applyFont="1"/>
    <xf borderId="2" fillId="0" fontId="10" numFmtId="165" xfId="0" applyAlignment="1" applyBorder="1" applyFont="1" applyNumberFormat="1">
      <alignment horizontal="center" readingOrder="0" vertical="center"/>
    </xf>
    <xf borderId="2" fillId="2" fontId="2" numFmtId="166" xfId="0" applyAlignment="1" applyBorder="1" applyFont="1" applyNumberFormat="1">
      <alignment horizontal="center" vertical="bottom"/>
    </xf>
    <xf borderId="3" fillId="0" fontId="2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/>
    </xf>
    <xf borderId="2" fillId="0" fontId="11" numFmtId="0" xfId="0" applyAlignment="1" applyBorder="1" applyFont="1">
      <alignment horizontal="center" vertical="center"/>
    </xf>
    <xf borderId="2" fillId="0" fontId="12" numFmtId="11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center" readingOrder="0"/>
    </xf>
    <xf borderId="2" fillId="2" fontId="2" numFmtId="166" xfId="0" applyAlignment="1" applyBorder="1" applyFont="1" applyNumberFormat="1">
      <alignment horizontal="center" vertical="center"/>
    </xf>
    <xf borderId="3" fillId="0" fontId="10" numFmtId="0" xfId="0" applyAlignment="1" applyBorder="1" applyFont="1">
      <alignment horizontal="center"/>
    </xf>
    <xf borderId="0" fillId="0" fontId="10" numFmtId="0" xfId="0" applyFont="1"/>
    <xf borderId="0" fillId="0" fontId="10" numFmtId="0" xfId="0" applyAlignment="1" applyFont="1">
      <alignment horizontal="center" readingOrder="0" vertical="center"/>
    </xf>
    <xf borderId="2" fillId="2" fontId="11" numFmtId="0" xfId="0" applyAlignment="1" applyBorder="1" applyFont="1">
      <alignment horizontal="center" readingOrder="0" vertical="center"/>
    </xf>
    <xf borderId="2" fillId="2" fontId="12" numFmtId="11" xfId="0" applyAlignment="1" applyBorder="1" applyFont="1" applyNumberFormat="1">
      <alignment horizontal="center" vertical="center"/>
    </xf>
    <xf borderId="8" fillId="0" fontId="9" numFmtId="0" xfId="0" applyBorder="1" applyFont="1"/>
    <xf borderId="2" fillId="2" fontId="2" numFmtId="164" xfId="0" applyAlignment="1" applyBorder="1" applyFont="1" applyNumberFormat="1">
      <alignment horizontal="center" vertical="bottom"/>
    </xf>
    <xf borderId="0" fillId="0" fontId="10" numFmtId="165" xfId="0" applyAlignment="1" applyFont="1" applyNumberFormat="1">
      <alignment horizontal="center" readingOrder="0" vertical="center"/>
    </xf>
    <xf borderId="2" fillId="0" fontId="12" numFmtId="0" xfId="0" applyAlignment="1" applyBorder="1" applyFont="1">
      <alignment horizontal="center" vertical="center"/>
    </xf>
    <xf borderId="2" fillId="2" fontId="2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2" fillId="2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vertical="center"/>
    </xf>
    <xf borderId="2" fillId="2" fontId="11" numFmtId="0" xfId="0" applyAlignment="1" applyBorder="1" applyFont="1">
      <alignment horizontal="center" vertical="center"/>
    </xf>
    <xf borderId="2" fillId="2" fontId="12" numFmtId="0" xfId="0" applyAlignment="1" applyBorder="1" applyFont="1">
      <alignment horizontal="center" readingOrder="0" vertical="center"/>
    </xf>
    <xf borderId="2" fillId="0" fontId="1" numFmtId="2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1" fillId="4" fontId="2" numFmtId="0" xfId="0" applyAlignment="1" applyBorder="1" applyFill="1" applyFont="1">
      <alignment horizontal="center" readingOrder="0" textRotation="255" vertical="center"/>
    </xf>
    <xf borderId="2" fillId="2" fontId="12" numFmtId="0" xfId="0" applyAlignment="1" applyBorder="1" applyFont="1">
      <alignment horizontal="center" vertical="center"/>
    </xf>
    <xf borderId="2" fillId="4" fontId="14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bottom"/>
    </xf>
    <xf borderId="2" fillId="0" fontId="15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/>
    </xf>
    <xf borderId="0" fillId="0" fontId="10" numFmtId="0" xfId="0" applyAlignment="1" applyFont="1">
      <alignment readingOrder="0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16" numFmtId="0" xfId="0" applyAlignment="1" applyBorder="1" applyFont="1">
      <alignment horizontal="center" readingOrder="0"/>
    </xf>
    <xf borderId="2" fillId="0" fontId="10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horizontal="center" vertical="bottom"/>
    </xf>
    <xf borderId="4" fillId="0" fontId="17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left" readingOrder="0" shrinkToFit="0" vertical="top" wrapText="0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1" fillId="0" fontId="18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readingOrder="0" vertical="center"/>
    </xf>
    <xf borderId="2" fillId="0" fontId="19" numFmtId="0" xfId="0" applyAlignment="1" applyBorder="1" applyFont="1">
      <alignment horizontal="left" readingOrder="0"/>
    </xf>
    <xf borderId="2" fillId="0" fontId="20" numFmtId="0" xfId="0" applyAlignment="1" applyBorder="1" applyFont="1">
      <alignment horizontal="left" readingOrder="0"/>
    </xf>
    <xf borderId="2" fillId="0" fontId="21" numFmtId="0" xfId="0" applyAlignment="1" applyBorder="1" applyFont="1">
      <alignment readingOrder="0"/>
    </xf>
    <xf borderId="2" fillId="0" fontId="22" numFmtId="0" xfId="0" applyAlignment="1" applyBorder="1" applyFont="1">
      <alignment readingOrder="0"/>
    </xf>
    <xf borderId="2" fillId="0" fontId="10" numFmtId="0" xfId="0" applyAlignment="1" applyBorder="1" applyFont="1">
      <alignment readingOrder="0"/>
    </xf>
    <xf borderId="2" fillId="0" fontId="10" numFmtId="0" xfId="0" applyAlignment="1" applyBorder="1" applyFont="1">
      <alignment horizontal="left" readingOrder="0"/>
    </xf>
    <xf borderId="2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readingOrder="0" vertical="bottom"/>
    </xf>
    <xf borderId="2" fillId="0" fontId="23" numFmtId="0" xfId="0" applyAlignment="1" applyBorder="1" applyFont="1">
      <alignment readingOrder="0"/>
    </xf>
    <xf borderId="2" fillId="0" fontId="24" numFmtId="0" xfId="0" applyAlignment="1" applyBorder="1" applyFont="1">
      <alignment readingOrder="0"/>
    </xf>
    <xf borderId="2" fillId="0" fontId="10" numFmtId="0" xfId="0" applyBorder="1" applyFont="1"/>
    <xf borderId="3" fillId="0" fontId="10" numFmtId="0" xfId="0" applyBorder="1" applyFont="1"/>
    <xf borderId="0" fillId="0" fontId="12" numFmtId="0" xfId="0" applyAlignment="1" applyFont="1">
      <alignment horizontal="center" vertical="center"/>
    </xf>
    <xf borderId="0" fillId="0" fontId="10" numFmtId="0" xfId="0" applyAlignment="1" applyFont="1">
      <alignment horizontal="center" readingOrder="0"/>
    </xf>
    <xf borderId="2" fillId="0" fontId="25" numFmtId="0" xfId="0" applyAlignment="1" applyBorder="1" applyFont="1">
      <alignment horizontal="center" readingOrder="0"/>
    </xf>
    <xf borderId="0" fillId="5" fontId="10" numFmtId="0" xfId="0" applyAlignment="1" applyFill="1" applyFont="1">
      <alignment horizontal="center" vertical="center"/>
    </xf>
    <xf borderId="0" fillId="5" fontId="12" numFmtId="0" xfId="0" applyAlignment="1" applyFont="1">
      <alignment horizontal="center" vertical="center"/>
    </xf>
    <xf borderId="0" fillId="5" fontId="10" numFmtId="0" xfId="0" applyFont="1"/>
    <xf borderId="0" fillId="5" fontId="10" numFmtId="0" xfId="0" applyAlignment="1" applyFont="1">
      <alignment horizontal="center"/>
    </xf>
    <xf borderId="0" fillId="5" fontId="10" numFmtId="0" xfId="0" applyAlignment="1" applyFont="1">
      <alignment vertical="center"/>
    </xf>
    <xf borderId="0" fillId="5" fontId="10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25" numFmtId="0" xfId="0" applyAlignment="1" applyFont="1">
      <alignment horizontal="center" readingOrder="0"/>
    </xf>
    <xf borderId="0" fillId="0" fontId="10" numFmtId="0" xfId="0" applyAlignment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Raunakbansal12/pbi-project-1-online-course-analysis" TargetMode="External"/><Relationship Id="rId42" Type="http://schemas.openxmlformats.org/officeDocument/2006/relationships/hyperlink" Target="https://github.com/Raunakbansal12/PBI-Project-3" TargetMode="External"/><Relationship Id="rId41" Type="http://schemas.openxmlformats.org/officeDocument/2006/relationships/hyperlink" Target="https://github.com/Raunakbansal12/pbi-project-2-sales-analysis" TargetMode="External"/><Relationship Id="rId44" Type="http://schemas.openxmlformats.org/officeDocument/2006/relationships/hyperlink" Target="https://github.com/vaishu1711/Sales_Analysis-on-PowerBI-SQL.git" TargetMode="External"/><Relationship Id="rId43" Type="http://schemas.openxmlformats.org/officeDocument/2006/relationships/hyperlink" Target="https://github.com/vaishu1711/Employee-Management-System.git" TargetMode="External"/><Relationship Id="rId46" Type="http://schemas.openxmlformats.org/officeDocument/2006/relationships/hyperlink" Target="https://github.com/Tanya1417/mini-project-" TargetMode="External"/><Relationship Id="rId45" Type="http://schemas.openxmlformats.org/officeDocument/2006/relationships/hyperlink" Target="https://github.com/vaishu1711/Mini-Project-Power-BI-SQL-Python-" TargetMode="External"/><Relationship Id="rId48" Type="http://schemas.openxmlformats.org/officeDocument/2006/relationships/hyperlink" Target="https://github.com/dipesh7891/Sales_Analysis_PowerBI" TargetMode="External"/><Relationship Id="rId47" Type="http://schemas.openxmlformats.org/officeDocument/2006/relationships/hyperlink" Target="https://github.com/dipesh7891/Powerbi-Mini-Project.git" TargetMode="External"/><Relationship Id="rId49" Type="http://schemas.openxmlformats.org/officeDocument/2006/relationships/hyperlink" Target="https://github.com/dipesh7891/customer-shopping-behavior-analysis.git" TargetMode="External"/><Relationship Id="rId102" Type="http://schemas.openxmlformats.org/officeDocument/2006/relationships/drawing" Target="../drawings/drawing5.xml"/><Relationship Id="rId101" Type="http://schemas.openxmlformats.org/officeDocument/2006/relationships/hyperlink" Target="https://github.com/snehakumary11-ui/Sales_analysis_on_Power_BI-SQL" TargetMode="External"/><Relationship Id="rId100" Type="http://schemas.openxmlformats.org/officeDocument/2006/relationships/hyperlink" Target="https://github.com/snehakumary11-ui/Online_Courses_Analysis_Project" TargetMode="External"/><Relationship Id="rId31" Type="http://schemas.openxmlformats.org/officeDocument/2006/relationships/hyperlink" Target="http://github.com/kartik12-abc/Power-Bi-Mini-Project-" TargetMode="External"/><Relationship Id="rId30" Type="http://schemas.openxmlformats.org/officeDocument/2006/relationships/hyperlink" Target="https://github.com/kartik12-abc/Power-Bi-Mini-Project-" TargetMode="External"/><Relationship Id="rId33" Type="http://schemas.openxmlformats.org/officeDocument/2006/relationships/hyperlink" Target="https://github.com/ashishrao504978/Sales_Analysis_on_Power_Bi-Sql" TargetMode="External"/><Relationship Id="rId32" Type="http://schemas.openxmlformats.org/officeDocument/2006/relationships/hyperlink" Target="https://github.com/ashishrao504978/Grras_Mini_Project-1" TargetMode="External"/><Relationship Id="rId35" Type="http://schemas.openxmlformats.org/officeDocument/2006/relationships/hyperlink" Target="https://github.com/NiteshKumarJat23/PowerBI_Sales_Insights_Dashboard" TargetMode="External"/><Relationship Id="rId34" Type="http://schemas.openxmlformats.org/officeDocument/2006/relationships/hyperlink" Target="https://github.com/NiteshKumarJat23/EdTech_Analysis_Project" TargetMode="External"/><Relationship Id="rId37" Type="http://schemas.openxmlformats.org/officeDocument/2006/relationships/hyperlink" Target="https://github.com/Piyushtundwal/Sales_Analysis_on_PowerBI-SQL" TargetMode="External"/><Relationship Id="rId36" Type="http://schemas.openxmlformats.org/officeDocument/2006/relationships/hyperlink" Target="https://github.com/Piyushtundwal/Power-BI-Project" TargetMode="External"/><Relationship Id="rId39" Type="http://schemas.openxmlformats.org/officeDocument/2006/relationships/hyperlink" Target="https://github.com/rahulmalhotra7396-art/Sales_Analaysis_project_on_power_bi" TargetMode="External"/><Relationship Id="rId38" Type="http://schemas.openxmlformats.org/officeDocument/2006/relationships/hyperlink" Target="https://github.com/rahulmalhotra7396-art/Online_Courses_analysis_project" TargetMode="External"/><Relationship Id="rId20" Type="http://schemas.openxmlformats.org/officeDocument/2006/relationships/hyperlink" Target="https://github.com/Aaryan-2004-Arora/Power_BI_mini_project1" TargetMode="External"/><Relationship Id="rId22" Type="http://schemas.openxmlformats.org/officeDocument/2006/relationships/hyperlink" Target="https://github.com/Aaryan-2004-Arora/Mini_project_3" TargetMode="External"/><Relationship Id="rId21" Type="http://schemas.openxmlformats.org/officeDocument/2006/relationships/hyperlink" Target="https://github.com/Aaryan-2004-Arora/Sales-Analysis-on-Power-BI-SQL" TargetMode="External"/><Relationship Id="rId24" Type="http://schemas.openxmlformats.org/officeDocument/2006/relationships/hyperlink" Target="https://github.com/Ritviz01/MINI_PROJECT__3" TargetMode="External"/><Relationship Id="rId23" Type="http://schemas.openxmlformats.org/officeDocument/2006/relationships/hyperlink" Target="https://github.com/Ritviz01/EdTech_Startup_Analysis_PowerBi_DashBoard" TargetMode="External"/><Relationship Id="rId26" Type="http://schemas.openxmlformats.org/officeDocument/2006/relationships/hyperlink" Target="https://github.com/Itzraviranjan123/Sales_Analysis_on_Power_BI-SQL" TargetMode="External"/><Relationship Id="rId25" Type="http://schemas.openxmlformats.org/officeDocument/2006/relationships/hyperlink" Target="https://github.com/Itzraviranjan123/EdTech_mini-Project" TargetMode="External"/><Relationship Id="rId28" Type="http://schemas.openxmlformats.org/officeDocument/2006/relationships/hyperlink" Target="https://github.com/priyanshu909095-rgb/-Power-Bi-Dashboard/blob/main/Grras%20Mini%20project%201.pbix" TargetMode="External"/><Relationship Id="rId27" Type="http://schemas.openxmlformats.org/officeDocument/2006/relationships/hyperlink" Target="https://github.com/Itzraviranjan123/Mini_project_3" TargetMode="External"/><Relationship Id="rId29" Type="http://schemas.openxmlformats.org/officeDocument/2006/relationships/hyperlink" Target="https://github.com/priyanshu909095-rgb/Sales_Analysis_on_PowerBI-SQL" TargetMode="External"/><Relationship Id="rId95" Type="http://schemas.openxmlformats.org/officeDocument/2006/relationships/hyperlink" Target="https://github.com/nirajkumar822697/Sales_Analysis_on_Power_BI_-SQL" TargetMode="External"/><Relationship Id="rId94" Type="http://schemas.openxmlformats.org/officeDocument/2006/relationships/hyperlink" Target="https://github.com/nirajkumar822697/NIRAJKUMAR-EdTech-Project" TargetMode="External"/><Relationship Id="rId97" Type="http://schemas.openxmlformats.org/officeDocument/2006/relationships/hyperlink" Target="https://github.com/piyush-mishra9/EdTech-PowerBI-Dashboard" TargetMode="External"/><Relationship Id="rId96" Type="http://schemas.openxmlformats.org/officeDocument/2006/relationships/hyperlink" Target="https://github.com/piyush-mishra9/Customer_Shopping_Behavior_Analysis" TargetMode="External"/><Relationship Id="rId11" Type="http://schemas.openxmlformats.org/officeDocument/2006/relationships/hyperlink" Target="https://github.com/kushwahRahul9809/Sales-Analysis-on-Power-Bi-SQl" TargetMode="External"/><Relationship Id="rId99" Type="http://schemas.openxmlformats.org/officeDocument/2006/relationships/hyperlink" Target="https://github.com/snehakumary11-ui/Customer_Shopping_Behaviour_Analysis_Project" TargetMode="External"/><Relationship Id="rId10" Type="http://schemas.openxmlformats.org/officeDocument/2006/relationships/hyperlink" Target="https://github.com/kushwahRahul9809/EDTECH-online-course-analysis" TargetMode="External"/><Relationship Id="rId98" Type="http://schemas.openxmlformats.org/officeDocument/2006/relationships/hyperlink" Target="https://github.com/piyush-mishra9/Sales_Analysis_on_Power_BI-SQL" TargetMode="External"/><Relationship Id="rId13" Type="http://schemas.openxmlformats.org/officeDocument/2006/relationships/hyperlink" Target="https://github.com/Rajan263/Million-Row-Retail-Sales-Database-Analysis" TargetMode="External"/><Relationship Id="rId12" Type="http://schemas.openxmlformats.org/officeDocument/2006/relationships/hyperlink" Target="https://github.com/kushwahRahul9809/Customer-Behavior-_Analysis" TargetMode="External"/><Relationship Id="rId91" Type="http://schemas.openxmlformats.org/officeDocument/2006/relationships/hyperlink" Target="https://github.com/web-by-DK/Retail-Customer-Purchase-Behavior-Revenue-Analytics" TargetMode="External"/><Relationship Id="rId90" Type="http://schemas.openxmlformats.org/officeDocument/2006/relationships/hyperlink" Target="https://github.com/kashu157/kashu157-MINI-PROJECT-POWERBI-GRRAS" TargetMode="External"/><Relationship Id="rId93" Type="http://schemas.openxmlformats.org/officeDocument/2006/relationships/hyperlink" Target="https://github.com/nirajkumar822697/mini_project_3_Python-SQL-PowerBI_Assests" TargetMode="External"/><Relationship Id="rId92" Type="http://schemas.openxmlformats.org/officeDocument/2006/relationships/hyperlink" Target="https://github.com/web-by-DK/Power-Bi-Mini-Project" TargetMode="External"/><Relationship Id="rId15" Type="http://schemas.openxmlformats.org/officeDocument/2006/relationships/hyperlink" Target="https://github.com/Rajan263/Customer_Shopping_Behavior_Analysis-" TargetMode="External"/><Relationship Id="rId14" Type="http://schemas.openxmlformats.org/officeDocument/2006/relationships/hyperlink" Target="https://github.com/Rajan263/Sales-Analysis-On-Power_BI-SQL" TargetMode="External"/><Relationship Id="rId17" Type="http://schemas.openxmlformats.org/officeDocument/2006/relationships/hyperlink" Target="https://github.com/JOHITKUMAR/EdTech-Project" TargetMode="External"/><Relationship Id="rId16" Type="http://schemas.openxmlformats.org/officeDocument/2006/relationships/hyperlink" Target="https://github.com/Sonalsingh9631" TargetMode="External"/><Relationship Id="rId19" Type="http://schemas.openxmlformats.org/officeDocument/2006/relationships/hyperlink" Target="https://github.com/JOHITKUMAR/MiniProject-3-SQL-PYTHON-POWER-BI-/tree/main" TargetMode="External"/><Relationship Id="rId18" Type="http://schemas.openxmlformats.org/officeDocument/2006/relationships/hyperlink" Target="https://github.com/JOHITKUMAR/Sales_Analysis_on_Power_Bi-SQL" TargetMode="External"/><Relationship Id="rId84" Type="http://schemas.openxmlformats.org/officeDocument/2006/relationships/hyperlink" Target="https://github.com/937msk/Online-Courses-Analytics-PowerBI" TargetMode="External"/><Relationship Id="rId83" Type="http://schemas.openxmlformats.org/officeDocument/2006/relationships/hyperlink" Target="https://github.com/937msk/MiniProject-POWER-BI-" TargetMode="External"/><Relationship Id="rId86" Type="http://schemas.openxmlformats.org/officeDocument/2006/relationships/hyperlink" Target="https://github.com/bhanupratap190506/Sales_Analysis_on_Power-BI-SQL" TargetMode="External"/><Relationship Id="rId85" Type="http://schemas.openxmlformats.org/officeDocument/2006/relationships/hyperlink" Target="https://github.com/Ajaytiwari-code/Online_course_PowerBI_project" TargetMode="External"/><Relationship Id="rId88" Type="http://schemas.openxmlformats.org/officeDocument/2006/relationships/hyperlink" Target="https://github.com/Kun4l-old/Sales-Analysis-Project-on-Power-BI-SQL" TargetMode="External"/><Relationship Id="rId87" Type="http://schemas.openxmlformats.org/officeDocument/2006/relationships/hyperlink" Target="https://github.com/Kun4l-old/Grras-Repo.git" TargetMode="External"/><Relationship Id="rId89" Type="http://schemas.openxmlformats.org/officeDocument/2006/relationships/hyperlink" Target="https://github.com/kc448510/power-bi-project" TargetMode="External"/><Relationship Id="rId80" Type="http://schemas.openxmlformats.org/officeDocument/2006/relationships/hyperlink" Target="https://github.com/jaya874u/Comprehensive-Analysis-of-EdTech-Start-Ups-in-India" TargetMode="External"/><Relationship Id="rId82" Type="http://schemas.openxmlformats.org/officeDocument/2006/relationships/hyperlink" Target="https://github.com/937msk/mini-proj3" TargetMode="External"/><Relationship Id="rId81" Type="http://schemas.openxmlformats.org/officeDocument/2006/relationships/hyperlink" Target="https://github.com/jaya874u/Sales_Analysis_on_Power_BI-SQL-" TargetMode="External"/><Relationship Id="rId1" Type="http://schemas.openxmlformats.org/officeDocument/2006/relationships/hyperlink" Target="https://github.com/sanyakhandelwal/edtech-powerbi-dashboard.zip" TargetMode="External"/><Relationship Id="rId2" Type="http://schemas.openxmlformats.org/officeDocument/2006/relationships/hyperlink" Target="https://github.com/sanyakhandelwal/Sales-Performance-Analysis_PowerBI-SQL" TargetMode="External"/><Relationship Id="rId3" Type="http://schemas.openxmlformats.org/officeDocument/2006/relationships/hyperlink" Target="https://github.com/sanyakhandelwal/customer-behavior-analytics" TargetMode="External"/><Relationship Id="rId4" Type="http://schemas.openxmlformats.org/officeDocument/2006/relationships/hyperlink" Target="https://github.com/Garimaspec123/Ed_tech_MiniPowerbi_PROJECT" TargetMode="External"/><Relationship Id="rId9" Type="http://schemas.openxmlformats.org/officeDocument/2006/relationships/hyperlink" Target="https://github.com/rheagandhi01/Sales_Analysis_on-_power_BI" TargetMode="External"/><Relationship Id="rId5" Type="http://schemas.openxmlformats.org/officeDocument/2006/relationships/hyperlink" Target="https://github.com/Garimaspec123/Sales_Analysis_on_POWERBI-SQL" TargetMode="External"/><Relationship Id="rId6" Type="http://schemas.openxmlformats.org/officeDocument/2006/relationships/hyperlink" Target="https://github.com/Deepesh1209/EdTech-Courses-Analysis-PowerBI" TargetMode="External"/><Relationship Id="rId7" Type="http://schemas.openxmlformats.org/officeDocument/2006/relationships/hyperlink" Target="https://github.com/Deepesh1209/apple-sales-analysis-postgresql" TargetMode="External"/><Relationship Id="rId8" Type="http://schemas.openxmlformats.org/officeDocument/2006/relationships/hyperlink" Target="https://github.com/Deepesh1209/EdTech-Courses-Analysis-PowerBI" TargetMode="External"/><Relationship Id="rId73" Type="http://schemas.openxmlformats.org/officeDocument/2006/relationships/hyperlink" Target="https://github.com/Akshat25-tech/Customer_Behaviour_Analysis" TargetMode="External"/><Relationship Id="rId72" Type="http://schemas.openxmlformats.org/officeDocument/2006/relationships/hyperlink" Target="https://github.com/vishal90372/Sales-_Analysis-_on-_Power-BI-SQL" TargetMode="External"/><Relationship Id="rId75" Type="http://schemas.openxmlformats.org/officeDocument/2006/relationships/hyperlink" Target="https://github.com/Akshat25-tech/Sales_Analysis_On_PowerBI-SQL" TargetMode="External"/><Relationship Id="rId74" Type="http://schemas.openxmlformats.org/officeDocument/2006/relationships/hyperlink" Target="https://github.com/Akshat25-tech/Edtech-Courses-PowerBI-analysis" TargetMode="External"/><Relationship Id="rId77" Type="http://schemas.openxmlformats.org/officeDocument/2006/relationships/hyperlink" Target="https://github.com/JyotiKumari253" TargetMode="External"/><Relationship Id="rId76" Type="http://schemas.openxmlformats.org/officeDocument/2006/relationships/hyperlink" Target="https://github.com/JyotiKumari253" TargetMode="External"/><Relationship Id="rId79" Type="http://schemas.openxmlformats.org/officeDocument/2006/relationships/hyperlink" Target="https://github.com/PRINCESHARMA05/Power-BI-Sales-Dashboard" TargetMode="External"/><Relationship Id="rId78" Type="http://schemas.openxmlformats.org/officeDocument/2006/relationships/hyperlink" Target="https://github.com/payal187/Sales_Analysis_on_Power_BI-SQL" TargetMode="External"/><Relationship Id="rId71" Type="http://schemas.openxmlformats.org/officeDocument/2006/relationships/hyperlink" Target="https://github.com/vishal90372/Online-_Course-_Analysis-Power-BI" TargetMode="External"/><Relationship Id="rId70" Type="http://schemas.openxmlformats.org/officeDocument/2006/relationships/hyperlink" Target="https://github.com/vishal90372/Customer_data_analysis-Python-SQL-Power-BI-" TargetMode="External"/><Relationship Id="rId62" Type="http://schemas.openxmlformats.org/officeDocument/2006/relationships/hyperlink" Target="https://github.com/8890211441/Ecommerce-Sales-Dashboard" TargetMode="External"/><Relationship Id="rId61" Type="http://schemas.openxmlformats.org/officeDocument/2006/relationships/hyperlink" Target="https://github.com/ankesh0singh/Mini-project-3.git" TargetMode="External"/><Relationship Id="rId64" Type="http://schemas.openxmlformats.org/officeDocument/2006/relationships/hyperlink" Target="https://github.com/manvendrasingh40/Blinkit-Dashboard-" TargetMode="External"/><Relationship Id="rId63" Type="http://schemas.openxmlformats.org/officeDocument/2006/relationships/hyperlink" Target="https://github.com/manvendrasingh40/Grass_solution_project-s-" TargetMode="External"/><Relationship Id="rId66" Type="http://schemas.openxmlformats.org/officeDocument/2006/relationships/hyperlink" Target="https://github.com/manish92111/mini_project_3_-Python-SQL-PowerBI-Assests" TargetMode="External"/><Relationship Id="rId65" Type="http://schemas.openxmlformats.org/officeDocument/2006/relationships/hyperlink" Target="https://github.com/manvendrasingh40/Blinkit-Dashboard-" TargetMode="External"/><Relationship Id="rId68" Type="http://schemas.openxmlformats.org/officeDocument/2006/relationships/hyperlink" Target="https://github.com/kunalnogia2/GRRAS-POWER-BI-MINI-PROJECT.git" TargetMode="External"/><Relationship Id="rId67" Type="http://schemas.openxmlformats.org/officeDocument/2006/relationships/hyperlink" Target="https://github.com/manish92111/EdTech-Project" TargetMode="External"/><Relationship Id="rId60" Type="http://schemas.openxmlformats.org/officeDocument/2006/relationships/hyperlink" Target="https://github.com/pushpendrach1919-dev/Sales-Analysis-" TargetMode="External"/><Relationship Id="rId69" Type="http://schemas.openxmlformats.org/officeDocument/2006/relationships/hyperlink" Target="https://github.com/kunalnogia2/Sales_Analysis_on_Power_BI-SQL" TargetMode="External"/><Relationship Id="rId51" Type="http://schemas.openxmlformats.org/officeDocument/2006/relationships/hyperlink" Target="https://github.com/anuj12533/Sales-Analysis-On-Power_BI-SQL" TargetMode="External"/><Relationship Id="rId50" Type="http://schemas.openxmlformats.org/officeDocument/2006/relationships/hyperlink" Target="https://github.com/anuj12533/EdTech-Online-Course-Analysis-Dashboard" TargetMode="External"/><Relationship Id="rId53" Type="http://schemas.openxmlformats.org/officeDocument/2006/relationships/hyperlink" Target="https://github.com/payal187/Customer_shopping_Behavior" TargetMode="External"/><Relationship Id="rId52" Type="http://schemas.openxmlformats.org/officeDocument/2006/relationships/hyperlink" Target="https://github.com/anuj12533/mini-project-3" TargetMode="External"/><Relationship Id="rId55" Type="http://schemas.openxmlformats.org/officeDocument/2006/relationships/hyperlink" Target="https://github.com/payal187/Sales_Analysis_on_Power_BI-SQL" TargetMode="External"/><Relationship Id="rId54" Type="http://schemas.openxmlformats.org/officeDocument/2006/relationships/hyperlink" Target="https://github.com/payal187/Online-_Course-_Analysis" TargetMode="External"/><Relationship Id="rId57" Type="http://schemas.openxmlformats.org/officeDocument/2006/relationships/hyperlink" Target="https://github.com/VijayaBharti30/Edtech-Startup-Analysis" TargetMode="External"/><Relationship Id="rId56" Type="http://schemas.openxmlformats.org/officeDocument/2006/relationships/hyperlink" Target="https://github.com/VijayaBharti30/Customer_Shopping_Analysis" TargetMode="External"/><Relationship Id="rId59" Type="http://schemas.openxmlformats.org/officeDocument/2006/relationships/hyperlink" Target="https://github.com/pushpendrach1919-dev/Online-course-Analysis-" TargetMode="External"/><Relationship Id="rId58" Type="http://schemas.openxmlformats.org/officeDocument/2006/relationships/hyperlink" Target="https://github.com/VijayaBharti30/Sales_Analys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5.13"/>
    <col customWidth="1" min="2" max="2" width="21.88"/>
    <col customWidth="1" min="3" max="3" width="12.88"/>
    <col customWidth="1" min="4" max="4" width="13.63"/>
    <col customWidth="1" min="5" max="5" width="11.38"/>
    <col customWidth="1" min="6" max="6" width="10.25"/>
    <col customWidth="1" min="7" max="7" width="16.63"/>
    <col customWidth="1" min="8" max="8" width="8.38"/>
    <col customWidth="1" min="9" max="9" width="3.88"/>
    <col customWidth="1" min="10" max="10" width="12.25"/>
    <col customWidth="1" min="11" max="11" width="7.63"/>
    <col customWidth="1" min="12" max="12" width="11.38"/>
    <col customWidth="1" min="13" max="13" width="8.63"/>
    <col customWidth="1" min="14" max="14" width="4.88"/>
    <col customWidth="1" min="15" max="15" width="7.88"/>
    <col customWidth="1" min="16" max="16" width="11.13"/>
    <col customWidth="1" min="17" max="17" width="7.25"/>
    <col customWidth="1" min="18" max="18" width="9.0"/>
    <col customWidth="1" min="19" max="19" width="8.38"/>
    <col customWidth="1" min="20" max="20" width="8.63"/>
    <col customWidth="1" min="21" max="21" width="5.63"/>
    <col customWidth="1" min="22" max="22" width="5.0"/>
    <col customWidth="1" min="23" max="23" width="8.38"/>
    <col customWidth="1" min="24" max="24" width="6.75"/>
    <col customWidth="1" min="25" max="25" width="5.75"/>
    <col customWidth="1" min="26" max="26" width="3.38"/>
    <col customWidth="1" min="27" max="27" width="4.25"/>
    <col customWidth="1" min="28" max="28" width="4.13"/>
    <col customWidth="1" min="29" max="29" width="4.5"/>
    <col customWidth="1" min="30" max="30" width="10.38"/>
    <col customWidth="1" min="31" max="34" width="11.38"/>
    <col customWidth="1" min="35" max="35" width="4.13"/>
    <col customWidth="1" min="36" max="36" width="11.38"/>
    <col customWidth="1" min="37" max="37" width="10.88"/>
    <col customWidth="1" min="38" max="39" width="6.63"/>
    <col customWidth="1" min="40" max="40" width="6.25"/>
    <col customWidth="1" min="41" max="41" width="6.38"/>
    <col customWidth="1" min="42" max="42" width="4.13"/>
    <col customWidth="1" min="43" max="43" width="4.38"/>
    <col customWidth="1" min="44" max="44" width="3.88"/>
    <col customWidth="1" min="45" max="45" width="8.5"/>
    <col customWidth="1" min="46" max="46" width="7.25"/>
    <col customWidth="1" min="47" max="48" width="4.75"/>
    <col customWidth="1" min="49" max="49" width="4.13"/>
    <col customWidth="1" min="50" max="50" width="4.38"/>
    <col customWidth="1" min="51" max="51" width="3.88"/>
    <col customWidth="1" min="52" max="52" width="4.5"/>
    <col customWidth="1" min="53" max="53" width="4.0"/>
    <col customWidth="1" min="54" max="54" width="3.13"/>
    <col customWidth="1" min="55" max="55" width="3.63"/>
    <col customWidth="1" min="56" max="56" width="4.13"/>
    <col customWidth="1" min="57" max="57" width="4.38"/>
    <col customWidth="1" min="58" max="58" width="3.88"/>
    <col customWidth="1" min="59" max="59" width="4.5"/>
    <col customWidth="1" min="60" max="60" width="4.0"/>
    <col customWidth="1" min="61" max="61" width="3.13"/>
    <col customWidth="1" min="62" max="62" width="3.63"/>
    <col customWidth="1" min="63" max="63" width="4.13"/>
    <col customWidth="1" min="64" max="64" width="4.38"/>
    <col customWidth="1" min="65" max="65" width="3.88"/>
    <col customWidth="1" min="66" max="66" width="4.5"/>
    <col customWidth="1" min="67" max="67" width="4.0"/>
    <col customWidth="1" min="68" max="68" width="3.13"/>
    <col customWidth="1" min="69" max="69" width="3.63"/>
    <col customWidth="1" min="70" max="70" width="4.13"/>
    <col customWidth="1" min="71" max="71" width="4.38"/>
    <col customWidth="1" min="72" max="72" width="3.88"/>
    <col customWidth="1" min="73" max="73" width="4.5"/>
    <col customWidth="1" min="74" max="74" width="4.0"/>
  </cols>
  <sheetData>
    <row r="1">
      <c r="A1" s="4" t="s">
        <v>0</v>
      </c>
      <c r="B1" s="4" t="s">
        <v>2</v>
      </c>
      <c r="C1" s="9" t="s">
        <v>3</v>
      </c>
      <c r="D1" s="4" t="s">
        <v>6</v>
      </c>
      <c r="E1" s="4" t="s">
        <v>8</v>
      </c>
      <c r="F1" s="4" t="s">
        <v>10</v>
      </c>
      <c r="G1" s="4" t="s">
        <v>12</v>
      </c>
      <c r="H1" s="15">
        <v>46143.0</v>
      </c>
      <c r="I1" s="17"/>
      <c r="J1" s="17"/>
      <c r="K1" s="17"/>
      <c r="L1" s="17"/>
      <c r="M1" s="17"/>
      <c r="N1" s="20"/>
      <c r="O1" s="15">
        <v>46174.0</v>
      </c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20"/>
      <c r="AS1" s="15">
        <v>46204.0</v>
      </c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20"/>
    </row>
    <row r="2">
      <c r="A2" s="29"/>
      <c r="B2" s="29"/>
      <c r="C2" s="29"/>
      <c r="D2" s="29"/>
      <c r="E2" s="29"/>
      <c r="F2" s="29"/>
      <c r="G2" s="29"/>
      <c r="H2" s="31">
        <v>46167.0</v>
      </c>
      <c r="I2" s="31">
        <v>46168.0</v>
      </c>
      <c r="J2" s="31">
        <v>46169.0</v>
      </c>
      <c r="K2" s="31">
        <v>46170.0</v>
      </c>
      <c r="L2" s="31">
        <v>46171.0</v>
      </c>
      <c r="M2" s="31">
        <v>46172.0</v>
      </c>
      <c r="N2" s="31">
        <v>46173.0</v>
      </c>
      <c r="O2" s="31">
        <v>46174.0</v>
      </c>
      <c r="P2" s="31">
        <v>46175.0</v>
      </c>
      <c r="Q2" s="31">
        <v>46176.0</v>
      </c>
      <c r="R2" s="31">
        <v>46177.0</v>
      </c>
      <c r="S2" s="31">
        <v>46178.0</v>
      </c>
      <c r="T2" s="31">
        <v>46179.0</v>
      </c>
      <c r="U2" s="31">
        <v>46180.0</v>
      </c>
      <c r="V2" s="31">
        <v>46181.0</v>
      </c>
      <c r="W2" s="31">
        <v>46182.0</v>
      </c>
      <c r="X2" s="31">
        <v>46183.0</v>
      </c>
      <c r="Y2" s="31">
        <v>46184.0</v>
      </c>
      <c r="Z2" s="31">
        <v>46185.0</v>
      </c>
      <c r="AA2" s="31">
        <v>46186.0</v>
      </c>
      <c r="AB2" s="31">
        <v>46187.0</v>
      </c>
      <c r="AC2" s="31">
        <v>46188.0</v>
      </c>
      <c r="AD2" s="31">
        <v>46189.0</v>
      </c>
      <c r="AE2" s="31">
        <v>46190.0</v>
      </c>
      <c r="AF2" s="31">
        <v>46191.0</v>
      </c>
      <c r="AG2" s="31">
        <v>46192.0</v>
      </c>
      <c r="AH2" s="37">
        <v>46193.0</v>
      </c>
      <c r="AI2" s="31">
        <v>46194.0</v>
      </c>
      <c r="AJ2" s="37">
        <v>46195.0</v>
      </c>
      <c r="AK2" s="37">
        <v>46196.0</v>
      </c>
      <c r="AL2" s="37">
        <v>46197.0</v>
      </c>
      <c r="AM2" s="37">
        <v>46198.0</v>
      </c>
      <c r="AN2" s="37">
        <v>46199.0</v>
      </c>
      <c r="AO2" s="31">
        <v>46200.0</v>
      </c>
      <c r="AP2" s="37">
        <v>46201.0</v>
      </c>
      <c r="AQ2" s="31">
        <v>46202.0</v>
      </c>
      <c r="AR2" s="31">
        <v>46203.0</v>
      </c>
      <c r="AS2" s="31">
        <v>46204.0</v>
      </c>
      <c r="AT2" s="31">
        <v>46205.0</v>
      </c>
      <c r="AU2" s="31">
        <v>46206.0</v>
      </c>
      <c r="AV2" s="31">
        <v>46207.0</v>
      </c>
      <c r="AW2" s="31">
        <v>46208.0</v>
      </c>
      <c r="AX2" s="31">
        <v>46209.0</v>
      </c>
      <c r="AY2" s="31">
        <v>46210.0</v>
      </c>
      <c r="AZ2" s="31">
        <v>46211.0</v>
      </c>
      <c r="BA2" s="31">
        <v>46212.0</v>
      </c>
      <c r="BB2" s="31">
        <v>46213.0</v>
      </c>
      <c r="BC2" s="31">
        <v>46214.0</v>
      </c>
      <c r="BD2" s="31">
        <v>46215.0</v>
      </c>
      <c r="BE2" s="31">
        <v>46216.0</v>
      </c>
      <c r="BF2" s="31">
        <v>46217.0</v>
      </c>
      <c r="BG2" s="31">
        <v>46218.0</v>
      </c>
      <c r="BH2" s="31">
        <v>46219.0</v>
      </c>
      <c r="BI2" s="31">
        <v>46220.0</v>
      </c>
      <c r="BJ2" s="31">
        <v>46221.0</v>
      </c>
      <c r="BK2" s="31">
        <v>46222.0</v>
      </c>
      <c r="BL2" s="31">
        <v>46223.0</v>
      </c>
      <c r="BM2" s="31">
        <v>46224.0</v>
      </c>
      <c r="BN2" s="31">
        <v>46225.0</v>
      </c>
      <c r="BO2" s="31">
        <v>46226.0</v>
      </c>
      <c r="BP2" s="31">
        <v>46227.0</v>
      </c>
      <c r="BQ2" s="31">
        <v>46228.0</v>
      </c>
      <c r="BR2" s="31">
        <v>46229.0</v>
      </c>
      <c r="BS2" s="31">
        <v>46230.0</v>
      </c>
      <c r="BT2" s="31">
        <v>46231.0</v>
      </c>
      <c r="BU2" s="31">
        <v>46232.0</v>
      </c>
      <c r="BV2" s="31">
        <v>46233.0</v>
      </c>
    </row>
    <row r="3">
      <c r="A3" s="43"/>
      <c r="B3" s="43"/>
      <c r="C3" s="43"/>
      <c r="D3" s="43"/>
      <c r="E3" s="43"/>
      <c r="F3" s="43"/>
      <c r="G3" s="43"/>
      <c r="H3" s="44" t="str">
        <f t="shared" ref="H3:AV3" si="1">TEXT(H2,"ddd")</f>
        <v>Mon</v>
      </c>
      <c r="I3" s="44" t="str">
        <f t="shared" si="1"/>
        <v>Tue</v>
      </c>
      <c r="J3" s="44" t="str">
        <f t="shared" si="1"/>
        <v>Wed</v>
      </c>
      <c r="K3" s="44" t="str">
        <f t="shared" si="1"/>
        <v>Thu</v>
      </c>
      <c r="L3" s="44" t="str">
        <f t="shared" si="1"/>
        <v>Fri</v>
      </c>
      <c r="M3" s="44" t="str">
        <f t="shared" si="1"/>
        <v>Sat</v>
      </c>
      <c r="N3" s="44" t="str">
        <f t="shared" si="1"/>
        <v>Sun</v>
      </c>
      <c r="O3" s="44" t="str">
        <f t="shared" si="1"/>
        <v>Mon</v>
      </c>
      <c r="P3" s="44" t="str">
        <f t="shared" si="1"/>
        <v>Tue</v>
      </c>
      <c r="Q3" s="44" t="str">
        <f t="shared" si="1"/>
        <v>Wed</v>
      </c>
      <c r="R3" s="44" t="str">
        <f t="shared" si="1"/>
        <v>Thu</v>
      </c>
      <c r="S3" s="44" t="str">
        <f t="shared" si="1"/>
        <v>Fri</v>
      </c>
      <c r="T3" s="44" t="str">
        <f t="shared" si="1"/>
        <v>Sat</v>
      </c>
      <c r="U3" s="44" t="str">
        <f t="shared" si="1"/>
        <v>Sun</v>
      </c>
      <c r="V3" s="44" t="str">
        <f t="shared" si="1"/>
        <v>Mon</v>
      </c>
      <c r="W3" s="44" t="str">
        <f t="shared" si="1"/>
        <v>Tue</v>
      </c>
      <c r="X3" s="44" t="str">
        <f t="shared" si="1"/>
        <v>Wed</v>
      </c>
      <c r="Y3" s="44" t="str">
        <f t="shared" si="1"/>
        <v>Thu</v>
      </c>
      <c r="Z3" s="44" t="str">
        <f t="shared" si="1"/>
        <v>Fri</v>
      </c>
      <c r="AA3" s="44" t="str">
        <f t="shared" si="1"/>
        <v>Sat</v>
      </c>
      <c r="AB3" s="44" t="str">
        <f t="shared" si="1"/>
        <v>Sun</v>
      </c>
      <c r="AC3" s="44" t="str">
        <f t="shared" si="1"/>
        <v>Mon</v>
      </c>
      <c r="AD3" s="44" t="str">
        <f t="shared" si="1"/>
        <v>Tue</v>
      </c>
      <c r="AE3" s="44" t="str">
        <f t="shared" si="1"/>
        <v>Wed</v>
      </c>
      <c r="AF3" s="44" t="str">
        <f t="shared" si="1"/>
        <v>Thu</v>
      </c>
      <c r="AG3" s="44" t="str">
        <f t="shared" si="1"/>
        <v>Fri</v>
      </c>
      <c r="AH3" s="47" t="str">
        <f t="shared" si="1"/>
        <v>Sat</v>
      </c>
      <c r="AI3" s="44" t="str">
        <f t="shared" si="1"/>
        <v>Sun</v>
      </c>
      <c r="AJ3" s="47" t="str">
        <f t="shared" si="1"/>
        <v>Mon</v>
      </c>
      <c r="AK3" s="47" t="str">
        <f t="shared" si="1"/>
        <v>Tue</v>
      </c>
      <c r="AL3" s="47" t="str">
        <f t="shared" si="1"/>
        <v>Wed</v>
      </c>
      <c r="AM3" s="47" t="str">
        <f t="shared" si="1"/>
        <v>Thu</v>
      </c>
      <c r="AN3" s="47" t="str">
        <f t="shared" si="1"/>
        <v>Fri</v>
      </c>
      <c r="AO3" s="44" t="str">
        <f t="shared" si="1"/>
        <v>Sat</v>
      </c>
      <c r="AP3" s="47" t="str">
        <f t="shared" si="1"/>
        <v>Sun</v>
      </c>
      <c r="AQ3" s="44" t="str">
        <f t="shared" si="1"/>
        <v>Mon</v>
      </c>
      <c r="AR3" s="44" t="str">
        <f t="shared" si="1"/>
        <v>Tue</v>
      </c>
      <c r="AS3" s="44" t="str">
        <f t="shared" si="1"/>
        <v>Wed</v>
      </c>
      <c r="AT3" s="44" t="str">
        <f t="shared" si="1"/>
        <v>Thu</v>
      </c>
      <c r="AU3" s="44" t="str">
        <f t="shared" si="1"/>
        <v>Fri</v>
      </c>
      <c r="AV3" s="44" t="str">
        <f t="shared" si="1"/>
        <v>Sat</v>
      </c>
      <c r="AW3" s="49" t="s">
        <v>184</v>
      </c>
      <c r="AX3" s="44" t="str">
        <f t="shared" ref="AX3:BV3" si="2">TEXT(AX2,"ddd")</f>
        <v>Mon</v>
      </c>
      <c r="AY3" s="44" t="str">
        <f t="shared" si="2"/>
        <v>Tue</v>
      </c>
      <c r="AZ3" s="44" t="str">
        <f t="shared" si="2"/>
        <v>Wed</v>
      </c>
      <c r="BA3" s="44" t="str">
        <f t="shared" si="2"/>
        <v>Thu</v>
      </c>
      <c r="BB3" s="44" t="str">
        <f t="shared" si="2"/>
        <v>Fri</v>
      </c>
      <c r="BC3" s="44" t="str">
        <f t="shared" si="2"/>
        <v>Sat</v>
      </c>
      <c r="BD3" s="44" t="str">
        <f t="shared" si="2"/>
        <v>Sun</v>
      </c>
      <c r="BE3" s="44" t="str">
        <f t="shared" si="2"/>
        <v>Mon</v>
      </c>
      <c r="BF3" s="44" t="str">
        <f t="shared" si="2"/>
        <v>Tue</v>
      </c>
      <c r="BG3" s="44" t="str">
        <f t="shared" si="2"/>
        <v>Wed</v>
      </c>
      <c r="BH3" s="44" t="str">
        <f t="shared" si="2"/>
        <v>Thu</v>
      </c>
      <c r="BI3" s="44" t="str">
        <f t="shared" si="2"/>
        <v>Fri</v>
      </c>
      <c r="BJ3" s="44" t="str">
        <f t="shared" si="2"/>
        <v>Sat</v>
      </c>
      <c r="BK3" s="44" t="str">
        <f t="shared" si="2"/>
        <v>Sun</v>
      </c>
      <c r="BL3" s="44" t="str">
        <f t="shared" si="2"/>
        <v>Mon</v>
      </c>
      <c r="BM3" s="44" t="str">
        <f t="shared" si="2"/>
        <v>Tue</v>
      </c>
      <c r="BN3" s="44" t="str">
        <f t="shared" si="2"/>
        <v>Wed</v>
      </c>
      <c r="BO3" s="44" t="str">
        <f t="shared" si="2"/>
        <v>Thu</v>
      </c>
      <c r="BP3" s="44" t="str">
        <f t="shared" si="2"/>
        <v>Fri</v>
      </c>
      <c r="BQ3" s="44" t="str">
        <f t="shared" si="2"/>
        <v>Sat</v>
      </c>
      <c r="BR3" s="44" t="str">
        <f t="shared" si="2"/>
        <v>Sun</v>
      </c>
      <c r="BS3" s="44" t="str">
        <f t="shared" si="2"/>
        <v>Mon</v>
      </c>
      <c r="BT3" s="44" t="str">
        <f t="shared" si="2"/>
        <v>Tue</v>
      </c>
      <c r="BU3" s="44" t="str">
        <f t="shared" si="2"/>
        <v>Wed</v>
      </c>
      <c r="BV3" s="44" t="str">
        <f t="shared" si="2"/>
        <v>Thu</v>
      </c>
    </row>
    <row r="4" ht="19.5" customHeight="1" outlineLevel="1">
      <c r="A4" s="50">
        <v>1.0</v>
      </c>
      <c r="B4" s="51" t="s">
        <v>204</v>
      </c>
      <c r="C4" s="46" t="s">
        <v>206</v>
      </c>
      <c r="D4" s="33">
        <f t="shared" ref="D4:D80" si="3">COUNTIF(H4:BV4,"p") + COUNTIF(H4:BV4,"op")</f>
        <v>48</v>
      </c>
      <c r="E4" s="33">
        <f t="shared" ref="E4:E80" si="4">COUNTIF(H4:BV4,"A") + COUNTIF(H4:BV4,"oA")</f>
        <v>0</v>
      </c>
      <c r="F4" s="33">
        <f t="shared" ref="F4:F80" si="5">E4+D4</f>
        <v>48</v>
      </c>
      <c r="G4" s="54">
        <f t="shared" ref="G4:G80" si="6">(D4/F4)*100</f>
        <v>100</v>
      </c>
      <c r="H4" s="55" t="s">
        <v>221</v>
      </c>
      <c r="I4" s="55" t="s">
        <v>221</v>
      </c>
      <c r="J4" s="55" t="s">
        <v>221</v>
      </c>
      <c r="K4" s="55" t="s">
        <v>221</v>
      </c>
      <c r="L4" s="55" t="s">
        <v>221</v>
      </c>
      <c r="M4" s="55" t="s">
        <v>221</v>
      </c>
      <c r="N4" s="56" t="s">
        <v>225</v>
      </c>
      <c r="O4" s="55" t="s">
        <v>221</v>
      </c>
      <c r="P4" s="55" t="s">
        <v>221</v>
      </c>
      <c r="Q4" s="55" t="s">
        <v>221</v>
      </c>
      <c r="R4" s="55" t="s">
        <v>221</v>
      </c>
      <c r="S4" s="55" t="s">
        <v>221</v>
      </c>
      <c r="T4" s="50" t="s">
        <v>221</v>
      </c>
      <c r="U4" s="56" t="s">
        <v>225</v>
      </c>
      <c r="V4" s="50" t="s">
        <v>221</v>
      </c>
      <c r="W4" s="50" t="s">
        <v>221</v>
      </c>
      <c r="X4" s="50" t="s">
        <v>221</v>
      </c>
      <c r="Y4" s="50" t="s">
        <v>221</v>
      </c>
      <c r="Z4" s="50" t="s">
        <v>221</v>
      </c>
      <c r="AA4" s="50" t="s">
        <v>221</v>
      </c>
      <c r="AB4" s="56" t="s">
        <v>225</v>
      </c>
      <c r="AC4" s="50" t="s">
        <v>221</v>
      </c>
      <c r="AD4" s="50" t="s">
        <v>221</v>
      </c>
      <c r="AE4" s="55" t="s">
        <v>221</v>
      </c>
      <c r="AF4" s="55" t="s">
        <v>221</v>
      </c>
      <c r="AG4" s="55" t="s">
        <v>221</v>
      </c>
      <c r="AH4" s="50" t="s">
        <v>221</v>
      </c>
      <c r="AI4" s="56" t="s">
        <v>225</v>
      </c>
      <c r="AJ4" s="50" t="s">
        <v>221</v>
      </c>
      <c r="AK4" s="50" t="s">
        <v>221</v>
      </c>
      <c r="AL4" s="50" t="s">
        <v>221</v>
      </c>
      <c r="AM4" s="50" t="s">
        <v>221</v>
      </c>
      <c r="AN4" s="50" t="s">
        <v>221</v>
      </c>
      <c r="AO4" s="55" t="s">
        <v>221</v>
      </c>
      <c r="AP4" s="56" t="s">
        <v>225</v>
      </c>
      <c r="AQ4" s="55" t="s">
        <v>221</v>
      </c>
      <c r="AR4" s="55" t="s">
        <v>221</v>
      </c>
      <c r="AS4" s="55" t="s">
        <v>221</v>
      </c>
      <c r="AT4" s="55" t="s">
        <v>221</v>
      </c>
      <c r="AU4" s="55" t="s">
        <v>221</v>
      </c>
      <c r="AV4" s="55" t="s">
        <v>221</v>
      </c>
      <c r="AW4" s="58" t="str">
        <f>TEXT(AW3,"ddd")</f>
        <v>Sun</v>
      </c>
      <c r="AX4" s="55" t="s">
        <v>221</v>
      </c>
      <c r="AY4" s="55" t="s">
        <v>221</v>
      </c>
      <c r="AZ4" s="55" t="s">
        <v>221</v>
      </c>
      <c r="BA4" s="55" t="s">
        <v>221</v>
      </c>
      <c r="BB4" s="55" t="s">
        <v>221</v>
      </c>
      <c r="BC4" s="55" t="s">
        <v>221</v>
      </c>
      <c r="BD4" s="58" t="str">
        <f t="shared" ref="BD4:BD5" si="7">TEXT(BD3,"ddd")</f>
        <v>Sun</v>
      </c>
      <c r="BE4" s="55" t="s">
        <v>221</v>
      </c>
      <c r="BF4" s="55" t="s">
        <v>221</v>
      </c>
      <c r="BG4" s="55" t="s">
        <v>221</v>
      </c>
      <c r="BH4" s="55" t="s">
        <v>221</v>
      </c>
      <c r="BI4" s="55" t="s">
        <v>221</v>
      </c>
      <c r="BJ4" s="55" t="s">
        <v>221</v>
      </c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</row>
    <row r="5" outlineLevel="1">
      <c r="A5" s="50">
        <v>2.0</v>
      </c>
      <c r="B5" s="51" t="s">
        <v>267</v>
      </c>
      <c r="C5" s="46" t="s">
        <v>270</v>
      </c>
      <c r="D5" s="33">
        <f t="shared" si="3"/>
        <v>27</v>
      </c>
      <c r="E5" s="33">
        <f t="shared" si="4"/>
        <v>21</v>
      </c>
      <c r="F5" s="33">
        <f t="shared" si="5"/>
        <v>48</v>
      </c>
      <c r="G5" s="54">
        <f t="shared" si="6"/>
        <v>56.25</v>
      </c>
      <c r="H5" s="55" t="s">
        <v>221</v>
      </c>
      <c r="I5" s="55" t="s">
        <v>74</v>
      </c>
      <c r="J5" s="55" t="s">
        <v>74</v>
      </c>
      <c r="K5" s="55" t="s">
        <v>74</v>
      </c>
      <c r="L5" s="55" t="s">
        <v>74</v>
      </c>
      <c r="M5" s="55" t="s">
        <v>221</v>
      </c>
      <c r="N5" s="29"/>
      <c r="O5" s="55" t="s">
        <v>74</v>
      </c>
      <c r="P5" s="55" t="s">
        <v>74</v>
      </c>
      <c r="Q5" s="55" t="s">
        <v>221</v>
      </c>
      <c r="R5" s="55" t="s">
        <v>221</v>
      </c>
      <c r="S5" s="55" t="s">
        <v>221</v>
      </c>
      <c r="T5" s="50" t="s">
        <v>221</v>
      </c>
      <c r="U5" s="29"/>
      <c r="V5" s="50" t="s">
        <v>221</v>
      </c>
      <c r="W5" s="50" t="s">
        <v>221</v>
      </c>
      <c r="X5" s="50" t="s">
        <v>74</v>
      </c>
      <c r="Y5" s="50" t="s">
        <v>221</v>
      </c>
      <c r="Z5" s="50" t="s">
        <v>221</v>
      </c>
      <c r="AA5" s="50" t="s">
        <v>221</v>
      </c>
      <c r="AB5" s="29"/>
      <c r="AC5" s="50" t="s">
        <v>74</v>
      </c>
      <c r="AD5" s="50" t="s">
        <v>221</v>
      </c>
      <c r="AE5" s="55" t="s">
        <v>221</v>
      </c>
      <c r="AF5" s="55" t="s">
        <v>221</v>
      </c>
      <c r="AG5" s="55" t="s">
        <v>74</v>
      </c>
      <c r="AH5" s="50" t="s">
        <v>221</v>
      </c>
      <c r="AI5" s="29"/>
      <c r="AJ5" s="50" t="s">
        <v>221</v>
      </c>
      <c r="AK5" s="50" t="s">
        <v>221</v>
      </c>
      <c r="AL5" s="50" t="s">
        <v>221</v>
      </c>
      <c r="AM5" s="50" t="s">
        <v>221</v>
      </c>
      <c r="AN5" s="50" t="s">
        <v>221</v>
      </c>
      <c r="AO5" s="55" t="s">
        <v>221</v>
      </c>
      <c r="AP5" s="29"/>
      <c r="AQ5" s="55" t="s">
        <v>221</v>
      </c>
      <c r="AR5" s="55" t="s">
        <v>221</v>
      </c>
      <c r="AS5" s="55" t="s">
        <v>221</v>
      </c>
      <c r="AT5" s="55" t="s">
        <v>221</v>
      </c>
      <c r="AU5" s="55" t="s">
        <v>221</v>
      </c>
      <c r="AV5" s="55" t="s">
        <v>221</v>
      </c>
      <c r="AW5" s="56" t="s">
        <v>225</v>
      </c>
      <c r="AX5" s="55" t="s">
        <v>74</v>
      </c>
      <c r="AY5" s="55" t="s">
        <v>74</v>
      </c>
      <c r="AZ5" s="55" t="s">
        <v>74</v>
      </c>
      <c r="BA5" s="55" t="s">
        <v>74</v>
      </c>
      <c r="BB5" s="55" t="s">
        <v>74</v>
      </c>
      <c r="BC5" s="55" t="s">
        <v>74</v>
      </c>
      <c r="BD5" s="58" t="str">
        <f t="shared" si="7"/>
        <v>Sun</v>
      </c>
      <c r="BE5" s="55" t="s">
        <v>74</v>
      </c>
      <c r="BF5" s="55" t="s">
        <v>74</v>
      </c>
      <c r="BG5" s="55" t="s">
        <v>74</v>
      </c>
      <c r="BH5" s="55" t="s">
        <v>74</v>
      </c>
      <c r="BI5" s="55" t="s">
        <v>74</v>
      </c>
      <c r="BJ5" s="55" t="s">
        <v>74</v>
      </c>
      <c r="BK5" s="59"/>
      <c r="BL5" s="59"/>
      <c r="BM5" s="59"/>
      <c r="BN5" s="59"/>
      <c r="BO5" s="59"/>
      <c r="BP5" s="59"/>
      <c r="BQ5" s="59"/>
      <c r="BR5" s="59"/>
      <c r="BS5" s="59"/>
      <c r="BT5" s="59"/>
      <c r="BU5" s="59"/>
      <c r="BV5" s="59"/>
    </row>
    <row r="6" outlineLevel="1">
      <c r="A6" s="50">
        <v>3.0</v>
      </c>
      <c r="B6" s="34" t="s">
        <v>299</v>
      </c>
      <c r="C6" s="46" t="s">
        <v>300</v>
      </c>
      <c r="D6" s="33">
        <f t="shared" si="3"/>
        <v>8</v>
      </c>
      <c r="E6" s="33">
        <f t="shared" si="4"/>
        <v>40</v>
      </c>
      <c r="F6" s="33">
        <f t="shared" si="5"/>
        <v>48</v>
      </c>
      <c r="G6" s="54">
        <f t="shared" si="6"/>
        <v>16.66666667</v>
      </c>
      <c r="H6" s="55" t="s">
        <v>74</v>
      </c>
      <c r="I6" s="55" t="s">
        <v>74</v>
      </c>
      <c r="J6" s="55" t="s">
        <v>221</v>
      </c>
      <c r="K6" s="55" t="s">
        <v>74</v>
      </c>
      <c r="L6" s="55" t="s">
        <v>74</v>
      </c>
      <c r="M6" s="55" t="s">
        <v>74</v>
      </c>
      <c r="N6" s="29"/>
      <c r="O6" s="55" t="s">
        <v>74</v>
      </c>
      <c r="P6" s="55" t="s">
        <v>74</v>
      </c>
      <c r="Q6" s="55" t="s">
        <v>74</v>
      </c>
      <c r="R6" s="55" t="s">
        <v>221</v>
      </c>
      <c r="S6" s="55" t="s">
        <v>221</v>
      </c>
      <c r="T6" s="50" t="s">
        <v>74</v>
      </c>
      <c r="U6" s="29"/>
      <c r="V6" s="50" t="s">
        <v>221</v>
      </c>
      <c r="W6" s="50" t="s">
        <v>74</v>
      </c>
      <c r="X6" s="50" t="s">
        <v>74</v>
      </c>
      <c r="Y6" s="50" t="s">
        <v>221</v>
      </c>
      <c r="Z6" s="50" t="s">
        <v>74</v>
      </c>
      <c r="AA6" s="50" t="s">
        <v>74</v>
      </c>
      <c r="AB6" s="29"/>
      <c r="AC6" s="50" t="s">
        <v>221</v>
      </c>
      <c r="AD6" s="50" t="s">
        <v>74</v>
      </c>
      <c r="AE6" s="55" t="s">
        <v>74</v>
      </c>
      <c r="AF6" s="55" t="s">
        <v>74</v>
      </c>
      <c r="AG6" s="55" t="s">
        <v>74</v>
      </c>
      <c r="AH6" s="50" t="s">
        <v>74</v>
      </c>
      <c r="AI6" s="29"/>
      <c r="AJ6" s="50" t="s">
        <v>221</v>
      </c>
      <c r="AK6" s="50" t="s">
        <v>74</v>
      </c>
      <c r="AL6" s="50" t="s">
        <v>74</v>
      </c>
      <c r="AM6" s="50" t="s">
        <v>74</v>
      </c>
      <c r="AN6" s="50" t="s">
        <v>74</v>
      </c>
      <c r="AO6" s="55" t="s">
        <v>74</v>
      </c>
      <c r="AP6" s="29"/>
      <c r="AQ6" s="55" t="s">
        <v>74</v>
      </c>
      <c r="AR6" s="55" t="s">
        <v>74</v>
      </c>
      <c r="AS6" s="55" t="s">
        <v>74</v>
      </c>
      <c r="AT6" s="55" t="s">
        <v>221</v>
      </c>
      <c r="AU6" s="55" t="s">
        <v>74</v>
      </c>
      <c r="AV6" s="55" t="s">
        <v>74</v>
      </c>
      <c r="AW6" s="29"/>
      <c r="AX6" s="55" t="s">
        <v>74</v>
      </c>
      <c r="AY6" s="55" t="s">
        <v>74</v>
      </c>
      <c r="AZ6" s="55" t="s">
        <v>74</v>
      </c>
      <c r="BA6" s="55" t="s">
        <v>74</v>
      </c>
      <c r="BB6" s="55" t="s">
        <v>74</v>
      </c>
      <c r="BC6" s="55" t="s">
        <v>74</v>
      </c>
      <c r="BD6" s="56" t="s">
        <v>225</v>
      </c>
      <c r="BE6" s="55" t="s">
        <v>74</v>
      </c>
      <c r="BF6" s="55" t="s">
        <v>74</v>
      </c>
      <c r="BG6" s="55" t="s">
        <v>74</v>
      </c>
      <c r="BH6" s="55" t="s">
        <v>74</v>
      </c>
      <c r="BI6" s="55" t="s">
        <v>74</v>
      </c>
      <c r="BJ6" s="55" t="s">
        <v>74</v>
      </c>
      <c r="BK6" s="59"/>
      <c r="BL6" s="59"/>
      <c r="BM6" s="59"/>
      <c r="BN6" s="59"/>
      <c r="BO6" s="59"/>
      <c r="BP6" s="59"/>
      <c r="BQ6" s="59"/>
      <c r="BR6" s="59"/>
      <c r="BS6" s="59"/>
      <c r="BT6" s="59"/>
      <c r="BU6" s="59"/>
      <c r="BV6" s="59"/>
    </row>
    <row r="7" outlineLevel="1">
      <c r="A7" s="50">
        <v>4.0</v>
      </c>
      <c r="B7" s="34" t="s">
        <v>331</v>
      </c>
      <c r="C7" s="46" t="s">
        <v>332</v>
      </c>
      <c r="D7" s="33">
        <f t="shared" si="3"/>
        <v>24</v>
      </c>
      <c r="E7" s="33">
        <f t="shared" si="4"/>
        <v>24</v>
      </c>
      <c r="F7" s="33">
        <f t="shared" si="5"/>
        <v>48</v>
      </c>
      <c r="G7" s="54">
        <f t="shared" si="6"/>
        <v>50</v>
      </c>
      <c r="H7" s="55" t="s">
        <v>74</v>
      </c>
      <c r="I7" s="55" t="s">
        <v>74</v>
      </c>
      <c r="J7" s="55" t="s">
        <v>74</v>
      </c>
      <c r="K7" s="55" t="s">
        <v>74</v>
      </c>
      <c r="L7" s="55" t="s">
        <v>74</v>
      </c>
      <c r="M7" s="55" t="s">
        <v>74</v>
      </c>
      <c r="N7" s="29"/>
      <c r="O7" s="55" t="s">
        <v>74</v>
      </c>
      <c r="P7" s="55" t="s">
        <v>74</v>
      </c>
      <c r="Q7" s="55" t="s">
        <v>74</v>
      </c>
      <c r="R7" s="55" t="s">
        <v>74</v>
      </c>
      <c r="S7" s="55" t="s">
        <v>74</v>
      </c>
      <c r="T7" s="50" t="s">
        <v>74</v>
      </c>
      <c r="U7" s="29"/>
      <c r="V7" s="50" t="s">
        <v>74</v>
      </c>
      <c r="W7" s="50" t="s">
        <v>221</v>
      </c>
      <c r="X7" s="50" t="s">
        <v>221</v>
      </c>
      <c r="Y7" s="50" t="s">
        <v>221</v>
      </c>
      <c r="Z7" s="50" t="s">
        <v>221</v>
      </c>
      <c r="AA7" s="50" t="s">
        <v>221</v>
      </c>
      <c r="AB7" s="29"/>
      <c r="AC7" s="50" t="s">
        <v>221</v>
      </c>
      <c r="AD7" s="50" t="s">
        <v>221</v>
      </c>
      <c r="AE7" s="55" t="s">
        <v>221</v>
      </c>
      <c r="AF7" s="55" t="s">
        <v>221</v>
      </c>
      <c r="AG7" s="55" t="s">
        <v>221</v>
      </c>
      <c r="AH7" s="50" t="s">
        <v>74</v>
      </c>
      <c r="AI7" s="29"/>
      <c r="AJ7" s="50" t="s">
        <v>74</v>
      </c>
      <c r="AK7" s="50" t="s">
        <v>221</v>
      </c>
      <c r="AL7" s="50" t="s">
        <v>221</v>
      </c>
      <c r="AM7" s="50" t="s">
        <v>221</v>
      </c>
      <c r="AN7" s="50" t="s">
        <v>221</v>
      </c>
      <c r="AO7" s="55" t="s">
        <v>221</v>
      </c>
      <c r="AP7" s="29"/>
      <c r="AQ7" s="55" t="s">
        <v>74</v>
      </c>
      <c r="AR7" s="55" t="s">
        <v>74</v>
      </c>
      <c r="AS7" s="55" t="s">
        <v>74</v>
      </c>
      <c r="AT7" s="55" t="s">
        <v>74</v>
      </c>
      <c r="AU7" s="55" t="s">
        <v>221</v>
      </c>
      <c r="AV7" s="55" t="s">
        <v>221</v>
      </c>
      <c r="AW7" s="29"/>
      <c r="AX7" s="55" t="s">
        <v>74</v>
      </c>
      <c r="AY7" s="55" t="s">
        <v>221</v>
      </c>
      <c r="AZ7" s="55" t="s">
        <v>221</v>
      </c>
      <c r="BA7" s="55" t="s">
        <v>74</v>
      </c>
      <c r="BB7" s="55" t="s">
        <v>221</v>
      </c>
      <c r="BC7" s="55" t="s">
        <v>221</v>
      </c>
      <c r="BD7" s="29"/>
      <c r="BE7" s="55" t="s">
        <v>221</v>
      </c>
      <c r="BF7" s="55" t="s">
        <v>74</v>
      </c>
      <c r="BG7" s="55" t="s">
        <v>221</v>
      </c>
      <c r="BH7" s="55" t="s">
        <v>74</v>
      </c>
      <c r="BI7" s="55" t="s">
        <v>74</v>
      </c>
      <c r="BJ7" s="55" t="s">
        <v>221</v>
      </c>
      <c r="BK7" s="59"/>
      <c r="BL7" s="59"/>
      <c r="BM7" s="59"/>
      <c r="BN7" s="59"/>
      <c r="BO7" s="59"/>
      <c r="BP7" s="59"/>
      <c r="BQ7" s="59"/>
      <c r="BR7" s="59"/>
      <c r="BS7" s="59"/>
      <c r="BT7" s="59"/>
      <c r="BU7" s="59"/>
      <c r="BV7" s="59"/>
    </row>
    <row r="8" outlineLevel="1">
      <c r="A8" s="50">
        <v>5.0</v>
      </c>
      <c r="B8" s="34" t="s">
        <v>360</v>
      </c>
      <c r="C8" s="46" t="s">
        <v>361</v>
      </c>
      <c r="D8" s="33">
        <f t="shared" si="3"/>
        <v>42</v>
      </c>
      <c r="E8" s="33">
        <f t="shared" si="4"/>
        <v>6</v>
      </c>
      <c r="F8" s="33">
        <f t="shared" si="5"/>
        <v>48</v>
      </c>
      <c r="G8" s="54">
        <f t="shared" si="6"/>
        <v>87.5</v>
      </c>
      <c r="H8" s="36" t="s">
        <v>221</v>
      </c>
      <c r="I8" s="36" t="s">
        <v>74</v>
      </c>
      <c r="J8" s="36" t="s">
        <v>74</v>
      </c>
      <c r="K8" s="36" t="s">
        <v>221</v>
      </c>
      <c r="L8" s="36" t="s">
        <v>74</v>
      </c>
      <c r="M8" s="36" t="s">
        <v>221</v>
      </c>
      <c r="N8" s="29"/>
      <c r="O8" s="36" t="s">
        <v>366</v>
      </c>
      <c r="P8" s="36" t="s">
        <v>366</v>
      </c>
      <c r="Q8" s="36" t="s">
        <v>74</v>
      </c>
      <c r="R8" s="36" t="s">
        <v>366</v>
      </c>
      <c r="S8" s="36" t="s">
        <v>221</v>
      </c>
      <c r="T8" s="18" t="s">
        <v>221</v>
      </c>
      <c r="U8" s="29"/>
      <c r="V8" s="18" t="s">
        <v>74</v>
      </c>
      <c r="W8" s="18" t="s">
        <v>221</v>
      </c>
      <c r="X8" s="18" t="s">
        <v>221</v>
      </c>
      <c r="Y8" s="18" t="s">
        <v>221</v>
      </c>
      <c r="Z8" s="18" t="s">
        <v>221</v>
      </c>
      <c r="AA8" s="18" t="s">
        <v>221</v>
      </c>
      <c r="AB8" s="29"/>
      <c r="AC8" s="18" t="s">
        <v>221</v>
      </c>
      <c r="AD8" s="18" t="s">
        <v>221</v>
      </c>
      <c r="AE8" s="36" t="s">
        <v>221</v>
      </c>
      <c r="AF8" s="36" t="s">
        <v>221</v>
      </c>
      <c r="AG8" s="36" t="s">
        <v>221</v>
      </c>
      <c r="AH8" s="18" t="s">
        <v>221</v>
      </c>
      <c r="AI8" s="29"/>
      <c r="AJ8" s="18" t="s">
        <v>221</v>
      </c>
      <c r="AK8" s="18" t="s">
        <v>221</v>
      </c>
      <c r="AL8" s="18" t="s">
        <v>221</v>
      </c>
      <c r="AM8" s="18" t="s">
        <v>221</v>
      </c>
      <c r="AN8" s="18" t="s">
        <v>221</v>
      </c>
      <c r="AO8" s="36" t="s">
        <v>221</v>
      </c>
      <c r="AP8" s="29"/>
      <c r="AQ8" s="36" t="s">
        <v>221</v>
      </c>
      <c r="AR8" s="36" t="s">
        <v>221</v>
      </c>
      <c r="AS8" s="36" t="s">
        <v>221</v>
      </c>
      <c r="AT8" s="36" t="s">
        <v>221</v>
      </c>
      <c r="AU8" s="36" t="s">
        <v>221</v>
      </c>
      <c r="AV8" s="36" t="s">
        <v>221</v>
      </c>
      <c r="AW8" s="29"/>
      <c r="AX8" s="36" t="s">
        <v>221</v>
      </c>
      <c r="AY8" s="36" t="s">
        <v>221</v>
      </c>
      <c r="AZ8" s="36" t="s">
        <v>221</v>
      </c>
      <c r="BA8" s="36" t="s">
        <v>221</v>
      </c>
      <c r="BB8" s="36" t="s">
        <v>221</v>
      </c>
      <c r="BC8" s="36" t="s">
        <v>221</v>
      </c>
      <c r="BD8" s="29"/>
      <c r="BE8" s="36" t="s">
        <v>221</v>
      </c>
      <c r="BF8" s="36" t="s">
        <v>221</v>
      </c>
      <c r="BG8" s="36" t="s">
        <v>221</v>
      </c>
      <c r="BH8" s="36" t="s">
        <v>221</v>
      </c>
      <c r="BI8" s="36" t="s">
        <v>74</v>
      </c>
      <c r="BJ8" s="36" t="s">
        <v>221</v>
      </c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  <c r="BV8" s="61"/>
    </row>
    <row r="9" outlineLevel="1">
      <c r="A9" s="50">
        <v>6.0</v>
      </c>
      <c r="B9" s="34" t="s">
        <v>387</v>
      </c>
      <c r="C9" s="46" t="s">
        <v>388</v>
      </c>
      <c r="D9" s="33">
        <f t="shared" si="3"/>
        <v>47</v>
      </c>
      <c r="E9" s="33">
        <f t="shared" si="4"/>
        <v>1</v>
      </c>
      <c r="F9" s="33">
        <f t="shared" si="5"/>
        <v>48</v>
      </c>
      <c r="G9" s="54">
        <f t="shared" si="6"/>
        <v>97.91666667</v>
      </c>
      <c r="H9" s="55" t="s">
        <v>221</v>
      </c>
      <c r="I9" s="55" t="s">
        <v>74</v>
      </c>
      <c r="J9" s="55" t="s">
        <v>221</v>
      </c>
      <c r="K9" s="55" t="s">
        <v>221</v>
      </c>
      <c r="L9" s="55" t="s">
        <v>221</v>
      </c>
      <c r="M9" s="55" t="s">
        <v>221</v>
      </c>
      <c r="N9" s="29"/>
      <c r="O9" s="55" t="s">
        <v>221</v>
      </c>
      <c r="P9" s="55" t="s">
        <v>221</v>
      </c>
      <c r="Q9" s="55" t="s">
        <v>221</v>
      </c>
      <c r="R9" s="55" t="s">
        <v>221</v>
      </c>
      <c r="S9" s="55" t="s">
        <v>221</v>
      </c>
      <c r="T9" s="50" t="s">
        <v>221</v>
      </c>
      <c r="U9" s="29"/>
      <c r="V9" s="50" t="s">
        <v>221</v>
      </c>
      <c r="W9" s="50" t="s">
        <v>221</v>
      </c>
      <c r="X9" s="50" t="s">
        <v>221</v>
      </c>
      <c r="Y9" s="50" t="s">
        <v>221</v>
      </c>
      <c r="Z9" s="50" t="s">
        <v>221</v>
      </c>
      <c r="AA9" s="50" t="s">
        <v>221</v>
      </c>
      <c r="AB9" s="29"/>
      <c r="AC9" s="50" t="s">
        <v>221</v>
      </c>
      <c r="AD9" s="50" t="s">
        <v>221</v>
      </c>
      <c r="AE9" s="55" t="s">
        <v>221</v>
      </c>
      <c r="AF9" s="55" t="s">
        <v>221</v>
      </c>
      <c r="AG9" s="55" t="s">
        <v>221</v>
      </c>
      <c r="AH9" s="50" t="s">
        <v>221</v>
      </c>
      <c r="AI9" s="29"/>
      <c r="AJ9" s="50" t="s">
        <v>221</v>
      </c>
      <c r="AK9" s="50" t="s">
        <v>221</v>
      </c>
      <c r="AL9" s="50" t="s">
        <v>221</v>
      </c>
      <c r="AM9" s="50" t="s">
        <v>221</v>
      </c>
      <c r="AN9" s="50" t="s">
        <v>221</v>
      </c>
      <c r="AO9" s="55" t="s">
        <v>221</v>
      </c>
      <c r="AP9" s="29"/>
      <c r="AQ9" s="55" t="s">
        <v>221</v>
      </c>
      <c r="AR9" s="55" t="s">
        <v>221</v>
      </c>
      <c r="AS9" s="55" t="s">
        <v>221</v>
      </c>
      <c r="AT9" s="55" t="s">
        <v>221</v>
      </c>
      <c r="AU9" s="55" t="s">
        <v>221</v>
      </c>
      <c r="AV9" s="55" t="s">
        <v>221</v>
      </c>
      <c r="AW9" s="29"/>
      <c r="AX9" s="55" t="s">
        <v>221</v>
      </c>
      <c r="AY9" s="55" t="s">
        <v>221</v>
      </c>
      <c r="AZ9" s="55" t="s">
        <v>221</v>
      </c>
      <c r="BA9" s="55" t="s">
        <v>221</v>
      </c>
      <c r="BB9" s="55" t="s">
        <v>221</v>
      </c>
      <c r="BC9" s="55" t="s">
        <v>221</v>
      </c>
      <c r="BD9" s="29"/>
      <c r="BE9" s="55" t="s">
        <v>221</v>
      </c>
      <c r="BF9" s="55" t="s">
        <v>221</v>
      </c>
      <c r="BG9" s="55" t="s">
        <v>221</v>
      </c>
      <c r="BH9" s="55" t="s">
        <v>221</v>
      </c>
      <c r="BI9" s="55" t="s">
        <v>221</v>
      </c>
      <c r="BJ9" s="55" t="s">
        <v>221</v>
      </c>
      <c r="BK9" s="59"/>
      <c r="BL9" s="59"/>
      <c r="BM9" s="59"/>
      <c r="BN9" s="59"/>
      <c r="BO9" s="59"/>
      <c r="BP9" s="59"/>
      <c r="BQ9" s="59"/>
      <c r="BR9" s="59"/>
      <c r="BS9" s="59"/>
      <c r="BT9" s="59"/>
      <c r="BU9" s="59"/>
      <c r="BV9" s="59"/>
    </row>
    <row r="10" outlineLevel="1">
      <c r="A10" s="50">
        <v>7.0</v>
      </c>
      <c r="B10" s="51" t="s">
        <v>323</v>
      </c>
      <c r="C10" s="46" t="s">
        <v>324</v>
      </c>
      <c r="D10" s="33">
        <f t="shared" si="3"/>
        <v>24</v>
      </c>
      <c r="E10" s="33">
        <f t="shared" si="4"/>
        <v>24</v>
      </c>
      <c r="F10" s="33">
        <f t="shared" si="5"/>
        <v>48</v>
      </c>
      <c r="G10" s="54">
        <f t="shared" si="6"/>
        <v>50</v>
      </c>
      <c r="H10" s="55" t="s">
        <v>74</v>
      </c>
      <c r="I10" s="55" t="s">
        <v>74</v>
      </c>
      <c r="J10" s="55" t="s">
        <v>74</v>
      </c>
      <c r="K10" s="55" t="s">
        <v>221</v>
      </c>
      <c r="L10" s="55" t="s">
        <v>74</v>
      </c>
      <c r="M10" s="55" t="s">
        <v>74</v>
      </c>
      <c r="N10" s="29"/>
      <c r="O10" s="55" t="s">
        <v>74</v>
      </c>
      <c r="P10" s="55" t="s">
        <v>74</v>
      </c>
      <c r="Q10" s="55" t="s">
        <v>221</v>
      </c>
      <c r="R10" s="55" t="s">
        <v>221</v>
      </c>
      <c r="S10" s="55" t="s">
        <v>74</v>
      </c>
      <c r="T10" s="50" t="s">
        <v>74</v>
      </c>
      <c r="U10" s="29"/>
      <c r="V10" s="50" t="s">
        <v>74</v>
      </c>
      <c r="W10" s="50" t="s">
        <v>221</v>
      </c>
      <c r="X10" s="50" t="s">
        <v>221</v>
      </c>
      <c r="Y10" s="50" t="s">
        <v>221</v>
      </c>
      <c r="Z10" s="50" t="s">
        <v>221</v>
      </c>
      <c r="AA10" s="50" t="s">
        <v>221</v>
      </c>
      <c r="AB10" s="29"/>
      <c r="AC10" s="50" t="s">
        <v>221</v>
      </c>
      <c r="AD10" s="50" t="s">
        <v>74</v>
      </c>
      <c r="AE10" s="55" t="s">
        <v>221</v>
      </c>
      <c r="AF10" s="55" t="s">
        <v>221</v>
      </c>
      <c r="AG10" s="55" t="s">
        <v>221</v>
      </c>
      <c r="AH10" s="50" t="s">
        <v>221</v>
      </c>
      <c r="AI10" s="29"/>
      <c r="AJ10" s="50" t="s">
        <v>221</v>
      </c>
      <c r="AK10" s="50" t="s">
        <v>221</v>
      </c>
      <c r="AL10" s="50" t="s">
        <v>221</v>
      </c>
      <c r="AM10" s="50" t="s">
        <v>221</v>
      </c>
      <c r="AN10" s="50" t="s">
        <v>221</v>
      </c>
      <c r="AO10" s="55" t="s">
        <v>221</v>
      </c>
      <c r="AP10" s="29"/>
      <c r="AQ10" s="55" t="s">
        <v>221</v>
      </c>
      <c r="AR10" s="55" t="s">
        <v>221</v>
      </c>
      <c r="AS10" s="55" t="s">
        <v>221</v>
      </c>
      <c r="AT10" s="55" t="s">
        <v>221</v>
      </c>
      <c r="AU10" s="55" t="s">
        <v>74</v>
      </c>
      <c r="AV10" s="55" t="s">
        <v>221</v>
      </c>
      <c r="AW10" s="29"/>
      <c r="AX10" s="55" t="s">
        <v>74</v>
      </c>
      <c r="AY10" s="55" t="s">
        <v>74</v>
      </c>
      <c r="AZ10" s="55" t="s">
        <v>74</v>
      </c>
      <c r="BA10" s="55" t="s">
        <v>74</v>
      </c>
      <c r="BB10" s="55" t="s">
        <v>74</v>
      </c>
      <c r="BC10" s="55" t="s">
        <v>74</v>
      </c>
      <c r="BD10" s="29"/>
      <c r="BE10" s="55" t="s">
        <v>74</v>
      </c>
      <c r="BF10" s="55" t="s">
        <v>74</v>
      </c>
      <c r="BG10" s="55" t="s">
        <v>74</v>
      </c>
      <c r="BH10" s="55" t="s">
        <v>74</v>
      </c>
      <c r="BI10" s="55" t="s">
        <v>74</v>
      </c>
      <c r="BJ10" s="55" t="s">
        <v>74</v>
      </c>
      <c r="BK10" s="59"/>
      <c r="BL10" s="59"/>
      <c r="BM10" s="59"/>
      <c r="BN10" s="59"/>
      <c r="BO10" s="59"/>
      <c r="BP10" s="59"/>
      <c r="BQ10" s="59"/>
      <c r="BR10" s="59"/>
      <c r="BS10" s="59"/>
      <c r="BT10" s="59"/>
      <c r="BU10" s="59"/>
      <c r="BV10" s="59"/>
    </row>
    <row r="11" outlineLevel="1">
      <c r="A11" s="50">
        <v>8.0</v>
      </c>
      <c r="B11" s="51" t="s">
        <v>334</v>
      </c>
      <c r="C11" s="46" t="s">
        <v>335</v>
      </c>
      <c r="D11" s="33">
        <f t="shared" si="3"/>
        <v>31</v>
      </c>
      <c r="E11" s="33">
        <f t="shared" si="4"/>
        <v>17</v>
      </c>
      <c r="F11" s="33">
        <f t="shared" si="5"/>
        <v>48</v>
      </c>
      <c r="G11" s="54">
        <f t="shared" si="6"/>
        <v>64.58333333</v>
      </c>
      <c r="H11" s="55" t="s">
        <v>74</v>
      </c>
      <c r="I11" s="55" t="s">
        <v>74</v>
      </c>
      <c r="J11" s="55" t="s">
        <v>74</v>
      </c>
      <c r="K11" s="55" t="s">
        <v>74</v>
      </c>
      <c r="L11" s="55" t="s">
        <v>74</v>
      </c>
      <c r="M11" s="55" t="s">
        <v>74</v>
      </c>
      <c r="N11" s="29"/>
      <c r="O11" s="55" t="s">
        <v>74</v>
      </c>
      <c r="P11" s="55" t="s">
        <v>74</v>
      </c>
      <c r="Q11" s="55" t="s">
        <v>221</v>
      </c>
      <c r="R11" s="55" t="s">
        <v>221</v>
      </c>
      <c r="S11" s="55" t="s">
        <v>74</v>
      </c>
      <c r="T11" s="50" t="s">
        <v>221</v>
      </c>
      <c r="U11" s="29"/>
      <c r="V11" s="50" t="s">
        <v>74</v>
      </c>
      <c r="W11" s="50" t="s">
        <v>74</v>
      </c>
      <c r="X11" s="50" t="s">
        <v>74</v>
      </c>
      <c r="Y11" s="50" t="s">
        <v>74</v>
      </c>
      <c r="Z11" s="50" t="s">
        <v>221</v>
      </c>
      <c r="AA11" s="50" t="s">
        <v>221</v>
      </c>
      <c r="AB11" s="29"/>
      <c r="AC11" s="50" t="s">
        <v>221</v>
      </c>
      <c r="AD11" s="50" t="s">
        <v>221</v>
      </c>
      <c r="AE11" s="55" t="s">
        <v>221</v>
      </c>
      <c r="AF11" s="55" t="s">
        <v>221</v>
      </c>
      <c r="AG11" s="55" t="s">
        <v>221</v>
      </c>
      <c r="AH11" s="50" t="s">
        <v>221</v>
      </c>
      <c r="AI11" s="29"/>
      <c r="AJ11" s="50" t="s">
        <v>221</v>
      </c>
      <c r="AK11" s="50" t="s">
        <v>221</v>
      </c>
      <c r="AL11" s="50" t="s">
        <v>221</v>
      </c>
      <c r="AM11" s="50" t="s">
        <v>221</v>
      </c>
      <c r="AN11" s="50" t="s">
        <v>221</v>
      </c>
      <c r="AO11" s="55" t="s">
        <v>221</v>
      </c>
      <c r="AP11" s="29"/>
      <c r="AQ11" s="55" t="s">
        <v>221</v>
      </c>
      <c r="AR11" s="55" t="s">
        <v>221</v>
      </c>
      <c r="AS11" s="55" t="s">
        <v>221</v>
      </c>
      <c r="AT11" s="55" t="s">
        <v>74</v>
      </c>
      <c r="AU11" s="55" t="s">
        <v>221</v>
      </c>
      <c r="AV11" s="55" t="s">
        <v>221</v>
      </c>
      <c r="AW11" s="29"/>
      <c r="AX11" s="55" t="s">
        <v>74</v>
      </c>
      <c r="AY11" s="55" t="s">
        <v>221</v>
      </c>
      <c r="AZ11" s="55" t="s">
        <v>221</v>
      </c>
      <c r="BA11" s="55" t="s">
        <v>221</v>
      </c>
      <c r="BB11" s="55" t="s">
        <v>221</v>
      </c>
      <c r="BC11" s="55" t="s">
        <v>221</v>
      </c>
      <c r="BD11" s="29"/>
      <c r="BE11" s="55" t="s">
        <v>221</v>
      </c>
      <c r="BF11" s="55" t="s">
        <v>221</v>
      </c>
      <c r="BG11" s="55" t="s">
        <v>74</v>
      </c>
      <c r="BH11" s="55" t="s">
        <v>221</v>
      </c>
      <c r="BI11" s="55" t="s">
        <v>74</v>
      </c>
      <c r="BJ11" s="55" t="s">
        <v>221</v>
      </c>
      <c r="BK11" s="59"/>
      <c r="BL11" s="59"/>
      <c r="BM11" s="59"/>
      <c r="BN11" s="59"/>
      <c r="BO11" s="59"/>
      <c r="BP11" s="59"/>
      <c r="BQ11" s="59"/>
      <c r="BR11" s="59"/>
      <c r="BS11" s="59"/>
      <c r="BT11" s="59"/>
      <c r="BU11" s="59"/>
      <c r="BV11" s="59"/>
    </row>
    <row r="12" outlineLevel="1">
      <c r="A12" s="50">
        <v>9.0</v>
      </c>
      <c r="B12" s="52" t="s">
        <v>240</v>
      </c>
      <c r="C12" s="57" t="s">
        <v>241</v>
      </c>
      <c r="D12" s="33">
        <f t="shared" si="3"/>
        <v>11</v>
      </c>
      <c r="E12" s="33">
        <f t="shared" si="4"/>
        <v>37</v>
      </c>
      <c r="F12" s="33">
        <f t="shared" si="5"/>
        <v>48</v>
      </c>
      <c r="G12" s="54">
        <f t="shared" si="6"/>
        <v>22.91666667</v>
      </c>
      <c r="H12" s="55" t="s">
        <v>74</v>
      </c>
      <c r="I12" s="55" t="s">
        <v>221</v>
      </c>
      <c r="J12" s="55" t="s">
        <v>221</v>
      </c>
      <c r="K12" s="55" t="s">
        <v>74</v>
      </c>
      <c r="L12" s="55" t="s">
        <v>221</v>
      </c>
      <c r="M12" s="55" t="s">
        <v>74</v>
      </c>
      <c r="N12" s="29"/>
      <c r="O12" s="55" t="s">
        <v>221</v>
      </c>
      <c r="P12" s="55" t="s">
        <v>221</v>
      </c>
      <c r="Q12" s="55" t="s">
        <v>221</v>
      </c>
      <c r="R12" s="55" t="s">
        <v>221</v>
      </c>
      <c r="S12" s="55" t="s">
        <v>74</v>
      </c>
      <c r="T12" s="50" t="s">
        <v>74</v>
      </c>
      <c r="U12" s="29"/>
      <c r="V12" s="50" t="s">
        <v>74</v>
      </c>
      <c r="W12" s="50" t="s">
        <v>74</v>
      </c>
      <c r="X12" s="50" t="s">
        <v>74</v>
      </c>
      <c r="Y12" s="50" t="s">
        <v>221</v>
      </c>
      <c r="Z12" s="50" t="s">
        <v>74</v>
      </c>
      <c r="AA12" s="50" t="s">
        <v>74</v>
      </c>
      <c r="AB12" s="29"/>
      <c r="AC12" s="50" t="s">
        <v>221</v>
      </c>
      <c r="AD12" s="50" t="s">
        <v>74</v>
      </c>
      <c r="AE12" s="55" t="s">
        <v>74</v>
      </c>
      <c r="AF12" s="55" t="s">
        <v>74</v>
      </c>
      <c r="AG12" s="55" t="s">
        <v>74</v>
      </c>
      <c r="AH12" s="50" t="s">
        <v>74</v>
      </c>
      <c r="AI12" s="29"/>
      <c r="AJ12" s="50" t="s">
        <v>74</v>
      </c>
      <c r="AK12" s="50" t="s">
        <v>74</v>
      </c>
      <c r="AL12" s="50" t="s">
        <v>74</v>
      </c>
      <c r="AM12" s="50" t="s">
        <v>221</v>
      </c>
      <c r="AN12" s="50" t="s">
        <v>74</v>
      </c>
      <c r="AO12" s="55" t="s">
        <v>221</v>
      </c>
      <c r="AP12" s="29"/>
      <c r="AQ12" s="55" t="s">
        <v>74</v>
      </c>
      <c r="AR12" s="55" t="s">
        <v>74</v>
      </c>
      <c r="AS12" s="55" t="s">
        <v>74</v>
      </c>
      <c r="AT12" s="55" t="s">
        <v>74</v>
      </c>
      <c r="AU12" s="55" t="s">
        <v>74</v>
      </c>
      <c r="AV12" s="55" t="s">
        <v>74</v>
      </c>
      <c r="AW12" s="29"/>
      <c r="AX12" s="55" t="s">
        <v>74</v>
      </c>
      <c r="AY12" s="55" t="s">
        <v>74</v>
      </c>
      <c r="AZ12" s="55" t="s">
        <v>74</v>
      </c>
      <c r="BA12" s="55" t="s">
        <v>74</v>
      </c>
      <c r="BB12" s="55" t="s">
        <v>74</v>
      </c>
      <c r="BC12" s="55" t="s">
        <v>74</v>
      </c>
      <c r="BD12" s="29"/>
      <c r="BE12" s="55" t="s">
        <v>74</v>
      </c>
      <c r="BF12" s="55" t="s">
        <v>74</v>
      </c>
      <c r="BG12" s="55" t="s">
        <v>74</v>
      </c>
      <c r="BH12" s="55" t="s">
        <v>74</v>
      </c>
      <c r="BI12" s="55" t="s">
        <v>74</v>
      </c>
      <c r="BJ12" s="55" t="s">
        <v>74</v>
      </c>
      <c r="BK12" s="59"/>
      <c r="BL12" s="59"/>
      <c r="BM12" s="59"/>
      <c r="BN12" s="59"/>
      <c r="BO12" s="59"/>
      <c r="BP12" s="59"/>
      <c r="BQ12" s="59"/>
      <c r="BR12" s="59"/>
      <c r="BS12" s="59"/>
      <c r="BT12" s="59"/>
      <c r="BU12" s="59"/>
      <c r="BV12" s="59"/>
    </row>
    <row r="13" outlineLevel="1">
      <c r="A13" s="50">
        <v>10.0</v>
      </c>
      <c r="B13" s="63" t="s">
        <v>478</v>
      </c>
      <c r="C13" s="63" t="s">
        <v>481</v>
      </c>
      <c r="D13" s="33">
        <f t="shared" si="3"/>
        <v>17</v>
      </c>
      <c r="E13" s="33">
        <f t="shared" si="4"/>
        <v>3</v>
      </c>
      <c r="F13" s="33">
        <f t="shared" si="5"/>
        <v>20</v>
      </c>
      <c r="G13" s="54">
        <f t="shared" si="6"/>
        <v>85</v>
      </c>
      <c r="H13" s="64" t="s">
        <v>485</v>
      </c>
      <c r="I13" s="64" t="s">
        <v>485</v>
      </c>
      <c r="J13" s="64" t="s">
        <v>485</v>
      </c>
      <c r="K13" s="64" t="s">
        <v>485</v>
      </c>
      <c r="L13" s="64" t="s">
        <v>485</v>
      </c>
      <c r="M13" s="64" t="s">
        <v>485</v>
      </c>
      <c r="N13" s="29"/>
      <c r="O13" s="64" t="s">
        <v>485</v>
      </c>
      <c r="P13" s="64" t="s">
        <v>485</v>
      </c>
      <c r="Q13" s="64" t="s">
        <v>485</v>
      </c>
      <c r="R13" s="64" t="s">
        <v>485</v>
      </c>
      <c r="S13" s="64" t="s">
        <v>485</v>
      </c>
      <c r="T13" s="64" t="s">
        <v>485</v>
      </c>
      <c r="U13" s="29"/>
      <c r="V13" s="64" t="s">
        <v>485</v>
      </c>
      <c r="W13" s="64" t="s">
        <v>485</v>
      </c>
      <c r="X13" s="64" t="s">
        <v>485</v>
      </c>
      <c r="Y13" s="64" t="s">
        <v>485</v>
      </c>
      <c r="Z13" s="64" t="s">
        <v>485</v>
      </c>
      <c r="AA13" s="64" t="s">
        <v>485</v>
      </c>
      <c r="AB13" s="29"/>
      <c r="AC13" s="18" t="s">
        <v>485</v>
      </c>
      <c r="AD13" s="18" t="s">
        <v>485</v>
      </c>
      <c r="AE13" s="18" t="s">
        <v>485</v>
      </c>
      <c r="AF13" s="18" t="s">
        <v>485</v>
      </c>
      <c r="AG13" s="18" t="s">
        <v>485</v>
      </c>
      <c r="AH13" s="18" t="s">
        <v>485</v>
      </c>
      <c r="AI13" s="29"/>
      <c r="AJ13" s="65"/>
      <c r="AK13" s="65"/>
      <c r="AL13" s="65"/>
      <c r="AM13" s="65"/>
      <c r="AN13" s="18" t="s">
        <v>221</v>
      </c>
      <c r="AO13" s="36" t="s">
        <v>221</v>
      </c>
      <c r="AP13" s="29"/>
      <c r="AQ13" s="36" t="s">
        <v>221</v>
      </c>
      <c r="AR13" s="36" t="s">
        <v>221</v>
      </c>
      <c r="AS13" s="36" t="s">
        <v>221</v>
      </c>
      <c r="AT13" s="36" t="s">
        <v>221</v>
      </c>
      <c r="AU13" s="36" t="s">
        <v>74</v>
      </c>
      <c r="AV13" s="36" t="s">
        <v>221</v>
      </c>
      <c r="AW13" s="29"/>
      <c r="AX13" s="36" t="s">
        <v>221</v>
      </c>
      <c r="AY13" s="36" t="s">
        <v>221</v>
      </c>
      <c r="AZ13" s="36" t="s">
        <v>221</v>
      </c>
      <c r="BA13" s="36" t="s">
        <v>221</v>
      </c>
      <c r="BB13" s="36" t="s">
        <v>221</v>
      </c>
      <c r="BC13" s="36" t="s">
        <v>221</v>
      </c>
      <c r="BD13" s="29"/>
      <c r="BE13" s="36" t="s">
        <v>221</v>
      </c>
      <c r="BF13" s="36" t="s">
        <v>221</v>
      </c>
      <c r="BG13" s="36" t="s">
        <v>74</v>
      </c>
      <c r="BH13" s="36" t="s">
        <v>221</v>
      </c>
      <c r="BI13" s="36" t="s">
        <v>221</v>
      </c>
      <c r="BJ13" s="36" t="s">
        <v>74</v>
      </c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</row>
    <row r="14" outlineLevel="1">
      <c r="A14" s="50">
        <v>11.0</v>
      </c>
      <c r="B14" s="34" t="s">
        <v>507</v>
      </c>
      <c r="C14" s="46" t="s">
        <v>508</v>
      </c>
      <c r="D14" s="33">
        <f t="shared" si="3"/>
        <v>36</v>
      </c>
      <c r="E14" s="33">
        <f t="shared" si="4"/>
        <v>12</v>
      </c>
      <c r="F14" s="33">
        <f t="shared" si="5"/>
        <v>48</v>
      </c>
      <c r="G14" s="54">
        <f t="shared" si="6"/>
        <v>75</v>
      </c>
      <c r="H14" s="55" t="s">
        <v>74</v>
      </c>
      <c r="I14" s="55" t="s">
        <v>74</v>
      </c>
      <c r="J14" s="55" t="s">
        <v>74</v>
      </c>
      <c r="K14" s="55" t="s">
        <v>74</v>
      </c>
      <c r="L14" s="55" t="s">
        <v>74</v>
      </c>
      <c r="M14" s="55" t="s">
        <v>74</v>
      </c>
      <c r="N14" s="29"/>
      <c r="O14" s="55" t="s">
        <v>221</v>
      </c>
      <c r="P14" s="55" t="s">
        <v>221</v>
      </c>
      <c r="Q14" s="55" t="s">
        <v>221</v>
      </c>
      <c r="R14" s="55" t="s">
        <v>221</v>
      </c>
      <c r="S14" s="55" t="s">
        <v>221</v>
      </c>
      <c r="T14" s="50" t="s">
        <v>221</v>
      </c>
      <c r="U14" s="29"/>
      <c r="V14" s="50" t="s">
        <v>221</v>
      </c>
      <c r="W14" s="50" t="s">
        <v>221</v>
      </c>
      <c r="X14" s="50" t="s">
        <v>221</v>
      </c>
      <c r="Y14" s="50" t="s">
        <v>221</v>
      </c>
      <c r="Z14" s="50" t="s">
        <v>221</v>
      </c>
      <c r="AA14" s="50" t="s">
        <v>221</v>
      </c>
      <c r="AB14" s="29"/>
      <c r="AC14" s="50" t="s">
        <v>221</v>
      </c>
      <c r="AD14" s="50" t="s">
        <v>221</v>
      </c>
      <c r="AE14" s="55" t="s">
        <v>221</v>
      </c>
      <c r="AF14" s="55" t="s">
        <v>221</v>
      </c>
      <c r="AG14" s="55" t="s">
        <v>221</v>
      </c>
      <c r="AH14" s="50" t="s">
        <v>221</v>
      </c>
      <c r="AI14" s="29"/>
      <c r="AJ14" s="50" t="s">
        <v>221</v>
      </c>
      <c r="AK14" s="50" t="s">
        <v>221</v>
      </c>
      <c r="AL14" s="50" t="s">
        <v>221</v>
      </c>
      <c r="AM14" s="50" t="s">
        <v>221</v>
      </c>
      <c r="AN14" s="50" t="s">
        <v>221</v>
      </c>
      <c r="AO14" s="55" t="s">
        <v>221</v>
      </c>
      <c r="AP14" s="29"/>
      <c r="AQ14" s="55" t="s">
        <v>221</v>
      </c>
      <c r="AR14" s="55" t="s">
        <v>221</v>
      </c>
      <c r="AS14" s="55" t="s">
        <v>221</v>
      </c>
      <c r="AT14" s="55" t="s">
        <v>221</v>
      </c>
      <c r="AU14" s="55" t="s">
        <v>221</v>
      </c>
      <c r="AV14" s="55" t="s">
        <v>221</v>
      </c>
      <c r="AW14" s="29"/>
      <c r="AX14" s="55" t="s">
        <v>74</v>
      </c>
      <c r="AY14" s="55" t="s">
        <v>221</v>
      </c>
      <c r="AZ14" s="55" t="s">
        <v>221</v>
      </c>
      <c r="BA14" s="55" t="s">
        <v>221</v>
      </c>
      <c r="BB14" s="55" t="s">
        <v>221</v>
      </c>
      <c r="BC14" s="55" t="s">
        <v>221</v>
      </c>
      <c r="BD14" s="29"/>
      <c r="BE14" s="55" t="s">
        <v>74</v>
      </c>
      <c r="BF14" s="55" t="s">
        <v>74</v>
      </c>
      <c r="BG14" s="55" t="s">
        <v>221</v>
      </c>
      <c r="BH14" s="55" t="s">
        <v>74</v>
      </c>
      <c r="BI14" s="55" t="s">
        <v>74</v>
      </c>
      <c r="BJ14" s="55" t="s">
        <v>74</v>
      </c>
      <c r="BK14" s="59"/>
      <c r="BL14" s="59"/>
      <c r="BM14" s="59"/>
      <c r="BN14" s="59"/>
      <c r="BO14" s="59"/>
      <c r="BP14" s="59"/>
      <c r="BQ14" s="59"/>
      <c r="BR14" s="59"/>
      <c r="BS14" s="59"/>
      <c r="BT14" s="59"/>
      <c r="BU14" s="59"/>
      <c r="BV14" s="59"/>
    </row>
    <row r="15" outlineLevel="1">
      <c r="A15" s="50">
        <v>12.0</v>
      </c>
      <c r="B15" s="34" t="s">
        <v>513</v>
      </c>
      <c r="C15" s="46" t="s">
        <v>514</v>
      </c>
      <c r="D15" s="33">
        <f t="shared" si="3"/>
        <v>31</v>
      </c>
      <c r="E15" s="33">
        <f t="shared" si="4"/>
        <v>17</v>
      </c>
      <c r="F15" s="33">
        <f t="shared" si="5"/>
        <v>48</v>
      </c>
      <c r="G15" s="54">
        <f t="shared" si="6"/>
        <v>64.58333333</v>
      </c>
      <c r="H15" s="55" t="s">
        <v>74</v>
      </c>
      <c r="I15" s="55" t="s">
        <v>221</v>
      </c>
      <c r="J15" s="55" t="s">
        <v>74</v>
      </c>
      <c r="K15" s="55" t="s">
        <v>221</v>
      </c>
      <c r="L15" s="55" t="s">
        <v>74</v>
      </c>
      <c r="M15" s="55" t="s">
        <v>74</v>
      </c>
      <c r="N15" s="29"/>
      <c r="O15" s="55" t="s">
        <v>74</v>
      </c>
      <c r="P15" s="55" t="s">
        <v>221</v>
      </c>
      <c r="Q15" s="55" t="s">
        <v>221</v>
      </c>
      <c r="R15" s="55" t="s">
        <v>221</v>
      </c>
      <c r="S15" s="55" t="s">
        <v>74</v>
      </c>
      <c r="T15" s="50" t="s">
        <v>221</v>
      </c>
      <c r="U15" s="29"/>
      <c r="V15" s="50" t="s">
        <v>221</v>
      </c>
      <c r="W15" s="50" t="s">
        <v>221</v>
      </c>
      <c r="X15" s="50" t="s">
        <v>74</v>
      </c>
      <c r="Y15" s="50" t="s">
        <v>221</v>
      </c>
      <c r="Z15" s="50" t="s">
        <v>221</v>
      </c>
      <c r="AA15" s="50" t="s">
        <v>221</v>
      </c>
      <c r="AB15" s="29"/>
      <c r="AC15" s="50" t="s">
        <v>221</v>
      </c>
      <c r="AD15" s="50" t="s">
        <v>74</v>
      </c>
      <c r="AE15" s="55" t="s">
        <v>221</v>
      </c>
      <c r="AF15" s="55" t="s">
        <v>221</v>
      </c>
      <c r="AG15" s="55" t="s">
        <v>221</v>
      </c>
      <c r="AH15" s="50" t="s">
        <v>74</v>
      </c>
      <c r="AI15" s="29"/>
      <c r="AJ15" s="50" t="s">
        <v>221</v>
      </c>
      <c r="AK15" s="50" t="s">
        <v>221</v>
      </c>
      <c r="AL15" s="50" t="s">
        <v>221</v>
      </c>
      <c r="AM15" s="50" t="s">
        <v>74</v>
      </c>
      <c r="AN15" s="50" t="s">
        <v>221</v>
      </c>
      <c r="AO15" s="55" t="s">
        <v>221</v>
      </c>
      <c r="AP15" s="29"/>
      <c r="AQ15" s="55" t="s">
        <v>221</v>
      </c>
      <c r="AR15" s="55" t="s">
        <v>74</v>
      </c>
      <c r="AS15" s="55" t="s">
        <v>221</v>
      </c>
      <c r="AT15" s="55" t="s">
        <v>221</v>
      </c>
      <c r="AU15" s="55" t="s">
        <v>221</v>
      </c>
      <c r="AV15" s="55" t="s">
        <v>74</v>
      </c>
      <c r="AW15" s="29"/>
      <c r="AX15" s="55" t="s">
        <v>74</v>
      </c>
      <c r="AY15" s="55" t="s">
        <v>221</v>
      </c>
      <c r="AZ15" s="55" t="s">
        <v>221</v>
      </c>
      <c r="BA15" s="55" t="s">
        <v>221</v>
      </c>
      <c r="BB15" s="55" t="s">
        <v>74</v>
      </c>
      <c r="BC15" s="55" t="s">
        <v>221</v>
      </c>
      <c r="BD15" s="29"/>
      <c r="BE15" s="55" t="s">
        <v>221</v>
      </c>
      <c r="BF15" s="55" t="s">
        <v>74</v>
      </c>
      <c r="BG15" s="55" t="s">
        <v>221</v>
      </c>
      <c r="BH15" s="55" t="s">
        <v>74</v>
      </c>
      <c r="BI15" s="55" t="s">
        <v>221</v>
      </c>
      <c r="BJ15" s="55" t="s">
        <v>74</v>
      </c>
      <c r="BK15" s="59"/>
      <c r="BL15" s="59"/>
      <c r="BM15" s="59"/>
      <c r="BN15" s="59"/>
      <c r="BO15" s="59"/>
      <c r="BP15" s="59"/>
      <c r="BQ15" s="59"/>
      <c r="BR15" s="59"/>
      <c r="BS15" s="59"/>
      <c r="BT15" s="59"/>
      <c r="BU15" s="59"/>
      <c r="BV15" s="59"/>
    </row>
    <row r="16" outlineLevel="1">
      <c r="A16" s="50">
        <v>13.0</v>
      </c>
      <c r="B16" s="51" t="s">
        <v>315</v>
      </c>
      <c r="C16" s="46" t="s">
        <v>317</v>
      </c>
      <c r="D16" s="33">
        <f t="shared" si="3"/>
        <v>32</v>
      </c>
      <c r="E16" s="33">
        <f t="shared" si="4"/>
        <v>16</v>
      </c>
      <c r="F16" s="33">
        <f t="shared" si="5"/>
        <v>48</v>
      </c>
      <c r="G16" s="54">
        <f t="shared" si="6"/>
        <v>66.66666667</v>
      </c>
      <c r="H16" s="55" t="s">
        <v>221</v>
      </c>
      <c r="I16" s="55" t="s">
        <v>74</v>
      </c>
      <c r="J16" s="55" t="s">
        <v>74</v>
      </c>
      <c r="K16" s="55" t="s">
        <v>221</v>
      </c>
      <c r="L16" s="55" t="s">
        <v>221</v>
      </c>
      <c r="M16" s="55" t="s">
        <v>221</v>
      </c>
      <c r="N16" s="29"/>
      <c r="O16" s="55" t="s">
        <v>221</v>
      </c>
      <c r="P16" s="55" t="s">
        <v>74</v>
      </c>
      <c r="Q16" s="55" t="s">
        <v>221</v>
      </c>
      <c r="R16" s="55" t="s">
        <v>221</v>
      </c>
      <c r="S16" s="55" t="s">
        <v>221</v>
      </c>
      <c r="T16" s="50" t="s">
        <v>221</v>
      </c>
      <c r="U16" s="29"/>
      <c r="V16" s="50" t="s">
        <v>221</v>
      </c>
      <c r="W16" s="50" t="s">
        <v>221</v>
      </c>
      <c r="X16" s="50" t="s">
        <v>221</v>
      </c>
      <c r="Y16" s="50" t="s">
        <v>74</v>
      </c>
      <c r="Z16" s="50" t="s">
        <v>221</v>
      </c>
      <c r="AA16" s="50" t="s">
        <v>221</v>
      </c>
      <c r="AB16" s="29"/>
      <c r="AC16" s="50" t="s">
        <v>221</v>
      </c>
      <c r="AD16" s="50" t="s">
        <v>74</v>
      </c>
      <c r="AE16" s="55" t="s">
        <v>221</v>
      </c>
      <c r="AF16" s="55" t="s">
        <v>221</v>
      </c>
      <c r="AG16" s="55" t="s">
        <v>221</v>
      </c>
      <c r="AH16" s="50" t="s">
        <v>74</v>
      </c>
      <c r="AI16" s="29"/>
      <c r="AJ16" s="50" t="s">
        <v>221</v>
      </c>
      <c r="AK16" s="50" t="s">
        <v>221</v>
      </c>
      <c r="AL16" s="50" t="s">
        <v>221</v>
      </c>
      <c r="AM16" s="50" t="s">
        <v>221</v>
      </c>
      <c r="AN16" s="50" t="s">
        <v>221</v>
      </c>
      <c r="AO16" s="55" t="s">
        <v>221</v>
      </c>
      <c r="AP16" s="29"/>
      <c r="AQ16" s="55" t="s">
        <v>221</v>
      </c>
      <c r="AR16" s="55" t="s">
        <v>221</v>
      </c>
      <c r="AS16" s="55" t="s">
        <v>221</v>
      </c>
      <c r="AT16" s="55" t="s">
        <v>221</v>
      </c>
      <c r="AU16" s="55" t="s">
        <v>221</v>
      </c>
      <c r="AV16" s="55" t="s">
        <v>221</v>
      </c>
      <c r="AW16" s="29"/>
      <c r="AX16" s="55" t="s">
        <v>74</v>
      </c>
      <c r="AY16" s="55" t="s">
        <v>221</v>
      </c>
      <c r="AZ16" s="55" t="s">
        <v>221</v>
      </c>
      <c r="BA16" s="55" t="s">
        <v>74</v>
      </c>
      <c r="BB16" s="55" t="s">
        <v>74</v>
      </c>
      <c r="BC16" s="55" t="s">
        <v>74</v>
      </c>
      <c r="BD16" s="29"/>
      <c r="BE16" s="55" t="s">
        <v>74</v>
      </c>
      <c r="BF16" s="55" t="s">
        <v>74</v>
      </c>
      <c r="BG16" s="55" t="s">
        <v>74</v>
      </c>
      <c r="BH16" s="55" t="s">
        <v>74</v>
      </c>
      <c r="BI16" s="55" t="s">
        <v>74</v>
      </c>
      <c r="BJ16" s="55" t="s">
        <v>74</v>
      </c>
      <c r="BK16" s="59"/>
      <c r="BL16" s="59"/>
      <c r="BM16" s="59"/>
      <c r="BN16" s="59"/>
      <c r="BO16" s="59"/>
      <c r="BP16" s="59"/>
      <c r="BQ16" s="59"/>
      <c r="BR16" s="59"/>
      <c r="BS16" s="59"/>
      <c r="BT16" s="59"/>
      <c r="BU16" s="59"/>
      <c r="BV16" s="59"/>
    </row>
    <row r="17" outlineLevel="1">
      <c r="A17" s="50">
        <v>14.0</v>
      </c>
      <c r="B17" s="51" t="s">
        <v>383</v>
      </c>
      <c r="C17" s="46" t="s">
        <v>385</v>
      </c>
      <c r="D17" s="33">
        <f t="shared" si="3"/>
        <v>25</v>
      </c>
      <c r="E17" s="33">
        <f t="shared" si="4"/>
        <v>23</v>
      </c>
      <c r="F17" s="33">
        <f t="shared" si="5"/>
        <v>48</v>
      </c>
      <c r="G17" s="54">
        <f t="shared" si="6"/>
        <v>52.08333333</v>
      </c>
      <c r="H17" s="55" t="s">
        <v>221</v>
      </c>
      <c r="I17" s="55" t="s">
        <v>74</v>
      </c>
      <c r="J17" s="55" t="s">
        <v>221</v>
      </c>
      <c r="K17" s="55" t="s">
        <v>221</v>
      </c>
      <c r="L17" s="55" t="s">
        <v>221</v>
      </c>
      <c r="M17" s="55" t="s">
        <v>221</v>
      </c>
      <c r="N17" s="29"/>
      <c r="O17" s="55" t="s">
        <v>74</v>
      </c>
      <c r="P17" s="55" t="s">
        <v>221</v>
      </c>
      <c r="Q17" s="55" t="s">
        <v>221</v>
      </c>
      <c r="R17" s="55" t="s">
        <v>221</v>
      </c>
      <c r="S17" s="55" t="s">
        <v>221</v>
      </c>
      <c r="T17" s="50" t="s">
        <v>74</v>
      </c>
      <c r="U17" s="29"/>
      <c r="V17" s="50" t="s">
        <v>221</v>
      </c>
      <c r="W17" s="50" t="s">
        <v>221</v>
      </c>
      <c r="X17" s="50" t="s">
        <v>74</v>
      </c>
      <c r="Y17" s="50" t="s">
        <v>74</v>
      </c>
      <c r="Z17" s="50" t="s">
        <v>74</v>
      </c>
      <c r="AA17" s="50" t="s">
        <v>74</v>
      </c>
      <c r="AB17" s="29"/>
      <c r="AC17" s="50" t="s">
        <v>74</v>
      </c>
      <c r="AD17" s="50" t="s">
        <v>74</v>
      </c>
      <c r="AE17" s="55" t="s">
        <v>74</v>
      </c>
      <c r="AF17" s="55" t="s">
        <v>74</v>
      </c>
      <c r="AG17" s="55" t="s">
        <v>74</v>
      </c>
      <c r="AH17" s="50" t="s">
        <v>74</v>
      </c>
      <c r="AI17" s="29"/>
      <c r="AJ17" s="50" t="s">
        <v>221</v>
      </c>
      <c r="AK17" s="50" t="s">
        <v>221</v>
      </c>
      <c r="AL17" s="50" t="s">
        <v>221</v>
      </c>
      <c r="AM17" s="50" t="s">
        <v>221</v>
      </c>
      <c r="AN17" s="50" t="s">
        <v>221</v>
      </c>
      <c r="AO17" s="55" t="s">
        <v>221</v>
      </c>
      <c r="AP17" s="29"/>
      <c r="AQ17" s="55" t="s">
        <v>221</v>
      </c>
      <c r="AR17" s="55" t="s">
        <v>74</v>
      </c>
      <c r="AS17" s="55" t="s">
        <v>221</v>
      </c>
      <c r="AT17" s="55" t="s">
        <v>74</v>
      </c>
      <c r="AU17" s="55" t="s">
        <v>221</v>
      </c>
      <c r="AV17" s="55" t="s">
        <v>74</v>
      </c>
      <c r="AW17" s="29"/>
      <c r="AX17" s="55" t="s">
        <v>74</v>
      </c>
      <c r="AY17" s="55" t="s">
        <v>221</v>
      </c>
      <c r="AZ17" s="55" t="s">
        <v>221</v>
      </c>
      <c r="BA17" s="55" t="s">
        <v>74</v>
      </c>
      <c r="BB17" s="55" t="s">
        <v>74</v>
      </c>
      <c r="BC17" s="55" t="s">
        <v>74</v>
      </c>
      <c r="BD17" s="29"/>
      <c r="BE17" s="55" t="s">
        <v>74</v>
      </c>
      <c r="BF17" s="55" t="s">
        <v>221</v>
      </c>
      <c r="BG17" s="55" t="s">
        <v>221</v>
      </c>
      <c r="BH17" s="55" t="s">
        <v>221</v>
      </c>
      <c r="BI17" s="55" t="s">
        <v>74</v>
      </c>
      <c r="BJ17" s="55" t="s">
        <v>74</v>
      </c>
      <c r="BK17" s="59"/>
      <c r="BL17" s="59"/>
      <c r="BM17" s="59"/>
      <c r="BN17" s="59"/>
      <c r="BO17" s="59"/>
      <c r="BP17" s="59"/>
      <c r="BQ17" s="59"/>
      <c r="BR17" s="59"/>
      <c r="BS17" s="59"/>
      <c r="BT17" s="59"/>
      <c r="BU17" s="59"/>
      <c r="BV17" s="59"/>
    </row>
    <row r="18" outlineLevel="1">
      <c r="A18" s="50">
        <v>15.0</v>
      </c>
      <c r="B18" s="34" t="s">
        <v>598</v>
      </c>
      <c r="C18" s="46" t="s">
        <v>599</v>
      </c>
      <c r="D18" s="33">
        <f t="shared" si="3"/>
        <v>0</v>
      </c>
      <c r="E18" s="33">
        <f t="shared" si="4"/>
        <v>48</v>
      </c>
      <c r="F18" s="33">
        <f t="shared" si="5"/>
        <v>48</v>
      </c>
      <c r="G18" s="54">
        <f t="shared" si="6"/>
        <v>0</v>
      </c>
      <c r="H18" s="55" t="s">
        <v>74</v>
      </c>
      <c r="I18" s="55" t="s">
        <v>74</v>
      </c>
      <c r="J18" s="55" t="s">
        <v>74</v>
      </c>
      <c r="K18" s="55" t="s">
        <v>74</v>
      </c>
      <c r="L18" s="55" t="s">
        <v>74</v>
      </c>
      <c r="M18" s="55" t="s">
        <v>74</v>
      </c>
      <c r="N18" s="29"/>
      <c r="O18" s="55" t="s">
        <v>74</v>
      </c>
      <c r="P18" s="55" t="s">
        <v>74</v>
      </c>
      <c r="Q18" s="55" t="s">
        <v>74</v>
      </c>
      <c r="R18" s="55" t="s">
        <v>74</v>
      </c>
      <c r="S18" s="55" t="s">
        <v>74</v>
      </c>
      <c r="T18" s="50" t="s">
        <v>74</v>
      </c>
      <c r="U18" s="29"/>
      <c r="V18" s="50" t="s">
        <v>74</v>
      </c>
      <c r="W18" s="50" t="s">
        <v>74</v>
      </c>
      <c r="X18" s="50" t="s">
        <v>74</v>
      </c>
      <c r="Y18" s="50" t="s">
        <v>74</v>
      </c>
      <c r="Z18" s="50" t="s">
        <v>74</v>
      </c>
      <c r="AA18" s="50" t="s">
        <v>74</v>
      </c>
      <c r="AB18" s="29"/>
      <c r="AC18" s="50" t="s">
        <v>74</v>
      </c>
      <c r="AD18" s="50" t="s">
        <v>74</v>
      </c>
      <c r="AE18" s="55" t="s">
        <v>74</v>
      </c>
      <c r="AF18" s="55" t="s">
        <v>74</v>
      </c>
      <c r="AG18" s="55" t="s">
        <v>74</v>
      </c>
      <c r="AH18" s="50" t="s">
        <v>74</v>
      </c>
      <c r="AI18" s="29"/>
      <c r="AJ18" s="50" t="s">
        <v>74</v>
      </c>
      <c r="AK18" s="50" t="s">
        <v>74</v>
      </c>
      <c r="AL18" s="50" t="s">
        <v>74</v>
      </c>
      <c r="AM18" s="50" t="s">
        <v>74</v>
      </c>
      <c r="AN18" s="50" t="s">
        <v>74</v>
      </c>
      <c r="AO18" s="55" t="s">
        <v>74</v>
      </c>
      <c r="AP18" s="29"/>
      <c r="AQ18" s="55" t="s">
        <v>74</v>
      </c>
      <c r="AR18" s="55" t="s">
        <v>74</v>
      </c>
      <c r="AS18" s="55" t="s">
        <v>74</v>
      </c>
      <c r="AT18" s="55" t="s">
        <v>74</v>
      </c>
      <c r="AU18" s="55" t="s">
        <v>74</v>
      </c>
      <c r="AV18" s="55" t="s">
        <v>74</v>
      </c>
      <c r="AW18" s="29"/>
      <c r="AX18" s="55" t="s">
        <v>74</v>
      </c>
      <c r="AY18" s="55" t="s">
        <v>74</v>
      </c>
      <c r="AZ18" s="55" t="s">
        <v>74</v>
      </c>
      <c r="BA18" s="55" t="s">
        <v>74</v>
      </c>
      <c r="BB18" s="55" t="s">
        <v>74</v>
      </c>
      <c r="BC18" s="55" t="s">
        <v>74</v>
      </c>
      <c r="BD18" s="29"/>
      <c r="BE18" s="55" t="s">
        <v>74</v>
      </c>
      <c r="BF18" s="55" t="s">
        <v>74</v>
      </c>
      <c r="BG18" s="55" t="s">
        <v>74</v>
      </c>
      <c r="BH18" s="55" t="s">
        <v>74</v>
      </c>
      <c r="BI18" s="55" t="s">
        <v>74</v>
      </c>
      <c r="BJ18" s="55" t="s">
        <v>74</v>
      </c>
      <c r="BK18" s="59"/>
      <c r="BL18" s="59"/>
      <c r="BM18" s="59"/>
      <c r="BN18" s="59"/>
      <c r="BO18" s="59"/>
      <c r="BP18" s="59"/>
      <c r="BQ18" s="59"/>
      <c r="BR18" s="59"/>
      <c r="BS18" s="59"/>
      <c r="BT18" s="59"/>
      <c r="BU18" s="59"/>
      <c r="BV18" s="59"/>
    </row>
    <row r="19" outlineLevel="1">
      <c r="A19" s="50">
        <v>16.0</v>
      </c>
      <c r="B19" s="34" t="s">
        <v>623</v>
      </c>
      <c r="C19" s="46" t="s">
        <v>624</v>
      </c>
      <c r="D19" s="33">
        <f t="shared" si="3"/>
        <v>38</v>
      </c>
      <c r="E19" s="33">
        <f t="shared" si="4"/>
        <v>10</v>
      </c>
      <c r="F19" s="33">
        <f t="shared" si="5"/>
        <v>48</v>
      </c>
      <c r="G19" s="54">
        <f t="shared" si="6"/>
        <v>79.16666667</v>
      </c>
      <c r="H19" s="36" t="s">
        <v>221</v>
      </c>
      <c r="I19" s="36" t="s">
        <v>74</v>
      </c>
      <c r="J19" s="36" t="s">
        <v>221</v>
      </c>
      <c r="K19" s="36" t="s">
        <v>221</v>
      </c>
      <c r="L19" s="36" t="s">
        <v>74</v>
      </c>
      <c r="M19" s="36" t="s">
        <v>221</v>
      </c>
      <c r="N19" s="29"/>
      <c r="O19" s="36" t="s">
        <v>366</v>
      </c>
      <c r="P19" s="36" t="s">
        <v>366</v>
      </c>
      <c r="Q19" s="36" t="s">
        <v>366</v>
      </c>
      <c r="R19" s="36" t="s">
        <v>366</v>
      </c>
      <c r="S19" s="36" t="s">
        <v>221</v>
      </c>
      <c r="T19" s="18" t="s">
        <v>366</v>
      </c>
      <c r="U19" s="29"/>
      <c r="V19" s="18" t="s">
        <v>221</v>
      </c>
      <c r="W19" s="18" t="s">
        <v>221</v>
      </c>
      <c r="X19" s="18" t="s">
        <v>74</v>
      </c>
      <c r="Y19" s="18" t="s">
        <v>221</v>
      </c>
      <c r="Z19" s="18" t="s">
        <v>74</v>
      </c>
      <c r="AA19" s="18" t="s">
        <v>74</v>
      </c>
      <c r="AB19" s="29"/>
      <c r="AC19" s="18" t="s">
        <v>74</v>
      </c>
      <c r="AD19" s="18" t="s">
        <v>221</v>
      </c>
      <c r="AE19" s="36" t="s">
        <v>221</v>
      </c>
      <c r="AF19" s="36" t="s">
        <v>221</v>
      </c>
      <c r="AG19" s="36" t="s">
        <v>221</v>
      </c>
      <c r="AH19" s="18" t="s">
        <v>366</v>
      </c>
      <c r="AI19" s="29"/>
      <c r="AJ19" s="18" t="s">
        <v>221</v>
      </c>
      <c r="AK19" s="18" t="s">
        <v>221</v>
      </c>
      <c r="AL19" s="18" t="s">
        <v>221</v>
      </c>
      <c r="AM19" s="18" t="s">
        <v>221</v>
      </c>
      <c r="AN19" s="18" t="s">
        <v>221</v>
      </c>
      <c r="AO19" s="36" t="s">
        <v>221</v>
      </c>
      <c r="AP19" s="29"/>
      <c r="AQ19" s="36" t="s">
        <v>221</v>
      </c>
      <c r="AR19" s="36" t="s">
        <v>366</v>
      </c>
      <c r="AS19" s="36" t="s">
        <v>221</v>
      </c>
      <c r="AT19" s="36" t="s">
        <v>221</v>
      </c>
      <c r="AU19" s="36" t="s">
        <v>221</v>
      </c>
      <c r="AV19" s="36" t="s">
        <v>221</v>
      </c>
      <c r="AW19" s="29"/>
      <c r="AX19" s="36" t="s">
        <v>221</v>
      </c>
      <c r="AY19" s="36" t="s">
        <v>221</v>
      </c>
      <c r="AZ19" s="36" t="s">
        <v>221</v>
      </c>
      <c r="BA19" s="36" t="s">
        <v>221</v>
      </c>
      <c r="BB19" s="36" t="s">
        <v>221</v>
      </c>
      <c r="BC19" s="36" t="s">
        <v>221</v>
      </c>
      <c r="BD19" s="29"/>
      <c r="BE19" s="36" t="s">
        <v>221</v>
      </c>
      <c r="BF19" s="36" t="s">
        <v>221</v>
      </c>
      <c r="BG19" s="36" t="s">
        <v>74</v>
      </c>
      <c r="BH19" s="36" t="s">
        <v>74</v>
      </c>
      <c r="BI19" s="36" t="s">
        <v>74</v>
      </c>
      <c r="BJ19" s="36" t="s">
        <v>74</v>
      </c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</row>
    <row r="20" outlineLevel="1">
      <c r="A20" s="50">
        <v>17.0</v>
      </c>
      <c r="B20" s="67" t="s">
        <v>647</v>
      </c>
      <c r="C20" s="63" t="s">
        <v>649</v>
      </c>
      <c r="D20" s="33">
        <f t="shared" si="3"/>
        <v>42</v>
      </c>
      <c r="E20" s="33">
        <f t="shared" si="4"/>
        <v>6</v>
      </c>
      <c r="F20" s="33">
        <f t="shared" si="5"/>
        <v>48</v>
      </c>
      <c r="G20" s="54">
        <f t="shared" si="6"/>
        <v>87.5</v>
      </c>
      <c r="H20" s="36" t="s">
        <v>366</v>
      </c>
      <c r="I20" s="36" t="s">
        <v>74</v>
      </c>
      <c r="J20" s="36" t="s">
        <v>221</v>
      </c>
      <c r="K20" s="36" t="s">
        <v>366</v>
      </c>
      <c r="L20" s="36" t="s">
        <v>366</v>
      </c>
      <c r="M20" s="36" t="s">
        <v>366</v>
      </c>
      <c r="N20" s="29"/>
      <c r="O20" s="36" t="s">
        <v>366</v>
      </c>
      <c r="P20" s="36" t="s">
        <v>366</v>
      </c>
      <c r="Q20" s="36" t="s">
        <v>366</v>
      </c>
      <c r="R20" s="36" t="s">
        <v>366</v>
      </c>
      <c r="S20" s="36" t="s">
        <v>366</v>
      </c>
      <c r="T20" s="36" t="s">
        <v>366</v>
      </c>
      <c r="U20" s="29"/>
      <c r="V20" s="36" t="s">
        <v>366</v>
      </c>
      <c r="W20" s="36" t="s">
        <v>366</v>
      </c>
      <c r="X20" s="36" t="s">
        <v>366</v>
      </c>
      <c r="Y20" s="36" t="s">
        <v>366</v>
      </c>
      <c r="Z20" s="36" t="s">
        <v>366</v>
      </c>
      <c r="AA20" s="36" t="s">
        <v>366</v>
      </c>
      <c r="AB20" s="29"/>
      <c r="AC20" s="36" t="s">
        <v>366</v>
      </c>
      <c r="AD20" s="36" t="s">
        <v>366</v>
      </c>
      <c r="AE20" s="36" t="s">
        <v>366</v>
      </c>
      <c r="AF20" s="36" t="s">
        <v>366</v>
      </c>
      <c r="AG20" s="36" t="s">
        <v>366</v>
      </c>
      <c r="AH20" s="18" t="s">
        <v>366</v>
      </c>
      <c r="AI20" s="29"/>
      <c r="AJ20" s="18" t="s">
        <v>366</v>
      </c>
      <c r="AK20" s="18" t="s">
        <v>366</v>
      </c>
      <c r="AL20" s="18" t="s">
        <v>366</v>
      </c>
      <c r="AM20" s="18" t="s">
        <v>366</v>
      </c>
      <c r="AN20" s="18" t="s">
        <v>366</v>
      </c>
      <c r="AO20" s="36" t="s">
        <v>366</v>
      </c>
      <c r="AP20" s="29"/>
      <c r="AQ20" s="36" t="s">
        <v>366</v>
      </c>
      <c r="AR20" s="36" t="s">
        <v>366</v>
      </c>
      <c r="AS20" s="36" t="s">
        <v>366</v>
      </c>
      <c r="AT20" s="36" t="s">
        <v>366</v>
      </c>
      <c r="AU20" s="36" t="s">
        <v>366</v>
      </c>
      <c r="AV20" s="36" t="s">
        <v>366</v>
      </c>
      <c r="AW20" s="29"/>
      <c r="AX20" s="36" t="s">
        <v>221</v>
      </c>
      <c r="AY20" s="36" t="s">
        <v>74</v>
      </c>
      <c r="AZ20" s="36" t="s">
        <v>221</v>
      </c>
      <c r="BA20" s="36" t="s">
        <v>74</v>
      </c>
      <c r="BB20" s="36" t="s">
        <v>221</v>
      </c>
      <c r="BC20" s="36" t="s">
        <v>221</v>
      </c>
      <c r="BD20" s="29"/>
      <c r="BE20" s="36" t="s">
        <v>74</v>
      </c>
      <c r="BF20" s="36" t="s">
        <v>221</v>
      </c>
      <c r="BG20" s="36" t="s">
        <v>221</v>
      </c>
      <c r="BH20" s="36" t="s">
        <v>221</v>
      </c>
      <c r="BI20" s="36" t="s">
        <v>74</v>
      </c>
      <c r="BJ20" s="36" t="s">
        <v>74</v>
      </c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</row>
    <row r="21" outlineLevel="1">
      <c r="A21" s="50">
        <v>18.0</v>
      </c>
      <c r="B21" s="34" t="s">
        <v>140</v>
      </c>
      <c r="C21" s="46" t="s">
        <v>143</v>
      </c>
      <c r="D21" s="33">
        <f t="shared" si="3"/>
        <v>26</v>
      </c>
      <c r="E21" s="33">
        <f t="shared" si="4"/>
        <v>22</v>
      </c>
      <c r="F21" s="33">
        <f t="shared" si="5"/>
        <v>48</v>
      </c>
      <c r="G21" s="54">
        <f t="shared" si="6"/>
        <v>54.16666667</v>
      </c>
      <c r="H21" s="55" t="s">
        <v>221</v>
      </c>
      <c r="I21" s="55" t="s">
        <v>74</v>
      </c>
      <c r="J21" s="55" t="s">
        <v>74</v>
      </c>
      <c r="K21" s="55" t="s">
        <v>221</v>
      </c>
      <c r="L21" s="55" t="s">
        <v>221</v>
      </c>
      <c r="M21" s="55" t="s">
        <v>221</v>
      </c>
      <c r="N21" s="29"/>
      <c r="O21" s="55" t="s">
        <v>221</v>
      </c>
      <c r="P21" s="55" t="s">
        <v>221</v>
      </c>
      <c r="Q21" s="55" t="s">
        <v>221</v>
      </c>
      <c r="R21" s="55" t="s">
        <v>221</v>
      </c>
      <c r="S21" s="55" t="s">
        <v>74</v>
      </c>
      <c r="T21" s="50" t="s">
        <v>221</v>
      </c>
      <c r="U21" s="29"/>
      <c r="V21" s="50" t="s">
        <v>221</v>
      </c>
      <c r="W21" s="50" t="s">
        <v>74</v>
      </c>
      <c r="X21" s="50" t="s">
        <v>74</v>
      </c>
      <c r="Y21" s="50" t="s">
        <v>74</v>
      </c>
      <c r="Z21" s="50" t="s">
        <v>221</v>
      </c>
      <c r="AA21" s="50" t="s">
        <v>221</v>
      </c>
      <c r="AB21" s="29"/>
      <c r="AC21" s="50" t="s">
        <v>221</v>
      </c>
      <c r="AD21" s="50" t="s">
        <v>74</v>
      </c>
      <c r="AE21" s="55" t="s">
        <v>221</v>
      </c>
      <c r="AF21" s="55" t="s">
        <v>221</v>
      </c>
      <c r="AG21" s="55" t="s">
        <v>221</v>
      </c>
      <c r="AH21" s="50" t="s">
        <v>74</v>
      </c>
      <c r="AI21" s="29"/>
      <c r="AJ21" s="50" t="s">
        <v>74</v>
      </c>
      <c r="AK21" s="50" t="s">
        <v>74</v>
      </c>
      <c r="AL21" s="50" t="s">
        <v>221</v>
      </c>
      <c r="AM21" s="50" t="s">
        <v>74</v>
      </c>
      <c r="AN21" s="50" t="s">
        <v>74</v>
      </c>
      <c r="AO21" s="55" t="s">
        <v>74</v>
      </c>
      <c r="AP21" s="29"/>
      <c r="AQ21" s="55" t="s">
        <v>221</v>
      </c>
      <c r="AR21" s="55" t="s">
        <v>221</v>
      </c>
      <c r="AS21" s="55" t="s">
        <v>221</v>
      </c>
      <c r="AT21" s="55" t="s">
        <v>221</v>
      </c>
      <c r="AU21" s="55" t="s">
        <v>221</v>
      </c>
      <c r="AV21" s="55" t="s">
        <v>221</v>
      </c>
      <c r="AW21" s="29"/>
      <c r="AX21" s="55" t="s">
        <v>221</v>
      </c>
      <c r="AY21" s="55" t="s">
        <v>74</v>
      </c>
      <c r="AZ21" s="55" t="s">
        <v>74</v>
      </c>
      <c r="BA21" s="55" t="s">
        <v>74</v>
      </c>
      <c r="BB21" s="55" t="s">
        <v>221</v>
      </c>
      <c r="BC21" s="55" t="s">
        <v>221</v>
      </c>
      <c r="BD21" s="29"/>
      <c r="BE21" s="55" t="s">
        <v>74</v>
      </c>
      <c r="BF21" s="55" t="s">
        <v>74</v>
      </c>
      <c r="BG21" s="55" t="s">
        <v>74</v>
      </c>
      <c r="BH21" s="55" t="s">
        <v>74</v>
      </c>
      <c r="BI21" s="55" t="s">
        <v>74</v>
      </c>
      <c r="BJ21" s="55" t="s">
        <v>74</v>
      </c>
      <c r="BK21" s="59"/>
      <c r="BL21" s="59"/>
      <c r="BM21" s="59"/>
      <c r="BN21" s="59"/>
      <c r="BO21" s="59"/>
      <c r="BP21" s="59"/>
      <c r="BQ21" s="59"/>
      <c r="BR21" s="59"/>
      <c r="BS21" s="59"/>
      <c r="BT21" s="59"/>
      <c r="BU21" s="59"/>
      <c r="BV21" s="59"/>
    </row>
    <row r="22" outlineLevel="1">
      <c r="A22" s="50">
        <v>19.0</v>
      </c>
      <c r="B22" s="34" t="s">
        <v>690</v>
      </c>
      <c r="C22" s="46" t="s">
        <v>691</v>
      </c>
      <c r="D22" s="33">
        <f t="shared" si="3"/>
        <v>9</v>
      </c>
      <c r="E22" s="33">
        <f t="shared" si="4"/>
        <v>39</v>
      </c>
      <c r="F22" s="33">
        <f t="shared" si="5"/>
        <v>48</v>
      </c>
      <c r="G22" s="54">
        <f t="shared" si="6"/>
        <v>18.75</v>
      </c>
      <c r="H22" s="36" t="s">
        <v>74</v>
      </c>
      <c r="I22" s="36" t="s">
        <v>74</v>
      </c>
      <c r="J22" s="36" t="s">
        <v>74</v>
      </c>
      <c r="K22" s="36" t="s">
        <v>74</v>
      </c>
      <c r="L22" s="36" t="s">
        <v>74</v>
      </c>
      <c r="M22" s="36" t="s">
        <v>74</v>
      </c>
      <c r="N22" s="29"/>
      <c r="O22" s="36" t="s">
        <v>74</v>
      </c>
      <c r="P22" s="36" t="s">
        <v>74</v>
      </c>
      <c r="Q22" s="36" t="s">
        <v>74</v>
      </c>
      <c r="R22" s="36" t="s">
        <v>74</v>
      </c>
      <c r="S22" s="36" t="s">
        <v>221</v>
      </c>
      <c r="T22" s="18" t="s">
        <v>221</v>
      </c>
      <c r="U22" s="29"/>
      <c r="V22" s="18" t="s">
        <v>74</v>
      </c>
      <c r="W22" s="18" t="s">
        <v>74</v>
      </c>
      <c r="X22" s="18" t="s">
        <v>74</v>
      </c>
      <c r="Y22" s="18" t="s">
        <v>74</v>
      </c>
      <c r="Z22" s="18" t="s">
        <v>74</v>
      </c>
      <c r="AA22" s="18" t="s">
        <v>74</v>
      </c>
      <c r="AB22" s="29"/>
      <c r="AC22" s="18" t="s">
        <v>74</v>
      </c>
      <c r="AD22" s="18" t="s">
        <v>74</v>
      </c>
      <c r="AE22" s="36" t="s">
        <v>74</v>
      </c>
      <c r="AF22" s="36" t="s">
        <v>74</v>
      </c>
      <c r="AG22" s="36" t="s">
        <v>74</v>
      </c>
      <c r="AH22" s="18" t="s">
        <v>74</v>
      </c>
      <c r="AI22" s="29"/>
      <c r="AJ22" s="18" t="s">
        <v>74</v>
      </c>
      <c r="AK22" s="18" t="s">
        <v>74</v>
      </c>
      <c r="AL22" s="18" t="s">
        <v>221</v>
      </c>
      <c r="AM22" s="18" t="s">
        <v>74</v>
      </c>
      <c r="AN22" s="18" t="s">
        <v>221</v>
      </c>
      <c r="AO22" s="36" t="s">
        <v>221</v>
      </c>
      <c r="AP22" s="29"/>
      <c r="AQ22" s="36" t="s">
        <v>74</v>
      </c>
      <c r="AR22" s="36" t="s">
        <v>74</v>
      </c>
      <c r="AS22" s="36" t="s">
        <v>74</v>
      </c>
      <c r="AT22" s="36" t="s">
        <v>221</v>
      </c>
      <c r="AU22" s="36" t="s">
        <v>221</v>
      </c>
      <c r="AV22" s="36" t="s">
        <v>74</v>
      </c>
      <c r="AW22" s="29"/>
      <c r="AX22" s="36" t="s">
        <v>74</v>
      </c>
      <c r="AY22" s="36" t="s">
        <v>74</v>
      </c>
      <c r="AZ22" s="36" t="s">
        <v>221</v>
      </c>
      <c r="BA22" s="36" t="s">
        <v>74</v>
      </c>
      <c r="BB22" s="36" t="s">
        <v>74</v>
      </c>
      <c r="BC22" s="36" t="s">
        <v>74</v>
      </c>
      <c r="BD22" s="29"/>
      <c r="BE22" s="36" t="s">
        <v>221</v>
      </c>
      <c r="BF22" s="36" t="s">
        <v>74</v>
      </c>
      <c r="BG22" s="36" t="s">
        <v>74</v>
      </c>
      <c r="BH22" s="36" t="s">
        <v>74</v>
      </c>
      <c r="BI22" s="36" t="s">
        <v>74</v>
      </c>
      <c r="BJ22" s="36" t="s">
        <v>74</v>
      </c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</row>
    <row r="23" outlineLevel="1">
      <c r="A23" s="50">
        <v>20.0</v>
      </c>
      <c r="B23" s="34" t="s">
        <v>480</v>
      </c>
      <c r="C23" s="46" t="s">
        <v>482</v>
      </c>
      <c r="D23" s="33">
        <f t="shared" si="3"/>
        <v>44</v>
      </c>
      <c r="E23" s="33">
        <f t="shared" si="4"/>
        <v>4</v>
      </c>
      <c r="F23" s="33">
        <f t="shared" si="5"/>
        <v>48</v>
      </c>
      <c r="G23" s="54">
        <f t="shared" si="6"/>
        <v>91.66666667</v>
      </c>
      <c r="H23" s="55" t="s">
        <v>221</v>
      </c>
      <c r="I23" s="55" t="s">
        <v>221</v>
      </c>
      <c r="J23" s="55" t="s">
        <v>221</v>
      </c>
      <c r="K23" s="55" t="s">
        <v>221</v>
      </c>
      <c r="L23" s="55" t="s">
        <v>221</v>
      </c>
      <c r="M23" s="55" t="s">
        <v>221</v>
      </c>
      <c r="N23" s="29"/>
      <c r="O23" s="55" t="s">
        <v>221</v>
      </c>
      <c r="P23" s="55" t="s">
        <v>221</v>
      </c>
      <c r="Q23" s="55" t="s">
        <v>221</v>
      </c>
      <c r="R23" s="55" t="s">
        <v>221</v>
      </c>
      <c r="S23" s="55" t="s">
        <v>221</v>
      </c>
      <c r="T23" s="50" t="s">
        <v>221</v>
      </c>
      <c r="U23" s="29"/>
      <c r="V23" s="50" t="s">
        <v>221</v>
      </c>
      <c r="W23" s="50" t="s">
        <v>221</v>
      </c>
      <c r="X23" s="50" t="s">
        <v>221</v>
      </c>
      <c r="Y23" s="50" t="s">
        <v>221</v>
      </c>
      <c r="Z23" s="50" t="s">
        <v>221</v>
      </c>
      <c r="AA23" s="50" t="s">
        <v>221</v>
      </c>
      <c r="AB23" s="29"/>
      <c r="AC23" s="50" t="s">
        <v>221</v>
      </c>
      <c r="AD23" s="50" t="s">
        <v>74</v>
      </c>
      <c r="AE23" s="55" t="s">
        <v>221</v>
      </c>
      <c r="AF23" s="55" t="s">
        <v>221</v>
      </c>
      <c r="AG23" s="55" t="s">
        <v>221</v>
      </c>
      <c r="AH23" s="50" t="s">
        <v>221</v>
      </c>
      <c r="AI23" s="29"/>
      <c r="AJ23" s="50" t="s">
        <v>221</v>
      </c>
      <c r="AK23" s="50" t="s">
        <v>74</v>
      </c>
      <c r="AL23" s="50" t="s">
        <v>221</v>
      </c>
      <c r="AM23" s="50" t="s">
        <v>221</v>
      </c>
      <c r="AN23" s="50" t="s">
        <v>221</v>
      </c>
      <c r="AO23" s="55" t="s">
        <v>221</v>
      </c>
      <c r="AP23" s="29"/>
      <c r="AQ23" s="55" t="s">
        <v>221</v>
      </c>
      <c r="AR23" s="55" t="s">
        <v>221</v>
      </c>
      <c r="AS23" s="55" t="s">
        <v>221</v>
      </c>
      <c r="AT23" s="55" t="s">
        <v>221</v>
      </c>
      <c r="AU23" s="55" t="s">
        <v>221</v>
      </c>
      <c r="AV23" s="55" t="s">
        <v>74</v>
      </c>
      <c r="AW23" s="29"/>
      <c r="AX23" s="55" t="s">
        <v>221</v>
      </c>
      <c r="AY23" s="55" t="s">
        <v>221</v>
      </c>
      <c r="AZ23" s="55" t="s">
        <v>221</v>
      </c>
      <c r="BA23" s="55" t="s">
        <v>221</v>
      </c>
      <c r="BB23" s="55" t="s">
        <v>74</v>
      </c>
      <c r="BC23" s="55" t="s">
        <v>221</v>
      </c>
      <c r="BD23" s="29"/>
      <c r="BE23" s="55" t="s">
        <v>221</v>
      </c>
      <c r="BF23" s="55" t="s">
        <v>221</v>
      </c>
      <c r="BG23" s="55" t="s">
        <v>221</v>
      </c>
      <c r="BH23" s="55" t="s">
        <v>221</v>
      </c>
      <c r="BI23" s="55" t="s">
        <v>221</v>
      </c>
      <c r="BJ23" s="55" t="s">
        <v>221</v>
      </c>
      <c r="BK23" s="59"/>
      <c r="BL23" s="59"/>
      <c r="BM23" s="59"/>
      <c r="BN23" s="59"/>
      <c r="BO23" s="59"/>
      <c r="BP23" s="59"/>
      <c r="BQ23" s="59"/>
      <c r="BR23" s="59"/>
      <c r="BS23" s="59"/>
      <c r="BT23" s="59"/>
      <c r="BU23" s="59"/>
      <c r="BV23" s="59"/>
    </row>
    <row r="24" outlineLevel="1">
      <c r="A24" s="50">
        <v>21.0</v>
      </c>
      <c r="B24" s="52" t="s">
        <v>730</v>
      </c>
      <c r="C24" s="42" t="s">
        <v>106</v>
      </c>
      <c r="D24" s="33">
        <f t="shared" si="3"/>
        <v>39</v>
      </c>
      <c r="E24" s="33">
        <f t="shared" si="4"/>
        <v>9</v>
      </c>
      <c r="F24" s="33">
        <f t="shared" si="5"/>
        <v>48</v>
      </c>
      <c r="G24" s="54">
        <f t="shared" si="6"/>
        <v>81.25</v>
      </c>
      <c r="H24" s="55" t="s">
        <v>221</v>
      </c>
      <c r="I24" s="55" t="s">
        <v>221</v>
      </c>
      <c r="J24" s="55" t="s">
        <v>221</v>
      </c>
      <c r="K24" s="55" t="s">
        <v>221</v>
      </c>
      <c r="L24" s="55" t="s">
        <v>221</v>
      </c>
      <c r="M24" s="55" t="s">
        <v>221</v>
      </c>
      <c r="N24" s="29"/>
      <c r="O24" s="55" t="s">
        <v>221</v>
      </c>
      <c r="P24" s="55" t="s">
        <v>221</v>
      </c>
      <c r="Q24" s="55" t="s">
        <v>74</v>
      </c>
      <c r="R24" s="55" t="s">
        <v>221</v>
      </c>
      <c r="S24" s="55" t="s">
        <v>221</v>
      </c>
      <c r="T24" s="50" t="s">
        <v>74</v>
      </c>
      <c r="U24" s="29"/>
      <c r="V24" s="50" t="s">
        <v>221</v>
      </c>
      <c r="W24" s="50" t="s">
        <v>221</v>
      </c>
      <c r="X24" s="50" t="s">
        <v>74</v>
      </c>
      <c r="Y24" s="50" t="s">
        <v>221</v>
      </c>
      <c r="Z24" s="50" t="s">
        <v>221</v>
      </c>
      <c r="AA24" s="50" t="s">
        <v>221</v>
      </c>
      <c r="AB24" s="29"/>
      <c r="AC24" s="50" t="s">
        <v>221</v>
      </c>
      <c r="AD24" s="50" t="s">
        <v>221</v>
      </c>
      <c r="AE24" s="55" t="s">
        <v>221</v>
      </c>
      <c r="AF24" s="55" t="s">
        <v>221</v>
      </c>
      <c r="AG24" s="55" t="s">
        <v>221</v>
      </c>
      <c r="AH24" s="50" t="s">
        <v>221</v>
      </c>
      <c r="AI24" s="29"/>
      <c r="AJ24" s="50" t="s">
        <v>221</v>
      </c>
      <c r="AK24" s="50" t="s">
        <v>221</v>
      </c>
      <c r="AL24" s="50" t="s">
        <v>221</v>
      </c>
      <c r="AM24" s="50" t="s">
        <v>74</v>
      </c>
      <c r="AN24" s="50" t="s">
        <v>221</v>
      </c>
      <c r="AO24" s="55" t="s">
        <v>221</v>
      </c>
      <c r="AP24" s="29"/>
      <c r="AQ24" s="55" t="s">
        <v>221</v>
      </c>
      <c r="AR24" s="55" t="s">
        <v>221</v>
      </c>
      <c r="AS24" s="55" t="s">
        <v>221</v>
      </c>
      <c r="AT24" s="55" t="s">
        <v>74</v>
      </c>
      <c r="AU24" s="55" t="s">
        <v>221</v>
      </c>
      <c r="AV24" s="55" t="s">
        <v>221</v>
      </c>
      <c r="AW24" s="29"/>
      <c r="AX24" s="55" t="s">
        <v>221</v>
      </c>
      <c r="AY24" s="55" t="s">
        <v>221</v>
      </c>
      <c r="AZ24" s="55" t="s">
        <v>74</v>
      </c>
      <c r="BA24" s="55" t="s">
        <v>74</v>
      </c>
      <c r="BB24" s="55" t="s">
        <v>221</v>
      </c>
      <c r="BC24" s="55" t="s">
        <v>221</v>
      </c>
      <c r="BD24" s="29"/>
      <c r="BE24" s="55" t="s">
        <v>74</v>
      </c>
      <c r="BF24" s="55" t="s">
        <v>221</v>
      </c>
      <c r="BG24" s="55" t="s">
        <v>221</v>
      </c>
      <c r="BH24" s="55" t="s">
        <v>221</v>
      </c>
      <c r="BI24" s="55" t="s">
        <v>74</v>
      </c>
      <c r="BJ24" s="55" t="s">
        <v>221</v>
      </c>
      <c r="BK24" s="59"/>
      <c r="BL24" s="59"/>
      <c r="BM24" s="59"/>
      <c r="BN24" s="59"/>
      <c r="BO24" s="59"/>
      <c r="BP24" s="59"/>
      <c r="BQ24" s="59"/>
      <c r="BR24" s="59"/>
      <c r="BS24" s="59"/>
      <c r="BT24" s="59"/>
      <c r="BU24" s="59"/>
      <c r="BV24" s="59"/>
    </row>
    <row r="25" outlineLevel="1">
      <c r="A25" s="50">
        <v>22.0</v>
      </c>
      <c r="B25" s="34" t="s">
        <v>199</v>
      </c>
      <c r="C25" s="46" t="s">
        <v>201</v>
      </c>
      <c r="D25" s="33">
        <f t="shared" si="3"/>
        <v>25</v>
      </c>
      <c r="E25" s="33">
        <f t="shared" si="4"/>
        <v>23</v>
      </c>
      <c r="F25" s="33">
        <f t="shared" si="5"/>
        <v>48</v>
      </c>
      <c r="G25" s="54">
        <f t="shared" si="6"/>
        <v>52.08333333</v>
      </c>
      <c r="H25" s="55" t="s">
        <v>221</v>
      </c>
      <c r="I25" s="55" t="s">
        <v>221</v>
      </c>
      <c r="J25" s="55" t="s">
        <v>74</v>
      </c>
      <c r="K25" s="55" t="s">
        <v>74</v>
      </c>
      <c r="L25" s="55" t="s">
        <v>74</v>
      </c>
      <c r="M25" s="55" t="s">
        <v>221</v>
      </c>
      <c r="N25" s="29"/>
      <c r="O25" s="55" t="s">
        <v>221</v>
      </c>
      <c r="P25" s="55" t="s">
        <v>221</v>
      </c>
      <c r="Q25" s="55" t="s">
        <v>221</v>
      </c>
      <c r="R25" s="55" t="s">
        <v>221</v>
      </c>
      <c r="S25" s="55" t="s">
        <v>221</v>
      </c>
      <c r="T25" s="50" t="s">
        <v>221</v>
      </c>
      <c r="U25" s="29"/>
      <c r="V25" s="50" t="s">
        <v>221</v>
      </c>
      <c r="W25" s="50" t="s">
        <v>221</v>
      </c>
      <c r="X25" s="50" t="s">
        <v>221</v>
      </c>
      <c r="Y25" s="50" t="s">
        <v>221</v>
      </c>
      <c r="Z25" s="50" t="s">
        <v>74</v>
      </c>
      <c r="AA25" s="50" t="s">
        <v>221</v>
      </c>
      <c r="AB25" s="29"/>
      <c r="AC25" s="50" t="s">
        <v>221</v>
      </c>
      <c r="AD25" s="50" t="s">
        <v>74</v>
      </c>
      <c r="AE25" s="55" t="s">
        <v>221</v>
      </c>
      <c r="AF25" s="55" t="s">
        <v>221</v>
      </c>
      <c r="AG25" s="55" t="s">
        <v>74</v>
      </c>
      <c r="AH25" s="50" t="s">
        <v>74</v>
      </c>
      <c r="AI25" s="29"/>
      <c r="AJ25" s="50" t="s">
        <v>74</v>
      </c>
      <c r="AK25" s="50" t="s">
        <v>74</v>
      </c>
      <c r="AL25" s="50" t="s">
        <v>221</v>
      </c>
      <c r="AM25" s="50" t="s">
        <v>74</v>
      </c>
      <c r="AN25" s="50" t="s">
        <v>221</v>
      </c>
      <c r="AO25" s="55" t="s">
        <v>74</v>
      </c>
      <c r="AP25" s="29"/>
      <c r="AQ25" s="55" t="s">
        <v>74</v>
      </c>
      <c r="AR25" s="55" t="s">
        <v>221</v>
      </c>
      <c r="AS25" s="55" t="s">
        <v>221</v>
      </c>
      <c r="AT25" s="55" t="s">
        <v>74</v>
      </c>
      <c r="AU25" s="55" t="s">
        <v>221</v>
      </c>
      <c r="AV25" s="55" t="s">
        <v>74</v>
      </c>
      <c r="AW25" s="29"/>
      <c r="AX25" s="55" t="s">
        <v>74</v>
      </c>
      <c r="AY25" s="55" t="s">
        <v>74</v>
      </c>
      <c r="AZ25" s="55" t="s">
        <v>74</v>
      </c>
      <c r="BA25" s="55" t="s">
        <v>74</v>
      </c>
      <c r="BB25" s="55" t="s">
        <v>221</v>
      </c>
      <c r="BC25" s="55" t="s">
        <v>221</v>
      </c>
      <c r="BD25" s="29"/>
      <c r="BE25" s="55" t="s">
        <v>74</v>
      </c>
      <c r="BF25" s="55" t="s">
        <v>74</v>
      </c>
      <c r="BG25" s="55" t="s">
        <v>74</v>
      </c>
      <c r="BH25" s="55" t="s">
        <v>221</v>
      </c>
      <c r="BI25" s="55" t="s">
        <v>74</v>
      </c>
      <c r="BJ25" s="55" t="s">
        <v>74</v>
      </c>
      <c r="BK25" s="59"/>
      <c r="BL25" s="59"/>
      <c r="BM25" s="59"/>
      <c r="BN25" s="59"/>
      <c r="BO25" s="59"/>
      <c r="BP25" s="59"/>
      <c r="BQ25" s="59"/>
      <c r="BR25" s="59"/>
      <c r="BS25" s="59"/>
      <c r="BT25" s="59"/>
      <c r="BU25" s="59"/>
      <c r="BV25" s="59"/>
    </row>
    <row r="26" outlineLevel="1">
      <c r="A26" s="50">
        <v>23.0</v>
      </c>
      <c r="B26" s="67" t="s">
        <v>742</v>
      </c>
      <c r="C26" s="67" t="s">
        <v>743</v>
      </c>
      <c r="D26" s="33">
        <f t="shared" si="3"/>
        <v>1</v>
      </c>
      <c r="E26" s="33">
        <f t="shared" si="4"/>
        <v>47</v>
      </c>
      <c r="F26" s="33">
        <f t="shared" si="5"/>
        <v>48</v>
      </c>
      <c r="G26" s="54">
        <f t="shared" si="6"/>
        <v>2.083333333</v>
      </c>
      <c r="H26" s="36" t="s">
        <v>74</v>
      </c>
      <c r="I26" s="36" t="s">
        <v>74</v>
      </c>
      <c r="J26" s="36" t="s">
        <v>74</v>
      </c>
      <c r="K26" s="36" t="s">
        <v>74</v>
      </c>
      <c r="L26" s="36" t="s">
        <v>74</v>
      </c>
      <c r="M26" s="36" t="s">
        <v>74</v>
      </c>
      <c r="N26" s="29"/>
      <c r="O26" s="36" t="s">
        <v>74</v>
      </c>
      <c r="P26" s="36" t="s">
        <v>74</v>
      </c>
      <c r="Q26" s="36" t="s">
        <v>74</v>
      </c>
      <c r="R26" s="36" t="s">
        <v>74</v>
      </c>
      <c r="S26" s="36" t="s">
        <v>74</v>
      </c>
      <c r="T26" s="36" t="s">
        <v>74</v>
      </c>
      <c r="U26" s="29"/>
      <c r="V26" s="36" t="s">
        <v>74</v>
      </c>
      <c r="W26" s="36" t="s">
        <v>74</v>
      </c>
      <c r="X26" s="36" t="s">
        <v>74</v>
      </c>
      <c r="Y26" s="36" t="s">
        <v>74</v>
      </c>
      <c r="Z26" s="36" t="s">
        <v>74</v>
      </c>
      <c r="AA26" s="36" t="s">
        <v>74</v>
      </c>
      <c r="AB26" s="29"/>
      <c r="AC26" s="36" t="s">
        <v>221</v>
      </c>
      <c r="AD26" s="36" t="s">
        <v>74</v>
      </c>
      <c r="AE26" s="36" t="s">
        <v>74</v>
      </c>
      <c r="AF26" s="36" t="s">
        <v>74</v>
      </c>
      <c r="AG26" s="36" t="s">
        <v>74</v>
      </c>
      <c r="AH26" s="18" t="s">
        <v>74</v>
      </c>
      <c r="AI26" s="29"/>
      <c r="AJ26" s="18" t="s">
        <v>74</v>
      </c>
      <c r="AK26" s="18" t="s">
        <v>74</v>
      </c>
      <c r="AL26" s="18" t="s">
        <v>74</v>
      </c>
      <c r="AM26" s="18" t="s">
        <v>74</v>
      </c>
      <c r="AN26" s="18" t="s">
        <v>74</v>
      </c>
      <c r="AO26" s="36" t="s">
        <v>74</v>
      </c>
      <c r="AP26" s="29"/>
      <c r="AQ26" s="36" t="s">
        <v>74</v>
      </c>
      <c r="AR26" s="36" t="s">
        <v>74</v>
      </c>
      <c r="AS26" s="36" t="s">
        <v>74</v>
      </c>
      <c r="AT26" s="36" t="s">
        <v>74</v>
      </c>
      <c r="AU26" s="36" t="s">
        <v>74</v>
      </c>
      <c r="AV26" s="36" t="s">
        <v>74</v>
      </c>
      <c r="AW26" s="29"/>
      <c r="AX26" s="36" t="s">
        <v>74</v>
      </c>
      <c r="AY26" s="36" t="s">
        <v>74</v>
      </c>
      <c r="AZ26" s="36" t="s">
        <v>74</v>
      </c>
      <c r="BA26" s="36" t="s">
        <v>74</v>
      </c>
      <c r="BB26" s="36" t="s">
        <v>74</v>
      </c>
      <c r="BC26" s="36" t="s">
        <v>74</v>
      </c>
      <c r="BD26" s="29"/>
      <c r="BE26" s="36" t="s">
        <v>74</v>
      </c>
      <c r="BF26" s="36" t="s">
        <v>74</v>
      </c>
      <c r="BG26" s="36" t="s">
        <v>74</v>
      </c>
      <c r="BH26" s="36" t="s">
        <v>74</v>
      </c>
      <c r="BI26" s="36" t="s">
        <v>74</v>
      </c>
      <c r="BJ26" s="36" t="s">
        <v>74</v>
      </c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</row>
    <row r="27" outlineLevel="1">
      <c r="A27" s="50">
        <v>24.0</v>
      </c>
      <c r="B27" s="67" t="s">
        <v>752</v>
      </c>
      <c r="C27" s="63" t="s">
        <v>753</v>
      </c>
      <c r="D27" s="33">
        <f t="shared" si="3"/>
        <v>35</v>
      </c>
      <c r="E27" s="33">
        <f t="shared" si="4"/>
        <v>13</v>
      </c>
      <c r="F27" s="33">
        <f t="shared" si="5"/>
        <v>48</v>
      </c>
      <c r="G27" s="54">
        <f t="shared" si="6"/>
        <v>72.91666667</v>
      </c>
      <c r="H27" s="36" t="s">
        <v>74</v>
      </c>
      <c r="I27" s="36" t="s">
        <v>74</v>
      </c>
      <c r="J27" s="36" t="s">
        <v>221</v>
      </c>
      <c r="K27" s="36" t="s">
        <v>221</v>
      </c>
      <c r="L27" s="36" t="s">
        <v>221</v>
      </c>
      <c r="M27" s="36" t="s">
        <v>74</v>
      </c>
      <c r="N27" s="29"/>
      <c r="O27" s="36" t="s">
        <v>74</v>
      </c>
      <c r="P27" s="36" t="s">
        <v>221</v>
      </c>
      <c r="Q27" s="36" t="s">
        <v>74</v>
      </c>
      <c r="R27" s="36" t="s">
        <v>221</v>
      </c>
      <c r="S27" s="36" t="s">
        <v>221</v>
      </c>
      <c r="T27" s="36" t="s">
        <v>221</v>
      </c>
      <c r="U27" s="29"/>
      <c r="V27" s="36" t="s">
        <v>221</v>
      </c>
      <c r="W27" s="36" t="s">
        <v>221</v>
      </c>
      <c r="X27" s="36" t="s">
        <v>74</v>
      </c>
      <c r="Y27" s="36" t="s">
        <v>221</v>
      </c>
      <c r="Z27" s="36" t="s">
        <v>74</v>
      </c>
      <c r="AA27" s="36" t="s">
        <v>221</v>
      </c>
      <c r="AB27" s="29"/>
      <c r="AC27" s="36" t="s">
        <v>221</v>
      </c>
      <c r="AD27" s="36" t="s">
        <v>221</v>
      </c>
      <c r="AE27" s="36" t="s">
        <v>221</v>
      </c>
      <c r="AF27" s="36" t="s">
        <v>221</v>
      </c>
      <c r="AG27" s="36" t="s">
        <v>221</v>
      </c>
      <c r="AH27" s="18" t="s">
        <v>221</v>
      </c>
      <c r="AI27" s="29"/>
      <c r="AJ27" s="18" t="s">
        <v>221</v>
      </c>
      <c r="AK27" s="18" t="s">
        <v>221</v>
      </c>
      <c r="AL27" s="18" t="s">
        <v>221</v>
      </c>
      <c r="AM27" s="18" t="s">
        <v>221</v>
      </c>
      <c r="AN27" s="18" t="s">
        <v>74</v>
      </c>
      <c r="AO27" s="36" t="s">
        <v>221</v>
      </c>
      <c r="AP27" s="29"/>
      <c r="AQ27" s="36" t="s">
        <v>74</v>
      </c>
      <c r="AR27" s="36" t="s">
        <v>221</v>
      </c>
      <c r="AS27" s="36" t="s">
        <v>221</v>
      </c>
      <c r="AT27" s="36" t="s">
        <v>221</v>
      </c>
      <c r="AU27" s="36" t="s">
        <v>221</v>
      </c>
      <c r="AV27" s="36" t="s">
        <v>221</v>
      </c>
      <c r="AW27" s="29"/>
      <c r="AX27" s="36" t="s">
        <v>221</v>
      </c>
      <c r="AY27" s="36" t="s">
        <v>221</v>
      </c>
      <c r="AZ27" s="36" t="s">
        <v>74</v>
      </c>
      <c r="BA27" s="36" t="s">
        <v>221</v>
      </c>
      <c r="BB27" s="36" t="s">
        <v>74</v>
      </c>
      <c r="BC27" s="36" t="s">
        <v>221</v>
      </c>
      <c r="BD27" s="29"/>
      <c r="BE27" s="36" t="s">
        <v>221</v>
      </c>
      <c r="BF27" s="36" t="s">
        <v>221</v>
      </c>
      <c r="BG27" s="36" t="s">
        <v>74</v>
      </c>
      <c r="BH27" s="36" t="s">
        <v>221</v>
      </c>
      <c r="BI27" s="36" t="s">
        <v>221</v>
      </c>
      <c r="BJ27" s="36" t="s">
        <v>74</v>
      </c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</row>
    <row r="28" outlineLevel="1">
      <c r="A28" s="50">
        <v>25.0</v>
      </c>
      <c r="B28" s="34" t="s">
        <v>642</v>
      </c>
      <c r="C28" s="46" t="s">
        <v>644</v>
      </c>
      <c r="D28" s="33">
        <f t="shared" si="3"/>
        <v>37</v>
      </c>
      <c r="E28" s="33">
        <f t="shared" si="4"/>
        <v>11</v>
      </c>
      <c r="F28" s="33">
        <f t="shared" si="5"/>
        <v>48</v>
      </c>
      <c r="G28" s="54">
        <f t="shared" si="6"/>
        <v>77.08333333</v>
      </c>
      <c r="H28" s="55" t="s">
        <v>221</v>
      </c>
      <c r="I28" s="55" t="s">
        <v>221</v>
      </c>
      <c r="J28" s="55" t="s">
        <v>221</v>
      </c>
      <c r="K28" s="55" t="s">
        <v>74</v>
      </c>
      <c r="L28" s="55" t="s">
        <v>221</v>
      </c>
      <c r="M28" s="55" t="s">
        <v>221</v>
      </c>
      <c r="N28" s="29"/>
      <c r="O28" s="55" t="s">
        <v>221</v>
      </c>
      <c r="P28" s="55" t="s">
        <v>221</v>
      </c>
      <c r="Q28" s="55" t="s">
        <v>221</v>
      </c>
      <c r="R28" s="55" t="s">
        <v>221</v>
      </c>
      <c r="S28" s="55" t="s">
        <v>221</v>
      </c>
      <c r="T28" s="50" t="s">
        <v>221</v>
      </c>
      <c r="U28" s="29"/>
      <c r="V28" s="50" t="s">
        <v>366</v>
      </c>
      <c r="W28" s="50" t="s">
        <v>366</v>
      </c>
      <c r="X28" s="50" t="s">
        <v>221</v>
      </c>
      <c r="Y28" s="50" t="s">
        <v>74</v>
      </c>
      <c r="Z28" s="50" t="s">
        <v>366</v>
      </c>
      <c r="AA28" s="50" t="s">
        <v>221</v>
      </c>
      <c r="AB28" s="29"/>
      <c r="AC28" s="50" t="s">
        <v>366</v>
      </c>
      <c r="AD28" s="50" t="s">
        <v>74</v>
      </c>
      <c r="AE28" s="55" t="s">
        <v>221</v>
      </c>
      <c r="AF28" s="55" t="s">
        <v>221</v>
      </c>
      <c r="AG28" s="55" t="s">
        <v>74</v>
      </c>
      <c r="AH28" s="50" t="s">
        <v>74</v>
      </c>
      <c r="AI28" s="29"/>
      <c r="AJ28" s="50" t="s">
        <v>74</v>
      </c>
      <c r="AK28" s="50" t="s">
        <v>74</v>
      </c>
      <c r="AL28" s="50" t="s">
        <v>74</v>
      </c>
      <c r="AM28" s="50" t="s">
        <v>221</v>
      </c>
      <c r="AN28" s="50" t="s">
        <v>74</v>
      </c>
      <c r="AO28" s="55" t="s">
        <v>771</v>
      </c>
      <c r="AP28" s="29"/>
      <c r="AQ28" s="55" t="s">
        <v>221</v>
      </c>
      <c r="AR28" s="55" t="s">
        <v>221</v>
      </c>
      <c r="AS28" s="55" t="s">
        <v>221</v>
      </c>
      <c r="AT28" s="55" t="s">
        <v>221</v>
      </c>
      <c r="AU28" s="55" t="s">
        <v>221</v>
      </c>
      <c r="AV28" s="55" t="s">
        <v>221</v>
      </c>
      <c r="AW28" s="29"/>
      <c r="AX28" s="55" t="s">
        <v>221</v>
      </c>
      <c r="AY28" s="55" t="s">
        <v>221</v>
      </c>
      <c r="AZ28" s="55" t="s">
        <v>221</v>
      </c>
      <c r="BA28" s="55" t="s">
        <v>221</v>
      </c>
      <c r="BB28" s="55" t="s">
        <v>221</v>
      </c>
      <c r="BC28" s="55" t="s">
        <v>221</v>
      </c>
      <c r="BD28" s="29"/>
      <c r="BE28" s="55" t="s">
        <v>221</v>
      </c>
      <c r="BF28" s="55" t="s">
        <v>74</v>
      </c>
      <c r="BG28" s="55" t="s">
        <v>221</v>
      </c>
      <c r="BH28" s="55" t="s">
        <v>221</v>
      </c>
      <c r="BI28" s="55" t="s">
        <v>221</v>
      </c>
      <c r="BJ28" s="55" t="s">
        <v>74</v>
      </c>
      <c r="BK28" s="59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59"/>
    </row>
    <row r="29" outlineLevel="1">
      <c r="A29" s="50">
        <v>26.0</v>
      </c>
      <c r="B29" s="34" t="s">
        <v>763</v>
      </c>
      <c r="C29" s="46" t="s">
        <v>764</v>
      </c>
      <c r="D29" s="33">
        <f t="shared" si="3"/>
        <v>38</v>
      </c>
      <c r="E29" s="33">
        <f t="shared" si="4"/>
        <v>10</v>
      </c>
      <c r="F29" s="33">
        <f t="shared" si="5"/>
        <v>48</v>
      </c>
      <c r="G29" s="54">
        <f t="shared" si="6"/>
        <v>79.16666667</v>
      </c>
      <c r="H29" s="36" t="s">
        <v>221</v>
      </c>
      <c r="I29" s="36" t="s">
        <v>74</v>
      </c>
      <c r="J29" s="36" t="s">
        <v>74</v>
      </c>
      <c r="K29" s="36" t="s">
        <v>221</v>
      </c>
      <c r="L29" s="36" t="s">
        <v>74</v>
      </c>
      <c r="M29" s="36" t="s">
        <v>221</v>
      </c>
      <c r="N29" s="29"/>
      <c r="O29" s="36" t="s">
        <v>221</v>
      </c>
      <c r="P29" s="36" t="s">
        <v>74</v>
      </c>
      <c r="Q29" s="36" t="s">
        <v>74</v>
      </c>
      <c r="R29" s="36" t="s">
        <v>221</v>
      </c>
      <c r="S29" s="36" t="s">
        <v>221</v>
      </c>
      <c r="T29" s="18" t="s">
        <v>221</v>
      </c>
      <c r="U29" s="29"/>
      <c r="V29" s="18" t="s">
        <v>221</v>
      </c>
      <c r="W29" s="18" t="s">
        <v>221</v>
      </c>
      <c r="X29" s="18" t="s">
        <v>221</v>
      </c>
      <c r="Y29" s="18" t="s">
        <v>221</v>
      </c>
      <c r="Z29" s="18" t="s">
        <v>221</v>
      </c>
      <c r="AA29" s="18" t="s">
        <v>221</v>
      </c>
      <c r="AB29" s="29"/>
      <c r="AC29" s="18" t="s">
        <v>221</v>
      </c>
      <c r="AD29" s="18" t="s">
        <v>221</v>
      </c>
      <c r="AE29" s="36" t="s">
        <v>221</v>
      </c>
      <c r="AF29" s="36" t="s">
        <v>221</v>
      </c>
      <c r="AG29" s="36" t="s">
        <v>221</v>
      </c>
      <c r="AH29" s="18" t="s">
        <v>221</v>
      </c>
      <c r="AI29" s="29"/>
      <c r="AJ29" s="18" t="s">
        <v>221</v>
      </c>
      <c r="AK29" s="18" t="s">
        <v>74</v>
      </c>
      <c r="AL29" s="18" t="s">
        <v>74</v>
      </c>
      <c r="AM29" s="18" t="s">
        <v>74</v>
      </c>
      <c r="AN29" s="18" t="s">
        <v>221</v>
      </c>
      <c r="AO29" s="36" t="s">
        <v>221</v>
      </c>
      <c r="AP29" s="29"/>
      <c r="AQ29" s="36" t="s">
        <v>221</v>
      </c>
      <c r="AR29" s="36" t="s">
        <v>221</v>
      </c>
      <c r="AS29" s="36" t="s">
        <v>221</v>
      </c>
      <c r="AT29" s="36" t="s">
        <v>221</v>
      </c>
      <c r="AU29" s="36" t="s">
        <v>221</v>
      </c>
      <c r="AV29" s="36" t="s">
        <v>221</v>
      </c>
      <c r="AW29" s="29"/>
      <c r="AX29" s="36" t="s">
        <v>221</v>
      </c>
      <c r="AY29" s="36" t="s">
        <v>221</v>
      </c>
      <c r="AZ29" s="36" t="s">
        <v>74</v>
      </c>
      <c r="BA29" s="36" t="s">
        <v>221</v>
      </c>
      <c r="BB29" s="36" t="s">
        <v>221</v>
      </c>
      <c r="BC29" s="36" t="s">
        <v>221</v>
      </c>
      <c r="BD29" s="29"/>
      <c r="BE29" s="36" t="s">
        <v>221</v>
      </c>
      <c r="BF29" s="36" t="s">
        <v>221</v>
      </c>
      <c r="BG29" s="36" t="s">
        <v>221</v>
      </c>
      <c r="BH29" s="36" t="s">
        <v>221</v>
      </c>
      <c r="BI29" s="36" t="s">
        <v>74</v>
      </c>
      <c r="BJ29" s="36" t="s">
        <v>221</v>
      </c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</row>
    <row r="30" outlineLevel="1">
      <c r="A30" s="50">
        <v>27.0</v>
      </c>
      <c r="B30" s="34" t="s">
        <v>268</v>
      </c>
      <c r="C30" s="46" t="s">
        <v>271</v>
      </c>
      <c r="D30" s="33">
        <f t="shared" si="3"/>
        <v>48</v>
      </c>
      <c r="E30" s="33">
        <f t="shared" si="4"/>
        <v>0</v>
      </c>
      <c r="F30" s="33">
        <f t="shared" si="5"/>
        <v>48</v>
      </c>
      <c r="G30" s="54">
        <f t="shared" si="6"/>
        <v>100</v>
      </c>
      <c r="H30" s="55" t="s">
        <v>221</v>
      </c>
      <c r="I30" s="55" t="s">
        <v>221</v>
      </c>
      <c r="J30" s="55" t="s">
        <v>221</v>
      </c>
      <c r="K30" s="55" t="s">
        <v>221</v>
      </c>
      <c r="L30" s="55" t="s">
        <v>221</v>
      </c>
      <c r="M30" s="55" t="s">
        <v>221</v>
      </c>
      <c r="N30" s="29"/>
      <c r="O30" s="55" t="s">
        <v>221</v>
      </c>
      <c r="P30" s="55" t="s">
        <v>221</v>
      </c>
      <c r="Q30" s="55" t="s">
        <v>221</v>
      </c>
      <c r="R30" s="55" t="s">
        <v>221</v>
      </c>
      <c r="S30" s="55" t="s">
        <v>221</v>
      </c>
      <c r="T30" s="50" t="s">
        <v>221</v>
      </c>
      <c r="U30" s="29"/>
      <c r="V30" s="50" t="s">
        <v>221</v>
      </c>
      <c r="W30" s="50" t="s">
        <v>221</v>
      </c>
      <c r="X30" s="50" t="s">
        <v>221</v>
      </c>
      <c r="Y30" s="50" t="s">
        <v>221</v>
      </c>
      <c r="Z30" s="50" t="s">
        <v>221</v>
      </c>
      <c r="AA30" s="50" t="s">
        <v>221</v>
      </c>
      <c r="AB30" s="29"/>
      <c r="AC30" s="50" t="s">
        <v>221</v>
      </c>
      <c r="AD30" s="50" t="s">
        <v>221</v>
      </c>
      <c r="AE30" s="55" t="s">
        <v>221</v>
      </c>
      <c r="AF30" s="55" t="s">
        <v>221</v>
      </c>
      <c r="AG30" s="55" t="s">
        <v>221</v>
      </c>
      <c r="AH30" s="50" t="s">
        <v>221</v>
      </c>
      <c r="AI30" s="29"/>
      <c r="AJ30" s="50" t="s">
        <v>221</v>
      </c>
      <c r="AK30" s="50" t="s">
        <v>221</v>
      </c>
      <c r="AL30" s="50" t="s">
        <v>221</v>
      </c>
      <c r="AM30" s="50" t="s">
        <v>221</v>
      </c>
      <c r="AN30" s="50" t="s">
        <v>221</v>
      </c>
      <c r="AO30" s="55" t="s">
        <v>221</v>
      </c>
      <c r="AP30" s="29"/>
      <c r="AQ30" s="55" t="s">
        <v>221</v>
      </c>
      <c r="AR30" s="55" t="s">
        <v>221</v>
      </c>
      <c r="AS30" s="55" t="s">
        <v>221</v>
      </c>
      <c r="AT30" s="55" t="s">
        <v>221</v>
      </c>
      <c r="AU30" s="55" t="s">
        <v>221</v>
      </c>
      <c r="AV30" s="55" t="s">
        <v>221</v>
      </c>
      <c r="AW30" s="29"/>
      <c r="AX30" s="55" t="s">
        <v>221</v>
      </c>
      <c r="AY30" s="55" t="s">
        <v>221</v>
      </c>
      <c r="AZ30" s="55" t="s">
        <v>221</v>
      </c>
      <c r="BA30" s="55" t="s">
        <v>221</v>
      </c>
      <c r="BB30" s="55" t="s">
        <v>221</v>
      </c>
      <c r="BC30" s="55" t="s">
        <v>221</v>
      </c>
      <c r="BD30" s="29"/>
      <c r="BE30" s="55" t="s">
        <v>221</v>
      </c>
      <c r="BF30" s="55" t="s">
        <v>221</v>
      </c>
      <c r="BG30" s="55" t="s">
        <v>221</v>
      </c>
      <c r="BH30" s="55" t="s">
        <v>221</v>
      </c>
      <c r="BI30" s="55" t="s">
        <v>221</v>
      </c>
      <c r="BJ30" s="55" t="s">
        <v>221</v>
      </c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59"/>
      <c r="BV30" s="59"/>
    </row>
    <row r="31" outlineLevel="1">
      <c r="A31" s="50">
        <v>28.0</v>
      </c>
      <c r="B31" s="34" t="s">
        <v>733</v>
      </c>
      <c r="C31" s="46" t="s">
        <v>734</v>
      </c>
      <c r="D31" s="33">
        <f t="shared" si="3"/>
        <v>31</v>
      </c>
      <c r="E31" s="33">
        <f t="shared" si="4"/>
        <v>17</v>
      </c>
      <c r="F31" s="33">
        <f t="shared" si="5"/>
        <v>48</v>
      </c>
      <c r="G31" s="54">
        <f t="shared" si="6"/>
        <v>64.58333333</v>
      </c>
      <c r="H31" s="55" t="s">
        <v>74</v>
      </c>
      <c r="I31" s="55" t="s">
        <v>74</v>
      </c>
      <c r="J31" s="55" t="s">
        <v>74</v>
      </c>
      <c r="K31" s="55" t="s">
        <v>74</v>
      </c>
      <c r="L31" s="55" t="s">
        <v>221</v>
      </c>
      <c r="M31" s="55" t="s">
        <v>74</v>
      </c>
      <c r="N31" s="29"/>
      <c r="O31" s="55" t="s">
        <v>221</v>
      </c>
      <c r="P31" s="55" t="s">
        <v>74</v>
      </c>
      <c r="Q31" s="55" t="s">
        <v>74</v>
      </c>
      <c r="R31" s="55" t="s">
        <v>221</v>
      </c>
      <c r="S31" s="55" t="s">
        <v>221</v>
      </c>
      <c r="T31" s="50" t="s">
        <v>221</v>
      </c>
      <c r="U31" s="29"/>
      <c r="V31" s="50" t="s">
        <v>221</v>
      </c>
      <c r="W31" s="50" t="s">
        <v>221</v>
      </c>
      <c r="X31" s="50" t="s">
        <v>221</v>
      </c>
      <c r="Y31" s="50" t="s">
        <v>74</v>
      </c>
      <c r="Z31" s="50" t="s">
        <v>221</v>
      </c>
      <c r="AA31" s="50" t="s">
        <v>221</v>
      </c>
      <c r="AB31" s="29"/>
      <c r="AC31" s="50" t="s">
        <v>74</v>
      </c>
      <c r="AD31" s="50" t="s">
        <v>221</v>
      </c>
      <c r="AE31" s="55" t="s">
        <v>221</v>
      </c>
      <c r="AF31" s="55" t="s">
        <v>221</v>
      </c>
      <c r="AG31" s="55" t="s">
        <v>221</v>
      </c>
      <c r="AH31" s="50" t="s">
        <v>221</v>
      </c>
      <c r="AI31" s="29"/>
      <c r="AJ31" s="50" t="s">
        <v>221</v>
      </c>
      <c r="AK31" s="50" t="s">
        <v>221</v>
      </c>
      <c r="AL31" s="50" t="s">
        <v>221</v>
      </c>
      <c r="AM31" s="50" t="s">
        <v>221</v>
      </c>
      <c r="AN31" s="50" t="s">
        <v>221</v>
      </c>
      <c r="AO31" s="55" t="s">
        <v>221</v>
      </c>
      <c r="AP31" s="29"/>
      <c r="AQ31" s="55" t="s">
        <v>221</v>
      </c>
      <c r="AR31" s="55" t="s">
        <v>221</v>
      </c>
      <c r="AS31" s="55" t="s">
        <v>74</v>
      </c>
      <c r="AT31" s="55" t="s">
        <v>221</v>
      </c>
      <c r="AU31" s="55" t="s">
        <v>221</v>
      </c>
      <c r="AV31" s="55" t="s">
        <v>221</v>
      </c>
      <c r="AW31" s="29"/>
      <c r="AX31" s="55" t="s">
        <v>74</v>
      </c>
      <c r="AY31" s="55" t="s">
        <v>74</v>
      </c>
      <c r="AZ31" s="55" t="s">
        <v>221</v>
      </c>
      <c r="BA31" s="55" t="s">
        <v>221</v>
      </c>
      <c r="BB31" s="55" t="s">
        <v>221</v>
      </c>
      <c r="BC31" s="55" t="s">
        <v>74</v>
      </c>
      <c r="BD31" s="29"/>
      <c r="BE31" s="55" t="s">
        <v>221</v>
      </c>
      <c r="BF31" s="55" t="s">
        <v>74</v>
      </c>
      <c r="BG31" s="55" t="s">
        <v>221</v>
      </c>
      <c r="BH31" s="55" t="s">
        <v>74</v>
      </c>
      <c r="BI31" s="55" t="s">
        <v>74</v>
      </c>
      <c r="BJ31" s="55" t="s">
        <v>74</v>
      </c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59"/>
      <c r="BV31" s="59"/>
    </row>
    <row r="32" outlineLevel="1">
      <c r="A32" s="50">
        <v>29.0</v>
      </c>
      <c r="B32" s="51" t="s">
        <v>372</v>
      </c>
      <c r="C32" s="46" t="s">
        <v>374</v>
      </c>
      <c r="D32" s="33">
        <f t="shared" si="3"/>
        <v>34</v>
      </c>
      <c r="E32" s="33">
        <f t="shared" si="4"/>
        <v>14</v>
      </c>
      <c r="F32" s="33">
        <f t="shared" si="5"/>
        <v>48</v>
      </c>
      <c r="G32" s="54">
        <f t="shared" si="6"/>
        <v>70.83333333</v>
      </c>
      <c r="H32" s="55" t="s">
        <v>221</v>
      </c>
      <c r="I32" s="55" t="s">
        <v>221</v>
      </c>
      <c r="J32" s="55" t="s">
        <v>221</v>
      </c>
      <c r="K32" s="55" t="s">
        <v>221</v>
      </c>
      <c r="L32" s="55" t="s">
        <v>221</v>
      </c>
      <c r="M32" s="55" t="s">
        <v>221</v>
      </c>
      <c r="N32" s="29"/>
      <c r="O32" s="55" t="s">
        <v>221</v>
      </c>
      <c r="P32" s="55" t="s">
        <v>221</v>
      </c>
      <c r="Q32" s="55" t="s">
        <v>221</v>
      </c>
      <c r="R32" s="55" t="s">
        <v>221</v>
      </c>
      <c r="S32" s="55" t="s">
        <v>221</v>
      </c>
      <c r="T32" s="50" t="s">
        <v>221</v>
      </c>
      <c r="U32" s="29"/>
      <c r="V32" s="50" t="s">
        <v>74</v>
      </c>
      <c r="W32" s="50" t="s">
        <v>74</v>
      </c>
      <c r="X32" s="50" t="s">
        <v>366</v>
      </c>
      <c r="Y32" s="50" t="s">
        <v>366</v>
      </c>
      <c r="Z32" s="50" t="s">
        <v>366</v>
      </c>
      <c r="AA32" s="50" t="s">
        <v>366</v>
      </c>
      <c r="AB32" s="29"/>
      <c r="AC32" s="50" t="s">
        <v>366</v>
      </c>
      <c r="AD32" s="50" t="s">
        <v>366</v>
      </c>
      <c r="AE32" s="55" t="s">
        <v>366</v>
      </c>
      <c r="AF32" s="55" t="s">
        <v>366</v>
      </c>
      <c r="AG32" s="55" t="s">
        <v>366</v>
      </c>
      <c r="AH32" s="50" t="s">
        <v>366</v>
      </c>
      <c r="AI32" s="29"/>
      <c r="AJ32" s="50" t="s">
        <v>366</v>
      </c>
      <c r="AK32" s="50" t="s">
        <v>366</v>
      </c>
      <c r="AL32" s="50" t="s">
        <v>366</v>
      </c>
      <c r="AM32" s="50" t="s">
        <v>366</v>
      </c>
      <c r="AN32" s="50" t="s">
        <v>74</v>
      </c>
      <c r="AO32" s="55" t="s">
        <v>366</v>
      </c>
      <c r="AP32" s="29"/>
      <c r="AQ32" s="55" t="s">
        <v>366</v>
      </c>
      <c r="AR32" s="55" t="s">
        <v>366</v>
      </c>
      <c r="AS32" s="55" t="s">
        <v>74</v>
      </c>
      <c r="AT32" s="55" t="s">
        <v>366</v>
      </c>
      <c r="AU32" s="55" t="s">
        <v>74</v>
      </c>
      <c r="AV32" s="55" t="s">
        <v>74</v>
      </c>
      <c r="AW32" s="29"/>
      <c r="AX32" s="55" t="s">
        <v>74</v>
      </c>
      <c r="AY32" s="55" t="s">
        <v>221</v>
      </c>
      <c r="AZ32" s="55" t="s">
        <v>74</v>
      </c>
      <c r="BA32" s="55" t="s">
        <v>221</v>
      </c>
      <c r="BB32" s="55" t="s">
        <v>221</v>
      </c>
      <c r="BC32" s="55" t="s">
        <v>74</v>
      </c>
      <c r="BD32" s="29"/>
      <c r="BE32" s="55" t="s">
        <v>74</v>
      </c>
      <c r="BF32" s="55" t="s">
        <v>221</v>
      </c>
      <c r="BG32" s="55" t="s">
        <v>74</v>
      </c>
      <c r="BH32" s="55" t="s">
        <v>74</v>
      </c>
      <c r="BI32" s="55" t="s">
        <v>74</v>
      </c>
      <c r="BJ32" s="55" t="s">
        <v>74</v>
      </c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</row>
    <row r="33" outlineLevel="1">
      <c r="A33" s="50">
        <v>30.0</v>
      </c>
      <c r="B33" s="67" t="s">
        <v>790</v>
      </c>
      <c r="C33" s="67" t="s">
        <v>791</v>
      </c>
      <c r="D33" s="33">
        <f t="shared" si="3"/>
        <v>15</v>
      </c>
      <c r="E33" s="33">
        <f t="shared" si="4"/>
        <v>33</v>
      </c>
      <c r="F33" s="33">
        <f t="shared" si="5"/>
        <v>48</v>
      </c>
      <c r="G33" s="54">
        <f t="shared" si="6"/>
        <v>31.25</v>
      </c>
      <c r="H33" s="36" t="s">
        <v>74</v>
      </c>
      <c r="I33" s="36" t="s">
        <v>74</v>
      </c>
      <c r="J33" s="36" t="s">
        <v>74</v>
      </c>
      <c r="K33" s="36" t="s">
        <v>74</v>
      </c>
      <c r="L33" s="36" t="s">
        <v>74</v>
      </c>
      <c r="M33" s="36" t="s">
        <v>74</v>
      </c>
      <c r="N33" s="29"/>
      <c r="O33" s="36" t="s">
        <v>74</v>
      </c>
      <c r="P33" s="36" t="s">
        <v>74</v>
      </c>
      <c r="Q33" s="36" t="s">
        <v>74</v>
      </c>
      <c r="R33" s="36" t="s">
        <v>74</v>
      </c>
      <c r="S33" s="36" t="s">
        <v>74</v>
      </c>
      <c r="T33" s="36" t="s">
        <v>221</v>
      </c>
      <c r="U33" s="29"/>
      <c r="V33" s="36" t="s">
        <v>221</v>
      </c>
      <c r="W33" s="36" t="s">
        <v>221</v>
      </c>
      <c r="X33" s="36" t="s">
        <v>221</v>
      </c>
      <c r="Y33" s="36" t="s">
        <v>221</v>
      </c>
      <c r="Z33" s="36" t="s">
        <v>221</v>
      </c>
      <c r="AA33" s="36" t="s">
        <v>221</v>
      </c>
      <c r="AB33" s="29"/>
      <c r="AC33" s="36" t="s">
        <v>221</v>
      </c>
      <c r="AD33" s="36" t="s">
        <v>221</v>
      </c>
      <c r="AE33" s="36" t="s">
        <v>221</v>
      </c>
      <c r="AF33" s="36" t="s">
        <v>74</v>
      </c>
      <c r="AG33" s="36" t="s">
        <v>74</v>
      </c>
      <c r="AH33" s="18" t="s">
        <v>221</v>
      </c>
      <c r="AI33" s="29"/>
      <c r="AJ33" s="18" t="s">
        <v>221</v>
      </c>
      <c r="AK33" s="18" t="s">
        <v>74</v>
      </c>
      <c r="AL33" s="18" t="s">
        <v>221</v>
      </c>
      <c r="AM33" s="18" t="s">
        <v>74</v>
      </c>
      <c r="AN33" s="18" t="s">
        <v>74</v>
      </c>
      <c r="AO33" s="36" t="s">
        <v>74</v>
      </c>
      <c r="AP33" s="29"/>
      <c r="AQ33" s="36" t="s">
        <v>74</v>
      </c>
      <c r="AR33" s="36" t="s">
        <v>74</v>
      </c>
      <c r="AS33" s="36" t="s">
        <v>74</v>
      </c>
      <c r="AT33" s="36" t="s">
        <v>221</v>
      </c>
      <c r="AU33" s="36" t="s">
        <v>74</v>
      </c>
      <c r="AV33" s="36" t="s">
        <v>74</v>
      </c>
      <c r="AW33" s="29"/>
      <c r="AX33" s="36" t="s">
        <v>74</v>
      </c>
      <c r="AY33" s="36" t="s">
        <v>221</v>
      </c>
      <c r="AZ33" s="36" t="s">
        <v>74</v>
      </c>
      <c r="BA33" s="36" t="s">
        <v>74</v>
      </c>
      <c r="BB33" s="36" t="s">
        <v>74</v>
      </c>
      <c r="BC33" s="36" t="s">
        <v>74</v>
      </c>
      <c r="BD33" s="29"/>
      <c r="BE33" s="36" t="s">
        <v>74</v>
      </c>
      <c r="BF33" s="36" t="s">
        <v>74</v>
      </c>
      <c r="BG33" s="36" t="s">
        <v>74</v>
      </c>
      <c r="BH33" s="36" t="s">
        <v>74</v>
      </c>
      <c r="BI33" s="36" t="s">
        <v>74</v>
      </c>
      <c r="BJ33" s="36" t="s">
        <v>74</v>
      </c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</row>
    <row r="34" outlineLevel="1">
      <c r="A34" s="50">
        <v>31.0</v>
      </c>
      <c r="B34" s="34" t="s">
        <v>547</v>
      </c>
      <c r="C34" s="46" t="s">
        <v>548</v>
      </c>
      <c r="D34" s="33">
        <f t="shared" si="3"/>
        <v>39</v>
      </c>
      <c r="E34" s="33">
        <f t="shared" si="4"/>
        <v>9</v>
      </c>
      <c r="F34" s="33">
        <f t="shared" si="5"/>
        <v>48</v>
      </c>
      <c r="G34" s="54">
        <f t="shared" si="6"/>
        <v>81.25</v>
      </c>
      <c r="H34" s="55" t="s">
        <v>221</v>
      </c>
      <c r="I34" s="55" t="s">
        <v>221</v>
      </c>
      <c r="J34" s="55" t="s">
        <v>221</v>
      </c>
      <c r="K34" s="55" t="s">
        <v>221</v>
      </c>
      <c r="L34" s="55" t="s">
        <v>221</v>
      </c>
      <c r="M34" s="55" t="s">
        <v>221</v>
      </c>
      <c r="N34" s="29"/>
      <c r="O34" s="55" t="s">
        <v>221</v>
      </c>
      <c r="P34" s="55" t="s">
        <v>221</v>
      </c>
      <c r="Q34" s="55" t="s">
        <v>221</v>
      </c>
      <c r="R34" s="55" t="s">
        <v>221</v>
      </c>
      <c r="S34" s="55" t="s">
        <v>74</v>
      </c>
      <c r="T34" s="50" t="s">
        <v>221</v>
      </c>
      <c r="U34" s="29"/>
      <c r="V34" s="50" t="s">
        <v>221</v>
      </c>
      <c r="W34" s="50" t="s">
        <v>221</v>
      </c>
      <c r="X34" s="50" t="s">
        <v>221</v>
      </c>
      <c r="Y34" s="50" t="s">
        <v>221</v>
      </c>
      <c r="Z34" s="50" t="s">
        <v>221</v>
      </c>
      <c r="AA34" s="50" t="s">
        <v>221</v>
      </c>
      <c r="AB34" s="29"/>
      <c r="AC34" s="50" t="s">
        <v>221</v>
      </c>
      <c r="AD34" s="50" t="s">
        <v>221</v>
      </c>
      <c r="AE34" s="55" t="s">
        <v>221</v>
      </c>
      <c r="AF34" s="55" t="s">
        <v>221</v>
      </c>
      <c r="AG34" s="55" t="s">
        <v>221</v>
      </c>
      <c r="AH34" s="50" t="s">
        <v>221</v>
      </c>
      <c r="AI34" s="29"/>
      <c r="AJ34" s="50" t="s">
        <v>221</v>
      </c>
      <c r="AK34" s="50" t="s">
        <v>221</v>
      </c>
      <c r="AL34" s="50" t="s">
        <v>74</v>
      </c>
      <c r="AM34" s="50" t="s">
        <v>221</v>
      </c>
      <c r="AN34" s="50" t="s">
        <v>74</v>
      </c>
      <c r="AO34" s="55" t="s">
        <v>221</v>
      </c>
      <c r="AP34" s="29"/>
      <c r="AQ34" s="55" t="s">
        <v>221</v>
      </c>
      <c r="AR34" s="55" t="s">
        <v>221</v>
      </c>
      <c r="AS34" s="55" t="s">
        <v>74</v>
      </c>
      <c r="AT34" s="55" t="s">
        <v>74</v>
      </c>
      <c r="AU34" s="55" t="s">
        <v>221</v>
      </c>
      <c r="AV34" s="55" t="s">
        <v>74</v>
      </c>
      <c r="AW34" s="29"/>
      <c r="AX34" s="55" t="s">
        <v>221</v>
      </c>
      <c r="AY34" s="55" t="s">
        <v>74</v>
      </c>
      <c r="AZ34" s="55" t="s">
        <v>221</v>
      </c>
      <c r="BA34" s="55" t="s">
        <v>221</v>
      </c>
      <c r="BB34" s="55" t="s">
        <v>221</v>
      </c>
      <c r="BC34" s="55" t="s">
        <v>221</v>
      </c>
      <c r="BD34" s="29"/>
      <c r="BE34" s="55" t="s">
        <v>74</v>
      </c>
      <c r="BF34" s="55" t="s">
        <v>74</v>
      </c>
      <c r="BG34" s="55" t="s">
        <v>221</v>
      </c>
      <c r="BH34" s="55" t="s">
        <v>221</v>
      </c>
      <c r="BI34" s="55" t="s">
        <v>221</v>
      </c>
      <c r="BJ34" s="55" t="s">
        <v>221</v>
      </c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</row>
    <row r="35" outlineLevel="1">
      <c r="A35" s="50">
        <v>32.0</v>
      </c>
      <c r="B35" s="34" t="s">
        <v>718</v>
      </c>
      <c r="C35" s="46" t="s">
        <v>719</v>
      </c>
      <c r="D35" s="33">
        <f t="shared" si="3"/>
        <v>39</v>
      </c>
      <c r="E35" s="33">
        <f t="shared" si="4"/>
        <v>9</v>
      </c>
      <c r="F35" s="33">
        <f t="shared" si="5"/>
        <v>48</v>
      </c>
      <c r="G35" s="54">
        <f t="shared" si="6"/>
        <v>81.25</v>
      </c>
      <c r="H35" s="55" t="s">
        <v>221</v>
      </c>
      <c r="I35" s="55" t="s">
        <v>74</v>
      </c>
      <c r="J35" s="55" t="s">
        <v>74</v>
      </c>
      <c r="K35" s="55" t="s">
        <v>221</v>
      </c>
      <c r="L35" s="55" t="s">
        <v>221</v>
      </c>
      <c r="M35" s="55" t="s">
        <v>221</v>
      </c>
      <c r="N35" s="29"/>
      <c r="O35" s="55" t="s">
        <v>221</v>
      </c>
      <c r="P35" s="55" t="s">
        <v>221</v>
      </c>
      <c r="Q35" s="55" t="s">
        <v>221</v>
      </c>
      <c r="R35" s="55" t="s">
        <v>221</v>
      </c>
      <c r="S35" s="55" t="s">
        <v>221</v>
      </c>
      <c r="T35" s="50" t="s">
        <v>74</v>
      </c>
      <c r="U35" s="29"/>
      <c r="V35" s="50" t="s">
        <v>221</v>
      </c>
      <c r="W35" s="50" t="s">
        <v>74</v>
      </c>
      <c r="X35" s="50" t="s">
        <v>221</v>
      </c>
      <c r="Y35" s="50" t="s">
        <v>221</v>
      </c>
      <c r="Z35" s="50" t="s">
        <v>221</v>
      </c>
      <c r="AA35" s="50" t="s">
        <v>221</v>
      </c>
      <c r="AB35" s="29"/>
      <c r="AC35" s="50" t="s">
        <v>221</v>
      </c>
      <c r="AD35" s="50" t="s">
        <v>221</v>
      </c>
      <c r="AE35" s="55" t="s">
        <v>221</v>
      </c>
      <c r="AF35" s="55" t="s">
        <v>221</v>
      </c>
      <c r="AG35" s="55" t="s">
        <v>221</v>
      </c>
      <c r="AH35" s="50" t="s">
        <v>221</v>
      </c>
      <c r="AI35" s="29"/>
      <c r="AJ35" s="50" t="s">
        <v>221</v>
      </c>
      <c r="AK35" s="50" t="s">
        <v>221</v>
      </c>
      <c r="AL35" s="50" t="s">
        <v>221</v>
      </c>
      <c r="AM35" s="50" t="s">
        <v>221</v>
      </c>
      <c r="AN35" s="50" t="s">
        <v>221</v>
      </c>
      <c r="AO35" s="55" t="s">
        <v>221</v>
      </c>
      <c r="AP35" s="29"/>
      <c r="AQ35" s="55" t="s">
        <v>221</v>
      </c>
      <c r="AR35" s="55" t="s">
        <v>221</v>
      </c>
      <c r="AS35" s="55" t="s">
        <v>221</v>
      </c>
      <c r="AT35" s="55" t="s">
        <v>221</v>
      </c>
      <c r="AU35" s="55" t="s">
        <v>221</v>
      </c>
      <c r="AV35" s="55" t="s">
        <v>221</v>
      </c>
      <c r="AW35" s="29"/>
      <c r="AX35" s="55" t="s">
        <v>221</v>
      </c>
      <c r="AY35" s="55" t="s">
        <v>74</v>
      </c>
      <c r="AZ35" s="55" t="s">
        <v>221</v>
      </c>
      <c r="BA35" s="55" t="s">
        <v>221</v>
      </c>
      <c r="BB35" s="55" t="s">
        <v>221</v>
      </c>
      <c r="BC35" s="55" t="s">
        <v>221</v>
      </c>
      <c r="BD35" s="29"/>
      <c r="BE35" s="55" t="s">
        <v>74</v>
      </c>
      <c r="BF35" s="55" t="s">
        <v>74</v>
      </c>
      <c r="BG35" s="55" t="s">
        <v>221</v>
      </c>
      <c r="BH35" s="55" t="s">
        <v>221</v>
      </c>
      <c r="BI35" s="55" t="s">
        <v>74</v>
      </c>
      <c r="BJ35" s="55" t="s">
        <v>74</v>
      </c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</row>
    <row r="36" outlineLevel="1">
      <c r="A36" s="50">
        <v>33.0</v>
      </c>
      <c r="B36" s="34" t="s">
        <v>780</v>
      </c>
      <c r="C36" s="46" t="s">
        <v>781</v>
      </c>
      <c r="D36" s="33">
        <f t="shared" si="3"/>
        <v>30</v>
      </c>
      <c r="E36" s="33">
        <f t="shared" si="4"/>
        <v>18</v>
      </c>
      <c r="F36" s="33">
        <f t="shared" si="5"/>
        <v>48</v>
      </c>
      <c r="G36" s="54">
        <f t="shared" si="6"/>
        <v>62.5</v>
      </c>
      <c r="H36" s="36" t="s">
        <v>74</v>
      </c>
      <c r="I36" s="36" t="s">
        <v>74</v>
      </c>
      <c r="J36" s="36" t="s">
        <v>74</v>
      </c>
      <c r="K36" s="36" t="s">
        <v>74</v>
      </c>
      <c r="L36" s="36" t="s">
        <v>74</v>
      </c>
      <c r="M36" s="36" t="s">
        <v>74</v>
      </c>
      <c r="N36" s="29"/>
      <c r="O36" s="36" t="s">
        <v>74</v>
      </c>
      <c r="P36" s="36" t="s">
        <v>74</v>
      </c>
      <c r="Q36" s="36" t="s">
        <v>74</v>
      </c>
      <c r="R36" s="36" t="s">
        <v>74</v>
      </c>
      <c r="S36" s="36" t="s">
        <v>74</v>
      </c>
      <c r="T36" s="18" t="s">
        <v>74</v>
      </c>
      <c r="U36" s="29"/>
      <c r="V36" s="18" t="s">
        <v>74</v>
      </c>
      <c r="W36" s="18" t="s">
        <v>221</v>
      </c>
      <c r="X36" s="18" t="s">
        <v>221</v>
      </c>
      <c r="Y36" s="18" t="s">
        <v>221</v>
      </c>
      <c r="Z36" s="18" t="s">
        <v>221</v>
      </c>
      <c r="AA36" s="18" t="s">
        <v>221</v>
      </c>
      <c r="AB36" s="29"/>
      <c r="AC36" s="18" t="s">
        <v>221</v>
      </c>
      <c r="AD36" s="18" t="s">
        <v>221</v>
      </c>
      <c r="AE36" s="36" t="s">
        <v>221</v>
      </c>
      <c r="AF36" s="36" t="s">
        <v>221</v>
      </c>
      <c r="AG36" s="36" t="s">
        <v>221</v>
      </c>
      <c r="AH36" s="18" t="s">
        <v>221</v>
      </c>
      <c r="AI36" s="29"/>
      <c r="AJ36" s="18" t="s">
        <v>221</v>
      </c>
      <c r="AK36" s="18" t="s">
        <v>221</v>
      </c>
      <c r="AL36" s="18" t="s">
        <v>221</v>
      </c>
      <c r="AM36" s="18" t="s">
        <v>221</v>
      </c>
      <c r="AN36" s="18" t="s">
        <v>221</v>
      </c>
      <c r="AO36" s="36" t="s">
        <v>221</v>
      </c>
      <c r="AP36" s="29"/>
      <c r="AQ36" s="36" t="s">
        <v>221</v>
      </c>
      <c r="AR36" s="36" t="s">
        <v>221</v>
      </c>
      <c r="AS36" s="36" t="s">
        <v>221</v>
      </c>
      <c r="AT36" s="36" t="s">
        <v>221</v>
      </c>
      <c r="AU36" s="36" t="s">
        <v>221</v>
      </c>
      <c r="AV36" s="36" t="s">
        <v>221</v>
      </c>
      <c r="AW36" s="29"/>
      <c r="AX36" s="36" t="s">
        <v>221</v>
      </c>
      <c r="AY36" s="36" t="s">
        <v>221</v>
      </c>
      <c r="AZ36" s="36" t="s">
        <v>74</v>
      </c>
      <c r="BA36" s="36" t="s">
        <v>74</v>
      </c>
      <c r="BB36" s="36" t="s">
        <v>221</v>
      </c>
      <c r="BC36" s="36" t="s">
        <v>221</v>
      </c>
      <c r="BD36" s="29"/>
      <c r="BE36" s="36" t="s">
        <v>221</v>
      </c>
      <c r="BF36" s="36" t="s">
        <v>74</v>
      </c>
      <c r="BG36" s="36" t="s">
        <v>74</v>
      </c>
      <c r="BH36" s="36" t="s">
        <v>221</v>
      </c>
      <c r="BI36" s="36" t="s">
        <v>221</v>
      </c>
      <c r="BJ36" s="36" t="s">
        <v>74</v>
      </c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</row>
    <row r="37" outlineLevel="1">
      <c r="A37" s="50">
        <v>34.0</v>
      </c>
      <c r="B37" s="80" t="s">
        <v>757</v>
      </c>
      <c r="C37" s="46" t="s">
        <v>758</v>
      </c>
      <c r="D37" s="33">
        <f t="shared" si="3"/>
        <v>19</v>
      </c>
      <c r="E37" s="33">
        <f t="shared" si="4"/>
        <v>29</v>
      </c>
      <c r="F37" s="33">
        <f t="shared" si="5"/>
        <v>48</v>
      </c>
      <c r="G37" s="54">
        <f t="shared" si="6"/>
        <v>39.58333333</v>
      </c>
      <c r="H37" s="36" t="s">
        <v>221</v>
      </c>
      <c r="I37" s="36" t="s">
        <v>74</v>
      </c>
      <c r="J37" s="36" t="s">
        <v>74</v>
      </c>
      <c r="K37" s="36" t="s">
        <v>74</v>
      </c>
      <c r="L37" s="36" t="s">
        <v>74</v>
      </c>
      <c r="M37" s="36" t="s">
        <v>221</v>
      </c>
      <c r="N37" s="29"/>
      <c r="O37" s="36" t="s">
        <v>221</v>
      </c>
      <c r="P37" s="36" t="s">
        <v>221</v>
      </c>
      <c r="Q37" s="36" t="s">
        <v>221</v>
      </c>
      <c r="R37" s="36" t="s">
        <v>74</v>
      </c>
      <c r="S37" s="36" t="s">
        <v>74</v>
      </c>
      <c r="T37" s="18" t="s">
        <v>74</v>
      </c>
      <c r="U37" s="29"/>
      <c r="V37" s="18" t="s">
        <v>74</v>
      </c>
      <c r="W37" s="18" t="s">
        <v>74</v>
      </c>
      <c r="X37" s="18" t="s">
        <v>74</v>
      </c>
      <c r="Y37" s="18" t="s">
        <v>74</v>
      </c>
      <c r="Z37" s="18" t="s">
        <v>74</v>
      </c>
      <c r="AA37" s="18" t="s">
        <v>221</v>
      </c>
      <c r="AB37" s="29"/>
      <c r="AC37" s="18" t="s">
        <v>74</v>
      </c>
      <c r="AD37" s="18" t="s">
        <v>221</v>
      </c>
      <c r="AE37" s="36" t="s">
        <v>74</v>
      </c>
      <c r="AF37" s="36" t="s">
        <v>74</v>
      </c>
      <c r="AG37" s="36" t="s">
        <v>221</v>
      </c>
      <c r="AH37" s="18" t="s">
        <v>74</v>
      </c>
      <c r="AI37" s="29"/>
      <c r="AJ37" s="18" t="s">
        <v>74</v>
      </c>
      <c r="AK37" s="18" t="s">
        <v>74</v>
      </c>
      <c r="AL37" s="18" t="s">
        <v>74</v>
      </c>
      <c r="AM37" s="18" t="s">
        <v>74</v>
      </c>
      <c r="AN37" s="18" t="s">
        <v>221</v>
      </c>
      <c r="AO37" s="36" t="s">
        <v>221</v>
      </c>
      <c r="AP37" s="29"/>
      <c r="AQ37" s="36" t="s">
        <v>221</v>
      </c>
      <c r="AR37" s="36" t="s">
        <v>221</v>
      </c>
      <c r="AS37" s="36" t="s">
        <v>221</v>
      </c>
      <c r="AT37" s="36" t="s">
        <v>221</v>
      </c>
      <c r="AU37" s="36" t="s">
        <v>221</v>
      </c>
      <c r="AV37" s="36" t="s">
        <v>74</v>
      </c>
      <c r="AW37" s="29"/>
      <c r="AX37" s="36" t="s">
        <v>74</v>
      </c>
      <c r="AY37" s="36" t="s">
        <v>74</v>
      </c>
      <c r="AZ37" s="36" t="s">
        <v>221</v>
      </c>
      <c r="BA37" s="36" t="s">
        <v>74</v>
      </c>
      <c r="BB37" s="36" t="s">
        <v>221</v>
      </c>
      <c r="BC37" s="36" t="s">
        <v>74</v>
      </c>
      <c r="BD37" s="29"/>
      <c r="BE37" s="36" t="s">
        <v>74</v>
      </c>
      <c r="BF37" s="36" t="s">
        <v>74</v>
      </c>
      <c r="BG37" s="36" t="s">
        <v>221</v>
      </c>
      <c r="BH37" s="36" t="s">
        <v>74</v>
      </c>
      <c r="BI37" s="36" t="s">
        <v>74</v>
      </c>
      <c r="BJ37" s="36" t="s">
        <v>221</v>
      </c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</row>
    <row r="38" outlineLevel="1">
      <c r="A38" s="50">
        <v>35.0</v>
      </c>
      <c r="B38" s="34" t="s">
        <v>280</v>
      </c>
      <c r="C38" s="46" t="s">
        <v>281</v>
      </c>
      <c r="D38" s="33">
        <f t="shared" si="3"/>
        <v>41</v>
      </c>
      <c r="E38" s="33">
        <f t="shared" si="4"/>
        <v>7</v>
      </c>
      <c r="F38" s="33">
        <f t="shared" si="5"/>
        <v>48</v>
      </c>
      <c r="G38" s="54">
        <f t="shared" si="6"/>
        <v>85.41666667</v>
      </c>
      <c r="H38" s="55" t="s">
        <v>221</v>
      </c>
      <c r="I38" s="55" t="s">
        <v>221</v>
      </c>
      <c r="J38" s="55" t="s">
        <v>221</v>
      </c>
      <c r="K38" s="55" t="s">
        <v>221</v>
      </c>
      <c r="L38" s="55" t="s">
        <v>221</v>
      </c>
      <c r="M38" s="55" t="s">
        <v>221</v>
      </c>
      <c r="N38" s="29"/>
      <c r="O38" s="55" t="s">
        <v>221</v>
      </c>
      <c r="P38" s="55" t="s">
        <v>221</v>
      </c>
      <c r="Q38" s="55" t="s">
        <v>221</v>
      </c>
      <c r="R38" s="55" t="s">
        <v>221</v>
      </c>
      <c r="S38" s="55" t="s">
        <v>74</v>
      </c>
      <c r="T38" s="50" t="s">
        <v>74</v>
      </c>
      <c r="U38" s="29"/>
      <c r="V38" s="50" t="s">
        <v>221</v>
      </c>
      <c r="W38" s="50" t="s">
        <v>221</v>
      </c>
      <c r="X38" s="50" t="s">
        <v>221</v>
      </c>
      <c r="Y38" s="50" t="s">
        <v>74</v>
      </c>
      <c r="Z38" s="50" t="s">
        <v>221</v>
      </c>
      <c r="AA38" s="50" t="s">
        <v>221</v>
      </c>
      <c r="AB38" s="29"/>
      <c r="AC38" s="50" t="s">
        <v>74</v>
      </c>
      <c r="AD38" s="50" t="s">
        <v>74</v>
      </c>
      <c r="AE38" s="55" t="s">
        <v>221</v>
      </c>
      <c r="AF38" s="55" t="s">
        <v>221</v>
      </c>
      <c r="AG38" s="55" t="s">
        <v>221</v>
      </c>
      <c r="AH38" s="50" t="s">
        <v>74</v>
      </c>
      <c r="AI38" s="29"/>
      <c r="AJ38" s="50" t="s">
        <v>221</v>
      </c>
      <c r="AK38" s="50" t="s">
        <v>221</v>
      </c>
      <c r="AL38" s="50" t="s">
        <v>74</v>
      </c>
      <c r="AM38" s="50" t="s">
        <v>221</v>
      </c>
      <c r="AN38" s="50" t="s">
        <v>221</v>
      </c>
      <c r="AO38" s="55" t="s">
        <v>221</v>
      </c>
      <c r="AP38" s="29"/>
      <c r="AQ38" s="55" t="s">
        <v>221</v>
      </c>
      <c r="AR38" s="55" t="s">
        <v>221</v>
      </c>
      <c r="AS38" s="55" t="s">
        <v>221</v>
      </c>
      <c r="AT38" s="55" t="s">
        <v>221</v>
      </c>
      <c r="AU38" s="55" t="s">
        <v>221</v>
      </c>
      <c r="AV38" s="55" t="s">
        <v>221</v>
      </c>
      <c r="AW38" s="29"/>
      <c r="AX38" s="55" t="s">
        <v>221</v>
      </c>
      <c r="AY38" s="55" t="s">
        <v>221</v>
      </c>
      <c r="AZ38" s="55" t="s">
        <v>221</v>
      </c>
      <c r="BA38" s="55" t="s">
        <v>221</v>
      </c>
      <c r="BB38" s="55" t="s">
        <v>221</v>
      </c>
      <c r="BC38" s="55" t="s">
        <v>221</v>
      </c>
      <c r="BD38" s="29"/>
      <c r="BE38" s="55" t="s">
        <v>221</v>
      </c>
      <c r="BF38" s="55" t="s">
        <v>221</v>
      </c>
      <c r="BG38" s="55" t="s">
        <v>221</v>
      </c>
      <c r="BH38" s="55" t="s">
        <v>221</v>
      </c>
      <c r="BI38" s="55" t="s">
        <v>221</v>
      </c>
      <c r="BJ38" s="55" t="s">
        <v>221</v>
      </c>
      <c r="BK38" s="59"/>
      <c r="BL38" s="59"/>
      <c r="BM38" s="59"/>
      <c r="BN38" s="59"/>
      <c r="BO38" s="59"/>
      <c r="BP38" s="59"/>
      <c r="BQ38" s="59"/>
      <c r="BR38" s="59"/>
      <c r="BS38" s="59"/>
      <c r="BT38" s="59"/>
      <c r="BU38" s="59"/>
      <c r="BV38" s="59"/>
    </row>
    <row r="39" outlineLevel="1">
      <c r="A39" s="50">
        <v>36.0</v>
      </c>
      <c r="B39" s="34" t="s">
        <v>584</v>
      </c>
      <c r="C39" s="46" t="s">
        <v>586</v>
      </c>
      <c r="D39" s="33">
        <f t="shared" si="3"/>
        <v>33</v>
      </c>
      <c r="E39" s="33">
        <f t="shared" si="4"/>
        <v>15</v>
      </c>
      <c r="F39" s="33">
        <f t="shared" si="5"/>
        <v>48</v>
      </c>
      <c r="G39" s="54">
        <f t="shared" si="6"/>
        <v>68.75</v>
      </c>
      <c r="H39" s="55" t="s">
        <v>221</v>
      </c>
      <c r="I39" s="55" t="s">
        <v>74</v>
      </c>
      <c r="J39" s="55" t="s">
        <v>221</v>
      </c>
      <c r="K39" s="55" t="s">
        <v>221</v>
      </c>
      <c r="L39" s="55" t="s">
        <v>221</v>
      </c>
      <c r="M39" s="55" t="s">
        <v>221</v>
      </c>
      <c r="N39" s="29"/>
      <c r="O39" s="55" t="s">
        <v>221</v>
      </c>
      <c r="P39" s="55" t="s">
        <v>221</v>
      </c>
      <c r="Q39" s="55" t="s">
        <v>221</v>
      </c>
      <c r="R39" s="55" t="s">
        <v>221</v>
      </c>
      <c r="S39" s="55" t="s">
        <v>221</v>
      </c>
      <c r="T39" s="50" t="s">
        <v>74</v>
      </c>
      <c r="U39" s="29"/>
      <c r="V39" s="50" t="s">
        <v>221</v>
      </c>
      <c r="W39" s="50" t="s">
        <v>221</v>
      </c>
      <c r="X39" s="50" t="s">
        <v>74</v>
      </c>
      <c r="Y39" s="50" t="s">
        <v>221</v>
      </c>
      <c r="Z39" s="50" t="s">
        <v>74</v>
      </c>
      <c r="AA39" s="50" t="s">
        <v>221</v>
      </c>
      <c r="AB39" s="29"/>
      <c r="AC39" s="50" t="s">
        <v>221</v>
      </c>
      <c r="AD39" s="50" t="s">
        <v>221</v>
      </c>
      <c r="AE39" s="55" t="s">
        <v>221</v>
      </c>
      <c r="AF39" s="55" t="s">
        <v>74</v>
      </c>
      <c r="AG39" s="55" t="s">
        <v>221</v>
      </c>
      <c r="AH39" s="50" t="s">
        <v>74</v>
      </c>
      <c r="AI39" s="29"/>
      <c r="AJ39" s="50" t="s">
        <v>221</v>
      </c>
      <c r="AK39" s="50" t="s">
        <v>221</v>
      </c>
      <c r="AL39" s="50" t="s">
        <v>221</v>
      </c>
      <c r="AM39" s="50" t="s">
        <v>221</v>
      </c>
      <c r="AN39" s="50" t="s">
        <v>221</v>
      </c>
      <c r="AO39" s="55" t="s">
        <v>74</v>
      </c>
      <c r="AP39" s="29"/>
      <c r="AQ39" s="55" t="s">
        <v>221</v>
      </c>
      <c r="AR39" s="55" t="s">
        <v>221</v>
      </c>
      <c r="AS39" s="55" t="s">
        <v>74</v>
      </c>
      <c r="AT39" s="55" t="s">
        <v>74</v>
      </c>
      <c r="AU39" s="55" t="s">
        <v>221</v>
      </c>
      <c r="AV39" s="55" t="s">
        <v>221</v>
      </c>
      <c r="AW39" s="29"/>
      <c r="AX39" s="55" t="s">
        <v>221</v>
      </c>
      <c r="AY39" s="55" t="s">
        <v>221</v>
      </c>
      <c r="AZ39" s="55" t="s">
        <v>221</v>
      </c>
      <c r="BA39" s="55" t="s">
        <v>221</v>
      </c>
      <c r="BB39" s="55" t="s">
        <v>221</v>
      </c>
      <c r="BC39" s="55" t="s">
        <v>74</v>
      </c>
      <c r="BD39" s="29"/>
      <c r="BE39" s="55" t="s">
        <v>74</v>
      </c>
      <c r="BF39" s="55" t="s">
        <v>74</v>
      </c>
      <c r="BG39" s="55" t="s">
        <v>74</v>
      </c>
      <c r="BH39" s="55" t="s">
        <v>221</v>
      </c>
      <c r="BI39" s="55" t="s">
        <v>74</v>
      </c>
      <c r="BJ39" s="55" t="s">
        <v>74</v>
      </c>
      <c r="BK39" s="59"/>
      <c r="BL39" s="59"/>
      <c r="BM39" s="59"/>
      <c r="BN39" s="59"/>
      <c r="BO39" s="59"/>
      <c r="BP39" s="59"/>
      <c r="BQ39" s="59"/>
      <c r="BR39" s="59"/>
      <c r="BS39" s="59"/>
      <c r="BT39" s="59"/>
      <c r="BU39" s="59"/>
      <c r="BV39" s="59"/>
    </row>
    <row r="40" outlineLevel="1">
      <c r="A40" s="50">
        <v>37.0</v>
      </c>
      <c r="B40" s="34" t="s">
        <v>667</v>
      </c>
      <c r="C40" s="46" t="s">
        <v>669</v>
      </c>
      <c r="D40" s="33">
        <f t="shared" si="3"/>
        <v>14</v>
      </c>
      <c r="E40" s="33">
        <f t="shared" si="4"/>
        <v>34</v>
      </c>
      <c r="F40" s="33">
        <f t="shared" si="5"/>
        <v>48</v>
      </c>
      <c r="G40" s="54">
        <f t="shared" si="6"/>
        <v>29.16666667</v>
      </c>
      <c r="H40" s="55" t="s">
        <v>221</v>
      </c>
      <c r="I40" s="55" t="s">
        <v>74</v>
      </c>
      <c r="J40" s="55" t="s">
        <v>74</v>
      </c>
      <c r="K40" s="55" t="s">
        <v>74</v>
      </c>
      <c r="L40" s="55" t="s">
        <v>74</v>
      </c>
      <c r="M40" s="55" t="s">
        <v>221</v>
      </c>
      <c r="N40" s="29"/>
      <c r="O40" s="55" t="s">
        <v>221</v>
      </c>
      <c r="P40" s="55" t="s">
        <v>74</v>
      </c>
      <c r="Q40" s="55" t="s">
        <v>74</v>
      </c>
      <c r="R40" s="55" t="s">
        <v>74</v>
      </c>
      <c r="S40" s="55" t="s">
        <v>221</v>
      </c>
      <c r="T40" s="50" t="s">
        <v>74</v>
      </c>
      <c r="U40" s="29"/>
      <c r="V40" s="50" t="s">
        <v>74</v>
      </c>
      <c r="W40" s="50" t="s">
        <v>74</v>
      </c>
      <c r="X40" s="50" t="s">
        <v>74</v>
      </c>
      <c r="Y40" s="50" t="s">
        <v>74</v>
      </c>
      <c r="Z40" s="50" t="s">
        <v>74</v>
      </c>
      <c r="AA40" s="50" t="s">
        <v>74</v>
      </c>
      <c r="AB40" s="29"/>
      <c r="AC40" s="50" t="s">
        <v>74</v>
      </c>
      <c r="AD40" s="50" t="s">
        <v>74</v>
      </c>
      <c r="AE40" s="55" t="s">
        <v>74</v>
      </c>
      <c r="AF40" s="55" t="s">
        <v>74</v>
      </c>
      <c r="AG40" s="55" t="s">
        <v>74</v>
      </c>
      <c r="AH40" s="50" t="s">
        <v>74</v>
      </c>
      <c r="AI40" s="29"/>
      <c r="AJ40" s="50" t="s">
        <v>74</v>
      </c>
      <c r="AK40" s="50" t="s">
        <v>221</v>
      </c>
      <c r="AL40" s="50" t="s">
        <v>74</v>
      </c>
      <c r="AM40" s="50" t="s">
        <v>74</v>
      </c>
      <c r="AN40" s="50" t="s">
        <v>221</v>
      </c>
      <c r="AO40" s="55" t="s">
        <v>74</v>
      </c>
      <c r="AP40" s="29"/>
      <c r="AQ40" s="55" t="s">
        <v>74</v>
      </c>
      <c r="AR40" s="55" t="s">
        <v>221</v>
      </c>
      <c r="AS40" s="55" t="s">
        <v>221</v>
      </c>
      <c r="AT40" s="55" t="s">
        <v>221</v>
      </c>
      <c r="AU40" s="55" t="s">
        <v>221</v>
      </c>
      <c r="AV40" s="55" t="s">
        <v>74</v>
      </c>
      <c r="AW40" s="29"/>
      <c r="AX40" s="55" t="s">
        <v>74</v>
      </c>
      <c r="AY40" s="55" t="s">
        <v>221</v>
      </c>
      <c r="AZ40" s="55" t="s">
        <v>221</v>
      </c>
      <c r="BA40" s="55" t="s">
        <v>74</v>
      </c>
      <c r="BB40" s="55" t="s">
        <v>74</v>
      </c>
      <c r="BC40" s="55" t="s">
        <v>74</v>
      </c>
      <c r="BD40" s="29"/>
      <c r="BE40" s="55" t="s">
        <v>74</v>
      </c>
      <c r="BF40" s="55" t="s">
        <v>74</v>
      </c>
      <c r="BG40" s="55" t="s">
        <v>74</v>
      </c>
      <c r="BH40" s="55" t="s">
        <v>221</v>
      </c>
      <c r="BI40" s="55" t="s">
        <v>221</v>
      </c>
      <c r="BJ40" s="55" t="s">
        <v>74</v>
      </c>
      <c r="BK40" s="59"/>
      <c r="BL40" s="59"/>
      <c r="BM40" s="59"/>
      <c r="BN40" s="59"/>
      <c r="BO40" s="59"/>
      <c r="BP40" s="59"/>
      <c r="BQ40" s="59"/>
      <c r="BR40" s="59"/>
      <c r="BS40" s="59"/>
      <c r="BT40" s="59"/>
      <c r="BU40" s="59"/>
      <c r="BV40" s="59"/>
    </row>
    <row r="41" outlineLevel="1">
      <c r="A41" s="50">
        <v>38.0</v>
      </c>
      <c r="B41" s="34" t="s">
        <v>656</v>
      </c>
      <c r="C41" s="46" t="s">
        <v>658</v>
      </c>
      <c r="D41" s="33">
        <f t="shared" si="3"/>
        <v>45</v>
      </c>
      <c r="E41" s="33">
        <f t="shared" si="4"/>
        <v>3</v>
      </c>
      <c r="F41" s="33">
        <f t="shared" si="5"/>
        <v>48</v>
      </c>
      <c r="G41" s="54">
        <f t="shared" si="6"/>
        <v>93.75</v>
      </c>
      <c r="H41" s="55" t="s">
        <v>221</v>
      </c>
      <c r="I41" s="55" t="s">
        <v>221</v>
      </c>
      <c r="J41" s="55" t="s">
        <v>221</v>
      </c>
      <c r="K41" s="55" t="s">
        <v>221</v>
      </c>
      <c r="L41" s="55" t="s">
        <v>221</v>
      </c>
      <c r="M41" s="55" t="s">
        <v>221</v>
      </c>
      <c r="N41" s="29"/>
      <c r="O41" s="55" t="s">
        <v>221</v>
      </c>
      <c r="P41" s="55" t="s">
        <v>221</v>
      </c>
      <c r="Q41" s="55" t="s">
        <v>221</v>
      </c>
      <c r="R41" s="55" t="s">
        <v>221</v>
      </c>
      <c r="S41" s="55" t="s">
        <v>221</v>
      </c>
      <c r="T41" s="50" t="s">
        <v>221</v>
      </c>
      <c r="U41" s="29"/>
      <c r="V41" s="50" t="s">
        <v>74</v>
      </c>
      <c r="W41" s="50" t="s">
        <v>74</v>
      </c>
      <c r="X41" s="50" t="s">
        <v>221</v>
      </c>
      <c r="Y41" s="50" t="s">
        <v>221</v>
      </c>
      <c r="Z41" s="50" t="s">
        <v>221</v>
      </c>
      <c r="AA41" s="50" t="s">
        <v>221</v>
      </c>
      <c r="AB41" s="29"/>
      <c r="AC41" s="50" t="s">
        <v>221</v>
      </c>
      <c r="AD41" s="50" t="s">
        <v>221</v>
      </c>
      <c r="AE41" s="55" t="s">
        <v>221</v>
      </c>
      <c r="AF41" s="55" t="s">
        <v>221</v>
      </c>
      <c r="AG41" s="55" t="s">
        <v>221</v>
      </c>
      <c r="AH41" s="50" t="s">
        <v>221</v>
      </c>
      <c r="AI41" s="29"/>
      <c r="AJ41" s="50" t="s">
        <v>221</v>
      </c>
      <c r="AK41" s="50" t="s">
        <v>221</v>
      </c>
      <c r="AL41" s="50" t="s">
        <v>221</v>
      </c>
      <c r="AM41" s="50" t="s">
        <v>221</v>
      </c>
      <c r="AN41" s="50" t="s">
        <v>221</v>
      </c>
      <c r="AO41" s="55" t="s">
        <v>221</v>
      </c>
      <c r="AP41" s="29"/>
      <c r="AQ41" s="55" t="s">
        <v>221</v>
      </c>
      <c r="AR41" s="55" t="s">
        <v>221</v>
      </c>
      <c r="AS41" s="55" t="s">
        <v>221</v>
      </c>
      <c r="AT41" s="55" t="s">
        <v>221</v>
      </c>
      <c r="AU41" s="55" t="s">
        <v>221</v>
      </c>
      <c r="AV41" s="55" t="s">
        <v>221</v>
      </c>
      <c r="AW41" s="29"/>
      <c r="AX41" s="55" t="s">
        <v>221</v>
      </c>
      <c r="AY41" s="55" t="s">
        <v>221</v>
      </c>
      <c r="AZ41" s="55" t="s">
        <v>221</v>
      </c>
      <c r="BA41" s="55" t="s">
        <v>221</v>
      </c>
      <c r="BB41" s="55" t="s">
        <v>221</v>
      </c>
      <c r="BC41" s="55" t="s">
        <v>221</v>
      </c>
      <c r="BD41" s="29"/>
      <c r="BE41" s="55" t="s">
        <v>221</v>
      </c>
      <c r="BF41" s="55" t="s">
        <v>74</v>
      </c>
      <c r="BG41" s="55" t="s">
        <v>221</v>
      </c>
      <c r="BH41" s="55" t="s">
        <v>221</v>
      </c>
      <c r="BI41" s="55" t="s">
        <v>221</v>
      </c>
      <c r="BJ41" s="55" t="s">
        <v>221</v>
      </c>
      <c r="BK41" s="59"/>
      <c r="BL41" s="59"/>
      <c r="BM41" s="59"/>
      <c r="BN41" s="59"/>
      <c r="BO41" s="59"/>
      <c r="BP41" s="59"/>
      <c r="BQ41" s="59"/>
      <c r="BR41" s="59"/>
      <c r="BS41" s="59"/>
      <c r="BT41" s="59"/>
      <c r="BU41" s="59"/>
      <c r="BV41" s="59"/>
    </row>
    <row r="42" outlineLevel="1">
      <c r="A42" s="50">
        <v>39.0</v>
      </c>
      <c r="B42" s="34" t="s">
        <v>768</v>
      </c>
      <c r="C42" s="46" t="s">
        <v>770</v>
      </c>
      <c r="D42" s="33">
        <f t="shared" si="3"/>
        <v>38</v>
      </c>
      <c r="E42" s="33">
        <f t="shared" si="4"/>
        <v>10</v>
      </c>
      <c r="F42" s="33">
        <f t="shared" si="5"/>
        <v>48</v>
      </c>
      <c r="G42" s="54">
        <f t="shared" si="6"/>
        <v>79.16666667</v>
      </c>
      <c r="H42" s="36" t="s">
        <v>74</v>
      </c>
      <c r="I42" s="36" t="s">
        <v>74</v>
      </c>
      <c r="J42" s="36" t="s">
        <v>74</v>
      </c>
      <c r="K42" s="36" t="s">
        <v>74</v>
      </c>
      <c r="L42" s="36" t="s">
        <v>74</v>
      </c>
      <c r="M42" s="36" t="s">
        <v>74</v>
      </c>
      <c r="N42" s="29"/>
      <c r="O42" s="36" t="s">
        <v>221</v>
      </c>
      <c r="P42" s="36" t="s">
        <v>221</v>
      </c>
      <c r="Q42" s="36" t="s">
        <v>221</v>
      </c>
      <c r="R42" s="36" t="s">
        <v>221</v>
      </c>
      <c r="S42" s="36" t="s">
        <v>221</v>
      </c>
      <c r="T42" s="18" t="s">
        <v>221</v>
      </c>
      <c r="U42" s="29"/>
      <c r="V42" s="18" t="s">
        <v>221</v>
      </c>
      <c r="W42" s="18" t="s">
        <v>74</v>
      </c>
      <c r="X42" s="18" t="s">
        <v>221</v>
      </c>
      <c r="Y42" s="18" t="s">
        <v>221</v>
      </c>
      <c r="Z42" s="18" t="s">
        <v>221</v>
      </c>
      <c r="AA42" s="18" t="s">
        <v>221</v>
      </c>
      <c r="AB42" s="29"/>
      <c r="AC42" s="18" t="s">
        <v>221</v>
      </c>
      <c r="AD42" s="18" t="s">
        <v>221</v>
      </c>
      <c r="AE42" s="36" t="s">
        <v>74</v>
      </c>
      <c r="AF42" s="36" t="s">
        <v>221</v>
      </c>
      <c r="AG42" s="36" t="s">
        <v>221</v>
      </c>
      <c r="AH42" s="18" t="s">
        <v>221</v>
      </c>
      <c r="AI42" s="29"/>
      <c r="AJ42" s="18" t="s">
        <v>221</v>
      </c>
      <c r="AK42" s="18" t="s">
        <v>221</v>
      </c>
      <c r="AL42" s="18" t="s">
        <v>221</v>
      </c>
      <c r="AM42" s="18" t="s">
        <v>221</v>
      </c>
      <c r="AN42" s="18" t="s">
        <v>221</v>
      </c>
      <c r="AO42" s="36" t="s">
        <v>221</v>
      </c>
      <c r="AP42" s="29"/>
      <c r="AQ42" s="36" t="s">
        <v>221</v>
      </c>
      <c r="AR42" s="36" t="s">
        <v>221</v>
      </c>
      <c r="AS42" s="36" t="s">
        <v>221</v>
      </c>
      <c r="AT42" s="36" t="s">
        <v>221</v>
      </c>
      <c r="AU42" s="36" t="s">
        <v>221</v>
      </c>
      <c r="AV42" s="36" t="s">
        <v>221</v>
      </c>
      <c r="AW42" s="29"/>
      <c r="AX42" s="36" t="s">
        <v>221</v>
      </c>
      <c r="AY42" s="36" t="s">
        <v>221</v>
      </c>
      <c r="AZ42" s="36" t="s">
        <v>221</v>
      </c>
      <c r="BA42" s="36" t="s">
        <v>74</v>
      </c>
      <c r="BB42" s="36" t="s">
        <v>221</v>
      </c>
      <c r="BC42" s="36" t="s">
        <v>221</v>
      </c>
      <c r="BD42" s="29"/>
      <c r="BE42" s="36" t="s">
        <v>221</v>
      </c>
      <c r="BF42" s="36" t="s">
        <v>221</v>
      </c>
      <c r="BG42" s="36" t="s">
        <v>221</v>
      </c>
      <c r="BH42" s="36" t="s">
        <v>221</v>
      </c>
      <c r="BI42" s="36" t="s">
        <v>221</v>
      </c>
      <c r="BJ42" s="36" t="s">
        <v>74</v>
      </c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</row>
    <row r="43" outlineLevel="1">
      <c r="A43" s="50">
        <v>40.0</v>
      </c>
      <c r="B43" s="34" t="s">
        <v>739</v>
      </c>
      <c r="C43" s="46" t="s">
        <v>740</v>
      </c>
      <c r="D43" s="33">
        <f t="shared" si="3"/>
        <v>37</v>
      </c>
      <c r="E43" s="33">
        <f t="shared" si="4"/>
        <v>11</v>
      </c>
      <c r="F43" s="33">
        <f t="shared" si="5"/>
        <v>48</v>
      </c>
      <c r="G43" s="54">
        <f t="shared" si="6"/>
        <v>77.08333333</v>
      </c>
      <c r="H43" s="55" t="s">
        <v>221</v>
      </c>
      <c r="I43" s="55" t="s">
        <v>221</v>
      </c>
      <c r="J43" s="55" t="s">
        <v>221</v>
      </c>
      <c r="K43" s="55" t="s">
        <v>221</v>
      </c>
      <c r="L43" s="55" t="s">
        <v>221</v>
      </c>
      <c r="M43" s="55" t="s">
        <v>221</v>
      </c>
      <c r="N43" s="29"/>
      <c r="O43" s="55" t="s">
        <v>221</v>
      </c>
      <c r="P43" s="55" t="s">
        <v>221</v>
      </c>
      <c r="Q43" s="55" t="s">
        <v>221</v>
      </c>
      <c r="R43" s="55" t="s">
        <v>221</v>
      </c>
      <c r="S43" s="55" t="s">
        <v>221</v>
      </c>
      <c r="T43" s="50" t="s">
        <v>221</v>
      </c>
      <c r="U43" s="29"/>
      <c r="V43" s="50" t="s">
        <v>221</v>
      </c>
      <c r="W43" s="50" t="s">
        <v>366</v>
      </c>
      <c r="X43" s="50" t="s">
        <v>366</v>
      </c>
      <c r="Y43" s="50" t="s">
        <v>74</v>
      </c>
      <c r="Z43" s="50" t="s">
        <v>366</v>
      </c>
      <c r="AA43" s="50" t="s">
        <v>366</v>
      </c>
      <c r="AB43" s="29"/>
      <c r="AC43" s="50" t="s">
        <v>366</v>
      </c>
      <c r="AD43" s="50" t="s">
        <v>74</v>
      </c>
      <c r="AE43" s="55" t="s">
        <v>74</v>
      </c>
      <c r="AF43" s="55" t="s">
        <v>366</v>
      </c>
      <c r="AG43" s="55" t="s">
        <v>366</v>
      </c>
      <c r="AH43" s="50" t="s">
        <v>74</v>
      </c>
      <c r="AI43" s="29"/>
      <c r="AJ43" s="50" t="s">
        <v>74</v>
      </c>
      <c r="AK43" s="50" t="s">
        <v>74</v>
      </c>
      <c r="AL43" s="50" t="s">
        <v>74</v>
      </c>
      <c r="AM43" s="50" t="s">
        <v>221</v>
      </c>
      <c r="AN43" s="50" t="s">
        <v>74</v>
      </c>
      <c r="AO43" s="55" t="s">
        <v>74</v>
      </c>
      <c r="AP43" s="29"/>
      <c r="AQ43" s="55" t="s">
        <v>74</v>
      </c>
      <c r="AR43" s="55" t="s">
        <v>221</v>
      </c>
      <c r="AS43" s="55" t="s">
        <v>221</v>
      </c>
      <c r="AT43" s="55" t="s">
        <v>221</v>
      </c>
      <c r="AU43" s="55" t="s">
        <v>221</v>
      </c>
      <c r="AV43" s="55" t="s">
        <v>221</v>
      </c>
      <c r="AW43" s="29"/>
      <c r="AX43" s="55" t="s">
        <v>221</v>
      </c>
      <c r="AY43" s="55" t="s">
        <v>221</v>
      </c>
      <c r="AZ43" s="55" t="s">
        <v>221</v>
      </c>
      <c r="BA43" s="55" t="s">
        <v>74</v>
      </c>
      <c r="BB43" s="55" t="s">
        <v>221</v>
      </c>
      <c r="BC43" s="55" t="s">
        <v>221</v>
      </c>
      <c r="BD43" s="29"/>
      <c r="BE43" s="55" t="s">
        <v>221</v>
      </c>
      <c r="BF43" s="55" t="s">
        <v>221</v>
      </c>
      <c r="BG43" s="55" t="s">
        <v>221</v>
      </c>
      <c r="BH43" s="55" t="s">
        <v>221</v>
      </c>
      <c r="BI43" s="55" t="s">
        <v>221</v>
      </c>
      <c r="BJ43" s="55" t="s">
        <v>221</v>
      </c>
      <c r="BK43" s="59"/>
      <c r="BL43" s="59"/>
      <c r="BM43" s="59"/>
      <c r="BN43" s="59"/>
      <c r="BO43" s="59"/>
      <c r="BP43" s="59"/>
      <c r="BQ43" s="59"/>
      <c r="BR43" s="59"/>
      <c r="BS43" s="59"/>
      <c r="BT43" s="59"/>
      <c r="BU43" s="59"/>
      <c r="BV43" s="59"/>
    </row>
    <row r="44" outlineLevel="1">
      <c r="A44" s="50">
        <v>41.0</v>
      </c>
      <c r="B44" s="63" t="s">
        <v>879</v>
      </c>
      <c r="C44" s="63" t="s">
        <v>853</v>
      </c>
      <c r="D44" s="33">
        <f t="shared" si="3"/>
        <v>0</v>
      </c>
      <c r="E44" s="33">
        <f t="shared" si="4"/>
        <v>20</v>
      </c>
      <c r="F44" s="33">
        <f t="shared" si="5"/>
        <v>20</v>
      </c>
      <c r="G44" s="54">
        <f t="shared" si="6"/>
        <v>0</v>
      </c>
      <c r="H44" s="63" t="s">
        <v>485</v>
      </c>
      <c r="I44" s="63" t="s">
        <v>485</v>
      </c>
      <c r="J44" s="63" t="s">
        <v>485</v>
      </c>
      <c r="K44" s="63" t="s">
        <v>485</v>
      </c>
      <c r="L44" s="63" t="s">
        <v>485</v>
      </c>
      <c r="M44" s="63" t="s">
        <v>485</v>
      </c>
      <c r="N44" s="29"/>
      <c r="O44" s="63" t="s">
        <v>485</v>
      </c>
      <c r="P44" s="63" t="s">
        <v>485</v>
      </c>
      <c r="Q44" s="63" t="s">
        <v>485</v>
      </c>
      <c r="R44" s="63" t="s">
        <v>485</v>
      </c>
      <c r="S44" s="63" t="s">
        <v>485</v>
      </c>
      <c r="T44" s="63" t="s">
        <v>485</v>
      </c>
      <c r="U44" s="29"/>
      <c r="V44" s="63" t="s">
        <v>485</v>
      </c>
      <c r="W44" s="63" t="s">
        <v>485</v>
      </c>
      <c r="X44" s="63" t="s">
        <v>485</v>
      </c>
      <c r="Y44" s="63" t="s">
        <v>485</v>
      </c>
      <c r="Z44" s="63" t="s">
        <v>485</v>
      </c>
      <c r="AA44" s="61"/>
      <c r="AB44" s="29"/>
      <c r="AC44" s="61"/>
      <c r="AD44" s="61"/>
      <c r="AE44" s="61"/>
      <c r="AF44" s="61"/>
      <c r="AG44" s="61"/>
      <c r="AH44" s="65"/>
      <c r="AI44" s="29"/>
      <c r="AJ44" s="65"/>
      <c r="AK44" s="65"/>
      <c r="AL44" s="65"/>
      <c r="AM44" s="65"/>
      <c r="AN44" s="18" t="s">
        <v>74</v>
      </c>
      <c r="AO44" s="36" t="s">
        <v>74</v>
      </c>
      <c r="AP44" s="29"/>
      <c r="AQ44" s="36" t="s">
        <v>74</v>
      </c>
      <c r="AR44" s="36" t="s">
        <v>74</v>
      </c>
      <c r="AS44" s="36" t="s">
        <v>74</v>
      </c>
      <c r="AT44" s="36" t="s">
        <v>74</v>
      </c>
      <c r="AU44" s="36" t="s">
        <v>74</v>
      </c>
      <c r="AV44" s="36" t="s">
        <v>74</v>
      </c>
      <c r="AW44" s="29"/>
      <c r="AX44" s="36" t="s">
        <v>74</v>
      </c>
      <c r="AY44" s="36" t="s">
        <v>74</v>
      </c>
      <c r="AZ44" s="36" t="s">
        <v>74</v>
      </c>
      <c r="BA44" s="36" t="s">
        <v>74</v>
      </c>
      <c r="BB44" s="36" t="s">
        <v>74</v>
      </c>
      <c r="BC44" s="36" t="s">
        <v>74</v>
      </c>
      <c r="BD44" s="29"/>
      <c r="BE44" s="36" t="s">
        <v>74</v>
      </c>
      <c r="BF44" s="36" t="s">
        <v>74</v>
      </c>
      <c r="BG44" s="36" t="s">
        <v>74</v>
      </c>
      <c r="BH44" s="36" t="s">
        <v>74</v>
      </c>
      <c r="BI44" s="36" t="s">
        <v>74</v>
      </c>
      <c r="BJ44" s="36" t="s">
        <v>74</v>
      </c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</row>
    <row r="45" outlineLevel="1">
      <c r="A45" s="50">
        <v>42.0</v>
      </c>
      <c r="B45" s="67" t="s">
        <v>816</v>
      </c>
      <c r="C45" s="63" t="s">
        <v>817</v>
      </c>
      <c r="D45" s="33">
        <f t="shared" si="3"/>
        <v>32</v>
      </c>
      <c r="E45" s="33">
        <f t="shared" si="4"/>
        <v>16</v>
      </c>
      <c r="F45" s="33">
        <f t="shared" si="5"/>
        <v>48</v>
      </c>
      <c r="G45" s="54">
        <f t="shared" si="6"/>
        <v>66.66666667</v>
      </c>
      <c r="H45" s="36" t="s">
        <v>74</v>
      </c>
      <c r="I45" s="36" t="s">
        <v>74</v>
      </c>
      <c r="J45" s="36" t="s">
        <v>74</v>
      </c>
      <c r="K45" s="36" t="s">
        <v>74</v>
      </c>
      <c r="L45" s="36" t="s">
        <v>74</v>
      </c>
      <c r="M45" s="36" t="s">
        <v>74</v>
      </c>
      <c r="N45" s="29"/>
      <c r="O45" s="36" t="s">
        <v>221</v>
      </c>
      <c r="P45" s="36" t="s">
        <v>221</v>
      </c>
      <c r="Q45" s="36" t="s">
        <v>221</v>
      </c>
      <c r="R45" s="36" t="s">
        <v>221</v>
      </c>
      <c r="S45" s="36" t="s">
        <v>221</v>
      </c>
      <c r="T45" s="36" t="s">
        <v>221</v>
      </c>
      <c r="U45" s="29"/>
      <c r="V45" s="36" t="s">
        <v>221</v>
      </c>
      <c r="W45" s="36" t="s">
        <v>221</v>
      </c>
      <c r="X45" s="36" t="s">
        <v>74</v>
      </c>
      <c r="Y45" s="36" t="s">
        <v>221</v>
      </c>
      <c r="Z45" s="36" t="s">
        <v>221</v>
      </c>
      <c r="AA45" s="36" t="s">
        <v>221</v>
      </c>
      <c r="AB45" s="29"/>
      <c r="AC45" s="36" t="s">
        <v>221</v>
      </c>
      <c r="AD45" s="36" t="s">
        <v>221</v>
      </c>
      <c r="AE45" s="36" t="s">
        <v>74</v>
      </c>
      <c r="AF45" s="36" t="s">
        <v>74</v>
      </c>
      <c r="AG45" s="36" t="s">
        <v>221</v>
      </c>
      <c r="AH45" s="18" t="s">
        <v>221</v>
      </c>
      <c r="AI45" s="29"/>
      <c r="AJ45" s="18" t="s">
        <v>221</v>
      </c>
      <c r="AK45" s="18" t="s">
        <v>221</v>
      </c>
      <c r="AL45" s="18" t="s">
        <v>221</v>
      </c>
      <c r="AM45" s="18" t="s">
        <v>221</v>
      </c>
      <c r="AN45" s="18" t="s">
        <v>221</v>
      </c>
      <c r="AO45" s="36" t="s">
        <v>221</v>
      </c>
      <c r="AP45" s="29"/>
      <c r="AQ45" s="36" t="s">
        <v>221</v>
      </c>
      <c r="AR45" s="36" t="s">
        <v>221</v>
      </c>
      <c r="AS45" s="36" t="s">
        <v>74</v>
      </c>
      <c r="AT45" s="36" t="s">
        <v>221</v>
      </c>
      <c r="AU45" s="36" t="s">
        <v>221</v>
      </c>
      <c r="AV45" s="36" t="s">
        <v>221</v>
      </c>
      <c r="AW45" s="29"/>
      <c r="AX45" s="36" t="s">
        <v>74</v>
      </c>
      <c r="AY45" s="36" t="s">
        <v>74</v>
      </c>
      <c r="AZ45" s="36" t="s">
        <v>74</v>
      </c>
      <c r="BA45" s="36" t="s">
        <v>221</v>
      </c>
      <c r="BB45" s="36" t="s">
        <v>74</v>
      </c>
      <c r="BC45" s="36" t="s">
        <v>221</v>
      </c>
      <c r="BD45" s="29"/>
      <c r="BE45" s="36" t="s">
        <v>221</v>
      </c>
      <c r="BF45" s="36" t="s">
        <v>221</v>
      </c>
      <c r="BG45" s="36" t="s">
        <v>221</v>
      </c>
      <c r="BH45" s="36" t="s">
        <v>221</v>
      </c>
      <c r="BI45" s="36" t="s">
        <v>74</v>
      </c>
      <c r="BJ45" s="36" t="s">
        <v>74</v>
      </c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</row>
    <row r="46" outlineLevel="1">
      <c r="A46" s="50">
        <v>43.0</v>
      </c>
      <c r="B46" s="67" t="s">
        <v>784</v>
      </c>
      <c r="C46" s="66" t="s">
        <v>785</v>
      </c>
      <c r="D46" s="33">
        <f t="shared" si="3"/>
        <v>25</v>
      </c>
      <c r="E46" s="33">
        <f t="shared" si="4"/>
        <v>23</v>
      </c>
      <c r="F46" s="33">
        <f t="shared" si="5"/>
        <v>48</v>
      </c>
      <c r="G46" s="54">
        <f t="shared" si="6"/>
        <v>52.08333333</v>
      </c>
      <c r="H46" s="36" t="s">
        <v>74</v>
      </c>
      <c r="I46" s="36" t="s">
        <v>74</v>
      </c>
      <c r="J46" s="36" t="s">
        <v>74</v>
      </c>
      <c r="K46" s="36" t="s">
        <v>74</v>
      </c>
      <c r="L46" s="36" t="s">
        <v>74</v>
      </c>
      <c r="M46" s="36" t="s">
        <v>74</v>
      </c>
      <c r="N46" s="29"/>
      <c r="O46" s="36" t="s">
        <v>74</v>
      </c>
      <c r="P46" s="36" t="s">
        <v>74</v>
      </c>
      <c r="Q46" s="36" t="s">
        <v>74</v>
      </c>
      <c r="R46" s="36" t="s">
        <v>74</v>
      </c>
      <c r="S46" s="36" t="s">
        <v>74</v>
      </c>
      <c r="T46" s="36" t="s">
        <v>221</v>
      </c>
      <c r="U46" s="29"/>
      <c r="V46" s="36" t="s">
        <v>221</v>
      </c>
      <c r="W46" s="36" t="s">
        <v>221</v>
      </c>
      <c r="X46" s="36" t="s">
        <v>221</v>
      </c>
      <c r="Y46" s="36" t="s">
        <v>221</v>
      </c>
      <c r="Z46" s="36" t="s">
        <v>221</v>
      </c>
      <c r="AA46" s="36" t="s">
        <v>221</v>
      </c>
      <c r="AB46" s="29"/>
      <c r="AC46" s="36" t="s">
        <v>221</v>
      </c>
      <c r="AD46" s="36" t="s">
        <v>74</v>
      </c>
      <c r="AE46" s="36" t="s">
        <v>74</v>
      </c>
      <c r="AF46" s="36" t="s">
        <v>221</v>
      </c>
      <c r="AG46" s="36" t="s">
        <v>221</v>
      </c>
      <c r="AH46" s="18" t="s">
        <v>74</v>
      </c>
      <c r="AI46" s="29"/>
      <c r="AJ46" s="18" t="s">
        <v>74</v>
      </c>
      <c r="AK46" s="18" t="s">
        <v>221</v>
      </c>
      <c r="AL46" s="18" t="s">
        <v>221</v>
      </c>
      <c r="AM46" s="18" t="s">
        <v>221</v>
      </c>
      <c r="AN46" s="18" t="s">
        <v>221</v>
      </c>
      <c r="AO46" s="36" t="s">
        <v>74</v>
      </c>
      <c r="AP46" s="29"/>
      <c r="AQ46" s="36" t="s">
        <v>221</v>
      </c>
      <c r="AR46" s="36" t="s">
        <v>74</v>
      </c>
      <c r="AS46" s="36" t="s">
        <v>74</v>
      </c>
      <c r="AT46" s="36" t="s">
        <v>74</v>
      </c>
      <c r="AU46" s="36" t="s">
        <v>221</v>
      </c>
      <c r="AV46" s="36" t="s">
        <v>221</v>
      </c>
      <c r="AW46" s="29"/>
      <c r="AX46" s="36" t="s">
        <v>221</v>
      </c>
      <c r="AY46" s="36" t="s">
        <v>221</v>
      </c>
      <c r="AZ46" s="36" t="s">
        <v>74</v>
      </c>
      <c r="BA46" s="36" t="s">
        <v>221</v>
      </c>
      <c r="BB46" s="36" t="s">
        <v>74</v>
      </c>
      <c r="BC46" s="36" t="s">
        <v>221</v>
      </c>
      <c r="BD46" s="29"/>
      <c r="BE46" s="36" t="s">
        <v>74</v>
      </c>
      <c r="BF46" s="36" t="s">
        <v>221</v>
      </c>
      <c r="BG46" s="36" t="s">
        <v>221</v>
      </c>
      <c r="BH46" s="36" t="s">
        <v>74</v>
      </c>
      <c r="BI46" s="36" t="s">
        <v>221</v>
      </c>
      <c r="BJ46" s="36" t="s">
        <v>221</v>
      </c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</row>
    <row r="47" outlineLevel="1">
      <c r="A47" s="50">
        <v>44.0</v>
      </c>
      <c r="B47" s="67" t="s">
        <v>807</v>
      </c>
      <c r="C47" s="63" t="s">
        <v>808</v>
      </c>
      <c r="D47" s="33">
        <f t="shared" si="3"/>
        <v>30</v>
      </c>
      <c r="E47" s="33">
        <f t="shared" si="4"/>
        <v>18</v>
      </c>
      <c r="F47" s="33">
        <f t="shared" si="5"/>
        <v>48</v>
      </c>
      <c r="G47" s="54">
        <f t="shared" si="6"/>
        <v>62.5</v>
      </c>
      <c r="H47" s="36" t="s">
        <v>74</v>
      </c>
      <c r="I47" s="36" t="s">
        <v>74</v>
      </c>
      <c r="J47" s="36" t="s">
        <v>221</v>
      </c>
      <c r="K47" s="36" t="s">
        <v>221</v>
      </c>
      <c r="L47" s="36" t="s">
        <v>221</v>
      </c>
      <c r="M47" s="36" t="s">
        <v>74</v>
      </c>
      <c r="N47" s="29"/>
      <c r="O47" s="36" t="s">
        <v>74</v>
      </c>
      <c r="P47" s="36" t="s">
        <v>221</v>
      </c>
      <c r="Q47" s="36" t="s">
        <v>221</v>
      </c>
      <c r="R47" s="36" t="s">
        <v>221</v>
      </c>
      <c r="S47" s="36" t="s">
        <v>221</v>
      </c>
      <c r="T47" s="36" t="s">
        <v>221</v>
      </c>
      <c r="U47" s="29"/>
      <c r="V47" s="36" t="s">
        <v>221</v>
      </c>
      <c r="W47" s="36" t="s">
        <v>221</v>
      </c>
      <c r="X47" s="36" t="s">
        <v>221</v>
      </c>
      <c r="Y47" s="36" t="s">
        <v>221</v>
      </c>
      <c r="Z47" s="36" t="s">
        <v>221</v>
      </c>
      <c r="AA47" s="36" t="s">
        <v>221</v>
      </c>
      <c r="AB47" s="29"/>
      <c r="AC47" s="36" t="s">
        <v>74</v>
      </c>
      <c r="AD47" s="36" t="s">
        <v>221</v>
      </c>
      <c r="AE47" s="36" t="s">
        <v>221</v>
      </c>
      <c r="AF47" s="36" t="s">
        <v>74</v>
      </c>
      <c r="AG47" s="36" t="s">
        <v>221</v>
      </c>
      <c r="AH47" s="18" t="s">
        <v>74</v>
      </c>
      <c r="AI47" s="29"/>
      <c r="AJ47" s="18" t="s">
        <v>74</v>
      </c>
      <c r="AK47" s="18" t="s">
        <v>74</v>
      </c>
      <c r="AL47" s="18" t="s">
        <v>74</v>
      </c>
      <c r="AM47" s="18" t="s">
        <v>74</v>
      </c>
      <c r="AN47" s="18" t="s">
        <v>221</v>
      </c>
      <c r="AO47" s="36" t="s">
        <v>221</v>
      </c>
      <c r="AP47" s="29"/>
      <c r="AQ47" s="36" t="s">
        <v>221</v>
      </c>
      <c r="AR47" s="36" t="s">
        <v>221</v>
      </c>
      <c r="AS47" s="36" t="s">
        <v>221</v>
      </c>
      <c r="AT47" s="36" t="s">
        <v>221</v>
      </c>
      <c r="AU47" s="36" t="s">
        <v>74</v>
      </c>
      <c r="AV47" s="36" t="s">
        <v>221</v>
      </c>
      <c r="AW47" s="29"/>
      <c r="AX47" s="36" t="s">
        <v>221</v>
      </c>
      <c r="AY47" s="36" t="s">
        <v>221</v>
      </c>
      <c r="AZ47" s="36" t="s">
        <v>74</v>
      </c>
      <c r="BA47" s="36" t="s">
        <v>74</v>
      </c>
      <c r="BB47" s="36" t="s">
        <v>221</v>
      </c>
      <c r="BC47" s="36" t="s">
        <v>221</v>
      </c>
      <c r="BD47" s="29"/>
      <c r="BE47" s="36" t="s">
        <v>74</v>
      </c>
      <c r="BF47" s="36" t="s">
        <v>74</v>
      </c>
      <c r="BG47" s="36" t="s">
        <v>221</v>
      </c>
      <c r="BH47" s="36" t="s">
        <v>74</v>
      </c>
      <c r="BI47" s="36" t="s">
        <v>221</v>
      </c>
      <c r="BJ47" s="36" t="s">
        <v>74</v>
      </c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</row>
    <row r="48" outlineLevel="1">
      <c r="A48" s="50">
        <v>45.0</v>
      </c>
      <c r="B48" s="34" t="s">
        <v>405</v>
      </c>
      <c r="C48" s="46" t="s">
        <v>406</v>
      </c>
      <c r="D48" s="33">
        <f t="shared" si="3"/>
        <v>37</v>
      </c>
      <c r="E48" s="33">
        <f t="shared" si="4"/>
        <v>11</v>
      </c>
      <c r="F48" s="33">
        <f t="shared" si="5"/>
        <v>48</v>
      </c>
      <c r="G48" s="54">
        <f t="shared" si="6"/>
        <v>77.08333333</v>
      </c>
      <c r="H48" s="55" t="s">
        <v>221</v>
      </c>
      <c r="I48" s="55" t="s">
        <v>74</v>
      </c>
      <c r="J48" s="55" t="s">
        <v>221</v>
      </c>
      <c r="K48" s="55" t="s">
        <v>221</v>
      </c>
      <c r="L48" s="55" t="s">
        <v>221</v>
      </c>
      <c r="M48" s="55" t="s">
        <v>221</v>
      </c>
      <c r="N48" s="29"/>
      <c r="O48" s="55" t="s">
        <v>221</v>
      </c>
      <c r="P48" s="55" t="s">
        <v>74</v>
      </c>
      <c r="Q48" s="55" t="s">
        <v>221</v>
      </c>
      <c r="R48" s="55" t="s">
        <v>221</v>
      </c>
      <c r="S48" s="55" t="s">
        <v>221</v>
      </c>
      <c r="T48" s="50" t="s">
        <v>221</v>
      </c>
      <c r="U48" s="29"/>
      <c r="V48" s="50" t="s">
        <v>221</v>
      </c>
      <c r="W48" s="50" t="s">
        <v>74</v>
      </c>
      <c r="X48" s="50" t="s">
        <v>221</v>
      </c>
      <c r="Y48" s="50" t="s">
        <v>74</v>
      </c>
      <c r="Z48" s="50" t="s">
        <v>221</v>
      </c>
      <c r="AA48" s="50" t="s">
        <v>221</v>
      </c>
      <c r="AB48" s="29"/>
      <c r="AC48" s="50" t="s">
        <v>221</v>
      </c>
      <c r="AD48" s="50" t="s">
        <v>221</v>
      </c>
      <c r="AE48" s="55" t="s">
        <v>221</v>
      </c>
      <c r="AF48" s="55" t="s">
        <v>221</v>
      </c>
      <c r="AG48" s="55" t="s">
        <v>221</v>
      </c>
      <c r="AH48" s="50" t="s">
        <v>221</v>
      </c>
      <c r="AI48" s="29"/>
      <c r="AJ48" s="50" t="s">
        <v>221</v>
      </c>
      <c r="AK48" s="50" t="s">
        <v>221</v>
      </c>
      <c r="AL48" s="50" t="s">
        <v>221</v>
      </c>
      <c r="AM48" s="50" t="s">
        <v>221</v>
      </c>
      <c r="AN48" s="50" t="s">
        <v>221</v>
      </c>
      <c r="AO48" s="55" t="s">
        <v>221</v>
      </c>
      <c r="AP48" s="29"/>
      <c r="AQ48" s="55" t="s">
        <v>221</v>
      </c>
      <c r="AR48" s="55" t="s">
        <v>221</v>
      </c>
      <c r="AS48" s="55" t="s">
        <v>74</v>
      </c>
      <c r="AT48" s="55" t="s">
        <v>221</v>
      </c>
      <c r="AU48" s="55" t="s">
        <v>221</v>
      </c>
      <c r="AV48" s="55" t="s">
        <v>221</v>
      </c>
      <c r="AW48" s="29"/>
      <c r="AX48" s="55" t="s">
        <v>221</v>
      </c>
      <c r="AY48" s="55" t="s">
        <v>221</v>
      </c>
      <c r="AZ48" s="55" t="s">
        <v>221</v>
      </c>
      <c r="BA48" s="55" t="s">
        <v>221</v>
      </c>
      <c r="BB48" s="55" t="s">
        <v>74</v>
      </c>
      <c r="BC48" s="55" t="s">
        <v>74</v>
      </c>
      <c r="BD48" s="29"/>
      <c r="BE48" s="55" t="s">
        <v>74</v>
      </c>
      <c r="BF48" s="55" t="s">
        <v>221</v>
      </c>
      <c r="BG48" s="55" t="s">
        <v>74</v>
      </c>
      <c r="BH48" s="55" t="s">
        <v>221</v>
      </c>
      <c r="BI48" s="55" t="s">
        <v>74</v>
      </c>
      <c r="BJ48" s="55" t="s">
        <v>74</v>
      </c>
      <c r="BK48" s="59"/>
      <c r="BL48" s="59"/>
      <c r="BM48" s="59"/>
      <c r="BN48" s="59"/>
      <c r="BO48" s="59"/>
      <c r="BP48" s="59"/>
      <c r="BQ48" s="59"/>
      <c r="BR48" s="59"/>
      <c r="BS48" s="59"/>
      <c r="BT48" s="59"/>
      <c r="BU48" s="59"/>
      <c r="BV48" s="59"/>
    </row>
    <row r="49" outlineLevel="1">
      <c r="A49" s="50">
        <v>46.0</v>
      </c>
      <c r="B49" s="34" t="s">
        <v>495</v>
      </c>
      <c r="C49" s="46" t="s">
        <v>813</v>
      </c>
      <c r="D49" s="33">
        <f t="shared" si="3"/>
        <v>29</v>
      </c>
      <c r="E49" s="33">
        <f t="shared" si="4"/>
        <v>19</v>
      </c>
      <c r="F49" s="33">
        <f t="shared" si="5"/>
        <v>48</v>
      </c>
      <c r="G49" s="54">
        <f t="shared" si="6"/>
        <v>60.41666667</v>
      </c>
      <c r="H49" s="55" t="s">
        <v>221</v>
      </c>
      <c r="I49" s="55" t="s">
        <v>221</v>
      </c>
      <c r="J49" s="55" t="s">
        <v>74</v>
      </c>
      <c r="K49" s="55" t="s">
        <v>221</v>
      </c>
      <c r="L49" s="55" t="s">
        <v>221</v>
      </c>
      <c r="M49" s="55" t="s">
        <v>221</v>
      </c>
      <c r="N49" s="29"/>
      <c r="O49" s="55" t="s">
        <v>221</v>
      </c>
      <c r="P49" s="55" t="s">
        <v>74</v>
      </c>
      <c r="Q49" s="55" t="s">
        <v>74</v>
      </c>
      <c r="R49" s="55" t="s">
        <v>74</v>
      </c>
      <c r="S49" s="55" t="s">
        <v>74</v>
      </c>
      <c r="T49" s="50" t="s">
        <v>74</v>
      </c>
      <c r="U49" s="29"/>
      <c r="V49" s="50" t="s">
        <v>74</v>
      </c>
      <c r="W49" s="50" t="s">
        <v>221</v>
      </c>
      <c r="X49" s="50" t="s">
        <v>221</v>
      </c>
      <c r="Y49" s="50" t="s">
        <v>221</v>
      </c>
      <c r="Z49" s="50" t="s">
        <v>74</v>
      </c>
      <c r="AA49" s="50" t="s">
        <v>221</v>
      </c>
      <c r="AB49" s="29"/>
      <c r="AC49" s="50" t="s">
        <v>221</v>
      </c>
      <c r="AD49" s="50" t="s">
        <v>221</v>
      </c>
      <c r="AE49" s="55" t="s">
        <v>221</v>
      </c>
      <c r="AF49" s="55" t="s">
        <v>74</v>
      </c>
      <c r="AG49" s="55" t="s">
        <v>221</v>
      </c>
      <c r="AH49" s="50" t="s">
        <v>74</v>
      </c>
      <c r="AI49" s="29"/>
      <c r="AJ49" s="50" t="s">
        <v>74</v>
      </c>
      <c r="AK49" s="50" t="s">
        <v>221</v>
      </c>
      <c r="AL49" s="50" t="s">
        <v>74</v>
      </c>
      <c r="AM49" s="50" t="s">
        <v>221</v>
      </c>
      <c r="AN49" s="50" t="s">
        <v>221</v>
      </c>
      <c r="AO49" s="55" t="s">
        <v>221</v>
      </c>
      <c r="AP49" s="29"/>
      <c r="AQ49" s="55" t="s">
        <v>74</v>
      </c>
      <c r="AR49" s="55" t="s">
        <v>74</v>
      </c>
      <c r="AS49" s="55" t="s">
        <v>74</v>
      </c>
      <c r="AT49" s="55" t="s">
        <v>221</v>
      </c>
      <c r="AU49" s="55" t="s">
        <v>221</v>
      </c>
      <c r="AV49" s="55" t="s">
        <v>221</v>
      </c>
      <c r="AW49" s="29"/>
      <c r="AX49" s="55" t="s">
        <v>221</v>
      </c>
      <c r="AY49" s="55" t="s">
        <v>221</v>
      </c>
      <c r="AZ49" s="55" t="s">
        <v>221</v>
      </c>
      <c r="BA49" s="55" t="s">
        <v>221</v>
      </c>
      <c r="BB49" s="55" t="s">
        <v>74</v>
      </c>
      <c r="BC49" s="55" t="s">
        <v>221</v>
      </c>
      <c r="BD49" s="29"/>
      <c r="BE49" s="55" t="s">
        <v>221</v>
      </c>
      <c r="BF49" s="55" t="s">
        <v>221</v>
      </c>
      <c r="BG49" s="55" t="s">
        <v>221</v>
      </c>
      <c r="BH49" s="55" t="s">
        <v>74</v>
      </c>
      <c r="BI49" s="55" t="s">
        <v>74</v>
      </c>
      <c r="BJ49" s="55" t="s">
        <v>74</v>
      </c>
      <c r="BK49" s="59"/>
      <c r="BL49" s="59"/>
      <c r="BM49" s="59"/>
      <c r="BN49" s="59"/>
      <c r="BO49" s="59"/>
      <c r="BP49" s="59"/>
      <c r="BQ49" s="59"/>
      <c r="BR49" s="59"/>
      <c r="BS49" s="59"/>
      <c r="BT49" s="59"/>
      <c r="BU49" s="59"/>
      <c r="BV49" s="59"/>
    </row>
    <row r="50" ht="19.5" customHeight="1" outlineLevel="1">
      <c r="A50" s="50">
        <v>47.0</v>
      </c>
      <c r="B50" s="34" t="s">
        <v>560</v>
      </c>
      <c r="C50" s="46" t="s">
        <v>561</v>
      </c>
      <c r="D50" s="33">
        <f t="shared" si="3"/>
        <v>43</v>
      </c>
      <c r="E50" s="33">
        <f t="shared" si="4"/>
        <v>5</v>
      </c>
      <c r="F50" s="33">
        <f t="shared" si="5"/>
        <v>48</v>
      </c>
      <c r="G50" s="54">
        <f t="shared" si="6"/>
        <v>89.58333333</v>
      </c>
      <c r="H50" s="55" t="s">
        <v>221</v>
      </c>
      <c r="I50" s="55" t="s">
        <v>221</v>
      </c>
      <c r="J50" s="55" t="s">
        <v>221</v>
      </c>
      <c r="K50" s="55" t="s">
        <v>221</v>
      </c>
      <c r="L50" s="55" t="s">
        <v>221</v>
      </c>
      <c r="M50" s="55" t="s">
        <v>221</v>
      </c>
      <c r="N50" s="29"/>
      <c r="O50" s="55" t="s">
        <v>221</v>
      </c>
      <c r="P50" s="55" t="s">
        <v>221</v>
      </c>
      <c r="Q50" s="55" t="s">
        <v>221</v>
      </c>
      <c r="R50" s="55" t="s">
        <v>221</v>
      </c>
      <c r="S50" s="55" t="s">
        <v>221</v>
      </c>
      <c r="T50" s="50" t="s">
        <v>221</v>
      </c>
      <c r="U50" s="29"/>
      <c r="V50" s="50" t="s">
        <v>221</v>
      </c>
      <c r="W50" s="50" t="s">
        <v>221</v>
      </c>
      <c r="X50" s="50" t="s">
        <v>221</v>
      </c>
      <c r="Y50" s="50" t="s">
        <v>221</v>
      </c>
      <c r="Z50" s="50" t="s">
        <v>221</v>
      </c>
      <c r="AA50" s="50" t="s">
        <v>221</v>
      </c>
      <c r="AB50" s="29"/>
      <c r="AC50" s="50" t="s">
        <v>221</v>
      </c>
      <c r="AD50" s="50" t="s">
        <v>221</v>
      </c>
      <c r="AE50" s="55" t="s">
        <v>221</v>
      </c>
      <c r="AF50" s="55" t="s">
        <v>221</v>
      </c>
      <c r="AG50" s="55" t="s">
        <v>221</v>
      </c>
      <c r="AH50" s="50" t="s">
        <v>221</v>
      </c>
      <c r="AI50" s="29"/>
      <c r="AJ50" s="50" t="s">
        <v>221</v>
      </c>
      <c r="AK50" s="50" t="s">
        <v>221</v>
      </c>
      <c r="AL50" s="50" t="s">
        <v>74</v>
      </c>
      <c r="AM50" s="50" t="s">
        <v>221</v>
      </c>
      <c r="AN50" s="50" t="s">
        <v>221</v>
      </c>
      <c r="AO50" s="55" t="s">
        <v>221</v>
      </c>
      <c r="AP50" s="29"/>
      <c r="AQ50" s="55" t="s">
        <v>221</v>
      </c>
      <c r="AR50" s="55" t="s">
        <v>221</v>
      </c>
      <c r="AS50" s="55" t="s">
        <v>221</v>
      </c>
      <c r="AT50" s="55" t="s">
        <v>74</v>
      </c>
      <c r="AU50" s="55" t="s">
        <v>221</v>
      </c>
      <c r="AV50" s="55" t="s">
        <v>221</v>
      </c>
      <c r="AW50" s="29"/>
      <c r="AX50" s="55" t="s">
        <v>221</v>
      </c>
      <c r="AY50" s="55" t="s">
        <v>221</v>
      </c>
      <c r="AZ50" s="55" t="s">
        <v>221</v>
      </c>
      <c r="BA50" s="55" t="s">
        <v>74</v>
      </c>
      <c r="BB50" s="55" t="s">
        <v>221</v>
      </c>
      <c r="BC50" s="55" t="s">
        <v>221</v>
      </c>
      <c r="BD50" s="29"/>
      <c r="BE50" s="55" t="s">
        <v>221</v>
      </c>
      <c r="BF50" s="55" t="s">
        <v>221</v>
      </c>
      <c r="BG50" s="55" t="s">
        <v>221</v>
      </c>
      <c r="BH50" s="55" t="s">
        <v>74</v>
      </c>
      <c r="BI50" s="55" t="s">
        <v>221</v>
      </c>
      <c r="BJ50" s="55" t="s">
        <v>74</v>
      </c>
      <c r="BK50" s="59"/>
      <c r="BL50" s="59"/>
      <c r="BM50" s="59"/>
      <c r="BN50" s="59"/>
      <c r="BO50" s="59"/>
      <c r="BP50" s="59"/>
      <c r="BQ50" s="59"/>
      <c r="BR50" s="59"/>
      <c r="BS50" s="59"/>
      <c r="BT50" s="59"/>
      <c r="BU50" s="59"/>
      <c r="BV50" s="59"/>
    </row>
    <row r="51" outlineLevel="1">
      <c r="A51" s="50">
        <v>48.0</v>
      </c>
      <c r="B51" s="34" t="s">
        <v>418</v>
      </c>
      <c r="C51" s="46" t="s">
        <v>419</v>
      </c>
      <c r="D51" s="33">
        <f t="shared" si="3"/>
        <v>33</v>
      </c>
      <c r="E51" s="33">
        <f t="shared" si="4"/>
        <v>15</v>
      </c>
      <c r="F51" s="33">
        <f t="shared" si="5"/>
        <v>48</v>
      </c>
      <c r="G51" s="54">
        <f t="shared" si="6"/>
        <v>68.75</v>
      </c>
      <c r="H51" s="55" t="s">
        <v>221</v>
      </c>
      <c r="I51" s="55" t="s">
        <v>74</v>
      </c>
      <c r="J51" s="55" t="s">
        <v>74</v>
      </c>
      <c r="K51" s="55" t="s">
        <v>74</v>
      </c>
      <c r="L51" s="55" t="s">
        <v>74</v>
      </c>
      <c r="M51" s="55" t="s">
        <v>221</v>
      </c>
      <c r="N51" s="29"/>
      <c r="O51" s="55" t="s">
        <v>74</v>
      </c>
      <c r="P51" s="55" t="s">
        <v>74</v>
      </c>
      <c r="Q51" s="55" t="s">
        <v>221</v>
      </c>
      <c r="R51" s="55" t="s">
        <v>74</v>
      </c>
      <c r="S51" s="55" t="s">
        <v>221</v>
      </c>
      <c r="T51" s="50" t="s">
        <v>221</v>
      </c>
      <c r="U51" s="29"/>
      <c r="V51" s="50" t="s">
        <v>221</v>
      </c>
      <c r="W51" s="50" t="s">
        <v>221</v>
      </c>
      <c r="X51" s="50" t="s">
        <v>74</v>
      </c>
      <c r="Y51" s="50" t="s">
        <v>74</v>
      </c>
      <c r="Z51" s="50" t="s">
        <v>221</v>
      </c>
      <c r="AA51" s="50" t="s">
        <v>221</v>
      </c>
      <c r="AB51" s="29"/>
      <c r="AC51" s="50" t="s">
        <v>74</v>
      </c>
      <c r="AD51" s="50" t="s">
        <v>74</v>
      </c>
      <c r="AE51" s="55" t="s">
        <v>221</v>
      </c>
      <c r="AF51" s="55" t="s">
        <v>74</v>
      </c>
      <c r="AG51" s="55" t="s">
        <v>221</v>
      </c>
      <c r="AH51" s="50" t="s">
        <v>74</v>
      </c>
      <c r="AI51" s="29"/>
      <c r="AJ51" s="50" t="s">
        <v>221</v>
      </c>
      <c r="AK51" s="50" t="s">
        <v>221</v>
      </c>
      <c r="AL51" s="50" t="s">
        <v>221</v>
      </c>
      <c r="AM51" s="50" t="s">
        <v>221</v>
      </c>
      <c r="AN51" s="50" t="s">
        <v>221</v>
      </c>
      <c r="AO51" s="55" t="s">
        <v>221</v>
      </c>
      <c r="AP51" s="29"/>
      <c r="AQ51" s="55" t="s">
        <v>221</v>
      </c>
      <c r="AR51" s="55" t="s">
        <v>221</v>
      </c>
      <c r="AS51" s="55" t="s">
        <v>221</v>
      </c>
      <c r="AT51" s="55" t="s">
        <v>221</v>
      </c>
      <c r="AU51" s="55" t="s">
        <v>221</v>
      </c>
      <c r="AV51" s="55" t="s">
        <v>221</v>
      </c>
      <c r="AW51" s="29"/>
      <c r="AX51" s="55" t="s">
        <v>221</v>
      </c>
      <c r="AY51" s="55" t="s">
        <v>221</v>
      </c>
      <c r="AZ51" s="55" t="s">
        <v>221</v>
      </c>
      <c r="BA51" s="55" t="s">
        <v>221</v>
      </c>
      <c r="BB51" s="55" t="s">
        <v>221</v>
      </c>
      <c r="BC51" s="55" t="s">
        <v>221</v>
      </c>
      <c r="BD51" s="29"/>
      <c r="BE51" s="55" t="s">
        <v>221</v>
      </c>
      <c r="BF51" s="55" t="s">
        <v>74</v>
      </c>
      <c r="BG51" s="55" t="s">
        <v>221</v>
      </c>
      <c r="BH51" s="55" t="s">
        <v>221</v>
      </c>
      <c r="BI51" s="55" t="s">
        <v>74</v>
      </c>
      <c r="BJ51" s="55" t="s">
        <v>221</v>
      </c>
      <c r="BK51" s="59"/>
      <c r="BL51" s="59"/>
      <c r="BM51" s="59"/>
      <c r="BN51" s="59"/>
      <c r="BO51" s="59"/>
      <c r="BP51" s="59"/>
      <c r="BQ51" s="59"/>
      <c r="BR51" s="59"/>
      <c r="BS51" s="59"/>
      <c r="BT51" s="59"/>
      <c r="BU51" s="59"/>
      <c r="BV51" s="59"/>
    </row>
    <row r="52" outlineLevel="1">
      <c r="A52" s="50">
        <v>49.0</v>
      </c>
      <c r="B52" s="51" t="s">
        <v>306</v>
      </c>
      <c r="C52" s="46" t="s">
        <v>307</v>
      </c>
      <c r="D52" s="33">
        <f t="shared" si="3"/>
        <v>43</v>
      </c>
      <c r="E52" s="33">
        <f t="shared" si="4"/>
        <v>5</v>
      </c>
      <c r="F52" s="33">
        <f t="shared" si="5"/>
        <v>48</v>
      </c>
      <c r="G52" s="54">
        <f t="shared" si="6"/>
        <v>89.58333333</v>
      </c>
      <c r="H52" s="55" t="s">
        <v>221</v>
      </c>
      <c r="I52" s="55" t="s">
        <v>74</v>
      </c>
      <c r="J52" s="55" t="s">
        <v>74</v>
      </c>
      <c r="K52" s="55" t="s">
        <v>221</v>
      </c>
      <c r="L52" s="55" t="s">
        <v>221</v>
      </c>
      <c r="M52" s="55" t="s">
        <v>221</v>
      </c>
      <c r="N52" s="29"/>
      <c r="O52" s="55" t="s">
        <v>221</v>
      </c>
      <c r="P52" s="55" t="s">
        <v>221</v>
      </c>
      <c r="Q52" s="55" t="s">
        <v>221</v>
      </c>
      <c r="R52" s="55" t="s">
        <v>221</v>
      </c>
      <c r="S52" s="55" t="s">
        <v>221</v>
      </c>
      <c r="T52" s="50" t="s">
        <v>221</v>
      </c>
      <c r="U52" s="29"/>
      <c r="V52" s="50" t="s">
        <v>221</v>
      </c>
      <c r="W52" s="50" t="s">
        <v>221</v>
      </c>
      <c r="X52" s="50" t="s">
        <v>221</v>
      </c>
      <c r="Y52" s="50" t="s">
        <v>74</v>
      </c>
      <c r="Z52" s="50" t="s">
        <v>221</v>
      </c>
      <c r="AA52" s="50" t="s">
        <v>221</v>
      </c>
      <c r="AB52" s="29"/>
      <c r="AC52" s="50" t="s">
        <v>221</v>
      </c>
      <c r="AD52" s="50" t="s">
        <v>221</v>
      </c>
      <c r="AE52" s="55" t="s">
        <v>221</v>
      </c>
      <c r="AF52" s="55" t="s">
        <v>221</v>
      </c>
      <c r="AG52" s="55" t="s">
        <v>221</v>
      </c>
      <c r="AH52" s="50" t="s">
        <v>221</v>
      </c>
      <c r="AI52" s="29"/>
      <c r="AJ52" s="50" t="s">
        <v>221</v>
      </c>
      <c r="AK52" s="50" t="s">
        <v>221</v>
      </c>
      <c r="AL52" s="50" t="s">
        <v>221</v>
      </c>
      <c r="AM52" s="50" t="s">
        <v>221</v>
      </c>
      <c r="AN52" s="50" t="s">
        <v>221</v>
      </c>
      <c r="AO52" s="55" t="s">
        <v>221</v>
      </c>
      <c r="AP52" s="29"/>
      <c r="AQ52" s="55" t="s">
        <v>221</v>
      </c>
      <c r="AR52" s="55" t="s">
        <v>221</v>
      </c>
      <c r="AS52" s="55" t="s">
        <v>221</v>
      </c>
      <c r="AT52" s="55" t="s">
        <v>221</v>
      </c>
      <c r="AU52" s="55" t="s">
        <v>221</v>
      </c>
      <c r="AV52" s="55" t="s">
        <v>221</v>
      </c>
      <c r="AW52" s="29"/>
      <c r="AX52" s="55" t="s">
        <v>221</v>
      </c>
      <c r="AY52" s="55" t="s">
        <v>221</v>
      </c>
      <c r="AZ52" s="55" t="s">
        <v>221</v>
      </c>
      <c r="BA52" s="55" t="s">
        <v>74</v>
      </c>
      <c r="BB52" s="55" t="s">
        <v>74</v>
      </c>
      <c r="BC52" s="55" t="s">
        <v>221</v>
      </c>
      <c r="BD52" s="29"/>
      <c r="BE52" s="55" t="s">
        <v>221</v>
      </c>
      <c r="BF52" s="55" t="s">
        <v>221</v>
      </c>
      <c r="BG52" s="55" t="s">
        <v>221</v>
      </c>
      <c r="BH52" s="55" t="s">
        <v>221</v>
      </c>
      <c r="BI52" s="55" t="s">
        <v>221</v>
      </c>
      <c r="BJ52" s="55" t="s">
        <v>221</v>
      </c>
      <c r="BK52" s="59"/>
      <c r="BL52" s="59"/>
      <c r="BM52" s="59"/>
      <c r="BN52" s="59"/>
      <c r="BO52" s="59"/>
      <c r="BP52" s="59"/>
      <c r="BQ52" s="59"/>
      <c r="BR52" s="59"/>
      <c r="BS52" s="59"/>
      <c r="BT52" s="59"/>
      <c r="BU52" s="59"/>
      <c r="BV52" s="59"/>
    </row>
    <row r="53" outlineLevel="1">
      <c r="A53" s="50">
        <v>50.0</v>
      </c>
      <c r="B53" s="67" t="s">
        <v>819</v>
      </c>
      <c r="C53" s="67" t="s">
        <v>820</v>
      </c>
      <c r="D53" s="33">
        <f t="shared" si="3"/>
        <v>39</v>
      </c>
      <c r="E53" s="33">
        <f t="shared" si="4"/>
        <v>9</v>
      </c>
      <c r="F53" s="33">
        <f t="shared" si="5"/>
        <v>48</v>
      </c>
      <c r="G53" s="54">
        <f t="shared" si="6"/>
        <v>81.25</v>
      </c>
      <c r="H53" s="36" t="s">
        <v>221</v>
      </c>
      <c r="I53" s="36" t="s">
        <v>74</v>
      </c>
      <c r="J53" s="36" t="s">
        <v>74</v>
      </c>
      <c r="K53" s="36" t="s">
        <v>221</v>
      </c>
      <c r="L53" s="36" t="s">
        <v>74</v>
      </c>
      <c r="M53" s="36" t="s">
        <v>221</v>
      </c>
      <c r="N53" s="29"/>
      <c r="O53" s="36" t="s">
        <v>221</v>
      </c>
      <c r="P53" s="36" t="s">
        <v>221</v>
      </c>
      <c r="Q53" s="36" t="s">
        <v>221</v>
      </c>
      <c r="R53" s="36" t="s">
        <v>221</v>
      </c>
      <c r="S53" s="36" t="s">
        <v>74</v>
      </c>
      <c r="T53" s="36" t="s">
        <v>221</v>
      </c>
      <c r="U53" s="29"/>
      <c r="V53" s="36" t="s">
        <v>221</v>
      </c>
      <c r="W53" s="36" t="s">
        <v>221</v>
      </c>
      <c r="X53" s="36" t="s">
        <v>221</v>
      </c>
      <c r="Y53" s="36" t="s">
        <v>221</v>
      </c>
      <c r="Z53" s="36" t="s">
        <v>221</v>
      </c>
      <c r="AA53" s="36" t="s">
        <v>74</v>
      </c>
      <c r="AB53" s="29"/>
      <c r="AC53" s="36" t="s">
        <v>221</v>
      </c>
      <c r="AD53" s="36" t="s">
        <v>221</v>
      </c>
      <c r="AE53" s="36" t="s">
        <v>221</v>
      </c>
      <c r="AF53" s="36" t="s">
        <v>74</v>
      </c>
      <c r="AG53" s="36" t="s">
        <v>74</v>
      </c>
      <c r="AH53" s="18" t="s">
        <v>221</v>
      </c>
      <c r="AI53" s="29"/>
      <c r="AJ53" s="18" t="s">
        <v>221</v>
      </c>
      <c r="AK53" s="18" t="s">
        <v>221</v>
      </c>
      <c r="AL53" s="18" t="s">
        <v>221</v>
      </c>
      <c r="AM53" s="18" t="s">
        <v>221</v>
      </c>
      <c r="AN53" s="18" t="s">
        <v>221</v>
      </c>
      <c r="AO53" s="36" t="s">
        <v>221</v>
      </c>
      <c r="AP53" s="29"/>
      <c r="AQ53" s="36" t="s">
        <v>221</v>
      </c>
      <c r="AR53" s="36" t="s">
        <v>221</v>
      </c>
      <c r="AS53" s="36" t="s">
        <v>221</v>
      </c>
      <c r="AT53" s="36" t="s">
        <v>221</v>
      </c>
      <c r="AU53" s="36" t="s">
        <v>221</v>
      </c>
      <c r="AV53" s="36" t="s">
        <v>221</v>
      </c>
      <c r="AW53" s="29"/>
      <c r="AX53" s="36" t="s">
        <v>221</v>
      </c>
      <c r="AY53" s="36" t="s">
        <v>221</v>
      </c>
      <c r="AZ53" s="36" t="s">
        <v>74</v>
      </c>
      <c r="BA53" s="36" t="s">
        <v>221</v>
      </c>
      <c r="BB53" s="36" t="s">
        <v>221</v>
      </c>
      <c r="BC53" s="36" t="s">
        <v>74</v>
      </c>
      <c r="BD53" s="29"/>
      <c r="BE53" s="36" t="s">
        <v>221</v>
      </c>
      <c r="BF53" s="36" t="s">
        <v>221</v>
      </c>
      <c r="BG53" s="36" t="s">
        <v>221</v>
      </c>
      <c r="BH53" s="36" t="s">
        <v>221</v>
      </c>
      <c r="BI53" s="36" t="s">
        <v>221</v>
      </c>
      <c r="BJ53" s="36" t="s">
        <v>221</v>
      </c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</row>
    <row r="54" outlineLevel="1">
      <c r="A54" s="50">
        <v>51.0</v>
      </c>
      <c r="B54" s="52" t="s">
        <v>213</v>
      </c>
      <c r="C54" s="57" t="s">
        <v>759</v>
      </c>
      <c r="D54" s="33">
        <f t="shared" si="3"/>
        <v>1</v>
      </c>
      <c r="E54" s="33">
        <f t="shared" si="4"/>
        <v>47</v>
      </c>
      <c r="F54" s="33">
        <f t="shared" si="5"/>
        <v>48</v>
      </c>
      <c r="G54" s="54">
        <f t="shared" si="6"/>
        <v>2.083333333</v>
      </c>
      <c r="H54" s="55" t="s">
        <v>74</v>
      </c>
      <c r="I54" s="55" t="s">
        <v>74</v>
      </c>
      <c r="J54" s="55" t="s">
        <v>74</v>
      </c>
      <c r="K54" s="55" t="s">
        <v>74</v>
      </c>
      <c r="L54" s="55" t="s">
        <v>221</v>
      </c>
      <c r="M54" s="55" t="s">
        <v>74</v>
      </c>
      <c r="N54" s="29"/>
      <c r="O54" s="55" t="s">
        <v>74</v>
      </c>
      <c r="P54" s="55" t="s">
        <v>74</v>
      </c>
      <c r="Q54" s="55" t="s">
        <v>74</v>
      </c>
      <c r="R54" s="55" t="s">
        <v>74</v>
      </c>
      <c r="S54" s="55" t="s">
        <v>74</v>
      </c>
      <c r="T54" s="50" t="s">
        <v>74</v>
      </c>
      <c r="U54" s="29"/>
      <c r="V54" s="50" t="s">
        <v>74</v>
      </c>
      <c r="W54" s="50" t="s">
        <v>74</v>
      </c>
      <c r="X54" s="50" t="s">
        <v>74</v>
      </c>
      <c r="Y54" s="50" t="s">
        <v>74</v>
      </c>
      <c r="Z54" s="50" t="s">
        <v>74</v>
      </c>
      <c r="AA54" s="50" t="s">
        <v>74</v>
      </c>
      <c r="AB54" s="29"/>
      <c r="AC54" s="50" t="s">
        <v>74</v>
      </c>
      <c r="AD54" s="50" t="s">
        <v>74</v>
      </c>
      <c r="AE54" s="55" t="s">
        <v>74</v>
      </c>
      <c r="AF54" s="55" t="s">
        <v>74</v>
      </c>
      <c r="AG54" s="55" t="s">
        <v>74</v>
      </c>
      <c r="AH54" s="50" t="s">
        <v>74</v>
      </c>
      <c r="AI54" s="29"/>
      <c r="AJ54" s="50" t="s">
        <v>74</v>
      </c>
      <c r="AK54" s="50" t="s">
        <v>74</v>
      </c>
      <c r="AL54" s="50" t="s">
        <v>74</v>
      </c>
      <c r="AM54" s="50" t="s">
        <v>74</v>
      </c>
      <c r="AN54" s="50" t="s">
        <v>74</v>
      </c>
      <c r="AO54" s="55" t="s">
        <v>74</v>
      </c>
      <c r="AP54" s="29"/>
      <c r="AQ54" s="55" t="s">
        <v>74</v>
      </c>
      <c r="AR54" s="55" t="s">
        <v>74</v>
      </c>
      <c r="AS54" s="55" t="s">
        <v>74</v>
      </c>
      <c r="AT54" s="55" t="s">
        <v>74</v>
      </c>
      <c r="AU54" s="55" t="s">
        <v>74</v>
      </c>
      <c r="AV54" s="55" t="s">
        <v>74</v>
      </c>
      <c r="AW54" s="29"/>
      <c r="AX54" s="55" t="s">
        <v>74</v>
      </c>
      <c r="AY54" s="55" t="s">
        <v>74</v>
      </c>
      <c r="AZ54" s="55" t="s">
        <v>74</v>
      </c>
      <c r="BA54" s="55" t="s">
        <v>74</v>
      </c>
      <c r="BB54" s="55" t="s">
        <v>74</v>
      </c>
      <c r="BC54" s="55" t="s">
        <v>74</v>
      </c>
      <c r="BD54" s="29"/>
      <c r="BE54" s="55" t="s">
        <v>74</v>
      </c>
      <c r="BF54" s="55" t="s">
        <v>74</v>
      </c>
      <c r="BG54" s="55" t="s">
        <v>74</v>
      </c>
      <c r="BH54" s="55" t="s">
        <v>74</v>
      </c>
      <c r="BI54" s="55" t="s">
        <v>74</v>
      </c>
      <c r="BJ54" s="55" t="s">
        <v>74</v>
      </c>
      <c r="BK54" s="59"/>
      <c r="BL54" s="59"/>
      <c r="BM54" s="59"/>
      <c r="BN54" s="59"/>
      <c r="BO54" s="59"/>
      <c r="BP54" s="59"/>
      <c r="BQ54" s="59"/>
      <c r="BR54" s="59"/>
      <c r="BS54" s="59"/>
      <c r="BT54" s="59"/>
      <c r="BU54" s="59"/>
      <c r="BV54" s="59"/>
    </row>
    <row r="55" outlineLevel="1">
      <c r="A55" s="50">
        <v>52.0</v>
      </c>
      <c r="B55" s="34" t="s">
        <v>750</v>
      </c>
      <c r="C55" s="46" t="s">
        <v>751</v>
      </c>
      <c r="D55" s="33">
        <f t="shared" si="3"/>
        <v>29</v>
      </c>
      <c r="E55" s="33">
        <f t="shared" si="4"/>
        <v>19</v>
      </c>
      <c r="F55" s="33">
        <f t="shared" si="5"/>
        <v>48</v>
      </c>
      <c r="G55" s="54">
        <f t="shared" si="6"/>
        <v>60.41666667</v>
      </c>
      <c r="H55" s="36" t="s">
        <v>74</v>
      </c>
      <c r="I55" s="36" t="s">
        <v>74</v>
      </c>
      <c r="J55" s="36" t="s">
        <v>74</v>
      </c>
      <c r="K55" s="36" t="s">
        <v>74</v>
      </c>
      <c r="L55" s="36" t="s">
        <v>74</v>
      </c>
      <c r="M55" s="36" t="s">
        <v>74</v>
      </c>
      <c r="N55" s="29"/>
      <c r="O55" s="36" t="s">
        <v>221</v>
      </c>
      <c r="P55" s="36" t="s">
        <v>221</v>
      </c>
      <c r="Q55" s="36" t="s">
        <v>221</v>
      </c>
      <c r="R55" s="36" t="s">
        <v>221</v>
      </c>
      <c r="S55" s="36" t="s">
        <v>221</v>
      </c>
      <c r="T55" s="18" t="s">
        <v>221</v>
      </c>
      <c r="U55" s="29"/>
      <c r="V55" s="18" t="s">
        <v>221</v>
      </c>
      <c r="W55" s="18" t="s">
        <v>74</v>
      </c>
      <c r="X55" s="18" t="s">
        <v>74</v>
      </c>
      <c r="Y55" s="18" t="s">
        <v>74</v>
      </c>
      <c r="Z55" s="18" t="s">
        <v>221</v>
      </c>
      <c r="AA55" s="18" t="s">
        <v>221</v>
      </c>
      <c r="AB55" s="29"/>
      <c r="AC55" s="18" t="s">
        <v>74</v>
      </c>
      <c r="AD55" s="18" t="s">
        <v>221</v>
      </c>
      <c r="AE55" s="36" t="s">
        <v>221</v>
      </c>
      <c r="AF55" s="36" t="s">
        <v>221</v>
      </c>
      <c r="AG55" s="36" t="s">
        <v>221</v>
      </c>
      <c r="AH55" s="18" t="s">
        <v>221</v>
      </c>
      <c r="AI55" s="29"/>
      <c r="AJ55" s="18" t="s">
        <v>221</v>
      </c>
      <c r="AK55" s="18" t="s">
        <v>221</v>
      </c>
      <c r="AL55" s="18" t="s">
        <v>221</v>
      </c>
      <c r="AM55" s="18" t="s">
        <v>221</v>
      </c>
      <c r="AN55" s="18" t="s">
        <v>221</v>
      </c>
      <c r="AO55" s="36" t="s">
        <v>221</v>
      </c>
      <c r="AP55" s="29"/>
      <c r="AQ55" s="36" t="s">
        <v>221</v>
      </c>
      <c r="AR55" s="36" t="s">
        <v>221</v>
      </c>
      <c r="AS55" s="36" t="s">
        <v>221</v>
      </c>
      <c r="AT55" s="36" t="s">
        <v>74</v>
      </c>
      <c r="AU55" s="36" t="s">
        <v>221</v>
      </c>
      <c r="AV55" s="36" t="s">
        <v>221</v>
      </c>
      <c r="AW55" s="29"/>
      <c r="AX55" s="36" t="s">
        <v>221</v>
      </c>
      <c r="AY55" s="36" t="s">
        <v>74</v>
      </c>
      <c r="AZ55" s="36" t="s">
        <v>221</v>
      </c>
      <c r="BA55" s="36" t="s">
        <v>221</v>
      </c>
      <c r="BB55" s="36" t="s">
        <v>74</v>
      </c>
      <c r="BC55" s="36" t="s">
        <v>74</v>
      </c>
      <c r="BD55" s="29"/>
      <c r="BE55" s="36" t="s">
        <v>74</v>
      </c>
      <c r="BF55" s="36" t="s">
        <v>74</v>
      </c>
      <c r="BG55" s="36" t="s">
        <v>221</v>
      </c>
      <c r="BH55" s="36" t="s">
        <v>74</v>
      </c>
      <c r="BI55" s="36" t="s">
        <v>74</v>
      </c>
      <c r="BJ55" s="36" t="s">
        <v>74</v>
      </c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</row>
    <row r="56" outlineLevel="1">
      <c r="A56" s="50">
        <v>53.0</v>
      </c>
      <c r="B56" s="51" t="s">
        <v>353</v>
      </c>
      <c r="C56" s="46" t="s">
        <v>354</v>
      </c>
      <c r="D56" s="33">
        <f t="shared" si="3"/>
        <v>46</v>
      </c>
      <c r="E56" s="33">
        <f t="shared" si="4"/>
        <v>2</v>
      </c>
      <c r="F56" s="33">
        <f t="shared" si="5"/>
        <v>48</v>
      </c>
      <c r="G56" s="54">
        <f t="shared" si="6"/>
        <v>95.83333333</v>
      </c>
      <c r="H56" s="55" t="s">
        <v>221</v>
      </c>
      <c r="I56" s="55" t="s">
        <v>221</v>
      </c>
      <c r="J56" s="55" t="s">
        <v>221</v>
      </c>
      <c r="K56" s="55" t="s">
        <v>221</v>
      </c>
      <c r="L56" s="55" t="s">
        <v>221</v>
      </c>
      <c r="M56" s="55" t="s">
        <v>221</v>
      </c>
      <c r="N56" s="29"/>
      <c r="O56" s="55" t="s">
        <v>221</v>
      </c>
      <c r="P56" s="55" t="s">
        <v>221</v>
      </c>
      <c r="Q56" s="55" t="s">
        <v>221</v>
      </c>
      <c r="R56" s="55" t="s">
        <v>221</v>
      </c>
      <c r="S56" s="55" t="s">
        <v>221</v>
      </c>
      <c r="T56" s="50" t="s">
        <v>221</v>
      </c>
      <c r="U56" s="29"/>
      <c r="V56" s="50" t="s">
        <v>221</v>
      </c>
      <c r="W56" s="50" t="s">
        <v>221</v>
      </c>
      <c r="X56" s="50" t="s">
        <v>221</v>
      </c>
      <c r="Y56" s="50" t="s">
        <v>221</v>
      </c>
      <c r="Z56" s="50" t="s">
        <v>221</v>
      </c>
      <c r="AA56" s="50" t="s">
        <v>221</v>
      </c>
      <c r="AB56" s="29"/>
      <c r="AC56" s="50" t="s">
        <v>221</v>
      </c>
      <c r="AD56" s="50" t="s">
        <v>221</v>
      </c>
      <c r="AE56" s="55" t="s">
        <v>221</v>
      </c>
      <c r="AF56" s="55" t="s">
        <v>221</v>
      </c>
      <c r="AG56" s="55" t="s">
        <v>221</v>
      </c>
      <c r="AH56" s="50" t="s">
        <v>221</v>
      </c>
      <c r="AI56" s="29"/>
      <c r="AJ56" s="50" t="s">
        <v>221</v>
      </c>
      <c r="AK56" s="50" t="s">
        <v>221</v>
      </c>
      <c r="AL56" s="50" t="s">
        <v>221</v>
      </c>
      <c r="AM56" s="50" t="s">
        <v>221</v>
      </c>
      <c r="AN56" s="50" t="s">
        <v>221</v>
      </c>
      <c r="AO56" s="55" t="s">
        <v>221</v>
      </c>
      <c r="AP56" s="29"/>
      <c r="AQ56" s="55" t="s">
        <v>221</v>
      </c>
      <c r="AR56" s="55" t="s">
        <v>221</v>
      </c>
      <c r="AS56" s="55" t="s">
        <v>221</v>
      </c>
      <c r="AT56" s="55" t="s">
        <v>221</v>
      </c>
      <c r="AU56" s="55" t="s">
        <v>221</v>
      </c>
      <c r="AV56" s="55" t="s">
        <v>221</v>
      </c>
      <c r="AW56" s="29"/>
      <c r="AX56" s="55" t="s">
        <v>221</v>
      </c>
      <c r="AY56" s="55" t="s">
        <v>221</v>
      </c>
      <c r="AZ56" s="55" t="s">
        <v>221</v>
      </c>
      <c r="BA56" s="55" t="s">
        <v>74</v>
      </c>
      <c r="BB56" s="55" t="s">
        <v>221</v>
      </c>
      <c r="BC56" s="55" t="s">
        <v>221</v>
      </c>
      <c r="BD56" s="29"/>
      <c r="BE56" s="55" t="s">
        <v>221</v>
      </c>
      <c r="BF56" s="55" t="s">
        <v>221</v>
      </c>
      <c r="BG56" s="55" t="s">
        <v>221</v>
      </c>
      <c r="BH56" s="55" t="s">
        <v>221</v>
      </c>
      <c r="BI56" s="55" t="s">
        <v>74</v>
      </c>
      <c r="BJ56" s="55" t="s">
        <v>221</v>
      </c>
      <c r="BK56" s="59"/>
      <c r="BL56" s="59"/>
      <c r="BM56" s="59"/>
      <c r="BN56" s="59"/>
      <c r="BO56" s="59"/>
      <c r="BP56" s="59"/>
      <c r="BQ56" s="59"/>
      <c r="BR56" s="59"/>
      <c r="BS56" s="59"/>
      <c r="BT56" s="59"/>
      <c r="BU56" s="59"/>
      <c r="BV56" s="59"/>
    </row>
    <row r="57" ht="18.0" customHeight="1" outlineLevel="1">
      <c r="A57" s="50">
        <v>54.0</v>
      </c>
      <c r="B57" s="34" t="s">
        <v>601</v>
      </c>
      <c r="C57" s="46" t="s">
        <v>603</v>
      </c>
      <c r="D57" s="33">
        <f t="shared" si="3"/>
        <v>41</v>
      </c>
      <c r="E57" s="33">
        <f t="shared" si="4"/>
        <v>7</v>
      </c>
      <c r="F57" s="33">
        <f t="shared" si="5"/>
        <v>48</v>
      </c>
      <c r="G57" s="54">
        <f t="shared" si="6"/>
        <v>85.41666667</v>
      </c>
      <c r="H57" s="55" t="s">
        <v>221</v>
      </c>
      <c r="I57" s="55" t="s">
        <v>221</v>
      </c>
      <c r="J57" s="55" t="s">
        <v>221</v>
      </c>
      <c r="K57" s="55" t="s">
        <v>221</v>
      </c>
      <c r="L57" s="55" t="s">
        <v>221</v>
      </c>
      <c r="M57" s="55" t="s">
        <v>221</v>
      </c>
      <c r="N57" s="29"/>
      <c r="O57" s="55" t="s">
        <v>221</v>
      </c>
      <c r="P57" s="55" t="s">
        <v>221</v>
      </c>
      <c r="Q57" s="55" t="s">
        <v>221</v>
      </c>
      <c r="R57" s="55" t="s">
        <v>221</v>
      </c>
      <c r="S57" s="55" t="s">
        <v>221</v>
      </c>
      <c r="T57" s="50" t="s">
        <v>221</v>
      </c>
      <c r="U57" s="29"/>
      <c r="V57" s="50" t="s">
        <v>221</v>
      </c>
      <c r="W57" s="50" t="s">
        <v>221</v>
      </c>
      <c r="X57" s="50" t="s">
        <v>221</v>
      </c>
      <c r="Y57" s="50" t="s">
        <v>221</v>
      </c>
      <c r="Z57" s="50" t="s">
        <v>221</v>
      </c>
      <c r="AA57" s="50" t="s">
        <v>221</v>
      </c>
      <c r="AB57" s="29"/>
      <c r="AC57" s="50" t="s">
        <v>221</v>
      </c>
      <c r="AD57" s="50" t="s">
        <v>221</v>
      </c>
      <c r="AE57" s="55" t="s">
        <v>221</v>
      </c>
      <c r="AF57" s="55" t="s">
        <v>221</v>
      </c>
      <c r="AG57" s="55" t="s">
        <v>221</v>
      </c>
      <c r="AH57" s="50" t="s">
        <v>221</v>
      </c>
      <c r="AI57" s="29"/>
      <c r="AJ57" s="50" t="s">
        <v>221</v>
      </c>
      <c r="AK57" s="50" t="s">
        <v>221</v>
      </c>
      <c r="AL57" s="50" t="s">
        <v>221</v>
      </c>
      <c r="AM57" s="50" t="s">
        <v>74</v>
      </c>
      <c r="AN57" s="50" t="s">
        <v>221</v>
      </c>
      <c r="AO57" s="55" t="s">
        <v>221</v>
      </c>
      <c r="AP57" s="29"/>
      <c r="AQ57" s="55" t="s">
        <v>221</v>
      </c>
      <c r="AR57" s="55" t="s">
        <v>221</v>
      </c>
      <c r="AS57" s="55" t="s">
        <v>74</v>
      </c>
      <c r="AT57" s="55" t="s">
        <v>221</v>
      </c>
      <c r="AU57" s="55" t="s">
        <v>221</v>
      </c>
      <c r="AV57" s="55" t="s">
        <v>221</v>
      </c>
      <c r="AW57" s="29"/>
      <c r="AX57" s="55" t="s">
        <v>74</v>
      </c>
      <c r="AY57" s="55" t="s">
        <v>74</v>
      </c>
      <c r="AZ57" s="55" t="s">
        <v>221</v>
      </c>
      <c r="BA57" s="55" t="s">
        <v>221</v>
      </c>
      <c r="BB57" s="55" t="s">
        <v>221</v>
      </c>
      <c r="BC57" s="55" t="s">
        <v>221</v>
      </c>
      <c r="BD57" s="29"/>
      <c r="BE57" s="55" t="s">
        <v>74</v>
      </c>
      <c r="BF57" s="55" t="s">
        <v>221</v>
      </c>
      <c r="BG57" s="55" t="s">
        <v>74</v>
      </c>
      <c r="BH57" s="55" t="s">
        <v>74</v>
      </c>
      <c r="BI57" s="55" t="s">
        <v>221</v>
      </c>
      <c r="BJ57" s="55" t="s">
        <v>221</v>
      </c>
      <c r="BK57" s="59"/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</row>
    <row r="58" outlineLevel="1">
      <c r="A58" s="50">
        <v>55.0</v>
      </c>
      <c r="B58" s="34" t="s">
        <v>187</v>
      </c>
      <c r="C58" s="46" t="s">
        <v>188</v>
      </c>
      <c r="D58" s="33">
        <f t="shared" si="3"/>
        <v>43</v>
      </c>
      <c r="E58" s="33">
        <f t="shared" si="4"/>
        <v>5</v>
      </c>
      <c r="F58" s="33">
        <f t="shared" si="5"/>
        <v>48</v>
      </c>
      <c r="G58" s="54">
        <f t="shared" si="6"/>
        <v>89.58333333</v>
      </c>
      <c r="H58" s="55" t="s">
        <v>221</v>
      </c>
      <c r="I58" s="55" t="s">
        <v>74</v>
      </c>
      <c r="J58" s="55" t="s">
        <v>221</v>
      </c>
      <c r="K58" s="55" t="s">
        <v>221</v>
      </c>
      <c r="L58" s="55" t="s">
        <v>221</v>
      </c>
      <c r="M58" s="55" t="s">
        <v>221</v>
      </c>
      <c r="N58" s="29"/>
      <c r="O58" s="55" t="s">
        <v>221</v>
      </c>
      <c r="P58" s="55" t="s">
        <v>221</v>
      </c>
      <c r="Q58" s="55" t="s">
        <v>221</v>
      </c>
      <c r="R58" s="55" t="s">
        <v>221</v>
      </c>
      <c r="S58" s="55" t="s">
        <v>221</v>
      </c>
      <c r="T58" s="50" t="s">
        <v>221</v>
      </c>
      <c r="U58" s="29"/>
      <c r="V58" s="50" t="s">
        <v>221</v>
      </c>
      <c r="W58" s="50" t="s">
        <v>221</v>
      </c>
      <c r="X58" s="50" t="s">
        <v>221</v>
      </c>
      <c r="Y58" s="50" t="s">
        <v>221</v>
      </c>
      <c r="Z58" s="50" t="s">
        <v>221</v>
      </c>
      <c r="AA58" s="50" t="s">
        <v>221</v>
      </c>
      <c r="AB58" s="29"/>
      <c r="AC58" s="50" t="s">
        <v>221</v>
      </c>
      <c r="AD58" s="50" t="s">
        <v>221</v>
      </c>
      <c r="AE58" s="55" t="s">
        <v>221</v>
      </c>
      <c r="AF58" s="55" t="s">
        <v>74</v>
      </c>
      <c r="AG58" s="55" t="s">
        <v>74</v>
      </c>
      <c r="AH58" s="50" t="s">
        <v>221</v>
      </c>
      <c r="AI58" s="29"/>
      <c r="AJ58" s="50" t="s">
        <v>221</v>
      </c>
      <c r="AK58" s="50" t="s">
        <v>221</v>
      </c>
      <c r="AL58" s="50" t="s">
        <v>221</v>
      </c>
      <c r="AM58" s="50" t="s">
        <v>221</v>
      </c>
      <c r="AN58" s="50" t="s">
        <v>221</v>
      </c>
      <c r="AO58" s="55" t="s">
        <v>221</v>
      </c>
      <c r="AP58" s="29"/>
      <c r="AQ58" s="55" t="s">
        <v>221</v>
      </c>
      <c r="AR58" s="55" t="s">
        <v>221</v>
      </c>
      <c r="AS58" s="55" t="s">
        <v>221</v>
      </c>
      <c r="AT58" s="55" t="s">
        <v>74</v>
      </c>
      <c r="AU58" s="55" t="s">
        <v>221</v>
      </c>
      <c r="AV58" s="55" t="s">
        <v>221</v>
      </c>
      <c r="AW58" s="29"/>
      <c r="AX58" s="55" t="s">
        <v>221</v>
      </c>
      <c r="AY58" s="55" t="s">
        <v>221</v>
      </c>
      <c r="AZ58" s="55" t="s">
        <v>221</v>
      </c>
      <c r="BA58" s="55" t="s">
        <v>221</v>
      </c>
      <c r="BB58" s="55" t="s">
        <v>221</v>
      </c>
      <c r="BC58" s="55" t="s">
        <v>221</v>
      </c>
      <c r="BD58" s="29"/>
      <c r="BE58" s="55" t="s">
        <v>74</v>
      </c>
      <c r="BF58" s="55" t="s">
        <v>221</v>
      </c>
      <c r="BG58" s="55" t="s">
        <v>221</v>
      </c>
      <c r="BH58" s="55" t="s">
        <v>221</v>
      </c>
      <c r="BI58" s="55" t="s">
        <v>221</v>
      </c>
      <c r="BJ58" s="55" t="s">
        <v>221</v>
      </c>
      <c r="BK58" s="59"/>
      <c r="BL58" s="59"/>
      <c r="BM58" s="59"/>
      <c r="BN58" s="59"/>
      <c r="BO58" s="59"/>
      <c r="BP58" s="59"/>
      <c r="BQ58" s="59"/>
      <c r="BR58" s="59"/>
      <c r="BS58" s="59"/>
      <c r="BT58" s="59"/>
      <c r="BU58" s="59"/>
      <c r="BV58" s="59"/>
    </row>
    <row r="59" outlineLevel="1">
      <c r="A59" s="50">
        <v>56.0</v>
      </c>
      <c r="B59" s="34" t="s">
        <v>429</v>
      </c>
      <c r="C59" s="46" t="s">
        <v>430</v>
      </c>
      <c r="D59" s="33">
        <f t="shared" si="3"/>
        <v>47</v>
      </c>
      <c r="E59" s="33">
        <f t="shared" si="4"/>
        <v>1</v>
      </c>
      <c r="F59" s="33">
        <f t="shared" si="5"/>
        <v>48</v>
      </c>
      <c r="G59" s="54">
        <f t="shared" si="6"/>
        <v>97.91666667</v>
      </c>
      <c r="H59" s="55" t="s">
        <v>221</v>
      </c>
      <c r="I59" s="55" t="s">
        <v>221</v>
      </c>
      <c r="J59" s="55" t="s">
        <v>221</v>
      </c>
      <c r="K59" s="55" t="s">
        <v>221</v>
      </c>
      <c r="L59" s="55" t="s">
        <v>221</v>
      </c>
      <c r="M59" s="55" t="s">
        <v>221</v>
      </c>
      <c r="N59" s="29"/>
      <c r="O59" s="55" t="s">
        <v>221</v>
      </c>
      <c r="P59" s="55" t="s">
        <v>221</v>
      </c>
      <c r="Q59" s="55" t="s">
        <v>221</v>
      </c>
      <c r="R59" s="55" t="s">
        <v>221</v>
      </c>
      <c r="S59" s="55" t="s">
        <v>221</v>
      </c>
      <c r="T59" s="50" t="s">
        <v>221</v>
      </c>
      <c r="U59" s="29"/>
      <c r="V59" s="50" t="s">
        <v>221</v>
      </c>
      <c r="W59" s="50" t="s">
        <v>221</v>
      </c>
      <c r="X59" s="50" t="s">
        <v>221</v>
      </c>
      <c r="Y59" s="50" t="s">
        <v>221</v>
      </c>
      <c r="Z59" s="50" t="s">
        <v>221</v>
      </c>
      <c r="AA59" s="50" t="s">
        <v>221</v>
      </c>
      <c r="AB59" s="29"/>
      <c r="AC59" s="50" t="s">
        <v>221</v>
      </c>
      <c r="AD59" s="50" t="s">
        <v>221</v>
      </c>
      <c r="AE59" s="55" t="s">
        <v>221</v>
      </c>
      <c r="AF59" s="55" t="s">
        <v>221</v>
      </c>
      <c r="AG59" s="55" t="s">
        <v>221</v>
      </c>
      <c r="AH59" s="50" t="s">
        <v>221</v>
      </c>
      <c r="AI59" s="29"/>
      <c r="AJ59" s="50" t="s">
        <v>221</v>
      </c>
      <c r="AK59" s="50" t="s">
        <v>221</v>
      </c>
      <c r="AL59" s="50" t="s">
        <v>221</v>
      </c>
      <c r="AM59" s="50" t="s">
        <v>221</v>
      </c>
      <c r="AN59" s="50" t="s">
        <v>221</v>
      </c>
      <c r="AO59" s="55" t="s">
        <v>221</v>
      </c>
      <c r="AP59" s="29"/>
      <c r="AQ59" s="55" t="s">
        <v>221</v>
      </c>
      <c r="AR59" s="55" t="s">
        <v>221</v>
      </c>
      <c r="AS59" s="55" t="s">
        <v>221</v>
      </c>
      <c r="AT59" s="55" t="s">
        <v>221</v>
      </c>
      <c r="AU59" s="55" t="s">
        <v>221</v>
      </c>
      <c r="AV59" s="55" t="s">
        <v>221</v>
      </c>
      <c r="AW59" s="29"/>
      <c r="AX59" s="55" t="s">
        <v>221</v>
      </c>
      <c r="AY59" s="55" t="s">
        <v>221</v>
      </c>
      <c r="AZ59" s="55" t="s">
        <v>221</v>
      </c>
      <c r="BA59" s="55" t="s">
        <v>221</v>
      </c>
      <c r="BB59" s="55" t="s">
        <v>74</v>
      </c>
      <c r="BC59" s="55" t="s">
        <v>221</v>
      </c>
      <c r="BD59" s="29"/>
      <c r="BE59" s="55" t="s">
        <v>221</v>
      </c>
      <c r="BF59" s="55" t="s">
        <v>221</v>
      </c>
      <c r="BG59" s="55" t="s">
        <v>221</v>
      </c>
      <c r="BH59" s="55" t="s">
        <v>221</v>
      </c>
      <c r="BI59" s="55" t="s">
        <v>221</v>
      </c>
      <c r="BJ59" s="55" t="s">
        <v>221</v>
      </c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59"/>
      <c r="BV59" s="59"/>
    </row>
    <row r="60" outlineLevel="1">
      <c r="A60" s="50">
        <v>57.0</v>
      </c>
      <c r="B60" s="52" t="s">
        <v>228</v>
      </c>
      <c r="C60" s="57" t="s">
        <v>230</v>
      </c>
      <c r="D60" s="33">
        <f t="shared" si="3"/>
        <v>40</v>
      </c>
      <c r="E60" s="33">
        <f t="shared" si="4"/>
        <v>8</v>
      </c>
      <c r="F60" s="33">
        <f t="shared" si="5"/>
        <v>48</v>
      </c>
      <c r="G60" s="54">
        <f t="shared" si="6"/>
        <v>83.33333333</v>
      </c>
      <c r="H60" s="55" t="s">
        <v>221</v>
      </c>
      <c r="I60" s="55" t="s">
        <v>74</v>
      </c>
      <c r="J60" s="55" t="s">
        <v>221</v>
      </c>
      <c r="K60" s="55" t="s">
        <v>221</v>
      </c>
      <c r="L60" s="55" t="s">
        <v>221</v>
      </c>
      <c r="M60" s="55" t="s">
        <v>221</v>
      </c>
      <c r="N60" s="29"/>
      <c r="O60" s="55" t="s">
        <v>221</v>
      </c>
      <c r="P60" s="55" t="s">
        <v>74</v>
      </c>
      <c r="Q60" s="55" t="s">
        <v>221</v>
      </c>
      <c r="R60" s="55" t="s">
        <v>221</v>
      </c>
      <c r="S60" s="55" t="s">
        <v>221</v>
      </c>
      <c r="T60" s="50" t="s">
        <v>221</v>
      </c>
      <c r="U60" s="29"/>
      <c r="V60" s="50" t="s">
        <v>221</v>
      </c>
      <c r="W60" s="50" t="s">
        <v>221</v>
      </c>
      <c r="X60" s="50" t="s">
        <v>74</v>
      </c>
      <c r="Y60" s="50" t="s">
        <v>74</v>
      </c>
      <c r="Z60" s="50" t="s">
        <v>221</v>
      </c>
      <c r="AA60" s="50" t="s">
        <v>221</v>
      </c>
      <c r="AB60" s="29"/>
      <c r="AC60" s="50" t="s">
        <v>221</v>
      </c>
      <c r="AD60" s="50" t="s">
        <v>74</v>
      </c>
      <c r="AE60" s="55" t="s">
        <v>221</v>
      </c>
      <c r="AF60" s="55" t="s">
        <v>221</v>
      </c>
      <c r="AG60" s="55" t="s">
        <v>221</v>
      </c>
      <c r="AH60" s="50" t="s">
        <v>221</v>
      </c>
      <c r="AI60" s="29"/>
      <c r="AJ60" s="50" t="s">
        <v>74</v>
      </c>
      <c r="AK60" s="50" t="s">
        <v>221</v>
      </c>
      <c r="AL60" s="50" t="s">
        <v>74</v>
      </c>
      <c r="AM60" s="50" t="s">
        <v>74</v>
      </c>
      <c r="AN60" s="50" t="s">
        <v>221</v>
      </c>
      <c r="AO60" s="55" t="s">
        <v>221</v>
      </c>
      <c r="AP60" s="29"/>
      <c r="AQ60" s="55" t="s">
        <v>221</v>
      </c>
      <c r="AR60" s="55" t="s">
        <v>221</v>
      </c>
      <c r="AS60" s="55" t="s">
        <v>221</v>
      </c>
      <c r="AT60" s="55" t="s">
        <v>221</v>
      </c>
      <c r="AU60" s="55" t="s">
        <v>221</v>
      </c>
      <c r="AV60" s="55" t="s">
        <v>221</v>
      </c>
      <c r="AW60" s="29"/>
      <c r="AX60" s="55" t="s">
        <v>221</v>
      </c>
      <c r="AY60" s="55" t="s">
        <v>221</v>
      </c>
      <c r="AZ60" s="55" t="s">
        <v>221</v>
      </c>
      <c r="BA60" s="55" t="s">
        <v>221</v>
      </c>
      <c r="BB60" s="55" t="s">
        <v>221</v>
      </c>
      <c r="BC60" s="55" t="s">
        <v>221</v>
      </c>
      <c r="BD60" s="29"/>
      <c r="BE60" s="55" t="s">
        <v>221</v>
      </c>
      <c r="BF60" s="55" t="s">
        <v>221</v>
      </c>
      <c r="BG60" s="55" t="s">
        <v>221</v>
      </c>
      <c r="BH60" s="55" t="s">
        <v>221</v>
      </c>
      <c r="BI60" s="55" t="s">
        <v>221</v>
      </c>
      <c r="BJ60" s="55" t="s">
        <v>221</v>
      </c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59"/>
      <c r="BV60" s="59"/>
    </row>
    <row r="61" outlineLevel="1">
      <c r="A61" s="50">
        <v>58.0</v>
      </c>
      <c r="B61" s="34" t="s">
        <v>441</v>
      </c>
      <c r="C61" s="46" t="s">
        <v>442</v>
      </c>
      <c r="D61" s="33">
        <f t="shared" si="3"/>
        <v>36</v>
      </c>
      <c r="E61" s="33">
        <f t="shared" si="4"/>
        <v>12</v>
      </c>
      <c r="F61" s="33">
        <f t="shared" si="5"/>
        <v>48</v>
      </c>
      <c r="G61" s="54">
        <f t="shared" si="6"/>
        <v>75</v>
      </c>
      <c r="H61" s="55" t="s">
        <v>221</v>
      </c>
      <c r="I61" s="55" t="s">
        <v>221</v>
      </c>
      <c r="J61" s="55" t="s">
        <v>221</v>
      </c>
      <c r="K61" s="55" t="s">
        <v>221</v>
      </c>
      <c r="L61" s="55" t="s">
        <v>221</v>
      </c>
      <c r="M61" s="55" t="s">
        <v>221</v>
      </c>
      <c r="N61" s="29"/>
      <c r="O61" s="55" t="s">
        <v>74</v>
      </c>
      <c r="P61" s="55" t="s">
        <v>221</v>
      </c>
      <c r="Q61" s="55" t="s">
        <v>74</v>
      </c>
      <c r="R61" s="55" t="s">
        <v>221</v>
      </c>
      <c r="S61" s="55" t="s">
        <v>221</v>
      </c>
      <c r="T61" s="50" t="s">
        <v>221</v>
      </c>
      <c r="U61" s="29"/>
      <c r="V61" s="50" t="s">
        <v>221</v>
      </c>
      <c r="W61" s="50" t="s">
        <v>221</v>
      </c>
      <c r="X61" s="50" t="s">
        <v>221</v>
      </c>
      <c r="Y61" s="50" t="s">
        <v>221</v>
      </c>
      <c r="Z61" s="50" t="s">
        <v>221</v>
      </c>
      <c r="AA61" s="50" t="s">
        <v>221</v>
      </c>
      <c r="AB61" s="29"/>
      <c r="AC61" s="50" t="s">
        <v>221</v>
      </c>
      <c r="AD61" s="50" t="s">
        <v>221</v>
      </c>
      <c r="AE61" s="55" t="s">
        <v>74</v>
      </c>
      <c r="AF61" s="55" t="s">
        <v>221</v>
      </c>
      <c r="AG61" s="55" t="s">
        <v>221</v>
      </c>
      <c r="AH61" s="50" t="s">
        <v>221</v>
      </c>
      <c r="AI61" s="29"/>
      <c r="AJ61" s="50" t="s">
        <v>221</v>
      </c>
      <c r="AK61" s="50" t="s">
        <v>221</v>
      </c>
      <c r="AL61" s="50" t="s">
        <v>221</v>
      </c>
      <c r="AM61" s="50" t="s">
        <v>74</v>
      </c>
      <c r="AN61" s="50" t="s">
        <v>221</v>
      </c>
      <c r="AO61" s="55" t="s">
        <v>221</v>
      </c>
      <c r="AP61" s="29"/>
      <c r="AQ61" s="55" t="s">
        <v>221</v>
      </c>
      <c r="AR61" s="55" t="s">
        <v>221</v>
      </c>
      <c r="AS61" s="55" t="s">
        <v>74</v>
      </c>
      <c r="AT61" s="55" t="s">
        <v>221</v>
      </c>
      <c r="AU61" s="55" t="s">
        <v>221</v>
      </c>
      <c r="AV61" s="55" t="s">
        <v>221</v>
      </c>
      <c r="AW61" s="29"/>
      <c r="AX61" s="55" t="s">
        <v>221</v>
      </c>
      <c r="AY61" s="55" t="s">
        <v>221</v>
      </c>
      <c r="AZ61" s="55" t="s">
        <v>74</v>
      </c>
      <c r="BA61" s="55" t="s">
        <v>221</v>
      </c>
      <c r="BB61" s="55" t="s">
        <v>74</v>
      </c>
      <c r="BC61" s="55" t="s">
        <v>74</v>
      </c>
      <c r="BD61" s="29"/>
      <c r="BE61" s="55" t="s">
        <v>74</v>
      </c>
      <c r="BF61" s="55" t="s">
        <v>221</v>
      </c>
      <c r="BG61" s="55" t="s">
        <v>74</v>
      </c>
      <c r="BH61" s="55" t="s">
        <v>74</v>
      </c>
      <c r="BI61" s="55" t="s">
        <v>221</v>
      </c>
      <c r="BJ61" s="55" t="s">
        <v>74</v>
      </c>
      <c r="BK61" s="59"/>
      <c r="BL61" s="59"/>
      <c r="BM61" s="59"/>
      <c r="BN61" s="59"/>
      <c r="BO61" s="59"/>
      <c r="BP61" s="59"/>
      <c r="BQ61" s="59"/>
      <c r="BR61" s="59"/>
      <c r="BS61" s="59"/>
      <c r="BT61" s="59"/>
      <c r="BU61" s="59"/>
      <c r="BV61" s="59"/>
    </row>
    <row r="62" outlineLevel="1">
      <c r="A62" s="50">
        <v>59.0</v>
      </c>
      <c r="B62" s="67" t="s">
        <v>799</v>
      </c>
      <c r="C62" s="67" t="s">
        <v>800</v>
      </c>
      <c r="D62" s="33">
        <f t="shared" si="3"/>
        <v>17</v>
      </c>
      <c r="E62" s="33">
        <f t="shared" si="4"/>
        <v>31</v>
      </c>
      <c r="F62" s="33">
        <f t="shared" si="5"/>
        <v>48</v>
      </c>
      <c r="G62" s="54">
        <f t="shared" si="6"/>
        <v>35.41666667</v>
      </c>
      <c r="H62" s="36" t="s">
        <v>74</v>
      </c>
      <c r="I62" s="36" t="s">
        <v>74</v>
      </c>
      <c r="J62" s="36" t="s">
        <v>74</v>
      </c>
      <c r="K62" s="36" t="s">
        <v>74</v>
      </c>
      <c r="L62" s="36" t="s">
        <v>74</v>
      </c>
      <c r="M62" s="36" t="s">
        <v>74</v>
      </c>
      <c r="N62" s="29"/>
      <c r="O62" s="36" t="s">
        <v>74</v>
      </c>
      <c r="P62" s="36" t="s">
        <v>74</v>
      </c>
      <c r="Q62" s="36" t="s">
        <v>74</v>
      </c>
      <c r="R62" s="36" t="s">
        <v>74</v>
      </c>
      <c r="S62" s="36" t="s">
        <v>74</v>
      </c>
      <c r="T62" s="36" t="s">
        <v>74</v>
      </c>
      <c r="U62" s="29"/>
      <c r="V62" s="36" t="s">
        <v>74</v>
      </c>
      <c r="W62" s="36" t="s">
        <v>74</v>
      </c>
      <c r="X62" s="36" t="s">
        <v>74</v>
      </c>
      <c r="Y62" s="36" t="s">
        <v>74</v>
      </c>
      <c r="Z62" s="36" t="s">
        <v>74</v>
      </c>
      <c r="AA62" s="36" t="s">
        <v>74</v>
      </c>
      <c r="AB62" s="29"/>
      <c r="AC62" s="36" t="s">
        <v>74</v>
      </c>
      <c r="AD62" s="36" t="s">
        <v>74</v>
      </c>
      <c r="AE62" s="36" t="s">
        <v>221</v>
      </c>
      <c r="AF62" s="36" t="s">
        <v>221</v>
      </c>
      <c r="AG62" s="36" t="s">
        <v>221</v>
      </c>
      <c r="AH62" s="18" t="s">
        <v>221</v>
      </c>
      <c r="AI62" s="29"/>
      <c r="AJ62" s="18" t="s">
        <v>221</v>
      </c>
      <c r="AK62" s="18" t="s">
        <v>221</v>
      </c>
      <c r="AL62" s="18" t="s">
        <v>221</v>
      </c>
      <c r="AM62" s="18" t="s">
        <v>221</v>
      </c>
      <c r="AN62" s="18" t="s">
        <v>221</v>
      </c>
      <c r="AO62" s="36" t="s">
        <v>221</v>
      </c>
      <c r="AP62" s="29"/>
      <c r="AQ62" s="36" t="s">
        <v>221</v>
      </c>
      <c r="AR62" s="36" t="s">
        <v>221</v>
      </c>
      <c r="AS62" s="36" t="s">
        <v>221</v>
      </c>
      <c r="AT62" s="36" t="s">
        <v>74</v>
      </c>
      <c r="AU62" s="36" t="s">
        <v>221</v>
      </c>
      <c r="AV62" s="36" t="s">
        <v>221</v>
      </c>
      <c r="AW62" s="29"/>
      <c r="AX62" s="36" t="s">
        <v>74</v>
      </c>
      <c r="AY62" s="36" t="s">
        <v>74</v>
      </c>
      <c r="AZ62" s="36" t="s">
        <v>74</v>
      </c>
      <c r="BA62" s="36" t="s">
        <v>221</v>
      </c>
      <c r="BB62" s="36" t="s">
        <v>74</v>
      </c>
      <c r="BC62" s="36" t="s">
        <v>74</v>
      </c>
      <c r="BD62" s="29"/>
      <c r="BE62" s="36" t="s">
        <v>221</v>
      </c>
      <c r="BF62" s="36" t="s">
        <v>74</v>
      </c>
      <c r="BG62" s="36" t="s">
        <v>74</v>
      </c>
      <c r="BH62" s="36" t="s">
        <v>74</v>
      </c>
      <c r="BI62" s="36" t="s">
        <v>74</v>
      </c>
      <c r="BJ62" s="36" t="s">
        <v>74</v>
      </c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</row>
    <row r="63" outlineLevel="1">
      <c r="A63" s="50">
        <v>60.0</v>
      </c>
      <c r="B63" s="51" t="s">
        <v>343</v>
      </c>
      <c r="C63" s="46" t="s">
        <v>344</v>
      </c>
      <c r="D63" s="33">
        <f t="shared" si="3"/>
        <v>36</v>
      </c>
      <c r="E63" s="33">
        <f t="shared" si="4"/>
        <v>12</v>
      </c>
      <c r="F63" s="33">
        <f t="shared" si="5"/>
        <v>48</v>
      </c>
      <c r="G63" s="54">
        <f t="shared" si="6"/>
        <v>75</v>
      </c>
      <c r="H63" s="55" t="s">
        <v>221</v>
      </c>
      <c r="I63" s="55" t="s">
        <v>74</v>
      </c>
      <c r="J63" s="55" t="s">
        <v>74</v>
      </c>
      <c r="K63" s="55" t="s">
        <v>221</v>
      </c>
      <c r="L63" s="55" t="s">
        <v>221</v>
      </c>
      <c r="M63" s="55" t="s">
        <v>221</v>
      </c>
      <c r="N63" s="29"/>
      <c r="O63" s="55" t="s">
        <v>74</v>
      </c>
      <c r="P63" s="55" t="s">
        <v>221</v>
      </c>
      <c r="Q63" s="55" t="s">
        <v>221</v>
      </c>
      <c r="R63" s="55" t="s">
        <v>221</v>
      </c>
      <c r="S63" s="55" t="s">
        <v>221</v>
      </c>
      <c r="T63" s="50" t="s">
        <v>221</v>
      </c>
      <c r="U63" s="29"/>
      <c r="V63" s="50" t="s">
        <v>74</v>
      </c>
      <c r="W63" s="50" t="s">
        <v>221</v>
      </c>
      <c r="X63" s="50" t="s">
        <v>74</v>
      </c>
      <c r="Y63" s="50" t="s">
        <v>221</v>
      </c>
      <c r="Z63" s="50" t="s">
        <v>221</v>
      </c>
      <c r="AA63" s="50" t="s">
        <v>221</v>
      </c>
      <c r="AB63" s="29"/>
      <c r="AC63" s="50" t="s">
        <v>221</v>
      </c>
      <c r="AD63" s="50" t="s">
        <v>221</v>
      </c>
      <c r="AE63" s="55" t="s">
        <v>221</v>
      </c>
      <c r="AF63" s="55" t="s">
        <v>221</v>
      </c>
      <c r="AG63" s="55" t="s">
        <v>221</v>
      </c>
      <c r="AH63" s="50" t="s">
        <v>221</v>
      </c>
      <c r="AI63" s="29"/>
      <c r="AJ63" s="50" t="s">
        <v>74</v>
      </c>
      <c r="AK63" s="50" t="s">
        <v>221</v>
      </c>
      <c r="AL63" s="50" t="s">
        <v>221</v>
      </c>
      <c r="AM63" s="50" t="s">
        <v>221</v>
      </c>
      <c r="AN63" s="50" t="s">
        <v>221</v>
      </c>
      <c r="AO63" s="55" t="s">
        <v>221</v>
      </c>
      <c r="AP63" s="29"/>
      <c r="AQ63" s="55" t="s">
        <v>221</v>
      </c>
      <c r="AR63" s="55" t="s">
        <v>74</v>
      </c>
      <c r="AS63" s="55" t="s">
        <v>221</v>
      </c>
      <c r="AT63" s="55" t="s">
        <v>221</v>
      </c>
      <c r="AU63" s="55" t="s">
        <v>221</v>
      </c>
      <c r="AV63" s="55" t="s">
        <v>221</v>
      </c>
      <c r="AW63" s="29"/>
      <c r="AX63" s="55" t="s">
        <v>74</v>
      </c>
      <c r="AY63" s="55" t="s">
        <v>74</v>
      </c>
      <c r="AZ63" s="55" t="s">
        <v>221</v>
      </c>
      <c r="BA63" s="55" t="s">
        <v>221</v>
      </c>
      <c r="BB63" s="55" t="s">
        <v>221</v>
      </c>
      <c r="BC63" s="55" t="s">
        <v>221</v>
      </c>
      <c r="BD63" s="29"/>
      <c r="BE63" s="55" t="s">
        <v>221</v>
      </c>
      <c r="BF63" s="55" t="s">
        <v>74</v>
      </c>
      <c r="BG63" s="55" t="s">
        <v>221</v>
      </c>
      <c r="BH63" s="55" t="s">
        <v>74</v>
      </c>
      <c r="BI63" s="55" t="s">
        <v>74</v>
      </c>
      <c r="BJ63" s="55" t="s">
        <v>221</v>
      </c>
      <c r="BK63" s="59"/>
      <c r="BL63" s="59"/>
      <c r="BM63" s="59"/>
      <c r="BN63" s="59"/>
      <c r="BO63" s="59"/>
      <c r="BP63" s="59"/>
      <c r="BQ63" s="59"/>
      <c r="BR63" s="59"/>
      <c r="BS63" s="59"/>
      <c r="BT63" s="59"/>
      <c r="BU63" s="59"/>
      <c r="BV63" s="59"/>
    </row>
    <row r="64" outlineLevel="1">
      <c r="A64" s="50">
        <v>61.0</v>
      </c>
      <c r="B64" s="51" t="s">
        <v>295</v>
      </c>
      <c r="C64" s="46" t="s">
        <v>296</v>
      </c>
      <c r="D64" s="33">
        <f t="shared" si="3"/>
        <v>47</v>
      </c>
      <c r="E64" s="33">
        <f t="shared" si="4"/>
        <v>1</v>
      </c>
      <c r="F64" s="33">
        <f t="shared" si="5"/>
        <v>48</v>
      </c>
      <c r="G64" s="54">
        <f t="shared" si="6"/>
        <v>97.91666667</v>
      </c>
      <c r="H64" s="55" t="s">
        <v>221</v>
      </c>
      <c r="I64" s="55" t="s">
        <v>221</v>
      </c>
      <c r="J64" s="55" t="s">
        <v>221</v>
      </c>
      <c r="K64" s="55" t="s">
        <v>221</v>
      </c>
      <c r="L64" s="55" t="s">
        <v>221</v>
      </c>
      <c r="M64" s="55" t="s">
        <v>221</v>
      </c>
      <c r="N64" s="29"/>
      <c r="O64" s="55" t="s">
        <v>221</v>
      </c>
      <c r="P64" s="55" t="s">
        <v>221</v>
      </c>
      <c r="Q64" s="55" t="s">
        <v>221</v>
      </c>
      <c r="R64" s="55" t="s">
        <v>221</v>
      </c>
      <c r="S64" s="55" t="s">
        <v>221</v>
      </c>
      <c r="T64" s="50" t="s">
        <v>221</v>
      </c>
      <c r="U64" s="29"/>
      <c r="V64" s="50" t="s">
        <v>221</v>
      </c>
      <c r="W64" s="50" t="s">
        <v>221</v>
      </c>
      <c r="X64" s="50" t="s">
        <v>221</v>
      </c>
      <c r="Y64" s="50" t="s">
        <v>221</v>
      </c>
      <c r="Z64" s="50" t="s">
        <v>221</v>
      </c>
      <c r="AA64" s="50" t="s">
        <v>221</v>
      </c>
      <c r="AB64" s="29"/>
      <c r="AC64" s="50" t="s">
        <v>221</v>
      </c>
      <c r="AD64" s="50" t="s">
        <v>221</v>
      </c>
      <c r="AE64" s="55" t="s">
        <v>221</v>
      </c>
      <c r="AF64" s="55" t="s">
        <v>221</v>
      </c>
      <c r="AG64" s="55" t="s">
        <v>221</v>
      </c>
      <c r="AH64" s="50" t="s">
        <v>221</v>
      </c>
      <c r="AI64" s="29"/>
      <c r="AJ64" s="50" t="s">
        <v>221</v>
      </c>
      <c r="AK64" s="50" t="s">
        <v>221</v>
      </c>
      <c r="AL64" s="50" t="s">
        <v>221</v>
      </c>
      <c r="AM64" s="50" t="s">
        <v>221</v>
      </c>
      <c r="AN64" s="50" t="s">
        <v>221</v>
      </c>
      <c r="AO64" s="55" t="s">
        <v>221</v>
      </c>
      <c r="AP64" s="29"/>
      <c r="AQ64" s="55" t="s">
        <v>221</v>
      </c>
      <c r="AR64" s="55" t="s">
        <v>221</v>
      </c>
      <c r="AS64" s="55" t="s">
        <v>221</v>
      </c>
      <c r="AT64" s="55" t="s">
        <v>221</v>
      </c>
      <c r="AU64" s="55" t="s">
        <v>221</v>
      </c>
      <c r="AV64" s="55" t="s">
        <v>74</v>
      </c>
      <c r="AW64" s="29"/>
      <c r="AX64" s="55" t="s">
        <v>221</v>
      </c>
      <c r="AY64" s="55" t="s">
        <v>221</v>
      </c>
      <c r="AZ64" s="55" t="s">
        <v>221</v>
      </c>
      <c r="BA64" s="55" t="s">
        <v>221</v>
      </c>
      <c r="BB64" s="55" t="s">
        <v>221</v>
      </c>
      <c r="BC64" s="55" t="s">
        <v>221</v>
      </c>
      <c r="BD64" s="29"/>
      <c r="BE64" s="55" t="s">
        <v>221</v>
      </c>
      <c r="BF64" s="55" t="s">
        <v>221</v>
      </c>
      <c r="BG64" s="55" t="s">
        <v>221</v>
      </c>
      <c r="BH64" s="55" t="s">
        <v>221</v>
      </c>
      <c r="BI64" s="55" t="s">
        <v>221</v>
      </c>
      <c r="BJ64" s="55" t="s">
        <v>221</v>
      </c>
      <c r="BK64" s="59"/>
      <c r="BL64" s="59"/>
      <c r="BM64" s="59"/>
      <c r="BN64" s="59"/>
      <c r="BO64" s="59"/>
      <c r="BP64" s="59"/>
      <c r="BQ64" s="59"/>
      <c r="BR64" s="59"/>
      <c r="BS64" s="59"/>
      <c r="BT64" s="59"/>
      <c r="BU64" s="59"/>
      <c r="BV64" s="59"/>
    </row>
    <row r="65" outlineLevel="1">
      <c r="A65" s="50">
        <v>62.0</v>
      </c>
      <c r="B65" s="34" t="s">
        <v>170</v>
      </c>
      <c r="C65" s="46" t="s">
        <v>174</v>
      </c>
      <c r="D65" s="33">
        <f t="shared" si="3"/>
        <v>42</v>
      </c>
      <c r="E65" s="33">
        <f t="shared" si="4"/>
        <v>6</v>
      </c>
      <c r="F65" s="33">
        <f t="shared" si="5"/>
        <v>48</v>
      </c>
      <c r="G65" s="54">
        <f t="shared" si="6"/>
        <v>87.5</v>
      </c>
      <c r="H65" s="55" t="s">
        <v>221</v>
      </c>
      <c r="I65" s="55" t="s">
        <v>221</v>
      </c>
      <c r="J65" s="55" t="s">
        <v>221</v>
      </c>
      <c r="K65" s="55" t="s">
        <v>221</v>
      </c>
      <c r="L65" s="55" t="s">
        <v>221</v>
      </c>
      <c r="M65" s="55" t="s">
        <v>221</v>
      </c>
      <c r="N65" s="29"/>
      <c r="O65" s="55" t="s">
        <v>221</v>
      </c>
      <c r="P65" s="55" t="s">
        <v>221</v>
      </c>
      <c r="Q65" s="55" t="s">
        <v>221</v>
      </c>
      <c r="R65" s="55" t="s">
        <v>221</v>
      </c>
      <c r="S65" s="55" t="s">
        <v>221</v>
      </c>
      <c r="T65" s="50" t="s">
        <v>221</v>
      </c>
      <c r="U65" s="29"/>
      <c r="V65" s="50" t="s">
        <v>221</v>
      </c>
      <c r="W65" s="50" t="s">
        <v>221</v>
      </c>
      <c r="X65" s="50" t="s">
        <v>221</v>
      </c>
      <c r="Y65" s="50" t="s">
        <v>221</v>
      </c>
      <c r="Z65" s="50" t="s">
        <v>221</v>
      </c>
      <c r="AA65" s="50" t="s">
        <v>221</v>
      </c>
      <c r="AB65" s="29"/>
      <c r="AC65" s="50" t="s">
        <v>221</v>
      </c>
      <c r="AD65" s="50" t="s">
        <v>221</v>
      </c>
      <c r="AE65" s="55" t="s">
        <v>221</v>
      </c>
      <c r="AF65" s="55" t="s">
        <v>221</v>
      </c>
      <c r="AG65" s="55" t="s">
        <v>221</v>
      </c>
      <c r="AH65" s="50" t="s">
        <v>221</v>
      </c>
      <c r="AI65" s="29"/>
      <c r="AJ65" s="50" t="s">
        <v>221</v>
      </c>
      <c r="AK65" s="50" t="s">
        <v>74</v>
      </c>
      <c r="AL65" s="50" t="s">
        <v>221</v>
      </c>
      <c r="AM65" s="50" t="s">
        <v>221</v>
      </c>
      <c r="AN65" s="50" t="s">
        <v>221</v>
      </c>
      <c r="AO65" s="55" t="s">
        <v>221</v>
      </c>
      <c r="AP65" s="29"/>
      <c r="AQ65" s="55" t="s">
        <v>221</v>
      </c>
      <c r="AR65" s="55" t="s">
        <v>74</v>
      </c>
      <c r="AS65" s="55" t="s">
        <v>221</v>
      </c>
      <c r="AT65" s="55" t="s">
        <v>221</v>
      </c>
      <c r="AU65" s="55" t="s">
        <v>221</v>
      </c>
      <c r="AV65" s="55" t="s">
        <v>221</v>
      </c>
      <c r="AW65" s="29"/>
      <c r="AX65" s="55" t="s">
        <v>221</v>
      </c>
      <c r="AY65" s="55" t="s">
        <v>221</v>
      </c>
      <c r="AZ65" s="55" t="s">
        <v>221</v>
      </c>
      <c r="BA65" s="55" t="s">
        <v>74</v>
      </c>
      <c r="BB65" s="55" t="s">
        <v>74</v>
      </c>
      <c r="BC65" s="55" t="s">
        <v>221</v>
      </c>
      <c r="BD65" s="29"/>
      <c r="BE65" s="55" t="s">
        <v>221</v>
      </c>
      <c r="BF65" s="55" t="s">
        <v>221</v>
      </c>
      <c r="BG65" s="55" t="s">
        <v>221</v>
      </c>
      <c r="BH65" s="55" t="s">
        <v>74</v>
      </c>
      <c r="BI65" s="55" t="s">
        <v>74</v>
      </c>
      <c r="BJ65" s="55" t="s">
        <v>221</v>
      </c>
      <c r="BK65" s="59"/>
      <c r="BL65" s="59"/>
      <c r="BM65" s="59"/>
      <c r="BN65" s="59"/>
      <c r="BO65" s="59"/>
      <c r="BP65" s="59"/>
      <c r="BQ65" s="59"/>
      <c r="BR65" s="59"/>
      <c r="BS65" s="59"/>
      <c r="BT65" s="59"/>
      <c r="BU65" s="59"/>
      <c r="BV65" s="59"/>
    </row>
    <row r="66" outlineLevel="1">
      <c r="A66" s="50">
        <v>63.0</v>
      </c>
      <c r="B66" s="34" t="s">
        <v>705</v>
      </c>
      <c r="C66" s="46" t="s">
        <v>706</v>
      </c>
      <c r="D66" s="33">
        <f t="shared" si="3"/>
        <v>35</v>
      </c>
      <c r="E66" s="33">
        <f t="shared" si="4"/>
        <v>13</v>
      </c>
      <c r="F66" s="33">
        <f t="shared" si="5"/>
        <v>48</v>
      </c>
      <c r="G66" s="54">
        <f t="shared" si="6"/>
        <v>72.91666667</v>
      </c>
      <c r="H66" s="55" t="s">
        <v>221</v>
      </c>
      <c r="I66" s="55" t="s">
        <v>221</v>
      </c>
      <c r="J66" s="55" t="s">
        <v>74</v>
      </c>
      <c r="K66" s="55" t="s">
        <v>221</v>
      </c>
      <c r="L66" s="55" t="s">
        <v>221</v>
      </c>
      <c r="M66" s="55" t="s">
        <v>221</v>
      </c>
      <c r="N66" s="29"/>
      <c r="O66" s="55" t="s">
        <v>221</v>
      </c>
      <c r="P66" s="55" t="s">
        <v>221</v>
      </c>
      <c r="Q66" s="55" t="s">
        <v>221</v>
      </c>
      <c r="R66" s="55" t="s">
        <v>221</v>
      </c>
      <c r="S66" s="55" t="s">
        <v>221</v>
      </c>
      <c r="T66" s="50" t="s">
        <v>221</v>
      </c>
      <c r="U66" s="29"/>
      <c r="V66" s="50" t="s">
        <v>221</v>
      </c>
      <c r="W66" s="50" t="s">
        <v>221</v>
      </c>
      <c r="X66" s="50" t="s">
        <v>221</v>
      </c>
      <c r="Y66" s="50" t="s">
        <v>221</v>
      </c>
      <c r="Z66" s="50" t="s">
        <v>221</v>
      </c>
      <c r="AA66" s="50" t="s">
        <v>221</v>
      </c>
      <c r="AB66" s="29"/>
      <c r="AC66" s="50" t="s">
        <v>221</v>
      </c>
      <c r="AD66" s="50" t="s">
        <v>221</v>
      </c>
      <c r="AE66" s="55" t="s">
        <v>74</v>
      </c>
      <c r="AF66" s="55" t="s">
        <v>221</v>
      </c>
      <c r="AG66" s="55" t="s">
        <v>221</v>
      </c>
      <c r="AH66" s="50" t="s">
        <v>221</v>
      </c>
      <c r="AI66" s="29"/>
      <c r="AJ66" s="50" t="s">
        <v>221</v>
      </c>
      <c r="AK66" s="50" t="s">
        <v>221</v>
      </c>
      <c r="AL66" s="50" t="s">
        <v>74</v>
      </c>
      <c r="AM66" s="50" t="s">
        <v>74</v>
      </c>
      <c r="AN66" s="50" t="s">
        <v>221</v>
      </c>
      <c r="AO66" s="55" t="s">
        <v>221</v>
      </c>
      <c r="AP66" s="29"/>
      <c r="AQ66" s="55" t="s">
        <v>221</v>
      </c>
      <c r="AR66" s="55" t="s">
        <v>74</v>
      </c>
      <c r="AS66" s="55" t="s">
        <v>221</v>
      </c>
      <c r="AT66" s="55" t="s">
        <v>221</v>
      </c>
      <c r="AU66" s="55" t="s">
        <v>221</v>
      </c>
      <c r="AV66" s="55" t="s">
        <v>221</v>
      </c>
      <c r="AW66" s="29"/>
      <c r="AX66" s="55" t="s">
        <v>221</v>
      </c>
      <c r="AY66" s="55" t="s">
        <v>74</v>
      </c>
      <c r="AZ66" s="55" t="s">
        <v>221</v>
      </c>
      <c r="BA66" s="55" t="s">
        <v>74</v>
      </c>
      <c r="BB66" s="55" t="s">
        <v>74</v>
      </c>
      <c r="BC66" s="55" t="s">
        <v>221</v>
      </c>
      <c r="BD66" s="29"/>
      <c r="BE66" s="55" t="s">
        <v>74</v>
      </c>
      <c r="BF66" s="55" t="s">
        <v>74</v>
      </c>
      <c r="BG66" s="55" t="s">
        <v>221</v>
      </c>
      <c r="BH66" s="55" t="s">
        <v>74</v>
      </c>
      <c r="BI66" s="55" t="s">
        <v>74</v>
      </c>
      <c r="BJ66" s="55" t="s">
        <v>74</v>
      </c>
      <c r="BK66" s="59"/>
      <c r="BL66" s="59"/>
      <c r="BM66" s="59"/>
      <c r="BN66" s="59"/>
      <c r="BO66" s="59"/>
      <c r="BP66" s="59"/>
      <c r="BQ66" s="59"/>
      <c r="BR66" s="59"/>
      <c r="BS66" s="59"/>
      <c r="BT66" s="59"/>
      <c r="BU66" s="59"/>
      <c r="BV66" s="59"/>
    </row>
    <row r="67" outlineLevel="1">
      <c r="A67" s="50">
        <v>64.0</v>
      </c>
      <c r="B67" s="34" t="s">
        <v>536</v>
      </c>
      <c r="C67" s="46" t="s">
        <v>538</v>
      </c>
      <c r="D67" s="33">
        <f t="shared" si="3"/>
        <v>39</v>
      </c>
      <c r="E67" s="33">
        <f t="shared" si="4"/>
        <v>9</v>
      </c>
      <c r="F67" s="33">
        <f t="shared" si="5"/>
        <v>48</v>
      </c>
      <c r="G67" s="54">
        <f t="shared" si="6"/>
        <v>81.25</v>
      </c>
      <c r="H67" s="55" t="s">
        <v>221</v>
      </c>
      <c r="I67" s="55" t="s">
        <v>74</v>
      </c>
      <c r="J67" s="55" t="s">
        <v>221</v>
      </c>
      <c r="K67" s="55" t="s">
        <v>221</v>
      </c>
      <c r="L67" s="55" t="s">
        <v>74</v>
      </c>
      <c r="M67" s="55" t="s">
        <v>221</v>
      </c>
      <c r="N67" s="29"/>
      <c r="O67" s="55" t="s">
        <v>221</v>
      </c>
      <c r="P67" s="55" t="s">
        <v>221</v>
      </c>
      <c r="Q67" s="55" t="s">
        <v>74</v>
      </c>
      <c r="R67" s="55" t="s">
        <v>221</v>
      </c>
      <c r="S67" s="55" t="s">
        <v>74</v>
      </c>
      <c r="T67" s="50" t="s">
        <v>221</v>
      </c>
      <c r="U67" s="29"/>
      <c r="V67" s="50" t="s">
        <v>221</v>
      </c>
      <c r="W67" s="50" t="s">
        <v>221</v>
      </c>
      <c r="X67" s="50" t="s">
        <v>221</v>
      </c>
      <c r="Y67" s="50" t="s">
        <v>221</v>
      </c>
      <c r="Z67" s="50" t="s">
        <v>221</v>
      </c>
      <c r="AA67" s="50" t="s">
        <v>221</v>
      </c>
      <c r="AB67" s="29"/>
      <c r="AC67" s="50" t="s">
        <v>221</v>
      </c>
      <c r="AD67" s="50" t="s">
        <v>74</v>
      </c>
      <c r="AE67" s="55" t="s">
        <v>221</v>
      </c>
      <c r="AF67" s="55" t="s">
        <v>221</v>
      </c>
      <c r="AG67" s="55" t="s">
        <v>221</v>
      </c>
      <c r="AH67" s="50" t="s">
        <v>221</v>
      </c>
      <c r="AI67" s="29"/>
      <c r="AJ67" s="50" t="s">
        <v>221</v>
      </c>
      <c r="AK67" s="50" t="s">
        <v>221</v>
      </c>
      <c r="AL67" s="50" t="s">
        <v>221</v>
      </c>
      <c r="AM67" s="50" t="s">
        <v>221</v>
      </c>
      <c r="AN67" s="50" t="s">
        <v>74</v>
      </c>
      <c r="AO67" s="55" t="s">
        <v>221</v>
      </c>
      <c r="AP67" s="29"/>
      <c r="AQ67" s="55" t="s">
        <v>221</v>
      </c>
      <c r="AR67" s="55" t="s">
        <v>221</v>
      </c>
      <c r="AS67" s="55" t="s">
        <v>221</v>
      </c>
      <c r="AT67" s="55" t="s">
        <v>221</v>
      </c>
      <c r="AU67" s="55" t="s">
        <v>221</v>
      </c>
      <c r="AV67" s="55" t="s">
        <v>221</v>
      </c>
      <c r="AW67" s="29"/>
      <c r="AX67" s="55" t="s">
        <v>221</v>
      </c>
      <c r="AY67" s="55" t="s">
        <v>221</v>
      </c>
      <c r="AZ67" s="55" t="s">
        <v>221</v>
      </c>
      <c r="BA67" s="55" t="s">
        <v>221</v>
      </c>
      <c r="BB67" s="55" t="s">
        <v>221</v>
      </c>
      <c r="BC67" s="55" t="s">
        <v>221</v>
      </c>
      <c r="BD67" s="29"/>
      <c r="BE67" s="55" t="s">
        <v>74</v>
      </c>
      <c r="BF67" s="55" t="s">
        <v>221</v>
      </c>
      <c r="BG67" s="55" t="s">
        <v>221</v>
      </c>
      <c r="BH67" s="55" t="s">
        <v>74</v>
      </c>
      <c r="BI67" s="55" t="s">
        <v>221</v>
      </c>
      <c r="BJ67" s="55" t="s">
        <v>74</v>
      </c>
      <c r="BK67" s="59"/>
      <c r="BL67" s="59"/>
      <c r="BM67" s="59"/>
      <c r="BN67" s="59"/>
      <c r="BO67" s="59"/>
      <c r="BP67" s="59"/>
      <c r="BQ67" s="59"/>
      <c r="BR67" s="59"/>
      <c r="BS67" s="59"/>
      <c r="BT67" s="59"/>
      <c r="BU67" s="59"/>
      <c r="BV67" s="59"/>
    </row>
    <row r="68" outlineLevel="1">
      <c r="A68" s="50">
        <v>65.0</v>
      </c>
      <c r="B68" s="34" t="s">
        <v>68</v>
      </c>
      <c r="C68" s="35" t="s">
        <v>69</v>
      </c>
      <c r="D68" s="33">
        <f t="shared" si="3"/>
        <v>42</v>
      </c>
      <c r="E68" s="33">
        <f t="shared" si="4"/>
        <v>6</v>
      </c>
      <c r="F68" s="33">
        <f t="shared" si="5"/>
        <v>48</v>
      </c>
      <c r="G68" s="54">
        <f t="shared" si="6"/>
        <v>87.5</v>
      </c>
      <c r="H68" s="55" t="s">
        <v>221</v>
      </c>
      <c r="I68" s="55" t="s">
        <v>221</v>
      </c>
      <c r="J68" s="55" t="s">
        <v>221</v>
      </c>
      <c r="K68" s="55" t="s">
        <v>221</v>
      </c>
      <c r="L68" s="55" t="s">
        <v>221</v>
      </c>
      <c r="M68" s="55" t="s">
        <v>221</v>
      </c>
      <c r="N68" s="29"/>
      <c r="O68" s="55" t="s">
        <v>221</v>
      </c>
      <c r="P68" s="55" t="s">
        <v>221</v>
      </c>
      <c r="Q68" s="55" t="s">
        <v>221</v>
      </c>
      <c r="R68" s="55" t="s">
        <v>221</v>
      </c>
      <c r="S68" s="55" t="s">
        <v>221</v>
      </c>
      <c r="T68" s="50" t="s">
        <v>221</v>
      </c>
      <c r="U68" s="29"/>
      <c r="V68" s="50" t="s">
        <v>221</v>
      </c>
      <c r="W68" s="50" t="s">
        <v>221</v>
      </c>
      <c r="X68" s="50" t="s">
        <v>74</v>
      </c>
      <c r="Y68" s="50" t="s">
        <v>74</v>
      </c>
      <c r="Z68" s="50" t="s">
        <v>221</v>
      </c>
      <c r="AA68" s="50" t="s">
        <v>221</v>
      </c>
      <c r="AB68" s="29"/>
      <c r="AC68" s="50" t="s">
        <v>221</v>
      </c>
      <c r="AD68" s="50" t="s">
        <v>221</v>
      </c>
      <c r="AE68" s="55" t="s">
        <v>221</v>
      </c>
      <c r="AF68" s="55" t="s">
        <v>221</v>
      </c>
      <c r="AG68" s="55" t="s">
        <v>221</v>
      </c>
      <c r="AH68" s="50" t="s">
        <v>221</v>
      </c>
      <c r="AI68" s="29"/>
      <c r="AJ68" s="50" t="s">
        <v>221</v>
      </c>
      <c r="AK68" s="50" t="s">
        <v>221</v>
      </c>
      <c r="AL68" s="50" t="s">
        <v>221</v>
      </c>
      <c r="AM68" s="50" t="s">
        <v>221</v>
      </c>
      <c r="AN68" s="50" t="s">
        <v>221</v>
      </c>
      <c r="AO68" s="55" t="s">
        <v>74</v>
      </c>
      <c r="AP68" s="29"/>
      <c r="AQ68" s="55" t="s">
        <v>74</v>
      </c>
      <c r="AR68" s="55" t="s">
        <v>74</v>
      </c>
      <c r="AS68" s="55" t="s">
        <v>221</v>
      </c>
      <c r="AT68" s="55" t="s">
        <v>221</v>
      </c>
      <c r="AU68" s="55" t="s">
        <v>221</v>
      </c>
      <c r="AV68" s="55" t="s">
        <v>221</v>
      </c>
      <c r="AW68" s="29"/>
      <c r="AX68" s="55" t="s">
        <v>221</v>
      </c>
      <c r="AY68" s="55" t="s">
        <v>221</v>
      </c>
      <c r="AZ68" s="55" t="s">
        <v>221</v>
      </c>
      <c r="BA68" s="55" t="s">
        <v>221</v>
      </c>
      <c r="BB68" s="55" t="s">
        <v>221</v>
      </c>
      <c r="BC68" s="55" t="s">
        <v>221</v>
      </c>
      <c r="BD68" s="29"/>
      <c r="BE68" s="55" t="s">
        <v>221</v>
      </c>
      <c r="BF68" s="55" t="s">
        <v>221</v>
      </c>
      <c r="BG68" s="55" t="s">
        <v>221</v>
      </c>
      <c r="BH68" s="55" t="s">
        <v>74</v>
      </c>
      <c r="BI68" s="55" t="s">
        <v>221</v>
      </c>
      <c r="BJ68" s="55" t="s">
        <v>221</v>
      </c>
      <c r="BK68" s="59"/>
      <c r="BL68" s="59"/>
      <c r="BM68" s="59"/>
      <c r="BN68" s="59"/>
      <c r="BO68" s="59"/>
      <c r="BP68" s="59"/>
      <c r="BQ68" s="59"/>
      <c r="BR68" s="59"/>
      <c r="BS68" s="59"/>
      <c r="BT68" s="59"/>
      <c r="BU68" s="59"/>
      <c r="BV68" s="59"/>
    </row>
    <row r="69" outlineLevel="1">
      <c r="A69" s="50">
        <v>66.0</v>
      </c>
      <c r="B69" s="63" t="s">
        <v>835</v>
      </c>
      <c r="C69" s="63" t="s">
        <v>836</v>
      </c>
      <c r="D69" s="33">
        <f t="shared" si="3"/>
        <v>8</v>
      </c>
      <c r="E69" s="33">
        <f t="shared" si="4"/>
        <v>12</v>
      </c>
      <c r="F69" s="33">
        <f t="shared" si="5"/>
        <v>20</v>
      </c>
      <c r="G69" s="54">
        <f t="shared" si="6"/>
        <v>40</v>
      </c>
      <c r="H69" s="63" t="s">
        <v>485</v>
      </c>
      <c r="I69" s="63" t="s">
        <v>485</v>
      </c>
      <c r="J69" s="63" t="s">
        <v>485</v>
      </c>
      <c r="K69" s="63" t="s">
        <v>485</v>
      </c>
      <c r="L69" s="63" t="s">
        <v>485</v>
      </c>
      <c r="M69" s="63" t="s">
        <v>485</v>
      </c>
      <c r="N69" s="29"/>
      <c r="O69" s="63" t="s">
        <v>485</v>
      </c>
      <c r="P69" s="63" t="s">
        <v>485</v>
      </c>
      <c r="Q69" s="63" t="s">
        <v>485</v>
      </c>
      <c r="R69" s="63" t="s">
        <v>485</v>
      </c>
      <c r="S69" s="63" t="s">
        <v>485</v>
      </c>
      <c r="T69" s="63" t="s">
        <v>485</v>
      </c>
      <c r="U69" s="29"/>
      <c r="V69" s="63" t="s">
        <v>485</v>
      </c>
      <c r="W69" s="63" t="s">
        <v>485</v>
      </c>
      <c r="X69" s="63" t="s">
        <v>485</v>
      </c>
      <c r="Y69" s="63" t="s">
        <v>485</v>
      </c>
      <c r="Z69" s="63" t="s">
        <v>485</v>
      </c>
      <c r="AA69" s="63" t="s">
        <v>485</v>
      </c>
      <c r="AB69" s="29"/>
      <c r="AC69" s="63" t="s">
        <v>485</v>
      </c>
      <c r="AD69" s="63" t="s">
        <v>485</v>
      </c>
      <c r="AE69" s="63" t="s">
        <v>485</v>
      </c>
      <c r="AF69" s="61"/>
      <c r="AG69" s="61"/>
      <c r="AH69" s="65"/>
      <c r="AI69" s="29"/>
      <c r="AJ69" s="65"/>
      <c r="AK69" s="65"/>
      <c r="AL69" s="65"/>
      <c r="AM69" s="65"/>
      <c r="AN69" s="18" t="s">
        <v>74</v>
      </c>
      <c r="AO69" s="36" t="s">
        <v>221</v>
      </c>
      <c r="AP69" s="29"/>
      <c r="AQ69" s="36" t="s">
        <v>221</v>
      </c>
      <c r="AR69" s="36" t="s">
        <v>221</v>
      </c>
      <c r="AS69" s="36" t="s">
        <v>74</v>
      </c>
      <c r="AT69" s="36" t="s">
        <v>221</v>
      </c>
      <c r="AU69" s="36" t="s">
        <v>74</v>
      </c>
      <c r="AV69" s="36" t="s">
        <v>221</v>
      </c>
      <c r="AW69" s="29"/>
      <c r="AX69" s="36" t="s">
        <v>221</v>
      </c>
      <c r="AY69" s="36" t="s">
        <v>74</v>
      </c>
      <c r="AZ69" s="36" t="s">
        <v>74</v>
      </c>
      <c r="BA69" s="36" t="s">
        <v>221</v>
      </c>
      <c r="BB69" s="36" t="s">
        <v>221</v>
      </c>
      <c r="BC69" s="36" t="s">
        <v>74</v>
      </c>
      <c r="BD69" s="29"/>
      <c r="BE69" s="36" t="s">
        <v>74</v>
      </c>
      <c r="BF69" s="36" t="s">
        <v>74</v>
      </c>
      <c r="BG69" s="36" t="s">
        <v>74</v>
      </c>
      <c r="BH69" s="36" t="s">
        <v>74</v>
      </c>
      <c r="BI69" s="36" t="s">
        <v>74</v>
      </c>
      <c r="BJ69" s="36" t="s">
        <v>74</v>
      </c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  <c r="BV69" s="61"/>
    </row>
    <row r="70" outlineLevel="1">
      <c r="A70" s="50">
        <v>67.0</v>
      </c>
      <c r="B70" s="34" t="s">
        <v>728</v>
      </c>
      <c r="C70" s="46" t="s">
        <v>729</v>
      </c>
      <c r="D70" s="33">
        <f t="shared" si="3"/>
        <v>35</v>
      </c>
      <c r="E70" s="33">
        <f t="shared" si="4"/>
        <v>13</v>
      </c>
      <c r="F70" s="33">
        <f t="shared" si="5"/>
        <v>48</v>
      </c>
      <c r="G70" s="54">
        <f t="shared" si="6"/>
        <v>72.91666667</v>
      </c>
      <c r="H70" s="55" t="s">
        <v>221</v>
      </c>
      <c r="I70" s="55" t="s">
        <v>74</v>
      </c>
      <c r="J70" s="55" t="s">
        <v>221</v>
      </c>
      <c r="K70" s="55" t="s">
        <v>221</v>
      </c>
      <c r="L70" s="55" t="s">
        <v>221</v>
      </c>
      <c r="M70" s="55" t="s">
        <v>221</v>
      </c>
      <c r="N70" s="29"/>
      <c r="O70" s="55" t="s">
        <v>221</v>
      </c>
      <c r="P70" s="55" t="s">
        <v>221</v>
      </c>
      <c r="Q70" s="55" t="s">
        <v>221</v>
      </c>
      <c r="R70" s="55" t="s">
        <v>221</v>
      </c>
      <c r="S70" s="55" t="s">
        <v>221</v>
      </c>
      <c r="T70" s="50" t="s">
        <v>221</v>
      </c>
      <c r="U70" s="29"/>
      <c r="V70" s="50" t="s">
        <v>221</v>
      </c>
      <c r="W70" s="50" t="s">
        <v>221</v>
      </c>
      <c r="X70" s="50" t="s">
        <v>74</v>
      </c>
      <c r="Y70" s="50" t="s">
        <v>221</v>
      </c>
      <c r="Z70" s="50" t="s">
        <v>221</v>
      </c>
      <c r="AA70" s="50" t="s">
        <v>221</v>
      </c>
      <c r="AB70" s="29"/>
      <c r="AC70" s="50" t="s">
        <v>221</v>
      </c>
      <c r="AD70" s="50" t="s">
        <v>221</v>
      </c>
      <c r="AE70" s="55" t="s">
        <v>221</v>
      </c>
      <c r="AF70" s="55" t="s">
        <v>74</v>
      </c>
      <c r="AG70" s="55" t="s">
        <v>221</v>
      </c>
      <c r="AH70" s="50" t="s">
        <v>221</v>
      </c>
      <c r="AI70" s="29"/>
      <c r="AJ70" s="50" t="s">
        <v>74</v>
      </c>
      <c r="AK70" s="50" t="s">
        <v>221</v>
      </c>
      <c r="AL70" s="50" t="s">
        <v>74</v>
      </c>
      <c r="AM70" s="50" t="s">
        <v>74</v>
      </c>
      <c r="AN70" s="50" t="s">
        <v>221</v>
      </c>
      <c r="AO70" s="55" t="s">
        <v>221</v>
      </c>
      <c r="AP70" s="29"/>
      <c r="AQ70" s="55" t="s">
        <v>221</v>
      </c>
      <c r="AR70" s="55" t="s">
        <v>221</v>
      </c>
      <c r="AS70" s="55" t="s">
        <v>221</v>
      </c>
      <c r="AT70" s="55" t="s">
        <v>221</v>
      </c>
      <c r="AU70" s="55" t="s">
        <v>221</v>
      </c>
      <c r="AV70" s="55" t="s">
        <v>221</v>
      </c>
      <c r="AW70" s="29"/>
      <c r="AX70" s="55" t="s">
        <v>221</v>
      </c>
      <c r="AY70" s="55" t="s">
        <v>221</v>
      </c>
      <c r="AZ70" s="55" t="s">
        <v>74</v>
      </c>
      <c r="BA70" s="55" t="s">
        <v>74</v>
      </c>
      <c r="BB70" s="55" t="s">
        <v>221</v>
      </c>
      <c r="BC70" s="55" t="s">
        <v>74</v>
      </c>
      <c r="BD70" s="29"/>
      <c r="BE70" s="55" t="s">
        <v>221</v>
      </c>
      <c r="BF70" s="55" t="s">
        <v>74</v>
      </c>
      <c r="BG70" s="55" t="s">
        <v>221</v>
      </c>
      <c r="BH70" s="55" t="s">
        <v>74</v>
      </c>
      <c r="BI70" s="55" t="s">
        <v>74</v>
      </c>
      <c r="BJ70" s="55" t="s">
        <v>74</v>
      </c>
      <c r="BK70" s="59"/>
      <c r="BL70" s="59"/>
      <c r="BM70" s="59"/>
      <c r="BN70" s="59"/>
      <c r="BO70" s="59"/>
      <c r="BP70" s="59"/>
      <c r="BQ70" s="59"/>
      <c r="BR70" s="59"/>
      <c r="BS70" s="59"/>
      <c r="BT70" s="59"/>
      <c r="BU70" s="59"/>
      <c r="BV70" s="59"/>
    </row>
    <row r="71" outlineLevel="1">
      <c r="A71" s="50">
        <v>68.0</v>
      </c>
      <c r="B71" s="67" t="s">
        <v>826</v>
      </c>
      <c r="C71" s="67" t="s">
        <v>828</v>
      </c>
      <c r="D71" s="33">
        <f t="shared" si="3"/>
        <v>9</v>
      </c>
      <c r="E71" s="33">
        <f t="shared" si="4"/>
        <v>39</v>
      </c>
      <c r="F71" s="33">
        <f t="shared" si="5"/>
        <v>48</v>
      </c>
      <c r="G71" s="54">
        <f t="shared" si="6"/>
        <v>18.75</v>
      </c>
      <c r="H71" s="36" t="s">
        <v>74</v>
      </c>
      <c r="I71" s="36" t="s">
        <v>74</v>
      </c>
      <c r="J71" s="36" t="s">
        <v>74</v>
      </c>
      <c r="K71" s="36" t="s">
        <v>74</v>
      </c>
      <c r="L71" s="36" t="s">
        <v>74</v>
      </c>
      <c r="M71" s="36" t="s">
        <v>74</v>
      </c>
      <c r="N71" s="29"/>
      <c r="O71" s="36" t="s">
        <v>221</v>
      </c>
      <c r="P71" s="36" t="s">
        <v>74</v>
      </c>
      <c r="Q71" s="36" t="s">
        <v>221</v>
      </c>
      <c r="R71" s="36" t="s">
        <v>74</v>
      </c>
      <c r="S71" s="36" t="s">
        <v>74</v>
      </c>
      <c r="T71" s="36" t="s">
        <v>221</v>
      </c>
      <c r="U71" s="29"/>
      <c r="V71" s="36" t="s">
        <v>221</v>
      </c>
      <c r="W71" s="88" t="s">
        <v>74</v>
      </c>
      <c r="X71" s="36" t="s">
        <v>74</v>
      </c>
      <c r="Y71" s="36" t="s">
        <v>221</v>
      </c>
      <c r="Z71" s="36" t="s">
        <v>74</v>
      </c>
      <c r="AA71" s="36" t="s">
        <v>221</v>
      </c>
      <c r="AB71" s="29"/>
      <c r="AC71" s="36" t="s">
        <v>74</v>
      </c>
      <c r="AD71" s="36" t="s">
        <v>74</v>
      </c>
      <c r="AE71" s="36" t="s">
        <v>74</v>
      </c>
      <c r="AF71" s="36" t="s">
        <v>74</v>
      </c>
      <c r="AG71" s="36" t="s">
        <v>74</v>
      </c>
      <c r="AH71" s="18" t="s">
        <v>74</v>
      </c>
      <c r="AI71" s="29"/>
      <c r="AJ71" s="18" t="s">
        <v>74</v>
      </c>
      <c r="AK71" s="18" t="s">
        <v>74</v>
      </c>
      <c r="AL71" s="18" t="s">
        <v>74</v>
      </c>
      <c r="AM71" s="18" t="s">
        <v>74</v>
      </c>
      <c r="AN71" s="18" t="s">
        <v>74</v>
      </c>
      <c r="AO71" s="36" t="s">
        <v>74</v>
      </c>
      <c r="AP71" s="29"/>
      <c r="AQ71" s="36" t="s">
        <v>221</v>
      </c>
      <c r="AR71" s="36" t="s">
        <v>74</v>
      </c>
      <c r="AS71" s="36" t="s">
        <v>74</v>
      </c>
      <c r="AT71" s="36" t="s">
        <v>221</v>
      </c>
      <c r="AU71" s="36" t="s">
        <v>221</v>
      </c>
      <c r="AV71" s="36" t="s">
        <v>74</v>
      </c>
      <c r="AW71" s="29"/>
      <c r="AX71" s="36" t="s">
        <v>74</v>
      </c>
      <c r="AY71" s="36" t="s">
        <v>74</v>
      </c>
      <c r="AZ71" s="36" t="s">
        <v>74</v>
      </c>
      <c r="BA71" s="36" t="s">
        <v>74</v>
      </c>
      <c r="BB71" s="36" t="s">
        <v>74</v>
      </c>
      <c r="BC71" s="36" t="s">
        <v>74</v>
      </c>
      <c r="BD71" s="29"/>
      <c r="BE71" s="36" t="s">
        <v>74</v>
      </c>
      <c r="BF71" s="36" t="s">
        <v>74</v>
      </c>
      <c r="BG71" s="36" t="s">
        <v>74</v>
      </c>
      <c r="BH71" s="36" t="s">
        <v>74</v>
      </c>
      <c r="BI71" s="36" t="s">
        <v>74</v>
      </c>
      <c r="BJ71" s="36" t="s">
        <v>74</v>
      </c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</row>
    <row r="72" outlineLevel="1">
      <c r="A72" s="50">
        <v>69.0</v>
      </c>
      <c r="B72" s="67" t="s">
        <v>823</v>
      </c>
      <c r="C72" s="67" t="s">
        <v>824</v>
      </c>
      <c r="D72" s="33">
        <f t="shared" si="3"/>
        <v>39</v>
      </c>
      <c r="E72" s="33">
        <f t="shared" si="4"/>
        <v>9</v>
      </c>
      <c r="F72" s="33">
        <f t="shared" si="5"/>
        <v>48</v>
      </c>
      <c r="G72" s="54">
        <f t="shared" si="6"/>
        <v>81.25</v>
      </c>
      <c r="H72" s="36" t="s">
        <v>74</v>
      </c>
      <c r="I72" s="36" t="s">
        <v>74</v>
      </c>
      <c r="J72" s="36" t="s">
        <v>74</v>
      </c>
      <c r="K72" s="36" t="s">
        <v>74</v>
      </c>
      <c r="L72" s="36" t="s">
        <v>74</v>
      </c>
      <c r="M72" s="36" t="s">
        <v>74</v>
      </c>
      <c r="N72" s="29"/>
      <c r="O72" s="36" t="s">
        <v>221</v>
      </c>
      <c r="P72" s="36" t="s">
        <v>221</v>
      </c>
      <c r="Q72" s="36" t="s">
        <v>221</v>
      </c>
      <c r="R72" s="36" t="s">
        <v>221</v>
      </c>
      <c r="S72" s="36" t="s">
        <v>221</v>
      </c>
      <c r="T72" s="36" t="s">
        <v>74</v>
      </c>
      <c r="U72" s="29"/>
      <c r="V72" s="36" t="s">
        <v>221</v>
      </c>
      <c r="W72" s="36" t="s">
        <v>74</v>
      </c>
      <c r="X72" s="36" t="s">
        <v>74</v>
      </c>
      <c r="Y72" s="36" t="s">
        <v>221</v>
      </c>
      <c r="Z72" s="36" t="s">
        <v>221</v>
      </c>
      <c r="AA72" s="36" t="s">
        <v>221</v>
      </c>
      <c r="AB72" s="29"/>
      <c r="AC72" s="36" t="s">
        <v>221</v>
      </c>
      <c r="AD72" s="36" t="s">
        <v>221</v>
      </c>
      <c r="AE72" s="36" t="s">
        <v>221</v>
      </c>
      <c r="AF72" s="36" t="s">
        <v>221</v>
      </c>
      <c r="AG72" s="36" t="s">
        <v>221</v>
      </c>
      <c r="AH72" s="18" t="s">
        <v>221</v>
      </c>
      <c r="AI72" s="29"/>
      <c r="AJ72" s="18" t="s">
        <v>221</v>
      </c>
      <c r="AK72" s="18" t="s">
        <v>221</v>
      </c>
      <c r="AL72" s="18" t="s">
        <v>221</v>
      </c>
      <c r="AM72" s="18" t="s">
        <v>221</v>
      </c>
      <c r="AN72" s="18" t="s">
        <v>221</v>
      </c>
      <c r="AO72" s="36" t="s">
        <v>221</v>
      </c>
      <c r="AP72" s="29"/>
      <c r="AQ72" s="36" t="s">
        <v>221</v>
      </c>
      <c r="AR72" s="36" t="s">
        <v>221</v>
      </c>
      <c r="AS72" s="36" t="s">
        <v>221</v>
      </c>
      <c r="AT72" s="36" t="s">
        <v>221</v>
      </c>
      <c r="AU72" s="36" t="s">
        <v>221</v>
      </c>
      <c r="AV72" s="36" t="s">
        <v>221</v>
      </c>
      <c r="AW72" s="29"/>
      <c r="AX72" s="36" t="s">
        <v>221</v>
      </c>
      <c r="AY72" s="36" t="s">
        <v>221</v>
      </c>
      <c r="AZ72" s="36" t="s">
        <v>221</v>
      </c>
      <c r="BA72" s="36" t="s">
        <v>221</v>
      </c>
      <c r="BB72" s="36" t="s">
        <v>221</v>
      </c>
      <c r="BC72" s="36" t="s">
        <v>221</v>
      </c>
      <c r="BD72" s="29"/>
      <c r="BE72" s="36" t="s">
        <v>221</v>
      </c>
      <c r="BF72" s="36" t="s">
        <v>221</v>
      </c>
      <c r="BG72" s="36" t="s">
        <v>221</v>
      </c>
      <c r="BH72" s="36" t="s">
        <v>221</v>
      </c>
      <c r="BI72" s="36" t="s">
        <v>221</v>
      </c>
      <c r="BJ72" s="36" t="s">
        <v>221</v>
      </c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</row>
    <row r="73" outlineLevel="1">
      <c r="A73" s="50">
        <v>70.0</v>
      </c>
      <c r="B73" s="52" t="s">
        <v>252</v>
      </c>
      <c r="C73" s="57" t="s">
        <v>254</v>
      </c>
      <c r="D73" s="33">
        <f t="shared" si="3"/>
        <v>35</v>
      </c>
      <c r="E73" s="33">
        <f t="shared" si="4"/>
        <v>13</v>
      </c>
      <c r="F73" s="33">
        <f t="shared" si="5"/>
        <v>48</v>
      </c>
      <c r="G73" s="54">
        <f t="shared" si="6"/>
        <v>72.91666667</v>
      </c>
      <c r="H73" s="55" t="s">
        <v>221</v>
      </c>
      <c r="I73" s="55" t="s">
        <v>221</v>
      </c>
      <c r="J73" s="55" t="s">
        <v>221</v>
      </c>
      <c r="K73" s="55" t="s">
        <v>221</v>
      </c>
      <c r="L73" s="55" t="s">
        <v>221</v>
      </c>
      <c r="M73" s="55" t="s">
        <v>221</v>
      </c>
      <c r="N73" s="29"/>
      <c r="O73" s="55" t="s">
        <v>221</v>
      </c>
      <c r="P73" s="55" t="s">
        <v>221</v>
      </c>
      <c r="Q73" s="55" t="s">
        <v>221</v>
      </c>
      <c r="R73" s="55" t="s">
        <v>221</v>
      </c>
      <c r="S73" s="55" t="s">
        <v>221</v>
      </c>
      <c r="T73" s="50" t="s">
        <v>221</v>
      </c>
      <c r="U73" s="29"/>
      <c r="V73" s="50" t="s">
        <v>221</v>
      </c>
      <c r="W73" s="50" t="s">
        <v>221</v>
      </c>
      <c r="X73" s="50" t="s">
        <v>221</v>
      </c>
      <c r="Y73" s="50" t="s">
        <v>221</v>
      </c>
      <c r="Z73" s="50" t="s">
        <v>221</v>
      </c>
      <c r="AA73" s="50" t="s">
        <v>74</v>
      </c>
      <c r="AB73" s="29"/>
      <c r="AC73" s="50" t="s">
        <v>221</v>
      </c>
      <c r="AD73" s="50" t="s">
        <v>221</v>
      </c>
      <c r="AE73" s="55" t="s">
        <v>221</v>
      </c>
      <c r="AF73" s="55" t="s">
        <v>221</v>
      </c>
      <c r="AG73" s="55" t="s">
        <v>74</v>
      </c>
      <c r="AH73" s="50" t="s">
        <v>221</v>
      </c>
      <c r="AI73" s="29"/>
      <c r="AJ73" s="50" t="s">
        <v>221</v>
      </c>
      <c r="AK73" s="50" t="s">
        <v>221</v>
      </c>
      <c r="AL73" s="50" t="s">
        <v>221</v>
      </c>
      <c r="AM73" s="50" t="s">
        <v>221</v>
      </c>
      <c r="AN73" s="50" t="s">
        <v>221</v>
      </c>
      <c r="AO73" s="55" t="s">
        <v>221</v>
      </c>
      <c r="AP73" s="29"/>
      <c r="AQ73" s="55" t="s">
        <v>221</v>
      </c>
      <c r="AR73" s="55" t="s">
        <v>221</v>
      </c>
      <c r="AS73" s="55" t="s">
        <v>221</v>
      </c>
      <c r="AT73" s="55" t="s">
        <v>221</v>
      </c>
      <c r="AU73" s="55" t="s">
        <v>74</v>
      </c>
      <c r="AV73" s="55" t="s">
        <v>74</v>
      </c>
      <c r="AW73" s="29"/>
      <c r="AX73" s="55" t="s">
        <v>74</v>
      </c>
      <c r="AY73" s="55" t="s">
        <v>74</v>
      </c>
      <c r="AZ73" s="55" t="s">
        <v>221</v>
      </c>
      <c r="BA73" s="55" t="s">
        <v>221</v>
      </c>
      <c r="BB73" s="55" t="s">
        <v>74</v>
      </c>
      <c r="BC73" s="55" t="s">
        <v>221</v>
      </c>
      <c r="BD73" s="29"/>
      <c r="BE73" s="55" t="s">
        <v>74</v>
      </c>
      <c r="BF73" s="55" t="s">
        <v>74</v>
      </c>
      <c r="BG73" s="55" t="s">
        <v>74</v>
      </c>
      <c r="BH73" s="55" t="s">
        <v>74</v>
      </c>
      <c r="BI73" s="55" t="s">
        <v>74</v>
      </c>
      <c r="BJ73" s="55" t="s">
        <v>74</v>
      </c>
      <c r="BK73" s="59"/>
      <c r="BL73" s="59"/>
      <c r="BM73" s="59"/>
      <c r="BN73" s="59"/>
      <c r="BO73" s="59"/>
      <c r="BP73" s="59"/>
      <c r="BQ73" s="59"/>
      <c r="BR73" s="59"/>
      <c r="BS73" s="59"/>
      <c r="BT73" s="59"/>
      <c r="BU73" s="59"/>
      <c r="BV73" s="59"/>
    </row>
    <row r="74" outlineLevel="1">
      <c r="A74" s="50">
        <v>71.0</v>
      </c>
      <c r="B74" s="67" t="s">
        <v>830</v>
      </c>
      <c r="C74" s="67" t="s">
        <v>832</v>
      </c>
      <c r="D74" s="33">
        <f t="shared" si="3"/>
        <v>39</v>
      </c>
      <c r="E74" s="33">
        <f t="shared" si="4"/>
        <v>9</v>
      </c>
      <c r="F74" s="33">
        <f t="shared" si="5"/>
        <v>48</v>
      </c>
      <c r="G74" s="54">
        <f t="shared" si="6"/>
        <v>81.25</v>
      </c>
      <c r="H74" s="36" t="s">
        <v>74</v>
      </c>
      <c r="I74" s="36" t="s">
        <v>74</v>
      </c>
      <c r="J74" s="36" t="s">
        <v>74</v>
      </c>
      <c r="K74" s="36" t="s">
        <v>74</v>
      </c>
      <c r="L74" s="36" t="s">
        <v>74</v>
      </c>
      <c r="M74" s="36" t="s">
        <v>74</v>
      </c>
      <c r="N74" s="29"/>
      <c r="O74" s="36" t="s">
        <v>74</v>
      </c>
      <c r="P74" s="36" t="s">
        <v>221</v>
      </c>
      <c r="Q74" s="36" t="s">
        <v>221</v>
      </c>
      <c r="R74" s="36" t="s">
        <v>221</v>
      </c>
      <c r="S74" s="36" t="s">
        <v>221</v>
      </c>
      <c r="T74" s="36" t="s">
        <v>221</v>
      </c>
      <c r="U74" s="29"/>
      <c r="V74" s="36" t="s">
        <v>221</v>
      </c>
      <c r="W74" s="36" t="s">
        <v>221</v>
      </c>
      <c r="X74" s="36" t="s">
        <v>221</v>
      </c>
      <c r="Y74" s="36" t="s">
        <v>221</v>
      </c>
      <c r="Z74" s="36" t="s">
        <v>221</v>
      </c>
      <c r="AA74" s="36" t="s">
        <v>221</v>
      </c>
      <c r="AB74" s="29"/>
      <c r="AC74" s="36" t="s">
        <v>221</v>
      </c>
      <c r="AD74" s="36" t="s">
        <v>221</v>
      </c>
      <c r="AE74" s="36" t="s">
        <v>221</v>
      </c>
      <c r="AF74" s="36" t="s">
        <v>221</v>
      </c>
      <c r="AG74" s="36" t="s">
        <v>221</v>
      </c>
      <c r="AH74" s="18" t="s">
        <v>221</v>
      </c>
      <c r="AI74" s="29"/>
      <c r="AJ74" s="18" t="s">
        <v>221</v>
      </c>
      <c r="AK74" s="18" t="s">
        <v>221</v>
      </c>
      <c r="AL74" s="18" t="s">
        <v>221</v>
      </c>
      <c r="AM74" s="18" t="s">
        <v>221</v>
      </c>
      <c r="AN74" s="18" t="s">
        <v>221</v>
      </c>
      <c r="AO74" s="36" t="s">
        <v>221</v>
      </c>
      <c r="AP74" s="29"/>
      <c r="AQ74" s="36" t="s">
        <v>221</v>
      </c>
      <c r="AR74" s="36" t="s">
        <v>221</v>
      </c>
      <c r="AS74" s="36" t="s">
        <v>74</v>
      </c>
      <c r="AT74" s="36" t="s">
        <v>221</v>
      </c>
      <c r="AU74" s="36" t="s">
        <v>221</v>
      </c>
      <c r="AV74" s="36" t="s">
        <v>74</v>
      </c>
      <c r="AW74" s="29"/>
      <c r="AX74" s="36" t="s">
        <v>221</v>
      </c>
      <c r="AY74" s="36" t="s">
        <v>221</v>
      </c>
      <c r="AZ74" s="36" t="s">
        <v>221</v>
      </c>
      <c r="BA74" s="36" t="s">
        <v>221</v>
      </c>
      <c r="BB74" s="36" t="s">
        <v>221</v>
      </c>
      <c r="BC74" s="36" t="s">
        <v>221</v>
      </c>
      <c r="BD74" s="29"/>
      <c r="BE74" s="36" t="s">
        <v>221</v>
      </c>
      <c r="BF74" s="36" t="s">
        <v>221</v>
      </c>
      <c r="BG74" s="36" t="s">
        <v>221</v>
      </c>
      <c r="BH74" s="36" t="s">
        <v>221</v>
      </c>
      <c r="BI74" s="36" t="s">
        <v>221</v>
      </c>
      <c r="BJ74" s="36" t="s">
        <v>221</v>
      </c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</row>
    <row r="75" outlineLevel="1">
      <c r="A75" s="50">
        <v>72.0</v>
      </c>
      <c r="B75" s="34" t="s">
        <v>466</v>
      </c>
      <c r="C75" s="46" t="s">
        <v>468</v>
      </c>
      <c r="D75" s="33">
        <f t="shared" si="3"/>
        <v>31</v>
      </c>
      <c r="E75" s="33">
        <f t="shared" si="4"/>
        <v>17</v>
      </c>
      <c r="F75" s="33">
        <f t="shared" si="5"/>
        <v>48</v>
      </c>
      <c r="G75" s="54">
        <f t="shared" si="6"/>
        <v>64.58333333</v>
      </c>
      <c r="H75" s="55" t="s">
        <v>221</v>
      </c>
      <c r="I75" s="55" t="s">
        <v>221</v>
      </c>
      <c r="J75" s="55" t="s">
        <v>221</v>
      </c>
      <c r="K75" s="55" t="s">
        <v>221</v>
      </c>
      <c r="L75" s="55" t="s">
        <v>221</v>
      </c>
      <c r="M75" s="55" t="s">
        <v>221</v>
      </c>
      <c r="N75" s="29"/>
      <c r="O75" s="55" t="s">
        <v>221</v>
      </c>
      <c r="P75" s="55" t="s">
        <v>221</v>
      </c>
      <c r="Q75" s="55" t="s">
        <v>221</v>
      </c>
      <c r="R75" s="55" t="s">
        <v>221</v>
      </c>
      <c r="S75" s="55" t="s">
        <v>221</v>
      </c>
      <c r="T75" s="50" t="s">
        <v>221</v>
      </c>
      <c r="U75" s="29"/>
      <c r="V75" s="50" t="s">
        <v>221</v>
      </c>
      <c r="W75" s="50" t="s">
        <v>74</v>
      </c>
      <c r="X75" s="50" t="s">
        <v>221</v>
      </c>
      <c r="Y75" s="50" t="s">
        <v>74</v>
      </c>
      <c r="Z75" s="50" t="s">
        <v>221</v>
      </c>
      <c r="AA75" s="50" t="s">
        <v>74</v>
      </c>
      <c r="AB75" s="29"/>
      <c r="AC75" s="50" t="s">
        <v>221</v>
      </c>
      <c r="AD75" s="50" t="s">
        <v>221</v>
      </c>
      <c r="AE75" s="55" t="s">
        <v>74</v>
      </c>
      <c r="AF75" s="55" t="s">
        <v>74</v>
      </c>
      <c r="AG75" s="55" t="s">
        <v>221</v>
      </c>
      <c r="AH75" s="50" t="s">
        <v>221</v>
      </c>
      <c r="AI75" s="29"/>
      <c r="AJ75" s="50" t="s">
        <v>74</v>
      </c>
      <c r="AK75" s="50" t="s">
        <v>221</v>
      </c>
      <c r="AL75" s="50" t="s">
        <v>221</v>
      </c>
      <c r="AM75" s="50" t="s">
        <v>74</v>
      </c>
      <c r="AN75" s="50" t="s">
        <v>221</v>
      </c>
      <c r="AO75" s="55" t="s">
        <v>74</v>
      </c>
      <c r="AP75" s="29"/>
      <c r="AQ75" s="55" t="s">
        <v>74</v>
      </c>
      <c r="AR75" s="55" t="s">
        <v>74</v>
      </c>
      <c r="AS75" s="55" t="s">
        <v>74</v>
      </c>
      <c r="AT75" s="55" t="s">
        <v>221</v>
      </c>
      <c r="AU75" s="55" t="s">
        <v>221</v>
      </c>
      <c r="AV75" s="55" t="s">
        <v>74</v>
      </c>
      <c r="AW75" s="29"/>
      <c r="AX75" s="55" t="s">
        <v>221</v>
      </c>
      <c r="AY75" s="55" t="s">
        <v>221</v>
      </c>
      <c r="AZ75" s="55" t="s">
        <v>221</v>
      </c>
      <c r="BA75" s="55" t="s">
        <v>221</v>
      </c>
      <c r="BB75" s="55" t="s">
        <v>74</v>
      </c>
      <c r="BC75" s="55" t="s">
        <v>74</v>
      </c>
      <c r="BD75" s="29"/>
      <c r="BE75" s="55" t="s">
        <v>74</v>
      </c>
      <c r="BF75" s="55" t="s">
        <v>221</v>
      </c>
      <c r="BG75" s="55" t="s">
        <v>74</v>
      </c>
      <c r="BH75" s="55" t="s">
        <v>221</v>
      </c>
      <c r="BI75" s="55" t="s">
        <v>221</v>
      </c>
      <c r="BJ75" s="55" t="s">
        <v>74</v>
      </c>
      <c r="BK75" s="59"/>
      <c r="BL75" s="59"/>
      <c r="BM75" s="59"/>
      <c r="BN75" s="59"/>
      <c r="BO75" s="59"/>
      <c r="BP75" s="59"/>
      <c r="BQ75" s="59"/>
      <c r="BR75" s="59"/>
      <c r="BS75" s="59"/>
      <c r="BT75" s="59"/>
      <c r="BU75" s="59"/>
      <c r="BV75" s="59"/>
    </row>
    <row r="76" outlineLevel="1">
      <c r="A76" s="50">
        <v>73.0</v>
      </c>
      <c r="B76" s="34" t="s">
        <v>692</v>
      </c>
      <c r="C76" s="46" t="s">
        <v>694</v>
      </c>
      <c r="D76" s="33">
        <f t="shared" si="3"/>
        <v>3</v>
      </c>
      <c r="E76" s="33">
        <f t="shared" si="4"/>
        <v>45</v>
      </c>
      <c r="F76" s="33">
        <f t="shared" si="5"/>
        <v>48</v>
      </c>
      <c r="G76" s="54">
        <f t="shared" si="6"/>
        <v>6.25</v>
      </c>
      <c r="H76" s="55" t="s">
        <v>74</v>
      </c>
      <c r="I76" s="55" t="s">
        <v>74</v>
      </c>
      <c r="J76" s="55" t="s">
        <v>74</v>
      </c>
      <c r="K76" s="55" t="s">
        <v>74</v>
      </c>
      <c r="L76" s="55" t="s">
        <v>74</v>
      </c>
      <c r="M76" s="55" t="s">
        <v>74</v>
      </c>
      <c r="N76" s="29"/>
      <c r="O76" s="55" t="s">
        <v>74</v>
      </c>
      <c r="P76" s="55" t="s">
        <v>221</v>
      </c>
      <c r="Q76" s="55" t="s">
        <v>74</v>
      </c>
      <c r="R76" s="55" t="s">
        <v>74</v>
      </c>
      <c r="S76" s="55" t="s">
        <v>221</v>
      </c>
      <c r="T76" s="50" t="s">
        <v>74</v>
      </c>
      <c r="U76" s="29"/>
      <c r="V76" s="50" t="s">
        <v>74</v>
      </c>
      <c r="W76" s="50" t="s">
        <v>74</v>
      </c>
      <c r="X76" s="50" t="s">
        <v>74</v>
      </c>
      <c r="Y76" s="50" t="s">
        <v>74</v>
      </c>
      <c r="Z76" s="50" t="s">
        <v>74</v>
      </c>
      <c r="AA76" s="50" t="s">
        <v>74</v>
      </c>
      <c r="AB76" s="29"/>
      <c r="AC76" s="50" t="s">
        <v>74</v>
      </c>
      <c r="AD76" s="50" t="s">
        <v>74</v>
      </c>
      <c r="AE76" s="55" t="s">
        <v>771</v>
      </c>
      <c r="AF76" s="55" t="s">
        <v>74</v>
      </c>
      <c r="AG76" s="55" t="s">
        <v>74</v>
      </c>
      <c r="AH76" s="50" t="s">
        <v>74</v>
      </c>
      <c r="AI76" s="29"/>
      <c r="AJ76" s="50" t="s">
        <v>74</v>
      </c>
      <c r="AK76" s="50" t="s">
        <v>74</v>
      </c>
      <c r="AL76" s="50" t="s">
        <v>74</v>
      </c>
      <c r="AM76" s="50" t="s">
        <v>74</v>
      </c>
      <c r="AN76" s="50" t="s">
        <v>74</v>
      </c>
      <c r="AO76" s="55" t="s">
        <v>74</v>
      </c>
      <c r="AP76" s="29"/>
      <c r="AQ76" s="55" t="s">
        <v>74</v>
      </c>
      <c r="AR76" s="55" t="s">
        <v>74</v>
      </c>
      <c r="AS76" s="55" t="s">
        <v>74</v>
      </c>
      <c r="AT76" s="55" t="s">
        <v>74</v>
      </c>
      <c r="AU76" s="55" t="s">
        <v>74</v>
      </c>
      <c r="AV76" s="55" t="s">
        <v>74</v>
      </c>
      <c r="AW76" s="29"/>
      <c r="AX76" s="55" t="s">
        <v>74</v>
      </c>
      <c r="AY76" s="55" t="s">
        <v>74</v>
      </c>
      <c r="AZ76" s="55" t="s">
        <v>74</v>
      </c>
      <c r="BA76" s="55" t="s">
        <v>74</v>
      </c>
      <c r="BB76" s="55" t="s">
        <v>74</v>
      </c>
      <c r="BC76" s="55" t="s">
        <v>74</v>
      </c>
      <c r="BD76" s="29"/>
      <c r="BE76" s="55" t="s">
        <v>74</v>
      </c>
      <c r="BF76" s="55" t="s">
        <v>74</v>
      </c>
      <c r="BG76" s="55" t="s">
        <v>74</v>
      </c>
      <c r="BH76" s="55" t="s">
        <v>74</v>
      </c>
      <c r="BI76" s="55" t="s">
        <v>74</v>
      </c>
      <c r="BJ76" s="55" t="s">
        <v>74</v>
      </c>
      <c r="BK76" s="59"/>
      <c r="BL76" s="59"/>
      <c r="BM76" s="59"/>
      <c r="BN76" s="59"/>
      <c r="BO76" s="59"/>
      <c r="BP76" s="59"/>
      <c r="BQ76" s="59"/>
      <c r="BR76" s="59"/>
      <c r="BS76" s="59"/>
      <c r="BT76" s="59"/>
      <c r="BU76" s="59"/>
      <c r="BV76" s="59"/>
    </row>
    <row r="77" outlineLevel="1">
      <c r="A77" s="50">
        <v>74.0</v>
      </c>
      <c r="B77" s="34" t="s">
        <v>454</v>
      </c>
      <c r="C77" s="46" t="s">
        <v>456</v>
      </c>
      <c r="D77" s="33">
        <f t="shared" si="3"/>
        <v>36</v>
      </c>
      <c r="E77" s="33">
        <f t="shared" si="4"/>
        <v>12</v>
      </c>
      <c r="F77" s="33">
        <f t="shared" si="5"/>
        <v>48</v>
      </c>
      <c r="G77" s="54">
        <f t="shared" si="6"/>
        <v>75</v>
      </c>
      <c r="H77" s="55" t="s">
        <v>74</v>
      </c>
      <c r="I77" s="55" t="s">
        <v>221</v>
      </c>
      <c r="J77" s="55" t="s">
        <v>221</v>
      </c>
      <c r="K77" s="55" t="s">
        <v>221</v>
      </c>
      <c r="L77" s="55" t="s">
        <v>221</v>
      </c>
      <c r="M77" s="55" t="s">
        <v>74</v>
      </c>
      <c r="N77" s="29"/>
      <c r="O77" s="55" t="s">
        <v>74</v>
      </c>
      <c r="P77" s="55" t="s">
        <v>221</v>
      </c>
      <c r="Q77" s="55" t="s">
        <v>221</v>
      </c>
      <c r="R77" s="55" t="s">
        <v>221</v>
      </c>
      <c r="S77" s="55" t="s">
        <v>221</v>
      </c>
      <c r="T77" s="50" t="s">
        <v>221</v>
      </c>
      <c r="U77" s="29"/>
      <c r="V77" s="50" t="s">
        <v>221</v>
      </c>
      <c r="W77" s="50" t="s">
        <v>74</v>
      </c>
      <c r="X77" s="50" t="s">
        <v>221</v>
      </c>
      <c r="Y77" s="50" t="s">
        <v>221</v>
      </c>
      <c r="Z77" s="50" t="s">
        <v>221</v>
      </c>
      <c r="AA77" s="50" t="s">
        <v>74</v>
      </c>
      <c r="AB77" s="29"/>
      <c r="AC77" s="50" t="s">
        <v>74</v>
      </c>
      <c r="AD77" s="50" t="s">
        <v>221</v>
      </c>
      <c r="AE77" s="55" t="s">
        <v>221</v>
      </c>
      <c r="AF77" s="55" t="s">
        <v>74</v>
      </c>
      <c r="AG77" s="55" t="s">
        <v>221</v>
      </c>
      <c r="AH77" s="50" t="s">
        <v>221</v>
      </c>
      <c r="AI77" s="29"/>
      <c r="AJ77" s="50" t="s">
        <v>221</v>
      </c>
      <c r="AK77" s="50" t="s">
        <v>221</v>
      </c>
      <c r="AL77" s="50" t="s">
        <v>221</v>
      </c>
      <c r="AM77" s="50" t="s">
        <v>74</v>
      </c>
      <c r="AN77" s="50" t="s">
        <v>221</v>
      </c>
      <c r="AO77" s="55" t="s">
        <v>221</v>
      </c>
      <c r="AP77" s="29"/>
      <c r="AQ77" s="55" t="s">
        <v>221</v>
      </c>
      <c r="AR77" s="55" t="s">
        <v>221</v>
      </c>
      <c r="AS77" s="55" t="s">
        <v>221</v>
      </c>
      <c r="AT77" s="55" t="s">
        <v>221</v>
      </c>
      <c r="AU77" s="55" t="s">
        <v>221</v>
      </c>
      <c r="AV77" s="55" t="s">
        <v>221</v>
      </c>
      <c r="AW77" s="29"/>
      <c r="AX77" s="55" t="s">
        <v>221</v>
      </c>
      <c r="AY77" s="55" t="s">
        <v>221</v>
      </c>
      <c r="AZ77" s="55" t="s">
        <v>74</v>
      </c>
      <c r="BA77" s="55" t="s">
        <v>221</v>
      </c>
      <c r="BB77" s="55" t="s">
        <v>221</v>
      </c>
      <c r="BC77" s="55" t="s">
        <v>221</v>
      </c>
      <c r="BD77" s="29"/>
      <c r="BE77" s="55" t="s">
        <v>74</v>
      </c>
      <c r="BF77" s="55" t="s">
        <v>221</v>
      </c>
      <c r="BG77" s="55" t="s">
        <v>221</v>
      </c>
      <c r="BH77" s="55" t="s">
        <v>221</v>
      </c>
      <c r="BI77" s="55" t="s">
        <v>74</v>
      </c>
      <c r="BJ77" s="55" t="s">
        <v>74</v>
      </c>
      <c r="BK77" s="59"/>
      <c r="BL77" s="59"/>
      <c r="BM77" s="59"/>
      <c r="BN77" s="59"/>
      <c r="BO77" s="59"/>
      <c r="BP77" s="59"/>
      <c r="BQ77" s="59"/>
      <c r="BR77" s="59"/>
      <c r="BS77" s="59"/>
      <c r="BT77" s="59"/>
      <c r="BU77" s="59"/>
      <c r="BV77" s="59"/>
    </row>
    <row r="78">
      <c r="A78" s="50">
        <v>75.0</v>
      </c>
      <c r="B78" s="34" t="s">
        <v>573</v>
      </c>
      <c r="C78" s="46" t="s">
        <v>575</v>
      </c>
      <c r="D78" s="33">
        <f t="shared" si="3"/>
        <v>28</v>
      </c>
      <c r="E78" s="33">
        <f t="shared" si="4"/>
        <v>20</v>
      </c>
      <c r="F78" s="33">
        <f t="shared" si="5"/>
        <v>48</v>
      </c>
      <c r="G78" s="54">
        <f t="shared" si="6"/>
        <v>58.33333333</v>
      </c>
      <c r="H78" s="55" t="s">
        <v>221</v>
      </c>
      <c r="I78" s="55" t="s">
        <v>221</v>
      </c>
      <c r="J78" s="55" t="s">
        <v>221</v>
      </c>
      <c r="K78" s="55" t="s">
        <v>221</v>
      </c>
      <c r="L78" s="55" t="s">
        <v>221</v>
      </c>
      <c r="M78" s="55" t="s">
        <v>221</v>
      </c>
      <c r="N78" s="29"/>
      <c r="O78" s="55" t="s">
        <v>221</v>
      </c>
      <c r="P78" s="55" t="s">
        <v>221</v>
      </c>
      <c r="Q78" s="55" t="s">
        <v>221</v>
      </c>
      <c r="R78" s="55" t="s">
        <v>221</v>
      </c>
      <c r="S78" s="55" t="s">
        <v>221</v>
      </c>
      <c r="T78" s="50" t="s">
        <v>221</v>
      </c>
      <c r="U78" s="29"/>
      <c r="V78" s="50" t="s">
        <v>221</v>
      </c>
      <c r="W78" s="50" t="s">
        <v>221</v>
      </c>
      <c r="X78" s="50" t="s">
        <v>221</v>
      </c>
      <c r="Y78" s="50" t="s">
        <v>221</v>
      </c>
      <c r="Z78" s="50" t="s">
        <v>74</v>
      </c>
      <c r="AA78" s="50" t="s">
        <v>74</v>
      </c>
      <c r="AB78" s="29"/>
      <c r="AC78" s="50" t="s">
        <v>74</v>
      </c>
      <c r="AD78" s="50" t="s">
        <v>221</v>
      </c>
      <c r="AE78" s="55" t="s">
        <v>74</v>
      </c>
      <c r="AF78" s="55" t="s">
        <v>74</v>
      </c>
      <c r="AG78" s="55" t="s">
        <v>74</v>
      </c>
      <c r="AH78" s="50" t="s">
        <v>221</v>
      </c>
      <c r="AI78" s="29"/>
      <c r="AJ78" s="50" t="s">
        <v>74</v>
      </c>
      <c r="AK78" s="50" t="s">
        <v>74</v>
      </c>
      <c r="AL78" s="50" t="s">
        <v>74</v>
      </c>
      <c r="AM78" s="50" t="s">
        <v>74</v>
      </c>
      <c r="AN78" s="50" t="s">
        <v>74</v>
      </c>
      <c r="AO78" s="55" t="s">
        <v>74</v>
      </c>
      <c r="AP78" s="29"/>
      <c r="AQ78" s="55" t="s">
        <v>221</v>
      </c>
      <c r="AR78" s="55" t="s">
        <v>74</v>
      </c>
      <c r="AS78" s="55" t="s">
        <v>221</v>
      </c>
      <c r="AT78" s="55" t="s">
        <v>74</v>
      </c>
      <c r="AU78" s="55" t="s">
        <v>74</v>
      </c>
      <c r="AV78" s="55" t="s">
        <v>74</v>
      </c>
      <c r="AW78" s="29"/>
      <c r="AX78" s="55" t="s">
        <v>221</v>
      </c>
      <c r="AY78" s="55" t="s">
        <v>221</v>
      </c>
      <c r="AZ78" s="55" t="s">
        <v>74</v>
      </c>
      <c r="BA78" s="55" t="s">
        <v>221</v>
      </c>
      <c r="BB78" s="55" t="s">
        <v>221</v>
      </c>
      <c r="BC78" s="55" t="s">
        <v>221</v>
      </c>
      <c r="BD78" s="29"/>
      <c r="BE78" s="55" t="s">
        <v>74</v>
      </c>
      <c r="BF78" s="55" t="s">
        <v>221</v>
      </c>
      <c r="BG78" s="55" t="s">
        <v>74</v>
      </c>
      <c r="BH78" s="55" t="s">
        <v>221</v>
      </c>
      <c r="BI78" s="55" t="s">
        <v>74</v>
      </c>
      <c r="BJ78" s="55" t="s">
        <v>221</v>
      </c>
      <c r="BK78" s="59"/>
      <c r="BL78" s="59"/>
      <c r="BM78" s="59"/>
      <c r="BN78" s="59"/>
      <c r="BO78" s="59"/>
      <c r="BP78" s="59"/>
      <c r="BQ78" s="59"/>
      <c r="BR78" s="59"/>
      <c r="BS78" s="59"/>
      <c r="BT78" s="59"/>
      <c r="BU78" s="59"/>
      <c r="BV78" s="59"/>
    </row>
    <row r="79">
      <c r="A79" s="50">
        <v>76.0</v>
      </c>
      <c r="B79" s="34" t="s">
        <v>731</v>
      </c>
      <c r="C79" s="46" t="s">
        <v>732</v>
      </c>
      <c r="D79" s="33">
        <f t="shared" si="3"/>
        <v>45</v>
      </c>
      <c r="E79" s="33">
        <f t="shared" si="4"/>
        <v>3</v>
      </c>
      <c r="F79" s="33">
        <f t="shared" si="5"/>
        <v>48</v>
      </c>
      <c r="G79" s="54">
        <f t="shared" si="6"/>
        <v>93.75</v>
      </c>
      <c r="H79" s="55" t="s">
        <v>221</v>
      </c>
      <c r="I79" s="55" t="s">
        <v>74</v>
      </c>
      <c r="J79" s="55" t="s">
        <v>74</v>
      </c>
      <c r="K79" s="55" t="s">
        <v>221</v>
      </c>
      <c r="L79" s="55" t="s">
        <v>221</v>
      </c>
      <c r="M79" s="55" t="s">
        <v>221</v>
      </c>
      <c r="N79" s="29"/>
      <c r="O79" s="55" t="s">
        <v>221</v>
      </c>
      <c r="P79" s="55" t="s">
        <v>221</v>
      </c>
      <c r="Q79" s="55" t="s">
        <v>221</v>
      </c>
      <c r="R79" s="55" t="s">
        <v>221</v>
      </c>
      <c r="S79" s="55" t="s">
        <v>221</v>
      </c>
      <c r="T79" s="50" t="s">
        <v>221</v>
      </c>
      <c r="U79" s="29"/>
      <c r="V79" s="50" t="s">
        <v>221</v>
      </c>
      <c r="W79" s="50" t="s">
        <v>74</v>
      </c>
      <c r="X79" s="50" t="s">
        <v>221</v>
      </c>
      <c r="Y79" s="50" t="s">
        <v>221</v>
      </c>
      <c r="Z79" s="50" t="s">
        <v>221</v>
      </c>
      <c r="AA79" s="50" t="s">
        <v>221</v>
      </c>
      <c r="AB79" s="29"/>
      <c r="AC79" s="50" t="s">
        <v>221</v>
      </c>
      <c r="AD79" s="50" t="s">
        <v>221</v>
      </c>
      <c r="AE79" s="55" t="s">
        <v>221</v>
      </c>
      <c r="AF79" s="55" t="s">
        <v>221</v>
      </c>
      <c r="AG79" s="55" t="s">
        <v>221</v>
      </c>
      <c r="AH79" s="50" t="s">
        <v>221</v>
      </c>
      <c r="AI79" s="29"/>
      <c r="AJ79" s="50" t="s">
        <v>221</v>
      </c>
      <c r="AK79" s="50" t="s">
        <v>221</v>
      </c>
      <c r="AL79" s="50" t="s">
        <v>221</v>
      </c>
      <c r="AM79" s="50" t="s">
        <v>221</v>
      </c>
      <c r="AN79" s="50" t="s">
        <v>221</v>
      </c>
      <c r="AO79" s="55" t="s">
        <v>221</v>
      </c>
      <c r="AP79" s="29"/>
      <c r="AQ79" s="55" t="s">
        <v>221</v>
      </c>
      <c r="AR79" s="55" t="s">
        <v>221</v>
      </c>
      <c r="AS79" s="55" t="s">
        <v>221</v>
      </c>
      <c r="AT79" s="55" t="s">
        <v>221</v>
      </c>
      <c r="AU79" s="55" t="s">
        <v>221</v>
      </c>
      <c r="AV79" s="55" t="s">
        <v>221</v>
      </c>
      <c r="AW79" s="29"/>
      <c r="AX79" s="55" t="s">
        <v>221</v>
      </c>
      <c r="AY79" s="55" t="s">
        <v>221</v>
      </c>
      <c r="AZ79" s="55" t="s">
        <v>221</v>
      </c>
      <c r="BA79" s="55" t="s">
        <v>221</v>
      </c>
      <c r="BB79" s="55" t="s">
        <v>221</v>
      </c>
      <c r="BC79" s="55" t="s">
        <v>221</v>
      </c>
      <c r="BD79" s="29"/>
      <c r="BE79" s="55" t="s">
        <v>221</v>
      </c>
      <c r="BF79" s="55" t="s">
        <v>221</v>
      </c>
      <c r="BG79" s="55" t="s">
        <v>221</v>
      </c>
      <c r="BH79" s="55" t="s">
        <v>221</v>
      </c>
      <c r="BI79" s="55" t="s">
        <v>221</v>
      </c>
      <c r="BJ79" s="55" t="s">
        <v>221</v>
      </c>
      <c r="BK79" s="59"/>
      <c r="BL79" s="59"/>
      <c r="BM79" s="59"/>
      <c r="BN79" s="59"/>
      <c r="BO79" s="59"/>
      <c r="BP79" s="59"/>
      <c r="BQ79" s="59"/>
      <c r="BR79" s="59"/>
      <c r="BS79" s="59"/>
      <c r="BT79" s="59"/>
      <c r="BU79" s="59"/>
      <c r="BV79" s="59"/>
    </row>
    <row r="80">
      <c r="A80" s="50">
        <v>77.0</v>
      </c>
      <c r="B80" s="34" t="s">
        <v>630</v>
      </c>
      <c r="C80" s="46" t="s">
        <v>631</v>
      </c>
      <c r="D80" s="33">
        <f t="shared" si="3"/>
        <v>40</v>
      </c>
      <c r="E80" s="33">
        <f t="shared" si="4"/>
        <v>8</v>
      </c>
      <c r="F80" s="33">
        <f t="shared" si="5"/>
        <v>48</v>
      </c>
      <c r="G80" s="54">
        <f t="shared" si="6"/>
        <v>83.33333333</v>
      </c>
      <c r="H80" s="55" t="s">
        <v>221</v>
      </c>
      <c r="I80" s="55" t="s">
        <v>74</v>
      </c>
      <c r="J80" s="55" t="s">
        <v>74</v>
      </c>
      <c r="K80" s="55" t="s">
        <v>74</v>
      </c>
      <c r="L80" s="55" t="s">
        <v>221</v>
      </c>
      <c r="M80" s="55" t="s">
        <v>221</v>
      </c>
      <c r="N80" s="43"/>
      <c r="O80" s="55" t="s">
        <v>221</v>
      </c>
      <c r="P80" s="55" t="s">
        <v>221</v>
      </c>
      <c r="Q80" s="55" t="s">
        <v>221</v>
      </c>
      <c r="R80" s="55" t="s">
        <v>221</v>
      </c>
      <c r="S80" s="55" t="s">
        <v>221</v>
      </c>
      <c r="T80" s="50" t="s">
        <v>221</v>
      </c>
      <c r="U80" s="43"/>
      <c r="V80" s="50" t="s">
        <v>221</v>
      </c>
      <c r="W80" s="50" t="s">
        <v>221</v>
      </c>
      <c r="X80" s="50" t="s">
        <v>221</v>
      </c>
      <c r="Y80" s="50" t="s">
        <v>221</v>
      </c>
      <c r="Z80" s="50" t="s">
        <v>221</v>
      </c>
      <c r="AA80" s="50" t="s">
        <v>221</v>
      </c>
      <c r="AB80" s="43"/>
      <c r="AC80" s="50" t="s">
        <v>221</v>
      </c>
      <c r="AD80" s="50" t="s">
        <v>221</v>
      </c>
      <c r="AE80" s="55" t="s">
        <v>221</v>
      </c>
      <c r="AF80" s="55" t="s">
        <v>221</v>
      </c>
      <c r="AG80" s="55" t="s">
        <v>221</v>
      </c>
      <c r="AH80" s="50" t="s">
        <v>221</v>
      </c>
      <c r="AI80" s="43"/>
      <c r="AJ80" s="50" t="s">
        <v>221</v>
      </c>
      <c r="AK80" s="50" t="s">
        <v>221</v>
      </c>
      <c r="AL80" s="50" t="s">
        <v>221</v>
      </c>
      <c r="AM80" s="50" t="s">
        <v>221</v>
      </c>
      <c r="AN80" s="50" t="s">
        <v>221</v>
      </c>
      <c r="AO80" s="55" t="s">
        <v>221</v>
      </c>
      <c r="AP80" s="43"/>
      <c r="AQ80" s="55" t="s">
        <v>221</v>
      </c>
      <c r="AR80" s="55" t="s">
        <v>74</v>
      </c>
      <c r="AS80" s="55" t="s">
        <v>74</v>
      </c>
      <c r="AT80" s="55" t="s">
        <v>221</v>
      </c>
      <c r="AU80" s="55" t="s">
        <v>221</v>
      </c>
      <c r="AV80" s="55" t="s">
        <v>221</v>
      </c>
      <c r="AW80" s="29"/>
      <c r="AX80" s="55" t="s">
        <v>221</v>
      </c>
      <c r="AY80" s="55" t="s">
        <v>221</v>
      </c>
      <c r="AZ80" s="55" t="s">
        <v>74</v>
      </c>
      <c r="BA80" s="55" t="s">
        <v>221</v>
      </c>
      <c r="BB80" s="55" t="s">
        <v>74</v>
      </c>
      <c r="BC80" s="55" t="s">
        <v>221</v>
      </c>
      <c r="BD80" s="29"/>
      <c r="BE80" s="55" t="s">
        <v>221</v>
      </c>
      <c r="BF80" s="55" t="s">
        <v>221</v>
      </c>
      <c r="BG80" s="55" t="s">
        <v>221</v>
      </c>
      <c r="BH80" s="55" t="s">
        <v>221</v>
      </c>
      <c r="BI80" s="55" t="s">
        <v>221</v>
      </c>
      <c r="BJ80" s="55" t="s">
        <v>74</v>
      </c>
      <c r="BK80" s="59"/>
      <c r="BL80" s="59"/>
      <c r="BM80" s="59"/>
      <c r="BN80" s="59"/>
      <c r="BO80" s="59"/>
      <c r="BP80" s="59"/>
      <c r="BQ80" s="59"/>
      <c r="BR80" s="59"/>
      <c r="BS80" s="59"/>
      <c r="BT80" s="59"/>
      <c r="BU80" s="59"/>
      <c r="BV80" s="59"/>
    </row>
    <row r="81">
      <c r="A81" s="89"/>
      <c r="B81" s="89"/>
      <c r="C81" s="90"/>
      <c r="D81" s="91"/>
      <c r="E81" s="91"/>
      <c r="F81" s="91"/>
      <c r="G81" s="91"/>
      <c r="H81" s="92"/>
      <c r="I81" s="92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91"/>
      <c r="AH81" s="93"/>
      <c r="AI81" s="91"/>
      <c r="AJ81" s="93"/>
      <c r="AK81" s="93"/>
      <c r="AL81" s="93"/>
      <c r="AM81" s="93"/>
      <c r="AN81" s="93"/>
      <c r="AO81" s="91"/>
      <c r="AP81" s="93"/>
      <c r="AQ81" s="91"/>
      <c r="AR81" s="91"/>
      <c r="AS81" s="91"/>
      <c r="AT81" s="91"/>
      <c r="AU81" s="91"/>
      <c r="AV81" s="91"/>
      <c r="AW81" s="43"/>
      <c r="AX81" s="91"/>
      <c r="AY81" s="91"/>
      <c r="AZ81" s="91"/>
      <c r="BA81" s="91"/>
      <c r="BB81" s="91"/>
      <c r="BC81" s="91"/>
      <c r="BD81" s="29"/>
      <c r="BE81" s="91"/>
      <c r="BF81" s="91"/>
      <c r="BG81" s="91"/>
      <c r="BH81" s="91"/>
      <c r="BI81" s="91"/>
      <c r="BJ81" s="91"/>
      <c r="BK81" s="91"/>
      <c r="BL81" s="91"/>
      <c r="BM81" s="91"/>
      <c r="BN81" s="91"/>
      <c r="BO81" s="91"/>
      <c r="BP81" s="91"/>
      <c r="BQ81" s="91"/>
      <c r="BR81" s="91"/>
      <c r="BS81" s="91"/>
      <c r="BT81" s="91"/>
      <c r="BU81" s="91"/>
      <c r="BV81" s="91"/>
    </row>
    <row r="82">
      <c r="A82" s="89"/>
      <c r="B82" s="94"/>
      <c r="C82" s="90"/>
      <c r="D82" s="91"/>
      <c r="E82" s="91"/>
      <c r="F82" s="91"/>
      <c r="G82" s="91"/>
      <c r="H82" s="92"/>
      <c r="I82" s="92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91"/>
      <c r="AH82" s="93"/>
      <c r="AI82" s="91"/>
      <c r="AJ82" s="93"/>
      <c r="AK82" s="93"/>
      <c r="AL82" s="93"/>
      <c r="AM82" s="93"/>
      <c r="AN82" s="93"/>
      <c r="AO82" s="91"/>
      <c r="AP82" s="93"/>
      <c r="AQ82" s="91"/>
      <c r="AR82" s="91"/>
      <c r="AS82" s="91"/>
      <c r="AT82" s="91"/>
      <c r="AU82" s="91"/>
      <c r="AV82" s="91"/>
      <c r="AW82" s="93"/>
      <c r="AX82" s="91"/>
      <c r="AY82" s="91"/>
      <c r="AZ82" s="91"/>
      <c r="BA82" s="91"/>
      <c r="BB82" s="91"/>
      <c r="BC82" s="91"/>
      <c r="BD82" s="43"/>
      <c r="BE82" s="91"/>
      <c r="BF82" s="91"/>
      <c r="BG82" s="91"/>
      <c r="BH82" s="91"/>
      <c r="BI82" s="91"/>
      <c r="BJ82" s="91"/>
      <c r="BK82" s="91"/>
      <c r="BL82" s="91"/>
      <c r="BM82" s="91"/>
      <c r="BN82" s="91"/>
      <c r="BO82" s="91"/>
      <c r="BP82" s="91"/>
      <c r="BQ82" s="91"/>
      <c r="BR82" s="91"/>
      <c r="BS82" s="91"/>
      <c r="BT82" s="91"/>
      <c r="BU82" s="91"/>
      <c r="BV82" s="91"/>
    </row>
    <row r="83">
      <c r="A83" s="48"/>
      <c r="B83" s="48"/>
      <c r="C83" s="86"/>
      <c r="H83" s="71"/>
      <c r="I83" s="71"/>
      <c r="AH83" s="95"/>
      <c r="AJ83" s="95"/>
      <c r="AK83" s="95"/>
      <c r="AL83" s="95"/>
      <c r="AM83" s="95"/>
      <c r="AN83" s="95"/>
      <c r="AP83" s="95"/>
      <c r="AW83" s="95"/>
      <c r="AX83" s="95"/>
    </row>
    <row r="84">
      <c r="A84" s="48"/>
      <c r="B84" s="48"/>
      <c r="C84" s="86"/>
      <c r="H84" s="71"/>
      <c r="I84" s="71"/>
      <c r="AH84" s="95"/>
      <c r="AJ84" s="95"/>
      <c r="AK84" s="95"/>
      <c r="AL84" s="95"/>
      <c r="AM84" s="95"/>
      <c r="AN84" s="95"/>
      <c r="AP84" s="95"/>
      <c r="AW84" s="95"/>
    </row>
    <row r="85">
      <c r="A85" s="48"/>
      <c r="B85" s="48"/>
      <c r="C85" s="86"/>
      <c r="H85" s="71"/>
      <c r="I85" s="71"/>
      <c r="AH85" s="95"/>
      <c r="AJ85" s="95"/>
      <c r="AK85" s="95"/>
      <c r="AL85" s="95"/>
      <c r="AM85" s="95"/>
      <c r="AN85" s="95"/>
      <c r="AP85" s="95"/>
      <c r="AW85" s="95"/>
    </row>
    <row r="86">
      <c r="A86" s="48"/>
      <c r="B86" s="48"/>
      <c r="C86" s="86"/>
      <c r="H86" s="71"/>
      <c r="I86" s="71"/>
      <c r="AH86" s="95"/>
      <c r="AJ86" s="95"/>
      <c r="AK86" s="95"/>
      <c r="AL86" s="95"/>
      <c r="AM86" s="95"/>
      <c r="AN86" s="95"/>
      <c r="AP86" s="95"/>
      <c r="AW86" s="95"/>
    </row>
    <row r="87">
      <c r="A87" s="48"/>
      <c r="B87" s="48"/>
      <c r="C87" s="86"/>
      <c r="H87" s="71"/>
      <c r="I87" s="71"/>
      <c r="AH87" s="95"/>
      <c r="AJ87" s="95"/>
      <c r="AK87" s="95"/>
      <c r="AL87" s="95"/>
      <c r="AM87" s="95"/>
      <c r="AN87" s="95"/>
      <c r="AP87" s="95"/>
      <c r="AW87" s="95"/>
    </row>
    <row r="88">
      <c r="A88" s="48"/>
      <c r="B88" s="48"/>
      <c r="C88" s="86"/>
      <c r="H88" s="71"/>
      <c r="I88" s="71"/>
      <c r="AH88" s="95"/>
      <c r="AJ88" s="95"/>
      <c r="AK88" s="95"/>
      <c r="AL88" s="95"/>
      <c r="AM88" s="95"/>
      <c r="AN88" s="95"/>
      <c r="AP88" s="95"/>
      <c r="AW88" s="95"/>
    </row>
    <row r="89">
      <c r="A89" s="48"/>
      <c r="B89" s="48"/>
      <c r="C89" s="86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48"/>
      <c r="AI89" s="71"/>
      <c r="AJ89" s="48"/>
      <c r="AK89" s="48"/>
      <c r="AL89" s="48"/>
      <c r="AM89" s="48"/>
      <c r="AN89" s="95"/>
      <c r="AP89" s="95"/>
      <c r="AW89" s="95"/>
    </row>
    <row r="90">
      <c r="A90" s="48"/>
      <c r="B90" s="48"/>
      <c r="C90" s="86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>
        <f t="shared" ref="Y90:AA90" si="8">COUNTIFS(Z$4:Z$64, "&lt;&gt;", Z$4:Z$64, "&lt;&gt;A")+1</f>
        <v>47</v>
      </c>
      <c r="Z90" s="71">
        <f t="shared" si="8"/>
        <v>50</v>
      </c>
      <c r="AA90" s="71">
        <f t="shared" si="8"/>
        <v>2</v>
      </c>
      <c r="AB90" s="71"/>
      <c r="AC90" s="71">
        <f>COUNTIFS(AC$4:AC$64, "&lt;&gt;", AC$4:AC$64, "&lt;&gt;A")+1</f>
        <v>47</v>
      </c>
      <c r="AD90" s="71">
        <f t="shared" ref="AD90:AH90" si="9">COUNTIFS(AD$4:AD$77, "&lt;&gt;", AD$4:AD$77, "&lt;&gt;A")</f>
        <v>49</v>
      </c>
      <c r="AE90" s="71">
        <f t="shared" si="9"/>
        <v>56</v>
      </c>
      <c r="AF90" s="71">
        <f t="shared" si="9"/>
        <v>50</v>
      </c>
      <c r="AG90" s="71">
        <f t="shared" si="9"/>
        <v>55</v>
      </c>
      <c r="AH90" s="48">
        <f t="shared" si="9"/>
        <v>48</v>
      </c>
      <c r="AI90" s="71"/>
      <c r="AJ90" s="48">
        <f t="shared" ref="AJ90:AO90" si="10">COUNTIFS(AJ$4:AJ$77, "&lt;&gt;", AJ$4:AJ$77, "&lt;&gt;A")</f>
        <v>50</v>
      </c>
      <c r="AK90" s="48">
        <f t="shared" si="10"/>
        <v>53</v>
      </c>
      <c r="AL90" s="48">
        <f t="shared" si="10"/>
        <v>51</v>
      </c>
      <c r="AM90" s="48">
        <f t="shared" si="10"/>
        <v>48</v>
      </c>
      <c r="AN90" s="48">
        <f t="shared" si="10"/>
        <v>57</v>
      </c>
      <c r="AO90" s="48">
        <f t="shared" si="10"/>
        <v>58</v>
      </c>
      <c r="AP90" s="48"/>
      <c r="AQ90" s="48">
        <f t="shared" ref="AQ90:AV90" si="11">COUNTIFS(AQ$4:AQ$77, "&lt;&gt;", AQ$4:AQ$77, "&lt;&gt;A")</f>
        <v>57</v>
      </c>
      <c r="AR90" s="48">
        <f t="shared" si="11"/>
        <v>54</v>
      </c>
      <c r="AS90" s="48">
        <f t="shared" si="11"/>
        <v>50</v>
      </c>
      <c r="AT90" s="48">
        <f t="shared" si="11"/>
        <v>56</v>
      </c>
      <c r="AU90" s="48">
        <f t="shared" si="11"/>
        <v>60</v>
      </c>
      <c r="AV90" s="48">
        <f t="shared" si="11"/>
        <v>52</v>
      </c>
      <c r="AW90" s="48"/>
      <c r="AX90" s="48">
        <f t="shared" ref="AX90:BC90" si="12">COUNTIFS(AX$4:AX$77, "&lt;&gt;", AX$4:AX$77, "&lt;&gt;A")</f>
        <v>46</v>
      </c>
      <c r="AY90" s="48">
        <f t="shared" si="12"/>
        <v>48</v>
      </c>
      <c r="AZ90" s="48">
        <f t="shared" si="12"/>
        <v>47</v>
      </c>
      <c r="BA90" s="48">
        <f t="shared" si="12"/>
        <v>43</v>
      </c>
      <c r="BB90" s="48">
        <f t="shared" si="12"/>
        <v>43</v>
      </c>
      <c r="BC90" s="48">
        <f t="shared" si="12"/>
        <v>47</v>
      </c>
      <c r="BD90" s="48"/>
      <c r="BE90" s="48">
        <f t="shared" ref="BE90:BJ90" si="13">COUNTIFS(BE$4:BE$77, "&lt;&gt;", BE$4:BE$77, "&lt;&gt;A")</f>
        <v>37</v>
      </c>
      <c r="BF90" s="48">
        <f t="shared" si="13"/>
        <v>38</v>
      </c>
      <c r="BG90" s="48">
        <f t="shared" si="13"/>
        <v>44</v>
      </c>
      <c r="BH90" s="48">
        <f t="shared" si="13"/>
        <v>37</v>
      </c>
      <c r="BI90" s="48">
        <f t="shared" si="13"/>
        <v>31</v>
      </c>
      <c r="BJ90" s="48">
        <f t="shared" si="13"/>
        <v>29</v>
      </c>
    </row>
    <row r="91">
      <c r="A91" s="48"/>
      <c r="B91" s="48"/>
      <c r="C91" s="86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48"/>
      <c r="AI91" s="71"/>
      <c r="AJ91" s="48"/>
      <c r="AK91" s="48"/>
      <c r="AL91" s="48"/>
      <c r="AM91" s="48"/>
      <c r="AN91" s="95"/>
      <c r="AP91" s="95"/>
      <c r="AW91" s="48"/>
    </row>
    <row r="92">
      <c r="A92" s="48"/>
      <c r="B92" s="48"/>
      <c r="C92" s="86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48"/>
      <c r="AI92" s="71"/>
      <c r="AJ92" s="48"/>
      <c r="AK92" s="48"/>
      <c r="AL92" s="48"/>
      <c r="AM92" s="48"/>
      <c r="AN92" s="95"/>
      <c r="AP92" s="95"/>
      <c r="AW92" s="95"/>
    </row>
    <row r="93">
      <c r="A93" s="48"/>
      <c r="B93" s="48"/>
      <c r="C93" s="86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48"/>
      <c r="AI93" s="71"/>
      <c r="AJ93" s="48"/>
      <c r="AK93" s="48"/>
      <c r="AL93" s="48"/>
      <c r="AM93" s="48"/>
      <c r="AN93" s="95"/>
      <c r="AP93" s="95"/>
      <c r="AW93" s="95"/>
    </row>
    <row r="94">
      <c r="A94" s="48"/>
      <c r="B94" s="48"/>
      <c r="C94" s="86"/>
      <c r="H94" s="71"/>
      <c r="I94" s="71"/>
      <c r="J94" s="87" t="s">
        <v>880</v>
      </c>
      <c r="K94" s="96" t="s">
        <v>808</v>
      </c>
      <c r="L94" s="96" t="s">
        <v>649</v>
      </c>
      <c r="M94" s="71"/>
      <c r="N94" s="96" t="s">
        <v>881</v>
      </c>
      <c r="O94" s="96" t="s">
        <v>817</v>
      </c>
      <c r="P94" s="96" t="s">
        <v>753</v>
      </c>
      <c r="Q94" s="96" t="s">
        <v>881</v>
      </c>
      <c r="R94" s="96" t="s">
        <v>820</v>
      </c>
      <c r="S94" s="96" t="s">
        <v>832</v>
      </c>
      <c r="T94" s="71"/>
      <c r="U94" s="87" t="s">
        <v>216</v>
      </c>
      <c r="V94" s="87" t="s">
        <v>216</v>
      </c>
      <c r="W94" s="96" t="s">
        <v>882</v>
      </c>
      <c r="X94" s="71"/>
      <c r="Y94" s="96" t="s">
        <v>882</v>
      </c>
      <c r="Z94" s="96" t="s">
        <v>882</v>
      </c>
      <c r="AA94" s="87" t="s">
        <v>216</v>
      </c>
      <c r="AB94" s="71"/>
      <c r="AC94" s="62" t="s">
        <v>216</v>
      </c>
      <c r="AD94" s="71"/>
      <c r="AE94" s="87" t="s">
        <v>216</v>
      </c>
      <c r="AF94" s="87" t="s">
        <v>836</v>
      </c>
      <c r="AG94" s="62" t="s">
        <v>216</v>
      </c>
      <c r="AH94" s="97" t="s">
        <v>883</v>
      </c>
      <c r="AI94" s="71"/>
      <c r="AJ94" s="40" t="s">
        <v>481</v>
      </c>
      <c r="AK94" s="40" t="s">
        <v>216</v>
      </c>
      <c r="AL94" s="40" t="s">
        <v>216</v>
      </c>
      <c r="AM94" s="40" t="s">
        <v>216</v>
      </c>
      <c r="AN94" s="97" t="s">
        <v>883</v>
      </c>
      <c r="AO94" s="62" t="s">
        <v>883</v>
      </c>
      <c r="AP94" s="95"/>
      <c r="AR94" s="62" t="s">
        <v>883</v>
      </c>
      <c r="AS94" s="62" t="s">
        <v>216</v>
      </c>
      <c r="AT94" s="62" t="s">
        <v>883</v>
      </c>
      <c r="AU94" s="62" t="s">
        <v>883</v>
      </c>
      <c r="AV94" s="62" t="s">
        <v>216</v>
      </c>
      <c r="AW94" s="95"/>
      <c r="BE94" s="62" t="s">
        <v>883</v>
      </c>
      <c r="BG94" s="62" t="s">
        <v>216</v>
      </c>
      <c r="BI94" s="62" t="s">
        <v>883</v>
      </c>
      <c r="BJ94" s="62" t="s">
        <v>216</v>
      </c>
    </row>
    <row r="95">
      <c r="A95" s="48"/>
      <c r="B95" s="48"/>
      <c r="C95" s="86"/>
      <c r="H95" s="71"/>
      <c r="I95" s="71"/>
      <c r="J95" s="96" t="s">
        <v>808</v>
      </c>
      <c r="K95" s="96" t="s">
        <v>361</v>
      </c>
      <c r="L95" s="96" t="s">
        <v>884</v>
      </c>
      <c r="M95" s="71"/>
      <c r="N95" s="96" t="s">
        <v>820</v>
      </c>
      <c r="O95" s="96" t="s">
        <v>881</v>
      </c>
      <c r="P95" s="96" t="s">
        <v>820</v>
      </c>
      <c r="Q95" s="96" t="s">
        <v>824</v>
      </c>
      <c r="R95" s="96" t="s">
        <v>753</v>
      </c>
      <c r="S95" s="96" t="s">
        <v>881</v>
      </c>
      <c r="T95" s="71"/>
      <c r="U95" s="96" t="s">
        <v>817</v>
      </c>
      <c r="V95" s="96" t="s">
        <v>882</v>
      </c>
      <c r="W95" s="87" t="s">
        <v>791</v>
      </c>
      <c r="X95" s="71"/>
      <c r="Y95" s="87" t="s">
        <v>216</v>
      </c>
      <c r="Z95" s="71"/>
      <c r="AA95" s="71"/>
      <c r="AB95" s="71"/>
      <c r="AC95" s="71"/>
      <c r="AD95" s="71"/>
      <c r="AE95" s="71"/>
      <c r="AF95" s="71"/>
      <c r="AG95" s="71"/>
      <c r="AH95" s="40" t="s">
        <v>836</v>
      </c>
      <c r="AI95" s="71"/>
      <c r="AJ95" s="48"/>
      <c r="AK95" s="40" t="s">
        <v>481</v>
      </c>
      <c r="AL95" s="40" t="s">
        <v>481</v>
      </c>
      <c r="AM95" s="40" t="s">
        <v>481</v>
      </c>
      <c r="AN95" s="97" t="s">
        <v>216</v>
      </c>
      <c r="AO95" s="62" t="s">
        <v>216</v>
      </c>
      <c r="AP95" s="95"/>
      <c r="AT95" s="62" t="s">
        <v>216</v>
      </c>
      <c r="AV95" s="62" t="s">
        <v>883</v>
      </c>
      <c r="AW95" s="95"/>
      <c r="BG95" s="62" t="s">
        <v>883</v>
      </c>
    </row>
    <row r="96">
      <c r="A96" s="48"/>
      <c r="B96" s="48"/>
      <c r="C96" s="86"/>
      <c r="H96" s="71"/>
      <c r="I96" s="71"/>
      <c r="J96" s="96" t="s">
        <v>649</v>
      </c>
      <c r="K96" s="96" t="s">
        <v>820</v>
      </c>
      <c r="L96" s="96" t="s">
        <v>808</v>
      </c>
      <c r="M96" s="71"/>
      <c r="N96" s="96" t="s">
        <v>808</v>
      </c>
      <c r="O96" s="96" t="s">
        <v>820</v>
      </c>
      <c r="P96" s="96" t="s">
        <v>808</v>
      </c>
      <c r="Q96" s="96" t="s">
        <v>820</v>
      </c>
      <c r="R96" s="96" t="s">
        <v>881</v>
      </c>
      <c r="S96" s="96" t="s">
        <v>753</v>
      </c>
      <c r="T96" s="71"/>
      <c r="U96" s="96" t="s">
        <v>808</v>
      </c>
      <c r="V96" s="96" t="s">
        <v>828</v>
      </c>
      <c r="W96" s="96" t="s">
        <v>881</v>
      </c>
      <c r="X96" s="71"/>
      <c r="Y96" s="96" t="s">
        <v>820</v>
      </c>
      <c r="Z96" s="71"/>
      <c r="AA96" s="71"/>
      <c r="AB96" s="71"/>
      <c r="AC96" s="71"/>
      <c r="AD96" s="71"/>
      <c r="AE96" s="71"/>
      <c r="AF96" s="71"/>
      <c r="AG96" s="71"/>
      <c r="AH96" s="48"/>
      <c r="AI96" s="71"/>
      <c r="AJ96" s="48"/>
      <c r="AK96" s="40" t="s">
        <v>836</v>
      </c>
      <c r="AL96" s="40" t="s">
        <v>836</v>
      </c>
      <c r="AM96" s="48"/>
      <c r="AN96" s="95"/>
      <c r="AP96" s="95"/>
      <c r="AW96" s="95"/>
    </row>
    <row r="97">
      <c r="A97" s="48"/>
      <c r="B97" s="48"/>
      <c r="C97" s="86"/>
      <c r="H97" s="71"/>
      <c r="I97" s="71"/>
      <c r="J97" s="96" t="s">
        <v>624</v>
      </c>
      <c r="K97" s="96" t="s">
        <v>624</v>
      </c>
      <c r="L97" s="87" t="s">
        <v>216</v>
      </c>
      <c r="M97" s="71"/>
      <c r="N97" s="71"/>
      <c r="O97" s="96" t="s">
        <v>828</v>
      </c>
      <c r="P97" s="96" t="s">
        <v>881</v>
      </c>
      <c r="Q97" s="96" t="s">
        <v>832</v>
      </c>
      <c r="R97" s="96" t="s">
        <v>824</v>
      </c>
      <c r="S97" s="96" t="s">
        <v>824</v>
      </c>
      <c r="T97" s="71"/>
      <c r="U97" s="96" t="s">
        <v>828</v>
      </c>
      <c r="V97" s="96" t="s">
        <v>808</v>
      </c>
      <c r="W97" s="96" t="s">
        <v>832</v>
      </c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48"/>
      <c r="AI97" s="71"/>
      <c r="AJ97" s="48"/>
      <c r="AK97" s="48"/>
      <c r="AL97" s="48"/>
      <c r="AM97" s="48"/>
      <c r="AN97" s="95"/>
      <c r="AP97" s="95"/>
      <c r="AW97" s="95"/>
    </row>
    <row r="98">
      <c r="A98" s="48"/>
      <c r="B98" s="48"/>
      <c r="C98" s="86"/>
      <c r="H98" s="71"/>
      <c r="I98" s="71"/>
      <c r="J98" s="96" t="s">
        <v>753</v>
      </c>
      <c r="K98" s="96" t="s">
        <v>884</v>
      </c>
      <c r="L98" s="71"/>
      <c r="M98" s="71"/>
      <c r="N98" s="71"/>
      <c r="O98" s="96" t="s">
        <v>824</v>
      </c>
      <c r="P98" s="96" t="s">
        <v>885</v>
      </c>
      <c r="Q98" s="96" t="s">
        <v>828</v>
      </c>
      <c r="R98" s="96" t="s">
        <v>832</v>
      </c>
      <c r="S98" s="87" t="s">
        <v>886</v>
      </c>
      <c r="T98" s="71"/>
      <c r="U98" s="96" t="s">
        <v>753</v>
      </c>
      <c r="V98" s="96" t="s">
        <v>824</v>
      </c>
      <c r="W98" s="96" t="s">
        <v>820</v>
      </c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48"/>
      <c r="AI98" s="71"/>
      <c r="AJ98" s="48"/>
      <c r="AK98" s="48"/>
      <c r="AL98" s="48"/>
      <c r="AM98" s="48"/>
      <c r="AN98" s="95"/>
      <c r="AP98" s="95"/>
      <c r="AW98" s="95"/>
    </row>
    <row r="99">
      <c r="A99" s="48"/>
      <c r="B99" s="48"/>
      <c r="C99" s="86"/>
      <c r="H99" s="71"/>
      <c r="I99" s="71"/>
      <c r="J99" s="87" t="s">
        <v>887</v>
      </c>
      <c r="K99" s="96" t="s">
        <v>649</v>
      </c>
      <c r="L99" s="71"/>
      <c r="M99" s="71"/>
      <c r="N99" s="71"/>
      <c r="O99" s="87"/>
      <c r="P99" s="87" t="s">
        <v>216</v>
      </c>
      <c r="Q99" s="96" t="s">
        <v>808</v>
      </c>
      <c r="R99" s="87" t="s">
        <v>216</v>
      </c>
      <c r="S99" s="96" t="s">
        <v>817</v>
      </c>
      <c r="T99" s="71"/>
      <c r="U99" s="96" t="s">
        <v>820</v>
      </c>
      <c r="V99" s="96" t="s">
        <v>832</v>
      </c>
      <c r="W99" s="96" t="s">
        <v>753</v>
      </c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48"/>
      <c r="AI99" s="71"/>
      <c r="AJ99" s="48"/>
      <c r="AK99" s="48"/>
      <c r="AL99" s="48"/>
      <c r="AM99" s="48"/>
      <c r="AN99" s="95"/>
      <c r="AP99" s="95"/>
      <c r="AW99" s="95"/>
    </row>
    <row r="100">
      <c r="A100" s="48"/>
      <c r="B100" s="48"/>
      <c r="C100" s="86"/>
      <c r="H100" s="71"/>
      <c r="I100" s="71"/>
      <c r="J100" s="71"/>
      <c r="K100" s="87" t="s">
        <v>888</v>
      </c>
      <c r="L100" s="71"/>
      <c r="M100" s="71"/>
      <c r="N100" s="71"/>
      <c r="O100" s="71"/>
      <c r="P100" s="96" t="s">
        <v>817</v>
      </c>
      <c r="Q100" s="96" t="s">
        <v>817</v>
      </c>
      <c r="R100" s="96" t="s">
        <v>882</v>
      </c>
      <c r="S100" s="87"/>
      <c r="T100" s="71"/>
      <c r="U100" s="96" t="s">
        <v>832</v>
      </c>
      <c r="V100" s="96" t="s">
        <v>820</v>
      </c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48"/>
      <c r="AI100" s="71"/>
      <c r="AJ100" s="48"/>
      <c r="AK100" s="48"/>
      <c r="AL100" s="48"/>
      <c r="AM100" s="48"/>
      <c r="AN100" s="95"/>
      <c r="AP100" s="95"/>
      <c r="AW100" s="95"/>
    </row>
    <row r="101">
      <c r="A101" s="48"/>
      <c r="B101" s="48"/>
      <c r="C101" s="86"/>
      <c r="H101" s="71"/>
      <c r="I101" s="71"/>
      <c r="J101" s="71"/>
      <c r="K101" s="96" t="s">
        <v>764</v>
      </c>
      <c r="L101" s="71"/>
      <c r="M101" s="71"/>
      <c r="N101" s="71"/>
      <c r="O101" s="71"/>
      <c r="P101" s="96" t="s">
        <v>832</v>
      </c>
      <c r="Q101" s="71"/>
      <c r="R101" s="71"/>
      <c r="S101" s="71"/>
      <c r="T101" s="71"/>
      <c r="U101" s="96" t="s">
        <v>649</v>
      </c>
      <c r="V101" s="96" t="s">
        <v>753</v>
      </c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48"/>
      <c r="AI101" s="71"/>
      <c r="AJ101" s="48"/>
      <c r="AK101" s="48"/>
      <c r="AL101" s="48"/>
      <c r="AM101" s="48"/>
      <c r="AN101" s="95"/>
      <c r="AP101" s="95"/>
      <c r="AW101" s="95"/>
    </row>
    <row r="102">
      <c r="A102" s="48"/>
      <c r="B102" s="48"/>
      <c r="C102" s="86"/>
      <c r="H102" s="71"/>
      <c r="I102" s="71"/>
      <c r="J102" s="71"/>
      <c r="K102" s="87" t="s">
        <v>216</v>
      </c>
      <c r="L102" s="71"/>
      <c r="M102" s="71"/>
      <c r="N102" s="71"/>
      <c r="O102" s="71"/>
      <c r="P102" s="96" t="s">
        <v>824</v>
      </c>
      <c r="Q102" s="71"/>
      <c r="R102" s="71"/>
      <c r="S102" s="71"/>
      <c r="T102" s="71"/>
      <c r="U102" s="71"/>
      <c r="V102" s="96" t="s">
        <v>649</v>
      </c>
      <c r="W102" s="71"/>
      <c r="X102" s="71"/>
      <c r="Y102" s="71"/>
      <c r="Z102" s="71"/>
      <c r="AA102" s="71"/>
      <c r="AB102" s="71"/>
      <c r="AC102" s="71"/>
      <c r="AD102" s="87" t="s">
        <v>889</v>
      </c>
      <c r="AE102" s="71"/>
      <c r="AF102" s="71"/>
      <c r="AG102" s="71"/>
      <c r="AH102" s="48"/>
      <c r="AI102" s="71"/>
      <c r="AJ102" s="48"/>
      <c r="AK102" s="48"/>
      <c r="AL102" s="48"/>
      <c r="AM102" s="48"/>
      <c r="AN102" s="95"/>
      <c r="AP102" s="95"/>
      <c r="AW102" s="95"/>
    </row>
    <row r="103">
      <c r="A103" s="48"/>
      <c r="B103" s="48"/>
      <c r="C103" s="86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48"/>
      <c r="AI103" s="71"/>
      <c r="AJ103" s="48"/>
      <c r="AK103" s="48"/>
      <c r="AL103" s="48"/>
      <c r="AM103" s="48"/>
      <c r="AN103" s="95"/>
      <c r="AP103" s="95"/>
      <c r="AW103" s="95"/>
    </row>
    <row r="104">
      <c r="A104" s="48"/>
      <c r="B104" s="48"/>
      <c r="C104" s="86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48"/>
      <c r="AI104" s="71"/>
      <c r="AJ104" s="48"/>
      <c r="AK104" s="48"/>
      <c r="AL104" s="48"/>
      <c r="AM104" s="48"/>
      <c r="AN104" s="95"/>
      <c r="AP104" s="95"/>
      <c r="AW104" s="95"/>
    </row>
    <row r="105">
      <c r="A105" s="48"/>
      <c r="B105" s="48"/>
      <c r="C105" s="86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48"/>
      <c r="AI105" s="71"/>
      <c r="AJ105" s="48"/>
      <c r="AK105" s="48"/>
      <c r="AL105" s="48"/>
      <c r="AM105" s="48"/>
      <c r="AN105" s="95"/>
      <c r="AP105" s="95"/>
      <c r="AW105" s="95"/>
    </row>
    <row r="106">
      <c r="A106" s="48"/>
      <c r="B106" s="48"/>
      <c r="C106" s="86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48"/>
      <c r="AI106" s="71"/>
      <c r="AJ106" s="48"/>
      <c r="AK106" s="48"/>
      <c r="AL106" s="48"/>
      <c r="AM106" s="48"/>
      <c r="AN106" s="95"/>
      <c r="AP106" s="95"/>
      <c r="AW106" s="95"/>
    </row>
    <row r="107">
      <c r="A107" s="48"/>
      <c r="B107" s="48"/>
      <c r="C107" s="86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48"/>
      <c r="AI107" s="71"/>
      <c r="AJ107" s="48"/>
      <c r="AK107" s="48"/>
      <c r="AL107" s="48"/>
      <c r="AM107" s="48"/>
      <c r="AN107" s="95"/>
      <c r="AP107" s="95"/>
      <c r="AW107" s="95"/>
    </row>
    <row r="108">
      <c r="A108" s="48"/>
      <c r="B108" s="48"/>
      <c r="C108" s="86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48"/>
      <c r="AI108" s="71"/>
      <c r="AJ108" s="48"/>
      <c r="AK108" s="48"/>
      <c r="AL108" s="48"/>
      <c r="AM108" s="48"/>
      <c r="AN108" s="95"/>
      <c r="AP108" s="95"/>
      <c r="AW108" s="95"/>
    </row>
    <row r="109">
      <c r="A109" s="48"/>
      <c r="B109" s="48"/>
      <c r="C109" s="86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48"/>
      <c r="AI109" s="71"/>
      <c r="AJ109" s="48"/>
      <c r="AK109" s="48"/>
      <c r="AL109" s="48"/>
      <c r="AM109" s="48"/>
      <c r="AN109" s="95"/>
      <c r="AP109" s="95"/>
      <c r="AW109" s="95"/>
    </row>
    <row r="110">
      <c r="A110" s="48"/>
      <c r="B110" s="48"/>
      <c r="C110" s="86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48"/>
      <c r="AI110" s="71"/>
      <c r="AJ110" s="48"/>
      <c r="AK110" s="48"/>
      <c r="AL110" s="48"/>
      <c r="AM110" s="48"/>
      <c r="AN110" s="95"/>
      <c r="AP110" s="95"/>
      <c r="AW110" s="95"/>
    </row>
    <row r="111">
      <c r="A111" s="48"/>
      <c r="B111" s="48"/>
      <c r="C111" s="86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48"/>
      <c r="AI111" s="71"/>
      <c r="AJ111" s="48"/>
      <c r="AK111" s="48"/>
      <c r="AL111" s="48"/>
      <c r="AM111" s="48"/>
      <c r="AN111" s="95"/>
      <c r="AP111" s="95"/>
      <c r="AW111" s="95"/>
    </row>
    <row r="112">
      <c r="A112" s="48"/>
      <c r="B112" s="48"/>
      <c r="C112" s="86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48"/>
      <c r="AI112" s="71"/>
      <c r="AJ112" s="48"/>
      <c r="AK112" s="48"/>
      <c r="AL112" s="48"/>
      <c r="AM112" s="48"/>
      <c r="AN112" s="95"/>
      <c r="AP112" s="95"/>
      <c r="AW112" s="95"/>
    </row>
    <row r="113">
      <c r="A113" s="48"/>
      <c r="B113" s="48"/>
      <c r="C113" s="86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48"/>
      <c r="AI113" s="71"/>
      <c r="AJ113" s="48"/>
      <c r="AK113" s="48"/>
      <c r="AL113" s="48"/>
      <c r="AM113" s="48"/>
      <c r="AN113" s="95"/>
      <c r="AP113" s="95"/>
      <c r="AW113" s="95"/>
    </row>
    <row r="114">
      <c r="A114" s="48"/>
      <c r="B114" s="48"/>
      <c r="C114" s="86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48"/>
      <c r="AI114" s="71"/>
      <c r="AJ114" s="48"/>
      <c r="AK114" s="48"/>
      <c r="AL114" s="48"/>
      <c r="AM114" s="48"/>
      <c r="AN114" s="95"/>
      <c r="AP114" s="95"/>
      <c r="AW114" s="95"/>
    </row>
    <row r="115">
      <c r="A115" s="48"/>
      <c r="B115" s="48"/>
      <c r="C115" s="86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48"/>
      <c r="AI115" s="71"/>
      <c r="AJ115" s="48"/>
      <c r="AK115" s="48"/>
      <c r="AL115" s="48"/>
      <c r="AM115" s="48"/>
      <c r="AN115" s="95"/>
      <c r="AP115" s="95"/>
      <c r="AW115" s="95"/>
    </row>
    <row r="116">
      <c r="A116" s="48"/>
      <c r="B116" s="48"/>
      <c r="C116" s="86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48"/>
      <c r="AI116" s="71"/>
      <c r="AJ116" s="48"/>
      <c r="AK116" s="48"/>
      <c r="AL116" s="48"/>
      <c r="AM116" s="48"/>
      <c r="AN116" s="95"/>
      <c r="AP116" s="95"/>
      <c r="AW116" s="95"/>
    </row>
    <row r="117">
      <c r="A117" s="48"/>
      <c r="B117" s="48"/>
      <c r="C117" s="86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48"/>
      <c r="AI117" s="71"/>
      <c r="AJ117" s="48"/>
      <c r="AK117" s="48"/>
      <c r="AL117" s="48"/>
      <c r="AM117" s="48"/>
      <c r="AN117" s="95"/>
      <c r="AP117" s="95"/>
      <c r="AW117" s="95"/>
    </row>
    <row r="118">
      <c r="A118" s="48"/>
      <c r="B118" s="48"/>
      <c r="C118" s="86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48"/>
      <c r="AI118" s="71"/>
      <c r="AJ118" s="48"/>
      <c r="AK118" s="48"/>
      <c r="AL118" s="48"/>
      <c r="AM118" s="48"/>
      <c r="AN118" s="95"/>
      <c r="AP118" s="95"/>
      <c r="AW118" s="95"/>
    </row>
    <row r="119">
      <c r="A119" s="48"/>
      <c r="B119" s="48"/>
      <c r="C119" s="86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48"/>
      <c r="AI119" s="71"/>
      <c r="AJ119" s="48"/>
      <c r="AK119" s="48"/>
      <c r="AL119" s="48"/>
      <c r="AM119" s="48"/>
      <c r="AN119" s="95"/>
      <c r="AP119" s="95"/>
      <c r="AW119" s="95"/>
    </row>
    <row r="120">
      <c r="A120" s="48"/>
      <c r="B120" s="48"/>
      <c r="C120" s="86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48"/>
      <c r="AI120" s="71"/>
      <c r="AJ120" s="48"/>
      <c r="AK120" s="48"/>
      <c r="AL120" s="48"/>
      <c r="AM120" s="48"/>
      <c r="AN120" s="95"/>
      <c r="AP120" s="95"/>
      <c r="AW120" s="95"/>
    </row>
    <row r="121">
      <c r="A121" s="48"/>
      <c r="B121" s="48"/>
      <c r="C121" s="86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48"/>
      <c r="AI121" s="71"/>
      <c r="AJ121" s="48"/>
      <c r="AK121" s="48"/>
      <c r="AL121" s="48"/>
      <c r="AM121" s="48"/>
      <c r="AN121" s="95"/>
      <c r="AP121" s="95"/>
      <c r="AW121" s="95"/>
    </row>
    <row r="122">
      <c r="A122" s="48"/>
      <c r="B122" s="48"/>
      <c r="C122" s="86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48"/>
      <c r="AI122" s="71"/>
      <c r="AJ122" s="48"/>
      <c r="AK122" s="48"/>
      <c r="AL122" s="48"/>
      <c r="AM122" s="48"/>
      <c r="AN122" s="95"/>
      <c r="AP122" s="95"/>
      <c r="AW122" s="95"/>
    </row>
    <row r="123">
      <c r="A123" s="48"/>
      <c r="B123" s="48"/>
      <c r="C123" s="86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48"/>
      <c r="AI123" s="71"/>
      <c r="AJ123" s="48"/>
      <c r="AK123" s="48"/>
      <c r="AL123" s="48"/>
      <c r="AM123" s="48"/>
      <c r="AN123" s="95"/>
      <c r="AP123" s="95"/>
      <c r="AW123" s="95"/>
    </row>
    <row r="124">
      <c r="A124" s="48"/>
      <c r="B124" s="48"/>
      <c r="C124" s="86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48"/>
      <c r="AI124" s="71"/>
      <c r="AJ124" s="48"/>
      <c r="AK124" s="48"/>
      <c r="AL124" s="48"/>
      <c r="AM124" s="48"/>
      <c r="AN124" s="95"/>
      <c r="AP124" s="95"/>
      <c r="AW124" s="95"/>
    </row>
    <row r="125">
      <c r="A125" s="48"/>
      <c r="B125" s="48"/>
      <c r="C125" s="86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48"/>
      <c r="AI125" s="71"/>
      <c r="AJ125" s="48"/>
      <c r="AK125" s="48"/>
      <c r="AL125" s="48"/>
      <c r="AM125" s="48"/>
      <c r="AN125" s="95"/>
      <c r="AP125" s="95"/>
      <c r="AW125" s="95"/>
    </row>
    <row r="126">
      <c r="A126" s="48"/>
      <c r="B126" s="48"/>
      <c r="C126" s="86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48"/>
      <c r="AI126" s="71"/>
      <c r="AJ126" s="48"/>
      <c r="AK126" s="48"/>
      <c r="AL126" s="48"/>
      <c r="AM126" s="48"/>
      <c r="AN126" s="95"/>
      <c r="AP126" s="95"/>
      <c r="AW126" s="95"/>
    </row>
    <row r="127">
      <c r="A127" s="48"/>
      <c r="B127" s="48"/>
      <c r="C127" s="86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48"/>
      <c r="AI127" s="71"/>
      <c r="AJ127" s="48"/>
      <c r="AK127" s="48"/>
      <c r="AL127" s="48"/>
      <c r="AM127" s="48"/>
      <c r="AN127" s="95"/>
      <c r="AP127" s="95"/>
      <c r="AW127" s="95"/>
    </row>
    <row r="128">
      <c r="A128" s="48"/>
      <c r="B128" s="48"/>
      <c r="C128" s="86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48"/>
      <c r="AI128" s="71"/>
      <c r="AJ128" s="48"/>
      <c r="AK128" s="48"/>
      <c r="AL128" s="48"/>
      <c r="AM128" s="48"/>
      <c r="AN128" s="95"/>
      <c r="AP128" s="95"/>
      <c r="AW128" s="95"/>
    </row>
    <row r="129">
      <c r="A129" s="48"/>
      <c r="B129" s="48"/>
      <c r="C129" s="86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48"/>
      <c r="AI129" s="71"/>
      <c r="AJ129" s="48"/>
      <c r="AK129" s="48"/>
      <c r="AL129" s="48"/>
      <c r="AM129" s="48"/>
      <c r="AN129" s="95"/>
      <c r="AP129" s="95"/>
      <c r="AW129" s="95"/>
    </row>
    <row r="130">
      <c r="A130" s="48"/>
      <c r="B130" s="48"/>
      <c r="C130" s="86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48"/>
      <c r="AI130" s="71"/>
      <c r="AJ130" s="48"/>
      <c r="AK130" s="48"/>
      <c r="AL130" s="48"/>
      <c r="AM130" s="48"/>
      <c r="AN130" s="95"/>
      <c r="AP130" s="95"/>
      <c r="AW130" s="95"/>
    </row>
    <row r="131">
      <c r="A131" s="48"/>
      <c r="B131" s="48"/>
      <c r="C131" s="86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48"/>
      <c r="AI131" s="71"/>
      <c r="AJ131" s="48"/>
      <c r="AK131" s="48"/>
      <c r="AL131" s="48"/>
      <c r="AM131" s="48"/>
      <c r="AN131" s="95"/>
      <c r="AP131" s="95"/>
      <c r="AW131" s="95"/>
    </row>
    <row r="132">
      <c r="A132" s="48"/>
      <c r="B132" s="48"/>
      <c r="C132" s="86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48"/>
      <c r="AI132" s="71"/>
      <c r="AJ132" s="48"/>
      <c r="AK132" s="48"/>
      <c r="AL132" s="48"/>
      <c r="AM132" s="48"/>
      <c r="AN132" s="95"/>
      <c r="AP132" s="95"/>
      <c r="AW132" s="95"/>
    </row>
    <row r="133">
      <c r="A133" s="48"/>
      <c r="B133" s="48"/>
      <c r="C133" s="86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48"/>
      <c r="AI133" s="71"/>
      <c r="AJ133" s="48"/>
      <c r="AK133" s="48"/>
      <c r="AL133" s="48"/>
      <c r="AM133" s="48"/>
      <c r="AN133" s="95"/>
      <c r="AP133" s="95"/>
      <c r="AW133" s="95"/>
    </row>
    <row r="134">
      <c r="A134" s="48"/>
      <c r="B134" s="48"/>
      <c r="C134" s="86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48"/>
      <c r="AI134" s="71"/>
      <c r="AJ134" s="48"/>
      <c r="AK134" s="48"/>
      <c r="AL134" s="48"/>
      <c r="AM134" s="48"/>
      <c r="AN134" s="95"/>
      <c r="AP134" s="95"/>
      <c r="AW134" s="95"/>
    </row>
    <row r="135">
      <c r="A135" s="48"/>
      <c r="B135" s="48"/>
      <c r="C135" s="86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48"/>
      <c r="AI135" s="71"/>
      <c r="AJ135" s="48"/>
      <c r="AK135" s="48"/>
      <c r="AL135" s="48"/>
      <c r="AM135" s="48"/>
      <c r="AN135" s="95"/>
      <c r="AP135" s="95"/>
      <c r="AW135" s="95"/>
    </row>
    <row r="136">
      <c r="A136" s="48"/>
      <c r="B136" s="48"/>
      <c r="C136" s="86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48"/>
      <c r="AI136" s="71"/>
      <c r="AJ136" s="48"/>
      <c r="AK136" s="48"/>
      <c r="AL136" s="48"/>
      <c r="AM136" s="48"/>
      <c r="AN136" s="95"/>
      <c r="AP136" s="95"/>
      <c r="AW136" s="95"/>
    </row>
    <row r="137">
      <c r="A137" s="48"/>
      <c r="B137" s="48"/>
      <c r="C137" s="86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48"/>
      <c r="AI137" s="71"/>
      <c r="AJ137" s="48"/>
      <c r="AK137" s="48"/>
      <c r="AL137" s="48"/>
      <c r="AM137" s="48"/>
      <c r="AN137" s="95"/>
      <c r="AP137" s="95"/>
      <c r="AW137" s="95"/>
    </row>
    <row r="138">
      <c r="A138" s="48"/>
      <c r="B138" s="48"/>
      <c r="C138" s="86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48"/>
      <c r="AI138" s="71"/>
      <c r="AJ138" s="48"/>
      <c r="AK138" s="48"/>
      <c r="AL138" s="48"/>
      <c r="AM138" s="48"/>
      <c r="AN138" s="95"/>
      <c r="AP138" s="95"/>
      <c r="AW138" s="95"/>
    </row>
    <row r="139">
      <c r="A139" s="48"/>
      <c r="B139" s="48"/>
      <c r="C139" s="86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48"/>
      <c r="AI139" s="71"/>
      <c r="AJ139" s="48"/>
      <c r="AK139" s="48"/>
      <c r="AL139" s="48"/>
      <c r="AM139" s="48"/>
      <c r="AN139" s="95"/>
      <c r="AP139" s="95"/>
      <c r="AW139" s="95"/>
    </row>
    <row r="140">
      <c r="A140" s="48"/>
      <c r="B140" s="48"/>
      <c r="C140" s="86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48"/>
      <c r="AI140" s="71"/>
      <c r="AJ140" s="48"/>
      <c r="AK140" s="48"/>
      <c r="AL140" s="48"/>
      <c r="AM140" s="48"/>
      <c r="AN140" s="95"/>
      <c r="AP140" s="95"/>
      <c r="AW140" s="95"/>
    </row>
    <row r="141">
      <c r="A141" s="48"/>
      <c r="B141" s="48"/>
      <c r="C141" s="86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48"/>
      <c r="AI141" s="71"/>
      <c r="AJ141" s="48"/>
      <c r="AK141" s="48"/>
      <c r="AL141" s="48"/>
      <c r="AM141" s="48"/>
      <c r="AN141" s="95"/>
      <c r="AP141" s="95"/>
      <c r="AW141" s="95"/>
    </row>
    <row r="142">
      <c r="A142" s="48"/>
      <c r="B142" s="48"/>
      <c r="C142" s="86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48"/>
      <c r="AI142" s="71"/>
      <c r="AJ142" s="48"/>
      <c r="AK142" s="48"/>
      <c r="AL142" s="48"/>
      <c r="AM142" s="48"/>
      <c r="AN142" s="95"/>
      <c r="AP142" s="95"/>
      <c r="AW142" s="95"/>
    </row>
    <row r="143">
      <c r="A143" s="48"/>
      <c r="B143" s="48"/>
      <c r="C143" s="86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48"/>
      <c r="AI143" s="71"/>
      <c r="AJ143" s="48"/>
      <c r="AK143" s="48"/>
      <c r="AL143" s="48"/>
      <c r="AM143" s="48"/>
      <c r="AN143" s="95"/>
      <c r="AP143" s="95"/>
      <c r="AW143" s="95"/>
    </row>
    <row r="144">
      <c r="A144" s="48"/>
      <c r="B144" s="48"/>
      <c r="C144" s="86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48"/>
      <c r="AI144" s="71"/>
      <c r="AJ144" s="48"/>
      <c r="AK144" s="48"/>
      <c r="AL144" s="48"/>
      <c r="AM144" s="48"/>
      <c r="AN144" s="95"/>
      <c r="AP144" s="95"/>
      <c r="AW144" s="95"/>
    </row>
    <row r="145">
      <c r="A145" s="48"/>
      <c r="B145" s="48"/>
      <c r="C145" s="86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48"/>
      <c r="AI145" s="71"/>
      <c r="AJ145" s="48"/>
      <c r="AK145" s="48"/>
      <c r="AL145" s="48"/>
      <c r="AM145" s="48"/>
      <c r="AN145" s="95"/>
      <c r="AP145" s="95"/>
      <c r="AW145" s="95"/>
    </row>
    <row r="146">
      <c r="A146" s="48"/>
      <c r="B146" s="48"/>
      <c r="C146" s="86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48"/>
      <c r="AI146" s="71"/>
      <c r="AJ146" s="48"/>
      <c r="AK146" s="48"/>
      <c r="AL146" s="48"/>
      <c r="AM146" s="48"/>
      <c r="AN146" s="95"/>
      <c r="AP146" s="95"/>
      <c r="AW146" s="95"/>
    </row>
    <row r="147">
      <c r="A147" s="48"/>
      <c r="B147" s="48"/>
      <c r="C147" s="86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48"/>
      <c r="AI147" s="71"/>
      <c r="AJ147" s="48"/>
      <c r="AK147" s="48"/>
      <c r="AL147" s="48"/>
      <c r="AM147" s="48"/>
      <c r="AN147" s="95"/>
      <c r="AP147" s="95"/>
      <c r="AW147" s="95"/>
    </row>
    <row r="148">
      <c r="A148" s="48"/>
      <c r="B148" s="48"/>
      <c r="C148" s="86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48"/>
      <c r="AI148" s="71"/>
      <c r="AJ148" s="48"/>
      <c r="AK148" s="48"/>
      <c r="AL148" s="48"/>
      <c r="AM148" s="48"/>
      <c r="AN148" s="95"/>
      <c r="AP148" s="95"/>
      <c r="AW148" s="95"/>
    </row>
    <row r="149">
      <c r="A149" s="48"/>
      <c r="B149" s="48"/>
      <c r="C149" s="86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48"/>
      <c r="AI149" s="71"/>
      <c r="AJ149" s="48"/>
      <c r="AK149" s="48"/>
      <c r="AL149" s="48"/>
      <c r="AM149" s="48"/>
      <c r="AN149" s="95"/>
      <c r="AP149" s="95"/>
      <c r="AW149" s="95"/>
    </row>
    <row r="150">
      <c r="A150" s="48"/>
      <c r="B150" s="48"/>
      <c r="C150" s="86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48"/>
      <c r="AI150" s="71"/>
      <c r="AJ150" s="48"/>
      <c r="AK150" s="48"/>
      <c r="AL150" s="48"/>
      <c r="AM150" s="48"/>
      <c r="AN150" s="95"/>
      <c r="AP150" s="95"/>
      <c r="AW150" s="95"/>
    </row>
    <row r="151">
      <c r="A151" s="48"/>
      <c r="B151" s="48"/>
      <c r="C151" s="86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48"/>
      <c r="AI151" s="71"/>
      <c r="AJ151" s="48"/>
      <c r="AK151" s="48"/>
      <c r="AL151" s="48"/>
      <c r="AM151" s="48"/>
      <c r="AN151" s="95"/>
      <c r="AP151" s="95"/>
      <c r="AW151" s="95"/>
    </row>
    <row r="152">
      <c r="A152" s="48"/>
      <c r="B152" s="48"/>
      <c r="C152" s="86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48"/>
      <c r="AI152" s="71"/>
      <c r="AJ152" s="48"/>
      <c r="AK152" s="48"/>
      <c r="AL152" s="48"/>
      <c r="AM152" s="48"/>
      <c r="AN152" s="95"/>
      <c r="AP152" s="95"/>
      <c r="AW152" s="95"/>
    </row>
    <row r="153">
      <c r="A153" s="48"/>
      <c r="B153" s="48"/>
      <c r="C153" s="86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48"/>
      <c r="AI153" s="71"/>
      <c r="AJ153" s="48"/>
      <c r="AK153" s="48"/>
      <c r="AL153" s="48"/>
      <c r="AM153" s="48"/>
      <c r="AN153" s="95"/>
      <c r="AP153" s="95"/>
      <c r="AW153" s="95"/>
    </row>
    <row r="154">
      <c r="A154" s="48"/>
      <c r="B154" s="48"/>
      <c r="C154" s="86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48"/>
      <c r="AI154" s="71"/>
      <c r="AJ154" s="48"/>
      <c r="AK154" s="48"/>
      <c r="AL154" s="48"/>
      <c r="AM154" s="48"/>
      <c r="AN154" s="95"/>
      <c r="AP154" s="95"/>
      <c r="AW154" s="95"/>
    </row>
    <row r="155">
      <c r="A155" s="48"/>
      <c r="B155" s="48"/>
      <c r="C155" s="86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48"/>
      <c r="AI155" s="71"/>
      <c r="AJ155" s="48"/>
      <c r="AK155" s="48"/>
      <c r="AL155" s="48"/>
      <c r="AM155" s="48"/>
      <c r="AN155" s="95"/>
      <c r="AP155" s="95"/>
      <c r="AW155" s="95"/>
    </row>
    <row r="156">
      <c r="A156" s="48"/>
      <c r="B156" s="48"/>
      <c r="C156" s="86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48"/>
      <c r="AI156" s="71"/>
      <c r="AJ156" s="48"/>
      <c r="AK156" s="48"/>
      <c r="AL156" s="48"/>
      <c r="AM156" s="48"/>
      <c r="AN156" s="95"/>
      <c r="AP156" s="95"/>
      <c r="AW156" s="95"/>
    </row>
    <row r="157">
      <c r="A157" s="48"/>
      <c r="B157" s="48"/>
      <c r="C157" s="86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48"/>
      <c r="AI157" s="71"/>
      <c r="AJ157" s="48"/>
      <c r="AK157" s="48"/>
      <c r="AL157" s="48"/>
      <c r="AM157" s="48"/>
      <c r="AN157" s="95"/>
      <c r="AP157" s="95"/>
      <c r="AW157" s="95"/>
    </row>
    <row r="158">
      <c r="A158" s="48"/>
      <c r="B158" s="48"/>
      <c r="C158" s="86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48"/>
      <c r="AI158" s="71"/>
      <c r="AJ158" s="48"/>
      <c r="AK158" s="48"/>
      <c r="AL158" s="48"/>
      <c r="AM158" s="48"/>
      <c r="AN158" s="95"/>
      <c r="AP158" s="95"/>
      <c r="AW158" s="95"/>
    </row>
    <row r="159">
      <c r="A159" s="48"/>
      <c r="B159" s="48"/>
      <c r="C159" s="86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48"/>
      <c r="AI159" s="71"/>
      <c r="AJ159" s="48"/>
      <c r="AK159" s="48"/>
      <c r="AL159" s="48"/>
      <c r="AM159" s="48"/>
      <c r="AN159" s="95"/>
      <c r="AP159" s="95"/>
      <c r="AW159" s="95"/>
    </row>
    <row r="160">
      <c r="A160" s="48"/>
      <c r="B160" s="48"/>
      <c r="C160" s="86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48"/>
      <c r="AI160" s="71"/>
      <c r="AJ160" s="48"/>
      <c r="AK160" s="48"/>
      <c r="AL160" s="48"/>
      <c r="AM160" s="48"/>
      <c r="AN160" s="95"/>
      <c r="AP160" s="95"/>
      <c r="AW160" s="95"/>
    </row>
    <row r="161">
      <c r="A161" s="48"/>
      <c r="B161" s="48"/>
      <c r="C161" s="86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48"/>
      <c r="AI161" s="71"/>
      <c r="AJ161" s="48"/>
      <c r="AK161" s="48"/>
      <c r="AL161" s="48"/>
      <c r="AM161" s="48"/>
      <c r="AN161" s="95"/>
      <c r="AP161" s="95"/>
      <c r="AW161" s="95"/>
    </row>
    <row r="162">
      <c r="A162" s="48"/>
      <c r="B162" s="48"/>
      <c r="C162" s="86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48"/>
      <c r="AI162" s="71"/>
      <c r="AJ162" s="48"/>
      <c r="AK162" s="48"/>
      <c r="AL162" s="48"/>
      <c r="AM162" s="48"/>
      <c r="AN162" s="95"/>
      <c r="AP162" s="95"/>
      <c r="AW162" s="95"/>
    </row>
    <row r="163">
      <c r="A163" s="48"/>
      <c r="B163" s="48"/>
      <c r="C163" s="86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48"/>
      <c r="AI163" s="71"/>
      <c r="AJ163" s="48"/>
      <c r="AK163" s="48"/>
      <c r="AL163" s="48"/>
      <c r="AM163" s="48"/>
      <c r="AN163" s="95"/>
      <c r="AP163" s="95"/>
      <c r="AW163" s="95"/>
    </row>
    <row r="164">
      <c r="A164" s="48"/>
      <c r="B164" s="48"/>
      <c r="C164" s="86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48"/>
      <c r="AI164" s="71"/>
      <c r="AJ164" s="48"/>
      <c r="AK164" s="48"/>
      <c r="AL164" s="48"/>
      <c r="AM164" s="48"/>
      <c r="AN164" s="95"/>
      <c r="AP164" s="95"/>
      <c r="AW164" s="95"/>
    </row>
    <row r="165">
      <c r="A165" s="48"/>
      <c r="B165" s="48"/>
      <c r="C165" s="86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48"/>
      <c r="AI165" s="71"/>
      <c r="AJ165" s="48"/>
      <c r="AK165" s="48"/>
      <c r="AL165" s="48"/>
      <c r="AM165" s="48"/>
      <c r="AN165" s="95"/>
      <c r="AP165" s="95"/>
      <c r="AW165" s="95"/>
    </row>
    <row r="166">
      <c r="A166" s="48"/>
      <c r="B166" s="48"/>
      <c r="C166" s="86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48"/>
      <c r="AI166" s="71"/>
      <c r="AJ166" s="48"/>
      <c r="AK166" s="48"/>
      <c r="AL166" s="48"/>
      <c r="AM166" s="48"/>
      <c r="AN166" s="95"/>
      <c r="AP166" s="95"/>
      <c r="AW166" s="95"/>
    </row>
    <row r="167">
      <c r="A167" s="48"/>
      <c r="B167" s="48"/>
      <c r="C167" s="86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48"/>
      <c r="AI167" s="71"/>
      <c r="AJ167" s="48"/>
      <c r="AK167" s="48"/>
      <c r="AL167" s="48"/>
      <c r="AM167" s="48"/>
      <c r="AN167" s="95"/>
      <c r="AP167" s="95"/>
      <c r="AW167" s="95"/>
    </row>
    <row r="168">
      <c r="A168" s="48"/>
      <c r="B168" s="48"/>
      <c r="C168" s="86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48"/>
      <c r="AI168" s="71"/>
      <c r="AJ168" s="48"/>
      <c r="AK168" s="48"/>
      <c r="AL168" s="48"/>
      <c r="AM168" s="48"/>
      <c r="AN168" s="95"/>
      <c r="AP168" s="95"/>
      <c r="AW168" s="95"/>
    </row>
    <row r="169">
      <c r="A169" s="48"/>
      <c r="B169" s="48"/>
      <c r="C169" s="86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48"/>
      <c r="AI169" s="71"/>
      <c r="AJ169" s="48"/>
      <c r="AK169" s="48"/>
      <c r="AL169" s="48"/>
      <c r="AM169" s="48"/>
      <c r="AN169" s="95"/>
      <c r="AP169" s="95"/>
      <c r="AW169" s="95"/>
    </row>
    <row r="170">
      <c r="A170" s="48"/>
      <c r="B170" s="48"/>
      <c r="C170" s="86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48"/>
      <c r="AI170" s="71"/>
      <c r="AJ170" s="48"/>
      <c r="AK170" s="48"/>
      <c r="AL170" s="48"/>
      <c r="AM170" s="48"/>
      <c r="AN170" s="95"/>
      <c r="AP170" s="95"/>
      <c r="AW170" s="95"/>
    </row>
    <row r="171">
      <c r="A171" s="48"/>
      <c r="B171" s="48"/>
      <c r="C171" s="86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48"/>
      <c r="AI171" s="71"/>
      <c r="AJ171" s="48"/>
      <c r="AK171" s="48"/>
      <c r="AL171" s="48"/>
      <c r="AM171" s="48"/>
      <c r="AN171" s="95"/>
      <c r="AP171" s="95"/>
      <c r="AW171" s="95"/>
    </row>
    <row r="172">
      <c r="A172" s="48"/>
      <c r="B172" s="48"/>
      <c r="C172" s="86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48"/>
      <c r="AI172" s="71"/>
      <c r="AJ172" s="48"/>
      <c r="AK172" s="48"/>
      <c r="AL172" s="48"/>
      <c r="AM172" s="48"/>
      <c r="AN172" s="95"/>
      <c r="AP172" s="95"/>
      <c r="AW172" s="95"/>
    </row>
    <row r="173">
      <c r="A173" s="48"/>
      <c r="B173" s="48"/>
      <c r="C173" s="86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48"/>
      <c r="AI173" s="71"/>
      <c r="AJ173" s="48"/>
      <c r="AK173" s="48"/>
      <c r="AL173" s="48"/>
      <c r="AM173" s="48"/>
      <c r="AN173" s="95"/>
      <c r="AP173" s="95"/>
      <c r="AW173" s="95"/>
    </row>
    <row r="174">
      <c r="A174" s="48"/>
      <c r="B174" s="48"/>
      <c r="C174" s="86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48"/>
      <c r="AI174" s="71"/>
      <c r="AJ174" s="48"/>
      <c r="AK174" s="48"/>
      <c r="AL174" s="48"/>
      <c r="AM174" s="48"/>
      <c r="AN174" s="95"/>
      <c r="AP174" s="95"/>
      <c r="AW174" s="95"/>
    </row>
    <row r="175">
      <c r="A175" s="48"/>
      <c r="B175" s="48"/>
      <c r="C175" s="86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48"/>
      <c r="AI175" s="71"/>
      <c r="AJ175" s="48"/>
      <c r="AK175" s="48"/>
      <c r="AL175" s="48"/>
      <c r="AM175" s="48"/>
      <c r="AN175" s="95"/>
      <c r="AP175" s="95"/>
      <c r="AW175" s="95"/>
    </row>
    <row r="176">
      <c r="A176" s="48"/>
      <c r="B176" s="48"/>
      <c r="C176" s="86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48"/>
      <c r="AI176" s="71"/>
      <c r="AJ176" s="48"/>
      <c r="AK176" s="48"/>
      <c r="AL176" s="48"/>
      <c r="AM176" s="48"/>
      <c r="AN176" s="95"/>
      <c r="AP176" s="95"/>
      <c r="AW176" s="95"/>
    </row>
    <row r="177">
      <c r="A177" s="48"/>
      <c r="B177" s="48"/>
      <c r="C177" s="86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48"/>
      <c r="AI177" s="71"/>
      <c r="AJ177" s="48"/>
      <c r="AK177" s="48"/>
      <c r="AL177" s="48"/>
      <c r="AM177" s="48"/>
      <c r="AN177" s="95"/>
      <c r="AP177" s="95"/>
      <c r="AW177" s="95"/>
    </row>
    <row r="178">
      <c r="A178" s="48"/>
      <c r="B178" s="48"/>
      <c r="C178" s="86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48"/>
      <c r="AI178" s="71"/>
      <c r="AJ178" s="48"/>
      <c r="AK178" s="48"/>
      <c r="AL178" s="48"/>
      <c r="AM178" s="48"/>
      <c r="AN178" s="95"/>
      <c r="AP178" s="95"/>
      <c r="AW178" s="95"/>
    </row>
    <row r="179">
      <c r="A179" s="48"/>
      <c r="B179" s="48"/>
      <c r="C179" s="86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48"/>
      <c r="AI179" s="71"/>
      <c r="AJ179" s="48"/>
      <c r="AK179" s="48"/>
      <c r="AL179" s="48"/>
      <c r="AM179" s="48"/>
      <c r="AN179" s="95"/>
      <c r="AP179" s="95"/>
      <c r="AW179" s="95"/>
    </row>
    <row r="180">
      <c r="A180" s="48"/>
      <c r="B180" s="48"/>
      <c r="C180" s="86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48"/>
      <c r="AI180" s="71"/>
      <c r="AJ180" s="48"/>
      <c r="AK180" s="48"/>
      <c r="AL180" s="48"/>
      <c r="AM180" s="48"/>
      <c r="AN180" s="95"/>
      <c r="AP180" s="95"/>
      <c r="AW180" s="95"/>
    </row>
    <row r="181">
      <c r="A181" s="48"/>
      <c r="B181" s="48"/>
      <c r="C181" s="86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48"/>
      <c r="AI181" s="71"/>
      <c r="AJ181" s="48"/>
      <c r="AK181" s="48"/>
      <c r="AL181" s="48"/>
      <c r="AM181" s="48"/>
      <c r="AN181" s="95"/>
      <c r="AP181" s="95"/>
      <c r="AW181" s="95"/>
    </row>
    <row r="182">
      <c r="A182" s="48"/>
      <c r="B182" s="48"/>
      <c r="C182" s="86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48"/>
      <c r="AI182" s="71"/>
      <c r="AJ182" s="48"/>
      <c r="AK182" s="48"/>
      <c r="AL182" s="48"/>
      <c r="AM182" s="48"/>
      <c r="AN182" s="95"/>
      <c r="AP182" s="95"/>
      <c r="AW182" s="95"/>
    </row>
    <row r="183">
      <c r="A183" s="48"/>
      <c r="B183" s="48"/>
      <c r="C183" s="86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48"/>
      <c r="AI183" s="71"/>
      <c r="AJ183" s="48"/>
      <c r="AK183" s="48"/>
      <c r="AL183" s="48"/>
      <c r="AM183" s="48"/>
      <c r="AN183" s="95"/>
      <c r="AP183" s="95"/>
      <c r="AW183" s="95"/>
    </row>
    <row r="184">
      <c r="A184" s="48"/>
      <c r="B184" s="48"/>
      <c r="C184" s="86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48"/>
      <c r="AI184" s="71"/>
      <c r="AJ184" s="48"/>
      <c r="AK184" s="48"/>
      <c r="AL184" s="48"/>
      <c r="AM184" s="48"/>
      <c r="AN184" s="95"/>
      <c r="AP184" s="95"/>
      <c r="AW184" s="95"/>
    </row>
    <row r="185">
      <c r="A185" s="48"/>
      <c r="B185" s="48"/>
      <c r="C185" s="86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48"/>
      <c r="AI185" s="71"/>
      <c r="AJ185" s="48"/>
      <c r="AK185" s="48"/>
      <c r="AL185" s="48"/>
      <c r="AM185" s="48"/>
      <c r="AN185" s="95"/>
      <c r="AP185" s="95"/>
      <c r="AW185" s="95"/>
    </row>
    <row r="186">
      <c r="A186" s="48"/>
      <c r="B186" s="48"/>
      <c r="C186" s="86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48"/>
      <c r="AI186" s="71"/>
      <c r="AJ186" s="48"/>
      <c r="AK186" s="48"/>
      <c r="AL186" s="48"/>
      <c r="AM186" s="48"/>
      <c r="AN186" s="95"/>
      <c r="AP186" s="95"/>
      <c r="AW186" s="95"/>
    </row>
    <row r="187">
      <c r="A187" s="48"/>
      <c r="B187" s="48"/>
      <c r="C187" s="86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48"/>
      <c r="AI187" s="71"/>
      <c r="AJ187" s="48"/>
      <c r="AK187" s="48"/>
      <c r="AL187" s="48"/>
      <c r="AM187" s="48"/>
      <c r="AN187" s="95"/>
      <c r="AP187" s="95"/>
      <c r="AW187" s="95"/>
    </row>
    <row r="188">
      <c r="A188" s="48"/>
      <c r="B188" s="48"/>
      <c r="C188" s="86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48"/>
      <c r="AI188" s="71"/>
      <c r="AJ188" s="48"/>
      <c r="AK188" s="48"/>
      <c r="AL188" s="48"/>
      <c r="AM188" s="48"/>
      <c r="AN188" s="95"/>
      <c r="AP188" s="95"/>
      <c r="AW188" s="95"/>
    </row>
    <row r="189">
      <c r="A189" s="48"/>
      <c r="B189" s="48"/>
      <c r="C189" s="86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48"/>
      <c r="AI189" s="71"/>
      <c r="AJ189" s="48"/>
      <c r="AK189" s="48"/>
      <c r="AL189" s="48"/>
      <c r="AM189" s="48"/>
      <c r="AN189" s="95"/>
      <c r="AP189" s="95"/>
      <c r="AW189" s="95"/>
    </row>
    <row r="190">
      <c r="A190" s="48"/>
      <c r="B190" s="48"/>
      <c r="C190" s="86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48"/>
      <c r="AI190" s="71"/>
      <c r="AJ190" s="48"/>
      <c r="AK190" s="48"/>
      <c r="AL190" s="48"/>
      <c r="AM190" s="48"/>
      <c r="AN190" s="95"/>
      <c r="AP190" s="95"/>
      <c r="AW190" s="95"/>
    </row>
    <row r="191">
      <c r="A191" s="48"/>
      <c r="B191" s="48"/>
      <c r="C191" s="86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48"/>
      <c r="AI191" s="71"/>
      <c r="AJ191" s="48"/>
      <c r="AK191" s="48"/>
      <c r="AL191" s="48"/>
      <c r="AM191" s="48"/>
      <c r="AN191" s="95"/>
      <c r="AP191" s="95"/>
      <c r="AW191" s="95"/>
    </row>
    <row r="192">
      <c r="A192" s="48"/>
      <c r="B192" s="48"/>
      <c r="C192" s="86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48"/>
      <c r="AI192" s="71"/>
      <c r="AJ192" s="48"/>
      <c r="AK192" s="48"/>
      <c r="AL192" s="48"/>
      <c r="AM192" s="48"/>
      <c r="AN192" s="95"/>
      <c r="AP192" s="95"/>
      <c r="AW192" s="95"/>
    </row>
    <row r="193">
      <c r="A193" s="48"/>
      <c r="B193" s="48"/>
      <c r="C193" s="86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48"/>
      <c r="AI193" s="71"/>
      <c r="AJ193" s="48"/>
      <c r="AK193" s="48"/>
      <c r="AL193" s="48"/>
      <c r="AM193" s="48"/>
      <c r="AN193" s="95"/>
      <c r="AP193" s="95"/>
      <c r="AW193" s="95"/>
    </row>
    <row r="194">
      <c r="A194" s="48"/>
      <c r="B194" s="48"/>
      <c r="C194" s="86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48"/>
      <c r="AI194" s="71"/>
      <c r="AJ194" s="48"/>
      <c r="AK194" s="48"/>
      <c r="AL194" s="48"/>
      <c r="AM194" s="48"/>
      <c r="AN194" s="95"/>
      <c r="AP194" s="95"/>
      <c r="AW194" s="95"/>
    </row>
    <row r="195">
      <c r="A195" s="48"/>
      <c r="B195" s="48"/>
      <c r="C195" s="86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48"/>
      <c r="AI195" s="71"/>
      <c r="AJ195" s="48"/>
      <c r="AK195" s="48"/>
      <c r="AL195" s="48"/>
      <c r="AM195" s="48"/>
      <c r="AN195" s="95"/>
      <c r="AP195" s="95"/>
      <c r="AW195" s="95"/>
    </row>
    <row r="196">
      <c r="A196" s="48"/>
      <c r="B196" s="48"/>
      <c r="C196" s="86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48"/>
      <c r="AI196" s="71"/>
      <c r="AJ196" s="48"/>
      <c r="AK196" s="48"/>
      <c r="AL196" s="48"/>
      <c r="AM196" s="48"/>
      <c r="AN196" s="95"/>
      <c r="AP196" s="95"/>
      <c r="AW196" s="95"/>
    </row>
    <row r="197">
      <c r="A197" s="48"/>
      <c r="B197" s="48"/>
      <c r="C197" s="86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48"/>
      <c r="AI197" s="71"/>
      <c r="AJ197" s="48"/>
      <c r="AK197" s="48"/>
      <c r="AL197" s="48"/>
      <c r="AM197" s="48"/>
      <c r="AN197" s="95"/>
      <c r="AP197" s="95"/>
      <c r="AW197" s="95"/>
    </row>
    <row r="198">
      <c r="A198" s="48"/>
      <c r="B198" s="48"/>
      <c r="C198" s="86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48"/>
      <c r="AI198" s="71"/>
      <c r="AJ198" s="48"/>
      <c r="AK198" s="48"/>
      <c r="AL198" s="48"/>
      <c r="AM198" s="48"/>
      <c r="AN198" s="95"/>
      <c r="AP198" s="95"/>
      <c r="AW198" s="95"/>
    </row>
    <row r="199">
      <c r="A199" s="48"/>
      <c r="B199" s="48"/>
      <c r="C199" s="86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48"/>
      <c r="AI199" s="71"/>
      <c r="AJ199" s="48"/>
      <c r="AK199" s="48"/>
      <c r="AL199" s="48"/>
      <c r="AM199" s="48"/>
      <c r="AN199" s="95"/>
      <c r="AP199" s="95"/>
      <c r="AW199" s="95"/>
    </row>
    <row r="200">
      <c r="A200" s="48"/>
      <c r="B200" s="48"/>
      <c r="C200" s="86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48"/>
      <c r="AI200" s="71"/>
      <c r="AJ200" s="48"/>
      <c r="AK200" s="48"/>
      <c r="AL200" s="48"/>
      <c r="AM200" s="48"/>
      <c r="AN200" s="95"/>
      <c r="AP200" s="95"/>
      <c r="AW200" s="95"/>
    </row>
    <row r="201">
      <c r="A201" s="48"/>
      <c r="B201" s="48"/>
      <c r="C201" s="86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48"/>
      <c r="AI201" s="71"/>
      <c r="AJ201" s="48"/>
      <c r="AK201" s="48"/>
      <c r="AL201" s="48"/>
      <c r="AM201" s="48"/>
      <c r="AN201" s="95"/>
      <c r="AP201" s="95"/>
      <c r="AW201" s="95"/>
    </row>
    <row r="202">
      <c r="A202" s="48"/>
      <c r="B202" s="48"/>
      <c r="C202" s="86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48"/>
      <c r="AI202" s="71"/>
      <c r="AJ202" s="48"/>
      <c r="AK202" s="48"/>
      <c r="AL202" s="48"/>
      <c r="AM202" s="48"/>
      <c r="AN202" s="95"/>
      <c r="AP202" s="95"/>
      <c r="AW202" s="95"/>
    </row>
    <row r="203">
      <c r="A203" s="48"/>
      <c r="B203" s="48"/>
      <c r="C203" s="86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48"/>
      <c r="AI203" s="71"/>
      <c r="AJ203" s="48"/>
      <c r="AK203" s="48"/>
      <c r="AL203" s="48"/>
      <c r="AM203" s="48"/>
      <c r="AN203" s="95"/>
      <c r="AP203" s="95"/>
      <c r="AW203" s="95"/>
    </row>
    <row r="204">
      <c r="A204" s="48"/>
      <c r="B204" s="48"/>
      <c r="C204" s="86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48"/>
      <c r="AI204" s="71"/>
      <c r="AJ204" s="48"/>
      <c r="AK204" s="48"/>
      <c r="AL204" s="48"/>
      <c r="AM204" s="48"/>
      <c r="AN204" s="95"/>
      <c r="AP204" s="95"/>
      <c r="AW204" s="95"/>
    </row>
    <row r="205">
      <c r="A205" s="48"/>
      <c r="B205" s="48"/>
      <c r="C205" s="86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48"/>
      <c r="AI205" s="71"/>
      <c r="AJ205" s="48"/>
      <c r="AK205" s="48"/>
      <c r="AL205" s="48"/>
      <c r="AM205" s="48"/>
      <c r="AN205" s="95"/>
      <c r="AP205" s="95"/>
      <c r="AW205" s="95"/>
    </row>
    <row r="206">
      <c r="A206" s="48"/>
      <c r="B206" s="48"/>
      <c r="C206" s="86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48"/>
      <c r="AI206" s="71"/>
      <c r="AJ206" s="48"/>
      <c r="AK206" s="48"/>
      <c r="AL206" s="48"/>
      <c r="AM206" s="48"/>
      <c r="AN206" s="95"/>
      <c r="AP206" s="95"/>
      <c r="AW206" s="95"/>
    </row>
    <row r="207">
      <c r="A207" s="48"/>
      <c r="B207" s="48"/>
      <c r="C207" s="86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48"/>
      <c r="AI207" s="71"/>
      <c r="AJ207" s="48"/>
      <c r="AK207" s="48"/>
      <c r="AL207" s="48"/>
      <c r="AM207" s="48"/>
      <c r="AN207" s="95"/>
      <c r="AP207" s="95"/>
      <c r="AW207" s="95"/>
    </row>
    <row r="208">
      <c r="A208" s="48"/>
      <c r="B208" s="48"/>
      <c r="C208" s="86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48"/>
      <c r="AI208" s="71"/>
      <c r="AJ208" s="48"/>
      <c r="AK208" s="48"/>
      <c r="AL208" s="48"/>
      <c r="AM208" s="48"/>
      <c r="AN208" s="95"/>
      <c r="AP208" s="95"/>
      <c r="AW208" s="95"/>
    </row>
    <row r="209">
      <c r="A209" s="48"/>
      <c r="B209" s="48"/>
      <c r="C209" s="86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48"/>
      <c r="AI209" s="71"/>
      <c r="AJ209" s="48"/>
      <c r="AK209" s="48"/>
      <c r="AL209" s="48"/>
      <c r="AM209" s="48"/>
      <c r="AN209" s="95"/>
      <c r="AP209" s="95"/>
      <c r="AW209" s="95"/>
    </row>
    <row r="210">
      <c r="A210" s="48"/>
      <c r="B210" s="48"/>
      <c r="C210" s="86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48"/>
      <c r="AI210" s="71"/>
      <c r="AJ210" s="48"/>
      <c r="AK210" s="48"/>
      <c r="AL210" s="48"/>
      <c r="AM210" s="48"/>
      <c r="AN210" s="95"/>
      <c r="AP210" s="95"/>
      <c r="AW210" s="95"/>
    </row>
    <row r="211">
      <c r="A211" s="48"/>
      <c r="B211" s="48"/>
      <c r="C211" s="86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48"/>
      <c r="AI211" s="71"/>
      <c r="AJ211" s="48"/>
      <c r="AK211" s="48"/>
      <c r="AL211" s="48"/>
      <c r="AM211" s="48"/>
      <c r="AN211" s="95"/>
      <c r="AP211" s="95"/>
      <c r="AW211" s="95"/>
    </row>
    <row r="212">
      <c r="A212" s="48"/>
      <c r="B212" s="48"/>
      <c r="C212" s="86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48"/>
      <c r="AI212" s="71"/>
      <c r="AJ212" s="48"/>
      <c r="AK212" s="48"/>
      <c r="AL212" s="48"/>
      <c r="AM212" s="48"/>
      <c r="AN212" s="95"/>
      <c r="AP212" s="95"/>
      <c r="AW212" s="95"/>
    </row>
    <row r="213">
      <c r="A213" s="48"/>
      <c r="B213" s="48"/>
      <c r="C213" s="86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48"/>
      <c r="AI213" s="71"/>
      <c r="AJ213" s="48"/>
      <c r="AK213" s="48"/>
      <c r="AL213" s="48"/>
      <c r="AM213" s="48"/>
      <c r="AN213" s="95"/>
      <c r="AP213" s="95"/>
      <c r="AW213" s="95"/>
    </row>
    <row r="214">
      <c r="A214" s="48"/>
      <c r="B214" s="48"/>
      <c r="C214" s="86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48"/>
      <c r="AI214" s="71"/>
      <c r="AJ214" s="48"/>
      <c r="AK214" s="48"/>
      <c r="AL214" s="48"/>
      <c r="AM214" s="48"/>
      <c r="AN214" s="95"/>
      <c r="AP214" s="95"/>
      <c r="AW214" s="95"/>
    </row>
    <row r="215">
      <c r="A215" s="48"/>
      <c r="B215" s="48"/>
      <c r="C215" s="86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48"/>
      <c r="AI215" s="71"/>
      <c r="AJ215" s="48"/>
      <c r="AK215" s="48"/>
      <c r="AL215" s="48"/>
      <c r="AM215" s="48"/>
      <c r="AN215" s="95"/>
      <c r="AP215" s="95"/>
      <c r="AW215" s="95"/>
    </row>
    <row r="216">
      <c r="A216" s="48"/>
      <c r="B216" s="48"/>
      <c r="C216" s="86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48"/>
      <c r="AI216" s="71"/>
      <c r="AJ216" s="48"/>
      <c r="AK216" s="48"/>
      <c r="AL216" s="48"/>
      <c r="AM216" s="48"/>
      <c r="AN216" s="95"/>
      <c r="AP216" s="95"/>
      <c r="AW216" s="95"/>
    </row>
    <row r="217">
      <c r="A217" s="48"/>
      <c r="B217" s="48"/>
      <c r="C217" s="86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48"/>
      <c r="AI217" s="71"/>
      <c r="AJ217" s="48"/>
      <c r="AK217" s="48"/>
      <c r="AL217" s="48"/>
      <c r="AM217" s="48"/>
      <c r="AN217" s="95"/>
      <c r="AP217" s="95"/>
      <c r="AW217" s="95"/>
    </row>
    <row r="218">
      <c r="A218" s="48"/>
      <c r="B218" s="48"/>
      <c r="C218" s="86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48"/>
      <c r="AI218" s="71"/>
      <c r="AJ218" s="48"/>
      <c r="AK218" s="48"/>
      <c r="AL218" s="48"/>
      <c r="AM218" s="48"/>
      <c r="AN218" s="95"/>
      <c r="AP218" s="95"/>
      <c r="AW218" s="95"/>
    </row>
    <row r="219">
      <c r="A219" s="48"/>
      <c r="B219" s="48"/>
      <c r="C219" s="86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48"/>
      <c r="AI219" s="71"/>
      <c r="AJ219" s="48"/>
      <c r="AK219" s="48"/>
      <c r="AL219" s="48"/>
      <c r="AM219" s="48"/>
      <c r="AN219" s="95"/>
      <c r="AP219" s="95"/>
      <c r="AW219" s="95"/>
    </row>
    <row r="220">
      <c r="A220" s="48"/>
      <c r="B220" s="48"/>
      <c r="C220" s="86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48"/>
      <c r="AI220" s="71"/>
      <c r="AJ220" s="48"/>
      <c r="AK220" s="48"/>
      <c r="AL220" s="48"/>
      <c r="AM220" s="48"/>
      <c r="AN220" s="95"/>
      <c r="AP220" s="95"/>
      <c r="AW220" s="95"/>
    </row>
    <row r="221">
      <c r="A221" s="48"/>
      <c r="B221" s="48"/>
      <c r="C221" s="86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48"/>
      <c r="AI221" s="71"/>
      <c r="AJ221" s="48"/>
      <c r="AK221" s="48"/>
      <c r="AL221" s="48"/>
      <c r="AM221" s="48"/>
      <c r="AN221" s="95"/>
      <c r="AP221" s="95"/>
      <c r="AW221" s="95"/>
    </row>
    <row r="222">
      <c r="A222" s="48"/>
      <c r="B222" s="48"/>
      <c r="C222" s="86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48"/>
      <c r="AI222" s="71"/>
      <c r="AJ222" s="48"/>
      <c r="AK222" s="48"/>
      <c r="AL222" s="48"/>
      <c r="AM222" s="48"/>
      <c r="AN222" s="95"/>
      <c r="AP222" s="95"/>
      <c r="AW222" s="95"/>
    </row>
    <row r="223">
      <c r="A223" s="48"/>
      <c r="B223" s="48"/>
      <c r="C223" s="86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48"/>
      <c r="AI223" s="71"/>
      <c r="AJ223" s="48"/>
      <c r="AK223" s="48"/>
      <c r="AL223" s="48"/>
      <c r="AM223" s="48"/>
      <c r="AN223" s="95"/>
      <c r="AP223" s="95"/>
      <c r="AW223" s="95"/>
    </row>
    <row r="224">
      <c r="A224" s="48"/>
      <c r="B224" s="48"/>
      <c r="C224" s="86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48"/>
      <c r="AI224" s="71"/>
      <c r="AJ224" s="48"/>
      <c r="AK224" s="48"/>
      <c r="AL224" s="48"/>
      <c r="AM224" s="48"/>
      <c r="AN224" s="95"/>
      <c r="AP224" s="95"/>
      <c r="AW224" s="95"/>
    </row>
    <row r="225">
      <c r="A225" s="48"/>
      <c r="B225" s="48"/>
      <c r="C225" s="86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48"/>
      <c r="AI225" s="71"/>
      <c r="AJ225" s="48"/>
      <c r="AK225" s="48"/>
      <c r="AL225" s="48"/>
      <c r="AM225" s="48"/>
      <c r="AN225" s="95"/>
      <c r="AP225" s="95"/>
      <c r="AW225" s="95"/>
    </row>
    <row r="226">
      <c r="A226" s="48"/>
      <c r="B226" s="48"/>
      <c r="C226" s="86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48"/>
      <c r="AI226" s="71"/>
      <c r="AJ226" s="48"/>
      <c r="AK226" s="48"/>
      <c r="AL226" s="48"/>
      <c r="AM226" s="48"/>
      <c r="AN226" s="95"/>
      <c r="AP226" s="95"/>
      <c r="AW226" s="95"/>
    </row>
    <row r="227">
      <c r="A227" s="48"/>
      <c r="B227" s="48"/>
      <c r="C227" s="86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48"/>
      <c r="AI227" s="71"/>
      <c r="AJ227" s="48"/>
      <c r="AK227" s="48"/>
      <c r="AL227" s="48"/>
      <c r="AM227" s="48"/>
      <c r="AN227" s="95"/>
      <c r="AP227" s="95"/>
      <c r="AW227" s="95"/>
    </row>
    <row r="228">
      <c r="A228" s="48"/>
      <c r="B228" s="48"/>
      <c r="C228" s="86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48"/>
      <c r="AI228" s="71"/>
      <c r="AJ228" s="48"/>
      <c r="AK228" s="48"/>
      <c r="AL228" s="48"/>
      <c r="AM228" s="48"/>
      <c r="AN228" s="95"/>
      <c r="AP228" s="95"/>
      <c r="AW228" s="95"/>
    </row>
    <row r="229">
      <c r="A229" s="48"/>
      <c r="B229" s="48"/>
      <c r="C229" s="86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48"/>
      <c r="AI229" s="71"/>
      <c r="AJ229" s="48"/>
      <c r="AK229" s="48"/>
      <c r="AL229" s="48"/>
      <c r="AM229" s="48"/>
      <c r="AN229" s="95"/>
      <c r="AP229" s="95"/>
      <c r="AW229" s="95"/>
    </row>
    <row r="230">
      <c r="A230" s="48"/>
      <c r="B230" s="48"/>
      <c r="C230" s="86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48"/>
      <c r="AI230" s="71"/>
      <c r="AJ230" s="48"/>
      <c r="AK230" s="48"/>
      <c r="AL230" s="48"/>
      <c r="AM230" s="48"/>
      <c r="AN230" s="95"/>
      <c r="AP230" s="95"/>
      <c r="AW230" s="95"/>
    </row>
    <row r="231">
      <c r="A231" s="48"/>
      <c r="B231" s="48"/>
      <c r="C231" s="86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48"/>
      <c r="AI231" s="71"/>
      <c r="AJ231" s="48"/>
      <c r="AK231" s="48"/>
      <c r="AL231" s="48"/>
      <c r="AM231" s="48"/>
      <c r="AN231" s="95"/>
      <c r="AP231" s="95"/>
      <c r="AW231" s="95"/>
    </row>
    <row r="232">
      <c r="A232" s="48"/>
      <c r="B232" s="48"/>
      <c r="C232" s="86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48"/>
      <c r="AI232" s="71"/>
      <c r="AJ232" s="48"/>
      <c r="AK232" s="48"/>
      <c r="AL232" s="48"/>
      <c r="AM232" s="48"/>
      <c r="AN232" s="95"/>
      <c r="AP232" s="95"/>
      <c r="AW232" s="95"/>
    </row>
    <row r="233">
      <c r="A233" s="48"/>
      <c r="B233" s="48"/>
      <c r="C233" s="86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48"/>
      <c r="AI233" s="71"/>
      <c r="AJ233" s="48"/>
      <c r="AK233" s="48"/>
      <c r="AL233" s="48"/>
      <c r="AM233" s="48"/>
      <c r="AN233" s="95"/>
      <c r="AP233" s="95"/>
      <c r="AW233" s="95"/>
    </row>
    <row r="234">
      <c r="A234" s="48"/>
      <c r="B234" s="48"/>
      <c r="C234" s="86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48"/>
      <c r="AI234" s="71"/>
      <c r="AJ234" s="48"/>
      <c r="AK234" s="48"/>
      <c r="AL234" s="48"/>
      <c r="AM234" s="48"/>
      <c r="AN234" s="95"/>
      <c r="AP234" s="95"/>
      <c r="AW234" s="95"/>
    </row>
    <row r="235">
      <c r="A235" s="48"/>
      <c r="B235" s="48"/>
      <c r="C235" s="86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48"/>
      <c r="AI235" s="71"/>
      <c r="AJ235" s="48"/>
      <c r="AK235" s="48"/>
      <c r="AL235" s="48"/>
      <c r="AM235" s="48"/>
      <c r="AN235" s="95"/>
      <c r="AP235" s="95"/>
      <c r="AW235" s="95"/>
    </row>
    <row r="236">
      <c r="A236" s="48"/>
      <c r="B236" s="48"/>
      <c r="C236" s="86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48"/>
      <c r="AI236" s="71"/>
      <c r="AJ236" s="48"/>
      <c r="AK236" s="48"/>
      <c r="AL236" s="48"/>
      <c r="AM236" s="48"/>
      <c r="AN236" s="95"/>
      <c r="AP236" s="95"/>
      <c r="AW236" s="95"/>
    </row>
    <row r="237">
      <c r="A237" s="48"/>
      <c r="B237" s="48"/>
      <c r="C237" s="86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48"/>
      <c r="AI237" s="71"/>
      <c r="AJ237" s="48"/>
      <c r="AK237" s="48"/>
      <c r="AL237" s="48"/>
      <c r="AM237" s="48"/>
      <c r="AN237" s="95"/>
      <c r="AP237" s="95"/>
      <c r="AW237" s="95"/>
    </row>
    <row r="238">
      <c r="A238" s="48"/>
      <c r="B238" s="48"/>
      <c r="C238" s="86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48"/>
      <c r="AI238" s="71"/>
      <c r="AJ238" s="48"/>
      <c r="AK238" s="48"/>
      <c r="AL238" s="48"/>
      <c r="AM238" s="48"/>
      <c r="AN238" s="95"/>
      <c r="AP238" s="95"/>
      <c r="AW238" s="95"/>
    </row>
    <row r="239">
      <c r="A239" s="48"/>
      <c r="B239" s="48"/>
      <c r="C239" s="86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48"/>
      <c r="AI239" s="71"/>
      <c r="AJ239" s="48"/>
      <c r="AK239" s="48"/>
      <c r="AL239" s="48"/>
      <c r="AM239" s="48"/>
      <c r="AN239" s="95"/>
      <c r="AP239" s="95"/>
      <c r="AW239" s="95"/>
    </row>
    <row r="240">
      <c r="A240" s="48"/>
      <c r="B240" s="48"/>
      <c r="C240" s="86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48"/>
      <c r="AI240" s="71"/>
      <c r="AJ240" s="48"/>
      <c r="AK240" s="48"/>
      <c r="AL240" s="48"/>
      <c r="AM240" s="48"/>
      <c r="AN240" s="95"/>
      <c r="AP240" s="95"/>
      <c r="AW240" s="95"/>
    </row>
    <row r="241">
      <c r="A241" s="48"/>
      <c r="B241" s="48"/>
      <c r="C241" s="86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48"/>
      <c r="AI241" s="71"/>
      <c r="AJ241" s="48"/>
      <c r="AK241" s="48"/>
      <c r="AL241" s="48"/>
      <c r="AM241" s="48"/>
      <c r="AN241" s="95"/>
      <c r="AP241" s="95"/>
      <c r="AW241" s="95"/>
    </row>
    <row r="242">
      <c r="A242" s="48"/>
      <c r="B242" s="48"/>
      <c r="C242" s="86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48"/>
      <c r="AI242" s="71"/>
      <c r="AJ242" s="48"/>
      <c r="AK242" s="48"/>
      <c r="AL242" s="48"/>
      <c r="AM242" s="48"/>
      <c r="AN242" s="95"/>
      <c r="AP242" s="95"/>
      <c r="AW242" s="95"/>
    </row>
    <row r="243">
      <c r="A243" s="48"/>
      <c r="B243" s="48"/>
      <c r="C243" s="86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48"/>
      <c r="AI243" s="71"/>
      <c r="AJ243" s="48"/>
      <c r="AK243" s="48"/>
      <c r="AL243" s="48"/>
      <c r="AM243" s="48"/>
      <c r="AN243" s="95"/>
      <c r="AP243" s="95"/>
      <c r="AW243" s="95"/>
    </row>
    <row r="244">
      <c r="A244" s="48"/>
      <c r="B244" s="48"/>
      <c r="C244" s="86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48"/>
      <c r="AI244" s="71"/>
      <c r="AJ244" s="48"/>
      <c r="AK244" s="48"/>
      <c r="AL244" s="48"/>
      <c r="AM244" s="48"/>
      <c r="AN244" s="95"/>
      <c r="AP244" s="95"/>
      <c r="AW244" s="95"/>
    </row>
    <row r="245">
      <c r="A245" s="48"/>
      <c r="B245" s="48"/>
      <c r="C245" s="86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48"/>
      <c r="AI245" s="71"/>
      <c r="AJ245" s="48"/>
      <c r="AK245" s="48"/>
      <c r="AL245" s="48"/>
      <c r="AM245" s="48"/>
      <c r="AN245" s="95"/>
      <c r="AP245" s="95"/>
      <c r="AW245" s="95"/>
    </row>
    <row r="246">
      <c r="A246" s="48"/>
      <c r="B246" s="48"/>
      <c r="C246" s="86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48"/>
      <c r="AI246" s="71"/>
      <c r="AJ246" s="48"/>
      <c r="AK246" s="48"/>
      <c r="AL246" s="48"/>
      <c r="AM246" s="48"/>
      <c r="AN246" s="95"/>
      <c r="AP246" s="95"/>
      <c r="AW246" s="95"/>
    </row>
    <row r="247">
      <c r="A247" s="48"/>
      <c r="B247" s="48"/>
      <c r="C247" s="86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48"/>
      <c r="AI247" s="71"/>
      <c r="AJ247" s="48"/>
      <c r="AK247" s="48"/>
      <c r="AL247" s="48"/>
      <c r="AM247" s="48"/>
      <c r="AN247" s="95"/>
      <c r="AP247" s="95"/>
      <c r="AW247" s="95"/>
    </row>
    <row r="248">
      <c r="A248" s="48"/>
      <c r="B248" s="48"/>
      <c r="C248" s="86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48"/>
      <c r="AI248" s="71"/>
      <c r="AJ248" s="48"/>
      <c r="AK248" s="48"/>
      <c r="AL248" s="48"/>
      <c r="AM248" s="48"/>
      <c r="AN248" s="95"/>
      <c r="AP248" s="95"/>
      <c r="AW248" s="95"/>
    </row>
    <row r="249">
      <c r="A249" s="48"/>
      <c r="B249" s="48"/>
      <c r="C249" s="86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48"/>
      <c r="AI249" s="71"/>
      <c r="AJ249" s="48"/>
      <c r="AK249" s="48"/>
      <c r="AL249" s="48"/>
      <c r="AM249" s="48"/>
      <c r="AN249" s="95"/>
      <c r="AP249" s="95"/>
      <c r="AW249" s="95"/>
    </row>
    <row r="250">
      <c r="A250" s="48"/>
      <c r="B250" s="48"/>
      <c r="C250" s="86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48"/>
      <c r="AI250" s="71"/>
      <c r="AJ250" s="48"/>
      <c r="AK250" s="48"/>
      <c r="AL250" s="48"/>
      <c r="AM250" s="48"/>
      <c r="AN250" s="95"/>
      <c r="AP250" s="95"/>
      <c r="AW250" s="95"/>
    </row>
    <row r="251">
      <c r="A251" s="48"/>
      <c r="B251" s="48"/>
      <c r="C251" s="86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48"/>
      <c r="AI251" s="71"/>
      <c r="AJ251" s="48"/>
      <c r="AK251" s="48"/>
      <c r="AL251" s="48"/>
      <c r="AM251" s="48"/>
      <c r="AN251" s="95"/>
      <c r="AP251" s="95"/>
      <c r="AW251" s="95"/>
    </row>
    <row r="252">
      <c r="A252" s="48"/>
      <c r="B252" s="48"/>
      <c r="C252" s="86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48"/>
      <c r="AI252" s="71"/>
      <c r="AJ252" s="48"/>
      <c r="AK252" s="48"/>
      <c r="AL252" s="48"/>
      <c r="AM252" s="48"/>
      <c r="AN252" s="95"/>
      <c r="AP252" s="95"/>
      <c r="AW252" s="95"/>
    </row>
    <row r="253">
      <c r="A253" s="48"/>
      <c r="B253" s="48"/>
      <c r="C253" s="86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48"/>
      <c r="AI253" s="71"/>
      <c r="AJ253" s="48"/>
      <c r="AK253" s="48"/>
      <c r="AL253" s="48"/>
      <c r="AM253" s="48"/>
      <c r="AN253" s="95"/>
      <c r="AP253" s="95"/>
      <c r="AW253" s="95"/>
    </row>
    <row r="254">
      <c r="A254" s="48"/>
      <c r="B254" s="48"/>
      <c r="C254" s="86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48"/>
      <c r="AI254" s="71"/>
      <c r="AJ254" s="48"/>
      <c r="AK254" s="48"/>
      <c r="AL254" s="48"/>
      <c r="AM254" s="48"/>
      <c r="AN254" s="95"/>
      <c r="AP254" s="95"/>
      <c r="AW254" s="95"/>
    </row>
    <row r="255">
      <c r="A255" s="48"/>
      <c r="B255" s="48"/>
      <c r="C255" s="86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48"/>
      <c r="AI255" s="71"/>
      <c r="AJ255" s="48"/>
      <c r="AK255" s="48"/>
      <c r="AL255" s="48"/>
      <c r="AM255" s="48"/>
      <c r="AN255" s="95"/>
      <c r="AP255" s="95"/>
      <c r="AW255" s="95"/>
    </row>
    <row r="256">
      <c r="A256" s="48"/>
      <c r="B256" s="48"/>
      <c r="C256" s="86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48"/>
      <c r="AI256" s="71"/>
      <c r="AJ256" s="48"/>
      <c r="AK256" s="48"/>
      <c r="AL256" s="48"/>
      <c r="AM256" s="48"/>
      <c r="AN256" s="95"/>
      <c r="AP256" s="95"/>
      <c r="AW256" s="95"/>
    </row>
    <row r="257">
      <c r="A257" s="48"/>
      <c r="B257" s="48"/>
      <c r="C257" s="86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48"/>
      <c r="AI257" s="71"/>
      <c r="AJ257" s="48"/>
      <c r="AK257" s="48"/>
      <c r="AL257" s="48"/>
      <c r="AM257" s="48"/>
      <c r="AN257" s="95"/>
      <c r="AP257" s="95"/>
      <c r="AW257" s="95"/>
    </row>
    <row r="258">
      <c r="A258" s="48"/>
      <c r="B258" s="48"/>
      <c r="C258" s="86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48"/>
      <c r="AI258" s="71"/>
      <c r="AJ258" s="48"/>
      <c r="AK258" s="48"/>
      <c r="AL258" s="48"/>
      <c r="AM258" s="48"/>
      <c r="AN258" s="95"/>
      <c r="AP258" s="95"/>
      <c r="AW258" s="95"/>
    </row>
    <row r="259">
      <c r="A259" s="48"/>
      <c r="B259" s="48"/>
      <c r="C259" s="86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48"/>
      <c r="AI259" s="71"/>
      <c r="AJ259" s="48"/>
      <c r="AK259" s="48"/>
      <c r="AL259" s="48"/>
      <c r="AM259" s="48"/>
      <c r="AN259" s="95"/>
      <c r="AP259" s="95"/>
      <c r="AW259" s="95"/>
    </row>
    <row r="260">
      <c r="A260" s="48"/>
      <c r="B260" s="48"/>
      <c r="C260" s="86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48"/>
      <c r="AI260" s="71"/>
      <c r="AJ260" s="48"/>
      <c r="AK260" s="48"/>
      <c r="AL260" s="48"/>
      <c r="AM260" s="48"/>
      <c r="AN260" s="95"/>
      <c r="AP260" s="95"/>
      <c r="AW260" s="95"/>
    </row>
    <row r="261">
      <c r="A261" s="48"/>
      <c r="B261" s="48"/>
      <c r="C261" s="86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48"/>
      <c r="AI261" s="71"/>
      <c r="AJ261" s="48"/>
      <c r="AK261" s="48"/>
      <c r="AL261" s="48"/>
      <c r="AM261" s="48"/>
      <c r="AN261" s="95"/>
      <c r="AP261" s="95"/>
      <c r="AW261" s="95"/>
    </row>
    <row r="262">
      <c r="A262" s="48"/>
      <c r="B262" s="48"/>
      <c r="C262" s="86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48"/>
      <c r="AI262" s="71"/>
      <c r="AJ262" s="48"/>
      <c r="AK262" s="48"/>
      <c r="AL262" s="48"/>
      <c r="AM262" s="48"/>
      <c r="AN262" s="95"/>
      <c r="AP262" s="95"/>
      <c r="AW262" s="95"/>
    </row>
    <row r="263">
      <c r="A263" s="48"/>
      <c r="B263" s="48"/>
      <c r="C263" s="86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48"/>
      <c r="AI263" s="71"/>
      <c r="AJ263" s="48"/>
      <c r="AK263" s="48"/>
      <c r="AL263" s="48"/>
      <c r="AM263" s="48"/>
      <c r="AN263" s="95"/>
      <c r="AP263" s="95"/>
      <c r="AW263" s="95"/>
    </row>
    <row r="264">
      <c r="A264" s="48"/>
      <c r="B264" s="48"/>
      <c r="C264" s="86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48"/>
      <c r="AI264" s="71"/>
      <c r="AJ264" s="48"/>
      <c r="AK264" s="48"/>
      <c r="AL264" s="48"/>
      <c r="AM264" s="48"/>
      <c r="AN264" s="95"/>
      <c r="AP264" s="95"/>
      <c r="AW264" s="95"/>
    </row>
    <row r="265">
      <c r="A265" s="48"/>
      <c r="B265" s="48"/>
      <c r="C265" s="86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48"/>
      <c r="AI265" s="71"/>
      <c r="AJ265" s="48"/>
      <c r="AK265" s="48"/>
      <c r="AL265" s="48"/>
      <c r="AM265" s="48"/>
      <c r="AN265" s="95"/>
      <c r="AP265" s="95"/>
      <c r="AW265" s="95"/>
    </row>
    <row r="266">
      <c r="A266" s="48"/>
      <c r="B266" s="48"/>
      <c r="C266" s="86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48"/>
      <c r="AI266" s="71"/>
      <c r="AJ266" s="48"/>
      <c r="AK266" s="48"/>
      <c r="AL266" s="48"/>
      <c r="AM266" s="48"/>
      <c r="AN266" s="95"/>
      <c r="AP266" s="95"/>
      <c r="AW266" s="95"/>
    </row>
    <row r="267">
      <c r="A267" s="48"/>
      <c r="B267" s="48"/>
      <c r="C267" s="86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48"/>
      <c r="AI267" s="71"/>
      <c r="AJ267" s="48"/>
      <c r="AK267" s="48"/>
      <c r="AL267" s="48"/>
      <c r="AM267" s="48"/>
      <c r="AN267" s="95"/>
      <c r="AP267" s="95"/>
      <c r="AW267" s="95"/>
    </row>
    <row r="268">
      <c r="A268" s="48"/>
      <c r="B268" s="48"/>
      <c r="C268" s="86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48"/>
      <c r="AI268" s="71"/>
      <c r="AJ268" s="48"/>
      <c r="AK268" s="48"/>
      <c r="AL268" s="48"/>
      <c r="AM268" s="48"/>
      <c r="AN268" s="95"/>
      <c r="AP268" s="95"/>
      <c r="AW268" s="95"/>
    </row>
    <row r="269">
      <c r="A269" s="48"/>
      <c r="B269" s="48"/>
      <c r="C269" s="86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48"/>
      <c r="AI269" s="71"/>
      <c r="AJ269" s="48"/>
      <c r="AK269" s="48"/>
      <c r="AL269" s="48"/>
      <c r="AM269" s="48"/>
      <c r="AN269" s="95"/>
      <c r="AP269" s="95"/>
      <c r="AW269" s="95"/>
    </row>
    <row r="270">
      <c r="A270" s="48"/>
      <c r="B270" s="48"/>
      <c r="C270" s="86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48"/>
      <c r="AI270" s="71"/>
      <c r="AJ270" s="48"/>
      <c r="AK270" s="48"/>
      <c r="AL270" s="48"/>
      <c r="AM270" s="48"/>
      <c r="AN270" s="95"/>
      <c r="AP270" s="95"/>
      <c r="AW270" s="95"/>
    </row>
    <row r="271">
      <c r="A271" s="48"/>
      <c r="B271" s="48"/>
      <c r="C271" s="86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48"/>
      <c r="AI271" s="71"/>
      <c r="AJ271" s="48"/>
      <c r="AK271" s="48"/>
      <c r="AL271" s="48"/>
      <c r="AM271" s="48"/>
      <c r="AN271" s="95"/>
      <c r="AP271" s="95"/>
      <c r="AW271" s="95"/>
    </row>
    <row r="272">
      <c r="A272" s="48"/>
      <c r="B272" s="48"/>
      <c r="C272" s="86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48"/>
      <c r="AI272" s="71"/>
      <c r="AJ272" s="48"/>
      <c r="AK272" s="48"/>
      <c r="AL272" s="48"/>
      <c r="AM272" s="48"/>
      <c r="AN272" s="95"/>
      <c r="AP272" s="95"/>
      <c r="AW272" s="95"/>
    </row>
    <row r="273">
      <c r="A273" s="48"/>
      <c r="B273" s="48"/>
      <c r="C273" s="86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48"/>
      <c r="AI273" s="71"/>
      <c r="AJ273" s="48"/>
      <c r="AK273" s="48"/>
      <c r="AL273" s="48"/>
      <c r="AM273" s="48"/>
      <c r="AN273" s="95"/>
      <c r="AP273" s="95"/>
      <c r="AW273" s="95"/>
    </row>
    <row r="274">
      <c r="A274" s="48"/>
      <c r="B274" s="48"/>
      <c r="C274" s="86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48"/>
      <c r="AI274" s="71"/>
      <c r="AJ274" s="48"/>
      <c r="AK274" s="48"/>
      <c r="AL274" s="48"/>
      <c r="AM274" s="48"/>
      <c r="AN274" s="95"/>
      <c r="AP274" s="95"/>
      <c r="AW274" s="95"/>
    </row>
    <row r="275">
      <c r="A275" s="48"/>
      <c r="B275" s="48"/>
      <c r="C275" s="86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48"/>
      <c r="AI275" s="71"/>
      <c r="AJ275" s="48"/>
      <c r="AK275" s="48"/>
      <c r="AL275" s="48"/>
      <c r="AM275" s="48"/>
      <c r="AN275" s="95"/>
      <c r="AP275" s="95"/>
      <c r="AW275" s="95"/>
    </row>
    <row r="276">
      <c r="A276" s="48"/>
      <c r="B276" s="48"/>
      <c r="C276" s="86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48"/>
      <c r="AI276" s="71"/>
      <c r="AJ276" s="48"/>
      <c r="AK276" s="48"/>
      <c r="AL276" s="48"/>
      <c r="AM276" s="48"/>
      <c r="AN276" s="95"/>
      <c r="AP276" s="95"/>
      <c r="AW276" s="95"/>
    </row>
    <row r="277">
      <c r="A277" s="48"/>
      <c r="B277" s="48"/>
      <c r="C277" s="86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48"/>
      <c r="AI277" s="71"/>
      <c r="AJ277" s="48"/>
      <c r="AK277" s="48"/>
      <c r="AL277" s="48"/>
      <c r="AM277" s="48"/>
      <c r="AN277" s="95"/>
      <c r="AP277" s="95"/>
      <c r="AW277" s="95"/>
    </row>
    <row r="278">
      <c r="A278" s="48"/>
      <c r="B278" s="48"/>
      <c r="C278" s="86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48"/>
      <c r="AI278" s="71"/>
      <c r="AJ278" s="48"/>
      <c r="AK278" s="48"/>
      <c r="AL278" s="48"/>
      <c r="AM278" s="48"/>
      <c r="AN278" s="95"/>
      <c r="AP278" s="95"/>
      <c r="AW278" s="95"/>
    </row>
    <row r="279">
      <c r="A279" s="48"/>
      <c r="B279" s="48"/>
      <c r="C279" s="86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48"/>
      <c r="AI279" s="71"/>
      <c r="AJ279" s="48"/>
      <c r="AK279" s="48"/>
      <c r="AL279" s="48"/>
      <c r="AM279" s="48"/>
      <c r="AN279" s="95"/>
      <c r="AP279" s="95"/>
      <c r="AW279" s="95"/>
    </row>
    <row r="280">
      <c r="A280" s="48"/>
      <c r="B280" s="48"/>
      <c r="C280" s="86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48"/>
      <c r="AI280" s="71"/>
      <c r="AJ280" s="48"/>
      <c r="AK280" s="48"/>
      <c r="AL280" s="48"/>
      <c r="AM280" s="48"/>
      <c r="AN280" s="95"/>
      <c r="AP280" s="95"/>
      <c r="AW280" s="95"/>
    </row>
    <row r="281">
      <c r="A281" s="48"/>
      <c r="B281" s="48"/>
      <c r="C281" s="86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48"/>
      <c r="AI281" s="71"/>
      <c r="AJ281" s="48"/>
      <c r="AK281" s="48"/>
      <c r="AL281" s="48"/>
      <c r="AM281" s="48"/>
      <c r="AN281" s="95"/>
      <c r="AP281" s="95"/>
      <c r="AW281" s="95"/>
    </row>
    <row r="282">
      <c r="A282" s="48"/>
      <c r="B282" s="48"/>
      <c r="C282" s="86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48"/>
      <c r="AI282" s="71"/>
      <c r="AJ282" s="48"/>
      <c r="AK282" s="48"/>
      <c r="AL282" s="48"/>
      <c r="AM282" s="48"/>
      <c r="AN282" s="95"/>
      <c r="AP282" s="95"/>
      <c r="AW282" s="95"/>
    </row>
    <row r="283">
      <c r="A283" s="48"/>
      <c r="B283" s="48"/>
      <c r="C283" s="86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48"/>
      <c r="AI283" s="71"/>
      <c r="AJ283" s="48"/>
      <c r="AK283" s="48"/>
      <c r="AL283" s="48"/>
      <c r="AM283" s="48"/>
      <c r="AN283" s="95"/>
      <c r="AP283" s="95"/>
      <c r="AW283" s="95"/>
    </row>
    <row r="284">
      <c r="A284" s="48"/>
      <c r="B284" s="48"/>
      <c r="C284" s="86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48"/>
      <c r="AI284" s="71"/>
      <c r="AJ284" s="48"/>
      <c r="AK284" s="48"/>
      <c r="AL284" s="48"/>
      <c r="AM284" s="48"/>
      <c r="AN284" s="95"/>
      <c r="AP284" s="95"/>
      <c r="AW284" s="95"/>
    </row>
    <row r="285">
      <c r="A285" s="48"/>
      <c r="B285" s="48"/>
      <c r="C285" s="86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48"/>
      <c r="AI285" s="71"/>
      <c r="AJ285" s="48"/>
      <c r="AK285" s="48"/>
      <c r="AL285" s="48"/>
      <c r="AM285" s="48"/>
      <c r="AN285" s="95"/>
      <c r="AP285" s="95"/>
      <c r="AW285" s="95"/>
    </row>
    <row r="286">
      <c r="A286" s="48"/>
      <c r="B286" s="48"/>
      <c r="C286" s="86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48"/>
      <c r="AI286" s="71"/>
      <c r="AJ286" s="48"/>
      <c r="AK286" s="48"/>
      <c r="AL286" s="48"/>
      <c r="AM286" s="48"/>
      <c r="AN286" s="95"/>
      <c r="AP286" s="95"/>
      <c r="AW286" s="95"/>
    </row>
    <row r="287">
      <c r="A287" s="48"/>
      <c r="B287" s="48"/>
      <c r="C287" s="86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48"/>
      <c r="AI287" s="71"/>
      <c r="AJ287" s="48"/>
      <c r="AK287" s="48"/>
      <c r="AL287" s="48"/>
      <c r="AM287" s="48"/>
      <c r="AN287" s="95"/>
      <c r="AP287" s="95"/>
      <c r="AW287" s="95"/>
    </row>
    <row r="288">
      <c r="A288" s="48"/>
      <c r="B288" s="48"/>
      <c r="C288" s="86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48"/>
      <c r="AI288" s="71"/>
      <c r="AJ288" s="48"/>
      <c r="AK288" s="48"/>
      <c r="AL288" s="48"/>
      <c r="AM288" s="48"/>
      <c r="AN288" s="95"/>
      <c r="AP288" s="95"/>
      <c r="AW288" s="95"/>
    </row>
    <row r="289">
      <c r="A289" s="48"/>
      <c r="B289" s="48"/>
      <c r="C289" s="86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48"/>
      <c r="AI289" s="71"/>
      <c r="AJ289" s="48"/>
      <c r="AK289" s="48"/>
      <c r="AL289" s="48"/>
      <c r="AM289" s="48"/>
      <c r="AN289" s="95"/>
      <c r="AP289" s="95"/>
      <c r="AW289" s="95"/>
    </row>
    <row r="290">
      <c r="A290" s="48"/>
      <c r="B290" s="48"/>
      <c r="C290" s="86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48"/>
      <c r="AI290" s="71"/>
      <c r="AJ290" s="48"/>
      <c r="AK290" s="48"/>
      <c r="AL290" s="48"/>
      <c r="AM290" s="48"/>
      <c r="AN290" s="95"/>
      <c r="AP290" s="95"/>
      <c r="AW290" s="95"/>
    </row>
    <row r="291">
      <c r="A291" s="48"/>
      <c r="B291" s="48"/>
      <c r="C291" s="86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48"/>
      <c r="AI291" s="71"/>
      <c r="AJ291" s="48"/>
      <c r="AK291" s="48"/>
      <c r="AL291" s="48"/>
      <c r="AM291" s="48"/>
      <c r="AN291" s="95"/>
      <c r="AP291" s="95"/>
      <c r="AW291" s="95"/>
    </row>
    <row r="292">
      <c r="A292" s="48"/>
      <c r="B292" s="48"/>
      <c r="C292" s="86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48"/>
      <c r="AI292" s="71"/>
      <c r="AJ292" s="48"/>
      <c r="AK292" s="48"/>
      <c r="AL292" s="48"/>
      <c r="AM292" s="48"/>
      <c r="AN292" s="95"/>
      <c r="AP292" s="95"/>
      <c r="AW292" s="95"/>
    </row>
    <row r="293">
      <c r="A293" s="48"/>
      <c r="B293" s="48"/>
      <c r="C293" s="86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48"/>
      <c r="AI293" s="71"/>
      <c r="AJ293" s="48"/>
      <c r="AK293" s="48"/>
      <c r="AL293" s="48"/>
      <c r="AM293" s="48"/>
      <c r="AN293" s="95"/>
      <c r="AP293" s="95"/>
      <c r="AW293" s="95"/>
    </row>
    <row r="294">
      <c r="A294" s="48"/>
      <c r="B294" s="48"/>
      <c r="C294" s="86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48"/>
      <c r="AI294" s="71"/>
      <c r="AJ294" s="48"/>
      <c r="AK294" s="48"/>
      <c r="AL294" s="48"/>
      <c r="AM294" s="48"/>
      <c r="AN294" s="95"/>
      <c r="AP294" s="95"/>
      <c r="AW294" s="95"/>
    </row>
    <row r="295">
      <c r="A295" s="48"/>
      <c r="B295" s="48"/>
      <c r="C295" s="86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48"/>
      <c r="AI295" s="71"/>
      <c r="AJ295" s="48"/>
      <c r="AK295" s="48"/>
      <c r="AL295" s="48"/>
      <c r="AM295" s="48"/>
      <c r="AN295" s="95"/>
      <c r="AP295" s="95"/>
      <c r="AW295" s="95"/>
    </row>
    <row r="296">
      <c r="A296" s="48"/>
      <c r="B296" s="48"/>
      <c r="C296" s="86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48"/>
      <c r="AI296" s="71"/>
      <c r="AJ296" s="48"/>
      <c r="AK296" s="48"/>
      <c r="AL296" s="48"/>
      <c r="AM296" s="48"/>
      <c r="AN296" s="95"/>
      <c r="AP296" s="95"/>
      <c r="AW296" s="95"/>
    </row>
    <row r="297">
      <c r="A297" s="48"/>
      <c r="B297" s="48"/>
      <c r="C297" s="86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48"/>
      <c r="AI297" s="71"/>
      <c r="AJ297" s="48"/>
      <c r="AK297" s="48"/>
      <c r="AL297" s="48"/>
      <c r="AM297" s="48"/>
      <c r="AN297" s="95"/>
      <c r="AP297" s="95"/>
      <c r="AW297" s="95"/>
    </row>
    <row r="298">
      <c r="A298" s="48"/>
      <c r="B298" s="48"/>
      <c r="C298" s="86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48"/>
      <c r="AI298" s="71"/>
      <c r="AJ298" s="48"/>
      <c r="AK298" s="48"/>
      <c r="AL298" s="48"/>
      <c r="AM298" s="48"/>
      <c r="AN298" s="95"/>
      <c r="AP298" s="95"/>
      <c r="AW298" s="95"/>
    </row>
    <row r="299">
      <c r="A299" s="48"/>
      <c r="B299" s="48"/>
      <c r="C299" s="86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48"/>
      <c r="AI299" s="71"/>
      <c r="AJ299" s="48"/>
      <c r="AK299" s="48"/>
      <c r="AL299" s="48"/>
      <c r="AM299" s="48"/>
      <c r="AN299" s="95"/>
      <c r="AP299" s="95"/>
      <c r="AW299" s="95"/>
    </row>
    <row r="300">
      <c r="A300" s="48"/>
      <c r="B300" s="48"/>
      <c r="C300" s="86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48"/>
      <c r="AI300" s="71"/>
      <c r="AJ300" s="48"/>
      <c r="AK300" s="48"/>
      <c r="AL300" s="48"/>
      <c r="AM300" s="48"/>
      <c r="AN300" s="95"/>
      <c r="AP300" s="95"/>
      <c r="AW300" s="95"/>
    </row>
    <row r="301">
      <c r="A301" s="48"/>
      <c r="B301" s="48"/>
      <c r="C301" s="86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48"/>
      <c r="AI301" s="71"/>
      <c r="AJ301" s="48"/>
      <c r="AK301" s="48"/>
      <c r="AL301" s="48"/>
      <c r="AM301" s="48"/>
      <c r="AN301" s="95"/>
      <c r="AP301" s="95"/>
      <c r="AW301" s="95"/>
    </row>
    <row r="302">
      <c r="A302" s="48"/>
      <c r="B302" s="48"/>
      <c r="C302" s="86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48"/>
      <c r="AI302" s="71"/>
      <c r="AJ302" s="48"/>
      <c r="AK302" s="48"/>
      <c r="AL302" s="48"/>
      <c r="AM302" s="48"/>
      <c r="AN302" s="95"/>
      <c r="AP302" s="95"/>
      <c r="AW302" s="95"/>
    </row>
    <row r="303">
      <c r="A303" s="48"/>
      <c r="B303" s="48"/>
      <c r="C303" s="86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48"/>
      <c r="AI303" s="71"/>
      <c r="AJ303" s="48"/>
      <c r="AK303" s="48"/>
      <c r="AL303" s="48"/>
      <c r="AM303" s="48"/>
      <c r="AN303" s="95"/>
      <c r="AP303" s="95"/>
      <c r="AW303" s="95"/>
    </row>
    <row r="304">
      <c r="A304" s="48"/>
      <c r="B304" s="48"/>
      <c r="C304" s="86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48"/>
      <c r="AI304" s="71"/>
      <c r="AJ304" s="48"/>
      <c r="AK304" s="48"/>
      <c r="AL304" s="48"/>
      <c r="AM304" s="48"/>
      <c r="AN304" s="95"/>
      <c r="AP304" s="95"/>
      <c r="AW304" s="95"/>
    </row>
    <row r="305">
      <c r="A305" s="48"/>
      <c r="B305" s="48"/>
      <c r="C305" s="86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48"/>
      <c r="AI305" s="71"/>
      <c r="AJ305" s="48"/>
      <c r="AK305" s="48"/>
      <c r="AL305" s="48"/>
      <c r="AM305" s="48"/>
      <c r="AN305" s="95"/>
      <c r="AP305" s="95"/>
      <c r="AW305" s="95"/>
    </row>
    <row r="306">
      <c r="A306" s="48"/>
      <c r="B306" s="48"/>
      <c r="C306" s="86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48"/>
      <c r="AI306" s="71"/>
      <c r="AJ306" s="48"/>
      <c r="AK306" s="48"/>
      <c r="AL306" s="48"/>
      <c r="AM306" s="48"/>
      <c r="AN306" s="95"/>
      <c r="AP306" s="95"/>
      <c r="AW306" s="95"/>
    </row>
    <row r="307">
      <c r="A307" s="48"/>
      <c r="B307" s="48"/>
      <c r="C307" s="86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48"/>
      <c r="AI307" s="71"/>
      <c r="AJ307" s="48"/>
      <c r="AK307" s="48"/>
      <c r="AL307" s="48"/>
      <c r="AM307" s="48"/>
      <c r="AN307" s="95"/>
      <c r="AP307" s="95"/>
      <c r="AW307" s="95"/>
    </row>
    <row r="308">
      <c r="A308" s="48"/>
      <c r="B308" s="48"/>
      <c r="C308" s="86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48"/>
      <c r="AI308" s="71"/>
      <c r="AJ308" s="48"/>
      <c r="AK308" s="48"/>
      <c r="AL308" s="48"/>
      <c r="AM308" s="48"/>
      <c r="AN308" s="95"/>
      <c r="AP308" s="95"/>
      <c r="AW308" s="95"/>
    </row>
    <row r="309">
      <c r="A309" s="48"/>
      <c r="B309" s="48"/>
      <c r="C309" s="86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48"/>
      <c r="AI309" s="71"/>
      <c r="AJ309" s="48"/>
      <c r="AK309" s="48"/>
      <c r="AL309" s="48"/>
      <c r="AM309" s="48"/>
      <c r="AN309" s="95"/>
      <c r="AP309" s="95"/>
      <c r="AW309" s="95"/>
    </row>
    <row r="310">
      <c r="A310" s="48"/>
      <c r="B310" s="48"/>
      <c r="C310" s="86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48"/>
      <c r="AI310" s="71"/>
      <c r="AJ310" s="48"/>
      <c r="AK310" s="48"/>
      <c r="AL310" s="48"/>
      <c r="AM310" s="48"/>
      <c r="AN310" s="95"/>
      <c r="AP310" s="95"/>
      <c r="AW310" s="95"/>
    </row>
    <row r="311">
      <c r="A311" s="48"/>
      <c r="B311" s="48"/>
      <c r="C311" s="86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48"/>
      <c r="AI311" s="71"/>
      <c r="AJ311" s="48"/>
      <c r="AK311" s="48"/>
      <c r="AL311" s="48"/>
      <c r="AM311" s="48"/>
      <c r="AN311" s="95"/>
      <c r="AP311" s="95"/>
      <c r="AW311" s="95"/>
    </row>
    <row r="312">
      <c r="A312" s="48"/>
      <c r="B312" s="48"/>
      <c r="C312" s="86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48"/>
      <c r="AI312" s="71"/>
      <c r="AJ312" s="48"/>
      <c r="AK312" s="48"/>
      <c r="AL312" s="48"/>
      <c r="AM312" s="48"/>
      <c r="AN312" s="95"/>
      <c r="AP312" s="95"/>
      <c r="AW312" s="95"/>
    </row>
    <row r="313">
      <c r="A313" s="48"/>
      <c r="B313" s="48"/>
      <c r="C313" s="86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48"/>
      <c r="AI313" s="71"/>
      <c r="AJ313" s="48"/>
      <c r="AK313" s="48"/>
      <c r="AL313" s="48"/>
      <c r="AM313" s="48"/>
      <c r="AN313" s="95"/>
      <c r="AP313" s="95"/>
      <c r="AW313" s="95"/>
    </row>
    <row r="314">
      <c r="A314" s="48"/>
      <c r="B314" s="48"/>
      <c r="C314" s="86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48"/>
      <c r="AI314" s="71"/>
      <c r="AJ314" s="48"/>
      <c r="AK314" s="48"/>
      <c r="AL314" s="48"/>
      <c r="AM314" s="48"/>
      <c r="AN314" s="95"/>
      <c r="AP314" s="95"/>
      <c r="AW314" s="95"/>
    </row>
    <row r="315">
      <c r="A315" s="48"/>
      <c r="B315" s="48"/>
      <c r="C315" s="86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48"/>
      <c r="AI315" s="71"/>
      <c r="AJ315" s="48"/>
      <c r="AK315" s="48"/>
      <c r="AL315" s="48"/>
      <c r="AM315" s="48"/>
      <c r="AN315" s="95"/>
      <c r="AP315" s="95"/>
      <c r="AW315" s="95"/>
    </row>
    <row r="316">
      <c r="A316" s="48"/>
      <c r="B316" s="48"/>
      <c r="C316" s="86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48"/>
      <c r="AI316" s="71"/>
      <c r="AJ316" s="48"/>
      <c r="AK316" s="48"/>
      <c r="AL316" s="48"/>
      <c r="AM316" s="48"/>
      <c r="AN316" s="95"/>
      <c r="AP316" s="95"/>
      <c r="AW316" s="95"/>
    </row>
    <row r="317">
      <c r="A317" s="48"/>
      <c r="B317" s="48"/>
      <c r="C317" s="86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48"/>
      <c r="AI317" s="71"/>
      <c r="AJ317" s="48"/>
      <c r="AK317" s="48"/>
      <c r="AL317" s="48"/>
      <c r="AM317" s="48"/>
      <c r="AN317" s="95"/>
      <c r="AP317" s="95"/>
      <c r="AW317" s="95"/>
    </row>
    <row r="318">
      <c r="A318" s="48"/>
      <c r="B318" s="48"/>
      <c r="C318" s="86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48"/>
      <c r="AI318" s="71"/>
      <c r="AJ318" s="48"/>
      <c r="AK318" s="48"/>
      <c r="AL318" s="48"/>
      <c r="AM318" s="48"/>
      <c r="AN318" s="95"/>
      <c r="AP318" s="95"/>
      <c r="AW318" s="95"/>
    </row>
    <row r="319">
      <c r="A319" s="48"/>
      <c r="B319" s="48"/>
      <c r="C319" s="86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48"/>
      <c r="AI319" s="71"/>
      <c r="AJ319" s="48"/>
      <c r="AK319" s="48"/>
      <c r="AL319" s="48"/>
      <c r="AM319" s="48"/>
      <c r="AN319" s="95"/>
      <c r="AP319" s="95"/>
      <c r="AW319" s="95"/>
    </row>
    <row r="320">
      <c r="A320" s="48"/>
      <c r="B320" s="48"/>
      <c r="C320" s="86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48"/>
      <c r="AI320" s="71"/>
      <c r="AJ320" s="48"/>
      <c r="AK320" s="48"/>
      <c r="AL320" s="48"/>
      <c r="AM320" s="48"/>
      <c r="AN320" s="95"/>
      <c r="AP320" s="95"/>
      <c r="AW320" s="95"/>
    </row>
    <row r="321">
      <c r="A321" s="48"/>
      <c r="B321" s="48"/>
      <c r="C321" s="86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48"/>
      <c r="AI321" s="71"/>
      <c r="AJ321" s="48"/>
      <c r="AK321" s="48"/>
      <c r="AL321" s="48"/>
      <c r="AM321" s="48"/>
      <c r="AN321" s="95"/>
      <c r="AP321" s="95"/>
      <c r="AW321" s="95"/>
    </row>
    <row r="322">
      <c r="A322" s="48"/>
      <c r="B322" s="48"/>
      <c r="C322" s="86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48"/>
      <c r="AI322" s="71"/>
      <c r="AJ322" s="48"/>
      <c r="AK322" s="48"/>
      <c r="AL322" s="48"/>
      <c r="AM322" s="48"/>
      <c r="AN322" s="95"/>
      <c r="AP322" s="95"/>
      <c r="AW322" s="95"/>
    </row>
    <row r="323">
      <c r="A323" s="48"/>
      <c r="B323" s="48"/>
      <c r="C323" s="86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48"/>
      <c r="AI323" s="71"/>
      <c r="AJ323" s="48"/>
      <c r="AK323" s="48"/>
      <c r="AL323" s="48"/>
      <c r="AM323" s="48"/>
      <c r="AN323" s="95"/>
      <c r="AP323" s="95"/>
      <c r="AW323" s="95"/>
    </row>
    <row r="324">
      <c r="A324" s="48"/>
      <c r="B324" s="48"/>
      <c r="C324" s="86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48"/>
      <c r="AI324" s="71"/>
      <c r="AJ324" s="48"/>
      <c r="AK324" s="48"/>
      <c r="AL324" s="48"/>
      <c r="AM324" s="48"/>
      <c r="AN324" s="95"/>
      <c r="AP324" s="95"/>
      <c r="AW324" s="95"/>
    </row>
    <row r="325">
      <c r="A325" s="48"/>
      <c r="B325" s="48"/>
      <c r="C325" s="86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48"/>
      <c r="AI325" s="71"/>
      <c r="AJ325" s="48"/>
      <c r="AK325" s="48"/>
      <c r="AL325" s="48"/>
      <c r="AM325" s="48"/>
      <c r="AN325" s="95"/>
      <c r="AP325" s="95"/>
      <c r="AW325" s="95"/>
    </row>
    <row r="326">
      <c r="A326" s="48"/>
      <c r="B326" s="48"/>
      <c r="C326" s="86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48"/>
      <c r="AI326" s="71"/>
      <c r="AJ326" s="48"/>
      <c r="AK326" s="48"/>
      <c r="AL326" s="48"/>
      <c r="AM326" s="48"/>
      <c r="AN326" s="95"/>
      <c r="AP326" s="95"/>
      <c r="AW326" s="95"/>
    </row>
    <row r="327">
      <c r="A327" s="48"/>
      <c r="B327" s="48"/>
      <c r="C327" s="86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48"/>
      <c r="AI327" s="71"/>
      <c r="AJ327" s="48"/>
      <c r="AK327" s="48"/>
      <c r="AL327" s="48"/>
      <c r="AM327" s="48"/>
      <c r="AN327" s="95"/>
      <c r="AP327" s="95"/>
      <c r="AW327" s="95"/>
    </row>
    <row r="328">
      <c r="A328" s="48"/>
      <c r="B328" s="48"/>
      <c r="C328" s="86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48"/>
      <c r="AI328" s="71"/>
      <c r="AJ328" s="48"/>
      <c r="AK328" s="48"/>
      <c r="AL328" s="48"/>
      <c r="AM328" s="48"/>
      <c r="AN328" s="95"/>
      <c r="AP328" s="95"/>
      <c r="AW328" s="95"/>
    </row>
    <row r="329">
      <c r="A329" s="48"/>
      <c r="B329" s="48"/>
      <c r="C329" s="86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48"/>
      <c r="AI329" s="71"/>
      <c r="AJ329" s="48"/>
      <c r="AK329" s="48"/>
      <c r="AL329" s="48"/>
      <c r="AM329" s="48"/>
      <c r="AN329" s="95"/>
      <c r="AP329" s="95"/>
      <c r="AW329" s="95"/>
    </row>
    <row r="330">
      <c r="A330" s="48"/>
      <c r="B330" s="48"/>
      <c r="C330" s="86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48"/>
      <c r="AI330" s="71"/>
      <c r="AJ330" s="48"/>
      <c r="AK330" s="48"/>
      <c r="AL330" s="48"/>
      <c r="AM330" s="48"/>
      <c r="AN330" s="95"/>
      <c r="AP330" s="95"/>
      <c r="AW330" s="95"/>
    </row>
    <row r="331">
      <c r="A331" s="48"/>
      <c r="B331" s="48"/>
      <c r="C331" s="86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48"/>
      <c r="AI331" s="71"/>
      <c r="AJ331" s="48"/>
      <c r="AK331" s="48"/>
      <c r="AL331" s="48"/>
      <c r="AM331" s="48"/>
      <c r="AN331" s="95"/>
      <c r="AP331" s="95"/>
      <c r="AW331" s="95"/>
    </row>
    <row r="332">
      <c r="A332" s="48"/>
      <c r="B332" s="48"/>
      <c r="C332" s="86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48"/>
      <c r="AI332" s="71"/>
      <c r="AJ332" s="48"/>
      <c r="AK332" s="48"/>
      <c r="AL332" s="48"/>
      <c r="AM332" s="48"/>
      <c r="AN332" s="95"/>
      <c r="AP332" s="95"/>
      <c r="AW332" s="95"/>
    </row>
    <row r="333">
      <c r="A333" s="48"/>
      <c r="B333" s="48"/>
      <c r="C333" s="86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48"/>
      <c r="AI333" s="71"/>
      <c r="AJ333" s="48"/>
      <c r="AK333" s="48"/>
      <c r="AL333" s="48"/>
      <c r="AM333" s="48"/>
      <c r="AN333" s="95"/>
      <c r="AP333" s="95"/>
      <c r="AW333" s="95"/>
    </row>
    <row r="334">
      <c r="A334" s="48"/>
      <c r="B334" s="48"/>
      <c r="C334" s="86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48"/>
      <c r="AI334" s="71"/>
      <c r="AJ334" s="48"/>
      <c r="AK334" s="48"/>
      <c r="AL334" s="48"/>
      <c r="AM334" s="48"/>
      <c r="AN334" s="95"/>
      <c r="AP334" s="95"/>
      <c r="AW334" s="95"/>
    </row>
    <row r="335">
      <c r="A335" s="48"/>
      <c r="B335" s="48"/>
      <c r="C335" s="86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48"/>
      <c r="AI335" s="71"/>
      <c r="AJ335" s="48"/>
      <c r="AK335" s="48"/>
      <c r="AL335" s="48"/>
      <c r="AM335" s="48"/>
      <c r="AN335" s="95"/>
      <c r="AP335" s="95"/>
      <c r="AW335" s="95"/>
    </row>
    <row r="336">
      <c r="A336" s="48"/>
      <c r="B336" s="48"/>
      <c r="C336" s="86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48"/>
      <c r="AI336" s="71"/>
      <c r="AJ336" s="48"/>
      <c r="AK336" s="48"/>
      <c r="AL336" s="48"/>
      <c r="AM336" s="48"/>
      <c r="AN336" s="95"/>
      <c r="AP336" s="95"/>
      <c r="AW336" s="95"/>
    </row>
    <row r="337">
      <c r="A337" s="48"/>
      <c r="B337" s="48"/>
      <c r="C337" s="86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48"/>
      <c r="AI337" s="71"/>
      <c r="AJ337" s="48"/>
      <c r="AK337" s="48"/>
      <c r="AL337" s="48"/>
      <c r="AM337" s="48"/>
      <c r="AN337" s="95"/>
      <c r="AP337" s="95"/>
      <c r="AW337" s="95"/>
    </row>
    <row r="338">
      <c r="A338" s="48"/>
      <c r="B338" s="48"/>
      <c r="C338" s="86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48"/>
      <c r="AI338" s="71"/>
      <c r="AJ338" s="48"/>
      <c r="AK338" s="48"/>
      <c r="AL338" s="48"/>
      <c r="AM338" s="48"/>
      <c r="AN338" s="95"/>
      <c r="AP338" s="95"/>
      <c r="AW338" s="95"/>
    </row>
    <row r="339">
      <c r="A339" s="48"/>
      <c r="B339" s="48"/>
      <c r="C339" s="86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48"/>
      <c r="AI339" s="71"/>
      <c r="AJ339" s="48"/>
      <c r="AK339" s="48"/>
      <c r="AL339" s="48"/>
      <c r="AM339" s="48"/>
      <c r="AN339" s="95"/>
      <c r="AP339" s="95"/>
      <c r="AW339" s="95"/>
    </row>
    <row r="340">
      <c r="A340" s="48"/>
      <c r="B340" s="48"/>
      <c r="C340" s="86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48"/>
      <c r="AI340" s="71"/>
      <c r="AJ340" s="48"/>
      <c r="AK340" s="48"/>
      <c r="AL340" s="48"/>
      <c r="AM340" s="48"/>
      <c r="AN340" s="95"/>
      <c r="AP340" s="95"/>
      <c r="AW340" s="95"/>
    </row>
    <row r="341">
      <c r="A341" s="48"/>
      <c r="B341" s="48"/>
      <c r="C341" s="86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48"/>
      <c r="AI341" s="71"/>
      <c r="AJ341" s="48"/>
      <c r="AK341" s="48"/>
      <c r="AL341" s="48"/>
      <c r="AM341" s="48"/>
      <c r="AN341" s="95"/>
      <c r="AP341" s="95"/>
      <c r="AW341" s="95"/>
    </row>
    <row r="342">
      <c r="A342" s="48"/>
      <c r="B342" s="48"/>
      <c r="C342" s="86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48"/>
      <c r="AI342" s="71"/>
      <c r="AJ342" s="48"/>
      <c r="AK342" s="48"/>
      <c r="AL342" s="48"/>
      <c r="AM342" s="48"/>
      <c r="AN342" s="95"/>
      <c r="AP342" s="95"/>
      <c r="AW342" s="95"/>
    </row>
    <row r="343">
      <c r="A343" s="48"/>
      <c r="B343" s="48"/>
      <c r="C343" s="86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48"/>
      <c r="AI343" s="71"/>
      <c r="AJ343" s="48"/>
      <c r="AK343" s="48"/>
      <c r="AL343" s="48"/>
      <c r="AM343" s="48"/>
      <c r="AN343" s="95"/>
      <c r="AP343" s="95"/>
      <c r="AW343" s="95"/>
    </row>
    <row r="344">
      <c r="A344" s="48"/>
      <c r="B344" s="48"/>
      <c r="C344" s="86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48"/>
      <c r="AI344" s="71"/>
      <c r="AJ344" s="48"/>
      <c r="AK344" s="48"/>
      <c r="AL344" s="48"/>
      <c r="AM344" s="48"/>
      <c r="AN344" s="95"/>
      <c r="AP344" s="95"/>
      <c r="AW344" s="95"/>
    </row>
    <row r="345">
      <c r="A345" s="48"/>
      <c r="B345" s="48"/>
      <c r="C345" s="86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48"/>
      <c r="AI345" s="71"/>
      <c r="AJ345" s="48"/>
      <c r="AK345" s="48"/>
      <c r="AL345" s="48"/>
      <c r="AM345" s="48"/>
      <c r="AN345" s="95"/>
      <c r="AP345" s="95"/>
      <c r="AW345" s="95"/>
    </row>
    <row r="346">
      <c r="A346" s="48"/>
      <c r="B346" s="48"/>
      <c r="C346" s="86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48"/>
      <c r="AI346" s="71"/>
      <c r="AJ346" s="48"/>
      <c r="AK346" s="48"/>
      <c r="AL346" s="48"/>
      <c r="AM346" s="48"/>
      <c r="AN346" s="95"/>
      <c r="AP346" s="95"/>
      <c r="AW346" s="95"/>
    </row>
    <row r="347">
      <c r="A347" s="48"/>
      <c r="B347" s="48"/>
      <c r="C347" s="86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48"/>
      <c r="AI347" s="71"/>
      <c r="AJ347" s="48"/>
      <c r="AK347" s="48"/>
      <c r="AL347" s="48"/>
      <c r="AM347" s="48"/>
      <c r="AN347" s="95"/>
      <c r="AP347" s="95"/>
      <c r="AW347" s="95"/>
    </row>
    <row r="348">
      <c r="A348" s="48"/>
      <c r="B348" s="48"/>
      <c r="C348" s="86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48"/>
      <c r="AI348" s="71"/>
      <c r="AJ348" s="48"/>
      <c r="AK348" s="48"/>
      <c r="AL348" s="48"/>
      <c r="AM348" s="48"/>
      <c r="AN348" s="95"/>
      <c r="AP348" s="95"/>
      <c r="AW348" s="95"/>
    </row>
    <row r="349">
      <c r="A349" s="48"/>
      <c r="B349" s="48"/>
      <c r="C349" s="86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48"/>
      <c r="AI349" s="71"/>
      <c r="AJ349" s="48"/>
      <c r="AK349" s="48"/>
      <c r="AL349" s="48"/>
      <c r="AM349" s="48"/>
      <c r="AN349" s="95"/>
      <c r="AP349" s="95"/>
      <c r="AW349" s="95"/>
    </row>
    <row r="350">
      <c r="A350" s="48"/>
      <c r="B350" s="48"/>
      <c r="C350" s="86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48"/>
      <c r="AI350" s="71"/>
      <c r="AJ350" s="48"/>
      <c r="AK350" s="48"/>
      <c r="AL350" s="48"/>
      <c r="AM350" s="48"/>
      <c r="AN350" s="95"/>
      <c r="AP350" s="95"/>
      <c r="AW350" s="95"/>
    </row>
    <row r="351">
      <c r="A351" s="48"/>
      <c r="B351" s="48"/>
      <c r="C351" s="86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48"/>
      <c r="AI351" s="71"/>
      <c r="AJ351" s="48"/>
      <c r="AK351" s="48"/>
      <c r="AL351" s="48"/>
      <c r="AM351" s="48"/>
      <c r="AN351" s="95"/>
      <c r="AP351" s="95"/>
      <c r="AW351" s="95"/>
    </row>
    <row r="352">
      <c r="A352" s="48"/>
      <c r="B352" s="48"/>
      <c r="C352" s="86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48"/>
      <c r="AI352" s="71"/>
      <c r="AJ352" s="48"/>
      <c r="AK352" s="48"/>
      <c r="AL352" s="48"/>
      <c r="AM352" s="48"/>
      <c r="AN352" s="95"/>
      <c r="AP352" s="95"/>
      <c r="AW352" s="95"/>
    </row>
    <row r="353">
      <c r="A353" s="48"/>
      <c r="B353" s="48"/>
      <c r="C353" s="86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48"/>
      <c r="AI353" s="71"/>
      <c r="AJ353" s="48"/>
      <c r="AK353" s="48"/>
      <c r="AL353" s="48"/>
      <c r="AM353" s="48"/>
      <c r="AN353" s="95"/>
      <c r="AP353" s="95"/>
      <c r="AW353" s="95"/>
    </row>
    <row r="354">
      <c r="A354" s="48"/>
      <c r="B354" s="48"/>
      <c r="C354" s="86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48"/>
      <c r="AI354" s="71"/>
      <c r="AJ354" s="48"/>
      <c r="AK354" s="48"/>
      <c r="AL354" s="48"/>
      <c r="AM354" s="48"/>
      <c r="AN354" s="95"/>
      <c r="AP354" s="95"/>
      <c r="AW354" s="95"/>
    </row>
    <row r="355">
      <c r="A355" s="48"/>
      <c r="B355" s="48"/>
      <c r="C355" s="86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48"/>
      <c r="AI355" s="71"/>
      <c r="AJ355" s="48"/>
      <c r="AK355" s="48"/>
      <c r="AL355" s="48"/>
      <c r="AM355" s="48"/>
      <c r="AN355" s="95"/>
      <c r="AP355" s="95"/>
      <c r="AW355" s="95"/>
    </row>
    <row r="356">
      <c r="A356" s="48"/>
      <c r="B356" s="48"/>
      <c r="C356" s="86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48"/>
      <c r="AI356" s="71"/>
      <c r="AJ356" s="48"/>
      <c r="AK356" s="48"/>
      <c r="AL356" s="48"/>
      <c r="AM356" s="48"/>
      <c r="AN356" s="95"/>
      <c r="AP356" s="95"/>
      <c r="AW356" s="95"/>
    </row>
    <row r="357">
      <c r="A357" s="48"/>
      <c r="B357" s="48"/>
      <c r="C357" s="86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48"/>
      <c r="AI357" s="71"/>
      <c r="AJ357" s="48"/>
      <c r="AK357" s="48"/>
      <c r="AL357" s="48"/>
      <c r="AM357" s="48"/>
      <c r="AN357" s="95"/>
      <c r="AP357" s="95"/>
      <c r="AW357" s="95"/>
    </row>
    <row r="358">
      <c r="A358" s="48"/>
      <c r="B358" s="48"/>
      <c r="C358" s="86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48"/>
      <c r="AI358" s="71"/>
      <c r="AJ358" s="48"/>
      <c r="AK358" s="48"/>
      <c r="AL358" s="48"/>
      <c r="AM358" s="48"/>
      <c r="AN358" s="95"/>
      <c r="AP358" s="95"/>
      <c r="AW358" s="95"/>
    </row>
    <row r="359">
      <c r="A359" s="48"/>
      <c r="B359" s="48"/>
      <c r="C359" s="86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48"/>
      <c r="AI359" s="71"/>
      <c r="AJ359" s="48"/>
      <c r="AK359" s="48"/>
      <c r="AL359" s="48"/>
      <c r="AM359" s="48"/>
      <c r="AN359" s="95"/>
      <c r="AP359" s="95"/>
      <c r="AW359" s="95"/>
    </row>
    <row r="360">
      <c r="A360" s="48"/>
      <c r="B360" s="48"/>
      <c r="C360" s="86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48"/>
      <c r="AI360" s="71"/>
      <c r="AJ360" s="48"/>
      <c r="AK360" s="48"/>
      <c r="AL360" s="48"/>
      <c r="AM360" s="48"/>
      <c r="AN360" s="95"/>
      <c r="AP360" s="95"/>
      <c r="AW360" s="95"/>
    </row>
    <row r="361">
      <c r="A361" s="48"/>
      <c r="B361" s="48"/>
      <c r="C361" s="86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48"/>
      <c r="AI361" s="71"/>
      <c r="AJ361" s="48"/>
      <c r="AK361" s="48"/>
      <c r="AL361" s="48"/>
      <c r="AM361" s="48"/>
      <c r="AN361" s="95"/>
      <c r="AP361" s="95"/>
      <c r="AW361" s="95"/>
    </row>
    <row r="362">
      <c r="A362" s="48"/>
      <c r="B362" s="48"/>
      <c r="C362" s="86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48"/>
      <c r="AI362" s="71"/>
      <c r="AJ362" s="48"/>
      <c r="AK362" s="48"/>
      <c r="AL362" s="48"/>
      <c r="AM362" s="48"/>
      <c r="AN362" s="95"/>
      <c r="AP362" s="95"/>
      <c r="AW362" s="95"/>
    </row>
    <row r="363">
      <c r="A363" s="48"/>
      <c r="B363" s="48"/>
      <c r="C363" s="86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48"/>
      <c r="AI363" s="71"/>
      <c r="AJ363" s="48"/>
      <c r="AK363" s="48"/>
      <c r="AL363" s="48"/>
      <c r="AM363" s="48"/>
      <c r="AN363" s="95"/>
      <c r="AP363" s="95"/>
      <c r="AW363" s="95"/>
    </row>
    <row r="364">
      <c r="A364" s="48"/>
      <c r="B364" s="48"/>
      <c r="C364" s="86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48"/>
      <c r="AI364" s="71"/>
      <c r="AJ364" s="48"/>
      <c r="AK364" s="48"/>
      <c r="AL364" s="48"/>
      <c r="AM364" s="48"/>
      <c r="AN364" s="95"/>
      <c r="AP364" s="95"/>
      <c r="AW364" s="95"/>
    </row>
    <row r="365">
      <c r="A365" s="48"/>
      <c r="B365" s="48"/>
      <c r="C365" s="86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48"/>
      <c r="AI365" s="71"/>
      <c r="AJ365" s="48"/>
      <c r="AK365" s="48"/>
      <c r="AL365" s="48"/>
      <c r="AM365" s="48"/>
      <c r="AN365" s="95"/>
      <c r="AP365" s="95"/>
      <c r="AW365" s="95"/>
    </row>
    <row r="366">
      <c r="A366" s="48"/>
      <c r="B366" s="48"/>
      <c r="C366" s="86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48"/>
      <c r="AI366" s="71"/>
      <c r="AJ366" s="48"/>
      <c r="AK366" s="48"/>
      <c r="AL366" s="48"/>
      <c r="AM366" s="48"/>
      <c r="AN366" s="95"/>
      <c r="AP366" s="95"/>
      <c r="AW366" s="95"/>
    </row>
    <row r="367">
      <c r="A367" s="48"/>
      <c r="B367" s="48"/>
      <c r="C367" s="86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48"/>
      <c r="AI367" s="71"/>
      <c r="AJ367" s="48"/>
      <c r="AK367" s="48"/>
      <c r="AL367" s="48"/>
      <c r="AM367" s="48"/>
      <c r="AN367" s="95"/>
      <c r="AP367" s="95"/>
      <c r="AW367" s="95"/>
    </row>
    <row r="368">
      <c r="A368" s="48"/>
      <c r="B368" s="48"/>
      <c r="C368" s="86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48"/>
      <c r="AI368" s="71"/>
      <c r="AJ368" s="48"/>
      <c r="AK368" s="48"/>
      <c r="AL368" s="48"/>
      <c r="AM368" s="48"/>
      <c r="AN368" s="95"/>
      <c r="AP368" s="95"/>
      <c r="AW368" s="95"/>
    </row>
    <row r="369">
      <c r="A369" s="48"/>
      <c r="B369" s="48"/>
      <c r="C369" s="86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48"/>
      <c r="AI369" s="71"/>
      <c r="AJ369" s="48"/>
      <c r="AK369" s="48"/>
      <c r="AL369" s="48"/>
      <c r="AM369" s="48"/>
      <c r="AN369" s="95"/>
      <c r="AP369" s="95"/>
      <c r="AW369" s="95"/>
    </row>
    <row r="370">
      <c r="A370" s="48"/>
      <c r="B370" s="48"/>
      <c r="C370" s="86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48"/>
      <c r="AI370" s="71"/>
      <c r="AJ370" s="48"/>
      <c r="AK370" s="48"/>
      <c r="AL370" s="48"/>
      <c r="AM370" s="48"/>
      <c r="AN370" s="95"/>
      <c r="AP370" s="95"/>
      <c r="AW370" s="95"/>
    </row>
    <row r="371">
      <c r="A371" s="48"/>
      <c r="B371" s="48"/>
      <c r="C371" s="86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48"/>
      <c r="AI371" s="71"/>
      <c r="AJ371" s="48"/>
      <c r="AK371" s="48"/>
      <c r="AL371" s="48"/>
      <c r="AM371" s="48"/>
      <c r="AN371" s="95"/>
      <c r="AP371" s="95"/>
      <c r="AW371" s="95"/>
    </row>
    <row r="372">
      <c r="A372" s="48"/>
      <c r="B372" s="48"/>
      <c r="C372" s="86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48"/>
      <c r="AI372" s="71"/>
      <c r="AJ372" s="48"/>
      <c r="AK372" s="48"/>
      <c r="AL372" s="48"/>
      <c r="AM372" s="48"/>
      <c r="AN372" s="95"/>
      <c r="AP372" s="95"/>
      <c r="AW372" s="95"/>
    </row>
    <row r="373">
      <c r="A373" s="48"/>
      <c r="B373" s="48"/>
      <c r="C373" s="86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48"/>
      <c r="AI373" s="71"/>
      <c r="AJ373" s="48"/>
      <c r="AK373" s="48"/>
      <c r="AL373" s="48"/>
      <c r="AM373" s="48"/>
      <c r="AN373" s="95"/>
      <c r="AP373" s="95"/>
      <c r="AW373" s="95"/>
    </row>
    <row r="374">
      <c r="A374" s="48"/>
      <c r="B374" s="48"/>
      <c r="C374" s="86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48"/>
      <c r="AI374" s="71"/>
      <c r="AJ374" s="48"/>
      <c r="AK374" s="48"/>
      <c r="AL374" s="48"/>
      <c r="AM374" s="48"/>
      <c r="AN374" s="95"/>
      <c r="AP374" s="95"/>
      <c r="AW374" s="95"/>
    </row>
    <row r="375">
      <c r="A375" s="48"/>
      <c r="B375" s="48"/>
      <c r="C375" s="86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48"/>
      <c r="AI375" s="71"/>
      <c r="AJ375" s="48"/>
      <c r="AK375" s="48"/>
      <c r="AL375" s="48"/>
      <c r="AM375" s="48"/>
      <c r="AN375" s="95"/>
      <c r="AP375" s="95"/>
      <c r="AW375" s="95"/>
    </row>
    <row r="376">
      <c r="A376" s="48"/>
      <c r="B376" s="48"/>
      <c r="C376" s="86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48"/>
      <c r="AI376" s="71"/>
      <c r="AJ376" s="48"/>
      <c r="AK376" s="48"/>
      <c r="AL376" s="48"/>
      <c r="AM376" s="48"/>
      <c r="AN376" s="95"/>
      <c r="AP376" s="95"/>
      <c r="AW376" s="95"/>
    </row>
    <row r="377">
      <c r="A377" s="48"/>
      <c r="B377" s="48"/>
      <c r="C377" s="86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48"/>
      <c r="AI377" s="71"/>
      <c r="AJ377" s="48"/>
      <c r="AK377" s="48"/>
      <c r="AL377" s="48"/>
      <c r="AM377" s="48"/>
      <c r="AN377" s="95"/>
      <c r="AP377" s="95"/>
      <c r="AW377" s="95"/>
    </row>
    <row r="378">
      <c r="A378" s="48"/>
      <c r="B378" s="48"/>
      <c r="C378" s="86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48"/>
      <c r="AI378" s="71"/>
      <c r="AJ378" s="48"/>
      <c r="AK378" s="48"/>
      <c r="AL378" s="48"/>
      <c r="AM378" s="48"/>
      <c r="AN378" s="95"/>
      <c r="AP378" s="95"/>
      <c r="AW378" s="95"/>
    </row>
    <row r="379">
      <c r="A379" s="48"/>
      <c r="B379" s="48"/>
      <c r="C379" s="86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48"/>
      <c r="AI379" s="71"/>
      <c r="AJ379" s="48"/>
      <c r="AK379" s="48"/>
      <c r="AL379" s="48"/>
      <c r="AM379" s="48"/>
      <c r="AN379" s="95"/>
      <c r="AP379" s="95"/>
      <c r="AW379" s="95"/>
    </row>
    <row r="380">
      <c r="A380" s="48"/>
      <c r="B380" s="48"/>
      <c r="C380" s="86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48"/>
      <c r="AI380" s="71"/>
      <c r="AJ380" s="48"/>
      <c r="AK380" s="48"/>
      <c r="AL380" s="48"/>
      <c r="AM380" s="48"/>
      <c r="AN380" s="95"/>
      <c r="AP380" s="95"/>
      <c r="AW380" s="95"/>
    </row>
    <row r="381">
      <c r="A381" s="48"/>
      <c r="B381" s="48"/>
      <c r="C381" s="86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48"/>
      <c r="AI381" s="71"/>
      <c r="AJ381" s="48"/>
      <c r="AK381" s="48"/>
      <c r="AL381" s="48"/>
      <c r="AM381" s="48"/>
      <c r="AN381" s="95"/>
      <c r="AP381" s="95"/>
      <c r="AW381" s="95"/>
    </row>
    <row r="382">
      <c r="A382" s="48"/>
      <c r="B382" s="48"/>
      <c r="C382" s="86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48"/>
      <c r="AI382" s="71"/>
      <c r="AJ382" s="48"/>
      <c r="AK382" s="48"/>
      <c r="AL382" s="48"/>
      <c r="AM382" s="48"/>
      <c r="AN382" s="95"/>
      <c r="AP382" s="95"/>
      <c r="AW382" s="95"/>
    </row>
    <row r="383">
      <c r="A383" s="48"/>
      <c r="B383" s="48"/>
      <c r="C383" s="86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48"/>
      <c r="AI383" s="71"/>
      <c r="AJ383" s="48"/>
      <c r="AK383" s="48"/>
      <c r="AL383" s="48"/>
      <c r="AM383" s="48"/>
      <c r="AN383" s="95"/>
      <c r="AP383" s="95"/>
      <c r="AW383" s="95"/>
    </row>
    <row r="384">
      <c r="A384" s="48"/>
      <c r="B384" s="48"/>
      <c r="C384" s="86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48"/>
      <c r="AI384" s="71"/>
      <c r="AJ384" s="48"/>
      <c r="AK384" s="48"/>
      <c r="AL384" s="48"/>
      <c r="AM384" s="48"/>
      <c r="AN384" s="95"/>
      <c r="AP384" s="95"/>
      <c r="AW384" s="95"/>
    </row>
    <row r="385">
      <c r="A385" s="48"/>
      <c r="B385" s="48"/>
      <c r="C385" s="86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48"/>
      <c r="AI385" s="71"/>
      <c r="AJ385" s="48"/>
      <c r="AK385" s="48"/>
      <c r="AL385" s="48"/>
      <c r="AM385" s="48"/>
      <c r="AN385" s="95"/>
      <c r="AP385" s="95"/>
      <c r="AW385" s="95"/>
    </row>
    <row r="386">
      <c r="A386" s="48"/>
      <c r="B386" s="48"/>
      <c r="C386" s="86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48"/>
      <c r="AI386" s="71"/>
      <c r="AJ386" s="48"/>
      <c r="AK386" s="48"/>
      <c r="AL386" s="48"/>
      <c r="AM386" s="48"/>
      <c r="AN386" s="95"/>
      <c r="AP386" s="95"/>
      <c r="AW386" s="95"/>
    </row>
    <row r="387">
      <c r="A387" s="48"/>
      <c r="B387" s="48"/>
      <c r="C387" s="86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48"/>
      <c r="AI387" s="71"/>
      <c r="AJ387" s="48"/>
      <c r="AK387" s="48"/>
      <c r="AL387" s="48"/>
      <c r="AM387" s="48"/>
      <c r="AN387" s="95"/>
      <c r="AP387" s="95"/>
      <c r="AW387" s="95"/>
    </row>
    <row r="388">
      <c r="A388" s="48"/>
      <c r="B388" s="48"/>
      <c r="C388" s="86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48"/>
      <c r="AI388" s="71"/>
      <c r="AJ388" s="48"/>
      <c r="AK388" s="48"/>
      <c r="AL388" s="48"/>
      <c r="AM388" s="48"/>
      <c r="AN388" s="95"/>
      <c r="AP388" s="95"/>
      <c r="AW388" s="95"/>
    </row>
    <row r="389">
      <c r="A389" s="48"/>
      <c r="B389" s="48"/>
      <c r="C389" s="86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48"/>
      <c r="AI389" s="71"/>
      <c r="AJ389" s="48"/>
      <c r="AK389" s="48"/>
      <c r="AL389" s="48"/>
      <c r="AM389" s="48"/>
      <c r="AN389" s="95"/>
      <c r="AP389" s="95"/>
      <c r="AW389" s="95"/>
    </row>
    <row r="390">
      <c r="A390" s="48"/>
      <c r="B390" s="48"/>
      <c r="C390" s="86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48"/>
      <c r="AI390" s="71"/>
      <c r="AJ390" s="48"/>
      <c r="AK390" s="48"/>
      <c r="AL390" s="48"/>
      <c r="AM390" s="48"/>
      <c r="AN390" s="95"/>
      <c r="AP390" s="95"/>
      <c r="AW390" s="95"/>
    </row>
    <row r="391">
      <c r="A391" s="48"/>
      <c r="B391" s="48"/>
      <c r="C391" s="86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48"/>
      <c r="AI391" s="71"/>
      <c r="AJ391" s="48"/>
      <c r="AK391" s="48"/>
      <c r="AL391" s="48"/>
      <c r="AM391" s="48"/>
      <c r="AN391" s="95"/>
      <c r="AP391" s="95"/>
      <c r="AW391" s="95"/>
    </row>
    <row r="392">
      <c r="A392" s="48"/>
      <c r="B392" s="48"/>
      <c r="C392" s="86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48"/>
      <c r="AI392" s="71"/>
      <c r="AJ392" s="48"/>
      <c r="AK392" s="48"/>
      <c r="AL392" s="48"/>
      <c r="AM392" s="48"/>
      <c r="AN392" s="95"/>
      <c r="AP392" s="95"/>
      <c r="AW392" s="95"/>
    </row>
    <row r="393">
      <c r="A393" s="48"/>
      <c r="B393" s="48"/>
      <c r="C393" s="86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48"/>
      <c r="AI393" s="71"/>
      <c r="AJ393" s="48"/>
      <c r="AK393" s="48"/>
      <c r="AL393" s="48"/>
      <c r="AM393" s="48"/>
      <c r="AN393" s="95"/>
      <c r="AP393" s="95"/>
      <c r="AW393" s="95"/>
    </row>
    <row r="394">
      <c r="A394" s="48"/>
      <c r="B394" s="48"/>
      <c r="C394" s="86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48"/>
      <c r="AI394" s="71"/>
      <c r="AJ394" s="48"/>
      <c r="AK394" s="48"/>
      <c r="AL394" s="48"/>
      <c r="AM394" s="48"/>
      <c r="AN394" s="95"/>
      <c r="AP394" s="95"/>
      <c r="AW394" s="95"/>
    </row>
    <row r="395">
      <c r="A395" s="48"/>
      <c r="B395" s="48"/>
      <c r="C395" s="86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48"/>
      <c r="AI395" s="71"/>
      <c r="AJ395" s="48"/>
      <c r="AK395" s="48"/>
      <c r="AL395" s="48"/>
      <c r="AM395" s="48"/>
      <c r="AN395" s="95"/>
      <c r="AP395" s="95"/>
      <c r="AW395" s="95"/>
    </row>
    <row r="396">
      <c r="A396" s="48"/>
      <c r="B396" s="48"/>
      <c r="C396" s="86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48"/>
      <c r="AI396" s="71"/>
      <c r="AJ396" s="48"/>
      <c r="AK396" s="48"/>
      <c r="AL396" s="48"/>
      <c r="AM396" s="48"/>
      <c r="AN396" s="95"/>
      <c r="AP396" s="95"/>
      <c r="AW396" s="95"/>
    </row>
    <row r="397">
      <c r="A397" s="48"/>
      <c r="B397" s="48"/>
      <c r="C397" s="86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48"/>
      <c r="AI397" s="71"/>
      <c r="AJ397" s="48"/>
      <c r="AK397" s="48"/>
      <c r="AL397" s="48"/>
      <c r="AM397" s="48"/>
      <c r="AN397" s="95"/>
      <c r="AP397" s="95"/>
      <c r="AW397" s="95"/>
    </row>
    <row r="398">
      <c r="A398" s="48"/>
      <c r="B398" s="48"/>
      <c r="C398" s="86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48"/>
      <c r="AI398" s="71"/>
      <c r="AJ398" s="48"/>
      <c r="AK398" s="48"/>
      <c r="AL398" s="48"/>
      <c r="AM398" s="48"/>
      <c r="AN398" s="95"/>
      <c r="AP398" s="95"/>
      <c r="AW398" s="95"/>
    </row>
    <row r="399">
      <c r="A399" s="48"/>
      <c r="B399" s="48"/>
      <c r="C399" s="86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48"/>
      <c r="AI399" s="71"/>
      <c r="AJ399" s="48"/>
      <c r="AK399" s="48"/>
      <c r="AL399" s="48"/>
      <c r="AM399" s="48"/>
      <c r="AN399" s="95"/>
      <c r="AP399" s="95"/>
      <c r="AW399" s="95"/>
    </row>
    <row r="400">
      <c r="A400" s="48"/>
      <c r="B400" s="48"/>
      <c r="C400" s="86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48"/>
      <c r="AI400" s="71"/>
      <c r="AJ400" s="48"/>
      <c r="AK400" s="48"/>
      <c r="AL400" s="48"/>
      <c r="AM400" s="48"/>
      <c r="AN400" s="95"/>
      <c r="AP400" s="95"/>
      <c r="AW400" s="95"/>
    </row>
    <row r="401">
      <c r="A401" s="48"/>
      <c r="B401" s="48"/>
      <c r="C401" s="86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48"/>
      <c r="AI401" s="71"/>
      <c r="AJ401" s="48"/>
      <c r="AK401" s="48"/>
      <c r="AL401" s="48"/>
      <c r="AM401" s="48"/>
      <c r="AN401" s="95"/>
      <c r="AP401" s="95"/>
      <c r="AW401" s="95"/>
    </row>
    <row r="402">
      <c r="A402" s="48"/>
      <c r="B402" s="48"/>
      <c r="C402" s="86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48"/>
      <c r="AI402" s="71"/>
      <c r="AJ402" s="48"/>
      <c r="AK402" s="48"/>
      <c r="AL402" s="48"/>
      <c r="AM402" s="48"/>
      <c r="AN402" s="95"/>
      <c r="AP402" s="95"/>
      <c r="AW402" s="95"/>
    </row>
    <row r="403">
      <c r="A403" s="48"/>
      <c r="B403" s="48"/>
      <c r="C403" s="86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48"/>
      <c r="AI403" s="71"/>
      <c r="AJ403" s="48"/>
      <c r="AK403" s="48"/>
      <c r="AL403" s="48"/>
      <c r="AM403" s="48"/>
      <c r="AN403" s="95"/>
      <c r="AP403" s="95"/>
      <c r="AW403" s="95"/>
    </row>
    <row r="404">
      <c r="A404" s="48"/>
      <c r="B404" s="48"/>
      <c r="C404" s="86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48"/>
      <c r="AI404" s="71"/>
      <c r="AJ404" s="48"/>
      <c r="AK404" s="48"/>
      <c r="AL404" s="48"/>
      <c r="AM404" s="48"/>
      <c r="AN404" s="95"/>
      <c r="AP404" s="95"/>
      <c r="AW404" s="95"/>
    </row>
    <row r="405">
      <c r="A405" s="48"/>
      <c r="B405" s="48"/>
      <c r="C405" s="86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48"/>
      <c r="AI405" s="71"/>
      <c r="AJ405" s="48"/>
      <c r="AK405" s="48"/>
      <c r="AL405" s="48"/>
      <c r="AM405" s="48"/>
      <c r="AN405" s="95"/>
      <c r="AP405" s="95"/>
      <c r="AW405" s="95"/>
    </row>
    <row r="406">
      <c r="A406" s="48"/>
      <c r="B406" s="48"/>
      <c r="C406" s="86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48"/>
      <c r="AI406" s="71"/>
      <c r="AJ406" s="48"/>
      <c r="AK406" s="48"/>
      <c r="AL406" s="48"/>
      <c r="AM406" s="48"/>
      <c r="AN406" s="95"/>
      <c r="AP406" s="95"/>
      <c r="AW406" s="95"/>
    </row>
    <row r="407">
      <c r="A407" s="48"/>
      <c r="B407" s="48"/>
      <c r="C407" s="86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48"/>
      <c r="AI407" s="71"/>
      <c r="AJ407" s="48"/>
      <c r="AK407" s="48"/>
      <c r="AL407" s="48"/>
      <c r="AM407" s="48"/>
      <c r="AN407" s="95"/>
      <c r="AP407" s="95"/>
      <c r="AW407" s="95"/>
    </row>
    <row r="408">
      <c r="A408" s="48"/>
      <c r="B408" s="48"/>
      <c r="C408" s="86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48"/>
      <c r="AI408" s="71"/>
      <c r="AJ408" s="48"/>
      <c r="AK408" s="48"/>
      <c r="AL408" s="48"/>
      <c r="AM408" s="48"/>
      <c r="AN408" s="95"/>
      <c r="AP408" s="95"/>
      <c r="AW408" s="95"/>
    </row>
    <row r="409">
      <c r="A409" s="48"/>
      <c r="B409" s="48"/>
      <c r="C409" s="86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48"/>
      <c r="AI409" s="71"/>
      <c r="AJ409" s="48"/>
      <c r="AK409" s="48"/>
      <c r="AL409" s="48"/>
      <c r="AM409" s="48"/>
      <c r="AN409" s="95"/>
      <c r="AP409" s="95"/>
      <c r="AW409" s="95"/>
    </row>
    <row r="410">
      <c r="A410" s="48"/>
      <c r="B410" s="48"/>
      <c r="C410" s="86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48"/>
      <c r="AI410" s="71"/>
      <c r="AJ410" s="48"/>
      <c r="AK410" s="48"/>
      <c r="AL410" s="48"/>
      <c r="AM410" s="48"/>
      <c r="AN410" s="95"/>
      <c r="AP410" s="95"/>
      <c r="AW410" s="95"/>
    </row>
    <row r="411">
      <c r="A411" s="48"/>
      <c r="B411" s="48"/>
      <c r="C411" s="86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48"/>
      <c r="AI411" s="71"/>
      <c r="AJ411" s="48"/>
      <c r="AK411" s="48"/>
      <c r="AL411" s="48"/>
      <c r="AM411" s="48"/>
      <c r="AN411" s="95"/>
      <c r="AP411" s="95"/>
      <c r="AW411" s="95"/>
    </row>
    <row r="412">
      <c r="A412" s="48"/>
      <c r="B412" s="48"/>
      <c r="C412" s="86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48"/>
      <c r="AI412" s="71"/>
      <c r="AJ412" s="48"/>
      <c r="AK412" s="48"/>
      <c r="AL412" s="48"/>
      <c r="AM412" s="48"/>
      <c r="AN412" s="95"/>
      <c r="AP412" s="95"/>
      <c r="AW412" s="95"/>
    </row>
    <row r="413">
      <c r="A413" s="48"/>
      <c r="B413" s="48"/>
      <c r="C413" s="86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48"/>
      <c r="AI413" s="71"/>
      <c r="AJ413" s="48"/>
      <c r="AK413" s="48"/>
      <c r="AL413" s="48"/>
      <c r="AM413" s="48"/>
      <c r="AN413" s="95"/>
      <c r="AP413" s="95"/>
      <c r="AW413" s="95"/>
    </row>
    <row r="414">
      <c r="A414" s="48"/>
      <c r="B414" s="48"/>
      <c r="C414" s="86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48"/>
      <c r="AI414" s="71"/>
      <c r="AJ414" s="48"/>
      <c r="AK414" s="48"/>
      <c r="AL414" s="48"/>
      <c r="AM414" s="48"/>
      <c r="AN414" s="95"/>
      <c r="AP414" s="95"/>
      <c r="AW414" s="95"/>
    </row>
    <row r="415">
      <c r="A415" s="48"/>
      <c r="B415" s="48"/>
      <c r="C415" s="86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48"/>
      <c r="AI415" s="71"/>
      <c r="AJ415" s="48"/>
      <c r="AK415" s="48"/>
      <c r="AL415" s="48"/>
      <c r="AM415" s="48"/>
      <c r="AN415" s="95"/>
      <c r="AP415" s="95"/>
      <c r="AW415" s="95"/>
    </row>
    <row r="416">
      <c r="A416" s="48"/>
      <c r="B416" s="48"/>
      <c r="C416" s="86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48"/>
      <c r="AI416" s="71"/>
      <c r="AJ416" s="48"/>
      <c r="AK416" s="48"/>
      <c r="AL416" s="48"/>
      <c r="AM416" s="48"/>
      <c r="AN416" s="95"/>
      <c r="AP416" s="95"/>
      <c r="AW416" s="95"/>
    </row>
    <row r="417">
      <c r="A417" s="48"/>
      <c r="B417" s="48"/>
      <c r="C417" s="86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48"/>
      <c r="AI417" s="71"/>
      <c r="AJ417" s="48"/>
      <c r="AK417" s="48"/>
      <c r="AL417" s="48"/>
      <c r="AM417" s="48"/>
      <c r="AN417" s="95"/>
      <c r="AP417" s="95"/>
      <c r="AW417" s="95"/>
    </row>
    <row r="418">
      <c r="A418" s="48"/>
      <c r="B418" s="48"/>
      <c r="C418" s="86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48"/>
      <c r="AI418" s="71"/>
      <c r="AJ418" s="48"/>
      <c r="AK418" s="48"/>
      <c r="AL418" s="48"/>
      <c r="AM418" s="48"/>
      <c r="AN418" s="95"/>
      <c r="AP418" s="95"/>
      <c r="AW418" s="95"/>
    </row>
    <row r="419">
      <c r="A419" s="48"/>
      <c r="B419" s="48"/>
      <c r="C419" s="86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48"/>
      <c r="AI419" s="71"/>
      <c r="AJ419" s="48"/>
      <c r="AK419" s="48"/>
      <c r="AL419" s="48"/>
      <c r="AM419" s="48"/>
      <c r="AN419" s="95"/>
      <c r="AP419" s="95"/>
      <c r="AW419" s="95"/>
    </row>
    <row r="420">
      <c r="A420" s="48"/>
      <c r="B420" s="48"/>
      <c r="C420" s="86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48"/>
      <c r="AI420" s="71"/>
      <c r="AJ420" s="48"/>
      <c r="AK420" s="48"/>
      <c r="AL420" s="48"/>
      <c r="AM420" s="48"/>
      <c r="AN420" s="95"/>
      <c r="AP420" s="95"/>
      <c r="AW420" s="95"/>
    </row>
    <row r="421">
      <c r="A421" s="48"/>
      <c r="B421" s="48"/>
      <c r="C421" s="86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48"/>
      <c r="AI421" s="71"/>
      <c r="AJ421" s="48"/>
      <c r="AK421" s="48"/>
      <c r="AL421" s="48"/>
      <c r="AM421" s="48"/>
      <c r="AN421" s="95"/>
      <c r="AP421" s="95"/>
      <c r="AW421" s="95"/>
    </row>
    <row r="422">
      <c r="A422" s="48"/>
      <c r="B422" s="48"/>
      <c r="C422" s="86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48"/>
      <c r="AI422" s="71"/>
      <c r="AJ422" s="48"/>
      <c r="AK422" s="48"/>
      <c r="AL422" s="48"/>
      <c r="AM422" s="48"/>
      <c r="AN422" s="95"/>
      <c r="AP422" s="95"/>
      <c r="AW422" s="95"/>
    </row>
    <row r="423">
      <c r="A423" s="48"/>
      <c r="B423" s="48"/>
      <c r="C423" s="86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48"/>
      <c r="AI423" s="71"/>
      <c r="AJ423" s="48"/>
      <c r="AK423" s="48"/>
      <c r="AL423" s="48"/>
      <c r="AM423" s="48"/>
      <c r="AN423" s="95"/>
      <c r="AP423" s="95"/>
      <c r="AW423" s="95"/>
    </row>
    <row r="424">
      <c r="A424" s="48"/>
      <c r="B424" s="48"/>
      <c r="C424" s="86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48"/>
      <c r="AI424" s="71"/>
      <c r="AJ424" s="48"/>
      <c r="AK424" s="48"/>
      <c r="AL424" s="48"/>
      <c r="AM424" s="48"/>
      <c r="AN424" s="95"/>
      <c r="AP424" s="95"/>
      <c r="AW424" s="95"/>
    </row>
    <row r="425">
      <c r="A425" s="48"/>
      <c r="B425" s="48"/>
      <c r="C425" s="86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48"/>
      <c r="AI425" s="71"/>
      <c r="AJ425" s="48"/>
      <c r="AK425" s="48"/>
      <c r="AL425" s="48"/>
      <c r="AM425" s="48"/>
      <c r="AN425" s="95"/>
      <c r="AP425" s="95"/>
      <c r="AW425" s="95"/>
    </row>
    <row r="426">
      <c r="A426" s="48"/>
      <c r="B426" s="48"/>
      <c r="C426" s="86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48"/>
      <c r="AI426" s="71"/>
      <c r="AJ426" s="48"/>
      <c r="AK426" s="48"/>
      <c r="AL426" s="48"/>
      <c r="AM426" s="48"/>
      <c r="AN426" s="95"/>
      <c r="AP426" s="95"/>
      <c r="AW426" s="95"/>
    </row>
    <row r="427">
      <c r="A427" s="48"/>
      <c r="B427" s="48"/>
      <c r="C427" s="86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48"/>
      <c r="AI427" s="71"/>
      <c r="AJ427" s="48"/>
      <c r="AK427" s="48"/>
      <c r="AL427" s="48"/>
      <c r="AM427" s="48"/>
      <c r="AN427" s="95"/>
      <c r="AP427" s="95"/>
      <c r="AW427" s="95"/>
    </row>
    <row r="428">
      <c r="A428" s="48"/>
      <c r="B428" s="48"/>
      <c r="C428" s="86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48"/>
      <c r="AI428" s="71"/>
      <c r="AJ428" s="48"/>
      <c r="AK428" s="48"/>
      <c r="AL428" s="48"/>
      <c r="AM428" s="48"/>
      <c r="AN428" s="95"/>
      <c r="AP428" s="95"/>
      <c r="AW428" s="95"/>
    </row>
    <row r="429">
      <c r="A429" s="48"/>
      <c r="B429" s="48"/>
      <c r="C429" s="86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48"/>
      <c r="AI429" s="71"/>
      <c r="AJ429" s="48"/>
      <c r="AK429" s="48"/>
      <c r="AL429" s="48"/>
      <c r="AM429" s="48"/>
      <c r="AN429" s="95"/>
      <c r="AP429" s="95"/>
      <c r="AW429" s="95"/>
    </row>
    <row r="430">
      <c r="A430" s="48"/>
      <c r="B430" s="48"/>
      <c r="C430" s="86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48"/>
      <c r="AI430" s="71"/>
      <c r="AJ430" s="48"/>
      <c r="AK430" s="48"/>
      <c r="AL430" s="48"/>
      <c r="AM430" s="48"/>
      <c r="AN430" s="95"/>
      <c r="AP430" s="95"/>
      <c r="AW430" s="95"/>
    </row>
    <row r="431">
      <c r="A431" s="48"/>
      <c r="B431" s="48"/>
      <c r="C431" s="86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48"/>
      <c r="AI431" s="71"/>
      <c r="AJ431" s="48"/>
      <c r="AK431" s="48"/>
      <c r="AL431" s="48"/>
      <c r="AM431" s="48"/>
      <c r="AN431" s="95"/>
      <c r="AP431" s="95"/>
      <c r="AW431" s="95"/>
    </row>
    <row r="432">
      <c r="A432" s="48"/>
      <c r="B432" s="48"/>
      <c r="C432" s="86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48"/>
      <c r="AI432" s="71"/>
      <c r="AJ432" s="48"/>
      <c r="AK432" s="48"/>
      <c r="AL432" s="48"/>
      <c r="AM432" s="48"/>
      <c r="AN432" s="95"/>
      <c r="AP432" s="95"/>
      <c r="AW432" s="95"/>
    </row>
    <row r="433">
      <c r="A433" s="48"/>
      <c r="B433" s="48"/>
      <c r="C433" s="86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48"/>
      <c r="AI433" s="71"/>
      <c r="AJ433" s="48"/>
      <c r="AK433" s="48"/>
      <c r="AL433" s="48"/>
      <c r="AM433" s="48"/>
      <c r="AN433" s="95"/>
      <c r="AP433" s="95"/>
      <c r="AW433" s="95"/>
    </row>
    <row r="434">
      <c r="A434" s="48"/>
      <c r="B434" s="48"/>
      <c r="C434" s="86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48"/>
      <c r="AI434" s="71"/>
      <c r="AJ434" s="48"/>
      <c r="AK434" s="48"/>
      <c r="AL434" s="48"/>
      <c r="AM434" s="48"/>
      <c r="AN434" s="95"/>
      <c r="AP434" s="95"/>
      <c r="AW434" s="95"/>
    </row>
    <row r="435">
      <c r="A435" s="48"/>
      <c r="B435" s="48"/>
      <c r="C435" s="86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48"/>
      <c r="AI435" s="71"/>
      <c r="AJ435" s="48"/>
      <c r="AK435" s="48"/>
      <c r="AL435" s="48"/>
      <c r="AM435" s="48"/>
      <c r="AN435" s="95"/>
      <c r="AP435" s="95"/>
      <c r="AW435" s="95"/>
    </row>
    <row r="436">
      <c r="A436" s="48"/>
      <c r="B436" s="48"/>
      <c r="C436" s="86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48"/>
      <c r="AI436" s="71"/>
      <c r="AJ436" s="48"/>
      <c r="AK436" s="48"/>
      <c r="AL436" s="48"/>
      <c r="AM436" s="48"/>
      <c r="AN436" s="95"/>
      <c r="AP436" s="95"/>
      <c r="AW436" s="95"/>
    </row>
    <row r="437">
      <c r="A437" s="48"/>
      <c r="B437" s="48"/>
      <c r="C437" s="86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48"/>
      <c r="AI437" s="71"/>
      <c r="AJ437" s="48"/>
      <c r="AK437" s="48"/>
      <c r="AL437" s="48"/>
      <c r="AM437" s="48"/>
      <c r="AN437" s="95"/>
      <c r="AP437" s="95"/>
      <c r="AW437" s="95"/>
    </row>
    <row r="438">
      <c r="A438" s="48"/>
      <c r="B438" s="48"/>
      <c r="C438" s="86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48"/>
      <c r="AI438" s="71"/>
      <c r="AJ438" s="48"/>
      <c r="AK438" s="48"/>
      <c r="AL438" s="48"/>
      <c r="AM438" s="48"/>
      <c r="AN438" s="95"/>
      <c r="AP438" s="95"/>
      <c r="AW438" s="95"/>
    </row>
    <row r="439">
      <c r="A439" s="48"/>
      <c r="B439" s="48"/>
      <c r="C439" s="86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48"/>
      <c r="AI439" s="71"/>
      <c r="AJ439" s="48"/>
      <c r="AK439" s="48"/>
      <c r="AL439" s="48"/>
      <c r="AM439" s="48"/>
      <c r="AN439" s="95"/>
      <c r="AP439" s="95"/>
      <c r="AW439" s="95"/>
    </row>
    <row r="440">
      <c r="A440" s="48"/>
      <c r="B440" s="48"/>
      <c r="C440" s="86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48"/>
      <c r="AI440" s="71"/>
      <c r="AJ440" s="48"/>
      <c r="AK440" s="48"/>
      <c r="AL440" s="48"/>
      <c r="AM440" s="48"/>
      <c r="AN440" s="95"/>
      <c r="AP440" s="95"/>
      <c r="AW440" s="95"/>
    </row>
    <row r="441">
      <c r="A441" s="48"/>
      <c r="B441" s="48"/>
      <c r="C441" s="86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48"/>
      <c r="AI441" s="71"/>
      <c r="AJ441" s="48"/>
      <c r="AK441" s="48"/>
      <c r="AL441" s="48"/>
      <c r="AM441" s="48"/>
      <c r="AN441" s="95"/>
      <c r="AP441" s="95"/>
      <c r="AW441" s="95"/>
    </row>
    <row r="442">
      <c r="A442" s="48"/>
      <c r="B442" s="48"/>
      <c r="C442" s="86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48"/>
      <c r="AI442" s="71"/>
      <c r="AJ442" s="48"/>
      <c r="AK442" s="48"/>
      <c r="AL442" s="48"/>
      <c r="AM442" s="48"/>
      <c r="AN442" s="95"/>
      <c r="AP442" s="95"/>
      <c r="AW442" s="95"/>
    </row>
    <row r="443">
      <c r="A443" s="48"/>
      <c r="B443" s="48"/>
      <c r="C443" s="86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48"/>
      <c r="AI443" s="71"/>
      <c r="AJ443" s="48"/>
      <c r="AK443" s="48"/>
      <c r="AL443" s="48"/>
      <c r="AM443" s="48"/>
      <c r="AN443" s="95"/>
      <c r="AP443" s="95"/>
      <c r="AW443" s="95"/>
    </row>
    <row r="444">
      <c r="A444" s="48"/>
      <c r="B444" s="48"/>
      <c r="C444" s="86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48"/>
      <c r="AI444" s="71"/>
      <c r="AJ444" s="48"/>
      <c r="AK444" s="48"/>
      <c r="AL444" s="48"/>
      <c r="AM444" s="48"/>
      <c r="AN444" s="95"/>
      <c r="AP444" s="95"/>
      <c r="AW444" s="95"/>
    </row>
    <row r="445">
      <c r="A445" s="48"/>
      <c r="B445" s="48"/>
      <c r="C445" s="86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48"/>
      <c r="AI445" s="71"/>
      <c r="AJ445" s="48"/>
      <c r="AK445" s="48"/>
      <c r="AL445" s="48"/>
      <c r="AM445" s="48"/>
      <c r="AN445" s="95"/>
      <c r="AP445" s="95"/>
      <c r="AW445" s="95"/>
    </row>
    <row r="446">
      <c r="A446" s="48"/>
      <c r="B446" s="48"/>
      <c r="C446" s="86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48"/>
      <c r="AI446" s="71"/>
      <c r="AJ446" s="48"/>
      <c r="AK446" s="48"/>
      <c r="AL446" s="48"/>
      <c r="AM446" s="48"/>
      <c r="AN446" s="95"/>
      <c r="AP446" s="95"/>
      <c r="AW446" s="95"/>
    </row>
    <row r="447">
      <c r="A447" s="48"/>
      <c r="B447" s="48"/>
      <c r="C447" s="86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48"/>
      <c r="AI447" s="71"/>
      <c r="AJ447" s="48"/>
      <c r="AK447" s="48"/>
      <c r="AL447" s="48"/>
      <c r="AM447" s="48"/>
      <c r="AN447" s="95"/>
      <c r="AP447" s="95"/>
      <c r="AW447" s="95"/>
    </row>
    <row r="448">
      <c r="A448" s="48"/>
      <c r="B448" s="48"/>
      <c r="C448" s="86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48"/>
      <c r="AI448" s="71"/>
      <c r="AJ448" s="48"/>
      <c r="AK448" s="48"/>
      <c r="AL448" s="48"/>
      <c r="AM448" s="48"/>
      <c r="AN448" s="95"/>
      <c r="AP448" s="95"/>
      <c r="AW448" s="95"/>
    </row>
    <row r="449">
      <c r="A449" s="48"/>
      <c r="B449" s="48"/>
      <c r="C449" s="86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48"/>
      <c r="AI449" s="71"/>
      <c r="AJ449" s="48"/>
      <c r="AK449" s="48"/>
      <c r="AL449" s="48"/>
      <c r="AM449" s="48"/>
      <c r="AN449" s="95"/>
      <c r="AP449" s="95"/>
      <c r="AW449" s="95"/>
    </row>
    <row r="450">
      <c r="A450" s="48"/>
      <c r="B450" s="48"/>
      <c r="C450" s="86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48"/>
      <c r="AI450" s="71"/>
      <c r="AJ450" s="48"/>
      <c r="AK450" s="48"/>
      <c r="AL450" s="48"/>
      <c r="AM450" s="48"/>
      <c r="AN450" s="95"/>
      <c r="AP450" s="95"/>
      <c r="AW450" s="95"/>
    </row>
    <row r="451">
      <c r="A451" s="48"/>
      <c r="B451" s="48"/>
      <c r="C451" s="86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48"/>
      <c r="AI451" s="71"/>
      <c r="AJ451" s="48"/>
      <c r="AK451" s="48"/>
      <c r="AL451" s="48"/>
      <c r="AM451" s="48"/>
      <c r="AN451" s="95"/>
      <c r="AP451" s="95"/>
      <c r="AW451" s="95"/>
    </row>
    <row r="452">
      <c r="A452" s="48"/>
      <c r="B452" s="48"/>
      <c r="C452" s="86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48"/>
      <c r="AI452" s="71"/>
      <c r="AJ452" s="48"/>
      <c r="AK452" s="48"/>
      <c r="AL452" s="48"/>
      <c r="AM452" s="48"/>
      <c r="AN452" s="95"/>
      <c r="AP452" s="95"/>
      <c r="AW452" s="95"/>
    </row>
    <row r="453">
      <c r="A453" s="48"/>
      <c r="B453" s="48"/>
      <c r="C453" s="86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48"/>
      <c r="AI453" s="71"/>
      <c r="AJ453" s="48"/>
      <c r="AK453" s="48"/>
      <c r="AL453" s="48"/>
      <c r="AM453" s="48"/>
      <c r="AN453" s="95"/>
      <c r="AP453" s="95"/>
      <c r="AW453" s="95"/>
    </row>
    <row r="454">
      <c r="A454" s="48"/>
      <c r="B454" s="48"/>
      <c r="C454" s="86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48"/>
      <c r="AI454" s="71"/>
      <c r="AJ454" s="48"/>
      <c r="AK454" s="48"/>
      <c r="AL454" s="48"/>
      <c r="AM454" s="48"/>
      <c r="AN454" s="95"/>
      <c r="AP454" s="95"/>
      <c r="AW454" s="95"/>
    </row>
    <row r="455">
      <c r="A455" s="48"/>
      <c r="B455" s="48"/>
      <c r="C455" s="86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48"/>
      <c r="AI455" s="71"/>
      <c r="AJ455" s="48"/>
      <c r="AK455" s="48"/>
      <c r="AL455" s="48"/>
      <c r="AM455" s="48"/>
      <c r="AN455" s="95"/>
      <c r="AP455" s="95"/>
      <c r="AW455" s="95"/>
    </row>
    <row r="456">
      <c r="A456" s="48"/>
      <c r="B456" s="48"/>
      <c r="C456" s="86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48"/>
      <c r="AI456" s="71"/>
      <c r="AJ456" s="48"/>
      <c r="AK456" s="48"/>
      <c r="AL456" s="48"/>
      <c r="AM456" s="48"/>
      <c r="AN456" s="95"/>
      <c r="AP456" s="95"/>
      <c r="AW456" s="95"/>
    </row>
    <row r="457">
      <c r="A457" s="48"/>
      <c r="B457" s="48"/>
      <c r="C457" s="86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48"/>
      <c r="AI457" s="71"/>
      <c r="AJ457" s="48"/>
      <c r="AK457" s="48"/>
      <c r="AL457" s="48"/>
      <c r="AM457" s="48"/>
      <c r="AN457" s="95"/>
      <c r="AP457" s="95"/>
      <c r="AW457" s="95"/>
    </row>
    <row r="458">
      <c r="A458" s="48"/>
      <c r="B458" s="48"/>
      <c r="C458" s="86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48"/>
      <c r="AI458" s="71"/>
      <c r="AJ458" s="48"/>
      <c r="AK458" s="48"/>
      <c r="AL458" s="48"/>
      <c r="AM458" s="48"/>
      <c r="AN458" s="95"/>
      <c r="AP458" s="95"/>
      <c r="AW458" s="95"/>
    </row>
    <row r="459">
      <c r="A459" s="48"/>
      <c r="B459" s="48"/>
      <c r="C459" s="86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48"/>
      <c r="AI459" s="71"/>
      <c r="AJ459" s="48"/>
      <c r="AK459" s="48"/>
      <c r="AL459" s="48"/>
      <c r="AM459" s="48"/>
      <c r="AN459" s="95"/>
      <c r="AP459" s="95"/>
      <c r="AW459" s="95"/>
    </row>
    <row r="460">
      <c r="A460" s="48"/>
      <c r="B460" s="48"/>
      <c r="C460" s="86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48"/>
      <c r="AI460" s="71"/>
      <c r="AJ460" s="48"/>
      <c r="AK460" s="48"/>
      <c r="AL460" s="48"/>
      <c r="AM460" s="48"/>
      <c r="AN460" s="95"/>
      <c r="AP460" s="95"/>
      <c r="AW460" s="95"/>
    </row>
    <row r="461">
      <c r="A461" s="48"/>
      <c r="B461" s="48"/>
      <c r="C461" s="86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48"/>
      <c r="AI461" s="71"/>
      <c r="AJ461" s="48"/>
      <c r="AK461" s="48"/>
      <c r="AL461" s="48"/>
      <c r="AM461" s="48"/>
      <c r="AN461" s="95"/>
      <c r="AP461" s="95"/>
      <c r="AW461" s="95"/>
    </row>
    <row r="462">
      <c r="A462" s="48"/>
      <c r="B462" s="48"/>
      <c r="C462" s="86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48"/>
      <c r="AI462" s="71"/>
      <c r="AJ462" s="48"/>
      <c r="AK462" s="48"/>
      <c r="AL462" s="48"/>
      <c r="AM462" s="48"/>
      <c r="AN462" s="95"/>
      <c r="AP462" s="95"/>
      <c r="AW462" s="95"/>
    </row>
    <row r="463">
      <c r="A463" s="48"/>
      <c r="B463" s="48"/>
      <c r="C463" s="86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48"/>
      <c r="AI463" s="71"/>
      <c r="AJ463" s="48"/>
      <c r="AK463" s="48"/>
      <c r="AL463" s="48"/>
      <c r="AM463" s="48"/>
      <c r="AN463" s="95"/>
      <c r="AP463" s="95"/>
      <c r="AW463" s="95"/>
    </row>
    <row r="464">
      <c r="A464" s="48"/>
      <c r="B464" s="48"/>
      <c r="C464" s="86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48"/>
      <c r="AI464" s="71"/>
      <c r="AJ464" s="48"/>
      <c r="AK464" s="48"/>
      <c r="AL464" s="48"/>
      <c r="AM464" s="48"/>
      <c r="AN464" s="95"/>
      <c r="AP464" s="95"/>
      <c r="AW464" s="95"/>
    </row>
    <row r="465">
      <c r="A465" s="48"/>
      <c r="B465" s="48"/>
      <c r="C465" s="86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48"/>
      <c r="AI465" s="71"/>
      <c r="AJ465" s="48"/>
      <c r="AK465" s="48"/>
      <c r="AL465" s="48"/>
      <c r="AM465" s="48"/>
      <c r="AN465" s="95"/>
      <c r="AP465" s="95"/>
      <c r="AW465" s="95"/>
    </row>
    <row r="466">
      <c r="A466" s="48"/>
      <c r="B466" s="48"/>
      <c r="C466" s="86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48"/>
      <c r="AI466" s="71"/>
      <c r="AJ466" s="48"/>
      <c r="AK466" s="48"/>
      <c r="AL466" s="48"/>
      <c r="AM466" s="48"/>
      <c r="AN466" s="95"/>
      <c r="AP466" s="95"/>
      <c r="AW466" s="95"/>
    </row>
    <row r="467">
      <c r="A467" s="48"/>
      <c r="B467" s="48"/>
      <c r="C467" s="86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48"/>
      <c r="AI467" s="71"/>
      <c r="AJ467" s="48"/>
      <c r="AK467" s="48"/>
      <c r="AL467" s="48"/>
      <c r="AM467" s="48"/>
      <c r="AN467" s="95"/>
      <c r="AP467" s="95"/>
      <c r="AW467" s="95"/>
    </row>
    <row r="468">
      <c r="A468" s="48"/>
      <c r="B468" s="48"/>
      <c r="C468" s="86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48"/>
      <c r="AI468" s="71"/>
      <c r="AJ468" s="48"/>
      <c r="AK468" s="48"/>
      <c r="AL468" s="48"/>
      <c r="AM468" s="48"/>
      <c r="AN468" s="95"/>
      <c r="AP468" s="95"/>
      <c r="AW468" s="95"/>
    </row>
    <row r="469">
      <c r="A469" s="48"/>
      <c r="B469" s="48"/>
      <c r="C469" s="86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48"/>
      <c r="AI469" s="71"/>
      <c r="AJ469" s="48"/>
      <c r="AK469" s="48"/>
      <c r="AL469" s="48"/>
      <c r="AM469" s="48"/>
      <c r="AN469" s="95"/>
      <c r="AP469" s="95"/>
      <c r="AW469" s="95"/>
    </row>
    <row r="470">
      <c r="A470" s="48"/>
      <c r="B470" s="48"/>
      <c r="C470" s="86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48"/>
      <c r="AI470" s="71"/>
      <c r="AJ470" s="48"/>
      <c r="AK470" s="48"/>
      <c r="AL470" s="48"/>
      <c r="AM470" s="48"/>
      <c r="AN470" s="95"/>
      <c r="AP470" s="95"/>
      <c r="AW470" s="95"/>
    </row>
    <row r="471">
      <c r="A471" s="48"/>
      <c r="B471" s="48"/>
      <c r="C471" s="86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48"/>
      <c r="AI471" s="71"/>
      <c r="AJ471" s="48"/>
      <c r="AK471" s="48"/>
      <c r="AL471" s="48"/>
      <c r="AM471" s="48"/>
      <c r="AN471" s="95"/>
      <c r="AP471" s="95"/>
      <c r="AW471" s="95"/>
    </row>
    <row r="472">
      <c r="A472" s="48"/>
      <c r="B472" s="48"/>
      <c r="C472" s="86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48"/>
      <c r="AI472" s="71"/>
      <c r="AJ472" s="48"/>
      <c r="AK472" s="48"/>
      <c r="AL472" s="48"/>
      <c r="AM472" s="48"/>
      <c r="AN472" s="95"/>
      <c r="AP472" s="95"/>
      <c r="AW472" s="95"/>
    </row>
    <row r="473">
      <c r="A473" s="48"/>
      <c r="B473" s="48"/>
      <c r="C473" s="86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48"/>
      <c r="AI473" s="71"/>
      <c r="AJ473" s="48"/>
      <c r="AK473" s="48"/>
      <c r="AL473" s="48"/>
      <c r="AM473" s="48"/>
      <c r="AN473" s="95"/>
      <c r="AP473" s="95"/>
      <c r="AW473" s="95"/>
    </row>
    <row r="474">
      <c r="A474" s="48"/>
      <c r="B474" s="48"/>
      <c r="C474" s="86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48"/>
      <c r="AI474" s="71"/>
      <c r="AJ474" s="48"/>
      <c r="AK474" s="48"/>
      <c r="AL474" s="48"/>
      <c r="AM474" s="48"/>
      <c r="AN474" s="95"/>
      <c r="AP474" s="95"/>
      <c r="AW474" s="95"/>
    </row>
    <row r="475">
      <c r="A475" s="48"/>
      <c r="B475" s="48"/>
      <c r="C475" s="86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48"/>
      <c r="AI475" s="71"/>
      <c r="AJ475" s="48"/>
      <c r="AK475" s="48"/>
      <c r="AL475" s="48"/>
      <c r="AM475" s="48"/>
      <c r="AN475" s="95"/>
      <c r="AP475" s="95"/>
      <c r="AW475" s="95"/>
    </row>
    <row r="476">
      <c r="A476" s="48"/>
      <c r="B476" s="48"/>
      <c r="C476" s="86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48"/>
      <c r="AI476" s="71"/>
      <c r="AJ476" s="48"/>
      <c r="AK476" s="48"/>
      <c r="AL476" s="48"/>
      <c r="AM476" s="48"/>
      <c r="AN476" s="95"/>
      <c r="AP476" s="95"/>
      <c r="AW476" s="95"/>
    </row>
    <row r="477">
      <c r="A477" s="48"/>
      <c r="B477" s="48"/>
      <c r="C477" s="86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48"/>
      <c r="AI477" s="71"/>
      <c r="AJ477" s="48"/>
      <c r="AK477" s="48"/>
      <c r="AL477" s="48"/>
      <c r="AM477" s="48"/>
      <c r="AN477" s="95"/>
      <c r="AP477" s="95"/>
      <c r="AW477" s="95"/>
    </row>
    <row r="478">
      <c r="A478" s="48"/>
      <c r="B478" s="48"/>
      <c r="C478" s="86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48"/>
      <c r="AI478" s="71"/>
      <c r="AJ478" s="48"/>
      <c r="AK478" s="48"/>
      <c r="AL478" s="48"/>
      <c r="AM478" s="48"/>
      <c r="AN478" s="95"/>
      <c r="AP478" s="95"/>
      <c r="AW478" s="95"/>
    </row>
    <row r="479">
      <c r="A479" s="48"/>
      <c r="B479" s="48"/>
      <c r="C479" s="86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48"/>
      <c r="AI479" s="71"/>
      <c r="AJ479" s="48"/>
      <c r="AK479" s="48"/>
      <c r="AL479" s="48"/>
      <c r="AM479" s="48"/>
      <c r="AN479" s="95"/>
      <c r="AP479" s="95"/>
      <c r="AW479" s="95"/>
    </row>
    <row r="480">
      <c r="A480" s="48"/>
      <c r="B480" s="48"/>
      <c r="C480" s="86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48"/>
      <c r="AI480" s="71"/>
      <c r="AJ480" s="48"/>
      <c r="AK480" s="48"/>
      <c r="AL480" s="48"/>
      <c r="AM480" s="48"/>
      <c r="AN480" s="95"/>
      <c r="AP480" s="95"/>
      <c r="AW480" s="95"/>
    </row>
    <row r="481">
      <c r="A481" s="48"/>
      <c r="B481" s="48"/>
      <c r="C481" s="86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48"/>
      <c r="AI481" s="71"/>
      <c r="AJ481" s="48"/>
      <c r="AK481" s="48"/>
      <c r="AL481" s="48"/>
      <c r="AM481" s="48"/>
      <c r="AN481" s="95"/>
      <c r="AP481" s="95"/>
      <c r="AW481" s="95"/>
    </row>
    <row r="482">
      <c r="A482" s="48"/>
      <c r="B482" s="48"/>
      <c r="C482" s="86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48"/>
      <c r="AI482" s="71"/>
      <c r="AJ482" s="48"/>
      <c r="AK482" s="48"/>
      <c r="AL482" s="48"/>
      <c r="AM482" s="48"/>
      <c r="AN482" s="95"/>
      <c r="AP482" s="95"/>
      <c r="AW482" s="95"/>
    </row>
    <row r="483">
      <c r="A483" s="48"/>
      <c r="B483" s="48"/>
      <c r="C483" s="86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48"/>
      <c r="AI483" s="71"/>
      <c r="AJ483" s="48"/>
      <c r="AK483" s="48"/>
      <c r="AL483" s="48"/>
      <c r="AM483" s="48"/>
      <c r="AN483" s="95"/>
      <c r="AP483" s="95"/>
      <c r="AW483" s="95"/>
    </row>
    <row r="484">
      <c r="A484" s="48"/>
      <c r="B484" s="48"/>
      <c r="C484" s="86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48"/>
      <c r="AI484" s="71"/>
      <c r="AJ484" s="48"/>
      <c r="AK484" s="48"/>
      <c r="AL484" s="48"/>
      <c r="AM484" s="48"/>
      <c r="AN484" s="95"/>
      <c r="AP484" s="95"/>
      <c r="AW484" s="95"/>
    </row>
    <row r="485">
      <c r="A485" s="48"/>
      <c r="B485" s="48"/>
      <c r="C485" s="86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48"/>
      <c r="AI485" s="71"/>
      <c r="AJ485" s="48"/>
      <c r="AK485" s="48"/>
      <c r="AL485" s="48"/>
      <c r="AM485" s="48"/>
      <c r="AN485" s="95"/>
      <c r="AP485" s="95"/>
      <c r="AW485" s="95"/>
    </row>
    <row r="486">
      <c r="A486" s="48"/>
      <c r="B486" s="48"/>
      <c r="C486" s="86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48"/>
      <c r="AI486" s="71"/>
      <c r="AJ486" s="48"/>
      <c r="AK486" s="48"/>
      <c r="AL486" s="48"/>
      <c r="AM486" s="48"/>
      <c r="AN486" s="95"/>
      <c r="AP486" s="95"/>
      <c r="AW486" s="95"/>
    </row>
    <row r="487">
      <c r="A487" s="48"/>
      <c r="B487" s="48"/>
      <c r="C487" s="86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48"/>
      <c r="AI487" s="71"/>
      <c r="AJ487" s="48"/>
      <c r="AK487" s="48"/>
      <c r="AL487" s="48"/>
      <c r="AM487" s="48"/>
      <c r="AN487" s="95"/>
      <c r="AP487" s="95"/>
      <c r="AW487" s="95"/>
    </row>
    <row r="488">
      <c r="A488" s="48"/>
      <c r="B488" s="48"/>
      <c r="C488" s="86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48"/>
      <c r="AI488" s="71"/>
      <c r="AJ488" s="48"/>
      <c r="AK488" s="48"/>
      <c r="AL488" s="48"/>
      <c r="AM488" s="48"/>
      <c r="AN488" s="95"/>
      <c r="AP488" s="95"/>
      <c r="AW488" s="95"/>
    </row>
    <row r="489">
      <c r="A489" s="48"/>
      <c r="B489" s="48"/>
      <c r="C489" s="86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48"/>
      <c r="AI489" s="71"/>
      <c r="AJ489" s="48"/>
      <c r="AK489" s="48"/>
      <c r="AL489" s="48"/>
      <c r="AM489" s="48"/>
      <c r="AN489" s="95"/>
      <c r="AP489" s="95"/>
      <c r="AW489" s="95"/>
    </row>
    <row r="490">
      <c r="A490" s="48"/>
      <c r="B490" s="48"/>
      <c r="C490" s="86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48"/>
      <c r="AI490" s="71"/>
      <c r="AJ490" s="48"/>
      <c r="AK490" s="48"/>
      <c r="AL490" s="48"/>
      <c r="AM490" s="48"/>
      <c r="AN490" s="95"/>
      <c r="AP490" s="95"/>
      <c r="AW490" s="95"/>
    </row>
    <row r="491">
      <c r="A491" s="48"/>
      <c r="B491" s="48"/>
      <c r="C491" s="86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48"/>
      <c r="AI491" s="71"/>
      <c r="AJ491" s="48"/>
      <c r="AK491" s="48"/>
      <c r="AL491" s="48"/>
      <c r="AM491" s="48"/>
      <c r="AN491" s="95"/>
      <c r="AP491" s="95"/>
      <c r="AW491" s="95"/>
    </row>
    <row r="492">
      <c r="A492" s="48"/>
      <c r="B492" s="48"/>
      <c r="C492" s="86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48"/>
      <c r="AI492" s="71"/>
      <c r="AJ492" s="48"/>
      <c r="AK492" s="48"/>
      <c r="AL492" s="48"/>
      <c r="AM492" s="48"/>
      <c r="AN492" s="95"/>
      <c r="AP492" s="95"/>
      <c r="AW492" s="95"/>
    </row>
    <row r="493">
      <c r="A493" s="48"/>
      <c r="B493" s="48"/>
      <c r="C493" s="86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48"/>
      <c r="AI493" s="71"/>
      <c r="AJ493" s="48"/>
      <c r="AK493" s="48"/>
      <c r="AL493" s="48"/>
      <c r="AM493" s="48"/>
      <c r="AN493" s="95"/>
      <c r="AP493" s="95"/>
      <c r="AW493" s="95"/>
    </row>
    <row r="494">
      <c r="A494" s="48"/>
      <c r="B494" s="48"/>
      <c r="C494" s="86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48"/>
      <c r="AI494" s="71"/>
      <c r="AJ494" s="48"/>
      <c r="AK494" s="48"/>
      <c r="AL494" s="48"/>
      <c r="AM494" s="48"/>
      <c r="AN494" s="95"/>
      <c r="AP494" s="95"/>
      <c r="AW494" s="95"/>
    </row>
    <row r="495">
      <c r="A495" s="48"/>
      <c r="B495" s="48"/>
      <c r="C495" s="86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48"/>
      <c r="AI495" s="71"/>
      <c r="AJ495" s="48"/>
      <c r="AK495" s="48"/>
      <c r="AL495" s="48"/>
      <c r="AM495" s="48"/>
      <c r="AN495" s="95"/>
      <c r="AP495" s="95"/>
      <c r="AW495" s="95"/>
    </row>
    <row r="496">
      <c r="A496" s="48"/>
      <c r="B496" s="48"/>
      <c r="C496" s="86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48"/>
      <c r="AI496" s="71"/>
      <c r="AJ496" s="48"/>
      <c r="AK496" s="48"/>
      <c r="AL496" s="48"/>
      <c r="AM496" s="48"/>
      <c r="AN496" s="95"/>
      <c r="AP496" s="95"/>
      <c r="AW496" s="95"/>
    </row>
    <row r="497">
      <c r="A497" s="48"/>
      <c r="B497" s="48"/>
      <c r="C497" s="86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48"/>
      <c r="AI497" s="71"/>
      <c r="AJ497" s="48"/>
      <c r="AK497" s="48"/>
      <c r="AL497" s="48"/>
      <c r="AM497" s="48"/>
      <c r="AN497" s="95"/>
      <c r="AP497" s="95"/>
      <c r="AW497" s="95"/>
    </row>
    <row r="498">
      <c r="A498" s="48"/>
      <c r="B498" s="48"/>
      <c r="C498" s="86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48"/>
      <c r="AI498" s="71"/>
      <c r="AJ498" s="48"/>
      <c r="AK498" s="48"/>
      <c r="AL498" s="48"/>
      <c r="AM498" s="48"/>
      <c r="AN498" s="95"/>
      <c r="AP498" s="95"/>
      <c r="AW498" s="95"/>
    </row>
    <row r="499">
      <c r="A499" s="48"/>
      <c r="B499" s="48"/>
      <c r="C499" s="86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48"/>
      <c r="AI499" s="71"/>
      <c r="AJ499" s="48"/>
      <c r="AK499" s="48"/>
      <c r="AL499" s="48"/>
      <c r="AM499" s="48"/>
      <c r="AN499" s="95"/>
      <c r="AP499" s="95"/>
      <c r="AW499" s="95"/>
    </row>
    <row r="500">
      <c r="A500" s="48"/>
      <c r="B500" s="48"/>
      <c r="C500" s="86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48"/>
      <c r="AI500" s="71"/>
      <c r="AJ500" s="48"/>
      <c r="AK500" s="48"/>
      <c r="AL500" s="48"/>
      <c r="AM500" s="48"/>
      <c r="AN500" s="95"/>
      <c r="AP500" s="95"/>
      <c r="AW500" s="95"/>
    </row>
    <row r="501">
      <c r="A501" s="48"/>
      <c r="B501" s="48"/>
      <c r="C501" s="86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48"/>
      <c r="AI501" s="71"/>
      <c r="AJ501" s="48"/>
      <c r="AK501" s="48"/>
      <c r="AL501" s="48"/>
      <c r="AM501" s="48"/>
      <c r="AN501" s="95"/>
      <c r="AP501" s="95"/>
      <c r="AW501" s="95"/>
    </row>
    <row r="502">
      <c r="A502" s="48"/>
      <c r="B502" s="48"/>
      <c r="C502" s="86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48"/>
      <c r="AI502" s="71"/>
      <c r="AJ502" s="48"/>
      <c r="AK502" s="48"/>
      <c r="AL502" s="48"/>
      <c r="AM502" s="48"/>
      <c r="AN502" s="95"/>
      <c r="AP502" s="95"/>
      <c r="AW502" s="95"/>
    </row>
    <row r="503">
      <c r="A503" s="48"/>
      <c r="B503" s="48"/>
      <c r="C503" s="86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48"/>
      <c r="AI503" s="71"/>
      <c r="AJ503" s="48"/>
      <c r="AK503" s="48"/>
      <c r="AL503" s="48"/>
      <c r="AM503" s="48"/>
      <c r="AN503" s="95"/>
      <c r="AP503" s="95"/>
      <c r="AW503" s="95"/>
    </row>
    <row r="504">
      <c r="A504" s="48"/>
      <c r="B504" s="48"/>
      <c r="C504" s="86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48"/>
      <c r="AI504" s="71"/>
      <c r="AJ504" s="48"/>
      <c r="AK504" s="48"/>
      <c r="AL504" s="48"/>
      <c r="AM504" s="48"/>
      <c r="AN504" s="95"/>
      <c r="AP504" s="95"/>
      <c r="AW504" s="95"/>
    </row>
    <row r="505">
      <c r="A505" s="48"/>
      <c r="B505" s="48"/>
      <c r="C505" s="86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48"/>
      <c r="AI505" s="71"/>
      <c r="AJ505" s="48"/>
      <c r="AK505" s="48"/>
      <c r="AL505" s="48"/>
      <c r="AM505" s="48"/>
      <c r="AN505" s="95"/>
      <c r="AP505" s="95"/>
      <c r="AW505" s="95"/>
    </row>
    <row r="506">
      <c r="A506" s="48"/>
      <c r="B506" s="48"/>
      <c r="C506" s="86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48"/>
      <c r="AI506" s="71"/>
      <c r="AJ506" s="48"/>
      <c r="AK506" s="48"/>
      <c r="AL506" s="48"/>
      <c r="AM506" s="48"/>
      <c r="AN506" s="95"/>
      <c r="AP506" s="95"/>
      <c r="AW506" s="95"/>
    </row>
    <row r="507">
      <c r="A507" s="48"/>
      <c r="B507" s="48"/>
      <c r="C507" s="86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48"/>
      <c r="AI507" s="71"/>
      <c r="AJ507" s="48"/>
      <c r="AK507" s="48"/>
      <c r="AL507" s="48"/>
      <c r="AM507" s="48"/>
      <c r="AN507" s="95"/>
      <c r="AP507" s="95"/>
      <c r="AW507" s="95"/>
    </row>
    <row r="508">
      <c r="A508" s="48"/>
      <c r="B508" s="48"/>
      <c r="C508" s="86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48"/>
      <c r="AI508" s="71"/>
      <c r="AJ508" s="48"/>
      <c r="AK508" s="48"/>
      <c r="AL508" s="48"/>
      <c r="AM508" s="48"/>
      <c r="AN508" s="95"/>
      <c r="AP508" s="95"/>
      <c r="AW508" s="95"/>
    </row>
    <row r="509">
      <c r="A509" s="48"/>
      <c r="B509" s="48"/>
      <c r="C509" s="86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48"/>
      <c r="AI509" s="71"/>
      <c r="AJ509" s="48"/>
      <c r="AK509" s="48"/>
      <c r="AL509" s="48"/>
      <c r="AM509" s="48"/>
      <c r="AN509" s="95"/>
      <c r="AP509" s="95"/>
      <c r="AW509" s="95"/>
    </row>
    <row r="510">
      <c r="A510" s="48"/>
      <c r="B510" s="48"/>
      <c r="C510" s="86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48"/>
      <c r="AI510" s="71"/>
      <c r="AJ510" s="48"/>
      <c r="AK510" s="48"/>
      <c r="AL510" s="48"/>
      <c r="AM510" s="48"/>
      <c r="AN510" s="95"/>
      <c r="AP510" s="95"/>
      <c r="AW510" s="95"/>
    </row>
    <row r="511">
      <c r="A511" s="48"/>
      <c r="B511" s="48"/>
      <c r="C511" s="86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48"/>
      <c r="AI511" s="71"/>
      <c r="AJ511" s="48"/>
      <c r="AK511" s="48"/>
      <c r="AL511" s="48"/>
      <c r="AM511" s="48"/>
      <c r="AN511" s="95"/>
      <c r="AP511" s="95"/>
      <c r="AW511" s="95"/>
    </row>
    <row r="512">
      <c r="A512" s="48"/>
      <c r="B512" s="48"/>
      <c r="C512" s="86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48"/>
      <c r="AI512" s="71"/>
      <c r="AJ512" s="48"/>
      <c r="AK512" s="48"/>
      <c r="AL512" s="48"/>
      <c r="AM512" s="48"/>
      <c r="AN512" s="95"/>
      <c r="AP512" s="95"/>
      <c r="AW512" s="95"/>
    </row>
    <row r="513">
      <c r="A513" s="48"/>
      <c r="B513" s="48"/>
      <c r="C513" s="86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48"/>
      <c r="AI513" s="71"/>
      <c r="AJ513" s="48"/>
      <c r="AK513" s="48"/>
      <c r="AL513" s="48"/>
      <c r="AM513" s="48"/>
      <c r="AN513" s="95"/>
      <c r="AP513" s="95"/>
      <c r="AW513" s="95"/>
    </row>
    <row r="514">
      <c r="A514" s="48"/>
      <c r="B514" s="48"/>
      <c r="C514" s="86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48"/>
      <c r="AI514" s="71"/>
      <c r="AJ514" s="48"/>
      <c r="AK514" s="48"/>
      <c r="AL514" s="48"/>
      <c r="AM514" s="48"/>
      <c r="AN514" s="95"/>
      <c r="AP514" s="95"/>
      <c r="AW514" s="95"/>
    </row>
    <row r="515">
      <c r="A515" s="48"/>
      <c r="B515" s="48"/>
      <c r="C515" s="86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48"/>
      <c r="AI515" s="71"/>
      <c r="AJ515" s="48"/>
      <c r="AK515" s="48"/>
      <c r="AL515" s="48"/>
      <c r="AM515" s="48"/>
      <c r="AN515" s="95"/>
      <c r="AP515" s="95"/>
      <c r="AW515" s="95"/>
    </row>
    <row r="516">
      <c r="A516" s="48"/>
      <c r="B516" s="48"/>
      <c r="C516" s="86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48"/>
      <c r="AI516" s="71"/>
      <c r="AJ516" s="48"/>
      <c r="AK516" s="48"/>
      <c r="AL516" s="48"/>
      <c r="AM516" s="48"/>
      <c r="AN516" s="95"/>
      <c r="AP516" s="95"/>
      <c r="AW516" s="95"/>
    </row>
    <row r="517">
      <c r="A517" s="48"/>
      <c r="B517" s="48"/>
      <c r="C517" s="86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48"/>
      <c r="AI517" s="71"/>
      <c r="AJ517" s="48"/>
      <c r="AK517" s="48"/>
      <c r="AL517" s="48"/>
      <c r="AM517" s="48"/>
      <c r="AN517" s="95"/>
      <c r="AP517" s="95"/>
      <c r="AW517" s="95"/>
    </row>
    <row r="518">
      <c r="A518" s="48"/>
      <c r="B518" s="48"/>
      <c r="C518" s="86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48"/>
      <c r="AI518" s="71"/>
      <c r="AJ518" s="48"/>
      <c r="AK518" s="48"/>
      <c r="AL518" s="48"/>
      <c r="AM518" s="48"/>
      <c r="AN518" s="95"/>
      <c r="AP518" s="95"/>
      <c r="AW518" s="95"/>
    </row>
    <row r="519">
      <c r="A519" s="48"/>
      <c r="B519" s="48"/>
      <c r="C519" s="86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48"/>
      <c r="AI519" s="71"/>
      <c r="AJ519" s="48"/>
      <c r="AK519" s="48"/>
      <c r="AL519" s="48"/>
      <c r="AM519" s="48"/>
      <c r="AN519" s="95"/>
      <c r="AP519" s="95"/>
      <c r="AW519" s="95"/>
    </row>
    <row r="520">
      <c r="A520" s="48"/>
      <c r="B520" s="48"/>
      <c r="C520" s="86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48"/>
      <c r="AI520" s="71"/>
      <c r="AJ520" s="48"/>
      <c r="AK520" s="48"/>
      <c r="AL520" s="48"/>
      <c r="AM520" s="48"/>
      <c r="AN520" s="95"/>
      <c r="AP520" s="95"/>
      <c r="AW520" s="95"/>
    </row>
    <row r="521">
      <c r="A521" s="48"/>
      <c r="B521" s="48"/>
      <c r="C521" s="86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48"/>
      <c r="AI521" s="71"/>
      <c r="AJ521" s="48"/>
      <c r="AK521" s="48"/>
      <c r="AL521" s="48"/>
      <c r="AM521" s="48"/>
      <c r="AN521" s="95"/>
      <c r="AP521" s="95"/>
      <c r="AW521" s="95"/>
    </row>
    <row r="522">
      <c r="A522" s="48"/>
      <c r="B522" s="48"/>
      <c r="C522" s="86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48"/>
      <c r="AI522" s="71"/>
      <c r="AJ522" s="48"/>
      <c r="AK522" s="48"/>
      <c r="AL522" s="48"/>
      <c r="AM522" s="48"/>
      <c r="AN522" s="95"/>
      <c r="AP522" s="95"/>
      <c r="AW522" s="95"/>
    </row>
    <row r="523">
      <c r="A523" s="48"/>
      <c r="B523" s="48"/>
      <c r="C523" s="86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48"/>
      <c r="AI523" s="71"/>
      <c r="AJ523" s="48"/>
      <c r="AK523" s="48"/>
      <c r="AL523" s="48"/>
      <c r="AM523" s="48"/>
      <c r="AN523" s="95"/>
      <c r="AP523" s="95"/>
      <c r="AW523" s="95"/>
    </row>
    <row r="524">
      <c r="A524" s="48"/>
      <c r="B524" s="48"/>
      <c r="C524" s="86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48"/>
      <c r="AI524" s="71"/>
      <c r="AJ524" s="48"/>
      <c r="AK524" s="48"/>
      <c r="AL524" s="48"/>
      <c r="AM524" s="48"/>
      <c r="AN524" s="95"/>
      <c r="AP524" s="95"/>
      <c r="AW524" s="95"/>
    </row>
    <row r="525">
      <c r="A525" s="48"/>
      <c r="B525" s="48"/>
      <c r="C525" s="86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48"/>
      <c r="AI525" s="71"/>
      <c r="AJ525" s="48"/>
      <c r="AK525" s="48"/>
      <c r="AL525" s="48"/>
      <c r="AM525" s="48"/>
      <c r="AN525" s="95"/>
      <c r="AP525" s="95"/>
      <c r="AW525" s="95"/>
    </row>
    <row r="526">
      <c r="A526" s="48"/>
      <c r="B526" s="48"/>
      <c r="C526" s="86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48"/>
      <c r="AI526" s="71"/>
      <c r="AJ526" s="48"/>
      <c r="AK526" s="48"/>
      <c r="AL526" s="48"/>
      <c r="AM526" s="48"/>
      <c r="AN526" s="95"/>
      <c r="AP526" s="95"/>
      <c r="AW526" s="95"/>
    </row>
    <row r="527">
      <c r="A527" s="48"/>
      <c r="B527" s="48"/>
      <c r="C527" s="86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48"/>
      <c r="AI527" s="71"/>
      <c r="AJ527" s="48"/>
      <c r="AK527" s="48"/>
      <c r="AL527" s="48"/>
      <c r="AM527" s="48"/>
      <c r="AN527" s="95"/>
      <c r="AP527" s="95"/>
      <c r="AW527" s="95"/>
    </row>
    <row r="528">
      <c r="A528" s="48"/>
      <c r="B528" s="48"/>
      <c r="C528" s="86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48"/>
      <c r="AI528" s="71"/>
      <c r="AJ528" s="48"/>
      <c r="AK528" s="48"/>
      <c r="AL528" s="48"/>
      <c r="AM528" s="48"/>
      <c r="AN528" s="95"/>
      <c r="AP528" s="95"/>
      <c r="AW528" s="95"/>
    </row>
    <row r="529">
      <c r="A529" s="48"/>
      <c r="B529" s="48"/>
      <c r="C529" s="86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48"/>
      <c r="AI529" s="71"/>
      <c r="AJ529" s="48"/>
      <c r="AK529" s="48"/>
      <c r="AL529" s="48"/>
      <c r="AM529" s="48"/>
      <c r="AN529" s="95"/>
      <c r="AP529" s="95"/>
      <c r="AW529" s="95"/>
    </row>
    <row r="530">
      <c r="A530" s="48"/>
      <c r="B530" s="48"/>
      <c r="C530" s="86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48"/>
      <c r="AI530" s="71"/>
      <c r="AJ530" s="48"/>
      <c r="AK530" s="48"/>
      <c r="AL530" s="48"/>
      <c r="AM530" s="48"/>
      <c r="AN530" s="95"/>
      <c r="AP530" s="95"/>
      <c r="AW530" s="95"/>
    </row>
    <row r="531">
      <c r="A531" s="48"/>
      <c r="B531" s="48"/>
      <c r="C531" s="86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48"/>
      <c r="AI531" s="71"/>
      <c r="AJ531" s="48"/>
      <c r="AK531" s="48"/>
      <c r="AL531" s="48"/>
      <c r="AM531" s="48"/>
      <c r="AN531" s="95"/>
      <c r="AP531" s="95"/>
      <c r="AW531" s="95"/>
    </row>
    <row r="532">
      <c r="A532" s="48"/>
      <c r="B532" s="48"/>
      <c r="C532" s="86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48"/>
      <c r="AI532" s="71"/>
      <c r="AJ532" s="48"/>
      <c r="AK532" s="48"/>
      <c r="AL532" s="48"/>
      <c r="AM532" s="48"/>
      <c r="AN532" s="95"/>
      <c r="AP532" s="95"/>
      <c r="AW532" s="95"/>
    </row>
    <row r="533">
      <c r="A533" s="48"/>
      <c r="B533" s="48"/>
      <c r="C533" s="86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48"/>
      <c r="AI533" s="71"/>
      <c r="AJ533" s="48"/>
      <c r="AK533" s="48"/>
      <c r="AL533" s="48"/>
      <c r="AM533" s="48"/>
      <c r="AN533" s="95"/>
      <c r="AP533" s="95"/>
      <c r="AW533" s="95"/>
    </row>
    <row r="534">
      <c r="A534" s="48"/>
      <c r="B534" s="48"/>
      <c r="C534" s="86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48"/>
      <c r="AI534" s="71"/>
      <c r="AJ534" s="48"/>
      <c r="AK534" s="48"/>
      <c r="AL534" s="48"/>
      <c r="AM534" s="48"/>
      <c r="AN534" s="95"/>
      <c r="AP534" s="95"/>
      <c r="AW534" s="95"/>
    </row>
    <row r="535">
      <c r="A535" s="48"/>
      <c r="B535" s="48"/>
      <c r="C535" s="86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48"/>
      <c r="AI535" s="71"/>
      <c r="AJ535" s="48"/>
      <c r="AK535" s="48"/>
      <c r="AL535" s="48"/>
      <c r="AM535" s="48"/>
      <c r="AN535" s="95"/>
      <c r="AP535" s="95"/>
      <c r="AW535" s="95"/>
    </row>
    <row r="536">
      <c r="A536" s="48"/>
      <c r="B536" s="48"/>
      <c r="C536" s="86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48"/>
      <c r="AI536" s="71"/>
      <c r="AJ536" s="48"/>
      <c r="AK536" s="48"/>
      <c r="AL536" s="48"/>
      <c r="AM536" s="48"/>
      <c r="AN536" s="95"/>
      <c r="AP536" s="95"/>
      <c r="AW536" s="95"/>
    </row>
    <row r="537">
      <c r="A537" s="48"/>
      <c r="B537" s="48"/>
      <c r="C537" s="86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48"/>
      <c r="AI537" s="71"/>
      <c r="AJ537" s="48"/>
      <c r="AK537" s="48"/>
      <c r="AL537" s="48"/>
      <c r="AM537" s="48"/>
      <c r="AN537" s="95"/>
      <c r="AP537" s="95"/>
      <c r="AW537" s="95"/>
    </row>
    <row r="538">
      <c r="A538" s="48"/>
      <c r="B538" s="48"/>
      <c r="C538" s="86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48"/>
      <c r="AI538" s="71"/>
      <c r="AJ538" s="48"/>
      <c r="AK538" s="48"/>
      <c r="AL538" s="48"/>
      <c r="AM538" s="48"/>
      <c r="AN538" s="95"/>
      <c r="AP538" s="95"/>
      <c r="AW538" s="95"/>
    </row>
    <row r="539">
      <c r="A539" s="48"/>
      <c r="B539" s="48"/>
      <c r="C539" s="86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48"/>
      <c r="AI539" s="71"/>
      <c r="AJ539" s="48"/>
      <c r="AK539" s="48"/>
      <c r="AL539" s="48"/>
      <c r="AM539" s="48"/>
      <c r="AN539" s="95"/>
      <c r="AP539" s="95"/>
      <c r="AW539" s="95"/>
    </row>
    <row r="540">
      <c r="A540" s="48"/>
      <c r="B540" s="48"/>
      <c r="C540" s="86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48"/>
      <c r="AI540" s="71"/>
      <c r="AJ540" s="48"/>
      <c r="AK540" s="48"/>
      <c r="AL540" s="48"/>
      <c r="AM540" s="48"/>
      <c r="AN540" s="95"/>
      <c r="AP540" s="95"/>
      <c r="AW540" s="95"/>
    </row>
    <row r="541">
      <c r="A541" s="48"/>
      <c r="B541" s="48"/>
      <c r="C541" s="86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48"/>
      <c r="AI541" s="71"/>
      <c r="AJ541" s="48"/>
      <c r="AK541" s="48"/>
      <c r="AL541" s="48"/>
      <c r="AM541" s="48"/>
      <c r="AN541" s="95"/>
      <c r="AP541" s="95"/>
      <c r="AW541" s="95"/>
    </row>
    <row r="542">
      <c r="A542" s="48"/>
      <c r="B542" s="48"/>
      <c r="C542" s="86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48"/>
      <c r="AI542" s="71"/>
      <c r="AJ542" s="48"/>
      <c r="AK542" s="48"/>
      <c r="AL542" s="48"/>
      <c r="AM542" s="48"/>
      <c r="AN542" s="95"/>
      <c r="AP542" s="95"/>
      <c r="AW542" s="95"/>
    </row>
    <row r="543">
      <c r="A543" s="48"/>
      <c r="B543" s="48"/>
      <c r="C543" s="86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48"/>
      <c r="AI543" s="71"/>
      <c r="AJ543" s="48"/>
      <c r="AK543" s="48"/>
      <c r="AL543" s="48"/>
      <c r="AM543" s="48"/>
      <c r="AN543" s="95"/>
      <c r="AP543" s="95"/>
      <c r="AW543" s="95"/>
    </row>
    <row r="544">
      <c r="A544" s="48"/>
      <c r="B544" s="48"/>
      <c r="C544" s="86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48"/>
      <c r="AI544" s="71"/>
      <c r="AJ544" s="48"/>
      <c r="AK544" s="48"/>
      <c r="AL544" s="48"/>
      <c r="AM544" s="48"/>
      <c r="AN544" s="95"/>
      <c r="AP544" s="95"/>
      <c r="AW544" s="95"/>
    </row>
    <row r="545">
      <c r="A545" s="48"/>
      <c r="B545" s="48"/>
      <c r="C545" s="86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48"/>
      <c r="AI545" s="71"/>
      <c r="AJ545" s="48"/>
      <c r="AK545" s="48"/>
      <c r="AL545" s="48"/>
      <c r="AM545" s="48"/>
      <c r="AN545" s="95"/>
      <c r="AP545" s="95"/>
      <c r="AW545" s="95"/>
    </row>
    <row r="546">
      <c r="A546" s="48"/>
      <c r="B546" s="48"/>
      <c r="C546" s="86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48"/>
      <c r="AI546" s="71"/>
      <c r="AJ546" s="48"/>
      <c r="AK546" s="48"/>
      <c r="AL546" s="48"/>
      <c r="AM546" s="48"/>
      <c r="AN546" s="95"/>
      <c r="AP546" s="95"/>
      <c r="AW546" s="95"/>
    </row>
    <row r="547">
      <c r="A547" s="48"/>
      <c r="B547" s="48"/>
      <c r="C547" s="86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48"/>
      <c r="AI547" s="71"/>
      <c r="AJ547" s="48"/>
      <c r="AK547" s="48"/>
      <c r="AL547" s="48"/>
      <c r="AM547" s="48"/>
      <c r="AN547" s="95"/>
      <c r="AP547" s="95"/>
      <c r="AW547" s="95"/>
    </row>
    <row r="548">
      <c r="A548" s="48"/>
      <c r="B548" s="48"/>
      <c r="C548" s="86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48"/>
      <c r="AI548" s="71"/>
      <c r="AJ548" s="48"/>
      <c r="AK548" s="48"/>
      <c r="AL548" s="48"/>
      <c r="AM548" s="48"/>
      <c r="AN548" s="95"/>
      <c r="AP548" s="95"/>
      <c r="AW548" s="95"/>
    </row>
    <row r="549">
      <c r="A549" s="48"/>
      <c r="B549" s="48"/>
      <c r="C549" s="86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48"/>
      <c r="AI549" s="71"/>
      <c r="AJ549" s="48"/>
      <c r="AK549" s="48"/>
      <c r="AL549" s="48"/>
      <c r="AM549" s="48"/>
      <c r="AN549" s="95"/>
      <c r="AP549" s="95"/>
      <c r="AW549" s="95"/>
    </row>
    <row r="550">
      <c r="A550" s="48"/>
      <c r="B550" s="48"/>
      <c r="C550" s="86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48"/>
      <c r="AI550" s="71"/>
      <c r="AJ550" s="48"/>
      <c r="AK550" s="48"/>
      <c r="AL550" s="48"/>
      <c r="AM550" s="48"/>
      <c r="AN550" s="95"/>
      <c r="AP550" s="95"/>
      <c r="AW550" s="95"/>
    </row>
    <row r="551">
      <c r="A551" s="48"/>
      <c r="B551" s="48"/>
      <c r="C551" s="86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48"/>
      <c r="AI551" s="71"/>
      <c r="AJ551" s="48"/>
      <c r="AK551" s="48"/>
      <c r="AL551" s="48"/>
      <c r="AM551" s="48"/>
      <c r="AN551" s="95"/>
      <c r="AP551" s="95"/>
      <c r="AW551" s="95"/>
    </row>
    <row r="552">
      <c r="A552" s="48"/>
      <c r="B552" s="48"/>
      <c r="C552" s="86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48"/>
      <c r="AI552" s="71"/>
      <c r="AJ552" s="48"/>
      <c r="AK552" s="48"/>
      <c r="AL552" s="48"/>
      <c r="AM552" s="48"/>
      <c r="AN552" s="95"/>
      <c r="AP552" s="95"/>
      <c r="AW552" s="95"/>
    </row>
    <row r="553">
      <c r="A553" s="48"/>
      <c r="B553" s="48"/>
      <c r="C553" s="86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48"/>
      <c r="AI553" s="71"/>
      <c r="AJ553" s="48"/>
      <c r="AK553" s="48"/>
      <c r="AL553" s="48"/>
      <c r="AM553" s="48"/>
      <c r="AN553" s="95"/>
      <c r="AP553" s="95"/>
      <c r="AW553" s="95"/>
    </row>
    <row r="554">
      <c r="A554" s="48"/>
      <c r="B554" s="48"/>
      <c r="C554" s="86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48"/>
      <c r="AI554" s="71"/>
      <c r="AJ554" s="48"/>
      <c r="AK554" s="48"/>
      <c r="AL554" s="48"/>
      <c r="AM554" s="48"/>
      <c r="AN554" s="95"/>
      <c r="AP554" s="95"/>
      <c r="AW554" s="95"/>
    </row>
    <row r="555">
      <c r="A555" s="48"/>
      <c r="B555" s="48"/>
      <c r="C555" s="86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48"/>
      <c r="AI555" s="71"/>
      <c r="AJ555" s="48"/>
      <c r="AK555" s="48"/>
      <c r="AL555" s="48"/>
      <c r="AM555" s="48"/>
      <c r="AN555" s="95"/>
      <c r="AP555" s="95"/>
      <c r="AW555" s="95"/>
    </row>
    <row r="556">
      <c r="A556" s="48"/>
      <c r="B556" s="48"/>
      <c r="C556" s="86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48"/>
      <c r="AI556" s="71"/>
      <c r="AJ556" s="48"/>
      <c r="AK556" s="48"/>
      <c r="AL556" s="48"/>
      <c r="AM556" s="48"/>
      <c r="AN556" s="95"/>
      <c r="AP556" s="95"/>
      <c r="AW556" s="95"/>
    </row>
    <row r="557">
      <c r="A557" s="48"/>
      <c r="B557" s="48"/>
      <c r="C557" s="86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48"/>
      <c r="AI557" s="71"/>
      <c r="AJ557" s="48"/>
      <c r="AK557" s="48"/>
      <c r="AL557" s="48"/>
      <c r="AM557" s="48"/>
      <c r="AN557" s="95"/>
      <c r="AP557" s="95"/>
      <c r="AW557" s="95"/>
    </row>
    <row r="558">
      <c r="A558" s="48"/>
      <c r="B558" s="48"/>
      <c r="C558" s="86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48"/>
      <c r="AI558" s="71"/>
      <c r="AJ558" s="48"/>
      <c r="AK558" s="48"/>
      <c r="AL558" s="48"/>
      <c r="AM558" s="48"/>
      <c r="AN558" s="95"/>
      <c r="AP558" s="95"/>
      <c r="AW558" s="95"/>
    </row>
    <row r="559">
      <c r="A559" s="48"/>
      <c r="B559" s="48"/>
      <c r="C559" s="86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48"/>
      <c r="AI559" s="71"/>
      <c r="AJ559" s="48"/>
      <c r="AK559" s="48"/>
      <c r="AL559" s="48"/>
      <c r="AM559" s="48"/>
      <c r="AN559" s="95"/>
      <c r="AP559" s="95"/>
      <c r="AW559" s="95"/>
    </row>
    <row r="560">
      <c r="A560" s="48"/>
      <c r="B560" s="48"/>
      <c r="C560" s="86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48"/>
      <c r="AI560" s="71"/>
      <c r="AJ560" s="48"/>
      <c r="AK560" s="48"/>
      <c r="AL560" s="48"/>
      <c r="AM560" s="48"/>
      <c r="AN560" s="95"/>
      <c r="AP560" s="95"/>
      <c r="AW560" s="95"/>
    </row>
    <row r="561">
      <c r="A561" s="48"/>
      <c r="B561" s="48"/>
      <c r="C561" s="86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48"/>
      <c r="AI561" s="71"/>
      <c r="AJ561" s="48"/>
      <c r="AK561" s="48"/>
      <c r="AL561" s="48"/>
      <c r="AM561" s="48"/>
      <c r="AN561" s="95"/>
      <c r="AP561" s="95"/>
      <c r="AW561" s="95"/>
    </row>
    <row r="562">
      <c r="A562" s="48"/>
      <c r="B562" s="48"/>
      <c r="C562" s="86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48"/>
      <c r="AI562" s="71"/>
      <c r="AJ562" s="48"/>
      <c r="AK562" s="48"/>
      <c r="AL562" s="48"/>
      <c r="AM562" s="48"/>
      <c r="AN562" s="95"/>
      <c r="AP562" s="95"/>
      <c r="AW562" s="95"/>
    </row>
    <row r="563">
      <c r="A563" s="48"/>
      <c r="B563" s="48"/>
      <c r="C563" s="86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48"/>
      <c r="AI563" s="71"/>
      <c r="AJ563" s="48"/>
      <c r="AK563" s="48"/>
      <c r="AL563" s="48"/>
      <c r="AM563" s="48"/>
      <c r="AN563" s="95"/>
      <c r="AP563" s="95"/>
      <c r="AW563" s="95"/>
    </row>
    <row r="564">
      <c r="A564" s="48"/>
      <c r="B564" s="48"/>
      <c r="C564" s="86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48"/>
      <c r="AI564" s="71"/>
      <c r="AJ564" s="48"/>
      <c r="AK564" s="48"/>
      <c r="AL564" s="48"/>
      <c r="AM564" s="48"/>
      <c r="AN564" s="95"/>
      <c r="AP564" s="95"/>
      <c r="AW564" s="95"/>
    </row>
    <row r="565">
      <c r="A565" s="48"/>
      <c r="B565" s="48"/>
      <c r="C565" s="86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48"/>
      <c r="AI565" s="71"/>
      <c r="AJ565" s="48"/>
      <c r="AK565" s="48"/>
      <c r="AL565" s="48"/>
      <c r="AM565" s="48"/>
      <c r="AN565" s="95"/>
      <c r="AP565" s="95"/>
      <c r="AW565" s="95"/>
    </row>
    <row r="566">
      <c r="A566" s="48"/>
      <c r="B566" s="48"/>
      <c r="C566" s="86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48"/>
      <c r="AI566" s="71"/>
      <c r="AJ566" s="48"/>
      <c r="AK566" s="48"/>
      <c r="AL566" s="48"/>
      <c r="AM566" s="48"/>
      <c r="AN566" s="95"/>
      <c r="AP566" s="95"/>
      <c r="AW566" s="95"/>
    </row>
    <row r="567">
      <c r="A567" s="48"/>
      <c r="B567" s="48"/>
      <c r="C567" s="86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48"/>
      <c r="AI567" s="71"/>
      <c r="AJ567" s="48"/>
      <c r="AK567" s="48"/>
      <c r="AL567" s="48"/>
      <c r="AM567" s="48"/>
      <c r="AN567" s="95"/>
      <c r="AP567" s="95"/>
      <c r="AW567" s="95"/>
    </row>
    <row r="568">
      <c r="A568" s="48"/>
      <c r="B568" s="48"/>
      <c r="C568" s="86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48"/>
      <c r="AI568" s="71"/>
      <c r="AJ568" s="48"/>
      <c r="AK568" s="48"/>
      <c r="AL568" s="48"/>
      <c r="AM568" s="48"/>
      <c r="AN568" s="95"/>
      <c r="AP568" s="95"/>
      <c r="AW568" s="95"/>
    </row>
    <row r="569">
      <c r="A569" s="48"/>
      <c r="B569" s="48"/>
      <c r="C569" s="86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48"/>
      <c r="AI569" s="71"/>
      <c r="AJ569" s="48"/>
      <c r="AK569" s="48"/>
      <c r="AL569" s="48"/>
      <c r="AM569" s="48"/>
      <c r="AN569" s="95"/>
      <c r="AP569" s="95"/>
      <c r="AW569" s="95"/>
    </row>
    <row r="570">
      <c r="A570" s="48"/>
      <c r="B570" s="48"/>
      <c r="C570" s="86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48"/>
      <c r="AI570" s="71"/>
      <c r="AJ570" s="48"/>
      <c r="AK570" s="48"/>
      <c r="AL570" s="48"/>
      <c r="AM570" s="48"/>
      <c r="AN570" s="95"/>
      <c r="AP570" s="95"/>
      <c r="AW570" s="95"/>
    </row>
    <row r="571">
      <c r="A571" s="48"/>
      <c r="B571" s="48"/>
      <c r="C571" s="86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48"/>
      <c r="AI571" s="71"/>
      <c r="AJ571" s="48"/>
      <c r="AK571" s="48"/>
      <c r="AL571" s="48"/>
      <c r="AM571" s="48"/>
      <c r="AN571" s="95"/>
      <c r="AP571" s="95"/>
      <c r="AW571" s="95"/>
    </row>
    <row r="572">
      <c r="A572" s="48"/>
      <c r="B572" s="48"/>
      <c r="C572" s="86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48"/>
      <c r="AI572" s="71"/>
      <c r="AJ572" s="48"/>
      <c r="AK572" s="48"/>
      <c r="AL572" s="48"/>
      <c r="AM572" s="48"/>
      <c r="AN572" s="95"/>
      <c r="AP572" s="95"/>
      <c r="AW572" s="95"/>
    </row>
    <row r="573">
      <c r="A573" s="48"/>
      <c r="B573" s="48"/>
      <c r="C573" s="86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48"/>
      <c r="AI573" s="71"/>
      <c r="AJ573" s="48"/>
      <c r="AK573" s="48"/>
      <c r="AL573" s="48"/>
      <c r="AM573" s="48"/>
      <c r="AN573" s="95"/>
      <c r="AP573" s="95"/>
      <c r="AW573" s="95"/>
    </row>
    <row r="574">
      <c r="A574" s="48"/>
      <c r="B574" s="48"/>
      <c r="C574" s="86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48"/>
      <c r="AI574" s="71"/>
      <c r="AJ574" s="48"/>
      <c r="AK574" s="48"/>
      <c r="AL574" s="48"/>
      <c r="AM574" s="48"/>
      <c r="AN574" s="95"/>
      <c r="AP574" s="95"/>
      <c r="AW574" s="95"/>
    </row>
    <row r="575">
      <c r="A575" s="48"/>
      <c r="B575" s="48"/>
      <c r="C575" s="86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48"/>
      <c r="AI575" s="71"/>
      <c r="AJ575" s="48"/>
      <c r="AK575" s="48"/>
      <c r="AL575" s="48"/>
      <c r="AM575" s="48"/>
      <c r="AN575" s="95"/>
      <c r="AP575" s="95"/>
      <c r="AW575" s="95"/>
    </row>
    <row r="576">
      <c r="A576" s="48"/>
      <c r="B576" s="48"/>
      <c r="C576" s="86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48"/>
      <c r="AI576" s="71"/>
      <c r="AJ576" s="48"/>
      <c r="AK576" s="48"/>
      <c r="AL576" s="48"/>
      <c r="AM576" s="48"/>
      <c r="AN576" s="95"/>
      <c r="AP576" s="95"/>
      <c r="AW576" s="95"/>
    </row>
    <row r="577">
      <c r="A577" s="48"/>
      <c r="B577" s="48"/>
      <c r="C577" s="86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48"/>
      <c r="AI577" s="71"/>
      <c r="AJ577" s="48"/>
      <c r="AK577" s="48"/>
      <c r="AL577" s="48"/>
      <c r="AM577" s="48"/>
      <c r="AN577" s="95"/>
      <c r="AP577" s="95"/>
      <c r="AW577" s="95"/>
    </row>
    <row r="578">
      <c r="A578" s="48"/>
      <c r="B578" s="48"/>
      <c r="C578" s="86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48"/>
      <c r="AI578" s="71"/>
      <c r="AJ578" s="48"/>
      <c r="AK578" s="48"/>
      <c r="AL578" s="48"/>
      <c r="AM578" s="48"/>
      <c r="AN578" s="95"/>
      <c r="AP578" s="95"/>
      <c r="AW578" s="95"/>
    </row>
    <row r="579">
      <c r="A579" s="48"/>
      <c r="B579" s="48"/>
      <c r="C579" s="86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48"/>
      <c r="AI579" s="71"/>
      <c r="AJ579" s="48"/>
      <c r="AK579" s="48"/>
      <c r="AL579" s="48"/>
      <c r="AM579" s="48"/>
      <c r="AN579" s="95"/>
      <c r="AP579" s="95"/>
      <c r="AW579" s="95"/>
    </row>
    <row r="580">
      <c r="A580" s="48"/>
      <c r="B580" s="48"/>
      <c r="C580" s="86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48"/>
      <c r="AI580" s="71"/>
      <c r="AJ580" s="48"/>
      <c r="AK580" s="48"/>
      <c r="AL580" s="48"/>
      <c r="AM580" s="48"/>
      <c r="AN580" s="95"/>
      <c r="AP580" s="95"/>
      <c r="AW580" s="95"/>
    </row>
    <row r="581">
      <c r="A581" s="48"/>
      <c r="B581" s="48"/>
      <c r="C581" s="86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48"/>
      <c r="AI581" s="71"/>
      <c r="AJ581" s="48"/>
      <c r="AK581" s="48"/>
      <c r="AL581" s="48"/>
      <c r="AM581" s="48"/>
      <c r="AN581" s="95"/>
      <c r="AP581" s="95"/>
      <c r="AW581" s="95"/>
    </row>
    <row r="582">
      <c r="A582" s="48"/>
      <c r="B582" s="48"/>
      <c r="C582" s="86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48"/>
      <c r="AI582" s="71"/>
      <c r="AJ582" s="48"/>
      <c r="AK582" s="48"/>
      <c r="AL582" s="48"/>
      <c r="AM582" s="48"/>
      <c r="AN582" s="95"/>
      <c r="AP582" s="95"/>
      <c r="AW582" s="95"/>
    </row>
    <row r="583">
      <c r="A583" s="48"/>
      <c r="B583" s="48"/>
      <c r="C583" s="86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48"/>
      <c r="AI583" s="71"/>
      <c r="AJ583" s="48"/>
      <c r="AK583" s="48"/>
      <c r="AL583" s="48"/>
      <c r="AM583" s="48"/>
      <c r="AN583" s="95"/>
      <c r="AP583" s="95"/>
      <c r="AW583" s="95"/>
    </row>
    <row r="584">
      <c r="A584" s="48"/>
      <c r="B584" s="48"/>
      <c r="C584" s="86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48"/>
      <c r="AI584" s="71"/>
      <c r="AJ584" s="48"/>
      <c r="AK584" s="48"/>
      <c r="AL584" s="48"/>
      <c r="AM584" s="48"/>
      <c r="AN584" s="95"/>
      <c r="AP584" s="95"/>
      <c r="AW584" s="95"/>
    </row>
    <row r="585">
      <c r="A585" s="48"/>
      <c r="B585" s="48"/>
      <c r="C585" s="86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48"/>
      <c r="AI585" s="71"/>
      <c r="AJ585" s="48"/>
      <c r="AK585" s="48"/>
      <c r="AL585" s="48"/>
      <c r="AM585" s="48"/>
      <c r="AN585" s="95"/>
      <c r="AP585" s="95"/>
      <c r="AW585" s="95"/>
    </row>
    <row r="586">
      <c r="A586" s="48"/>
      <c r="B586" s="48"/>
      <c r="C586" s="86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48"/>
      <c r="AI586" s="71"/>
      <c r="AJ586" s="48"/>
      <c r="AK586" s="48"/>
      <c r="AL586" s="48"/>
      <c r="AM586" s="48"/>
      <c r="AN586" s="95"/>
      <c r="AP586" s="95"/>
      <c r="AW586" s="95"/>
    </row>
    <row r="587">
      <c r="A587" s="48"/>
      <c r="B587" s="48"/>
      <c r="C587" s="86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48"/>
      <c r="AI587" s="71"/>
      <c r="AJ587" s="48"/>
      <c r="AK587" s="48"/>
      <c r="AL587" s="48"/>
      <c r="AM587" s="48"/>
      <c r="AN587" s="95"/>
      <c r="AP587" s="95"/>
      <c r="AW587" s="95"/>
    </row>
    <row r="588">
      <c r="A588" s="48"/>
      <c r="B588" s="48"/>
      <c r="C588" s="86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48"/>
      <c r="AI588" s="71"/>
      <c r="AJ588" s="48"/>
      <c r="AK588" s="48"/>
      <c r="AL588" s="48"/>
      <c r="AM588" s="48"/>
      <c r="AN588" s="95"/>
      <c r="AP588" s="95"/>
      <c r="AW588" s="95"/>
    </row>
    <row r="589">
      <c r="A589" s="48"/>
      <c r="B589" s="48"/>
      <c r="C589" s="86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48"/>
      <c r="AI589" s="71"/>
      <c r="AJ589" s="48"/>
      <c r="AK589" s="48"/>
      <c r="AL589" s="48"/>
      <c r="AM589" s="48"/>
      <c r="AN589" s="95"/>
      <c r="AP589" s="95"/>
      <c r="AW589" s="95"/>
    </row>
    <row r="590">
      <c r="A590" s="48"/>
      <c r="B590" s="48"/>
      <c r="C590" s="86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48"/>
      <c r="AI590" s="71"/>
      <c r="AJ590" s="48"/>
      <c r="AK590" s="48"/>
      <c r="AL590" s="48"/>
      <c r="AM590" s="48"/>
      <c r="AN590" s="95"/>
      <c r="AP590" s="95"/>
      <c r="AW590" s="95"/>
    </row>
    <row r="591">
      <c r="A591" s="48"/>
      <c r="B591" s="48"/>
      <c r="C591" s="86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48"/>
      <c r="AI591" s="71"/>
      <c r="AJ591" s="48"/>
      <c r="AK591" s="48"/>
      <c r="AL591" s="48"/>
      <c r="AM591" s="48"/>
      <c r="AN591" s="95"/>
      <c r="AP591" s="95"/>
      <c r="AW591" s="95"/>
    </row>
    <row r="592">
      <c r="A592" s="48"/>
      <c r="B592" s="48"/>
      <c r="C592" s="86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48"/>
      <c r="AI592" s="71"/>
      <c r="AJ592" s="48"/>
      <c r="AK592" s="48"/>
      <c r="AL592" s="48"/>
      <c r="AM592" s="48"/>
      <c r="AN592" s="95"/>
      <c r="AP592" s="95"/>
      <c r="AW592" s="95"/>
    </row>
    <row r="593">
      <c r="A593" s="48"/>
      <c r="B593" s="48"/>
      <c r="C593" s="86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48"/>
      <c r="AI593" s="71"/>
      <c r="AJ593" s="48"/>
      <c r="AK593" s="48"/>
      <c r="AL593" s="48"/>
      <c r="AM593" s="48"/>
      <c r="AN593" s="95"/>
      <c r="AP593" s="95"/>
      <c r="AW593" s="95"/>
    </row>
    <row r="594">
      <c r="A594" s="48"/>
      <c r="B594" s="48"/>
      <c r="C594" s="86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48"/>
      <c r="AI594" s="71"/>
      <c r="AJ594" s="48"/>
      <c r="AK594" s="48"/>
      <c r="AL594" s="48"/>
      <c r="AM594" s="48"/>
      <c r="AN594" s="95"/>
      <c r="AP594" s="95"/>
      <c r="AW594" s="95"/>
    </row>
    <row r="595">
      <c r="A595" s="48"/>
      <c r="B595" s="48"/>
      <c r="C595" s="86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48"/>
      <c r="AI595" s="71"/>
      <c r="AJ595" s="48"/>
      <c r="AK595" s="48"/>
      <c r="AL595" s="48"/>
      <c r="AM595" s="48"/>
      <c r="AN595" s="95"/>
      <c r="AP595" s="95"/>
      <c r="AW595" s="95"/>
    </row>
    <row r="596">
      <c r="A596" s="48"/>
      <c r="B596" s="48"/>
      <c r="C596" s="86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48"/>
      <c r="AI596" s="71"/>
      <c r="AJ596" s="48"/>
      <c r="AK596" s="48"/>
      <c r="AL596" s="48"/>
      <c r="AM596" s="48"/>
      <c r="AN596" s="95"/>
      <c r="AP596" s="95"/>
      <c r="AW596" s="95"/>
    </row>
    <row r="597">
      <c r="A597" s="48"/>
      <c r="B597" s="48"/>
      <c r="C597" s="86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48"/>
      <c r="AI597" s="71"/>
      <c r="AJ597" s="48"/>
      <c r="AK597" s="48"/>
      <c r="AL597" s="48"/>
      <c r="AM597" s="48"/>
      <c r="AN597" s="95"/>
      <c r="AP597" s="95"/>
      <c r="AW597" s="95"/>
    </row>
    <row r="598">
      <c r="A598" s="48"/>
      <c r="B598" s="48"/>
      <c r="C598" s="86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48"/>
      <c r="AI598" s="71"/>
      <c r="AJ598" s="48"/>
      <c r="AK598" s="48"/>
      <c r="AL598" s="48"/>
      <c r="AM598" s="48"/>
      <c r="AN598" s="95"/>
      <c r="AP598" s="95"/>
      <c r="AW598" s="95"/>
    </row>
    <row r="599">
      <c r="A599" s="48"/>
      <c r="B599" s="48"/>
      <c r="C599" s="86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48"/>
      <c r="AI599" s="71"/>
      <c r="AJ599" s="48"/>
      <c r="AK599" s="48"/>
      <c r="AL599" s="48"/>
      <c r="AM599" s="48"/>
      <c r="AN599" s="95"/>
      <c r="AP599" s="95"/>
      <c r="AW599" s="95"/>
    </row>
    <row r="600">
      <c r="A600" s="48"/>
      <c r="B600" s="48"/>
      <c r="C600" s="86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48"/>
      <c r="AI600" s="71"/>
      <c r="AJ600" s="48"/>
      <c r="AK600" s="48"/>
      <c r="AL600" s="48"/>
      <c r="AM600" s="48"/>
      <c r="AN600" s="95"/>
      <c r="AP600" s="95"/>
      <c r="AW600" s="95"/>
    </row>
    <row r="601">
      <c r="A601" s="48"/>
      <c r="B601" s="48"/>
      <c r="C601" s="86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48"/>
      <c r="AI601" s="71"/>
      <c r="AJ601" s="48"/>
      <c r="AK601" s="48"/>
      <c r="AL601" s="48"/>
      <c r="AM601" s="48"/>
      <c r="AN601" s="95"/>
      <c r="AP601" s="95"/>
      <c r="AW601" s="95"/>
    </row>
    <row r="602">
      <c r="A602" s="48"/>
      <c r="B602" s="48"/>
      <c r="C602" s="86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48"/>
      <c r="AI602" s="71"/>
      <c r="AJ602" s="48"/>
      <c r="AK602" s="48"/>
      <c r="AL602" s="48"/>
      <c r="AM602" s="48"/>
      <c r="AN602" s="95"/>
      <c r="AP602" s="95"/>
      <c r="AW602" s="95"/>
    </row>
    <row r="603">
      <c r="A603" s="48"/>
      <c r="B603" s="48"/>
      <c r="C603" s="86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48"/>
      <c r="AI603" s="71"/>
      <c r="AJ603" s="48"/>
      <c r="AK603" s="48"/>
      <c r="AL603" s="48"/>
      <c r="AM603" s="48"/>
      <c r="AN603" s="95"/>
      <c r="AP603" s="95"/>
      <c r="AW603" s="95"/>
    </row>
    <row r="604">
      <c r="A604" s="48"/>
      <c r="B604" s="48"/>
      <c r="C604" s="86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48"/>
      <c r="AI604" s="71"/>
      <c r="AJ604" s="48"/>
      <c r="AK604" s="48"/>
      <c r="AL604" s="48"/>
      <c r="AM604" s="48"/>
      <c r="AN604" s="95"/>
      <c r="AP604" s="95"/>
      <c r="AW604" s="95"/>
    </row>
    <row r="605">
      <c r="A605" s="48"/>
      <c r="B605" s="48"/>
      <c r="C605" s="86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48"/>
      <c r="AI605" s="71"/>
      <c r="AJ605" s="48"/>
      <c r="AK605" s="48"/>
      <c r="AL605" s="48"/>
      <c r="AM605" s="48"/>
      <c r="AN605" s="95"/>
      <c r="AP605" s="95"/>
      <c r="AW605" s="95"/>
    </row>
    <row r="606">
      <c r="A606" s="48"/>
      <c r="B606" s="48"/>
      <c r="C606" s="86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48"/>
      <c r="AI606" s="71"/>
      <c r="AJ606" s="48"/>
      <c r="AK606" s="48"/>
      <c r="AL606" s="48"/>
      <c r="AM606" s="48"/>
      <c r="AN606" s="95"/>
      <c r="AP606" s="95"/>
      <c r="AW606" s="95"/>
    </row>
    <row r="607">
      <c r="A607" s="48"/>
      <c r="B607" s="48"/>
      <c r="C607" s="86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48"/>
      <c r="AI607" s="71"/>
      <c r="AJ607" s="48"/>
      <c r="AK607" s="48"/>
      <c r="AL607" s="48"/>
      <c r="AM607" s="48"/>
      <c r="AN607" s="95"/>
      <c r="AP607" s="95"/>
      <c r="AW607" s="95"/>
    </row>
    <row r="608">
      <c r="A608" s="48"/>
      <c r="B608" s="48"/>
      <c r="C608" s="86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48"/>
      <c r="AI608" s="71"/>
      <c r="AJ608" s="48"/>
      <c r="AK608" s="48"/>
      <c r="AL608" s="48"/>
      <c r="AM608" s="48"/>
      <c r="AN608" s="95"/>
      <c r="AP608" s="95"/>
      <c r="AW608" s="95"/>
    </row>
    <row r="609">
      <c r="A609" s="48"/>
      <c r="B609" s="48"/>
      <c r="C609" s="86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48"/>
      <c r="AI609" s="71"/>
      <c r="AJ609" s="48"/>
      <c r="AK609" s="48"/>
      <c r="AL609" s="48"/>
      <c r="AM609" s="48"/>
      <c r="AN609" s="95"/>
      <c r="AP609" s="95"/>
      <c r="AW609" s="95"/>
    </row>
    <row r="610">
      <c r="A610" s="48"/>
      <c r="B610" s="48"/>
      <c r="C610" s="86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48"/>
      <c r="AI610" s="71"/>
      <c r="AJ610" s="48"/>
      <c r="AK610" s="48"/>
      <c r="AL610" s="48"/>
      <c r="AM610" s="48"/>
      <c r="AN610" s="95"/>
      <c r="AP610" s="95"/>
      <c r="AW610" s="95"/>
    </row>
    <row r="611">
      <c r="A611" s="48"/>
      <c r="B611" s="48"/>
      <c r="C611" s="86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48"/>
      <c r="AI611" s="71"/>
      <c r="AJ611" s="48"/>
      <c r="AK611" s="48"/>
      <c r="AL611" s="48"/>
      <c r="AM611" s="48"/>
      <c r="AN611" s="95"/>
      <c r="AP611" s="95"/>
      <c r="AW611" s="95"/>
    </row>
    <row r="612">
      <c r="A612" s="48"/>
      <c r="B612" s="48"/>
      <c r="C612" s="86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48"/>
      <c r="AI612" s="71"/>
      <c r="AJ612" s="48"/>
      <c r="AK612" s="48"/>
      <c r="AL612" s="48"/>
      <c r="AM612" s="48"/>
      <c r="AN612" s="95"/>
      <c r="AP612" s="95"/>
      <c r="AW612" s="95"/>
    </row>
    <row r="613">
      <c r="A613" s="48"/>
      <c r="B613" s="48"/>
      <c r="C613" s="86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48"/>
      <c r="AI613" s="71"/>
      <c r="AJ613" s="48"/>
      <c r="AK613" s="48"/>
      <c r="AL613" s="48"/>
      <c r="AM613" s="48"/>
      <c r="AN613" s="95"/>
      <c r="AP613" s="95"/>
      <c r="AW613" s="95"/>
    </row>
    <row r="614">
      <c r="A614" s="48"/>
      <c r="B614" s="48"/>
      <c r="C614" s="86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48"/>
      <c r="AI614" s="71"/>
      <c r="AJ614" s="48"/>
      <c r="AK614" s="48"/>
      <c r="AL614" s="48"/>
      <c r="AM614" s="48"/>
      <c r="AN614" s="95"/>
      <c r="AP614" s="95"/>
      <c r="AW614" s="95"/>
    </row>
    <row r="615">
      <c r="A615" s="48"/>
      <c r="B615" s="48"/>
      <c r="C615" s="86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48"/>
      <c r="AI615" s="71"/>
      <c r="AJ615" s="48"/>
      <c r="AK615" s="48"/>
      <c r="AL615" s="48"/>
      <c r="AM615" s="48"/>
      <c r="AN615" s="95"/>
      <c r="AP615" s="95"/>
      <c r="AW615" s="95"/>
    </row>
    <row r="616">
      <c r="A616" s="48"/>
      <c r="B616" s="48"/>
      <c r="C616" s="86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48"/>
      <c r="AI616" s="71"/>
      <c r="AJ616" s="48"/>
      <c r="AK616" s="48"/>
      <c r="AL616" s="48"/>
      <c r="AM616" s="48"/>
      <c r="AN616" s="95"/>
      <c r="AP616" s="95"/>
      <c r="AW616" s="95"/>
    </row>
    <row r="617">
      <c r="A617" s="48"/>
      <c r="B617" s="48"/>
      <c r="C617" s="86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48"/>
      <c r="AI617" s="71"/>
      <c r="AJ617" s="48"/>
      <c r="AK617" s="48"/>
      <c r="AL617" s="48"/>
      <c r="AM617" s="48"/>
      <c r="AN617" s="95"/>
      <c r="AP617" s="95"/>
      <c r="AW617" s="95"/>
    </row>
    <row r="618">
      <c r="A618" s="48"/>
      <c r="B618" s="48"/>
      <c r="C618" s="86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48"/>
      <c r="AI618" s="71"/>
      <c r="AJ618" s="48"/>
      <c r="AK618" s="48"/>
      <c r="AL618" s="48"/>
      <c r="AM618" s="48"/>
      <c r="AN618" s="95"/>
      <c r="AP618" s="95"/>
      <c r="AW618" s="95"/>
    </row>
    <row r="619">
      <c r="A619" s="48"/>
      <c r="B619" s="48"/>
      <c r="C619" s="86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48"/>
      <c r="AI619" s="71"/>
      <c r="AJ619" s="48"/>
      <c r="AK619" s="48"/>
      <c r="AL619" s="48"/>
      <c r="AM619" s="48"/>
      <c r="AN619" s="95"/>
      <c r="AP619" s="95"/>
      <c r="AW619" s="95"/>
    </row>
    <row r="620">
      <c r="A620" s="48"/>
      <c r="B620" s="48"/>
      <c r="C620" s="86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48"/>
      <c r="AI620" s="71"/>
      <c r="AJ620" s="48"/>
      <c r="AK620" s="48"/>
      <c r="AL620" s="48"/>
      <c r="AM620" s="48"/>
      <c r="AN620" s="95"/>
      <c r="AP620" s="95"/>
      <c r="AW620" s="95"/>
    </row>
    <row r="621">
      <c r="A621" s="48"/>
      <c r="B621" s="48"/>
      <c r="C621" s="86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48"/>
      <c r="AI621" s="71"/>
      <c r="AJ621" s="48"/>
      <c r="AK621" s="48"/>
      <c r="AL621" s="48"/>
      <c r="AM621" s="48"/>
      <c r="AN621" s="95"/>
      <c r="AP621" s="95"/>
      <c r="AW621" s="95"/>
    </row>
    <row r="622">
      <c r="A622" s="48"/>
      <c r="B622" s="48"/>
      <c r="C622" s="86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48"/>
      <c r="AI622" s="71"/>
      <c r="AJ622" s="48"/>
      <c r="AK622" s="48"/>
      <c r="AL622" s="48"/>
      <c r="AM622" s="48"/>
      <c r="AN622" s="95"/>
      <c r="AP622" s="95"/>
      <c r="AW622" s="95"/>
    </row>
    <row r="623">
      <c r="A623" s="48"/>
      <c r="B623" s="48"/>
      <c r="C623" s="86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48"/>
      <c r="AI623" s="71"/>
      <c r="AJ623" s="48"/>
      <c r="AK623" s="48"/>
      <c r="AL623" s="48"/>
      <c r="AM623" s="48"/>
      <c r="AN623" s="95"/>
      <c r="AP623" s="95"/>
      <c r="AW623" s="95"/>
    </row>
    <row r="624">
      <c r="A624" s="48"/>
      <c r="B624" s="48"/>
      <c r="C624" s="86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48"/>
      <c r="AI624" s="71"/>
      <c r="AJ624" s="48"/>
      <c r="AK624" s="48"/>
      <c r="AL624" s="48"/>
      <c r="AM624" s="48"/>
      <c r="AN624" s="95"/>
      <c r="AP624" s="95"/>
      <c r="AW624" s="95"/>
    </row>
    <row r="625">
      <c r="A625" s="48"/>
      <c r="B625" s="48"/>
      <c r="C625" s="86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48"/>
      <c r="AI625" s="71"/>
      <c r="AJ625" s="48"/>
      <c r="AK625" s="48"/>
      <c r="AL625" s="48"/>
      <c r="AM625" s="48"/>
      <c r="AN625" s="95"/>
      <c r="AP625" s="95"/>
      <c r="AW625" s="95"/>
    </row>
    <row r="626">
      <c r="A626" s="48"/>
      <c r="B626" s="48"/>
      <c r="C626" s="86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48"/>
      <c r="AI626" s="71"/>
      <c r="AJ626" s="48"/>
      <c r="AK626" s="48"/>
      <c r="AL626" s="48"/>
      <c r="AM626" s="48"/>
      <c r="AN626" s="95"/>
      <c r="AP626" s="95"/>
      <c r="AW626" s="95"/>
    </row>
    <row r="627">
      <c r="A627" s="48"/>
      <c r="B627" s="48"/>
      <c r="C627" s="86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48"/>
      <c r="AI627" s="71"/>
      <c r="AJ627" s="48"/>
      <c r="AK627" s="48"/>
      <c r="AL627" s="48"/>
      <c r="AM627" s="48"/>
      <c r="AN627" s="95"/>
      <c r="AP627" s="95"/>
      <c r="AW627" s="95"/>
    </row>
    <row r="628">
      <c r="A628" s="48"/>
      <c r="B628" s="48"/>
      <c r="C628" s="86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48"/>
      <c r="AI628" s="71"/>
      <c r="AJ628" s="48"/>
      <c r="AK628" s="48"/>
      <c r="AL628" s="48"/>
      <c r="AM628" s="48"/>
      <c r="AN628" s="95"/>
      <c r="AP628" s="95"/>
      <c r="AW628" s="95"/>
    </row>
    <row r="629">
      <c r="A629" s="48"/>
      <c r="B629" s="48"/>
      <c r="C629" s="86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48"/>
      <c r="AI629" s="71"/>
      <c r="AJ629" s="48"/>
      <c r="AK629" s="48"/>
      <c r="AL629" s="48"/>
      <c r="AM629" s="48"/>
      <c r="AN629" s="95"/>
      <c r="AP629" s="95"/>
      <c r="AW629" s="95"/>
    </row>
    <row r="630">
      <c r="A630" s="48"/>
      <c r="B630" s="48"/>
      <c r="C630" s="86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48"/>
      <c r="AI630" s="71"/>
      <c r="AJ630" s="48"/>
      <c r="AK630" s="48"/>
      <c r="AL630" s="48"/>
      <c r="AM630" s="48"/>
      <c r="AN630" s="95"/>
      <c r="AP630" s="95"/>
      <c r="AW630" s="95"/>
    </row>
    <row r="631">
      <c r="A631" s="48"/>
      <c r="B631" s="48"/>
      <c r="C631" s="86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48"/>
      <c r="AI631" s="71"/>
      <c r="AJ631" s="48"/>
      <c r="AK631" s="48"/>
      <c r="AL631" s="48"/>
      <c r="AM631" s="48"/>
      <c r="AN631" s="95"/>
      <c r="AP631" s="95"/>
      <c r="AW631" s="95"/>
    </row>
    <row r="632">
      <c r="A632" s="48"/>
      <c r="B632" s="48"/>
      <c r="C632" s="86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48"/>
      <c r="AI632" s="71"/>
      <c r="AJ632" s="48"/>
      <c r="AK632" s="48"/>
      <c r="AL632" s="48"/>
      <c r="AM632" s="48"/>
      <c r="AN632" s="95"/>
      <c r="AP632" s="95"/>
      <c r="AW632" s="95"/>
    </row>
    <row r="633">
      <c r="A633" s="48"/>
      <c r="B633" s="48"/>
      <c r="C633" s="86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48"/>
      <c r="AI633" s="71"/>
      <c r="AJ633" s="48"/>
      <c r="AK633" s="48"/>
      <c r="AL633" s="48"/>
      <c r="AM633" s="48"/>
      <c r="AN633" s="95"/>
      <c r="AP633" s="95"/>
      <c r="AW633" s="95"/>
    </row>
    <row r="634">
      <c r="A634" s="48"/>
      <c r="B634" s="48"/>
      <c r="C634" s="86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48"/>
      <c r="AI634" s="71"/>
      <c r="AJ634" s="48"/>
      <c r="AK634" s="48"/>
      <c r="AL634" s="48"/>
      <c r="AM634" s="48"/>
      <c r="AN634" s="95"/>
      <c r="AP634" s="95"/>
      <c r="AW634" s="95"/>
    </row>
    <row r="635">
      <c r="A635" s="48"/>
      <c r="B635" s="48"/>
      <c r="C635" s="86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48"/>
      <c r="AI635" s="71"/>
      <c r="AJ635" s="48"/>
      <c r="AK635" s="48"/>
      <c r="AL635" s="48"/>
      <c r="AM635" s="48"/>
      <c r="AN635" s="95"/>
      <c r="AP635" s="95"/>
      <c r="AW635" s="95"/>
    </row>
    <row r="636">
      <c r="A636" s="48"/>
      <c r="B636" s="48"/>
      <c r="C636" s="86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48"/>
      <c r="AI636" s="71"/>
      <c r="AJ636" s="48"/>
      <c r="AK636" s="48"/>
      <c r="AL636" s="48"/>
      <c r="AM636" s="48"/>
      <c r="AN636" s="95"/>
      <c r="AP636" s="95"/>
      <c r="AW636" s="95"/>
    </row>
    <row r="637">
      <c r="A637" s="48"/>
      <c r="B637" s="48"/>
      <c r="C637" s="86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48"/>
      <c r="AI637" s="71"/>
      <c r="AJ637" s="48"/>
      <c r="AK637" s="48"/>
      <c r="AL637" s="48"/>
      <c r="AM637" s="48"/>
      <c r="AN637" s="95"/>
      <c r="AP637" s="95"/>
      <c r="AW637" s="95"/>
    </row>
    <row r="638">
      <c r="A638" s="48"/>
      <c r="B638" s="48"/>
      <c r="C638" s="86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48"/>
      <c r="AI638" s="71"/>
      <c r="AJ638" s="48"/>
      <c r="AK638" s="48"/>
      <c r="AL638" s="48"/>
      <c r="AM638" s="48"/>
      <c r="AN638" s="95"/>
      <c r="AP638" s="95"/>
      <c r="AW638" s="95"/>
    </row>
    <row r="639">
      <c r="A639" s="48"/>
      <c r="B639" s="48"/>
      <c r="C639" s="86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48"/>
      <c r="AI639" s="71"/>
      <c r="AJ639" s="48"/>
      <c r="AK639" s="48"/>
      <c r="AL639" s="48"/>
      <c r="AM639" s="48"/>
      <c r="AN639" s="95"/>
      <c r="AP639" s="95"/>
      <c r="AW639" s="95"/>
    </row>
    <row r="640">
      <c r="A640" s="48"/>
      <c r="B640" s="48"/>
      <c r="C640" s="86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48"/>
      <c r="AI640" s="71"/>
      <c r="AJ640" s="48"/>
      <c r="AK640" s="48"/>
      <c r="AL640" s="48"/>
      <c r="AM640" s="48"/>
      <c r="AN640" s="95"/>
      <c r="AP640" s="95"/>
      <c r="AW640" s="95"/>
    </row>
    <row r="641">
      <c r="A641" s="48"/>
      <c r="B641" s="48"/>
      <c r="C641" s="86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48"/>
      <c r="AI641" s="71"/>
      <c r="AJ641" s="48"/>
      <c r="AK641" s="48"/>
      <c r="AL641" s="48"/>
      <c r="AM641" s="48"/>
      <c r="AN641" s="95"/>
      <c r="AP641" s="95"/>
      <c r="AW641" s="95"/>
    </row>
    <row r="642">
      <c r="A642" s="48"/>
      <c r="B642" s="48"/>
      <c r="C642" s="86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48"/>
      <c r="AI642" s="71"/>
      <c r="AJ642" s="48"/>
      <c r="AK642" s="48"/>
      <c r="AL642" s="48"/>
      <c r="AM642" s="48"/>
      <c r="AN642" s="95"/>
      <c r="AP642" s="95"/>
      <c r="AW642" s="95"/>
    </row>
    <row r="643">
      <c r="A643" s="48"/>
      <c r="B643" s="48"/>
      <c r="C643" s="86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48"/>
      <c r="AI643" s="71"/>
      <c r="AJ643" s="48"/>
      <c r="AK643" s="48"/>
      <c r="AL643" s="48"/>
      <c r="AM643" s="48"/>
      <c r="AN643" s="95"/>
      <c r="AP643" s="95"/>
      <c r="AW643" s="95"/>
    </row>
    <row r="644">
      <c r="A644" s="48"/>
      <c r="B644" s="48"/>
      <c r="C644" s="86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48"/>
      <c r="AI644" s="71"/>
      <c r="AJ644" s="48"/>
      <c r="AK644" s="48"/>
      <c r="AL644" s="48"/>
      <c r="AM644" s="48"/>
      <c r="AN644" s="95"/>
      <c r="AP644" s="95"/>
      <c r="AW644" s="95"/>
    </row>
    <row r="645">
      <c r="A645" s="48"/>
      <c r="B645" s="48"/>
      <c r="C645" s="86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48"/>
      <c r="AI645" s="71"/>
      <c r="AJ645" s="48"/>
      <c r="AK645" s="48"/>
      <c r="AL645" s="48"/>
      <c r="AM645" s="48"/>
      <c r="AN645" s="95"/>
      <c r="AP645" s="95"/>
      <c r="AW645" s="95"/>
    </row>
    <row r="646">
      <c r="A646" s="48"/>
      <c r="B646" s="48"/>
      <c r="C646" s="86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48"/>
      <c r="AI646" s="71"/>
      <c r="AJ646" s="48"/>
      <c r="AK646" s="48"/>
      <c r="AL646" s="48"/>
      <c r="AM646" s="48"/>
      <c r="AN646" s="95"/>
      <c r="AP646" s="95"/>
      <c r="AW646" s="95"/>
    </row>
    <row r="647">
      <c r="A647" s="48"/>
      <c r="B647" s="48"/>
      <c r="C647" s="86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48"/>
      <c r="AI647" s="71"/>
      <c r="AJ647" s="48"/>
      <c r="AK647" s="48"/>
      <c r="AL647" s="48"/>
      <c r="AM647" s="48"/>
      <c r="AN647" s="95"/>
      <c r="AP647" s="95"/>
      <c r="AW647" s="95"/>
    </row>
    <row r="648">
      <c r="A648" s="48"/>
      <c r="B648" s="48"/>
      <c r="C648" s="86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48"/>
      <c r="AI648" s="71"/>
      <c r="AJ648" s="48"/>
      <c r="AK648" s="48"/>
      <c r="AL648" s="48"/>
      <c r="AM648" s="48"/>
      <c r="AN648" s="95"/>
      <c r="AP648" s="95"/>
      <c r="AW648" s="95"/>
    </row>
    <row r="649">
      <c r="A649" s="48"/>
      <c r="B649" s="48"/>
      <c r="C649" s="86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48"/>
      <c r="AI649" s="71"/>
      <c r="AJ649" s="48"/>
      <c r="AK649" s="48"/>
      <c r="AL649" s="48"/>
      <c r="AM649" s="48"/>
      <c r="AN649" s="95"/>
      <c r="AP649" s="95"/>
      <c r="AW649" s="95"/>
    </row>
    <row r="650">
      <c r="A650" s="48"/>
      <c r="B650" s="48"/>
      <c r="C650" s="86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48"/>
      <c r="AI650" s="71"/>
      <c r="AJ650" s="48"/>
      <c r="AK650" s="48"/>
      <c r="AL650" s="48"/>
      <c r="AM650" s="48"/>
      <c r="AN650" s="95"/>
      <c r="AP650" s="95"/>
      <c r="AW650" s="95"/>
    </row>
    <row r="651">
      <c r="A651" s="48"/>
      <c r="B651" s="48"/>
      <c r="C651" s="86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48"/>
      <c r="AI651" s="71"/>
      <c r="AJ651" s="48"/>
      <c r="AK651" s="48"/>
      <c r="AL651" s="48"/>
      <c r="AM651" s="48"/>
      <c r="AN651" s="95"/>
      <c r="AP651" s="95"/>
      <c r="AW651" s="95"/>
    </row>
    <row r="652">
      <c r="A652" s="48"/>
      <c r="B652" s="48"/>
      <c r="C652" s="86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48"/>
      <c r="AI652" s="71"/>
      <c r="AJ652" s="48"/>
      <c r="AK652" s="48"/>
      <c r="AL652" s="48"/>
      <c r="AM652" s="48"/>
      <c r="AN652" s="95"/>
      <c r="AP652" s="95"/>
      <c r="AW652" s="95"/>
    </row>
    <row r="653">
      <c r="A653" s="48"/>
      <c r="B653" s="48"/>
      <c r="C653" s="86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48"/>
      <c r="AI653" s="71"/>
      <c r="AJ653" s="48"/>
      <c r="AK653" s="48"/>
      <c r="AL653" s="48"/>
      <c r="AM653" s="48"/>
      <c r="AN653" s="95"/>
      <c r="AP653" s="95"/>
      <c r="AW653" s="95"/>
    </row>
    <row r="654">
      <c r="A654" s="48"/>
      <c r="B654" s="48"/>
      <c r="C654" s="86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48"/>
      <c r="AI654" s="71"/>
      <c r="AJ654" s="48"/>
      <c r="AK654" s="48"/>
      <c r="AL654" s="48"/>
      <c r="AM654" s="48"/>
      <c r="AN654" s="95"/>
      <c r="AP654" s="95"/>
      <c r="AW654" s="95"/>
    </row>
    <row r="655">
      <c r="A655" s="48"/>
      <c r="B655" s="48"/>
      <c r="C655" s="86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48"/>
      <c r="AI655" s="71"/>
      <c r="AJ655" s="48"/>
      <c r="AK655" s="48"/>
      <c r="AL655" s="48"/>
      <c r="AM655" s="48"/>
      <c r="AN655" s="95"/>
      <c r="AP655" s="95"/>
      <c r="AW655" s="95"/>
    </row>
    <row r="656">
      <c r="A656" s="48"/>
      <c r="B656" s="48"/>
      <c r="C656" s="86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48"/>
      <c r="AI656" s="71"/>
      <c r="AJ656" s="48"/>
      <c r="AK656" s="48"/>
      <c r="AL656" s="48"/>
      <c r="AM656" s="48"/>
      <c r="AN656" s="95"/>
      <c r="AP656" s="95"/>
      <c r="AW656" s="95"/>
    </row>
    <row r="657">
      <c r="A657" s="48"/>
      <c r="B657" s="48"/>
      <c r="C657" s="86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48"/>
      <c r="AI657" s="71"/>
      <c r="AJ657" s="48"/>
      <c r="AK657" s="48"/>
      <c r="AL657" s="48"/>
      <c r="AM657" s="48"/>
      <c r="AN657" s="95"/>
      <c r="AP657" s="95"/>
      <c r="AW657" s="95"/>
    </row>
    <row r="658">
      <c r="A658" s="48"/>
      <c r="B658" s="48"/>
      <c r="C658" s="86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48"/>
      <c r="AI658" s="71"/>
      <c r="AJ658" s="48"/>
      <c r="AK658" s="48"/>
      <c r="AL658" s="48"/>
      <c r="AM658" s="48"/>
      <c r="AN658" s="95"/>
      <c r="AP658" s="95"/>
      <c r="AW658" s="95"/>
    </row>
    <row r="659">
      <c r="A659" s="48"/>
      <c r="B659" s="48"/>
      <c r="C659" s="86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48"/>
      <c r="AI659" s="71"/>
      <c r="AJ659" s="48"/>
      <c r="AK659" s="48"/>
      <c r="AL659" s="48"/>
      <c r="AM659" s="48"/>
      <c r="AN659" s="95"/>
      <c r="AP659" s="95"/>
      <c r="AW659" s="95"/>
    </row>
    <row r="660">
      <c r="A660" s="48"/>
      <c r="B660" s="48"/>
      <c r="C660" s="86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48"/>
      <c r="AI660" s="71"/>
      <c r="AJ660" s="48"/>
      <c r="AK660" s="48"/>
      <c r="AL660" s="48"/>
      <c r="AM660" s="48"/>
      <c r="AN660" s="95"/>
      <c r="AP660" s="95"/>
      <c r="AW660" s="95"/>
    </row>
    <row r="661">
      <c r="A661" s="48"/>
      <c r="B661" s="48"/>
      <c r="C661" s="86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48"/>
      <c r="AI661" s="71"/>
      <c r="AJ661" s="48"/>
      <c r="AK661" s="48"/>
      <c r="AL661" s="48"/>
      <c r="AM661" s="48"/>
      <c r="AN661" s="95"/>
      <c r="AP661" s="95"/>
      <c r="AW661" s="95"/>
    </row>
    <row r="662">
      <c r="A662" s="48"/>
      <c r="B662" s="48"/>
      <c r="C662" s="86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48"/>
      <c r="AI662" s="71"/>
      <c r="AJ662" s="48"/>
      <c r="AK662" s="48"/>
      <c r="AL662" s="48"/>
      <c r="AM662" s="48"/>
      <c r="AN662" s="95"/>
      <c r="AP662" s="95"/>
      <c r="AW662" s="95"/>
    </row>
    <row r="663">
      <c r="A663" s="48"/>
      <c r="B663" s="48"/>
      <c r="C663" s="86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48"/>
      <c r="AI663" s="71"/>
      <c r="AJ663" s="48"/>
      <c r="AK663" s="48"/>
      <c r="AL663" s="48"/>
      <c r="AM663" s="48"/>
      <c r="AN663" s="95"/>
      <c r="AP663" s="95"/>
      <c r="AW663" s="95"/>
    </row>
    <row r="664">
      <c r="A664" s="48"/>
      <c r="B664" s="48"/>
      <c r="C664" s="86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48"/>
      <c r="AI664" s="71"/>
      <c r="AJ664" s="48"/>
      <c r="AK664" s="48"/>
      <c r="AL664" s="48"/>
      <c r="AM664" s="48"/>
      <c r="AN664" s="95"/>
      <c r="AP664" s="95"/>
      <c r="AW664" s="95"/>
    </row>
    <row r="665">
      <c r="A665" s="48"/>
      <c r="B665" s="48"/>
      <c r="C665" s="86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48"/>
      <c r="AI665" s="71"/>
      <c r="AJ665" s="48"/>
      <c r="AK665" s="48"/>
      <c r="AL665" s="48"/>
      <c r="AM665" s="48"/>
      <c r="AN665" s="95"/>
      <c r="AP665" s="95"/>
      <c r="AW665" s="95"/>
    </row>
    <row r="666">
      <c r="A666" s="48"/>
      <c r="B666" s="48"/>
      <c r="C666" s="86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48"/>
      <c r="AI666" s="71"/>
      <c r="AJ666" s="48"/>
      <c r="AK666" s="48"/>
      <c r="AL666" s="48"/>
      <c r="AM666" s="48"/>
      <c r="AN666" s="95"/>
      <c r="AP666" s="95"/>
      <c r="AW666" s="95"/>
    </row>
    <row r="667">
      <c r="A667" s="48"/>
      <c r="B667" s="48"/>
      <c r="C667" s="86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48"/>
      <c r="AI667" s="71"/>
      <c r="AJ667" s="48"/>
      <c r="AK667" s="48"/>
      <c r="AL667" s="48"/>
      <c r="AM667" s="48"/>
      <c r="AN667" s="95"/>
      <c r="AP667" s="95"/>
      <c r="AW667" s="95"/>
    </row>
    <row r="668">
      <c r="A668" s="48"/>
      <c r="B668" s="48"/>
      <c r="C668" s="86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48"/>
      <c r="AI668" s="71"/>
      <c r="AJ668" s="48"/>
      <c r="AK668" s="48"/>
      <c r="AL668" s="48"/>
      <c r="AM668" s="48"/>
      <c r="AN668" s="95"/>
      <c r="AP668" s="95"/>
      <c r="AW668" s="95"/>
    </row>
    <row r="669">
      <c r="A669" s="48"/>
      <c r="B669" s="48"/>
      <c r="C669" s="86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48"/>
      <c r="AI669" s="71"/>
      <c r="AJ669" s="48"/>
      <c r="AK669" s="48"/>
      <c r="AL669" s="48"/>
      <c r="AM669" s="48"/>
      <c r="AN669" s="95"/>
      <c r="AP669" s="95"/>
      <c r="AW669" s="95"/>
    </row>
    <row r="670">
      <c r="A670" s="48"/>
      <c r="B670" s="48"/>
      <c r="C670" s="86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48"/>
      <c r="AI670" s="71"/>
      <c r="AJ670" s="48"/>
      <c r="AK670" s="48"/>
      <c r="AL670" s="48"/>
      <c r="AM670" s="48"/>
      <c r="AN670" s="95"/>
      <c r="AP670" s="95"/>
      <c r="AW670" s="95"/>
    </row>
    <row r="671">
      <c r="A671" s="48"/>
      <c r="B671" s="48"/>
      <c r="C671" s="86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48"/>
      <c r="AI671" s="71"/>
      <c r="AJ671" s="48"/>
      <c r="AK671" s="48"/>
      <c r="AL671" s="48"/>
      <c r="AM671" s="48"/>
      <c r="AN671" s="95"/>
      <c r="AP671" s="95"/>
      <c r="AW671" s="95"/>
    </row>
    <row r="672">
      <c r="A672" s="48"/>
      <c r="B672" s="48"/>
      <c r="C672" s="86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48"/>
      <c r="AI672" s="71"/>
      <c r="AJ672" s="48"/>
      <c r="AK672" s="48"/>
      <c r="AL672" s="48"/>
      <c r="AM672" s="48"/>
      <c r="AN672" s="95"/>
      <c r="AP672" s="95"/>
      <c r="AW672" s="95"/>
    </row>
    <row r="673">
      <c r="A673" s="48"/>
      <c r="B673" s="48"/>
      <c r="C673" s="86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48"/>
      <c r="AI673" s="71"/>
      <c r="AJ673" s="48"/>
      <c r="AK673" s="48"/>
      <c r="AL673" s="48"/>
      <c r="AM673" s="48"/>
      <c r="AN673" s="95"/>
      <c r="AP673" s="95"/>
      <c r="AW673" s="95"/>
    </row>
    <row r="674">
      <c r="A674" s="48"/>
      <c r="B674" s="48"/>
      <c r="C674" s="86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48"/>
      <c r="AI674" s="71"/>
      <c r="AJ674" s="48"/>
      <c r="AK674" s="48"/>
      <c r="AL674" s="48"/>
      <c r="AM674" s="48"/>
      <c r="AN674" s="95"/>
      <c r="AP674" s="95"/>
      <c r="AW674" s="95"/>
    </row>
    <row r="675">
      <c r="A675" s="48"/>
      <c r="B675" s="48"/>
      <c r="C675" s="86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48"/>
      <c r="AI675" s="71"/>
      <c r="AJ675" s="48"/>
      <c r="AK675" s="48"/>
      <c r="AL675" s="48"/>
      <c r="AM675" s="48"/>
      <c r="AN675" s="95"/>
      <c r="AP675" s="95"/>
      <c r="AW675" s="95"/>
    </row>
    <row r="676">
      <c r="A676" s="48"/>
      <c r="B676" s="48"/>
      <c r="C676" s="86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48"/>
      <c r="AI676" s="71"/>
      <c r="AJ676" s="48"/>
      <c r="AK676" s="48"/>
      <c r="AL676" s="48"/>
      <c r="AM676" s="48"/>
      <c r="AN676" s="95"/>
      <c r="AP676" s="95"/>
      <c r="AW676" s="95"/>
    </row>
    <row r="677">
      <c r="A677" s="48"/>
      <c r="B677" s="48"/>
      <c r="C677" s="86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48"/>
      <c r="AI677" s="71"/>
      <c r="AJ677" s="48"/>
      <c r="AK677" s="48"/>
      <c r="AL677" s="48"/>
      <c r="AM677" s="48"/>
      <c r="AN677" s="95"/>
      <c r="AP677" s="95"/>
      <c r="AW677" s="95"/>
    </row>
    <row r="678">
      <c r="A678" s="48"/>
      <c r="B678" s="48"/>
      <c r="C678" s="86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48"/>
      <c r="AI678" s="71"/>
      <c r="AJ678" s="48"/>
      <c r="AK678" s="48"/>
      <c r="AL678" s="48"/>
      <c r="AM678" s="48"/>
      <c r="AN678" s="95"/>
      <c r="AP678" s="95"/>
      <c r="AW678" s="95"/>
    </row>
    <row r="679">
      <c r="A679" s="48"/>
      <c r="B679" s="48"/>
      <c r="C679" s="86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48"/>
      <c r="AI679" s="71"/>
      <c r="AJ679" s="48"/>
      <c r="AK679" s="48"/>
      <c r="AL679" s="48"/>
      <c r="AM679" s="48"/>
      <c r="AN679" s="95"/>
      <c r="AP679" s="95"/>
      <c r="AW679" s="95"/>
    </row>
    <row r="680">
      <c r="A680" s="48"/>
      <c r="B680" s="48"/>
      <c r="C680" s="86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48"/>
      <c r="AI680" s="71"/>
      <c r="AJ680" s="48"/>
      <c r="AK680" s="48"/>
      <c r="AL680" s="48"/>
      <c r="AM680" s="48"/>
      <c r="AN680" s="95"/>
      <c r="AP680" s="95"/>
      <c r="AW680" s="95"/>
    </row>
    <row r="681">
      <c r="A681" s="48"/>
      <c r="B681" s="48"/>
      <c r="C681" s="86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48"/>
      <c r="AI681" s="71"/>
      <c r="AJ681" s="48"/>
      <c r="AK681" s="48"/>
      <c r="AL681" s="48"/>
      <c r="AM681" s="48"/>
      <c r="AN681" s="95"/>
      <c r="AP681" s="95"/>
      <c r="AW681" s="95"/>
    </row>
    <row r="682">
      <c r="A682" s="48"/>
      <c r="B682" s="48"/>
      <c r="C682" s="86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48"/>
      <c r="AI682" s="71"/>
      <c r="AJ682" s="48"/>
      <c r="AK682" s="48"/>
      <c r="AL682" s="48"/>
      <c r="AM682" s="48"/>
      <c r="AN682" s="95"/>
      <c r="AP682" s="95"/>
      <c r="AW682" s="95"/>
    </row>
    <row r="683">
      <c r="A683" s="48"/>
      <c r="B683" s="48"/>
      <c r="C683" s="86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48"/>
      <c r="AI683" s="71"/>
      <c r="AJ683" s="48"/>
      <c r="AK683" s="48"/>
      <c r="AL683" s="48"/>
      <c r="AM683" s="48"/>
      <c r="AN683" s="95"/>
      <c r="AP683" s="95"/>
      <c r="AW683" s="95"/>
    </row>
    <row r="684">
      <c r="A684" s="48"/>
      <c r="B684" s="48"/>
      <c r="C684" s="86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48"/>
      <c r="AI684" s="71"/>
      <c r="AJ684" s="48"/>
      <c r="AK684" s="48"/>
      <c r="AL684" s="48"/>
      <c r="AM684" s="48"/>
      <c r="AN684" s="95"/>
      <c r="AP684" s="95"/>
      <c r="AW684" s="95"/>
    </row>
    <row r="685">
      <c r="A685" s="48"/>
      <c r="B685" s="48"/>
      <c r="C685" s="86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48"/>
      <c r="AI685" s="71"/>
      <c r="AJ685" s="48"/>
      <c r="AK685" s="48"/>
      <c r="AL685" s="48"/>
      <c r="AM685" s="48"/>
      <c r="AN685" s="95"/>
      <c r="AP685" s="95"/>
      <c r="AW685" s="95"/>
    </row>
    <row r="686">
      <c r="A686" s="48"/>
      <c r="B686" s="48"/>
      <c r="C686" s="86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48"/>
      <c r="AI686" s="71"/>
      <c r="AJ686" s="48"/>
      <c r="AK686" s="48"/>
      <c r="AL686" s="48"/>
      <c r="AM686" s="48"/>
      <c r="AN686" s="95"/>
      <c r="AP686" s="95"/>
      <c r="AW686" s="95"/>
    </row>
    <row r="687">
      <c r="A687" s="48"/>
      <c r="B687" s="48"/>
      <c r="C687" s="86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48"/>
      <c r="AI687" s="71"/>
      <c r="AJ687" s="48"/>
      <c r="AK687" s="48"/>
      <c r="AL687" s="48"/>
      <c r="AM687" s="48"/>
      <c r="AN687" s="95"/>
      <c r="AP687" s="95"/>
      <c r="AW687" s="95"/>
    </row>
    <row r="688">
      <c r="A688" s="48"/>
      <c r="B688" s="48"/>
      <c r="C688" s="86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48"/>
      <c r="AI688" s="71"/>
      <c r="AJ688" s="48"/>
      <c r="AK688" s="48"/>
      <c r="AL688" s="48"/>
      <c r="AM688" s="48"/>
      <c r="AN688" s="95"/>
      <c r="AP688" s="95"/>
      <c r="AW688" s="95"/>
    </row>
    <row r="689">
      <c r="A689" s="48"/>
      <c r="B689" s="48"/>
      <c r="C689" s="86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48"/>
      <c r="AI689" s="71"/>
      <c r="AJ689" s="48"/>
      <c r="AK689" s="48"/>
      <c r="AL689" s="48"/>
      <c r="AM689" s="48"/>
      <c r="AN689" s="95"/>
      <c r="AP689" s="95"/>
      <c r="AW689" s="95"/>
    </row>
    <row r="690">
      <c r="A690" s="48"/>
      <c r="B690" s="48"/>
      <c r="C690" s="86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48"/>
      <c r="AI690" s="71"/>
      <c r="AJ690" s="48"/>
      <c r="AK690" s="48"/>
      <c r="AL690" s="48"/>
      <c r="AM690" s="48"/>
      <c r="AN690" s="95"/>
      <c r="AP690" s="95"/>
      <c r="AW690" s="95"/>
    </row>
    <row r="691">
      <c r="A691" s="48"/>
      <c r="B691" s="48"/>
      <c r="C691" s="86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48"/>
      <c r="AI691" s="71"/>
      <c r="AJ691" s="48"/>
      <c r="AK691" s="48"/>
      <c r="AL691" s="48"/>
      <c r="AM691" s="48"/>
      <c r="AN691" s="95"/>
      <c r="AP691" s="95"/>
      <c r="AW691" s="95"/>
    </row>
    <row r="692">
      <c r="A692" s="48"/>
      <c r="B692" s="48"/>
      <c r="C692" s="86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48"/>
      <c r="AI692" s="71"/>
      <c r="AJ692" s="48"/>
      <c r="AK692" s="48"/>
      <c r="AL692" s="48"/>
      <c r="AM692" s="48"/>
      <c r="AN692" s="95"/>
      <c r="AP692" s="95"/>
      <c r="AW692" s="95"/>
    </row>
    <row r="693">
      <c r="A693" s="48"/>
      <c r="B693" s="48"/>
      <c r="C693" s="86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48"/>
      <c r="AI693" s="71"/>
      <c r="AJ693" s="48"/>
      <c r="AK693" s="48"/>
      <c r="AL693" s="48"/>
      <c r="AM693" s="48"/>
      <c r="AN693" s="95"/>
      <c r="AP693" s="95"/>
      <c r="AW693" s="95"/>
    </row>
    <row r="694">
      <c r="A694" s="48"/>
      <c r="B694" s="48"/>
      <c r="C694" s="86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48"/>
      <c r="AI694" s="71"/>
      <c r="AJ694" s="48"/>
      <c r="AK694" s="48"/>
      <c r="AL694" s="48"/>
      <c r="AM694" s="48"/>
      <c r="AN694" s="95"/>
      <c r="AP694" s="95"/>
      <c r="AW694" s="95"/>
    </row>
    <row r="695">
      <c r="A695" s="48"/>
      <c r="B695" s="48"/>
      <c r="C695" s="86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48"/>
      <c r="AI695" s="71"/>
      <c r="AJ695" s="48"/>
      <c r="AK695" s="48"/>
      <c r="AL695" s="48"/>
      <c r="AM695" s="48"/>
      <c r="AN695" s="95"/>
      <c r="AP695" s="95"/>
      <c r="AW695" s="95"/>
    </row>
    <row r="696">
      <c r="A696" s="48"/>
      <c r="B696" s="48"/>
      <c r="C696" s="86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48"/>
      <c r="AI696" s="71"/>
      <c r="AJ696" s="48"/>
      <c r="AK696" s="48"/>
      <c r="AL696" s="48"/>
      <c r="AM696" s="48"/>
      <c r="AN696" s="95"/>
      <c r="AP696" s="95"/>
      <c r="AW696" s="95"/>
    </row>
    <row r="697">
      <c r="A697" s="48"/>
      <c r="B697" s="48"/>
      <c r="C697" s="86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48"/>
      <c r="AI697" s="71"/>
      <c r="AJ697" s="48"/>
      <c r="AK697" s="48"/>
      <c r="AL697" s="48"/>
      <c r="AM697" s="48"/>
      <c r="AN697" s="95"/>
      <c r="AP697" s="95"/>
      <c r="AW697" s="95"/>
    </row>
    <row r="698">
      <c r="A698" s="48"/>
      <c r="B698" s="48"/>
      <c r="C698" s="86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48"/>
      <c r="AI698" s="71"/>
      <c r="AJ698" s="48"/>
      <c r="AK698" s="48"/>
      <c r="AL698" s="48"/>
      <c r="AM698" s="48"/>
      <c r="AN698" s="95"/>
      <c r="AP698" s="95"/>
      <c r="AW698" s="95"/>
    </row>
    <row r="699">
      <c r="A699" s="48"/>
      <c r="B699" s="48"/>
      <c r="C699" s="86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48"/>
      <c r="AI699" s="71"/>
      <c r="AJ699" s="48"/>
      <c r="AK699" s="48"/>
      <c r="AL699" s="48"/>
      <c r="AM699" s="48"/>
      <c r="AN699" s="95"/>
      <c r="AP699" s="95"/>
      <c r="AW699" s="95"/>
    </row>
    <row r="700">
      <c r="A700" s="48"/>
      <c r="B700" s="48"/>
      <c r="C700" s="86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48"/>
      <c r="AI700" s="71"/>
      <c r="AJ700" s="48"/>
      <c r="AK700" s="48"/>
      <c r="AL700" s="48"/>
      <c r="AM700" s="48"/>
      <c r="AN700" s="95"/>
      <c r="AP700" s="95"/>
      <c r="AW700" s="95"/>
    </row>
    <row r="701">
      <c r="A701" s="48"/>
      <c r="B701" s="48"/>
      <c r="C701" s="86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48"/>
      <c r="AI701" s="71"/>
      <c r="AJ701" s="48"/>
      <c r="AK701" s="48"/>
      <c r="AL701" s="48"/>
      <c r="AM701" s="48"/>
      <c r="AN701" s="95"/>
      <c r="AP701" s="95"/>
      <c r="AW701" s="95"/>
    </row>
    <row r="702">
      <c r="A702" s="48"/>
      <c r="B702" s="48"/>
      <c r="C702" s="86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48"/>
      <c r="AI702" s="71"/>
      <c r="AJ702" s="48"/>
      <c r="AK702" s="48"/>
      <c r="AL702" s="48"/>
      <c r="AM702" s="48"/>
      <c r="AN702" s="95"/>
      <c r="AP702" s="95"/>
      <c r="AW702" s="95"/>
    </row>
    <row r="703">
      <c r="A703" s="48"/>
      <c r="B703" s="48"/>
      <c r="C703" s="86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48"/>
      <c r="AI703" s="71"/>
      <c r="AJ703" s="48"/>
      <c r="AK703" s="48"/>
      <c r="AL703" s="48"/>
      <c r="AM703" s="48"/>
      <c r="AN703" s="95"/>
      <c r="AP703" s="95"/>
      <c r="AW703" s="95"/>
    </row>
    <row r="704">
      <c r="A704" s="48"/>
      <c r="B704" s="48"/>
      <c r="C704" s="86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48"/>
      <c r="AI704" s="71"/>
      <c r="AJ704" s="48"/>
      <c r="AK704" s="48"/>
      <c r="AL704" s="48"/>
      <c r="AM704" s="48"/>
      <c r="AN704" s="95"/>
      <c r="AP704" s="95"/>
      <c r="AW704" s="95"/>
    </row>
    <row r="705">
      <c r="A705" s="48"/>
      <c r="B705" s="48"/>
      <c r="C705" s="86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48"/>
      <c r="AI705" s="71"/>
      <c r="AJ705" s="48"/>
      <c r="AK705" s="48"/>
      <c r="AL705" s="48"/>
      <c r="AM705" s="48"/>
      <c r="AN705" s="95"/>
      <c r="AP705" s="95"/>
      <c r="AW705" s="95"/>
    </row>
    <row r="706">
      <c r="A706" s="48"/>
      <c r="B706" s="48"/>
      <c r="C706" s="86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48"/>
      <c r="AI706" s="71"/>
      <c r="AJ706" s="48"/>
      <c r="AK706" s="48"/>
      <c r="AL706" s="48"/>
      <c r="AM706" s="48"/>
      <c r="AN706" s="95"/>
      <c r="AP706" s="95"/>
      <c r="AW706" s="95"/>
    </row>
    <row r="707">
      <c r="A707" s="48"/>
      <c r="B707" s="48"/>
      <c r="C707" s="86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48"/>
      <c r="AI707" s="71"/>
      <c r="AJ707" s="48"/>
      <c r="AK707" s="48"/>
      <c r="AL707" s="48"/>
      <c r="AM707" s="48"/>
      <c r="AN707" s="95"/>
      <c r="AP707" s="95"/>
      <c r="AW707" s="95"/>
    </row>
    <row r="708">
      <c r="A708" s="48"/>
      <c r="B708" s="48"/>
      <c r="C708" s="86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48"/>
      <c r="AI708" s="71"/>
      <c r="AJ708" s="48"/>
      <c r="AK708" s="48"/>
      <c r="AL708" s="48"/>
      <c r="AM708" s="48"/>
      <c r="AN708" s="95"/>
      <c r="AP708" s="95"/>
      <c r="AW708" s="95"/>
    </row>
    <row r="709">
      <c r="A709" s="48"/>
      <c r="B709" s="48"/>
      <c r="C709" s="86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48"/>
      <c r="AI709" s="71"/>
      <c r="AJ709" s="48"/>
      <c r="AK709" s="48"/>
      <c r="AL709" s="48"/>
      <c r="AM709" s="48"/>
      <c r="AN709" s="95"/>
      <c r="AP709" s="95"/>
      <c r="AW709" s="95"/>
    </row>
    <row r="710">
      <c r="A710" s="48"/>
      <c r="B710" s="48"/>
      <c r="C710" s="86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48"/>
      <c r="AI710" s="71"/>
      <c r="AJ710" s="48"/>
      <c r="AK710" s="48"/>
      <c r="AL710" s="48"/>
      <c r="AM710" s="48"/>
      <c r="AN710" s="95"/>
      <c r="AP710" s="95"/>
      <c r="AW710" s="95"/>
    </row>
    <row r="711">
      <c r="A711" s="48"/>
      <c r="B711" s="48"/>
      <c r="C711" s="86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48"/>
      <c r="AI711" s="71"/>
      <c r="AJ711" s="48"/>
      <c r="AK711" s="48"/>
      <c r="AL711" s="48"/>
      <c r="AM711" s="48"/>
      <c r="AN711" s="95"/>
      <c r="AP711" s="95"/>
      <c r="AW711" s="95"/>
    </row>
    <row r="712">
      <c r="A712" s="48"/>
      <c r="B712" s="48"/>
      <c r="C712" s="86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48"/>
      <c r="AI712" s="71"/>
      <c r="AJ712" s="48"/>
      <c r="AK712" s="48"/>
      <c r="AL712" s="48"/>
      <c r="AM712" s="48"/>
      <c r="AN712" s="95"/>
      <c r="AP712" s="95"/>
      <c r="AW712" s="95"/>
    </row>
    <row r="713">
      <c r="A713" s="48"/>
      <c r="B713" s="48"/>
      <c r="C713" s="86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48"/>
      <c r="AI713" s="71"/>
      <c r="AJ713" s="48"/>
      <c r="AK713" s="48"/>
      <c r="AL713" s="48"/>
      <c r="AM713" s="48"/>
      <c r="AN713" s="95"/>
      <c r="AP713" s="95"/>
      <c r="AW713" s="95"/>
    </row>
    <row r="714">
      <c r="A714" s="48"/>
      <c r="B714" s="48"/>
      <c r="C714" s="86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48"/>
      <c r="AI714" s="71"/>
      <c r="AJ714" s="48"/>
      <c r="AK714" s="48"/>
      <c r="AL714" s="48"/>
      <c r="AM714" s="48"/>
      <c r="AN714" s="95"/>
      <c r="AP714" s="95"/>
      <c r="AW714" s="95"/>
    </row>
    <row r="715">
      <c r="A715" s="48"/>
      <c r="B715" s="48"/>
      <c r="C715" s="86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48"/>
      <c r="AI715" s="71"/>
      <c r="AJ715" s="48"/>
      <c r="AK715" s="48"/>
      <c r="AL715" s="48"/>
      <c r="AM715" s="48"/>
      <c r="AN715" s="95"/>
      <c r="AP715" s="95"/>
      <c r="AW715" s="95"/>
    </row>
    <row r="716">
      <c r="A716" s="48"/>
      <c r="B716" s="48"/>
      <c r="C716" s="86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48"/>
      <c r="AI716" s="71"/>
      <c r="AJ716" s="48"/>
      <c r="AK716" s="48"/>
      <c r="AL716" s="48"/>
      <c r="AM716" s="48"/>
      <c r="AN716" s="95"/>
      <c r="AP716" s="95"/>
      <c r="AW716" s="95"/>
    </row>
    <row r="717">
      <c r="A717" s="48"/>
      <c r="B717" s="48"/>
      <c r="C717" s="86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48"/>
      <c r="AI717" s="71"/>
      <c r="AJ717" s="48"/>
      <c r="AK717" s="48"/>
      <c r="AL717" s="48"/>
      <c r="AM717" s="48"/>
      <c r="AN717" s="95"/>
      <c r="AP717" s="95"/>
      <c r="AW717" s="95"/>
    </row>
    <row r="718">
      <c r="A718" s="48"/>
      <c r="B718" s="48"/>
      <c r="C718" s="86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48"/>
      <c r="AI718" s="71"/>
      <c r="AJ718" s="48"/>
      <c r="AK718" s="48"/>
      <c r="AL718" s="48"/>
      <c r="AM718" s="48"/>
      <c r="AN718" s="95"/>
      <c r="AP718" s="95"/>
      <c r="AW718" s="95"/>
    </row>
    <row r="719">
      <c r="A719" s="48"/>
      <c r="B719" s="48"/>
      <c r="C719" s="86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48"/>
      <c r="AI719" s="71"/>
      <c r="AJ719" s="48"/>
      <c r="AK719" s="48"/>
      <c r="AL719" s="48"/>
      <c r="AM719" s="48"/>
      <c r="AN719" s="95"/>
      <c r="AP719" s="95"/>
      <c r="AW719" s="95"/>
    </row>
    <row r="720">
      <c r="A720" s="48"/>
      <c r="B720" s="48"/>
      <c r="C720" s="86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48"/>
      <c r="AI720" s="71"/>
      <c r="AJ720" s="48"/>
      <c r="AK720" s="48"/>
      <c r="AL720" s="48"/>
      <c r="AM720" s="48"/>
      <c r="AN720" s="95"/>
      <c r="AP720" s="95"/>
      <c r="AW720" s="95"/>
    </row>
    <row r="721">
      <c r="A721" s="48"/>
      <c r="B721" s="48"/>
      <c r="C721" s="86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48"/>
      <c r="AI721" s="71"/>
      <c r="AJ721" s="48"/>
      <c r="AK721" s="48"/>
      <c r="AL721" s="48"/>
      <c r="AM721" s="48"/>
      <c r="AN721" s="95"/>
      <c r="AP721" s="95"/>
      <c r="AW721" s="95"/>
    </row>
    <row r="722">
      <c r="A722" s="48"/>
      <c r="B722" s="48"/>
      <c r="C722" s="86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48"/>
      <c r="AI722" s="71"/>
      <c r="AJ722" s="48"/>
      <c r="AK722" s="48"/>
      <c r="AL722" s="48"/>
      <c r="AM722" s="48"/>
      <c r="AN722" s="95"/>
      <c r="AP722" s="95"/>
      <c r="AW722" s="95"/>
    </row>
    <row r="723">
      <c r="A723" s="48"/>
      <c r="B723" s="48"/>
      <c r="C723" s="86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48"/>
      <c r="AI723" s="71"/>
      <c r="AJ723" s="48"/>
      <c r="AK723" s="48"/>
      <c r="AL723" s="48"/>
      <c r="AM723" s="48"/>
      <c r="AN723" s="95"/>
      <c r="AP723" s="95"/>
      <c r="AW723" s="95"/>
    </row>
    <row r="724">
      <c r="A724" s="48"/>
      <c r="B724" s="48"/>
      <c r="C724" s="86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48"/>
      <c r="AI724" s="71"/>
      <c r="AJ724" s="48"/>
      <c r="AK724" s="48"/>
      <c r="AL724" s="48"/>
      <c r="AM724" s="48"/>
      <c r="AN724" s="95"/>
      <c r="AP724" s="95"/>
      <c r="AW724" s="95"/>
    </row>
    <row r="725">
      <c r="A725" s="48"/>
      <c r="B725" s="48"/>
      <c r="C725" s="86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48"/>
      <c r="AI725" s="71"/>
      <c r="AJ725" s="48"/>
      <c r="AK725" s="48"/>
      <c r="AL725" s="48"/>
      <c r="AM725" s="48"/>
      <c r="AN725" s="95"/>
      <c r="AP725" s="95"/>
      <c r="AW725" s="95"/>
    </row>
    <row r="726">
      <c r="A726" s="48"/>
      <c r="B726" s="48"/>
      <c r="C726" s="86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48"/>
      <c r="AI726" s="71"/>
      <c r="AJ726" s="48"/>
      <c r="AK726" s="48"/>
      <c r="AL726" s="48"/>
      <c r="AM726" s="48"/>
      <c r="AN726" s="95"/>
      <c r="AP726" s="95"/>
      <c r="AW726" s="95"/>
    </row>
    <row r="727">
      <c r="A727" s="48"/>
      <c r="B727" s="48"/>
      <c r="C727" s="86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48"/>
      <c r="AI727" s="71"/>
      <c r="AJ727" s="48"/>
      <c r="AK727" s="48"/>
      <c r="AL727" s="48"/>
      <c r="AM727" s="48"/>
      <c r="AN727" s="95"/>
      <c r="AP727" s="95"/>
      <c r="AW727" s="95"/>
    </row>
    <row r="728">
      <c r="A728" s="48"/>
      <c r="B728" s="48"/>
      <c r="C728" s="86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48"/>
      <c r="AI728" s="71"/>
      <c r="AJ728" s="48"/>
      <c r="AK728" s="48"/>
      <c r="AL728" s="48"/>
      <c r="AM728" s="48"/>
      <c r="AN728" s="95"/>
      <c r="AP728" s="95"/>
      <c r="AW728" s="95"/>
    </row>
    <row r="729">
      <c r="A729" s="48"/>
      <c r="B729" s="48"/>
      <c r="C729" s="86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48"/>
      <c r="AI729" s="71"/>
      <c r="AJ729" s="48"/>
      <c r="AK729" s="48"/>
      <c r="AL729" s="48"/>
      <c r="AM729" s="48"/>
      <c r="AN729" s="95"/>
      <c r="AP729" s="95"/>
      <c r="AW729" s="95"/>
    </row>
    <row r="730">
      <c r="A730" s="48"/>
      <c r="B730" s="48"/>
      <c r="C730" s="86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48"/>
      <c r="AI730" s="71"/>
      <c r="AJ730" s="48"/>
      <c r="AK730" s="48"/>
      <c r="AL730" s="48"/>
      <c r="AM730" s="48"/>
      <c r="AN730" s="95"/>
      <c r="AP730" s="95"/>
      <c r="AW730" s="95"/>
    </row>
    <row r="731">
      <c r="A731" s="48"/>
      <c r="B731" s="48"/>
      <c r="C731" s="86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48"/>
      <c r="AI731" s="71"/>
      <c r="AJ731" s="48"/>
      <c r="AK731" s="48"/>
      <c r="AL731" s="48"/>
      <c r="AM731" s="48"/>
      <c r="AN731" s="95"/>
      <c r="AP731" s="95"/>
      <c r="AW731" s="95"/>
    </row>
    <row r="732">
      <c r="A732" s="48"/>
      <c r="B732" s="48"/>
      <c r="C732" s="86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48"/>
      <c r="AI732" s="71"/>
      <c r="AJ732" s="48"/>
      <c r="AK732" s="48"/>
      <c r="AL732" s="48"/>
      <c r="AM732" s="48"/>
      <c r="AN732" s="95"/>
      <c r="AP732" s="95"/>
      <c r="AW732" s="95"/>
    </row>
    <row r="733">
      <c r="A733" s="48"/>
      <c r="B733" s="48"/>
      <c r="C733" s="86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48"/>
      <c r="AI733" s="71"/>
      <c r="AJ733" s="48"/>
      <c r="AK733" s="48"/>
      <c r="AL733" s="48"/>
      <c r="AM733" s="48"/>
      <c r="AN733" s="95"/>
      <c r="AP733" s="95"/>
      <c r="AW733" s="95"/>
    </row>
    <row r="734">
      <c r="A734" s="48"/>
      <c r="B734" s="48"/>
      <c r="C734" s="86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48"/>
      <c r="AI734" s="71"/>
      <c r="AJ734" s="48"/>
      <c r="AK734" s="48"/>
      <c r="AL734" s="48"/>
      <c r="AM734" s="48"/>
      <c r="AN734" s="95"/>
      <c r="AP734" s="95"/>
      <c r="AW734" s="95"/>
    </row>
    <row r="735">
      <c r="A735" s="48"/>
      <c r="B735" s="48"/>
      <c r="C735" s="86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48"/>
      <c r="AI735" s="71"/>
      <c r="AJ735" s="48"/>
      <c r="AK735" s="48"/>
      <c r="AL735" s="48"/>
      <c r="AM735" s="48"/>
      <c r="AN735" s="95"/>
      <c r="AP735" s="95"/>
      <c r="AW735" s="95"/>
    </row>
    <row r="736">
      <c r="A736" s="48"/>
      <c r="B736" s="48"/>
      <c r="C736" s="86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48"/>
      <c r="AI736" s="71"/>
      <c r="AJ736" s="48"/>
      <c r="AK736" s="48"/>
      <c r="AL736" s="48"/>
      <c r="AM736" s="48"/>
      <c r="AN736" s="95"/>
      <c r="AP736" s="95"/>
      <c r="AW736" s="95"/>
    </row>
    <row r="737">
      <c r="A737" s="48"/>
      <c r="B737" s="48"/>
      <c r="C737" s="86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48"/>
      <c r="AI737" s="71"/>
      <c r="AJ737" s="48"/>
      <c r="AK737" s="48"/>
      <c r="AL737" s="48"/>
      <c r="AM737" s="48"/>
      <c r="AN737" s="95"/>
      <c r="AP737" s="95"/>
      <c r="AW737" s="95"/>
    </row>
    <row r="738">
      <c r="A738" s="48"/>
      <c r="B738" s="48"/>
      <c r="C738" s="86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48"/>
      <c r="AI738" s="71"/>
      <c r="AJ738" s="48"/>
      <c r="AK738" s="48"/>
      <c r="AL738" s="48"/>
      <c r="AM738" s="48"/>
      <c r="AN738" s="95"/>
      <c r="AP738" s="95"/>
      <c r="AW738" s="95"/>
    </row>
    <row r="739">
      <c r="A739" s="48"/>
      <c r="B739" s="48"/>
      <c r="C739" s="86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48"/>
      <c r="AI739" s="71"/>
      <c r="AJ739" s="48"/>
      <c r="AK739" s="48"/>
      <c r="AL739" s="48"/>
      <c r="AM739" s="48"/>
      <c r="AN739" s="95"/>
      <c r="AP739" s="95"/>
      <c r="AW739" s="95"/>
    </row>
    <row r="740">
      <c r="A740" s="48"/>
      <c r="B740" s="48"/>
      <c r="C740" s="86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48"/>
      <c r="AI740" s="71"/>
      <c r="AJ740" s="48"/>
      <c r="AK740" s="48"/>
      <c r="AL740" s="48"/>
      <c r="AM740" s="48"/>
      <c r="AN740" s="95"/>
      <c r="AP740" s="95"/>
      <c r="AW740" s="95"/>
    </row>
    <row r="741">
      <c r="A741" s="48"/>
      <c r="B741" s="48"/>
      <c r="C741" s="86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48"/>
      <c r="AI741" s="71"/>
      <c r="AJ741" s="48"/>
      <c r="AK741" s="48"/>
      <c r="AL741" s="48"/>
      <c r="AM741" s="48"/>
      <c r="AN741" s="95"/>
      <c r="AP741" s="95"/>
      <c r="AW741" s="95"/>
    </row>
    <row r="742">
      <c r="A742" s="48"/>
      <c r="B742" s="48"/>
      <c r="C742" s="86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48"/>
      <c r="AI742" s="71"/>
      <c r="AJ742" s="48"/>
      <c r="AK742" s="48"/>
      <c r="AL742" s="48"/>
      <c r="AM742" s="48"/>
      <c r="AN742" s="95"/>
      <c r="AP742" s="95"/>
      <c r="AW742" s="95"/>
    </row>
    <row r="743">
      <c r="A743" s="48"/>
      <c r="B743" s="48"/>
      <c r="C743" s="86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48"/>
      <c r="AI743" s="71"/>
      <c r="AJ743" s="48"/>
      <c r="AK743" s="48"/>
      <c r="AL743" s="48"/>
      <c r="AM743" s="48"/>
      <c r="AN743" s="95"/>
      <c r="AP743" s="95"/>
      <c r="AW743" s="95"/>
    </row>
    <row r="744">
      <c r="A744" s="48"/>
      <c r="B744" s="48"/>
      <c r="C744" s="86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48"/>
      <c r="AI744" s="71"/>
      <c r="AJ744" s="48"/>
      <c r="AK744" s="48"/>
      <c r="AL744" s="48"/>
      <c r="AM744" s="48"/>
      <c r="AN744" s="95"/>
      <c r="AP744" s="95"/>
      <c r="AW744" s="95"/>
    </row>
    <row r="745">
      <c r="A745" s="48"/>
      <c r="B745" s="48"/>
      <c r="C745" s="86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48"/>
      <c r="AI745" s="71"/>
      <c r="AJ745" s="48"/>
      <c r="AK745" s="48"/>
      <c r="AL745" s="48"/>
      <c r="AM745" s="48"/>
      <c r="AN745" s="95"/>
      <c r="AP745" s="95"/>
      <c r="AW745" s="95"/>
    </row>
    <row r="746">
      <c r="A746" s="48"/>
      <c r="B746" s="48"/>
      <c r="C746" s="86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48"/>
      <c r="AI746" s="71"/>
      <c r="AJ746" s="48"/>
      <c r="AK746" s="48"/>
      <c r="AL746" s="48"/>
      <c r="AM746" s="48"/>
      <c r="AN746" s="95"/>
      <c r="AP746" s="95"/>
      <c r="AW746" s="95"/>
    </row>
    <row r="747">
      <c r="A747" s="48"/>
      <c r="B747" s="48"/>
      <c r="C747" s="86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48"/>
      <c r="AI747" s="71"/>
      <c r="AJ747" s="48"/>
      <c r="AK747" s="48"/>
      <c r="AL747" s="48"/>
      <c r="AM747" s="48"/>
      <c r="AN747" s="95"/>
      <c r="AP747" s="95"/>
      <c r="AW747" s="95"/>
    </row>
    <row r="748">
      <c r="A748" s="48"/>
      <c r="B748" s="48"/>
      <c r="C748" s="86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48"/>
      <c r="AI748" s="71"/>
      <c r="AJ748" s="48"/>
      <c r="AK748" s="48"/>
      <c r="AL748" s="48"/>
      <c r="AM748" s="48"/>
      <c r="AN748" s="95"/>
      <c r="AP748" s="95"/>
      <c r="AW748" s="95"/>
    </row>
    <row r="749">
      <c r="A749" s="48"/>
      <c r="B749" s="48"/>
      <c r="C749" s="86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48"/>
      <c r="AI749" s="71"/>
      <c r="AJ749" s="48"/>
      <c r="AK749" s="48"/>
      <c r="AL749" s="48"/>
      <c r="AM749" s="48"/>
      <c r="AN749" s="95"/>
      <c r="AP749" s="95"/>
      <c r="AW749" s="95"/>
    </row>
    <row r="750">
      <c r="A750" s="48"/>
      <c r="B750" s="48"/>
      <c r="C750" s="86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48"/>
      <c r="AI750" s="71"/>
      <c r="AJ750" s="48"/>
      <c r="AK750" s="48"/>
      <c r="AL750" s="48"/>
      <c r="AM750" s="48"/>
      <c r="AN750" s="95"/>
      <c r="AP750" s="95"/>
      <c r="AW750" s="95"/>
    </row>
    <row r="751">
      <c r="A751" s="48"/>
      <c r="B751" s="48"/>
      <c r="C751" s="86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48"/>
      <c r="AI751" s="71"/>
      <c r="AJ751" s="48"/>
      <c r="AK751" s="48"/>
      <c r="AL751" s="48"/>
      <c r="AM751" s="48"/>
      <c r="AN751" s="95"/>
      <c r="AP751" s="95"/>
      <c r="AW751" s="95"/>
    </row>
    <row r="752">
      <c r="A752" s="48"/>
      <c r="B752" s="48"/>
      <c r="C752" s="86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48"/>
      <c r="AI752" s="71"/>
      <c r="AJ752" s="48"/>
      <c r="AK752" s="48"/>
      <c r="AL752" s="48"/>
      <c r="AM752" s="48"/>
      <c r="AN752" s="95"/>
      <c r="AP752" s="95"/>
      <c r="AW752" s="95"/>
    </row>
    <row r="753">
      <c r="A753" s="48"/>
      <c r="B753" s="48"/>
      <c r="C753" s="86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48"/>
      <c r="AI753" s="71"/>
      <c r="AJ753" s="48"/>
      <c r="AK753" s="48"/>
      <c r="AL753" s="48"/>
      <c r="AM753" s="48"/>
      <c r="AN753" s="95"/>
      <c r="AP753" s="95"/>
      <c r="AW753" s="95"/>
    </row>
    <row r="754">
      <c r="A754" s="48"/>
      <c r="B754" s="48"/>
      <c r="C754" s="86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48"/>
      <c r="AI754" s="71"/>
      <c r="AJ754" s="48"/>
      <c r="AK754" s="48"/>
      <c r="AL754" s="48"/>
      <c r="AM754" s="48"/>
      <c r="AN754" s="95"/>
      <c r="AP754" s="95"/>
      <c r="AW754" s="95"/>
    </row>
    <row r="755">
      <c r="A755" s="48"/>
      <c r="B755" s="48"/>
      <c r="C755" s="86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48"/>
      <c r="AI755" s="71"/>
      <c r="AJ755" s="48"/>
      <c r="AK755" s="48"/>
      <c r="AL755" s="48"/>
      <c r="AM755" s="48"/>
      <c r="AN755" s="95"/>
      <c r="AP755" s="95"/>
      <c r="AW755" s="95"/>
    </row>
    <row r="756">
      <c r="A756" s="48"/>
      <c r="B756" s="48"/>
      <c r="C756" s="86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48"/>
      <c r="AI756" s="71"/>
      <c r="AJ756" s="48"/>
      <c r="AK756" s="48"/>
      <c r="AL756" s="48"/>
      <c r="AM756" s="48"/>
      <c r="AN756" s="95"/>
      <c r="AP756" s="95"/>
      <c r="AW756" s="95"/>
    </row>
    <row r="757">
      <c r="A757" s="48"/>
      <c r="B757" s="48"/>
      <c r="C757" s="86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48"/>
      <c r="AI757" s="71"/>
      <c r="AJ757" s="48"/>
      <c r="AK757" s="48"/>
      <c r="AL757" s="48"/>
      <c r="AM757" s="48"/>
      <c r="AN757" s="95"/>
      <c r="AP757" s="95"/>
      <c r="AW757" s="95"/>
    </row>
    <row r="758">
      <c r="A758" s="48"/>
      <c r="B758" s="48"/>
      <c r="C758" s="86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48"/>
      <c r="AI758" s="71"/>
      <c r="AJ758" s="48"/>
      <c r="AK758" s="48"/>
      <c r="AL758" s="48"/>
      <c r="AM758" s="48"/>
      <c r="AN758" s="95"/>
      <c r="AP758" s="95"/>
      <c r="AW758" s="95"/>
    </row>
    <row r="759">
      <c r="A759" s="48"/>
      <c r="B759" s="48"/>
      <c r="C759" s="86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48"/>
      <c r="AI759" s="71"/>
      <c r="AJ759" s="48"/>
      <c r="AK759" s="48"/>
      <c r="AL759" s="48"/>
      <c r="AM759" s="48"/>
      <c r="AN759" s="95"/>
      <c r="AP759" s="95"/>
      <c r="AW759" s="95"/>
    </row>
    <row r="760">
      <c r="A760" s="48"/>
      <c r="B760" s="48"/>
      <c r="C760" s="86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48"/>
      <c r="AI760" s="71"/>
      <c r="AJ760" s="48"/>
      <c r="AK760" s="48"/>
      <c r="AL760" s="48"/>
      <c r="AM760" s="48"/>
      <c r="AN760" s="95"/>
      <c r="AP760" s="95"/>
      <c r="AW760" s="95"/>
    </row>
    <row r="761">
      <c r="A761" s="48"/>
      <c r="B761" s="48"/>
      <c r="C761" s="86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48"/>
      <c r="AI761" s="71"/>
      <c r="AJ761" s="48"/>
      <c r="AK761" s="48"/>
      <c r="AL761" s="48"/>
      <c r="AM761" s="48"/>
      <c r="AN761" s="95"/>
      <c r="AP761" s="95"/>
      <c r="AW761" s="95"/>
    </row>
    <row r="762">
      <c r="A762" s="48"/>
      <c r="B762" s="48"/>
      <c r="C762" s="86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48"/>
      <c r="AI762" s="71"/>
      <c r="AJ762" s="48"/>
      <c r="AK762" s="48"/>
      <c r="AL762" s="48"/>
      <c r="AM762" s="48"/>
      <c r="AN762" s="95"/>
      <c r="AP762" s="95"/>
      <c r="AW762" s="95"/>
    </row>
    <row r="763">
      <c r="A763" s="48"/>
      <c r="B763" s="48"/>
      <c r="C763" s="86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48"/>
      <c r="AI763" s="71"/>
      <c r="AJ763" s="48"/>
      <c r="AK763" s="48"/>
      <c r="AL763" s="48"/>
      <c r="AM763" s="48"/>
      <c r="AN763" s="95"/>
      <c r="AP763" s="95"/>
      <c r="AW763" s="95"/>
    </row>
    <row r="764">
      <c r="A764" s="48"/>
      <c r="B764" s="48"/>
      <c r="C764" s="86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48"/>
      <c r="AI764" s="71"/>
      <c r="AJ764" s="48"/>
      <c r="AK764" s="48"/>
      <c r="AL764" s="48"/>
      <c r="AM764" s="48"/>
      <c r="AN764" s="95"/>
      <c r="AP764" s="95"/>
      <c r="AW764" s="95"/>
    </row>
    <row r="765">
      <c r="A765" s="48"/>
      <c r="B765" s="48"/>
      <c r="C765" s="86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48"/>
      <c r="AI765" s="71"/>
      <c r="AJ765" s="48"/>
      <c r="AK765" s="48"/>
      <c r="AL765" s="48"/>
      <c r="AM765" s="48"/>
      <c r="AN765" s="95"/>
      <c r="AP765" s="95"/>
      <c r="AW765" s="95"/>
    </row>
    <row r="766">
      <c r="A766" s="48"/>
      <c r="B766" s="48"/>
      <c r="C766" s="86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48"/>
      <c r="AI766" s="71"/>
      <c r="AJ766" s="48"/>
      <c r="AK766" s="48"/>
      <c r="AL766" s="48"/>
      <c r="AM766" s="48"/>
      <c r="AN766" s="95"/>
      <c r="AP766" s="95"/>
      <c r="AW766" s="95"/>
    </row>
    <row r="767">
      <c r="A767" s="48"/>
      <c r="B767" s="48"/>
      <c r="C767" s="86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48"/>
      <c r="AI767" s="71"/>
      <c r="AJ767" s="48"/>
      <c r="AK767" s="48"/>
      <c r="AL767" s="48"/>
      <c r="AM767" s="48"/>
      <c r="AN767" s="95"/>
      <c r="AP767" s="95"/>
      <c r="AW767" s="95"/>
    </row>
    <row r="768">
      <c r="A768" s="48"/>
      <c r="B768" s="48"/>
      <c r="C768" s="86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48"/>
      <c r="AI768" s="71"/>
      <c r="AJ768" s="48"/>
      <c r="AK768" s="48"/>
      <c r="AL768" s="48"/>
      <c r="AM768" s="48"/>
      <c r="AN768" s="95"/>
      <c r="AP768" s="95"/>
      <c r="AW768" s="95"/>
    </row>
    <row r="769">
      <c r="A769" s="48"/>
      <c r="B769" s="48"/>
      <c r="C769" s="86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48"/>
      <c r="AI769" s="71"/>
      <c r="AJ769" s="48"/>
      <c r="AK769" s="48"/>
      <c r="AL769" s="48"/>
      <c r="AM769" s="48"/>
      <c r="AN769" s="95"/>
      <c r="AP769" s="95"/>
      <c r="AW769" s="95"/>
    </row>
    <row r="770">
      <c r="A770" s="48"/>
      <c r="B770" s="48"/>
      <c r="C770" s="86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48"/>
      <c r="AI770" s="71"/>
      <c r="AJ770" s="48"/>
      <c r="AK770" s="48"/>
      <c r="AL770" s="48"/>
      <c r="AM770" s="48"/>
      <c r="AN770" s="95"/>
      <c r="AP770" s="95"/>
      <c r="AW770" s="95"/>
    </row>
    <row r="771">
      <c r="A771" s="48"/>
      <c r="B771" s="48"/>
      <c r="C771" s="86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48"/>
      <c r="AI771" s="71"/>
      <c r="AJ771" s="48"/>
      <c r="AK771" s="48"/>
      <c r="AL771" s="48"/>
      <c r="AM771" s="48"/>
      <c r="AN771" s="95"/>
      <c r="AP771" s="95"/>
      <c r="AW771" s="95"/>
    </row>
    <row r="772">
      <c r="A772" s="48"/>
      <c r="B772" s="48"/>
      <c r="C772" s="86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48"/>
      <c r="AI772" s="71"/>
      <c r="AJ772" s="48"/>
      <c r="AK772" s="48"/>
      <c r="AL772" s="48"/>
      <c r="AM772" s="48"/>
      <c r="AN772" s="95"/>
      <c r="AP772" s="95"/>
      <c r="AW772" s="95"/>
    </row>
    <row r="773">
      <c r="A773" s="48"/>
      <c r="B773" s="48"/>
      <c r="C773" s="86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48"/>
      <c r="AI773" s="71"/>
      <c r="AJ773" s="48"/>
      <c r="AK773" s="48"/>
      <c r="AL773" s="48"/>
      <c r="AM773" s="48"/>
      <c r="AN773" s="95"/>
      <c r="AP773" s="95"/>
      <c r="AW773" s="95"/>
    </row>
    <row r="774">
      <c r="A774" s="48"/>
      <c r="B774" s="48"/>
      <c r="C774" s="86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48"/>
      <c r="AI774" s="71"/>
      <c r="AJ774" s="48"/>
      <c r="AK774" s="48"/>
      <c r="AL774" s="48"/>
      <c r="AM774" s="48"/>
      <c r="AN774" s="95"/>
      <c r="AP774" s="95"/>
      <c r="AW774" s="95"/>
    </row>
    <row r="775">
      <c r="A775" s="48"/>
      <c r="B775" s="48"/>
      <c r="C775" s="86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48"/>
      <c r="AI775" s="71"/>
      <c r="AJ775" s="48"/>
      <c r="AK775" s="48"/>
      <c r="AL775" s="48"/>
      <c r="AM775" s="48"/>
      <c r="AN775" s="95"/>
      <c r="AP775" s="95"/>
      <c r="AW775" s="95"/>
    </row>
    <row r="776">
      <c r="A776" s="48"/>
      <c r="B776" s="48"/>
      <c r="C776" s="86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48"/>
      <c r="AI776" s="71"/>
      <c r="AJ776" s="48"/>
      <c r="AK776" s="48"/>
      <c r="AL776" s="48"/>
      <c r="AM776" s="48"/>
      <c r="AN776" s="95"/>
      <c r="AP776" s="95"/>
      <c r="AW776" s="95"/>
    </row>
    <row r="777">
      <c r="A777" s="48"/>
      <c r="B777" s="48"/>
      <c r="C777" s="86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48"/>
      <c r="AI777" s="71"/>
      <c r="AJ777" s="48"/>
      <c r="AK777" s="48"/>
      <c r="AL777" s="48"/>
      <c r="AM777" s="48"/>
      <c r="AN777" s="95"/>
      <c r="AP777" s="95"/>
      <c r="AW777" s="95"/>
    </row>
    <row r="778">
      <c r="A778" s="48"/>
      <c r="B778" s="48"/>
      <c r="C778" s="86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48"/>
      <c r="AI778" s="71"/>
      <c r="AJ778" s="48"/>
      <c r="AK778" s="48"/>
      <c r="AL778" s="48"/>
      <c r="AM778" s="48"/>
      <c r="AN778" s="95"/>
      <c r="AP778" s="95"/>
      <c r="AW778" s="95"/>
    </row>
    <row r="779">
      <c r="A779" s="48"/>
      <c r="B779" s="48"/>
      <c r="C779" s="86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48"/>
      <c r="AI779" s="71"/>
      <c r="AJ779" s="48"/>
      <c r="AK779" s="48"/>
      <c r="AL779" s="48"/>
      <c r="AM779" s="48"/>
      <c r="AN779" s="95"/>
      <c r="AP779" s="95"/>
      <c r="AW779" s="95"/>
    </row>
    <row r="780">
      <c r="A780" s="48"/>
      <c r="B780" s="48"/>
      <c r="C780" s="86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48"/>
      <c r="AI780" s="71"/>
      <c r="AJ780" s="48"/>
      <c r="AK780" s="48"/>
      <c r="AL780" s="48"/>
      <c r="AM780" s="48"/>
      <c r="AN780" s="95"/>
      <c r="AP780" s="95"/>
      <c r="AW780" s="95"/>
    </row>
    <row r="781">
      <c r="A781" s="48"/>
      <c r="B781" s="48"/>
      <c r="C781" s="86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48"/>
      <c r="AI781" s="71"/>
      <c r="AJ781" s="48"/>
      <c r="AK781" s="48"/>
      <c r="AL781" s="48"/>
      <c r="AM781" s="48"/>
      <c r="AN781" s="95"/>
      <c r="AP781" s="95"/>
      <c r="AW781" s="95"/>
    </row>
    <row r="782">
      <c r="A782" s="48"/>
      <c r="B782" s="48"/>
      <c r="C782" s="86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48"/>
      <c r="AI782" s="71"/>
      <c r="AJ782" s="48"/>
      <c r="AK782" s="48"/>
      <c r="AL782" s="48"/>
      <c r="AM782" s="48"/>
      <c r="AN782" s="95"/>
      <c r="AP782" s="95"/>
      <c r="AW782" s="95"/>
    </row>
    <row r="783">
      <c r="A783" s="48"/>
      <c r="B783" s="48"/>
      <c r="C783" s="86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48"/>
      <c r="AI783" s="71"/>
      <c r="AJ783" s="48"/>
      <c r="AK783" s="48"/>
      <c r="AL783" s="48"/>
      <c r="AM783" s="48"/>
      <c r="AN783" s="95"/>
      <c r="AP783" s="95"/>
      <c r="AW783" s="95"/>
    </row>
    <row r="784">
      <c r="A784" s="48"/>
      <c r="B784" s="48"/>
      <c r="C784" s="86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48"/>
      <c r="AI784" s="71"/>
      <c r="AJ784" s="48"/>
      <c r="AK784" s="48"/>
      <c r="AL784" s="48"/>
      <c r="AM784" s="48"/>
      <c r="AN784" s="95"/>
      <c r="AP784" s="95"/>
      <c r="AW784" s="95"/>
    </row>
    <row r="785">
      <c r="A785" s="48"/>
      <c r="B785" s="48"/>
      <c r="C785" s="86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48"/>
      <c r="AI785" s="71"/>
      <c r="AJ785" s="48"/>
      <c r="AK785" s="48"/>
      <c r="AL785" s="48"/>
      <c r="AM785" s="48"/>
      <c r="AN785" s="95"/>
      <c r="AP785" s="95"/>
      <c r="AW785" s="95"/>
    </row>
    <row r="786">
      <c r="A786" s="48"/>
      <c r="B786" s="48"/>
      <c r="C786" s="86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48"/>
      <c r="AI786" s="71"/>
      <c r="AJ786" s="48"/>
      <c r="AK786" s="48"/>
      <c r="AL786" s="48"/>
      <c r="AM786" s="48"/>
      <c r="AN786" s="95"/>
      <c r="AP786" s="95"/>
      <c r="AW786" s="95"/>
    </row>
    <row r="787">
      <c r="A787" s="48"/>
      <c r="B787" s="48"/>
      <c r="C787" s="86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48"/>
      <c r="AI787" s="71"/>
      <c r="AJ787" s="48"/>
      <c r="AK787" s="48"/>
      <c r="AL787" s="48"/>
      <c r="AM787" s="48"/>
      <c r="AN787" s="95"/>
      <c r="AP787" s="95"/>
      <c r="AW787" s="95"/>
    </row>
    <row r="788">
      <c r="A788" s="48"/>
      <c r="B788" s="48"/>
      <c r="C788" s="86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48"/>
      <c r="AI788" s="71"/>
      <c r="AJ788" s="48"/>
      <c r="AK788" s="48"/>
      <c r="AL788" s="48"/>
      <c r="AM788" s="48"/>
      <c r="AN788" s="95"/>
      <c r="AP788" s="95"/>
      <c r="AW788" s="95"/>
    </row>
    <row r="789">
      <c r="A789" s="48"/>
      <c r="B789" s="48"/>
      <c r="C789" s="86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48"/>
      <c r="AI789" s="71"/>
      <c r="AJ789" s="48"/>
      <c r="AK789" s="48"/>
      <c r="AL789" s="48"/>
      <c r="AM789" s="48"/>
      <c r="AN789" s="95"/>
      <c r="AP789" s="95"/>
      <c r="AW789" s="95"/>
    </row>
    <row r="790">
      <c r="A790" s="48"/>
      <c r="B790" s="48"/>
      <c r="C790" s="86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48"/>
      <c r="AI790" s="71"/>
      <c r="AJ790" s="48"/>
      <c r="AK790" s="48"/>
      <c r="AL790" s="48"/>
      <c r="AM790" s="48"/>
      <c r="AN790" s="95"/>
      <c r="AP790" s="95"/>
      <c r="AW790" s="95"/>
    </row>
    <row r="791">
      <c r="A791" s="48"/>
      <c r="B791" s="48"/>
      <c r="C791" s="86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48"/>
      <c r="AI791" s="71"/>
      <c r="AJ791" s="48"/>
      <c r="AK791" s="48"/>
      <c r="AL791" s="48"/>
      <c r="AM791" s="48"/>
      <c r="AN791" s="95"/>
      <c r="AP791" s="95"/>
      <c r="AW791" s="95"/>
    </row>
    <row r="792">
      <c r="A792" s="48"/>
      <c r="B792" s="48"/>
      <c r="C792" s="86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48"/>
      <c r="AI792" s="71"/>
      <c r="AJ792" s="48"/>
      <c r="AK792" s="48"/>
      <c r="AL792" s="48"/>
      <c r="AM792" s="48"/>
      <c r="AN792" s="95"/>
      <c r="AP792" s="95"/>
      <c r="AW792" s="95"/>
    </row>
    <row r="793">
      <c r="A793" s="48"/>
      <c r="B793" s="48"/>
      <c r="C793" s="86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48"/>
      <c r="AI793" s="71"/>
      <c r="AJ793" s="48"/>
      <c r="AK793" s="48"/>
      <c r="AL793" s="48"/>
      <c r="AM793" s="48"/>
      <c r="AN793" s="95"/>
      <c r="AP793" s="95"/>
      <c r="AW793" s="95"/>
    </row>
    <row r="794">
      <c r="A794" s="48"/>
      <c r="B794" s="48"/>
      <c r="C794" s="86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48"/>
      <c r="AI794" s="71"/>
      <c r="AJ794" s="48"/>
      <c r="AK794" s="48"/>
      <c r="AL794" s="48"/>
      <c r="AM794" s="48"/>
      <c r="AN794" s="95"/>
      <c r="AP794" s="95"/>
      <c r="AW794" s="95"/>
    </row>
    <row r="795">
      <c r="A795" s="48"/>
      <c r="B795" s="48"/>
      <c r="C795" s="86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48"/>
      <c r="AI795" s="71"/>
      <c r="AJ795" s="48"/>
      <c r="AK795" s="48"/>
      <c r="AL795" s="48"/>
      <c r="AM795" s="48"/>
      <c r="AN795" s="95"/>
      <c r="AP795" s="95"/>
      <c r="AW795" s="95"/>
    </row>
    <row r="796">
      <c r="A796" s="48"/>
      <c r="B796" s="48"/>
      <c r="C796" s="86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48"/>
      <c r="AI796" s="71"/>
      <c r="AJ796" s="48"/>
      <c r="AK796" s="48"/>
      <c r="AL796" s="48"/>
      <c r="AM796" s="48"/>
      <c r="AN796" s="95"/>
      <c r="AP796" s="95"/>
      <c r="AW796" s="95"/>
    </row>
    <row r="797">
      <c r="A797" s="48"/>
      <c r="B797" s="48"/>
      <c r="C797" s="86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48"/>
      <c r="AI797" s="71"/>
      <c r="AJ797" s="48"/>
      <c r="AK797" s="48"/>
      <c r="AL797" s="48"/>
      <c r="AM797" s="48"/>
      <c r="AN797" s="95"/>
      <c r="AP797" s="95"/>
      <c r="AW797" s="95"/>
    </row>
    <row r="798">
      <c r="A798" s="48"/>
      <c r="B798" s="48"/>
      <c r="C798" s="86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48"/>
      <c r="AI798" s="71"/>
      <c r="AJ798" s="48"/>
      <c r="AK798" s="48"/>
      <c r="AL798" s="48"/>
      <c r="AM798" s="48"/>
      <c r="AN798" s="95"/>
      <c r="AP798" s="95"/>
      <c r="AW798" s="95"/>
    </row>
    <row r="799">
      <c r="A799" s="48"/>
      <c r="B799" s="48"/>
      <c r="C799" s="86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48"/>
      <c r="AI799" s="71"/>
      <c r="AJ799" s="48"/>
      <c r="AK799" s="48"/>
      <c r="AL799" s="48"/>
      <c r="AM799" s="48"/>
      <c r="AN799" s="95"/>
      <c r="AP799" s="95"/>
      <c r="AW799" s="95"/>
    </row>
    <row r="800">
      <c r="A800" s="48"/>
      <c r="B800" s="48"/>
      <c r="C800" s="86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48"/>
      <c r="AI800" s="71"/>
      <c r="AJ800" s="48"/>
      <c r="AK800" s="48"/>
      <c r="AL800" s="48"/>
      <c r="AM800" s="48"/>
      <c r="AN800" s="95"/>
      <c r="AP800" s="95"/>
      <c r="AW800" s="95"/>
    </row>
    <row r="801">
      <c r="A801" s="48"/>
      <c r="B801" s="48"/>
      <c r="C801" s="86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48"/>
      <c r="AI801" s="71"/>
      <c r="AJ801" s="48"/>
      <c r="AK801" s="48"/>
      <c r="AL801" s="48"/>
      <c r="AM801" s="48"/>
      <c r="AN801" s="95"/>
      <c r="AP801" s="95"/>
      <c r="AW801" s="95"/>
    </row>
    <row r="802">
      <c r="A802" s="48"/>
      <c r="B802" s="48"/>
      <c r="C802" s="86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48"/>
      <c r="AI802" s="71"/>
      <c r="AJ802" s="48"/>
      <c r="AK802" s="48"/>
      <c r="AL802" s="48"/>
      <c r="AM802" s="48"/>
      <c r="AN802" s="95"/>
      <c r="AP802" s="95"/>
      <c r="AW802" s="95"/>
    </row>
    <row r="803">
      <c r="A803" s="48"/>
      <c r="B803" s="48"/>
      <c r="C803" s="86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48"/>
      <c r="AI803" s="71"/>
      <c r="AJ803" s="48"/>
      <c r="AK803" s="48"/>
      <c r="AL803" s="48"/>
      <c r="AM803" s="48"/>
      <c r="AN803" s="95"/>
      <c r="AP803" s="95"/>
      <c r="AW803" s="95"/>
    </row>
    <row r="804">
      <c r="A804" s="48"/>
      <c r="B804" s="48"/>
      <c r="C804" s="86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48"/>
      <c r="AI804" s="71"/>
      <c r="AJ804" s="48"/>
      <c r="AK804" s="48"/>
      <c r="AL804" s="48"/>
      <c r="AM804" s="48"/>
      <c r="AN804" s="95"/>
      <c r="AP804" s="95"/>
      <c r="AW804" s="95"/>
    </row>
    <row r="805">
      <c r="A805" s="48"/>
      <c r="B805" s="48"/>
      <c r="C805" s="86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48"/>
      <c r="AI805" s="71"/>
      <c r="AJ805" s="48"/>
      <c r="AK805" s="48"/>
      <c r="AL805" s="48"/>
      <c r="AM805" s="48"/>
      <c r="AN805" s="95"/>
      <c r="AP805" s="95"/>
      <c r="AW805" s="95"/>
    </row>
    <row r="806">
      <c r="A806" s="48"/>
      <c r="B806" s="48"/>
      <c r="C806" s="86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48"/>
      <c r="AI806" s="71"/>
      <c r="AJ806" s="48"/>
      <c r="AK806" s="48"/>
      <c r="AL806" s="48"/>
      <c r="AM806" s="48"/>
      <c r="AN806" s="95"/>
      <c r="AP806" s="95"/>
      <c r="AW806" s="95"/>
    </row>
    <row r="807">
      <c r="A807" s="48"/>
      <c r="B807" s="48"/>
      <c r="C807" s="86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48"/>
      <c r="AI807" s="71"/>
      <c r="AJ807" s="48"/>
      <c r="AK807" s="48"/>
      <c r="AL807" s="48"/>
      <c r="AM807" s="48"/>
      <c r="AN807" s="95"/>
      <c r="AP807" s="95"/>
      <c r="AW807" s="95"/>
    </row>
    <row r="808">
      <c r="A808" s="48"/>
      <c r="B808" s="48"/>
      <c r="C808" s="86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48"/>
      <c r="AI808" s="71"/>
      <c r="AJ808" s="48"/>
      <c r="AK808" s="48"/>
      <c r="AL808" s="48"/>
      <c r="AM808" s="48"/>
      <c r="AN808" s="95"/>
      <c r="AP808" s="95"/>
      <c r="AW808" s="95"/>
    </row>
    <row r="809">
      <c r="A809" s="48"/>
      <c r="B809" s="48"/>
      <c r="C809" s="86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48"/>
      <c r="AI809" s="71"/>
      <c r="AJ809" s="48"/>
      <c r="AK809" s="48"/>
      <c r="AL809" s="48"/>
      <c r="AM809" s="48"/>
      <c r="AN809" s="95"/>
      <c r="AP809" s="95"/>
      <c r="AW809" s="95"/>
    </row>
    <row r="810">
      <c r="A810" s="48"/>
      <c r="B810" s="48"/>
      <c r="C810" s="86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48"/>
      <c r="AI810" s="71"/>
      <c r="AJ810" s="48"/>
      <c r="AK810" s="48"/>
      <c r="AL810" s="48"/>
      <c r="AM810" s="48"/>
      <c r="AN810" s="95"/>
      <c r="AP810" s="95"/>
      <c r="AW810" s="95"/>
    </row>
    <row r="811">
      <c r="A811" s="48"/>
      <c r="B811" s="48"/>
      <c r="C811" s="86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48"/>
      <c r="AI811" s="71"/>
      <c r="AJ811" s="48"/>
      <c r="AK811" s="48"/>
      <c r="AL811" s="48"/>
      <c r="AM811" s="48"/>
      <c r="AN811" s="95"/>
      <c r="AP811" s="95"/>
      <c r="AW811" s="95"/>
    </row>
    <row r="812">
      <c r="A812" s="48"/>
      <c r="B812" s="48"/>
      <c r="C812" s="86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48"/>
      <c r="AI812" s="71"/>
      <c r="AJ812" s="48"/>
      <c r="AK812" s="48"/>
      <c r="AL812" s="48"/>
      <c r="AM812" s="48"/>
      <c r="AN812" s="95"/>
      <c r="AP812" s="95"/>
      <c r="AW812" s="95"/>
    </row>
    <row r="813">
      <c r="A813" s="48"/>
      <c r="B813" s="48"/>
      <c r="C813" s="86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48"/>
      <c r="AI813" s="71"/>
      <c r="AJ813" s="48"/>
      <c r="AK813" s="48"/>
      <c r="AL813" s="48"/>
      <c r="AM813" s="48"/>
      <c r="AN813" s="95"/>
      <c r="AP813" s="95"/>
      <c r="AW813" s="95"/>
    </row>
    <row r="814">
      <c r="A814" s="48"/>
      <c r="B814" s="48"/>
      <c r="C814" s="86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48"/>
      <c r="AI814" s="71"/>
      <c r="AJ814" s="48"/>
      <c r="AK814" s="48"/>
      <c r="AL814" s="48"/>
      <c r="AM814" s="48"/>
      <c r="AN814" s="95"/>
      <c r="AP814" s="95"/>
      <c r="AW814" s="95"/>
    </row>
    <row r="815">
      <c r="A815" s="48"/>
      <c r="B815" s="48"/>
      <c r="C815" s="86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48"/>
      <c r="AI815" s="71"/>
      <c r="AJ815" s="48"/>
      <c r="AK815" s="48"/>
      <c r="AL815" s="48"/>
      <c r="AM815" s="48"/>
      <c r="AN815" s="95"/>
      <c r="AP815" s="95"/>
      <c r="AW815" s="95"/>
    </row>
    <row r="816">
      <c r="A816" s="48"/>
      <c r="B816" s="48"/>
      <c r="C816" s="86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48"/>
      <c r="AI816" s="71"/>
      <c r="AJ816" s="48"/>
      <c r="AK816" s="48"/>
      <c r="AL816" s="48"/>
      <c r="AM816" s="48"/>
      <c r="AN816" s="95"/>
      <c r="AP816" s="95"/>
      <c r="AW816" s="95"/>
    </row>
    <row r="817">
      <c r="A817" s="48"/>
      <c r="B817" s="48"/>
      <c r="C817" s="86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48"/>
      <c r="AI817" s="71"/>
      <c r="AJ817" s="48"/>
      <c r="AK817" s="48"/>
      <c r="AL817" s="48"/>
      <c r="AM817" s="48"/>
      <c r="AN817" s="95"/>
      <c r="AP817" s="95"/>
      <c r="AW817" s="95"/>
    </row>
    <row r="818">
      <c r="A818" s="48"/>
      <c r="B818" s="48"/>
      <c r="C818" s="86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48"/>
      <c r="AI818" s="71"/>
      <c r="AJ818" s="48"/>
      <c r="AK818" s="48"/>
      <c r="AL818" s="48"/>
      <c r="AM818" s="48"/>
      <c r="AN818" s="95"/>
      <c r="AP818" s="95"/>
      <c r="AW818" s="95"/>
    </row>
    <row r="819">
      <c r="A819" s="48"/>
      <c r="B819" s="48"/>
      <c r="C819" s="86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48"/>
      <c r="AI819" s="71"/>
      <c r="AJ819" s="48"/>
      <c r="AK819" s="48"/>
      <c r="AL819" s="48"/>
      <c r="AM819" s="48"/>
      <c r="AN819" s="95"/>
      <c r="AP819" s="95"/>
      <c r="AW819" s="95"/>
    </row>
    <row r="820">
      <c r="A820" s="48"/>
      <c r="B820" s="48"/>
      <c r="C820" s="86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48"/>
      <c r="AI820" s="71"/>
      <c r="AJ820" s="48"/>
      <c r="AK820" s="48"/>
      <c r="AL820" s="48"/>
      <c r="AM820" s="48"/>
      <c r="AN820" s="95"/>
      <c r="AP820" s="95"/>
      <c r="AW820" s="95"/>
    </row>
    <row r="821">
      <c r="A821" s="48"/>
      <c r="B821" s="48"/>
      <c r="C821" s="86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48"/>
      <c r="AI821" s="71"/>
      <c r="AJ821" s="48"/>
      <c r="AK821" s="48"/>
      <c r="AL821" s="48"/>
      <c r="AM821" s="48"/>
      <c r="AN821" s="95"/>
      <c r="AP821" s="95"/>
      <c r="AW821" s="95"/>
    </row>
    <row r="822">
      <c r="A822" s="48"/>
      <c r="B822" s="48"/>
      <c r="C822" s="86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48"/>
      <c r="AI822" s="71"/>
      <c r="AJ822" s="48"/>
      <c r="AK822" s="48"/>
      <c r="AL822" s="48"/>
      <c r="AM822" s="48"/>
      <c r="AN822" s="95"/>
      <c r="AP822" s="95"/>
      <c r="AW822" s="95"/>
    </row>
    <row r="823">
      <c r="A823" s="48"/>
      <c r="B823" s="48"/>
      <c r="C823" s="86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48"/>
      <c r="AI823" s="71"/>
      <c r="AJ823" s="48"/>
      <c r="AK823" s="48"/>
      <c r="AL823" s="48"/>
      <c r="AM823" s="48"/>
      <c r="AN823" s="95"/>
      <c r="AP823" s="95"/>
      <c r="AW823" s="95"/>
    </row>
    <row r="824">
      <c r="A824" s="48"/>
      <c r="B824" s="48"/>
      <c r="C824" s="86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48"/>
      <c r="AI824" s="71"/>
      <c r="AJ824" s="48"/>
      <c r="AK824" s="48"/>
      <c r="AL824" s="48"/>
      <c r="AM824" s="48"/>
      <c r="AN824" s="95"/>
      <c r="AP824" s="95"/>
      <c r="AW824" s="95"/>
    </row>
    <row r="825">
      <c r="A825" s="48"/>
      <c r="B825" s="48"/>
      <c r="C825" s="86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48"/>
      <c r="AI825" s="71"/>
      <c r="AJ825" s="48"/>
      <c r="AK825" s="48"/>
      <c r="AL825" s="48"/>
      <c r="AM825" s="48"/>
      <c r="AN825" s="95"/>
      <c r="AP825" s="95"/>
      <c r="AW825" s="95"/>
    </row>
    <row r="826">
      <c r="A826" s="48"/>
      <c r="B826" s="48"/>
      <c r="C826" s="86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48"/>
      <c r="AI826" s="71"/>
      <c r="AJ826" s="48"/>
      <c r="AK826" s="48"/>
      <c r="AL826" s="48"/>
      <c r="AM826" s="48"/>
      <c r="AN826" s="95"/>
      <c r="AP826" s="95"/>
      <c r="AW826" s="95"/>
    </row>
    <row r="827">
      <c r="A827" s="48"/>
      <c r="B827" s="48"/>
      <c r="C827" s="86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48"/>
      <c r="AI827" s="71"/>
      <c r="AJ827" s="48"/>
      <c r="AK827" s="48"/>
      <c r="AL827" s="48"/>
      <c r="AM827" s="48"/>
      <c r="AN827" s="95"/>
      <c r="AP827" s="95"/>
      <c r="AW827" s="95"/>
    </row>
    <row r="828">
      <c r="A828" s="48"/>
      <c r="B828" s="48"/>
      <c r="C828" s="86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48"/>
      <c r="AI828" s="71"/>
      <c r="AJ828" s="48"/>
      <c r="AK828" s="48"/>
      <c r="AL828" s="48"/>
      <c r="AM828" s="48"/>
      <c r="AN828" s="95"/>
      <c r="AP828" s="95"/>
      <c r="AW828" s="95"/>
    </row>
    <row r="829">
      <c r="A829" s="48"/>
      <c r="B829" s="48"/>
      <c r="C829" s="86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48"/>
      <c r="AI829" s="71"/>
      <c r="AJ829" s="48"/>
      <c r="AK829" s="48"/>
      <c r="AL829" s="48"/>
      <c r="AM829" s="48"/>
      <c r="AN829" s="95"/>
      <c r="AP829" s="95"/>
      <c r="AW829" s="95"/>
    </row>
    <row r="830">
      <c r="A830" s="48"/>
      <c r="B830" s="48"/>
      <c r="C830" s="86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48"/>
      <c r="AI830" s="71"/>
      <c r="AJ830" s="48"/>
      <c r="AK830" s="48"/>
      <c r="AL830" s="48"/>
      <c r="AM830" s="48"/>
      <c r="AN830" s="95"/>
      <c r="AP830" s="95"/>
      <c r="AW830" s="95"/>
    </row>
    <row r="831">
      <c r="A831" s="48"/>
      <c r="B831" s="48"/>
      <c r="C831" s="86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48"/>
      <c r="AI831" s="71"/>
      <c r="AJ831" s="48"/>
      <c r="AK831" s="48"/>
      <c r="AL831" s="48"/>
      <c r="AM831" s="48"/>
      <c r="AN831" s="95"/>
      <c r="AP831" s="95"/>
      <c r="AW831" s="95"/>
    </row>
    <row r="832">
      <c r="A832" s="48"/>
      <c r="B832" s="48"/>
      <c r="C832" s="86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48"/>
      <c r="AI832" s="71"/>
      <c r="AJ832" s="48"/>
      <c r="AK832" s="48"/>
      <c r="AL832" s="48"/>
      <c r="AM832" s="48"/>
      <c r="AN832" s="95"/>
      <c r="AP832" s="95"/>
      <c r="AW832" s="95"/>
    </row>
    <row r="833">
      <c r="A833" s="48"/>
      <c r="B833" s="48"/>
      <c r="C833" s="86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48"/>
      <c r="AI833" s="71"/>
      <c r="AJ833" s="48"/>
      <c r="AK833" s="48"/>
      <c r="AL833" s="48"/>
      <c r="AM833" s="48"/>
      <c r="AN833" s="95"/>
      <c r="AP833" s="95"/>
      <c r="AW833" s="95"/>
    </row>
    <row r="834">
      <c r="A834" s="48"/>
      <c r="B834" s="48"/>
      <c r="C834" s="86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48"/>
      <c r="AI834" s="71"/>
      <c r="AJ834" s="48"/>
      <c r="AK834" s="48"/>
      <c r="AL834" s="48"/>
      <c r="AM834" s="48"/>
      <c r="AN834" s="95"/>
      <c r="AP834" s="95"/>
      <c r="AW834" s="95"/>
    </row>
    <row r="835">
      <c r="A835" s="48"/>
      <c r="B835" s="48"/>
      <c r="C835" s="86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48"/>
      <c r="AI835" s="71"/>
      <c r="AJ835" s="48"/>
      <c r="AK835" s="48"/>
      <c r="AL835" s="48"/>
      <c r="AM835" s="48"/>
      <c r="AN835" s="95"/>
      <c r="AP835" s="95"/>
      <c r="AW835" s="95"/>
    </row>
    <row r="836">
      <c r="A836" s="48"/>
      <c r="B836" s="48"/>
      <c r="C836" s="86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48"/>
      <c r="AI836" s="71"/>
      <c r="AJ836" s="48"/>
      <c r="AK836" s="48"/>
      <c r="AL836" s="48"/>
      <c r="AM836" s="48"/>
      <c r="AN836" s="95"/>
      <c r="AP836" s="95"/>
      <c r="AW836" s="95"/>
    </row>
    <row r="837">
      <c r="A837" s="48"/>
      <c r="B837" s="48"/>
      <c r="C837" s="86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48"/>
      <c r="AI837" s="71"/>
      <c r="AJ837" s="48"/>
      <c r="AK837" s="48"/>
      <c r="AL837" s="48"/>
      <c r="AM837" s="48"/>
      <c r="AN837" s="95"/>
      <c r="AP837" s="95"/>
      <c r="AW837" s="95"/>
    </row>
    <row r="838">
      <c r="A838" s="48"/>
      <c r="B838" s="48"/>
      <c r="C838" s="86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48"/>
      <c r="AI838" s="71"/>
      <c r="AJ838" s="48"/>
      <c r="AK838" s="48"/>
      <c r="AL838" s="48"/>
      <c r="AM838" s="48"/>
      <c r="AN838" s="95"/>
      <c r="AP838" s="95"/>
      <c r="AW838" s="95"/>
    </row>
    <row r="839">
      <c r="A839" s="48"/>
      <c r="B839" s="48"/>
      <c r="C839" s="86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48"/>
      <c r="AI839" s="71"/>
      <c r="AJ839" s="48"/>
      <c r="AK839" s="48"/>
      <c r="AL839" s="48"/>
      <c r="AM839" s="48"/>
      <c r="AN839" s="95"/>
      <c r="AP839" s="95"/>
      <c r="AW839" s="95"/>
    </row>
    <row r="840">
      <c r="A840" s="48"/>
      <c r="B840" s="48"/>
      <c r="C840" s="86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48"/>
      <c r="AI840" s="71"/>
      <c r="AJ840" s="48"/>
      <c r="AK840" s="48"/>
      <c r="AL840" s="48"/>
      <c r="AM840" s="48"/>
      <c r="AN840" s="95"/>
      <c r="AP840" s="95"/>
      <c r="AW840" s="95"/>
    </row>
    <row r="841">
      <c r="A841" s="48"/>
      <c r="B841" s="48"/>
      <c r="C841" s="86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48"/>
      <c r="AI841" s="71"/>
      <c r="AJ841" s="48"/>
      <c r="AK841" s="48"/>
      <c r="AL841" s="48"/>
      <c r="AM841" s="48"/>
      <c r="AN841" s="95"/>
      <c r="AP841" s="95"/>
      <c r="AW841" s="95"/>
    </row>
    <row r="842">
      <c r="A842" s="48"/>
      <c r="B842" s="48"/>
      <c r="C842" s="86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48"/>
      <c r="AI842" s="71"/>
      <c r="AJ842" s="48"/>
      <c r="AK842" s="48"/>
      <c r="AL842" s="48"/>
      <c r="AM842" s="48"/>
      <c r="AN842" s="95"/>
      <c r="AP842" s="95"/>
      <c r="AW842" s="95"/>
    </row>
    <row r="843">
      <c r="A843" s="48"/>
      <c r="B843" s="48"/>
      <c r="C843" s="86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48"/>
      <c r="AI843" s="71"/>
      <c r="AJ843" s="48"/>
      <c r="AK843" s="48"/>
      <c r="AL843" s="48"/>
      <c r="AM843" s="48"/>
      <c r="AN843" s="95"/>
      <c r="AP843" s="95"/>
      <c r="AW843" s="95"/>
    </row>
    <row r="844">
      <c r="A844" s="48"/>
      <c r="B844" s="48"/>
      <c r="C844" s="86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48"/>
      <c r="AI844" s="71"/>
      <c r="AJ844" s="48"/>
      <c r="AK844" s="48"/>
      <c r="AL844" s="48"/>
      <c r="AM844" s="48"/>
      <c r="AN844" s="95"/>
      <c r="AP844" s="95"/>
      <c r="AW844" s="95"/>
    </row>
    <row r="845">
      <c r="A845" s="48"/>
      <c r="B845" s="48"/>
      <c r="C845" s="86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48"/>
      <c r="AI845" s="71"/>
      <c r="AJ845" s="48"/>
      <c r="AK845" s="48"/>
      <c r="AL845" s="48"/>
      <c r="AM845" s="48"/>
      <c r="AN845" s="95"/>
      <c r="AP845" s="95"/>
      <c r="AW845" s="95"/>
    </row>
    <row r="846">
      <c r="A846" s="48"/>
      <c r="B846" s="48"/>
      <c r="C846" s="86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48"/>
      <c r="AI846" s="71"/>
      <c r="AJ846" s="48"/>
      <c r="AK846" s="48"/>
      <c r="AL846" s="48"/>
      <c r="AM846" s="48"/>
      <c r="AN846" s="95"/>
      <c r="AP846" s="95"/>
      <c r="AW846" s="95"/>
    </row>
    <row r="847">
      <c r="A847" s="48"/>
      <c r="B847" s="48"/>
      <c r="C847" s="86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48"/>
      <c r="AI847" s="71"/>
      <c r="AJ847" s="48"/>
      <c r="AK847" s="48"/>
      <c r="AL847" s="48"/>
      <c r="AM847" s="48"/>
      <c r="AN847" s="95"/>
      <c r="AP847" s="95"/>
      <c r="AW847" s="95"/>
    </row>
    <row r="848">
      <c r="A848" s="48"/>
      <c r="B848" s="48"/>
      <c r="C848" s="86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48"/>
      <c r="AI848" s="71"/>
      <c r="AJ848" s="48"/>
      <c r="AK848" s="48"/>
      <c r="AL848" s="48"/>
      <c r="AM848" s="48"/>
      <c r="AN848" s="95"/>
      <c r="AP848" s="95"/>
      <c r="AW848" s="95"/>
    </row>
    <row r="849">
      <c r="A849" s="48"/>
      <c r="B849" s="48"/>
      <c r="C849" s="86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48"/>
      <c r="AI849" s="71"/>
      <c r="AJ849" s="48"/>
      <c r="AK849" s="48"/>
      <c r="AL849" s="48"/>
      <c r="AM849" s="48"/>
      <c r="AN849" s="95"/>
      <c r="AP849" s="95"/>
      <c r="AW849" s="95"/>
    </row>
    <row r="850">
      <c r="A850" s="48"/>
      <c r="B850" s="48"/>
      <c r="C850" s="86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48"/>
      <c r="AI850" s="71"/>
      <c r="AJ850" s="48"/>
      <c r="AK850" s="48"/>
      <c r="AL850" s="48"/>
      <c r="AM850" s="48"/>
      <c r="AN850" s="95"/>
      <c r="AP850" s="95"/>
      <c r="AW850" s="95"/>
    </row>
    <row r="851">
      <c r="A851" s="48"/>
      <c r="B851" s="48"/>
      <c r="C851" s="86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48"/>
      <c r="AI851" s="71"/>
      <c r="AJ851" s="48"/>
      <c r="AK851" s="48"/>
      <c r="AL851" s="48"/>
      <c r="AM851" s="48"/>
      <c r="AN851" s="95"/>
      <c r="AP851" s="95"/>
      <c r="AW851" s="95"/>
    </row>
    <row r="852">
      <c r="A852" s="48"/>
      <c r="B852" s="48"/>
      <c r="C852" s="86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48"/>
      <c r="AI852" s="71"/>
      <c r="AJ852" s="48"/>
      <c r="AK852" s="48"/>
      <c r="AL852" s="48"/>
      <c r="AM852" s="48"/>
      <c r="AN852" s="95"/>
      <c r="AP852" s="95"/>
      <c r="AW852" s="95"/>
    </row>
    <row r="853">
      <c r="A853" s="48"/>
      <c r="B853" s="48"/>
      <c r="C853" s="86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48"/>
      <c r="AI853" s="71"/>
      <c r="AJ853" s="48"/>
      <c r="AK853" s="48"/>
      <c r="AL853" s="48"/>
      <c r="AM853" s="48"/>
      <c r="AN853" s="95"/>
      <c r="AP853" s="95"/>
      <c r="AW853" s="95"/>
    </row>
    <row r="854">
      <c r="A854" s="48"/>
      <c r="B854" s="48"/>
      <c r="C854" s="86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48"/>
      <c r="AI854" s="71"/>
      <c r="AJ854" s="48"/>
      <c r="AK854" s="48"/>
      <c r="AL854" s="48"/>
      <c r="AM854" s="48"/>
      <c r="AN854" s="95"/>
      <c r="AP854" s="95"/>
      <c r="AW854" s="95"/>
    </row>
    <row r="855">
      <c r="A855" s="48"/>
      <c r="B855" s="48"/>
      <c r="C855" s="86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48"/>
      <c r="AI855" s="71"/>
      <c r="AJ855" s="48"/>
      <c r="AK855" s="48"/>
      <c r="AL855" s="48"/>
      <c r="AM855" s="48"/>
      <c r="AN855" s="95"/>
      <c r="AP855" s="95"/>
      <c r="AW855" s="95"/>
    </row>
    <row r="856">
      <c r="A856" s="48"/>
      <c r="B856" s="48"/>
      <c r="C856" s="86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48"/>
      <c r="AI856" s="71"/>
      <c r="AJ856" s="48"/>
      <c r="AK856" s="48"/>
      <c r="AL856" s="48"/>
      <c r="AM856" s="48"/>
      <c r="AN856" s="95"/>
      <c r="AP856" s="95"/>
      <c r="AW856" s="95"/>
    </row>
    <row r="857">
      <c r="A857" s="48"/>
      <c r="B857" s="48"/>
      <c r="C857" s="86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48"/>
      <c r="AI857" s="71"/>
      <c r="AJ857" s="48"/>
      <c r="AK857" s="48"/>
      <c r="AL857" s="48"/>
      <c r="AM857" s="48"/>
      <c r="AN857" s="95"/>
      <c r="AP857" s="95"/>
      <c r="AW857" s="95"/>
    </row>
    <row r="858">
      <c r="A858" s="48"/>
      <c r="B858" s="48"/>
      <c r="C858" s="86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48"/>
      <c r="AI858" s="71"/>
      <c r="AJ858" s="48"/>
      <c r="AK858" s="48"/>
      <c r="AL858" s="48"/>
      <c r="AM858" s="48"/>
      <c r="AN858" s="95"/>
      <c r="AP858" s="95"/>
      <c r="AW858" s="95"/>
    </row>
    <row r="859">
      <c r="A859" s="48"/>
      <c r="B859" s="48"/>
      <c r="C859" s="86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48"/>
      <c r="AI859" s="71"/>
      <c r="AJ859" s="48"/>
      <c r="AK859" s="48"/>
      <c r="AL859" s="48"/>
      <c r="AM859" s="48"/>
      <c r="AN859" s="95"/>
      <c r="AP859" s="95"/>
      <c r="AW859" s="95"/>
    </row>
    <row r="860">
      <c r="A860" s="48"/>
      <c r="B860" s="48"/>
      <c r="C860" s="86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48"/>
      <c r="AI860" s="71"/>
      <c r="AJ860" s="48"/>
      <c r="AK860" s="48"/>
      <c r="AL860" s="48"/>
      <c r="AM860" s="48"/>
      <c r="AN860" s="95"/>
      <c r="AP860" s="95"/>
      <c r="AW860" s="95"/>
    </row>
    <row r="861">
      <c r="A861" s="48"/>
      <c r="B861" s="48"/>
      <c r="C861" s="86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48"/>
      <c r="AI861" s="71"/>
      <c r="AJ861" s="48"/>
      <c r="AK861" s="48"/>
      <c r="AL861" s="48"/>
      <c r="AM861" s="48"/>
      <c r="AN861" s="95"/>
      <c r="AP861" s="95"/>
      <c r="AW861" s="95"/>
    </row>
    <row r="862">
      <c r="A862" s="48"/>
      <c r="B862" s="48"/>
      <c r="C862" s="86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48"/>
      <c r="AI862" s="71"/>
      <c r="AJ862" s="48"/>
      <c r="AK862" s="48"/>
      <c r="AL862" s="48"/>
      <c r="AM862" s="48"/>
      <c r="AN862" s="95"/>
      <c r="AP862" s="95"/>
      <c r="AW862" s="95"/>
    </row>
    <row r="863">
      <c r="A863" s="48"/>
      <c r="B863" s="48"/>
      <c r="C863" s="86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48"/>
      <c r="AI863" s="71"/>
      <c r="AJ863" s="48"/>
      <c r="AK863" s="48"/>
      <c r="AL863" s="48"/>
      <c r="AM863" s="48"/>
      <c r="AN863" s="95"/>
      <c r="AP863" s="95"/>
      <c r="AW863" s="95"/>
    </row>
    <row r="864">
      <c r="A864" s="48"/>
      <c r="B864" s="48"/>
      <c r="C864" s="86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48"/>
      <c r="AI864" s="71"/>
      <c r="AJ864" s="48"/>
      <c r="AK864" s="48"/>
      <c r="AL864" s="48"/>
      <c r="AM864" s="48"/>
      <c r="AN864" s="95"/>
      <c r="AP864" s="95"/>
      <c r="AW864" s="95"/>
    </row>
    <row r="865">
      <c r="A865" s="48"/>
      <c r="B865" s="48"/>
      <c r="C865" s="86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48"/>
      <c r="AI865" s="71"/>
      <c r="AJ865" s="48"/>
      <c r="AK865" s="48"/>
      <c r="AL865" s="48"/>
      <c r="AM865" s="48"/>
      <c r="AN865" s="95"/>
      <c r="AP865" s="95"/>
      <c r="AW865" s="95"/>
    </row>
    <row r="866">
      <c r="A866" s="48"/>
      <c r="B866" s="48"/>
      <c r="C866" s="86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48"/>
      <c r="AI866" s="71"/>
      <c r="AJ866" s="48"/>
      <c r="AK866" s="48"/>
      <c r="AL866" s="48"/>
      <c r="AM866" s="48"/>
      <c r="AN866" s="95"/>
      <c r="AP866" s="95"/>
      <c r="AW866" s="95"/>
    </row>
    <row r="867">
      <c r="A867" s="48"/>
      <c r="B867" s="48"/>
      <c r="C867" s="86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48"/>
      <c r="AI867" s="71"/>
      <c r="AJ867" s="48"/>
      <c r="AK867" s="48"/>
      <c r="AL867" s="48"/>
      <c r="AM867" s="48"/>
      <c r="AN867" s="95"/>
      <c r="AP867" s="95"/>
      <c r="AW867" s="95"/>
    </row>
    <row r="868">
      <c r="A868" s="48"/>
      <c r="B868" s="48"/>
      <c r="C868" s="86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48"/>
      <c r="AI868" s="71"/>
      <c r="AJ868" s="48"/>
      <c r="AK868" s="48"/>
      <c r="AL868" s="48"/>
      <c r="AM868" s="48"/>
      <c r="AN868" s="95"/>
      <c r="AP868" s="95"/>
      <c r="AW868" s="95"/>
    </row>
    <row r="869">
      <c r="A869" s="48"/>
      <c r="B869" s="48"/>
      <c r="C869" s="86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48"/>
      <c r="AI869" s="71"/>
      <c r="AJ869" s="48"/>
      <c r="AK869" s="48"/>
      <c r="AL869" s="48"/>
      <c r="AM869" s="48"/>
      <c r="AN869" s="95"/>
      <c r="AP869" s="95"/>
      <c r="AW869" s="95"/>
    </row>
    <row r="870">
      <c r="A870" s="48"/>
      <c r="B870" s="48"/>
      <c r="C870" s="86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48"/>
      <c r="AI870" s="71"/>
      <c r="AJ870" s="48"/>
      <c r="AK870" s="48"/>
      <c r="AL870" s="48"/>
      <c r="AM870" s="48"/>
      <c r="AN870" s="95"/>
      <c r="AP870" s="95"/>
      <c r="AW870" s="95"/>
    </row>
    <row r="871">
      <c r="A871" s="48"/>
      <c r="B871" s="48"/>
      <c r="C871" s="86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48"/>
      <c r="AI871" s="71"/>
      <c r="AJ871" s="48"/>
      <c r="AK871" s="48"/>
      <c r="AL871" s="48"/>
      <c r="AM871" s="48"/>
      <c r="AN871" s="95"/>
      <c r="AP871" s="95"/>
      <c r="AW871" s="95"/>
    </row>
    <row r="872">
      <c r="A872" s="48"/>
      <c r="B872" s="48"/>
      <c r="C872" s="86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48"/>
      <c r="AI872" s="71"/>
      <c r="AJ872" s="48"/>
      <c r="AK872" s="48"/>
      <c r="AL872" s="48"/>
      <c r="AM872" s="48"/>
      <c r="AN872" s="95"/>
      <c r="AP872" s="95"/>
      <c r="AW872" s="95"/>
    </row>
    <row r="873">
      <c r="A873" s="48"/>
      <c r="B873" s="48"/>
      <c r="C873" s="86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48"/>
      <c r="AI873" s="71"/>
      <c r="AJ873" s="48"/>
      <c r="AK873" s="48"/>
      <c r="AL873" s="48"/>
      <c r="AM873" s="48"/>
      <c r="AN873" s="95"/>
      <c r="AP873" s="95"/>
      <c r="AW873" s="95"/>
    </row>
    <row r="874">
      <c r="A874" s="48"/>
      <c r="B874" s="48"/>
      <c r="C874" s="86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48"/>
      <c r="AI874" s="71"/>
      <c r="AJ874" s="48"/>
      <c r="AK874" s="48"/>
      <c r="AL874" s="48"/>
      <c r="AM874" s="48"/>
      <c r="AN874" s="95"/>
      <c r="AP874" s="95"/>
      <c r="AW874" s="95"/>
    </row>
    <row r="875">
      <c r="A875" s="48"/>
      <c r="B875" s="48"/>
      <c r="C875" s="86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48"/>
      <c r="AI875" s="71"/>
      <c r="AJ875" s="48"/>
      <c r="AK875" s="48"/>
      <c r="AL875" s="48"/>
      <c r="AM875" s="48"/>
      <c r="AN875" s="95"/>
      <c r="AP875" s="95"/>
      <c r="AW875" s="95"/>
    </row>
    <row r="876">
      <c r="A876" s="48"/>
      <c r="B876" s="48"/>
      <c r="C876" s="86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48"/>
      <c r="AI876" s="71"/>
      <c r="AJ876" s="48"/>
      <c r="AK876" s="48"/>
      <c r="AL876" s="48"/>
      <c r="AM876" s="48"/>
      <c r="AN876" s="95"/>
      <c r="AP876" s="95"/>
      <c r="AW876" s="95"/>
    </row>
    <row r="877">
      <c r="A877" s="48"/>
      <c r="B877" s="48"/>
      <c r="C877" s="86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48"/>
      <c r="AI877" s="71"/>
      <c r="AJ877" s="48"/>
      <c r="AK877" s="48"/>
      <c r="AL877" s="48"/>
      <c r="AM877" s="48"/>
      <c r="AN877" s="95"/>
      <c r="AP877" s="95"/>
      <c r="AW877" s="95"/>
    </row>
    <row r="878">
      <c r="A878" s="48"/>
      <c r="B878" s="48"/>
      <c r="C878" s="86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48"/>
      <c r="AI878" s="71"/>
      <c r="AJ878" s="48"/>
      <c r="AK878" s="48"/>
      <c r="AL878" s="48"/>
      <c r="AM878" s="48"/>
      <c r="AN878" s="95"/>
      <c r="AP878" s="95"/>
      <c r="AW878" s="95"/>
    </row>
    <row r="879">
      <c r="A879" s="48"/>
      <c r="B879" s="48"/>
      <c r="C879" s="86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48"/>
      <c r="AI879" s="71"/>
      <c r="AJ879" s="48"/>
      <c r="AK879" s="48"/>
      <c r="AL879" s="48"/>
      <c r="AM879" s="48"/>
      <c r="AN879" s="95"/>
      <c r="AP879" s="95"/>
      <c r="AW879" s="95"/>
    </row>
    <row r="880">
      <c r="A880" s="48"/>
      <c r="B880" s="48"/>
      <c r="C880" s="86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48"/>
      <c r="AI880" s="71"/>
      <c r="AJ880" s="48"/>
      <c r="AK880" s="48"/>
      <c r="AL880" s="48"/>
      <c r="AM880" s="48"/>
      <c r="AN880" s="95"/>
      <c r="AP880" s="95"/>
      <c r="AW880" s="95"/>
    </row>
    <row r="881">
      <c r="A881" s="48"/>
      <c r="B881" s="48"/>
      <c r="C881" s="86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48"/>
      <c r="AI881" s="71"/>
      <c r="AJ881" s="48"/>
      <c r="AK881" s="48"/>
      <c r="AL881" s="48"/>
      <c r="AM881" s="48"/>
      <c r="AN881" s="95"/>
      <c r="AP881" s="95"/>
      <c r="AW881" s="95"/>
    </row>
    <row r="882">
      <c r="A882" s="48"/>
      <c r="B882" s="48"/>
      <c r="C882" s="86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48"/>
      <c r="AI882" s="71"/>
      <c r="AJ882" s="48"/>
      <c r="AK882" s="48"/>
      <c r="AL882" s="48"/>
      <c r="AM882" s="48"/>
      <c r="AN882" s="95"/>
      <c r="AP882" s="95"/>
      <c r="AW882" s="95"/>
    </row>
    <row r="883">
      <c r="A883" s="48"/>
      <c r="B883" s="48"/>
      <c r="C883" s="86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48"/>
      <c r="AI883" s="71"/>
      <c r="AJ883" s="48"/>
      <c r="AK883" s="48"/>
      <c r="AL883" s="48"/>
      <c r="AM883" s="48"/>
      <c r="AN883" s="95"/>
      <c r="AP883" s="95"/>
      <c r="AW883" s="95"/>
    </row>
    <row r="884">
      <c r="A884" s="48"/>
      <c r="B884" s="48"/>
      <c r="C884" s="86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48"/>
      <c r="AI884" s="71"/>
      <c r="AJ884" s="48"/>
      <c r="AK884" s="48"/>
      <c r="AL884" s="48"/>
      <c r="AM884" s="48"/>
      <c r="AN884" s="95"/>
      <c r="AP884" s="95"/>
      <c r="AW884" s="95"/>
    </row>
    <row r="885">
      <c r="A885" s="48"/>
      <c r="B885" s="48"/>
      <c r="C885" s="86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48"/>
      <c r="AI885" s="71"/>
      <c r="AJ885" s="48"/>
      <c r="AK885" s="48"/>
      <c r="AL885" s="48"/>
      <c r="AM885" s="48"/>
      <c r="AN885" s="95"/>
      <c r="AP885" s="95"/>
      <c r="AW885" s="95"/>
    </row>
    <row r="886">
      <c r="A886" s="48"/>
      <c r="B886" s="48"/>
      <c r="C886" s="86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48"/>
      <c r="AI886" s="71"/>
      <c r="AJ886" s="48"/>
      <c r="AK886" s="48"/>
      <c r="AL886" s="48"/>
      <c r="AM886" s="48"/>
      <c r="AN886" s="95"/>
      <c r="AP886" s="95"/>
      <c r="AW886" s="95"/>
    </row>
    <row r="887">
      <c r="A887" s="48"/>
      <c r="B887" s="48"/>
      <c r="C887" s="86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48"/>
      <c r="AI887" s="71"/>
      <c r="AJ887" s="48"/>
      <c r="AK887" s="48"/>
      <c r="AL887" s="48"/>
      <c r="AM887" s="48"/>
      <c r="AN887" s="95"/>
      <c r="AP887" s="95"/>
      <c r="AW887" s="95"/>
    </row>
    <row r="888">
      <c r="A888" s="48"/>
      <c r="B888" s="48"/>
      <c r="C888" s="86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48"/>
      <c r="AI888" s="71"/>
      <c r="AJ888" s="48"/>
      <c r="AK888" s="48"/>
      <c r="AL888" s="48"/>
      <c r="AM888" s="48"/>
      <c r="AN888" s="95"/>
      <c r="AP888" s="95"/>
      <c r="AW888" s="95"/>
    </row>
    <row r="889">
      <c r="A889" s="48"/>
      <c r="B889" s="48"/>
      <c r="C889" s="86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48"/>
      <c r="AI889" s="71"/>
      <c r="AJ889" s="48"/>
      <c r="AK889" s="48"/>
      <c r="AL889" s="48"/>
      <c r="AM889" s="48"/>
      <c r="AN889" s="95"/>
      <c r="AP889" s="95"/>
      <c r="AW889" s="95"/>
    </row>
    <row r="890">
      <c r="A890" s="48"/>
      <c r="B890" s="48"/>
      <c r="C890" s="86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48"/>
      <c r="AI890" s="71"/>
      <c r="AJ890" s="48"/>
      <c r="AK890" s="48"/>
      <c r="AL890" s="48"/>
      <c r="AM890" s="48"/>
      <c r="AN890" s="95"/>
      <c r="AP890" s="95"/>
      <c r="AW890" s="95"/>
    </row>
    <row r="891">
      <c r="A891" s="48"/>
      <c r="B891" s="48"/>
      <c r="C891" s="86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48"/>
      <c r="AI891" s="71"/>
      <c r="AJ891" s="48"/>
      <c r="AK891" s="48"/>
      <c r="AL891" s="48"/>
      <c r="AM891" s="48"/>
      <c r="AN891" s="95"/>
      <c r="AP891" s="95"/>
      <c r="AW891" s="95"/>
    </row>
    <row r="892">
      <c r="A892" s="48"/>
      <c r="B892" s="48"/>
      <c r="C892" s="86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48"/>
      <c r="AI892" s="71"/>
      <c r="AJ892" s="48"/>
      <c r="AK892" s="48"/>
      <c r="AL892" s="48"/>
      <c r="AM892" s="48"/>
      <c r="AN892" s="95"/>
      <c r="AP892" s="95"/>
      <c r="AW892" s="95"/>
    </row>
    <row r="893">
      <c r="A893" s="48"/>
      <c r="B893" s="48"/>
      <c r="C893" s="86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48"/>
      <c r="AI893" s="71"/>
      <c r="AJ893" s="48"/>
      <c r="AK893" s="48"/>
      <c r="AL893" s="48"/>
      <c r="AM893" s="48"/>
      <c r="AN893" s="95"/>
      <c r="AP893" s="95"/>
      <c r="AW893" s="95"/>
    </row>
    <row r="894">
      <c r="A894" s="48"/>
      <c r="B894" s="48"/>
      <c r="C894" s="86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48"/>
      <c r="AI894" s="71"/>
      <c r="AJ894" s="48"/>
      <c r="AK894" s="48"/>
      <c r="AL894" s="48"/>
      <c r="AM894" s="48"/>
      <c r="AN894" s="95"/>
      <c r="AP894" s="95"/>
      <c r="AW894" s="95"/>
    </row>
    <row r="895">
      <c r="A895" s="48"/>
      <c r="B895" s="48"/>
      <c r="C895" s="86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48"/>
      <c r="AI895" s="71"/>
      <c r="AJ895" s="48"/>
      <c r="AK895" s="48"/>
      <c r="AL895" s="48"/>
      <c r="AM895" s="48"/>
      <c r="AN895" s="95"/>
      <c r="AP895" s="95"/>
      <c r="AW895" s="95"/>
    </row>
    <row r="896">
      <c r="A896" s="48"/>
      <c r="B896" s="48"/>
      <c r="C896" s="86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48"/>
      <c r="AI896" s="71"/>
      <c r="AJ896" s="48"/>
      <c r="AK896" s="48"/>
      <c r="AL896" s="48"/>
      <c r="AM896" s="48"/>
      <c r="AN896" s="95"/>
      <c r="AP896" s="95"/>
      <c r="AW896" s="95"/>
    </row>
    <row r="897">
      <c r="A897" s="48"/>
      <c r="B897" s="48"/>
      <c r="C897" s="86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48"/>
      <c r="AI897" s="71"/>
      <c r="AJ897" s="48"/>
      <c r="AK897" s="48"/>
      <c r="AL897" s="48"/>
      <c r="AM897" s="48"/>
      <c r="AN897" s="95"/>
      <c r="AP897" s="95"/>
      <c r="AW897" s="95"/>
    </row>
    <row r="898">
      <c r="A898" s="48"/>
      <c r="B898" s="48"/>
      <c r="C898" s="86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48"/>
      <c r="AI898" s="71"/>
      <c r="AJ898" s="48"/>
      <c r="AK898" s="48"/>
      <c r="AL898" s="48"/>
      <c r="AM898" s="48"/>
      <c r="AN898" s="95"/>
      <c r="AP898" s="95"/>
      <c r="AW898" s="95"/>
    </row>
    <row r="899">
      <c r="A899" s="48"/>
      <c r="B899" s="48"/>
      <c r="C899" s="86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48"/>
      <c r="AI899" s="71"/>
      <c r="AJ899" s="48"/>
      <c r="AK899" s="48"/>
      <c r="AL899" s="48"/>
      <c r="AM899" s="48"/>
      <c r="AN899" s="95"/>
      <c r="AP899" s="95"/>
      <c r="AW899" s="95"/>
    </row>
    <row r="900">
      <c r="A900" s="48"/>
      <c r="B900" s="48"/>
      <c r="C900" s="86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48"/>
      <c r="AI900" s="71"/>
      <c r="AJ900" s="48"/>
      <c r="AK900" s="48"/>
      <c r="AL900" s="48"/>
      <c r="AM900" s="48"/>
      <c r="AN900" s="95"/>
      <c r="AP900" s="95"/>
      <c r="AW900" s="95"/>
    </row>
    <row r="901">
      <c r="A901" s="48"/>
      <c r="B901" s="48"/>
      <c r="C901" s="86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48"/>
      <c r="AI901" s="71"/>
      <c r="AJ901" s="48"/>
      <c r="AK901" s="48"/>
      <c r="AL901" s="48"/>
      <c r="AM901" s="48"/>
      <c r="AN901" s="95"/>
      <c r="AP901" s="95"/>
      <c r="AW901" s="95"/>
    </row>
    <row r="902">
      <c r="A902" s="48"/>
      <c r="B902" s="48"/>
      <c r="C902" s="86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48"/>
      <c r="AI902" s="71"/>
      <c r="AJ902" s="48"/>
      <c r="AK902" s="48"/>
      <c r="AL902" s="48"/>
      <c r="AM902" s="48"/>
      <c r="AN902" s="95"/>
      <c r="AP902" s="95"/>
      <c r="AW902" s="95"/>
    </row>
    <row r="903">
      <c r="A903" s="48"/>
      <c r="B903" s="48"/>
      <c r="C903" s="86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48"/>
      <c r="AI903" s="71"/>
      <c r="AJ903" s="48"/>
      <c r="AK903" s="48"/>
      <c r="AL903" s="48"/>
      <c r="AM903" s="48"/>
      <c r="AN903" s="95"/>
      <c r="AP903" s="95"/>
      <c r="AW903" s="95"/>
    </row>
    <row r="904">
      <c r="A904" s="48"/>
      <c r="B904" s="48"/>
      <c r="C904" s="86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48"/>
      <c r="AI904" s="71"/>
      <c r="AJ904" s="48"/>
      <c r="AK904" s="48"/>
      <c r="AL904" s="48"/>
      <c r="AM904" s="48"/>
      <c r="AN904" s="95"/>
      <c r="AP904" s="95"/>
      <c r="AW904" s="95"/>
    </row>
    <row r="905">
      <c r="A905" s="48"/>
      <c r="B905" s="48"/>
      <c r="C905" s="86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48"/>
      <c r="AI905" s="71"/>
      <c r="AJ905" s="48"/>
      <c r="AK905" s="48"/>
      <c r="AL905" s="48"/>
      <c r="AM905" s="48"/>
      <c r="AN905" s="95"/>
      <c r="AP905" s="95"/>
      <c r="AW905" s="95"/>
    </row>
    <row r="906">
      <c r="A906" s="48"/>
      <c r="B906" s="48"/>
      <c r="C906" s="86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48"/>
      <c r="AI906" s="71"/>
      <c r="AJ906" s="48"/>
      <c r="AK906" s="48"/>
      <c r="AL906" s="48"/>
      <c r="AM906" s="48"/>
      <c r="AN906" s="95"/>
      <c r="AP906" s="95"/>
      <c r="AW906" s="95"/>
    </row>
    <row r="907">
      <c r="A907" s="48"/>
      <c r="B907" s="48"/>
      <c r="C907" s="86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48"/>
      <c r="AI907" s="71"/>
      <c r="AJ907" s="48"/>
      <c r="AK907" s="48"/>
      <c r="AL907" s="48"/>
      <c r="AM907" s="48"/>
      <c r="AN907" s="95"/>
      <c r="AP907" s="95"/>
      <c r="AW907" s="95"/>
    </row>
    <row r="908">
      <c r="A908" s="48"/>
      <c r="B908" s="48"/>
      <c r="C908" s="86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48"/>
      <c r="AI908" s="71"/>
      <c r="AJ908" s="48"/>
      <c r="AK908" s="48"/>
      <c r="AL908" s="48"/>
      <c r="AM908" s="48"/>
      <c r="AN908" s="95"/>
      <c r="AP908" s="95"/>
      <c r="AW908" s="95"/>
    </row>
    <row r="909">
      <c r="A909" s="48"/>
      <c r="B909" s="48"/>
      <c r="C909" s="86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48"/>
      <c r="AI909" s="71"/>
      <c r="AJ909" s="48"/>
      <c r="AK909" s="48"/>
      <c r="AL909" s="48"/>
      <c r="AM909" s="48"/>
      <c r="AN909" s="95"/>
      <c r="AP909" s="95"/>
      <c r="AW909" s="95"/>
    </row>
    <row r="910">
      <c r="A910" s="48"/>
      <c r="B910" s="48"/>
      <c r="C910" s="86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48"/>
      <c r="AI910" s="71"/>
      <c r="AJ910" s="48"/>
      <c r="AK910" s="48"/>
      <c r="AL910" s="48"/>
      <c r="AM910" s="48"/>
      <c r="AN910" s="95"/>
      <c r="AP910" s="95"/>
      <c r="AW910" s="95"/>
    </row>
    <row r="911">
      <c r="A911" s="48"/>
      <c r="B911" s="48"/>
      <c r="C911" s="86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48"/>
      <c r="AI911" s="71"/>
      <c r="AJ911" s="48"/>
      <c r="AK911" s="48"/>
      <c r="AL911" s="48"/>
      <c r="AM911" s="48"/>
      <c r="AN911" s="95"/>
      <c r="AP911" s="95"/>
      <c r="AW911" s="95"/>
    </row>
    <row r="912">
      <c r="A912" s="48"/>
      <c r="B912" s="48"/>
      <c r="C912" s="86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48"/>
      <c r="AI912" s="71"/>
      <c r="AJ912" s="48"/>
      <c r="AK912" s="48"/>
      <c r="AL912" s="48"/>
      <c r="AM912" s="48"/>
      <c r="AN912" s="95"/>
      <c r="AP912" s="95"/>
      <c r="AW912" s="95"/>
    </row>
    <row r="913">
      <c r="A913" s="48"/>
      <c r="B913" s="48"/>
      <c r="C913" s="86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48"/>
      <c r="AI913" s="71"/>
      <c r="AJ913" s="48"/>
      <c r="AK913" s="48"/>
      <c r="AL913" s="48"/>
      <c r="AM913" s="48"/>
      <c r="AN913" s="95"/>
      <c r="AP913" s="95"/>
      <c r="AW913" s="95"/>
    </row>
    <row r="914">
      <c r="A914" s="48"/>
      <c r="B914" s="48"/>
      <c r="C914" s="86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48"/>
      <c r="AI914" s="71"/>
      <c r="AJ914" s="48"/>
      <c r="AK914" s="48"/>
      <c r="AL914" s="48"/>
      <c r="AM914" s="48"/>
      <c r="AN914" s="95"/>
      <c r="AP914" s="95"/>
      <c r="AW914" s="95"/>
    </row>
    <row r="915">
      <c r="A915" s="48"/>
      <c r="B915" s="48"/>
      <c r="C915" s="86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48"/>
      <c r="AI915" s="71"/>
      <c r="AJ915" s="48"/>
      <c r="AK915" s="48"/>
      <c r="AL915" s="48"/>
      <c r="AM915" s="48"/>
      <c r="AN915" s="95"/>
      <c r="AP915" s="95"/>
      <c r="AW915" s="95"/>
    </row>
    <row r="916">
      <c r="A916" s="48"/>
      <c r="B916" s="48"/>
      <c r="C916" s="86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48"/>
      <c r="AI916" s="71"/>
      <c r="AJ916" s="48"/>
      <c r="AK916" s="48"/>
      <c r="AL916" s="48"/>
      <c r="AM916" s="48"/>
      <c r="AN916" s="95"/>
      <c r="AP916" s="95"/>
      <c r="AW916" s="95"/>
    </row>
    <row r="917">
      <c r="A917" s="48"/>
      <c r="B917" s="48"/>
      <c r="C917" s="86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48"/>
      <c r="AI917" s="71"/>
      <c r="AJ917" s="48"/>
      <c r="AK917" s="48"/>
      <c r="AL917" s="48"/>
      <c r="AM917" s="48"/>
      <c r="AN917" s="95"/>
      <c r="AP917" s="95"/>
      <c r="AW917" s="95"/>
    </row>
    <row r="918">
      <c r="A918" s="48"/>
      <c r="B918" s="48"/>
      <c r="C918" s="86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48"/>
      <c r="AI918" s="71"/>
      <c r="AJ918" s="48"/>
      <c r="AK918" s="48"/>
      <c r="AL918" s="48"/>
      <c r="AM918" s="48"/>
      <c r="AN918" s="95"/>
      <c r="AP918" s="95"/>
      <c r="AW918" s="95"/>
    </row>
    <row r="919">
      <c r="A919" s="48"/>
      <c r="B919" s="48"/>
      <c r="C919" s="86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48"/>
      <c r="AI919" s="71"/>
      <c r="AJ919" s="48"/>
      <c r="AK919" s="48"/>
      <c r="AL919" s="48"/>
      <c r="AM919" s="48"/>
      <c r="AN919" s="95"/>
      <c r="AP919" s="95"/>
      <c r="AW919" s="95"/>
    </row>
    <row r="920">
      <c r="A920" s="48"/>
      <c r="B920" s="48"/>
      <c r="C920" s="86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48"/>
      <c r="AI920" s="71"/>
      <c r="AJ920" s="48"/>
      <c r="AK920" s="48"/>
      <c r="AL920" s="48"/>
      <c r="AM920" s="48"/>
      <c r="AN920" s="95"/>
      <c r="AP920" s="95"/>
      <c r="AW920" s="95"/>
    </row>
    <row r="921">
      <c r="A921" s="48"/>
      <c r="B921" s="48"/>
      <c r="C921" s="86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48"/>
      <c r="AI921" s="71"/>
      <c r="AJ921" s="48"/>
      <c r="AK921" s="48"/>
      <c r="AL921" s="48"/>
      <c r="AM921" s="48"/>
      <c r="AN921" s="95"/>
      <c r="AP921" s="95"/>
      <c r="AW921" s="95"/>
    </row>
    <row r="922">
      <c r="A922" s="48"/>
      <c r="B922" s="48"/>
      <c r="C922" s="86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48"/>
      <c r="AI922" s="71"/>
      <c r="AJ922" s="48"/>
      <c r="AK922" s="48"/>
      <c r="AL922" s="48"/>
      <c r="AM922" s="48"/>
      <c r="AN922" s="95"/>
      <c r="AP922" s="95"/>
      <c r="AW922" s="95"/>
    </row>
  </sheetData>
  <mergeCells count="17">
    <mergeCell ref="H1:N1"/>
    <mergeCell ref="O1:AR1"/>
    <mergeCell ref="AS1:BV1"/>
    <mergeCell ref="N4:N80"/>
    <mergeCell ref="U4:U80"/>
    <mergeCell ref="AB4:AB80"/>
    <mergeCell ref="AI4:AI80"/>
    <mergeCell ref="AP4:AP80"/>
    <mergeCell ref="AW5:AW81"/>
    <mergeCell ref="BD6:BD82"/>
    <mergeCell ref="A1:A3"/>
    <mergeCell ref="B1:B3"/>
    <mergeCell ref="C1:C3"/>
    <mergeCell ref="D1:D3"/>
    <mergeCell ref="E1:E3"/>
    <mergeCell ref="F1:F3"/>
    <mergeCell ref="G1:G3"/>
  </mergeCells>
  <conditionalFormatting sqref="H4:H80 I4:M43 N4:N80 O4:T43 U4:U80 V4:Z43 AA4:AA68 AB4:AB80 AC4:AE68 AF4:AV80 AW4:AW81 AX4:BC80 BD4:BD82 BE4:BV80 I45:M68 O45:T68 V45:Z68 I70:M80 O70:T80 V70:AA80 AC70:AE80">
    <cfRule type="beginsWith" dxfId="1" priority="1" operator="beginsWith" text="p">
      <formula>LEFT((H4),LEN("p"))=("p")</formula>
    </cfRule>
  </conditionalFormatting>
  <conditionalFormatting sqref="H4:H80 I4:M43 N4:N80 O4:T43 U4:U80 V4:Z43 AA4:AA68 AB4:AB80 AC4:AE68 AF4:AV80 AW4:AW81 AX4:BC80 BD4:BD82 BE4:BV80 I45:M68 O45:T68 V45:Z68 I70:M80 O70:T80 V70:AA80 AC70:AE80">
    <cfRule type="beginsWith" dxfId="0" priority="2" operator="beginsWith" text="a">
      <formula>LEFT((H4),LEN("a"))=("a")</formula>
    </cfRule>
  </conditionalFormatting>
  <conditionalFormatting sqref="H4:H80 I4:M43 N4:N80 O4:T43 U4:U80 V4:Z43 AA4:AA68 AB4:AB80 AC4:AE68 AF4:AV80 AW4:AW81 AX4:BC80 BD4:BD82 BE4:BV80 I45:M68 O45:T68 V45:Z68 I70:M80 O70:T80 V70:AA80 AC70:AE80">
    <cfRule type="beginsWith" dxfId="2" priority="3" operator="beginsWith" text="op">
      <formula>LEFT((H4),LEN("op"))=("op")</formula>
    </cfRule>
  </conditionalFormatting>
  <conditionalFormatting sqref="A1">
    <cfRule type="notContainsBlanks" dxfId="3" priority="4">
      <formula>LEN(TRIM(A1))&gt;0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63"/>
    <col customWidth="1" min="2" max="2" width="59.75"/>
    <col customWidth="1" min="3" max="3" width="14.88"/>
  </cols>
  <sheetData>
    <row r="1">
      <c r="A1" s="3" t="s">
        <v>1</v>
      </c>
      <c r="C1" s="6"/>
    </row>
    <row r="2">
      <c r="A2" s="3" t="s">
        <v>4</v>
      </c>
      <c r="C2" s="6"/>
    </row>
    <row r="3">
      <c r="A3" s="3" t="s">
        <v>5</v>
      </c>
      <c r="C3" s="6"/>
    </row>
    <row r="4">
      <c r="A4" s="10" t="s">
        <v>7</v>
      </c>
      <c r="B4" s="6"/>
      <c r="C4" s="6"/>
    </row>
    <row r="5">
      <c r="A5" s="10" t="s">
        <v>11</v>
      </c>
      <c r="B5" s="6"/>
      <c r="C5" s="6"/>
    </row>
    <row r="6">
      <c r="A6" s="6"/>
      <c r="B6" s="6"/>
      <c r="C6" s="6"/>
    </row>
    <row r="7">
      <c r="A7" s="16" t="s">
        <v>17</v>
      </c>
      <c r="B7" s="16" t="s">
        <v>18</v>
      </c>
      <c r="C7" s="16" t="s">
        <v>20</v>
      </c>
    </row>
    <row r="8">
      <c r="A8" s="22">
        <v>1.0</v>
      </c>
      <c r="B8" s="23" t="s">
        <v>23</v>
      </c>
      <c r="C8" s="25" t="s">
        <v>26</v>
      </c>
    </row>
    <row r="9">
      <c r="A9" s="27"/>
      <c r="B9" s="23" t="s">
        <v>33</v>
      </c>
      <c r="C9" s="25" t="s">
        <v>26</v>
      </c>
    </row>
    <row r="10">
      <c r="A10" s="27"/>
      <c r="B10" s="23" t="s">
        <v>36</v>
      </c>
      <c r="C10" s="25" t="s">
        <v>26</v>
      </c>
    </row>
    <row r="11">
      <c r="A11" s="27"/>
      <c r="B11" s="23" t="s">
        <v>40</v>
      </c>
      <c r="C11" s="25" t="s">
        <v>26</v>
      </c>
    </row>
    <row r="12">
      <c r="A12" s="27"/>
      <c r="B12" s="23" t="s">
        <v>44</v>
      </c>
      <c r="C12" s="25" t="s">
        <v>26</v>
      </c>
    </row>
    <row r="13">
      <c r="A13" s="27"/>
      <c r="B13" s="23" t="s">
        <v>47</v>
      </c>
      <c r="C13" s="25" t="s">
        <v>26</v>
      </c>
    </row>
    <row r="14">
      <c r="A14" s="27"/>
      <c r="B14" s="23" t="s">
        <v>51</v>
      </c>
      <c r="C14" s="25" t="s">
        <v>26</v>
      </c>
    </row>
    <row r="15">
      <c r="A15" s="27"/>
      <c r="B15" s="23" t="s">
        <v>53</v>
      </c>
      <c r="C15" s="25" t="s">
        <v>26</v>
      </c>
    </row>
    <row r="16">
      <c r="A16" s="27"/>
      <c r="B16" s="23" t="s">
        <v>58</v>
      </c>
      <c r="C16" s="25" t="s">
        <v>26</v>
      </c>
    </row>
    <row r="17">
      <c r="A17" s="27"/>
      <c r="B17" s="23" t="s">
        <v>61</v>
      </c>
      <c r="C17" s="25" t="s">
        <v>26</v>
      </c>
    </row>
    <row r="18">
      <c r="A18" s="27"/>
      <c r="B18" s="23" t="s">
        <v>63</v>
      </c>
      <c r="C18" s="25" t="s">
        <v>26</v>
      </c>
    </row>
    <row r="19">
      <c r="A19" s="27"/>
      <c r="B19" s="23" t="s">
        <v>65</v>
      </c>
      <c r="C19" s="25" t="s">
        <v>26</v>
      </c>
    </row>
    <row r="20">
      <c r="A20" s="27"/>
      <c r="B20" s="23" t="s">
        <v>66</v>
      </c>
      <c r="C20" s="25" t="s">
        <v>26</v>
      </c>
    </row>
    <row r="21">
      <c r="A21" s="27"/>
      <c r="B21" s="23" t="s">
        <v>70</v>
      </c>
      <c r="C21" s="25" t="s">
        <v>26</v>
      </c>
    </row>
    <row r="22">
      <c r="A22" s="22">
        <v>2.0</v>
      </c>
      <c r="B22" s="23" t="s">
        <v>72</v>
      </c>
      <c r="C22" s="25" t="s">
        <v>26</v>
      </c>
    </row>
    <row r="23">
      <c r="A23" s="27"/>
      <c r="B23" s="23" t="s">
        <v>75</v>
      </c>
      <c r="C23" s="25" t="s">
        <v>26</v>
      </c>
    </row>
    <row r="24">
      <c r="A24" s="27"/>
      <c r="B24" s="23" t="s">
        <v>76</v>
      </c>
      <c r="C24" s="25" t="s">
        <v>26</v>
      </c>
    </row>
    <row r="25">
      <c r="A25" s="27"/>
      <c r="B25" s="23" t="s">
        <v>78</v>
      </c>
      <c r="C25" s="25" t="s">
        <v>26</v>
      </c>
    </row>
    <row r="26">
      <c r="A26" s="27"/>
      <c r="B26" s="23" t="s">
        <v>79</v>
      </c>
      <c r="C26" s="25" t="s">
        <v>26</v>
      </c>
    </row>
    <row r="27">
      <c r="A27" s="27"/>
      <c r="B27" s="23" t="s">
        <v>81</v>
      </c>
      <c r="C27" s="25" t="s">
        <v>26</v>
      </c>
    </row>
    <row r="28">
      <c r="A28" s="27"/>
      <c r="B28" s="23" t="s">
        <v>82</v>
      </c>
      <c r="C28" s="25" t="s">
        <v>26</v>
      </c>
    </row>
    <row r="29">
      <c r="A29" s="27"/>
      <c r="B29" s="23" t="s">
        <v>84</v>
      </c>
      <c r="C29" s="25" t="s">
        <v>26</v>
      </c>
    </row>
    <row r="30">
      <c r="A30" s="27"/>
      <c r="B30" s="23" t="s">
        <v>85</v>
      </c>
      <c r="C30" s="25" t="s">
        <v>26</v>
      </c>
    </row>
    <row r="31">
      <c r="A31" s="27"/>
      <c r="B31" s="23" t="s">
        <v>87</v>
      </c>
      <c r="C31" s="25" t="s">
        <v>26</v>
      </c>
    </row>
    <row r="32">
      <c r="A32" s="27"/>
      <c r="B32" s="23" t="s">
        <v>88</v>
      </c>
      <c r="C32" s="25" t="s">
        <v>26</v>
      </c>
    </row>
    <row r="33">
      <c r="A33" s="22">
        <v>3.0</v>
      </c>
      <c r="B33" s="23" t="s">
        <v>90</v>
      </c>
      <c r="C33" s="25" t="s">
        <v>26</v>
      </c>
    </row>
    <row r="34">
      <c r="A34" s="27"/>
      <c r="B34" s="23" t="s">
        <v>91</v>
      </c>
      <c r="C34" s="25" t="s">
        <v>26</v>
      </c>
    </row>
    <row r="35">
      <c r="A35" s="27"/>
      <c r="B35" s="23" t="s">
        <v>94</v>
      </c>
      <c r="C35" s="25" t="s">
        <v>26</v>
      </c>
    </row>
    <row r="36">
      <c r="A36" s="27"/>
      <c r="B36" s="23" t="s">
        <v>97</v>
      </c>
      <c r="C36" s="25" t="s">
        <v>26</v>
      </c>
    </row>
    <row r="37">
      <c r="A37" s="27"/>
      <c r="B37" s="23" t="s">
        <v>98</v>
      </c>
      <c r="C37" s="25" t="s">
        <v>26</v>
      </c>
    </row>
    <row r="38">
      <c r="A38" s="27"/>
      <c r="B38" s="23" t="s">
        <v>101</v>
      </c>
      <c r="C38" s="25" t="s">
        <v>26</v>
      </c>
    </row>
    <row r="39">
      <c r="A39" s="27"/>
      <c r="B39" s="23" t="s">
        <v>103</v>
      </c>
      <c r="C39" s="25" t="s">
        <v>26</v>
      </c>
    </row>
    <row r="40">
      <c r="A40" s="27"/>
      <c r="B40" s="23" t="s">
        <v>108</v>
      </c>
      <c r="C40" s="25" t="s">
        <v>26</v>
      </c>
    </row>
    <row r="41">
      <c r="A41" s="27"/>
      <c r="B41" s="23" t="s">
        <v>109</v>
      </c>
      <c r="C41" s="25" t="s">
        <v>26</v>
      </c>
    </row>
    <row r="42">
      <c r="A42" s="27"/>
      <c r="B42" s="23" t="s">
        <v>113</v>
      </c>
      <c r="C42" s="25" t="s">
        <v>26</v>
      </c>
    </row>
    <row r="43">
      <c r="A43" s="27"/>
      <c r="B43" s="23" t="s">
        <v>117</v>
      </c>
      <c r="C43" s="25" t="s">
        <v>26</v>
      </c>
    </row>
    <row r="44">
      <c r="A44" s="22">
        <v>4.0</v>
      </c>
      <c r="B44" s="23" t="s">
        <v>120</v>
      </c>
      <c r="C44" s="25" t="s">
        <v>26</v>
      </c>
    </row>
    <row r="45">
      <c r="A45" s="27"/>
      <c r="B45" s="23" t="s">
        <v>123</v>
      </c>
      <c r="C45" s="25" t="s">
        <v>26</v>
      </c>
    </row>
    <row r="46">
      <c r="A46" s="27"/>
      <c r="B46" s="23" t="s">
        <v>126</v>
      </c>
      <c r="C46" s="25" t="s">
        <v>26</v>
      </c>
    </row>
    <row r="47">
      <c r="A47" s="27"/>
      <c r="B47" s="23" t="s">
        <v>131</v>
      </c>
      <c r="C47" s="25" t="s">
        <v>26</v>
      </c>
    </row>
    <row r="48">
      <c r="A48" s="27"/>
      <c r="B48" s="23" t="s">
        <v>134</v>
      </c>
      <c r="C48" s="25" t="s">
        <v>26</v>
      </c>
    </row>
    <row r="49">
      <c r="A49" s="27"/>
      <c r="B49" s="23" t="s">
        <v>137</v>
      </c>
      <c r="C49" s="25" t="s">
        <v>26</v>
      </c>
    </row>
    <row r="50">
      <c r="A50" s="27"/>
      <c r="B50" s="23" t="s">
        <v>139</v>
      </c>
      <c r="C50" s="25" t="s">
        <v>26</v>
      </c>
    </row>
    <row r="51">
      <c r="A51" s="27"/>
      <c r="B51" s="23" t="s">
        <v>142</v>
      </c>
      <c r="C51" s="25" t="s">
        <v>26</v>
      </c>
    </row>
    <row r="52">
      <c r="A52" s="27"/>
      <c r="B52" s="23" t="s">
        <v>145</v>
      </c>
      <c r="C52" s="25" t="s">
        <v>26</v>
      </c>
    </row>
    <row r="53">
      <c r="A53" s="27"/>
      <c r="B53" s="23" t="s">
        <v>147</v>
      </c>
      <c r="C53" s="25" t="s">
        <v>26</v>
      </c>
    </row>
    <row r="54">
      <c r="A54" s="22">
        <v>5.0</v>
      </c>
      <c r="B54" s="23" t="s">
        <v>149</v>
      </c>
      <c r="C54" s="25" t="s">
        <v>26</v>
      </c>
    </row>
    <row r="55">
      <c r="A55" s="27"/>
      <c r="B55" s="23" t="s">
        <v>151</v>
      </c>
      <c r="C55" s="25" t="s">
        <v>26</v>
      </c>
    </row>
    <row r="56">
      <c r="A56" s="27"/>
      <c r="B56" s="23" t="s">
        <v>154</v>
      </c>
      <c r="C56" s="25" t="s">
        <v>26</v>
      </c>
    </row>
    <row r="57">
      <c r="A57" s="27"/>
      <c r="B57" s="23" t="s">
        <v>156</v>
      </c>
      <c r="C57" s="25" t="s">
        <v>26</v>
      </c>
    </row>
    <row r="58">
      <c r="A58" s="27"/>
      <c r="B58" s="23" t="s">
        <v>158</v>
      </c>
      <c r="C58" s="25" t="s">
        <v>26</v>
      </c>
    </row>
    <row r="59">
      <c r="A59" s="27"/>
      <c r="B59" s="23" t="s">
        <v>161</v>
      </c>
      <c r="C59" s="25" t="s">
        <v>26</v>
      </c>
    </row>
    <row r="60">
      <c r="A60" s="27"/>
      <c r="B60" s="23" t="s">
        <v>164</v>
      </c>
      <c r="C60" s="25" t="s">
        <v>26</v>
      </c>
    </row>
    <row r="61">
      <c r="A61" s="27"/>
      <c r="B61" s="23" t="s">
        <v>167</v>
      </c>
      <c r="C61" s="25" t="s">
        <v>26</v>
      </c>
    </row>
    <row r="62">
      <c r="A62" s="27"/>
      <c r="B62" s="23" t="s">
        <v>172</v>
      </c>
      <c r="C62" s="25" t="s">
        <v>26</v>
      </c>
    </row>
    <row r="63">
      <c r="A63" s="27"/>
      <c r="B63" s="23" t="s">
        <v>177</v>
      </c>
      <c r="C63" s="25" t="s">
        <v>26</v>
      </c>
    </row>
    <row r="64">
      <c r="A64" s="27"/>
      <c r="B64" s="23" t="s">
        <v>178</v>
      </c>
      <c r="C64" s="25" t="s">
        <v>26</v>
      </c>
    </row>
    <row r="65">
      <c r="A65" s="27"/>
      <c r="B65" s="23" t="s">
        <v>179</v>
      </c>
      <c r="C65" s="25" t="s">
        <v>26</v>
      </c>
    </row>
    <row r="66">
      <c r="A66" s="27"/>
      <c r="B66" s="23" t="s">
        <v>180</v>
      </c>
      <c r="C66" s="25" t="s">
        <v>26</v>
      </c>
    </row>
    <row r="67">
      <c r="A67" s="27"/>
      <c r="B67" s="23" t="s">
        <v>181</v>
      </c>
      <c r="C67" s="25" t="s">
        <v>26</v>
      </c>
    </row>
    <row r="68">
      <c r="A68" s="22">
        <v>6.0</v>
      </c>
      <c r="B68" s="23" t="s">
        <v>182</v>
      </c>
      <c r="C68" s="25" t="s">
        <v>26</v>
      </c>
    </row>
    <row r="69">
      <c r="A69" s="27"/>
      <c r="B69" s="23" t="s">
        <v>183</v>
      </c>
      <c r="C69" s="25" t="s">
        <v>26</v>
      </c>
    </row>
    <row r="70">
      <c r="A70" s="27"/>
      <c r="B70" s="23" t="s">
        <v>185</v>
      </c>
      <c r="C70" s="25" t="s">
        <v>26</v>
      </c>
    </row>
    <row r="71">
      <c r="A71" s="27"/>
      <c r="B71" s="23" t="s">
        <v>186</v>
      </c>
      <c r="C71" s="25" t="s">
        <v>26</v>
      </c>
    </row>
    <row r="72">
      <c r="A72" s="27"/>
      <c r="B72" s="23" t="s">
        <v>189</v>
      </c>
      <c r="C72" s="25" t="s">
        <v>26</v>
      </c>
    </row>
    <row r="73">
      <c r="A73" s="27"/>
      <c r="B73" s="23" t="s">
        <v>190</v>
      </c>
      <c r="C73" s="25" t="s">
        <v>26</v>
      </c>
    </row>
    <row r="74">
      <c r="A74" s="27"/>
      <c r="B74" s="23" t="s">
        <v>191</v>
      </c>
      <c r="C74" s="25" t="s">
        <v>26</v>
      </c>
    </row>
    <row r="75">
      <c r="A75" s="27"/>
      <c r="B75" s="23" t="s">
        <v>192</v>
      </c>
      <c r="C75" s="25" t="s">
        <v>26</v>
      </c>
    </row>
    <row r="76">
      <c r="A76" s="27"/>
      <c r="B76" s="23" t="s">
        <v>193</v>
      </c>
      <c r="C76" s="25" t="s">
        <v>26</v>
      </c>
    </row>
    <row r="77">
      <c r="A77" s="27"/>
      <c r="B77" s="23" t="s">
        <v>194</v>
      </c>
      <c r="C77" s="25" t="s">
        <v>26</v>
      </c>
    </row>
    <row r="78">
      <c r="A78" s="27"/>
      <c r="B78" s="23" t="s">
        <v>195</v>
      </c>
      <c r="C78" s="25" t="s">
        <v>26</v>
      </c>
    </row>
    <row r="79">
      <c r="A79" s="27"/>
      <c r="B79" s="23" t="s">
        <v>196</v>
      </c>
      <c r="C79" s="25" t="s">
        <v>26</v>
      </c>
    </row>
    <row r="80">
      <c r="A80" s="27"/>
      <c r="B80" s="23" t="s">
        <v>197</v>
      </c>
      <c r="C80" s="25" t="s">
        <v>26</v>
      </c>
    </row>
    <row r="81">
      <c r="A81" s="27"/>
      <c r="B81" s="23" t="s">
        <v>198</v>
      </c>
      <c r="C81" s="25" t="s">
        <v>26</v>
      </c>
    </row>
    <row r="82">
      <c r="A82" s="27"/>
      <c r="B82" s="23" t="s">
        <v>200</v>
      </c>
      <c r="C82" s="25" t="s">
        <v>26</v>
      </c>
    </row>
    <row r="83">
      <c r="A83" s="27"/>
      <c r="B83" s="23" t="s">
        <v>202</v>
      </c>
      <c r="C83" s="25" t="s">
        <v>26</v>
      </c>
    </row>
    <row r="84">
      <c r="A84" s="22">
        <v>7.0</v>
      </c>
      <c r="B84" s="23" t="s">
        <v>203</v>
      </c>
      <c r="C84" s="25" t="s">
        <v>26</v>
      </c>
    </row>
    <row r="85">
      <c r="A85" s="27"/>
      <c r="B85" s="23" t="s">
        <v>205</v>
      </c>
      <c r="C85" s="25" t="s">
        <v>26</v>
      </c>
    </row>
    <row r="86">
      <c r="A86" s="27"/>
      <c r="B86" s="23" t="s">
        <v>207</v>
      </c>
      <c r="C86" s="25" t="s">
        <v>26</v>
      </c>
    </row>
    <row r="87">
      <c r="A87" s="27"/>
      <c r="B87" s="23" t="s">
        <v>208</v>
      </c>
      <c r="C87" s="25" t="s">
        <v>26</v>
      </c>
    </row>
    <row r="88">
      <c r="A88" s="27"/>
      <c r="B88" s="23" t="s">
        <v>209</v>
      </c>
      <c r="C88" s="25" t="s">
        <v>26</v>
      </c>
    </row>
    <row r="89">
      <c r="A89" s="27"/>
      <c r="B89" s="23" t="s">
        <v>210</v>
      </c>
      <c r="C89" s="25" t="s">
        <v>26</v>
      </c>
    </row>
    <row r="90">
      <c r="A90" s="27"/>
      <c r="B90" s="23" t="s">
        <v>211</v>
      </c>
      <c r="C90" s="25" t="s">
        <v>26</v>
      </c>
    </row>
    <row r="91">
      <c r="A91" s="27"/>
      <c r="B91" s="23" t="s">
        <v>212</v>
      </c>
      <c r="C91" s="25" t="s">
        <v>26</v>
      </c>
    </row>
    <row r="92">
      <c r="A92" s="27"/>
      <c r="B92" s="23" t="s">
        <v>214</v>
      </c>
      <c r="C92" s="25" t="s">
        <v>26</v>
      </c>
    </row>
    <row r="93">
      <c r="A93" s="22">
        <v>8.0</v>
      </c>
      <c r="B93" s="23" t="s">
        <v>215</v>
      </c>
      <c r="C93" s="25" t="s">
        <v>26</v>
      </c>
    </row>
    <row r="94">
      <c r="A94" s="27"/>
      <c r="B94" s="23" t="s">
        <v>217</v>
      </c>
      <c r="C94" s="25" t="s">
        <v>26</v>
      </c>
    </row>
    <row r="95">
      <c r="A95" s="27"/>
      <c r="B95" s="23" t="s">
        <v>218</v>
      </c>
      <c r="C95" s="25" t="s">
        <v>26</v>
      </c>
    </row>
    <row r="96">
      <c r="A96" s="27"/>
      <c r="B96" s="23" t="s">
        <v>219</v>
      </c>
      <c r="C96" s="25" t="s">
        <v>26</v>
      </c>
    </row>
    <row r="97">
      <c r="A97" s="27"/>
      <c r="B97" s="23" t="s">
        <v>220</v>
      </c>
      <c r="C97" s="25" t="s">
        <v>26</v>
      </c>
    </row>
    <row r="98">
      <c r="A98" s="27"/>
      <c r="B98" s="23" t="s">
        <v>222</v>
      </c>
      <c r="C98" s="25" t="s">
        <v>26</v>
      </c>
    </row>
    <row r="99">
      <c r="A99" s="27"/>
      <c r="B99" s="23" t="s">
        <v>223</v>
      </c>
      <c r="C99" s="25" t="s">
        <v>26</v>
      </c>
    </row>
    <row r="100">
      <c r="A100" s="27"/>
      <c r="B100" s="23" t="s">
        <v>224</v>
      </c>
      <c r="C100" s="25" t="s">
        <v>26</v>
      </c>
    </row>
    <row r="101">
      <c r="A101" s="27"/>
      <c r="B101" s="23" t="s">
        <v>226</v>
      </c>
      <c r="C101" s="25" t="s">
        <v>26</v>
      </c>
    </row>
    <row r="102">
      <c r="A102" s="27"/>
      <c r="B102" s="23" t="s">
        <v>227</v>
      </c>
      <c r="C102" s="25" t="s">
        <v>26</v>
      </c>
    </row>
    <row r="103">
      <c r="A103" s="27"/>
      <c r="B103" s="23" t="s">
        <v>229</v>
      </c>
      <c r="C103" s="25" t="s">
        <v>26</v>
      </c>
    </row>
    <row r="104">
      <c r="A104" s="27"/>
      <c r="B104" s="23" t="s">
        <v>231</v>
      </c>
      <c r="C104" s="25" t="s">
        <v>26</v>
      </c>
    </row>
    <row r="105">
      <c r="A105" s="27"/>
      <c r="B105" s="23" t="s">
        <v>232</v>
      </c>
      <c r="C105" s="25" t="s">
        <v>26</v>
      </c>
    </row>
    <row r="106">
      <c r="A106" s="27"/>
      <c r="B106" s="23" t="s">
        <v>233</v>
      </c>
      <c r="C106" s="25" t="s">
        <v>26</v>
      </c>
    </row>
    <row r="107">
      <c r="A107" s="22">
        <v>9.0</v>
      </c>
      <c r="B107" s="23" t="s">
        <v>234</v>
      </c>
      <c r="C107" s="25" t="s">
        <v>26</v>
      </c>
    </row>
    <row r="108">
      <c r="A108" s="27"/>
      <c r="B108" s="23" t="s">
        <v>235</v>
      </c>
      <c r="C108" s="25" t="s">
        <v>26</v>
      </c>
    </row>
    <row r="109">
      <c r="A109" s="27"/>
      <c r="B109" s="23" t="s">
        <v>236</v>
      </c>
      <c r="C109" s="25" t="s">
        <v>26</v>
      </c>
    </row>
    <row r="110">
      <c r="A110" s="27"/>
      <c r="B110" s="23" t="s">
        <v>237</v>
      </c>
      <c r="C110" s="25" t="s">
        <v>26</v>
      </c>
    </row>
    <row r="111">
      <c r="A111" s="27"/>
      <c r="B111" s="23" t="s">
        <v>238</v>
      </c>
      <c r="C111" s="25" t="s">
        <v>26</v>
      </c>
    </row>
    <row r="112">
      <c r="A112" s="27"/>
      <c r="B112" s="23" t="s">
        <v>239</v>
      </c>
      <c r="C112" s="25" t="s">
        <v>26</v>
      </c>
    </row>
    <row r="113">
      <c r="A113" s="27"/>
      <c r="B113" s="23" t="s">
        <v>242</v>
      </c>
      <c r="C113" s="25" t="s">
        <v>26</v>
      </c>
    </row>
    <row r="114">
      <c r="A114" s="27"/>
      <c r="B114" s="23" t="s">
        <v>243</v>
      </c>
      <c r="C114" s="25" t="s">
        <v>26</v>
      </c>
    </row>
    <row r="115">
      <c r="A115" s="27"/>
      <c r="B115" s="23" t="s">
        <v>244</v>
      </c>
      <c r="C115" s="25" t="s">
        <v>26</v>
      </c>
    </row>
    <row r="116">
      <c r="A116" s="27"/>
      <c r="B116" s="23" t="s">
        <v>245</v>
      </c>
      <c r="C116" s="25" t="s">
        <v>26</v>
      </c>
    </row>
    <row r="117">
      <c r="A117" s="27"/>
      <c r="B117" s="23" t="s">
        <v>246</v>
      </c>
      <c r="C117" s="25" t="s">
        <v>26</v>
      </c>
    </row>
    <row r="118">
      <c r="A118" s="27"/>
      <c r="B118" s="23" t="s">
        <v>247</v>
      </c>
      <c r="C118" s="25" t="s">
        <v>26</v>
      </c>
    </row>
    <row r="119">
      <c r="A119" s="27"/>
      <c r="B119" s="23" t="s">
        <v>248</v>
      </c>
      <c r="C119" s="25" t="s">
        <v>26</v>
      </c>
    </row>
    <row r="120">
      <c r="A120" s="27"/>
      <c r="B120" s="23" t="s">
        <v>249</v>
      </c>
      <c r="C120" s="25" t="s">
        <v>26</v>
      </c>
    </row>
    <row r="121">
      <c r="A121" s="27"/>
      <c r="B121" s="23" t="s">
        <v>250</v>
      </c>
      <c r="C121" s="25" t="s">
        <v>26</v>
      </c>
    </row>
    <row r="122">
      <c r="A122" s="27"/>
      <c r="B122" s="23" t="s">
        <v>251</v>
      </c>
      <c r="C122" s="25" t="s">
        <v>26</v>
      </c>
    </row>
    <row r="123">
      <c r="A123" s="22">
        <v>10.0</v>
      </c>
      <c r="B123" s="23" t="s">
        <v>253</v>
      </c>
      <c r="C123" s="25" t="s">
        <v>26</v>
      </c>
    </row>
    <row r="124">
      <c r="A124" s="27"/>
      <c r="B124" s="23" t="s">
        <v>255</v>
      </c>
      <c r="C124" s="25" t="s">
        <v>26</v>
      </c>
    </row>
    <row r="125">
      <c r="A125" s="27"/>
      <c r="B125" s="23" t="s">
        <v>256</v>
      </c>
      <c r="C125" s="25" t="s">
        <v>26</v>
      </c>
    </row>
    <row r="126">
      <c r="A126" s="27"/>
      <c r="B126" s="23" t="s">
        <v>257</v>
      </c>
      <c r="C126" s="25" t="s">
        <v>26</v>
      </c>
    </row>
    <row r="127">
      <c r="A127" s="27"/>
      <c r="B127" s="23" t="s">
        <v>258</v>
      </c>
      <c r="C127" s="25" t="s">
        <v>26</v>
      </c>
    </row>
    <row r="128">
      <c r="A128" s="27"/>
      <c r="B128" s="23" t="s">
        <v>259</v>
      </c>
      <c r="C128" s="25" t="s">
        <v>26</v>
      </c>
    </row>
    <row r="129">
      <c r="A129" s="27"/>
      <c r="B129" s="23" t="s">
        <v>260</v>
      </c>
      <c r="C129" s="25" t="s">
        <v>26</v>
      </c>
    </row>
    <row r="130">
      <c r="A130" s="27"/>
      <c r="B130" s="23" t="s">
        <v>261</v>
      </c>
      <c r="C130" s="25" t="s">
        <v>26</v>
      </c>
    </row>
    <row r="131">
      <c r="A131" s="22">
        <v>11.0</v>
      </c>
      <c r="B131" s="23" t="s">
        <v>262</v>
      </c>
      <c r="C131" s="25" t="s">
        <v>26</v>
      </c>
    </row>
    <row r="132">
      <c r="A132" s="27"/>
      <c r="B132" s="23" t="s">
        <v>263</v>
      </c>
      <c r="C132" s="25" t="s">
        <v>26</v>
      </c>
    </row>
    <row r="133">
      <c r="A133" s="27"/>
      <c r="B133" s="23" t="s">
        <v>264</v>
      </c>
      <c r="C133" s="25" t="s">
        <v>26</v>
      </c>
    </row>
    <row r="134">
      <c r="A134" s="27"/>
      <c r="B134" s="23" t="s">
        <v>265</v>
      </c>
      <c r="C134" s="25" t="s">
        <v>26</v>
      </c>
    </row>
    <row r="135">
      <c r="A135" s="27"/>
      <c r="B135" s="23" t="s">
        <v>266</v>
      </c>
      <c r="C135" s="25" t="s">
        <v>26</v>
      </c>
    </row>
    <row r="136">
      <c r="A136" s="27"/>
      <c r="B136" s="23" t="s">
        <v>269</v>
      </c>
      <c r="C136" s="25" t="s">
        <v>26</v>
      </c>
    </row>
    <row r="137">
      <c r="A137" s="27"/>
      <c r="B137" s="23" t="s">
        <v>272</v>
      </c>
      <c r="C137" s="25" t="s">
        <v>26</v>
      </c>
    </row>
    <row r="138">
      <c r="A138" s="27"/>
      <c r="B138" s="23" t="s">
        <v>273</v>
      </c>
      <c r="C138" s="25" t="s">
        <v>26</v>
      </c>
    </row>
    <row r="139">
      <c r="A139" s="27"/>
      <c r="B139" s="23" t="s">
        <v>274</v>
      </c>
      <c r="C139" s="25" t="s">
        <v>26</v>
      </c>
    </row>
    <row r="140">
      <c r="A140" s="27"/>
      <c r="B140" s="23" t="s">
        <v>275</v>
      </c>
      <c r="C140" s="25" t="s">
        <v>26</v>
      </c>
    </row>
    <row r="141">
      <c r="A141" s="27"/>
      <c r="B141" s="23" t="s">
        <v>276</v>
      </c>
      <c r="C141" s="25" t="s">
        <v>26</v>
      </c>
    </row>
    <row r="142">
      <c r="A142" s="27"/>
      <c r="B142" s="23" t="s">
        <v>277</v>
      </c>
      <c r="C142" s="25" t="s">
        <v>26</v>
      </c>
    </row>
    <row r="143">
      <c r="A143" s="27"/>
      <c r="B143" s="23" t="s">
        <v>278</v>
      </c>
      <c r="C143" s="25" t="s">
        <v>26</v>
      </c>
    </row>
    <row r="144">
      <c r="A144" s="27"/>
      <c r="B144" s="23" t="s">
        <v>279</v>
      </c>
      <c r="C144" s="25" t="s">
        <v>26</v>
      </c>
    </row>
    <row r="145">
      <c r="A145" s="22">
        <v>12.0</v>
      </c>
      <c r="B145" s="23" t="s">
        <v>282</v>
      </c>
      <c r="C145" s="25" t="s">
        <v>26</v>
      </c>
    </row>
    <row r="146">
      <c r="A146" s="27"/>
      <c r="B146" s="23" t="s">
        <v>283</v>
      </c>
      <c r="C146" s="25" t="s">
        <v>26</v>
      </c>
    </row>
    <row r="147">
      <c r="A147" s="27"/>
      <c r="B147" s="23" t="s">
        <v>284</v>
      </c>
      <c r="C147" s="25" t="s">
        <v>26</v>
      </c>
    </row>
    <row r="148">
      <c r="A148" s="27"/>
      <c r="B148" s="23" t="s">
        <v>285</v>
      </c>
      <c r="C148" s="25" t="s">
        <v>26</v>
      </c>
    </row>
    <row r="149">
      <c r="A149" s="27"/>
      <c r="B149" s="23" t="s">
        <v>286</v>
      </c>
      <c r="C149" s="25" t="s">
        <v>26</v>
      </c>
    </row>
    <row r="150">
      <c r="A150" s="27"/>
      <c r="B150" s="23" t="s">
        <v>287</v>
      </c>
      <c r="C150" s="25" t="s">
        <v>26</v>
      </c>
    </row>
    <row r="151">
      <c r="A151" s="27"/>
      <c r="B151" s="23" t="s">
        <v>288</v>
      </c>
      <c r="C151" s="25" t="s">
        <v>26</v>
      </c>
    </row>
    <row r="152">
      <c r="A152" s="27"/>
      <c r="B152" s="23" t="s">
        <v>289</v>
      </c>
      <c r="C152" s="25" t="s">
        <v>26</v>
      </c>
    </row>
    <row r="153">
      <c r="A153" s="27"/>
      <c r="B153" s="23" t="s">
        <v>290</v>
      </c>
      <c r="C153" s="25" t="s">
        <v>26</v>
      </c>
    </row>
    <row r="154">
      <c r="A154" s="27"/>
      <c r="B154" s="23" t="s">
        <v>291</v>
      </c>
      <c r="C154" s="25" t="s">
        <v>26</v>
      </c>
    </row>
    <row r="155">
      <c r="A155" s="27"/>
      <c r="B155" s="23" t="s">
        <v>292</v>
      </c>
      <c r="C155" s="25" t="s">
        <v>26</v>
      </c>
    </row>
    <row r="156">
      <c r="A156" s="27"/>
      <c r="B156" s="23" t="s">
        <v>293</v>
      </c>
      <c r="C156" s="25" t="s">
        <v>26</v>
      </c>
    </row>
    <row r="157">
      <c r="A157" s="27"/>
      <c r="B157" s="23" t="s">
        <v>294</v>
      </c>
      <c r="C157" s="25" t="s">
        <v>26</v>
      </c>
    </row>
    <row r="158">
      <c r="A158" s="27"/>
      <c r="B158" s="23" t="s">
        <v>297</v>
      </c>
      <c r="C158" s="25" t="s">
        <v>26</v>
      </c>
    </row>
    <row r="159">
      <c r="A159" s="22">
        <v>13.0</v>
      </c>
      <c r="B159" s="23" t="s">
        <v>298</v>
      </c>
      <c r="C159" s="25" t="s">
        <v>26</v>
      </c>
    </row>
    <row r="160">
      <c r="A160" s="27"/>
      <c r="B160" s="23" t="s">
        <v>301</v>
      </c>
      <c r="C160" s="25" t="s">
        <v>26</v>
      </c>
    </row>
    <row r="161">
      <c r="A161" s="27"/>
      <c r="B161" s="23" t="s">
        <v>302</v>
      </c>
      <c r="C161" s="25" t="s">
        <v>26</v>
      </c>
    </row>
    <row r="162">
      <c r="A162" s="27"/>
      <c r="B162" s="23" t="s">
        <v>303</v>
      </c>
      <c r="C162" s="25" t="s">
        <v>26</v>
      </c>
    </row>
    <row r="163">
      <c r="A163" s="27"/>
      <c r="B163" s="23" t="s">
        <v>304</v>
      </c>
      <c r="C163" s="25" t="s">
        <v>26</v>
      </c>
    </row>
    <row r="164">
      <c r="A164" s="27"/>
      <c r="B164" s="23" t="s">
        <v>305</v>
      </c>
      <c r="C164" s="25" t="s">
        <v>26</v>
      </c>
    </row>
    <row r="165">
      <c r="A165" s="27"/>
      <c r="B165" s="23" t="s">
        <v>308</v>
      </c>
      <c r="C165" s="25" t="s">
        <v>26</v>
      </c>
    </row>
    <row r="166">
      <c r="A166" s="27"/>
      <c r="B166" s="23" t="s">
        <v>309</v>
      </c>
      <c r="C166" s="25" t="s">
        <v>26</v>
      </c>
    </row>
    <row r="167">
      <c r="A167" s="27"/>
      <c r="B167" s="23" t="s">
        <v>310</v>
      </c>
      <c r="C167" s="25" t="s">
        <v>26</v>
      </c>
    </row>
    <row r="168">
      <c r="A168" s="27"/>
      <c r="B168" s="23" t="s">
        <v>311</v>
      </c>
      <c r="C168" s="25" t="s">
        <v>26</v>
      </c>
    </row>
    <row r="169">
      <c r="A169" s="27"/>
      <c r="B169" s="23" t="s">
        <v>312</v>
      </c>
      <c r="C169" s="25" t="s">
        <v>26</v>
      </c>
    </row>
    <row r="170">
      <c r="A170" s="27"/>
      <c r="B170" s="23" t="s">
        <v>313</v>
      </c>
      <c r="C170" s="25" t="s">
        <v>26</v>
      </c>
    </row>
    <row r="171">
      <c r="A171" s="22">
        <v>14.0</v>
      </c>
      <c r="B171" s="23" t="s">
        <v>314</v>
      </c>
      <c r="C171" s="25" t="s">
        <v>26</v>
      </c>
    </row>
    <row r="172">
      <c r="A172" s="27"/>
      <c r="B172" s="23" t="s">
        <v>316</v>
      </c>
      <c r="C172" s="25" t="s">
        <v>26</v>
      </c>
    </row>
    <row r="173">
      <c r="A173" s="27"/>
      <c r="B173" s="23" t="s">
        <v>318</v>
      </c>
      <c r="C173" s="25" t="s">
        <v>26</v>
      </c>
    </row>
    <row r="174">
      <c r="A174" s="27"/>
      <c r="B174" s="23" t="s">
        <v>319</v>
      </c>
      <c r="C174" s="25" t="s">
        <v>26</v>
      </c>
    </row>
    <row r="175">
      <c r="A175" s="27"/>
      <c r="B175" s="23" t="s">
        <v>320</v>
      </c>
      <c r="C175" s="25" t="s">
        <v>26</v>
      </c>
    </row>
    <row r="176">
      <c r="A176" s="27"/>
      <c r="B176" s="23" t="s">
        <v>321</v>
      </c>
      <c r="C176" s="25" t="s">
        <v>26</v>
      </c>
    </row>
    <row r="177">
      <c r="A177" s="27"/>
      <c r="B177" s="23" t="s">
        <v>322</v>
      </c>
      <c r="C177" s="25" t="s">
        <v>26</v>
      </c>
    </row>
    <row r="178">
      <c r="A178" s="27"/>
      <c r="B178" s="23" t="s">
        <v>325</v>
      </c>
      <c r="C178" s="25" t="s">
        <v>26</v>
      </c>
    </row>
    <row r="179">
      <c r="A179" s="27"/>
      <c r="B179" s="23" t="s">
        <v>326</v>
      </c>
      <c r="C179" s="25" t="s">
        <v>26</v>
      </c>
    </row>
    <row r="180">
      <c r="A180" s="27"/>
      <c r="B180" s="23" t="s">
        <v>327</v>
      </c>
      <c r="C180" s="25" t="s">
        <v>26</v>
      </c>
    </row>
    <row r="181">
      <c r="A181" s="27"/>
      <c r="B181" s="23" t="s">
        <v>328</v>
      </c>
      <c r="C181" s="25" t="s">
        <v>26</v>
      </c>
    </row>
    <row r="182">
      <c r="A182" s="27"/>
      <c r="B182" s="23" t="s">
        <v>329</v>
      </c>
      <c r="C182" s="25" t="s">
        <v>26</v>
      </c>
    </row>
    <row r="183">
      <c r="A183" s="27"/>
      <c r="B183" s="23" t="s">
        <v>330</v>
      </c>
      <c r="C183" s="25" t="s">
        <v>26</v>
      </c>
    </row>
    <row r="184">
      <c r="A184" s="22">
        <v>15.0</v>
      </c>
      <c r="B184" s="23" t="s">
        <v>333</v>
      </c>
      <c r="C184" s="25" t="s">
        <v>26</v>
      </c>
    </row>
    <row r="185">
      <c r="A185" s="27"/>
      <c r="B185" s="23" t="s">
        <v>336</v>
      </c>
      <c r="C185" s="25" t="s">
        <v>26</v>
      </c>
    </row>
    <row r="186">
      <c r="A186" s="27"/>
      <c r="B186" s="23" t="s">
        <v>337</v>
      </c>
      <c r="C186" s="25" t="s">
        <v>26</v>
      </c>
    </row>
    <row r="187">
      <c r="A187" s="27"/>
      <c r="B187" s="23" t="s">
        <v>338</v>
      </c>
      <c r="C187" s="25" t="s">
        <v>26</v>
      </c>
    </row>
    <row r="188">
      <c r="A188" s="27"/>
      <c r="B188" s="23" t="s">
        <v>339</v>
      </c>
      <c r="C188" s="25" t="s">
        <v>26</v>
      </c>
    </row>
    <row r="189">
      <c r="A189" s="27"/>
      <c r="B189" s="23" t="s">
        <v>340</v>
      </c>
      <c r="C189" s="25" t="s">
        <v>26</v>
      </c>
    </row>
    <row r="190">
      <c r="A190" s="27"/>
      <c r="B190" s="23" t="s">
        <v>341</v>
      </c>
      <c r="C190" s="25" t="s">
        <v>26</v>
      </c>
    </row>
    <row r="191">
      <c r="A191" s="27"/>
      <c r="B191" s="23" t="s">
        <v>342</v>
      </c>
      <c r="C191" s="25" t="s">
        <v>26</v>
      </c>
    </row>
    <row r="192">
      <c r="A192" s="27"/>
      <c r="B192" s="23" t="s">
        <v>345</v>
      </c>
      <c r="C192" s="25" t="s">
        <v>26</v>
      </c>
    </row>
    <row r="193">
      <c r="A193" s="27"/>
      <c r="B193" s="23" t="s">
        <v>346</v>
      </c>
      <c r="C193" s="25" t="s">
        <v>26</v>
      </c>
    </row>
    <row r="194">
      <c r="A194" s="22">
        <v>16.0</v>
      </c>
      <c r="B194" s="23" t="s">
        <v>347</v>
      </c>
      <c r="C194" s="25" t="s">
        <v>26</v>
      </c>
    </row>
    <row r="195">
      <c r="A195" s="27"/>
      <c r="B195" s="23" t="s">
        <v>348</v>
      </c>
      <c r="C195" s="25" t="s">
        <v>26</v>
      </c>
    </row>
    <row r="196">
      <c r="A196" s="27"/>
      <c r="B196" s="23" t="s">
        <v>349</v>
      </c>
      <c r="C196" s="25" t="s">
        <v>26</v>
      </c>
    </row>
    <row r="197">
      <c r="A197" s="27"/>
      <c r="B197" s="23" t="s">
        <v>350</v>
      </c>
      <c r="C197" s="25" t="s">
        <v>26</v>
      </c>
    </row>
    <row r="198">
      <c r="A198" s="27"/>
      <c r="B198" s="23" t="s">
        <v>351</v>
      </c>
      <c r="C198" s="25" t="s">
        <v>26</v>
      </c>
    </row>
    <row r="199">
      <c r="A199" s="27"/>
      <c r="B199" s="23" t="s">
        <v>352</v>
      </c>
      <c r="C199" s="25" t="s">
        <v>26</v>
      </c>
    </row>
    <row r="200">
      <c r="A200" s="27"/>
      <c r="B200" s="23" t="s">
        <v>355</v>
      </c>
      <c r="C200" s="25" t="s">
        <v>26</v>
      </c>
    </row>
    <row r="201">
      <c r="A201" s="27"/>
      <c r="B201" s="23" t="s">
        <v>356</v>
      </c>
      <c r="C201" s="25" t="s">
        <v>26</v>
      </c>
    </row>
    <row r="202">
      <c r="A202" s="27"/>
      <c r="B202" s="23" t="s">
        <v>357</v>
      </c>
      <c r="C202" s="25" t="s">
        <v>26</v>
      </c>
    </row>
    <row r="203">
      <c r="A203" s="27"/>
      <c r="B203" s="23" t="s">
        <v>358</v>
      </c>
      <c r="C203" s="25" t="s">
        <v>26</v>
      </c>
    </row>
    <row r="204">
      <c r="A204" s="27"/>
      <c r="B204" s="23" t="s">
        <v>359</v>
      </c>
      <c r="C204" s="25" t="s">
        <v>26</v>
      </c>
    </row>
    <row r="205">
      <c r="A205" s="27"/>
      <c r="B205" s="23" t="s">
        <v>362</v>
      </c>
      <c r="C205" s="25" t="s">
        <v>26</v>
      </c>
    </row>
    <row r="206">
      <c r="A206" s="22">
        <v>17.0</v>
      </c>
      <c r="B206" s="23" t="s">
        <v>363</v>
      </c>
      <c r="C206" s="25" t="s">
        <v>26</v>
      </c>
    </row>
    <row r="207">
      <c r="A207" s="27"/>
      <c r="B207" s="23" t="s">
        <v>364</v>
      </c>
      <c r="C207" s="25" t="s">
        <v>26</v>
      </c>
    </row>
    <row r="208">
      <c r="A208" s="27"/>
      <c r="B208" s="23" t="s">
        <v>365</v>
      </c>
      <c r="C208" s="25" t="s">
        <v>26</v>
      </c>
    </row>
    <row r="209">
      <c r="A209" s="27"/>
      <c r="B209" s="23" t="s">
        <v>367</v>
      </c>
      <c r="C209" s="25" t="s">
        <v>26</v>
      </c>
    </row>
    <row r="210">
      <c r="A210" s="27"/>
      <c r="B210" s="23" t="s">
        <v>368</v>
      </c>
      <c r="C210" s="25" t="s">
        <v>26</v>
      </c>
    </row>
    <row r="211">
      <c r="A211" s="22">
        <v>18.0</v>
      </c>
      <c r="B211" s="23" t="s">
        <v>369</v>
      </c>
      <c r="C211" s="25" t="s">
        <v>26</v>
      </c>
    </row>
    <row r="212">
      <c r="A212" s="27"/>
      <c r="B212" s="23" t="s">
        <v>370</v>
      </c>
      <c r="C212" s="25" t="s">
        <v>26</v>
      </c>
    </row>
    <row r="213">
      <c r="A213" s="27"/>
      <c r="B213" s="23" t="s">
        <v>371</v>
      </c>
      <c r="C213" s="25" t="s">
        <v>26</v>
      </c>
    </row>
    <row r="214">
      <c r="A214" s="27"/>
      <c r="B214" s="23" t="s">
        <v>373</v>
      </c>
      <c r="C214" s="25" t="s">
        <v>26</v>
      </c>
    </row>
    <row r="215">
      <c r="A215" s="27"/>
      <c r="B215" s="23" t="s">
        <v>375</v>
      </c>
      <c r="C215" s="25" t="s">
        <v>26</v>
      </c>
    </row>
    <row r="216">
      <c r="A216" s="27"/>
      <c r="B216" s="23" t="s">
        <v>376</v>
      </c>
      <c r="C216" s="25" t="s">
        <v>26</v>
      </c>
    </row>
    <row r="217">
      <c r="A217" s="27"/>
      <c r="B217" s="23" t="s">
        <v>377</v>
      </c>
      <c r="C217" s="25" t="s">
        <v>26</v>
      </c>
    </row>
    <row r="218">
      <c r="A218" s="27"/>
      <c r="B218" s="23" t="s">
        <v>378</v>
      </c>
      <c r="C218" s="25" t="s">
        <v>26</v>
      </c>
    </row>
    <row r="219">
      <c r="A219" s="27"/>
      <c r="B219" s="23" t="s">
        <v>379</v>
      </c>
      <c r="C219" s="25" t="s">
        <v>26</v>
      </c>
    </row>
    <row r="220">
      <c r="A220" s="27"/>
      <c r="B220" s="23" t="s">
        <v>380</v>
      </c>
      <c r="C220" s="25" t="s">
        <v>26</v>
      </c>
    </row>
    <row r="221">
      <c r="A221" s="27"/>
      <c r="B221" s="23" t="s">
        <v>381</v>
      </c>
      <c r="C221" s="25" t="s">
        <v>26</v>
      </c>
    </row>
    <row r="222">
      <c r="A222" s="27"/>
      <c r="B222" s="23" t="s">
        <v>382</v>
      </c>
      <c r="C222" s="25" t="s">
        <v>26</v>
      </c>
    </row>
    <row r="223">
      <c r="A223" s="27"/>
      <c r="B223" s="23" t="s">
        <v>384</v>
      </c>
      <c r="C223" s="25" t="s">
        <v>26</v>
      </c>
    </row>
    <row r="224">
      <c r="A224" s="22">
        <v>19.0</v>
      </c>
      <c r="B224" s="23" t="s">
        <v>386</v>
      </c>
      <c r="C224" s="25" t="s">
        <v>26</v>
      </c>
    </row>
    <row r="225">
      <c r="A225" s="27"/>
      <c r="B225" s="23" t="s">
        <v>389</v>
      </c>
      <c r="C225" s="25" t="s">
        <v>26</v>
      </c>
    </row>
    <row r="226">
      <c r="A226" s="27"/>
      <c r="B226" s="23" t="s">
        <v>390</v>
      </c>
      <c r="C226" s="25" t="s">
        <v>26</v>
      </c>
    </row>
    <row r="227">
      <c r="A227" s="27"/>
      <c r="B227" s="23" t="s">
        <v>391</v>
      </c>
      <c r="C227" s="25" t="s">
        <v>26</v>
      </c>
    </row>
    <row r="228">
      <c r="A228" s="27"/>
      <c r="B228" s="23" t="s">
        <v>392</v>
      </c>
      <c r="C228" s="25" t="s">
        <v>26</v>
      </c>
    </row>
    <row r="229">
      <c r="A229" s="27"/>
      <c r="B229" s="23" t="s">
        <v>393</v>
      </c>
      <c r="C229" s="25" t="s">
        <v>26</v>
      </c>
    </row>
    <row r="230">
      <c r="A230" s="27"/>
      <c r="B230" s="23" t="s">
        <v>394</v>
      </c>
      <c r="C230" s="25" t="s">
        <v>26</v>
      </c>
    </row>
    <row r="231">
      <c r="A231" s="27"/>
      <c r="B231" s="23" t="s">
        <v>395</v>
      </c>
      <c r="C231" s="25" t="s">
        <v>26</v>
      </c>
    </row>
    <row r="232">
      <c r="A232" s="27"/>
      <c r="B232" s="23" t="s">
        <v>396</v>
      </c>
      <c r="C232" s="25" t="s">
        <v>26</v>
      </c>
    </row>
    <row r="233">
      <c r="A233" s="27"/>
      <c r="B233" s="23" t="s">
        <v>397</v>
      </c>
      <c r="C233" s="25" t="s">
        <v>26</v>
      </c>
    </row>
    <row r="234">
      <c r="A234" s="27"/>
      <c r="B234" s="23" t="s">
        <v>398</v>
      </c>
      <c r="C234" s="25" t="s">
        <v>26</v>
      </c>
    </row>
    <row r="235">
      <c r="A235" s="27"/>
      <c r="B235" s="23" t="s">
        <v>399</v>
      </c>
      <c r="C235" s="25" t="s">
        <v>26</v>
      </c>
    </row>
    <row r="236">
      <c r="A236" s="27"/>
      <c r="B236" s="23" t="s">
        <v>400</v>
      </c>
      <c r="C236" s="25" t="s">
        <v>26</v>
      </c>
    </row>
    <row r="237">
      <c r="A237" s="27"/>
      <c r="B237" s="23" t="s">
        <v>401</v>
      </c>
      <c r="C237" s="25" t="s">
        <v>26</v>
      </c>
    </row>
    <row r="238">
      <c r="A238" s="22">
        <v>20.0</v>
      </c>
      <c r="B238" s="23" t="s">
        <v>402</v>
      </c>
      <c r="C238" s="25" t="s">
        <v>26</v>
      </c>
    </row>
    <row r="239">
      <c r="A239" s="27"/>
      <c r="B239" s="23" t="s">
        <v>403</v>
      </c>
      <c r="C239" s="25" t="s">
        <v>26</v>
      </c>
    </row>
    <row r="240">
      <c r="A240" s="27"/>
      <c r="B240" s="23" t="s">
        <v>404</v>
      </c>
      <c r="C240" s="25" t="s">
        <v>26</v>
      </c>
    </row>
    <row r="241">
      <c r="A241" s="27"/>
      <c r="B241" s="23" t="s">
        <v>407</v>
      </c>
      <c r="C241" s="25" t="s">
        <v>26</v>
      </c>
    </row>
    <row r="242">
      <c r="A242" s="27"/>
      <c r="B242" s="23" t="s">
        <v>408</v>
      </c>
      <c r="C242" s="25" t="s">
        <v>26</v>
      </c>
    </row>
    <row r="243">
      <c r="A243" s="27"/>
      <c r="B243" s="23" t="s">
        <v>409</v>
      </c>
      <c r="C243" s="25" t="s">
        <v>26</v>
      </c>
    </row>
    <row r="244">
      <c r="A244" s="27"/>
      <c r="B244" s="23" t="s">
        <v>410</v>
      </c>
      <c r="C244" s="25" t="s">
        <v>26</v>
      </c>
    </row>
    <row r="245">
      <c r="A245" s="27"/>
      <c r="B245" s="23" t="s">
        <v>411</v>
      </c>
      <c r="C245" s="25" t="s">
        <v>26</v>
      </c>
    </row>
    <row r="246">
      <c r="A246" s="27"/>
      <c r="B246" s="23" t="s">
        <v>412</v>
      </c>
      <c r="C246" s="25" t="s">
        <v>26</v>
      </c>
    </row>
    <row r="247">
      <c r="A247" s="27"/>
      <c r="B247" s="23" t="s">
        <v>413</v>
      </c>
      <c r="C247" s="25" t="s">
        <v>26</v>
      </c>
    </row>
    <row r="248">
      <c r="A248" s="27"/>
      <c r="B248" s="23" t="s">
        <v>414</v>
      </c>
      <c r="C248" s="25" t="s">
        <v>26</v>
      </c>
    </row>
    <row r="249">
      <c r="A249" s="27"/>
      <c r="B249" s="23" t="s">
        <v>415</v>
      </c>
      <c r="C249" s="25" t="s">
        <v>26</v>
      </c>
    </row>
    <row r="250">
      <c r="A250" s="22">
        <v>21.0</v>
      </c>
      <c r="B250" s="23" t="s">
        <v>416</v>
      </c>
      <c r="C250" s="25" t="s">
        <v>26</v>
      </c>
    </row>
    <row r="251">
      <c r="A251" s="27"/>
      <c r="B251" s="23" t="s">
        <v>417</v>
      </c>
      <c r="C251" s="25" t="s">
        <v>26</v>
      </c>
    </row>
    <row r="252">
      <c r="A252" s="27"/>
      <c r="B252" s="23" t="s">
        <v>420</v>
      </c>
      <c r="C252" s="25" t="s">
        <v>26</v>
      </c>
    </row>
    <row r="253">
      <c r="A253" s="27"/>
      <c r="B253" s="23" t="s">
        <v>421</v>
      </c>
      <c r="C253" s="25" t="s">
        <v>26</v>
      </c>
    </row>
    <row r="254">
      <c r="A254" s="27"/>
      <c r="B254" s="23" t="s">
        <v>422</v>
      </c>
      <c r="C254" s="25" t="s">
        <v>26</v>
      </c>
    </row>
    <row r="255">
      <c r="A255" s="27"/>
      <c r="B255" s="23" t="s">
        <v>423</v>
      </c>
      <c r="C255" s="25" t="s">
        <v>26</v>
      </c>
    </row>
    <row r="256">
      <c r="A256" s="27"/>
      <c r="B256" s="23" t="s">
        <v>424</v>
      </c>
      <c r="C256" s="25" t="s">
        <v>26</v>
      </c>
    </row>
    <row r="257">
      <c r="A257" s="27"/>
      <c r="B257" s="23" t="s">
        <v>425</v>
      </c>
      <c r="C257" s="25" t="s">
        <v>26</v>
      </c>
    </row>
    <row r="258">
      <c r="A258" s="27"/>
      <c r="B258" s="23" t="s">
        <v>426</v>
      </c>
      <c r="C258" s="25" t="s">
        <v>26</v>
      </c>
    </row>
    <row r="259">
      <c r="A259" s="27"/>
      <c r="B259" s="23" t="s">
        <v>427</v>
      </c>
      <c r="C259" s="25" t="s">
        <v>26</v>
      </c>
    </row>
    <row r="260">
      <c r="A260" s="22">
        <v>22.0</v>
      </c>
      <c r="B260" s="23" t="s">
        <v>428</v>
      </c>
      <c r="C260" s="25" t="s">
        <v>26</v>
      </c>
    </row>
    <row r="261">
      <c r="A261" s="27"/>
      <c r="B261" s="23" t="s">
        <v>431</v>
      </c>
      <c r="C261" s="25" t="s">
        <v>26</v>
      </c>
    </row>
    <row r="262">
      <c r="A262" s="27"/>
      <c r="B262" s="23" t="s">
        <v>432</v>
      </c>
      <c r="C262" s="25" t="s">
        <v>26</v>
      </c>
    </row>
    <row r="263">
      <c r="A263" s="27"/>
      <c r="B263" s="23" t="s">
        <v>433</v>
      </c>
      <c r="C263" s="25" t="s">
        <v>26</v>
      </c>
    </row>
    <row r="264">
      <c r="A264" s="27"/>
      <c r="B264" s="23" t="s">
        <v>434</v>
      </c>
      <c r="C264" s="25" t="s">
        <v>26</v>
      </c>
    </row>
    <row r="265">
      <c r="A265" s="27"/>
      <c r="B265" s="23" t="s">
        <v>435</v>
      </c>
      <c r="C265" s="25" t="s">
        <v>26</v>
      </c>
    </row>
    <row r="266">
      <c r="A266" s="27"/>
      <c r="B266" s="23" t="s">
        <v>436</v>
      </c>
      <c r="C266" s="25" t="s">
        <v>26</v>
      </c>
    </row>
    <row r="267">
      <c r="A267" s="27"/>
      <c r="B267" s="23" t="s">
        <v>437</v>
      </c>
      <c r="C267" s="25" t="s">
        <v>26</v>
      </c>
    </row>
    <row r="268">
      <c r="A268" s="27"/>
      <c r="B268" s="23" t="s">
        <v>438</v>
      </c>
      <c r="C268" s="25" t="s">
        <v>26</v>
      </c>
    </row>
    <row r="269">
      <c r="A269" s="27"/>
      <c r="B269" s="23" t="s">
        <v>439</v>
      </c>
      <c r="C269" s="25" t="s">
        <v>26</v>
      </c>
    </row>
    <row r="270">
      <c r="A270" s="27"/>
      <c r="B270" s="23" t="s">
        <v>440</v>
      </c>
      <c r="C270" s="25" t="s">
        <v>26</v>
      </c>
    </row>
    <row r="271">
      <c r="A271" s="22">
        <v>23.0</v>
      </c>
      <c r="B271" s="23" t="s">
        <v>443</v>
      </c>
      <c r="C271" s="25" t="s">
        <v>26</v>
      </c>
    </row>
    <row r="272">
      <c r="A272" s="27"/>
      <c r="B272" s="23" t="s">
        <v>444</v>
      </c>
      <c r="C272" s="25" t="s">
        <v>26</v>
      </c>
    </row>
    <row r="273">
      <c r="A273" s="27"/>
      <c r="B273" s="23" t="s">
        <v>445</v>
      </c>
      <c r="C273" s="25" t="s">
        <v>26</v>
      </c>
    </row>
    <row r="274">
      <c r="A274" s="27"/>
      <c r="B274" s="23" t="s">
        <v>446</v>
      </c>
      <c r="C274" s="25" t="s">
        <v>26</v>
      </c>
    </row>
    <row r="275">
      <c r="A275" s="27"/>
      <c r="B275" s="23" t="s">
        <v>447</v>
      </c>
      <c r="C275" s="25" t="s">
        <v>26</v>
      </c>
    </row>
    <row r="276">
      <c r="A276" s="27"/>
      <c r="B276" s="23" t="s">
        <v>448</v>
      </c>
      <c r="C276" s="25" t="s">
        <v>26</v>
      </c>
    </row>
    <row r="277">
      <c r="A277" s="27"/>
      <c r="B277" s="23" t="s">
        <v>449</v>
      </c>
      <c r="C277" s="25" t="s">
        <v>26</v>
      </c>
    </row>
    <row r="278">
      <c r="A278" s="27"/>
      <c r="B278" s="23" t="s">
        <v>450</v>
      </c>
      <c r="C278" s="25" t="s">
        <v>26</v>
      </c>
    </row>
    <row r="279">
      <c r="A279" s="27"/>
      <c r="B279" s="23" t="s">
        <v>451</v>
      </c>
      <c r="C279" s="25" t="s">
        <v>26</v>
      </c>
    </row>
    <row r="280">
      <c r="A280" s="27"/>
      <c r="B280" s="23" t="s">
        <v>452</v>
      </c>
      <c r="C280" s="25" t="s">
        <v>26</v>
      </c>
    </row>
    <row r="281">
      <c r="A281" s="27"/>
      <c r="B281" s="23" t="s">
        <v>453</v>
      </c>
      <c r="C281" s="25" t="s">
        <v>26</v>
      </c>
    </row>
    <row r="282">
      <c r="A282" s="27"/>
      <c r="B282" s="23" t="s">
        <v>455</v>
      </c>
      <c r="C282" s="25" t="s">
        <v>26</v>
      </c>
    </row>
    <row r="283">
      <c r="A283" s="22">
        <v>24.0</v>
      </c>
      <c r="B283" s="23" t="s">
        <v>457</v>
      </c>
      <c r="C283" s="25" t="s">
        <v>26</v>
      </c>
      <c r="H283" s="62"/>
    </row>
    <row r="284">
      <c r="A284" s="27"/>
      <c r="B284" s="23" t="s">
        <v>458</v>
      </c>
      <c r="C284" s="25" t="s">
        <v>26</v>
      </c>
    </row>
    <row r="285">
      <c r="A285" s="27"/>
      <c r="B285" s="23" t="s">
        <v>459</v>
      </c>
      <c r="C285" s="25" t="s">
        <v>26</v>
      </c>
    </row>
    <row r="286">
      <c r="A286" s="27"/>
      <c r="B286" s="23" t="s">
        <v>460</v>
      </c>
      <c r="C286" s="25" t="s">
        <v>26</v>
      </c>
    </row>
    <row r="287">
      <c r="A287" s="27"/>
      <c r="B287" s="23" t="s">
        <v>461</v>
      </c>
      <c r="C287" s="25" t="s">
        <v>26</v>
      </c>
      <c r="G287" s="62"/>
    </row>
    <row r="288">
      <c r="A288" s="27"/>
      <c r="B288" s="23" t="s">
        <v>462</v>
      </c>
      <c r="C288" s="25" t="s">
        <v>26</v>
      </c>
    </row>
    <row r="289">
      <c r="A289" s="27"/>
      <c r="B289" s="23" t="s">
        <v>463</v>
      </c>
      <c r="C289" s="25" t="s">
        <v>26</v>
      </c>
    </row>
    <row r="290">
      <c r="A290" s="27"/>
      <c r="B290" s="23" t="s">
        <v>464</v>
      </c>
      <c r="C290" s="25" t="s">
        <v>26</v>
      </c>
      <c r="E290" s="62"/>
    </row>
    <row r="291">
      <c r="A291" s="27"/>
      <c r="B291" s="23" t="s">
        <v>465</v>
      </c>
      <c r="C291" s="25" t="s">
        <v>26</v>
      </c>
    </row>
    <row r="292">
      <c r="A292" s="27"/>
      <c r="B292" s="23" t="s">
        <v>467</v>
      </c>
      <c r="C292" s="25" t="s">
        <v>26</v>
      </c>
    </row>
    <row r="293">
      <c r="A293" s="27"/>
      <c r="B293" s="23" t="s">
        <v>469</v>
      </c>
      <c r="C293" s="25" t="s">
        <v>26</v>
      </c>
    </row>
    <row r="294">
      <c r="A294" s="22">
        <v>25.0</v>
      </c>
      <c r="B294" s="23" t="s">
        <v>470</v>
      </c>
      <c r="C294" s="25" t="s">
        <v>26</v>
      </c>
    </row>
    <row r="295">
      <c r="A295" s="27"/>
      <c r="B295" s="23" t="s">
        <v>471</v>
      </c>
      <c r="C295" s="25" t="s">
        <v>26</v>
      </c>
    </row>
    <row r="296">
      <c r="A296" s="27"/>
      <c r="B296" s="23" t="s">
        <v>472</v>
      </c>
      <c r="C296" s="25" t="s">
        <v>26</v>
      </c>
    </row>
    <row r="297">
      <c r="A297" s="27"/>
      <c r="B297" s="23" t="s">
        <v>473</v>
      </c>
      <c r="C297" s="25" t="s">
        <v>26</v>
      </c>
    </row>
    <row r="298">
      <c r="A298" s="27"/>
      <c r="B298" s="23" t="s">
        <v>474</v>
      </c>
      <c r="C298" s="25" t="s">
        <v>26</v>
      </c>
    </row>
    <row r="299">
      <c r="A299" s="27"/>
      <c r="B299" s="23" t="s">
        <v>475</v>
      </c>
      <c r="C299" s="25" t="s">
        <v>26</v>
      </c>
    </row>
    <row r="300">
      <c r="A300" s="22">
        <v>26.0</v>
      </c>
      <c r="B300" s="23" t="s">
        <v>476</v>
      </c>
      <c r="C300" s="25" t="s">
        <v>26</v>
      </c>
    </row>
    <row r="301">
      <c r="A301" s="27"/>
      <c r="B301" s="23" t="s">
        <v>477</v>
      </c>
      <c r="C301" s="25" t="s">
        <v>26</v>
      </c>
    </row>
    <row r="302">
      <c r="A302" s="27"/>
      <c r="B302" s="23" t="s">
        <v>479</v>
      </c>
      <c r="C302" s="25" t="s">
        <v>26</v>
      </c>
    </row>
    <row r="303">
      <c r="A303" s="27"/>
      <c r="B303" s="23" t="s">
        <v>483</v>
      </c>
      <c r="C303" s="25" t="s">
        <v>26</v>
      </c>
    </row>
    <row r="304">
      <c r="A304" s="27"/>
      <c r="B304" s="23" t="s">
        <v>484</v>
      </c>
      <c r="C304" s="25" t="s">
        <v>26</v>
      </c>
    </row>
    <row r="305">
      <c r="A305" s="27"/>
      <c r="B305" s="23" t="s">
        <v>261</v>
      </c>
      <c r="C305" s="25" t="s">
        <v>26</v>
      </c>
    </row>
    <row r="306">
      <c r="A306" s="22">
        <v>27.0</v>
      </c>
      <c r="B306" s="23" t="s">
        <v>486</v>
      </c>
      <c r="C306" s="25" t="s">
        <v>26</v>
      </c>
    </row>
    <row r="307">
      <c r="A307" s="27"/>
      <c r="B307" s="23" t="s">
        <v>487</v>
      </c>
      <c r="C307" s="25" t="s">
        <v>26</v>
      </c>
    </row>
    <row r="308">
      <c r="A308" s="27"/>
      <c r="B308" s="23" t="s">
        <v>488</v>
      </c>
      <c r="C308" s="25" t="s">
        <v>26</v>
      </c>
    </row>
    <row r="309">
      <c r="A309" s="27"/>
      <c r="B309" s="23" t="s">
        <v>489</v>
      </c>
      <c r="C309" s="25" t="s">
        <v>26</v>
      </c>
    </row>
    <row r="310">
      <c r="A310" s="27"/>
      <c r="B310" s="23" t="s">
        <v>490</v>
      </c>
      <c r="C310" s="25" t="s">
        <v>26</v>
      </c>
    </row>
    <row r="311">
      <c r="A311" s="27"/>
      <c r="B311" s="23" t="s">
        <v>491</v>
      </c>
      <c r="C311" s="25" t="s">
        <v>26</v>
      </c>
    </row>
    <row r="312">
      <c r="A312" s="27"/>
      <c r="B312" s="23" t="s">
        <v>492</v>
      </c>
      <c r="C312" s="25" t="s">
        <v>26</v>
      </c>
    </row>
    <row r="313">
      <c r="A313" s="27"/>
      <c r="B313" s="23" t="s">
        <v>493</v>
      </c>
      <c r="C313" s="25" t="s">
        <v>26</v>
      </c>
    </row>
    <row r="314">
      <c r="A314" s="27"/>
      <c r="B314" s="23" t="s">
        <v>494</v>
      </c>
      <c r="C314" s="25" t="s">
        <v>26</v>
      </c>
    </row>
    <row r="315">
      <c r="A315" s="27"/>
      <c r="B315" s="23" t="s">
        <v>497</v>
      </c>
      <c r="C315" s="25" t="s">
        <v>26</v>
      </c>
    </row>
    <row r="316">
      <c r="A316" s="27"/>
      <c r="B316" s="23" t="s">
        <v>498</v>
      </c>
      <c r="C316" s="25" t="s">
        <v>26</v>
      </c>
    </row>
    <row r="317">
      <c r="A317" s="27"/>
      <c r="B317" s="23" t="s">
        <v>499</v>
      </c>
      <c r="C317" s="25" t="s">
        <v>26</v>
      </c>
    </row>
    <row r="318">
      <c r="A318" s="22">
        <v>28.0</v>
      </c>
      <c r="B318" s="23" t="s">
        <v>500</v>
      </c>
      <c r="C318" s="25" t="s">
        <v>26</v>
      </c>
    </row>
    <row r="319">
      <c r="A319" s="27"/>
      <c r="B319" s="23" t="s">
        <v>501</v>
      </c>
      <c r="C319" s="25" t="s">
        <v>26</v>
      </c>
    </row>
    <row r="320">
      <c r="A320" s="27"/>
      <c r="B320" s="23" t="s">
        <v>502</v>
      </c>
      <c r="C320" s="25" t="s">
        <v>26</v>
      </c>
    </row>
    <row r="321">
      <c r="A321" s="27"/>
      <c r="B321" s="23" t="s">
        <v>503</v>
      </c>
      <c r="C321" s="25" t="s">
        <v>26</v>
      </c>
    </row>
    <row r="322">
      <c r="A322" s="27"/>
      <c r="B322" s="23" t="s">
        <v>504</v>
      </c>
      <c r="C322" s="25" t="s">
        <v>26</v>
      </c>
    </row>
    <row r="323">
      <c r="A323" s="27"/>
      <c r="B323" s="23" t="s">
        <v>505</v>
      </c>
      <c r="C323" s="25" t="s">
        <v>26</v>
      </c>
    </row>
    <row r="324">
      <c r="A324" s="27"/>
      <c r="B324" s="23" t="s">
        <v>506</v>
      </c>
      <c r="C324" s="25" t="s">
        <v>26</v>
      </c>
    </row>
    <row r="325">
      <c r="A325" s="27"/>
      <c r="B325" s="23" t="s">
        <v>509</v>
      </c>
      <c r="C325" s="25" t="s">
        <v>26</v>
      </c>
    </row>
    <row r="326">
      <c r="A326" s="27"/>
      <c r="B326" s="23" t="s">
        <v>510</v>
      </c>
      <c r="C326" s="25" t="s">
        <v>26</v>
      </c>
    </row>
    <row r="327">
      <c r="A327" s="27"/>
      <c r="B327" s="23" t="s">
        <v>511</v>
      </c>
      <c r="C327" s="25" t="s">
        <v>26</v>
      </c>
    </row>
    <row r="328">
      <c r="A328" s="22">
        <v>29.0</v>
      </c>
      <c r="B328" s="23" t="s">
        <v>512</v>
      </c>
      <c r="C328" s="25" t="s">
        <v>26</v>
      </c>
    </row>
    <row r="329">
      <c r="A329" s="27"/>
      <c r="B329" s="23" t="s">
        <v>515</v>
      </c>
      <c r="C329" s="25" t="s">
        <v>26</v>
      </c>
    </row>
    <row r="330">
      <c r="A330" s="27"/>
      <c r="B330" s="23" t="s">
        <v>516</v>
      </c>
      <c r="C330" s="25" t="s">
        <v>26</v>
      </c>
    </row>
    <row r="331">
      <c r="A331" s="27"/>
      <c r="B331" s="23" t="s">
        <v>517</v>
      </c>
      <c r="C331" s="25" t="s">
        <v>26</v>
      </c>
    </row>
    <row r="332">
      <c r="A332" s="27"/>
      <c r="B332" s="23" t="s">
        <v>518</v>
      </c>
      <c r="C332" s="25" t="s">
        <v>26</v>
      </c>
    </row>
    <row r="333">
      <c r="A333" s="27"/>
      <c r="B333" s="23" t="s">
        <v>519</v>
      </c>
      <c r="C333" s="25" t="s">
        <v>26</v>
      </c>
    </row>
    <row r="334">
      <c r="A334" s="27"/>
      <c r="B334" s="23" t="s">
        <v>520</v>
      </c>
      <c r="C334" s="25" t="s">
        <v>26</v>
      </c>
    </row>
    <row r="335">
      <c r="A335" s="27"/>
      <c r="B335" s="23" t="s">
        <v>521</v>
      </c>
      <c r="C335" s="25" t="s">
        <v>26</v>
      </c>
    </row>
    <row r="336">
      <c r="A336" s="27"/>
      <c r="B336" s="23" t="s">
        <v>522</v>
      </c>
      <c r="C336" s="25" t="s">
        <v>26</v>
      </c>
    </row>
    <row r="337">
      <c r="A337" s="27"/>
      <c r="B337" s="23" t="s">
        <v>523</v>
      </c>
      <c r="C337" s="25" t="s">
        <v>26</v>
      </c>
    </row>
    <row r="338">
      <c r="A338" s="22">
        <v>30.0</v>
      </c>
      <c r="B338" s="23" t="s">
        <v>524</v>
      </c>
      <c r="C338" s="25" t="s">
        <v>26</v>
      </c>
    </row>
    <row r="339">
      <c r="A339" s="27"/>
      <c r="B339" s="23" t="s">
        <v>525</v>
      </c>
      <c r="C339" s="25" t="s">
        <v>26</v>
      </c>
    </row>
    <row r="340">
      <c r="A340" s="27"/>
      <c r="B340" s="23" t="s">
        <v>526</v>
      </c>
      <c r="C340" s="25" t="s">
        <v>26</v>
      </c>
    </row>
    <row r="341">
      <c r="A341" s="27"/>
      <c r="B341" s="23" t="s">
        <v>527</v>
      </c>
      <c r="C341" s="25" t="s">
        <v>26</v>
      </c>
    </row>
    <row r="342">
      <c r="A342" s="27"/>
      <c r="B342" s="23" t="s">
        <v>528</v>
      </c>
      <c r="C342" s="25" t="s">
        <v>26</v>
      </c>
    </row>
    <row r="343">
      <c r="A343" s="27"/>
      <c r="B343" s="23" t="s">
        <v>529</v>
      </c>
      <c r="C343" s="25" t="s">
        <v>26</v>
      </c>
    </row>
    <row r="344">
      <c r="A344" s="27"/>
      <c r="B344" s="23" t="s">
        <v>530</v>
      </c>
      <c r="C344" s="25" t="s">
        <v>26</v>
      </c>
    </row>
    <row r="345">
      <c r="A345" s="27"/>
      <c r="B345" s="23" t="s">
        <v>531</v>
      </c>
      <c r="C345" s="25" t="s">
        <v>26</v>
      </c>
    </row>
    <row r="346">
      <c r="A346" s="27"/>
      <c r="B346" s="23" t="s">
        <v>532</v>
      </c>
      <c r="C346" s="25" t="s">
        <v>26</v>
      </c>
    </row>
    <row r="347">
      <c r="A347" s="27"/>
      <c r="B347" s="23" t="s">
        <v>533</v>
      </c>
      <c r="C347" s="25" t="s">
        <v>26</v>
      </c>
    </row>
    <row r="348">
      <c r="A348" s="27"/>
      <c r="B348" s="23" t="s">
        <v>534</v>
      </c>
      <c r="C348" s="25" t="s">
        <v>26</v>
      </c>
    </row>
    <row r="349">
      <c r="A349" s="27"/>
      <c r="B349" s="23" t="s">
        <v>535</v>
      </c>
      <c r="C349" s="25" t="s">
        <v>26</v>
      </c>
    </row>
    <row r="350">
      <c r="A350" s="27"/>
      <c r="B350" s="23" t="s">
        <v>537</v>
      </c>
      <c r="C350" s="25" t="s">
        <v>26</v>
      </c>
    </row>
    <row r="351">
      <c r="A351" s="22">
        <v>31.0</v>
      </c>
      <c r="B351" s="23" t="s">
        <v>539</v>
      </c>
      <c r="C351" s="25" t="s">
        <v>26</v>
      </c>
    </row>
    <row r="352">
      <c r="A352" s="27"/>
      <c r="B352" s="23" t="s">
        <v>540</v>
      </c>
      <c r="C352" s="25" t="s">
        <v>26</v>
      </c>
    </row>
    <row r="353">
      <c r="A353" s="27"/>
      <c r="B353" s="23" t="s">
        <v>541</v>
      </c>
      <c r="C353" s="25" t="s">
        <v>26</v>
      </c>
    </row>
    <row r="354">
      <c r="A354" s="27"/>
      <c r="B354" s="23" t="s">
        <v>542</v>
      </c>
      <c r="C354" s="25" t="s">
        <v>26</v>
      </c>
    </row>
    <row r="355">
      <c r="A355" s="27"/>
      <c r="B355" s="23" t="s">
        <v>543</v>
      </c>
      <c r="C355" s="25" t="s">
        <v>26</v>
      </c>
    </row>
    <row r="356">
      <c r="A356" s="27"/>
      <c r="B356" s="23" t="s">
        <v>544</v>
      </c>
      <c r="C356" s="25" t="s">
        <v>26</v>
      </c>
    </row>
    <row r="357">
      <c r="A357" s="27"/>
      <c r="B357" s="23" t="s">
        <v>545</v>
      </c>
      <c r="C357" s="25" t="s">
        <v>26</v>
      </c>
    </row>
    <row r="358">
      <c r="A358" s="27"/>
      <c r="B358" s="23" t="s">
        <v>546</v>
      </c>
      <c r="C358" s="25" t="s">
        <v>26</v>
      </c>
    </row>
    <row r="359">
      <c r="A359" s="27"/>
      <c r="B359" s="23" t="s">
        <v>549</v>
      </c>
      <c r="C359" s="25" t="s">
        <v>26</v>
      </c>
    </row>
    <row r="360">
      <c r="A360" s="27"/>
      <c r="B360" s="23" t="s">
        <v>550</v>
      </c>
      <c r="C360" s="25" t="s">
        <v>26</v>
      </c>
    </row>
    <row r="361">
      <c r="A361" s="27"/>
      <c r="B361" s="23" t="s">
        <v>551</v>
      </c>
      <c r="C361" s="25" t="s">
        <v>26</v>
      </c>
    </row>
    <row r="362">
      <c r="A362" s="22">
        <v>32.0</v>
      </c>
      <c r="B362" s="23" t="s">
        <v>552</v>
      </c>
      <c r="C362" s="25" t="s">
        <v>26</v>
      </c>
    </row>
    <row r="363">
      <c r="A363" s="27"/>
      <c r="B363" s="23" t="s">
        <v>553</v>
      </c>
      <c r="C363" s="25" t="s">
        <v>26</v>
      </c>
    </row>
    <row r="364">
      <c r="A364" s="27"/>
      <c r="B364" s="23" t="s">
        <v>554</v>
      </c>
      <c r="C364" s="25" t="s">
        <v>26</v>
      </c>
    </row>
    <row r="365">
      <c r="A365" s="27"/>
      <c r="B365" s="23" t="s">
        <v>555</v>
      </c>
      <c r="C365" s="25" t="s">
        <v>26</v>
      </c>
    </row>
    <row r="366">
      <c r="A366" s="27"/>
      <c r="B366" s="23" t="s">
        <v>556</v>
      </c>
      <c r="C366" s="25" t="s">
        <v>26</v>
      </c>
    </row>
    <row r="367">
      <c r="A367" s="27"/>
      <c r="B367" s="23" t="s">
        <v>557</v>
      </c>
      <c r="C367" s="25" t="s">
        <v>26</v>
      </c>
    </row>
    <row r="368">
      <c r="A368" s="27"/>
      <c r="B368" s="23" t="s">
        <v>558</v>
      </c>
      <c r="C368" s="25" t="s">
        <v>26</v>
      </c>
    </row>
    <row r="369">
      <c r="A369" s="27"/>
      <c r="B369" s="23" t="s">
        <v>559</v>
      </c>
      <c r="C369" s="25" t="s">
        <v>26</v>
      </c>
    </row>
    <row r="370">
      <c r="A370" s="27"/>
      <c r="B370" s="23" t="s">
        <v>562</v>
      </c>
      <c r="C370" s="25" t="s">
        <v>26</v>
      </c>
    </row>
    <row r="371">
      <c r="A371" s="27"/>
      <c r="B371" s="23" t="s">
        <v>563</v>
      </c>
      <c r="C371" s="25" t="s">
        <v>26</v>
      </c>
      <c r="E371" s="62"/>
    </row>
    <row r="372">
      <c r="A372" s="22">
        <v>33.0</v>
      </c>
      <c r="B372" s="23" t="s">
        <v>564</v>
      </c>
      <c r="C372" s="25" t="s">
        <v>26</v>
      </c>
    </row>
    <row r="373">
      <c r="A373" s="27"/>
      <c r="B373" s="23" t="s">
        <v>565</v>
      </c>
      <c r="C373" s="25" t="s">
        <v>26</v>
      </c>
    </row>
    <row r="374">
      <c r="A374" s="27"/>
      <c r="B374" s="23" t="s">
        <v>566</v>
      </c>
      <c r="C374" s="25" t="s">
        <v>26</v>
      </c>
    </row>
    <row r="375">
      <c r="A375" s="27"/>
      <c r="B375" s="23" t="s">
        <v>567</v>
      </c>
      <c r="C375" s="25" t="s">
        <v>26</v>
      </c>
    </row>
    <row r="376">
      <c r="A376" s="27"/>
      <c r="B376" s="23" t="s">
        <v>568</v>
      </c>
      <c r="C376" s="25" t="s">
        <v>26</v>
      </c>
    </row>
    <row r="377">
      <c r="A377" s="27"/>
      <c r="B377" s="23" t="s">
        <v>569</v>
      </c>
      <c r="C377" s="25" t="s">
        <v>26</v>
      </c>
    </row>
    <row r="378">
      <c r="A378" s="27"/>
      <c r="B378" s="23" t="s">
        <v>570</v>
      </c>
      <c r="C378" s="25" t="s">
        <v>26</v>
      </c>
    </row>
    <row r="379">
      <c r="A379" s="27"/>
      <c r="B379" s="23" t="s">
        <v>571</v>
      </c>
      <c r="C379" s="25" t="s">
        <v>26</v>
      </c>
    </row>
    <row r="380">
      <c r="A380" s="27"/>
      <c r="B380" s="23" t="s">
        <v>572</v>
      </c>
      <c r="C380" s="25" t="s">
        <v>26</v>
      </c>
    </row>
    <row r="381">
      <c r="A381" s="27"/>
      <c r="B381" s="23" t="s">
        <v>574</v>
      </c>
      <c r="C381" s="25" t="s">
        <v>26</v>
      </c>
    </row>
    <row r="382">
      <c r="A382" s="27"/>
      <c r="B382" s="23" t="s">
        <v>576</v>
      </c>
      <c r="C382" s="25" t="s">
        <v>26</v>
      </c>
    </row>
    <row r="383">
      <c r="A383" s="22">
        <v>34.0</v>
      </c>
      <c r="B383" s="23" t="s">
        <v>577</v>
      </c>
      <c r="C383" s="25" t="s">
        <v>26</v>
      </c>
    </row>
    <row r="384">
      <c r="A384" s="27"/>
      <c r="B384" s="23" t="s">
        <v>578</v>
      </c>
      <c r="C384" s="25" t="s">
        <v>26</v>
      </c>
    </row>
    <row r="385">
      <c r="A385" s="27"/>
      <c r="B385" s="23" t="s">
        <v>579</v>
      </c>
      <c r="C385" s="25" t="s">
        <v>26</v>
      </c>
    </row>
    <row r="386">
      <c r="A386" s="27"/>
      <c r="B386" s="23" t="s">
        <v>580</v>
      </c>
      <c r="C386" s="25" t="s">
        <v>26</v>
      </c>
    </row>
    <row r="387">
      <c r="A387" s="27"/>
      <c r="B387" s="23" t="s">
        <v>581</v>
      </c>
      <c r="C387" s="25" t="s">
        <v>26</v>
      </c>
    </row>
    <row r="388">
      <c r="A388" s="27"/>
      <c r="B388" s="23" t="s">
        <v>582</v>
      </c>
      <c r="C388" s="25" t="s">
        <v>26</v>
      </c>
    </row>
    <row r="389">
      <c r="A389" s="27"/>
      <c r="B389" s="23" t="s">
        <v>477</v>
      </c>
      <c r="C389" s="25" t="s">
        <v>26</v>
      </c>
    </row>
    <row r="390">
      <c r="A390" s="27"/>
      <c r="B390" s="23" t="s">
        <v>479</v>
      </c>
      <c r="C390" s="25" t="s">
        <v>26</v>
      </c>
    </row>
    <row r="391">
      <c r="A391" s="22">
        <v>35.0</v>
      </c>
      <c r="B391" s="23" t="s">
        <v>583</v>
      </c>
      <c r="C391" s="25" t="s">
        <v>26</v>
      </c>
    </row>
    <row r="392">
      <c r="A392" s="27"/>
      <c r="B392" s="23" t="s">
        <v>585</v>
      </c>
      <c r="C392" s="25" t="s">
        <v>26</v>
      </c>
    </row>
    <row r="393">
      <c r="A393" s="27"/>
      <c r="B393" s="23" t="s">
        <v>587</v>
      </c>
      <c r="C393" s="25" t="s">
        <v>26</v>
      </c>
    </row>
    <row r="394">
      <c r="A394" s="27"/>
      <c r="B394" s="23" t="s">
        <v>588</v>
      </c>
      <c r="C394" s="25" t="s">
        <v>26</v>
      </c>
    </row>
    <row r="395">
      <c r="A395" s="27"/>
      <c r="B395" s="23" t="s">
        <v>589</v>
      </c>
      <c r="C395" s="25" t="s">
        <v>26</v>
      </c>
    </row>
    <row r="396">
      <c r="A396" s="27"/>
      <c r="B396" s="23" t="s">
        <v>590</v>
      </c>
      <c r="C396" s="25" t="s">
        <v>26</v>
      </c>
    </row>
    <row r="397">
      <c r="A397" s="27"/>
      <c r="B397" s="23" t="s">
        <v>591</v>
      </c>
      <c r="C397" s="25" t="s">
        <v>26</v>
      </c>
    </row>
    <row r="398">
      <c r="A398" s="27"/>
      <c r="B398" s="23" t="s">
        <v>592</v>
      </c>
      <c r="C398" s="25" t="s">
        <v>26</v>
      </c>
    </row>
    <row r="399">
      <c r="A399" s="27"/>
      <c r="B399" s="23" t="s">
        <v>593</v>
      </c>
      <c r="C399" s="25" t="s">
        <v>26</v>
      </c>
    </row>
    <row r="400">
      <c r="A400" s="27"/>
      <c r="B400" s="23" t="s">
        <v>594</v>
      </c>
      <c r="C400" s="25" t="s">
        <v>26</v>
      </c>
    </row>
    <row r="401">
      <c r="A401" s="27"/>
      <c r="B401" s="23" t="s">
        <v>595</v>
      </c>
      <c r="C401" s="25" t="s">
        <v>26</v>
      </c>
    </row>
    <row r="402">
      <c r="A402" s="27"/>
      <c r="B402" s="23" t="s">
        <v>596</v>
      </c>
      <c r="C402" s="25" t="s">
        <v>26</v>
      </c>
    </row>
    <row r="403">
      <c r="A403" s="27"/>
      <c r="B403" s="23" t="s">
        <v>597</v>
      </c>
      <c r="C403" s="25" t="s">
        <v>26</v>
      </c>
    </row>
    <row r="404">
      <c r="A404" s="22">
        <v>36.0</v>
      </c>
      <c r="B404" s="23" t="s">
        <v>600</v>
      </c>
      <c r="C404" s="25" t="s">
        <v>26</v>
      </c>
    </row>
    <row r="405">
      <c r="A405" s="27"/>
      <c r="B405" s="23" t="s">
        <v>602</v>
      </c>
      <c r="C405" s="25" t="s">
        <v>26</v>
      </c>
    </row>
    <row r="406">
      <c r="A406" s="27"/>
      <c r="B406" s="23" t="s">
        <v>604</v>
      </c>
      <c r="C406" s="25" t="s">
        <v>26</v>
      </c>
    </row>
    <row r="407">
      <c r="A407" s="27"/>
      <c r="B407" s="23" t="s">
        <v>605</v>
      </c>
      <c r="C407" s="25" t="s">
        <v>26</v>
      </c>
    </row>
    <row r="408">
      <c r="A408" s="27"/>
      <c r="B408" s="23" t="s">
        <v>606</v>
      </c>
      <c r="C408" s="25" t="s">
        <v>26</v>
      </c>
    </row>
    <row r="409">
      <c r="A409" s="27"/>
      <c r="B409" s="23" t="s">
        <v>607</v>
      </c>
      <c r="C409" s="25" t="s">
        <v>26</v>
      </c>
    </row>
    <row r="410">
      <c r="A410" s="27"/>
      <c r="B410" s="23" t="s">
        <v>608</v>
      </c>
      <c r="C410" s="25" t="s">
        <v>26</v>
      </c>
    </row>
    <row r="411">
      <c r="A411" s="27"/>
      <c r="B411" s="23" t="s">
        <v>609</v>
      </c>
      <c r="C411" s="25" t="s">
        <v>26</v>
      </c>
    </row>
    <row r="412">
      <c r="A412" s="27"/>
      <c r="B412" s="23" t="s">
        <v>610</v>
      </c>
      <c r="C412" s="25" t="s">
        <v>26</v>
      </c>
    </row>
    <row r="413">
      <c r="A413" s="27"/>
      <c r="B413" s="23" t="s">
        <v>611</v>
      </c>
      <c r="C413" s="25" t="s">
        <v>26</v>
      </c>
    </row>
    <row r="414">
      <c r="A414" s="27"/>
      <c r="B414" s="23" t="s">
        <v>612</v>
      </c>
      <c r="C414" s="25" t="s">
        <v>26</v>
      </c>
    </row>
    <row r="415">
      <c r="A415" s="27"/>
      <c r="B415" s="23" t="s">
        <v>613</v>
      </c>
      <c r="C415" s="25" t="s">
        <v>26</v>
      </c>
    </row>
    <row r="416">
      <c r="A416" s="22">
        <v>37.0</v>
      </c>
      <c r="B416" s="23" t="s">
        <v>614</v>
      </c>
      <c r="C416" s="25" t="s">
        <v>26</v>
      </c>
    </row>
    <row r="417">
      <c r="A417" s="27"/>
      <c r="B417" s="23" t="s">
        <v>615</v>
      </c>
      <c r="C417" s="25" t="s">
        <v>26</v>
      </c>
    </row>
    <row r="418">
      <c r="A418" s="27"/>
      <c r="B418" s="23" t="s">
        <v>616</v>
      </c>
      <c r="C418" s="25" t="s">
        <v>26</v>
      </c>
    </row>
    <row r="419">
      <c r="A419" s="27"/>
      <c r="B419" s="23" t="s">
        <v>617</v>
      </c>
      <c r="C419" s="25" t="s">
        <v>26</v>
      </c>
    </row>
    <row r="420">
      <c r="A420" s="27"/>
      <c r="B420" s="23" t="s">
        <v>618</v>
      </c>
      <c r="C420" s="25" t="s">
        <v>26</v>
      </c>
    </row>
    <row r="421">
      <c r="A421" s="27"/>
      <c r="B421" s="23" t="s">
        <v>619</v>
      </c>
      <c r="C421" s="25" t="s">
        <v>26</v>
      </c>
    </row>
    <row r="422">
      <c r="A422" s="27"/>
      <c r="B422" s="23" t="s">
        <v>620</v>
      </c>
      <c r="C422" s="25" t="s">
        <v>26</v>
      </c>
    </row>
    <row r="423">
      <c r="A423" s="27"/>
      <c r="B423" s="23" t="s">
        <v>621</v>
      </c>
      <c r="C423" s="25" t="s">
        <v>26</v>
      </c>
    </row>
    <row r="424">
      <c r="A424" s="27"/>
      <c r="B424" s="23" t="s">
        <v>622</v>
      </c>
      <c r="C424" s="25" t="s">
        <v>26</v>
      </c>
    </row>
    <row r="425">
      <c r="A425" s="27"/>
      <c r="B425" s="23" t="s">
        <v>625</v>
      </c>
      <c r="C425" s="25" t="s">
        <v>26</v>
      </c>
    </row>
    <row r="426">
      <c r="A426" s="27"/>
      <c r="B426" s="23" t="s">
        <v>626</v>
      </c>
      <c r="C426" s="25" t="s">
        <v>26</v>
      </c>
    </row>
    <row r="427">
      <c r="A427" s="27"/>
      <c r="B427" s="23" t="s">
        <v>627</v>
      </c>
      <c r="C427" s="25" t="s">
        <v>26</v>
      </c>
    </row>
    <row r="428">
      <c r="A428" s="22">
        <v>38.0</v>
      </c>
      <c r="B428" s="23" t="s">
        <v>628</v>
      </c>
      <c r="C428" s="25" t="s">
        <v>26</v>
      </c>
    </row>
    <row r="429">
      <c r="A429" s="27"/>
      <c r="B429" s="23" t="s">
        <v>629</v>
      </c>
      <c r="C429" s="25" t="s">
        <v>26</v>
      </c>
    </row>
    <row r="430">
      <c r="A430" s="27"/>
      <c r="B430" s="23" t="s">
        <v>632</v>
      </c>
      <c r="C430" s="25" t="s">
        <v>26</v>
      </c>
      <c r="F430" s="62"/>
    </row>
    <row r="431">
      <c r="A431" s="27"/>
      <c r="B431" s="23" t="s">
        <v>633</v>
      </c>
      <c r="C431" s="25" t="s">
        <v>26</v>
      </c>
    </row>
    <row r="432">
      <c r="A432" s="27"/>
      <c r="B432" s="23" t="s">
        <v>634</v>
      </c>
      <c r="C432" s="25" t="s">
        <v>26</v>
      </c>
    </row>
    <row r="433">
      <c r="A433" s="27"/>
      <c r="B433" s="23" t="s">
        <v>635</v>
      </c>
      <c r="C433" s="25" t="s">
        <v>26</v>
      </c>
    </row>
    <row r="434">
      <c r="A434" s="27"/>
      <c r="B434" s="23" t="s">
        <v>636</v>
      </c>
      <c r="C434" s="25" t="s">
        <v>26</v>
      </c>
    </row>
    <row r="435">
      <c r="A435" s="27"/>
      <c r="B435" s="23" t="s">
        <v>637</v>
      </c>
      <c r="C435" s="25" t="s">
        <v>26</v>
      </c>
    </row>
    <row r="436">
      <c r="A436" s="27"/>
      <c r="B436" s="23" t="s">
        <v>638</v>
      </c>
      <c r="C436" s="25" t="s">
        <v>26</v>
      </c>
    </row>
    <row r="437">
      <c r="A437" s="27"/>
      <c r="B437" s="23" t="s">
        <v>639</v>
      </c>
      <c r="C437" s="25" t="s">
        <v>26</v>
      </c>
    </row>
    <row r="438">
      <c r="A438" s="27"/>
      <c r="B438" s="23" t="s">
        <v>640</v>
      </c>
      <c r="C438" s="25" t="s">
        <v>26</v>
      </c>
    </row>
    <row r="439">
      <c r="A439" s="27"/>
      <c r="B439" s="23" t="s">
        <v>641</v>
      </c>
      <c r="C439" s="25" t="s">
        <v>26</v>
      </c>
    </row>
    <row r="440">
      <c r="A440" s="22">
        <v>39.0</v>
      </c>
      <c r="B440" s="23" t="s">
        <v>643</v>
      </c>
      <c r="C440" s="25" t="s">
        <v>26</v>
      </c>
    </row>
    <row r="441">
      <c r="A441" s="27"/>
      <c r="B441" s="23" t="s">
        <v>645</v>
      </c>
      <c r="C441" s="25" t="s">
        <v>26</v>
      </c>
    </row>
    <row r="442">
      <c r="A442" s="27"/>
      <c r="B442" s="23" t="s">
        <v>479</v>
      </c>
      <c r="C442" s="25" t="s">
        <v>26</v>
      </c>
    </row>
    <row r="443">
      <c r="A443" s="27"/>
      <c r="B443" s="23" t="s">
        <v>646</v>
      </c>
      <c r="C443" s="25" t="s">
        <v>26</v>
      </c>
    </row>
    <row r="444">
      <c r="A444" s="27"/>
      <c r="B444" s="23" t="s">
        <v>648</v>
      </c>
      <c r="C444" s="25" t="s">
        <v>26</v>
      </c>
    </row>
    <row r="445">
      <c r="A445" s="27"/>
      <c r="B445" s="23" t="s">
        <v>261</v>
      </c>
      <c r="C445" s="25" t="s">
        <v>26</v>
      </c>
    </row>
    <row r="446">
      <c r="A446" s="22">
        <v>40.0</v>
      </c>
      <c r="B446" s="23" t="s">
        <v>650</v>
      </c>
      <c r="C446" s="25" t="s">
        <v>26</v>
      </c>
    </row>
    <row r="447">
      <c r="A447" s="27"/>
      <c r="B447" s="23" t="s">
        <v>651</v>
      </c>
      <c r="C447" s="25" t="s">
        <v>26</v>
      </c>
    </row>
    <row r="448">
      <c r="A448" s="27"/>
      <c r="B448" s="23" t="s">
        <v>652</v>
      </c>
      <c r="C448" s="25" t="s">
        <v>26</v>
      </c>
    </row>
    <row r="449">
      <c r="A449" s="27"/>
      <c r="B449" s="23" t="s">
        <v>653</v>
      </c>
      <c r="C449" s="25" t="s">
        <v>26</v>
      </c>
    </row>
    <row r="450">
      <c r="A450" s="27"/>
      <c r="B450" s="23" t="s">
        <v>654</v>
      </c>
      <c r="C450" s="25" t="s">
        <v>26</v>
      </c>
    </row>
    <row r="451">
      <c r="A451" s="27"/>
      <c r="B451" s="23" t="s">
        <v>655</v>
      </c>
      <c r="C451" s="25" t="s">
        <v>26</v>
      </c>
    </row>
    <row r="452">
      <c r="A452" s="27"/>
      <c r="B452" s="23" t="s">
        <v>657</v>
      </c>
      <c r="C452" s="25" t="s">
        <v>26</v>
      </c>
    </row>
    <row r="453">
      <c r="A453" s="27"/>
      <c r="B453" s="23" t="s">
        <v>659</v>
      </c>
      <c r="C453" s="25" t="s">
        <v>26</v>
      </c>
    </row>
    <row r="454">
      <c r="A454" s="27"/>
      <c r="B454" s="23" t="s">
        <v>660</v>
      </c>
      <c r="C454" s="25" t="s">
        <v>26</v>
      </c>
    </row>
    <row r="455">
      <c r="A455" s="27"/>
      <c r="B455" s="23" t="s">
        <v>661</v>
      </c>
      <c r="C455" s="25" t="s">
        <v>26</v>
      </c>
    </row>
    <row r="456">
      <c r="A456" s="27"/>
      <c r="B456" s="23" t="s">
        <v>662</v>
      </c>
      <c r="C456" s="25" t="s">
        <v>26</v>
      </c>
    </row>
    <row r="457">
      <c r="A457" s="22">
        <v>41.0</v>
      </c>
      <c r="B457" s="23" t="s">
        <v>663</v>
      </c>
      <c r="C457" s="25" t="s">
        <v>26</v>
      </c>
    </row>
    <row r="458">
      <c r="A458" s="27"/>
      <c r="B458" s="23" t="s">
        <v>664</v>
      </c>
      <c r="C458" s="25" t="s">
        <v>26</v>
      </c>
    </row>
    <row r="459">
      <c r="A459" s="27"/>
      <c r="B459" s="23" t="s">
        <v>665</v>
      </c>
      <c r="C459" s="25" t="s">
        <v>26</v>
      </c>
    </row>
    <row r="460">
      <c r="A460" s="27"/>
      <c r="B460" s="23" t="s">
        <v>666</v>
      </c>
      <c r="C460" s="25" t="s">
        <v>26</v>
      </c>
    </row>
    <row r="461">
      <c r="A461" s="27"/>
      <c r="B461" s="23" t="s">
        <v>668</v>
      </c>
      <c r="C461" s="25" t="s">
        <v>26</v>
      </c>
    </row>
    <row r="462">
      <c r="A462" s="27"/>
      <c r="B462" s="23" t="s">
        <v>670</v>
      </c>
      <c r="C462" s="25" t="s">
        <v>26</v>
      </c>
    </row>
    <row r="463">
      <c r="A463" s="27"/>
      <c r="B463" s="23" t="s">
        <v>671</v>
      </c>
      <c r="C463" s="25" t="s">
        <v>26</v>
      </c>
    </row>
    <row r="464">
      <c r="A464" s="27"/>
      <c r="B464" s="23" t="s">
        <v>672</v>
      </c>
      <c r="C464" s="25" t="s">
        <v>26</v>
      </c>
    </row>
    <row r="465">
      <c r="A465" s="27"/>
      <c r="B465" s="23" t="s">
        <v>673</v>
      </c>
      <c r="C465" s="25" t="s">
        <v>26</v>
      </c>
    </row>
    <row r="466">
      <c r="A466" s="27"/>
      <c r="B466" s="23" t="s">
        <v>674</v>
      </c>
      <c r="C466" s="25" t="s">
        <v>26</v>
      </c>
    </row>
    <row r="467">
      <c r="A467" s="22">
        <v>42.0</v>
      </c>
      <c r="B467" s="23" t="s">
        <v>675</v>
      </c>
      <c r="C467" s="25" t="s">
        <v>26</v>
      </c>
    </row>
    <row r="468">
      <c r="A468" s="27"/>
      <c r="B468" s="23" t="s">
        <v>676</v>
      </c>
      <c r="C468" s="25" t="s">
        <v>26</v>
      </c>
    </row>
    <row r="469">
      <c r="A469" s="27"/>
      <c r="B469" s="23" t="s">
        <v>677</v>
      </c>
      <c r="C469" s="25" t="s">
        <v>26</v>
      </c>
    </row>
    <row r="470">
      <c r="A470" s="27"/>
      <c r="B470" s="23" t="s">
        <v>678</v>
      </c>
      <c r="C470" s="25" t="s">
        <v>26</v>
      </c>
    </row>
    <row r="471">
      <c r="A471" s="27"/>
      <c r="B471" s="23" t="s">
        <v>679</v>
      </c>
      <c r="C471" s="25" t="s">
        <v>26</v>
      </c>
    </row>
    <row r="472">
      <c r="A472" s="27"/>
      <c r="B472" s="23" t="s">
        <v>680</v>
      </c>
      <c r="C472" s="25" t="s">
        <v>26</v>
      </c>
    </row>
    <row r="473">
      <c r="A473" s="22">
        <v>43.0</v>
      </c>
      <c r="B473" s="23" t="s">
        <v>681</v>
      </c>
      <c r="C473" s="25" t="s">
        <v>26</v>
      </c>
    </row>
    <row r="474">
      <c r="A474" s="27"/>
      <c r="B474" s="23" t="s">
        <v>682</v>
      </c>
      <c r="C474" s="25" t="s">
        <v>26</v>
      </c>
    </row>
    <row r="475">
      <c r="A475" s="27"/>
      <c r="B475" s="23" t="s">
        <v>683</v>
      </c>
      <c r="C475" s="25" t="s">
        <v>26</v>
      </c>
    </row>
    <row r="476">
      <c r="A476" s="27"/>
      <c r="B476" s="23" t="s">
        <v>684</v>
      </c>
      <c r="C476" s="25" t="s">
        <v>26</v>
      </c>
    </row>
    <row r="477">
      <c r="A477" s="27"/>
      <c r="B477" s="23" t="s">
        <v>685</v>
      </c>
      <c r="C477" s="25" t="s">
        <v>26</v>
      </c>
    </row>
    <row r="478">
      <c r="A478" s="27"/>
      <c r="B478" s="23" t="s">
        <v>686</v>
      </c>
      <c r="C478" s="25" t="s">
        <v>26</v>
      </c>
    </row>
    <row r="479">
      <c r="A479" s="27"/>
      <c r="B479" s="23" t="s">
        <v>687</v>
      </c>
      <c r="C479" s="25" t="s">
        <v>26</v>
      </c>
    </row>
    <row r="480">
      <c r="A480" s="27"/>
      <c r="B480" s="23" t="s">
        <v>688</v>
      </c>
      <c r="C480" s="25" t="s">
        <v>26</v>
      </c>
    </row>
    <row r="481">
      <c r="A481" s="27"/>
      <c r="B481" s="23" t="s">
        <v>689</v>
      </c>
      <c r="C481" s="25" t="s">
        <v>26</v>
      </c>
    </row>
    <row r="482">
      <c r="A482" s="27"/>
      <c r="B482" s="23" t="s">
        <v>693</v>
      </c>
      <c r="C482" s="25" t="s">
        <v>26</v>
      </c>
    </row>
    <row r="483">
      <c r="A483" s="27"/>
      <c r="B483" s="23" t="s">
        <v>695</v>
      </c>
      <c r="C483" s="25" t="s">
        <v>26</v>
      </c>
    </row>
    <row r="484">
      <c r="A484" s="27"/>
      <c r="B484" s="23" t="s">
        <v>696</v>
      </c>
      <c r="C484" s="25" t="s">
        <v>26</v>
      </c>
    </row>
    <row r="485">
      <c r="A485" s="27"/>
      <c r="B485" s="23" t="s">
        <v>697</v>
      </c>
      <c r="C485" s="25" t="s">
        <v>26</v>
      </c>
    </row>
    <row r="486">
      <c r="A486" s="27"/>
      <c r="B486" s="23" t="s">
        <v>698</v>
      </c>
      <c r="C486" s="25" t="s">
        <v>26</v>
      </c>
    </row>
    <row r="487">
      <c r="A487" s="27"/>
      <c r="B487" s="23" t="s">
        <v>699</v>
      </c>
      <c r="C487" s="25" t="s">
        <v>26</v>
      </c>
    </row>
    <row r="488">
      <c r="A488" s="22">
        <v>44.0</v>
      </c>
      <c r="B488" s="23" t="s">
        <v>700</v>
      </c>
      <c r="C488" s="25" t="s">
        <v>26</v>
      </c>
    </row>
    <row r="489">
      <c r="A489" s="27"/>
      <c r="B489" s="23" t="s">
        <v>701</v>
      </c>
      <c r="C489" s="25" t="s">
        <v>26</v>
      </c>
    </row>
    <row r="490">
      <c r="A490" s="27"/>
      <c r="B490" s="23" t="s">
        <v>702</v>
      </c>
      <c r="C490" s="25" t="s">
        <v>26</v>
      </c>
    </row>
    <row r="491">
      <c r="A491" s="27"/>
      <c r="B491" s="23" t="s">
        <v>703</v>
      </c>
      <c r="C491" s="25" t="s">
        <v>26</v>
      </c>
    </row>
    <row r="492">
      <c r="A492" s="27"/>
      <c r="B492" s="23" t="s">
        <v>704</v>
      </c>
      <c r="C492" s="25" t="s">
        <v>26</v>
      </c>
    </row>
    <row r="493">
      <c r="A493" s="27"/>
      <c r="B493" s="23" t="s">
        <v>707</v>
      </c>
      <c r="C493" s="25" t="s">
        <v>26</v>
      </c>
    </row>
    <row r="494">
      <c r="A494" s="27"/>
      <c r="B494" s="23" t="s">
        <v>708</v>
      </c>
      <c r="C494" s="25" t="s">
        <v>26</v>
      </c>
    </row>
    <row r="495">
      <c r="A495" s="27"/>
      <c r="B495" s="23" t="s">
        <v>709</v>
      </c>
      <c r="C495" s="25" t="s">
        <v>26</v>
      </c>
    </row>
    <row r="496">
      <c r="A496" s="27"/>
      <c r="B496" s="23" t="s">
        <v>710</v>
      </c>
      <c r="C496" s="25" t="s">
        <v>26</v>
      </c>
    </row>
    <row r="497">
      <c r="A497" s="22">
        <v>45.0</v>
      </c>
      <c r="B497" s="23" t="s">
        <v>711</v>
      </c>
      <c r="C497" s="25" t="s">
        <v>26</v>
      </c>
    </row>
    <row r="498">
      <c r="A498" s="27"/>
      <c r="B498" s="23" t="s">
        <v>712</v>
      </c>
      <c r="C498" s="25" t="s">
        <v>26</v>
      </c>
    </row>
    <row r="499">
      <c r="A499" s="27"/>
      <c r="B499" s="23" t="s">
        <v>713</v>
      </c>
      <c r="C499" s="25" t="s">
        <v>26</v>
      </c>
    </row>
    <row r="500">
      <c r="A500" s="27"/>
      <c r="B500" s="23" t="s">
        <v>714</v>
      </c>
      <c r="C500" s="25" t="s">
        <v>26</v>
      </c>
    </row>
    <row r="501">
      <c r="A501" s="27"/>
      <c r="B501" s="23" t="s">
        <v>715</v>
      </c>
      <c r="C501" s="25" t="s">
        <v>26</v>
      </c>
    </row>
    <row r="502">
      <c r="A502" s="27"/>
      <c r="B502" s="23" t="s">
        <v>716</v>
      </c>
      <c r="C502" s="25" t="s">
        <v>26</v>
      </c>
    </row>
    <row r="503">
      <c r="A503" s="27"/>
      <c r="B503" s="23" t="s">
        <v>717</v>
      </c>
      <c r="C503" s="25" t="s">
        <v>26</v>
      </c>
    </row>
    <row r="504">
      <c r="A504" s="27"/>
      <c r="B504" s="23" t="s">
        <v>720</v>
      </c>
      <c r="C504" s="25" t="s">
        <v>26</v>
      </c>
    </row>
    <row r="505">
      <c r="A505" s="27"/>
      <c r="B505" s="23" t="s">
        <v>721</v>
      </c>
      <c r="C505" s="25" t="s">
        <v>26</v>
      </c>
    </row>
    <row r="506">
      <c r="A506" s="27"/>
      <c r="B506" s="23" t="s">
        <v>722</v>
      </c>
      <c r="C506" s="25" t="s">
        <v>26</v>
      </c>
    </row>
    <row r="507">
      <c r="A507" s="27"/>
      <c r="B507" s="23" t="s">
        <v>723</v>
      </c>
      <c r="C507" s="25" t="s">
        <v>26</v>
      </c>
    </row>
    <row r="508">
      <c r="A508" s="27"/>
      <c r="B508" s="23" t="s">
        <v>724</v>
      </c>
      <c r="C508" s="25" t="s">
        <v>26</v>
      </c>
    </row>
    <row r="509">
      <c r="A509" s="68" t="s">
        <v>725</v>
      </c>
      <c r="B509" s="69" t="s">
        <v>726</v>
      </c>
      <c r="C509" s="25" t="s">
        <v>727</v>
      </c>
    </row>
  </sheetData>
  <mergeCells count="3">
    <mergeCell ref="A1:B1"/>
    <mergeCell ref="A2:B2"/>
    <mergeCell ref="A3:B3"/>
  </mergeCells>
  <dataValidations>
    <dataValidation type="list" allowBlank="1" showErrorMessage="1" sqref="C8:C509">
      <formula1>"Done,Pending"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7.25"/>
    <col customWidth="1" min="3" max="3" width="57.38"/>
    <col customWidth="1" min="4" max="4" width="23.63"/>
    <col customWidth="1" min="5" max="5" width="21.0"/>
  </cols>
  <sheetData>
    <row r="1">
      <c r="A1" s="1"/>
      <c r="B1" s="1"/>
      <c r="C1" s="8"/>
      <c r="D1" s="1"/>
      <c r="E1" s="1"/>
    </row>
    <row r="2">
      <c r="A2" s="11" t="s">
        <v>9</v>
      </c>
      <c r="B2" s="11" t="s">
        <v>13</v>
      </c>
      <c r="C2" s="14" t="s">
        <v>14</v>
      </c>
      <c r="D2" s="11" t="s">
        <v>15</v>
      </c>
      <c r="E2" s="11" t="s">
        <v>16</v>
      </c>
    </row>
    <row r="3">
      <c r="A3" s="18">
        <v>1.0</v>
      </c>
      <c r="B3" s="18" t="s">
        <v>19</v>
      </c>
      <c r="C3" s="21" t="s">
        <v>21</v>
      </c>
      <c r="D3" s="18">
        <v>30.0</v>
      </c>
      <c r="E3" s="18" t="s">
        <v>22</v>
      </c>
    </row>
    <row r="4">
      <c r="A4" s="18">
        <v>2.0</v>
      </c>
      <c r="B4" s="18" t="s">
        <v>24</v>
      </c>
      <c r="C4" s="21" t="s">
        <v>25</v>
      </c>
      <c r="D4" s="18">
        <v>30.0</v>
      </c>
      <c r="E4" s="18" t="s">
        <v>22</v>
      </c>
    </row>
    <row r="5">
      <c r="A5" s="18">
        <v>3.0</v>
      </c>
      <c r="B5" s="18" t="s">
        <v>27</v>
      </c>
      <c r="C5" s="21" t="s">
        <v>28</v>
      </c>
      <c r="D5" s="18">
        <v>31.0</v>
      </c>
      <c r="E5" s="18" t="s">
        <v>22</v>
      </c>
    </row>
    <row r="6">
      <c r="A6" s="18">
        <v>4.0</v>
      </c>
      <c r="B6" s="18" t="s">
        <v>30</v>
      </c>
      <c r="C6" s="28" t="s">
        <v>32</v>
      </c>
      <c r="D6" s="18">
        <v>43.0</v>
      </c>
      <c r="E6" s="18" t="s">
        <v>22</v>
      </c>
    </row>
    <row r="7">
      <c r="A7" s="18">
        <v>5.0</v>
      </c>
      <c r="B7" s="18" t="s">
        <v>38</v>
      </c>
      <c r="C7" s="21" t="s">
        <v>41</v>
      </c>
      <c r="D7" s="18">
        <v>41.0</v>
      </c>
      <c r="E7" s="18" t="s">
        <v>22</v>
      </c>
    </row>
    <row r="8">
      <c r="A8" s="18">
        <v>6.0</v>
      </c>
      <c r="B8" s="18" t="s">
        <v>46</v>
      </c>
      <c r="C8" s="21" t="s">
        <v>49</v>
      </c>
      <c r="D8" s="18">
        <v>50.0</v>
      </c>
      <c r="E8" s="18" t="s">
        <v>22</v>
      </c>
    </row>
    <row r="9">
      <c r="A9" s="18">
        <v>7.0</v>
      </c>
      <c r="B9" s="30">
        <v>46028.0</v>
      </c>
      <c r="C9" s="21" t="s">
        <v>57</v>
      </c>
      <c r="D9" s="18">
        <v>49.0</v>
      </c>
      <c r="E9" s="18" t="s">
        <v>22</v>
      </c>
    </row>
    <row r="10">
      <c r="A10" s="18">
        <v>8.0</v>
      </c>
      <c r="B10" s="30">
        <v>46059.0</v>
      </c>
      <c r="C10" s="21" t="s">
        <v>62</v>
      </c>
      <c r="D10" s="18">
        <v>50.0</v>
      </c>
      <c r="E10" s="18" t="s">
        <v>22</v>
      </c>
    </row>
    <row r="11">
      <c r="A11" s="18">
        <v>9.0</v>
      </c>
      <c r="B11" s="30">
        <v>46087.0</v>
      </c>
      <c r="C11" s="21" t="s">
        <v>64</v>
      </c>
      <c r="D11" s="18">
        <v>56.0</v>
      </c>
      <c r="E11" s="18" t="s">
        <v>22</v>
      </c>
    </row>
    <row r="12">
      <c r="A12" s="18">
        <v>10.0</v>
      </c>
      <c r="B12" s="30">
        <v>46118.0</v>
      </c>
      <c r="C12" s="21" t="s">
        <v>67</v>
      </c>
      <c r="D12" s="18">
        <v>59.0</v>
      </c>
      <c r="E12" s="18" t="s">
        <v>22</v>
      </c>
    </row>
    <row r="13">
      <c r="A13" s="18">
        <v>11.0</v>
      </c>
      <c r="B13" s="30">
        <v>46148.0</v>
      </c>
      <c r="C13" s="21" t="s">
        <v>71</v>
      </c>
      <c r="D13" s="18">
        <v>55.0</v>
      </c>
      <c r="E13" s="18" t="s">
        <v>22</v>
      </c>
    </row>
    <row r="14">
      <c r="A14" s="18">
        <v>12.0</v>
      </c>
      <c r="B14" s="30">
        <v>46179.0</v>
      </c>
      <c r="C14" s="21" t="s">
        <v>73</v>
      </c>
      <c r="D14" s="18">
        <v>52.0</v>
      </c>
      <c r="E14" s="18" t="s">
        <v>22</v>
      </c>
    </row>
    <row r="15">
      <c r="A15" s="18">
        <v>13.0</v>
      </c>
      <c r="B15" s="30">
        <v>46240.0</v>
      </c>
      <c r="C15" s="21" t="s">
        <v>77</v>
      </c>
      <c r="D15" s="18">
        <v>53.0</v>
      </c>
      <c r="E15" s="18" t="s">
        <v>22</v>
      </c>
    </row>
    <row r="16">
      <c r="A16" s="18">
        <v>14.0</v>
      </c>
      <c r="B16" s="30">
        <v>46271.0</v>
      </c>
      <c r="C16" s="21" t="s">
        <v>80</v>
      </c>
      <c r="D16" s="18">
        <v>49.0</v>
      </c>
      <c r="E16" s="18" t="s">
        <v>22</v>
      </c>
    </row>
    <row r="17">
      <c r="A17" s="18">
        <v>15.0</v>
      </c>
      <c r="B17" s="30">
        <v>46301.0</v>
      </c>
      <c r="C17" s="21" t="s">
        <v>83</v>
      </c>
      <c r="D17" s="18">
        <v>46.0</v>
      </c>
      <c r="E17" s="18" t="s">
        <v>22</v>
      </c>
    </row>
    <row r="18" ht="51.75" customHeight="1">
      <c r="A18" s="18">
        <v>16.0</v>
      </c>
      <c r="B18" s="30">
        <v>46332.0</v>
      </c>
      <c r="C18" s="21" t="s">
        <v>86</v>
      </c>
      <c r="D18" s="18">
        <v>51.0</v>
      </c>
      <c r="E18" s="18" t="s">
        <v>22</v>
      </c>
    </row>
    <row r="19">
      <c r="A19" s="18">
        <v>17.0</v>
      </c>
      <c r="B19" s="30">
        <v>46362.0</v>
      </c>
      <c r="C19" s="21" t="s">
        <v>89</v>
      </c>
      <c r="D19" s="18">
        <v>49.0</v>
      </c>
      <c r="E19" s="18" t="s">
        <v>22</v>
      </c>
    </row>
    <row r="20" ht="36.0" customHeight="1">
      <c r="A20" s="18">
        <v>18.0</v>
      </c>
      <c r="B20" s="18" t="s">
        <v>92</v>
      </c>
      <c r="C20" s="21" t="s">
        <v>93</v>
      </c>
      <c r="D20" s="18">
        <v>53.0</v>
      </c>
      <c r="E20" s="18" t="s">
        <v>22</v>
      </c>
    </row>
    <row r="21" ht="33.75" customHeight="1">
      <c r="A21" s="18">
        <v>19.0</v>
      </c>
      <c r="B21" s="18" t="s">
        <v>95</v>
      </c>
      <c r="C21" s="21" t="s">
        <v>96</v>
      </c>
      <c r="D21" s="18">
        <v>46.0</v>
      </c>
      <c r="E21" s="18" t="s">
        <v>22</v>
      </c>
    </row>
    <row r="22" ht="32.25" customHeight="1">
      <c r="A22" s="18">
        <v>20.0</v>
      </c>
      <c r="B22" s="18" t="s">
        <v>99</v>
      </c>
      <c r="C22" s="21" t="s">
        <v>100</v>
      </c>
      <c r="D22" s="18">
        <v>50.0</v>
      </c>
      <c r="E22" s="18" t="s">
        <v>22</v>
      </c>
    </row>
    <row r="23" ht="20.25" customHeight="1">
      <c r="A23" s="40">
        <v>21.0</v>
      </c>
      <c r="B23" s="40" t="s">
        <v>104</v>
      </c>
      <c r="C23" s="28" t="s">
        <v>105</v>
      </c>
      <c r="D23" s="40">
        <v>49.0</v>
      </c>
      <c r="E23" s="40" t="s">
        <v>22</v>
      </c>
    </row>
    <row r="24">
      <c r="A24" s="40">
        <v>22.0</v>
      </c>
      <c r="B24" s="40" t="s">
        <v>107</v>
      </c>
      <c r="C24" s="28" t="s">
        <v>105</v>
      </c>
      <c r="D24" s="40">
        <v>49.0</v>
      </c>
      <c r="E24" s="40" t="s">
        <v>22</v>
      </c>
    </row>
    <row r="25">
      <c r="A25" s="40">
        <v>23.0</v>
      </c>
      <c r="B25" s="40" t="s">
        <v>110</v>
      </c>
      <c r="C25" s="28" t="s">
        <v>111</v>
      </c>
      <c r="D25" s="40">
        <v>51.0</v>
      </c>
      <c r="E25" s="40" t="s">
        <v>22</v>
      </c>
    </row>
    <row r="26">
      <c r="A26" s="40">
        <v>24.0</v>
      </c>
      <c r="B26" s="40" t="s">
        <v>112</v>
      </c>
      <c r="C26" s="28" t="s">
        <v>114</v>
      </c>
      <c r="D26" s="40">
        <v>48.0</v>
      </c>
      <c r="E26" s="40" t="s">
        <v>22</v>
      </c>
    </row>
    <row r="27">
      <c r="A27" s="40">
        <v>25.0</v>
      </c>
      <c r="B27" s="40" t="s">
        <v>115</v>
      </c>
      <c r="C27" s="28" t="s">
        <v>116</v>
      </c>
      <c r="D27" s="40">
        <v>48.0</v>
      </c>
      <c r="E27" s="40" t="s">
        <v>22</v>
      </c>
    </row>
    <row r="28">
      <c r="A28" s="40">
        <v>26.0</v>
      </c>
      <c r="B28" s="40" t="s">
        <v>118</v>
      </c>
      <c r="C28" s="28" t="s">
        <v>119</v>
      </c>
      <c r="D28" s="40">
        <v>54.0</v>
      </c>
      <c r="E28" s="40" t="s">
        <v>22</v>
      </c>
    </row>
    <row r="29">
      <c r="A29" s="40">
        <v>27.0</v>
      </c>
      <c r="B29" s="40" t="s">
        <v>121</v>
      </c>
      <c r="C29" s="28" t="s">
        <v>122</v>
      </c>
      <c r="D29" s="40">
        <v>54.0</v>
      </c>
      <c r="E29" s="40" t="s">
        <v>22</v>
      </c>
    </row>
    <row r="30">
      <c r="A30" s="40">
        <v>28.0</v>
      </c>
      <c r="B30" s="40" t="s">
        <v>124</v>
      </c>
      <c r="C30" s="28" t="s">
        <v>125</v>
      </c>
      <c r="D30" s="40">
        <v>50.0</v>
      </c>
      <c r="E30" s="40" t="s">
        <v>22</v>
      </c>
    </row>
    <row r="31">
      <c r="A31" s="40">
        <v>29.0</v>
      </c>
      <c r="B31" s="40" t="s">
        <v>127</v>
      </c>
      <c r="C31" s="28" t="s">
        <v>128</v>
      </c>
      <c r="D31" s="40">
        <v>58.0</v>
      </c>
      <c r="E31" s="40" t="s">
        <v>22</v>
      </c>
    </row>
    <row r="32">
      <c r="A32" s="40">
        <v>30.0</v>
      </c>
      <c r="B32" s="40" t="s">
        <v>129</v>
      </c>
      <c r="C32" s="28" t="s">
        <v>130</v>
      </c>
      <c r="D32" s="40">
        <v>60.0</v>
      </c>
      <c r="E32" s="40" t="s">
        <v>22</v>
      </c>
    </row>
    <row r="33">
      <c r="A33" s="40">
        <v>31.0</v>
      </c>
      <c r="B33" s="40" t="s">
        <v>132</v>
      </c>
      <c r="C33" s="28" t="s">
        <v>133</v>
      </c>
      <c r="D33" s="40">
        <v>57.0</v>
      </c>
      <c r="E33" s="40" t="s">
        <v>22</v>
      </c>
    </row>
    <row r="34">
      <c r="A34" s="40">
        <v>32.0</v>
      </c>
      <c r="B34" s="40" t="s">
        <v>135</v>
      </c>
      <c r="C34" s="28" t="s">
        <v>136</v>
      </c>
      <c r="D34" s="40">
        <v>55.0</v>
      </c>
      <c r="E34" s="40" t="s">
        <v>22</v>
      </c>
    </row>
    <row r="35">
      <c r="A35" s="40">
        <v>33.0</v>
      </c>
      <c r="B35" s="45">
        <v>46029.0</v>
      </c>
      <c r="C35" s="28" t="s">
        <v>138</v>
      </c>
      <c r="D35" s="40">
        <v>50.0</v>
      </c>
      <c r="E35" s="40" t="s">
        <v>22</v>
      </c>
    </row>
    <row r="36">
      <c r="A36" s="40">
        <v>34.0</v>
      </c>
      <c r="B36" s="45">
        <v>46060.0</v>
      </c>
      <c r="C36" s="28" t="s">
        <v>141</v>
      </c>
      <c r="D36" s="40">
        <v>57.0</v>
      </c>
      <c r="E36" s="40" t="s">
        <v>22</v>
      </c>
    </row>
    <row r="37">
      <c r="A37" s="40">
        <v>35.0</v>
      </c>
      <c r="B37" s="45">
        <v>46088.0</v>
      </c>
      <c r="C37" s="28" t="s">
        <v>144</v>
      </c>
      <c r="D37" s="40">
        <v>60.0</v>
      </c>
      <c r="E37" s="40" t="s">
        <v>22</v>
      </c>
    </row>
    <row r="38">
      <c r="A38" s="40">
        <v>36.0</v>
      </c>
      <c r="B38" s="45">
        <v>46119.0</v>
      </c>
      <c r="C38" s="28" t="s">
        <v>146</v>
      </c>
      <c r="D38" s="40">
        <v>54.0</v>
      </c>
      <c r="E38" s="40" t="s">
        <v>22</v>
      </c>
    </row>
    <row r="39">
      <c r="A39" s="40">
        <v>37.0</v>
      </c>
      <c r="B39" s="45">
        <v>46180.0</v>
      </c>
      <c r="C39" s="28" t="s">
        <v>148</v>
      </c>
      <c r="D39" s="40">
        <v>48.0</v>
      </c>
      <c r="E39" s="40" t="s">
        <v>22</v>
      </c>
    </row>
    <row r="40">
      <c r="A40" s="40">
        <v>38.0</v>
      </c>
      <c r="B40" s="45">
        <v>46210.0</v>
      </c>
      <c r="C40" s="28" t="s">
        <v>150</v>
      </c>
      <c r="D40" s="40">
        <v>48.0</v>
      </c>
      <c r="E40" s="40" t="s">
        <v>22</v>
      </c>
    </row>
    <row r="41">
      <c r="A41" s="40">
        <v>39.0</v>
      </c>
      <c r="B41" s="45">
        <v>46241.0</v>
      </c>
      <c r="C41" s="28" t="s">
        <v>152</v>
      </c>
      <c r="D41" s="40">
        <v>47.0</v>
      </c>
      <c r="E41" s="40" t="s">
        <v>22</v>
      </c>
    </row>
    <row r="42">
      <c r="A42" s="40">
        <v>40.0</v>
      </c>
      <c r="B42" s="45">
        <v>46272.0</v>
      </c>
      <c r="C42" s="28" t="s">
        <v>153</v>
      </c>
      <c r="D42" s="40">
        <v>43.0</v>
      </c>
      <c r="E42" s="40" t="s">
        <v>22</v>
      </c>
    </row>
    <row r="43" ht="15.75" customHeight="1">
      <c r="A43" s="40">
        <v>41.0</v>
      </c>
      <c r="B43" s="45">
        <v>46302.0</v>
      </c>
      <c r="C43" s="28" t="s">
        <v>155</v>
      </c>
      <c r="D43" s="40">
        <v>43.0</v>
      </c>
      <c r="E43" s="40" t="s">
        <v>22</v>
      </c>
    </row>
    <row r="44">
      <c r="A44" s="40">
        <v>42.0</v>
      </c>
      <c r="B44" s="45">
        <v>46333.0</v>
      </c>
      <c r="C44" s="28" t="s">
        <v>157</v>
      </c>
      <c r="D44" s="40">
        <v>47.0</v>
      </c>
      <c r="E44" s="40" t="s">
        <v>22</v>
      </c>
    </row>
    <row r="45">
      <c r="A45" s="40">
        <v>43.0</v>
      </c>
      <c r="B45" s="40" t="s">
        <v>159</v>
      </c>
      <c r="C45" s="28" t="s">
        <v>160</v>
      </c>
      <c r="D45" s="40">
        <v>38.0</v>
      </c>
      <c r="E45" s="40" t="s">
        <v>22</v>
      </c>
    </row>
    <row r="46">
      <c r="A46" s="40">
        <v>44.0</v>
      </c>
      <c r="B46" s="40" t="s">
        <v>162</v>
      </c>
      <c r="C46" s="28" t="s">
        <v>163</v>
      </c>
      <c r="D46" s="40">
        <v>39.0</v>
      </c>
      <c r="E46" s="40" t="s">
        <v>22</v>
      </c>
    </row>
    <row r="47">
      <c r="A47" s="40">
        <v>45.0</v>
      </c>
      <c r="B47" s="40" t="s">
        <v>165</v>
      </c>
      <c r="C47" s="28" t="s">
        <v>166</v>
      </c>
      <c r="D47" s="40">
        <v>44.0</v>
      </c>
      <c r="E47" s="40" t="s">
        <v>22</v>
      </c>
    </row>
    <row r="48">
      <c r="A48" s="40">
        <v>46.0</v>
      </c>
      <c r="B48" s="40" t="s">
        <v>168</v>
      </c>
      <c r="C48" s="28" t="s">
        <v>169</v>
      </c>
      <c r="D48" s="40">
        <v>37.0</v>
      </c>
      <c r="E48" s="40" t="s">
        <v>22</v>
      </c>
    </row>
    <row r="49">
      <c r="A49" s="40">
        <v>47.0</v>
      </c>
      <c r="B49" s="40" t="s">
        <v>171</v>
      </c>
      <c r="C49" s="28" t="s">
        <v>173</v>
      </c>
      <c r="D49" s="40">
        <v>32.0</v>
      </c>
      <c r="E49" s="40" t="s">
        <v>22</v>
      </c>
    </row>
    <row r="50">
      <c r="A50" s="40">
        <v>48.0</v>
      </c>
      <c r="B50" s="40" t="s">
        <v>175</v>
      </c>
      <c r="C50" s="28" t="s">
        <v>176</v>
      </c>
      <c r="D50" s="40">
        <v>30.0</v>
      </c>
      <c r="E50" s="40" t="s">
        <v>22</v>
      </c>
    </row>
    <row r="51">
      <c r="A51" s="48"/>
      <c r="B51" s="48"/>
      <c r="C51" s="8"/>
      <c r="D51" s="48"/>
      <c r="E51" s="48"/>
    </row>
    <row r="52">
      <c r="A52" s="48"/>
      <c r="B52" s="48"/>
      <c r="C52" s="8"/>
      <c r="D52" s="48"/>
      <c r="E52" s="48"/>
    </row>
    <row r="53">
      <c r="A53" s="48"/>
      <c r="B53" s="48"/>
      <c r="C53" s="8"/>
      <c r="D53" s="48"/>
      <c r="E53" s="48"/>
    </row>
    <row r="54">
      <c r="A54" s="48"/>
      <c r="B54" s="48"/>
      <c r="C54" s="8"/>
      <c r="D54" s="48"/>
      <c r="E54" s="48"/>
    </row>
    <row r="55">
      <c r="A55" s="48"/>
      <c r="B55" s="48"/>
      <c r="C55" s="8"/>
      <c r="D55" s="48"/>
      <c r="E55" s="48"/>
    </row>
    <row r="56">
      <c r="A56" s="48"/>
      <c r="B56" s="48"/>
      <c r="C56" s="8"/>
      <c r="D56" s="48"/>
      <c r="E56" s="48"/>
    </row>
    <row r="57">
      <c r="A57" s="48"/>
      <c r="B57" s="48"/>
      <c r="C57" s="8"/>
      <c r="D57" s="48"/>
      <c r="E57" s="48"/>
    </row>
    <row r="58">
      <c r="A58" s="48"/>
      <c r="B58" s="48"/>
      <c r="C58" s="8"/>
      <c r="D58" s="48"/>
      <c r="E58" s="48"/>
    </row>
    <row r="59">
      <c r="A59" s="48"/>
      <c r="B59" s="48"/>
      <c r="C59" s="8"/>
      <c r="D59" s="48"/>
      <c r="E59" s="48"/>
    </row>
    <row r="60">
      <c r="A60" s="48"/>
      <c r="B60" s="48"/>
      <c r="C60" s="8"/>
      <c r="D60" s="48"/>
      <c r="E60" s="48"/>
    </row>
    <row r="61">
      <c r="A61" s="48"/>
      <c r="B61" s="48"/>
      <c r="C61" s="8"/>
      <c r="D61" s="48"/>
      <c r="E61" s="48"/>
    </row>
    <row r="62">
      <c r="A62" s="48"/>
      <c r="B62" s="48"/>
      <c r="C62" s="8"/>
      <c r="D62" s="48"/>
      <c r="E62" s="48"/>
    </row>
    <row r="63">
      <c r="A63" s="48"/>
      <c r="B63" s="48"/>
      <c r="C63" s="8"/>
      <c r="D63" s="48"/>
      <c r="E63" s="48"/>
    </row>
    <row r="64">
      <c r="A64" s="48"/>
      <c r="B64" s="48"/>
      <c r="C64" s="8"/>
      <c r="D64" s="48"/>
      <c r="E64" s="48"/>
    </row>
    <row r="65">
      <c r="A65" s="48"/>
      <c r="B65" s="48"/>
      <c r="C65" s="8"/>
      <c r="D65" s="48"/>
      <c r="E65" s="48"/>
    </row>
    <row r="66">
      <c r="A66" s="48"/>
      <c r="B66" s="48"/>
      <c r="C66" s="8"/>
      <c r="D66" s="48"/>
      <c r="E66" s="48"/>
    </row>
    <row r="67">
      <c r="A67" s="48"/>
      <c r="B67" s="48"/>
      <c r="C67" s="8"/>
      <c r="D67" s="48"/>
      <c r="E67" s="48"/>
    </row>
    <row r="68">
      <c r="A68" s="48"/>
      <c r="B68" s="48"/>
      <c r="C68" s="8"/>
      <c r="D68" s="48"/>
      <c r="E68" s="48"/>
    </row>
    <row r="69">
      <c r="A69" s="48"/>
      <c r="B69" s="48"/>
      <c r="C69" s="8"/>
      <c r="D69" s="48"/>
      <c r="E69" s="48"/>
    </row>
    <row r="70">
      <c r="A70" s="48"/>
      <c r="B70" s="48"/>
      <c r="C70" s="8"/>
      <c r="D70" s="48"/>
      <c r="E70" s="48"/>
    </row>
    <row r="71">
      <c r="A71" s="48"/>
      <c r="B71" s="48"/>
      <c r="C71" s="8"/>
      <c r="D71" s="48"/>
      <c r="E71" s="48"/>
    </row>
    <row r="72">
      <c r="A72" s="48"/>
      <c r="B72" s="48"/>
      <c r="C72" s="8"/>
      <c r="D72" s="48"/>
      <c r="E72" s="48"/>
    </row>
    <row r="73">
      <c r="A73" s="48"/>
      <c r="B73" s="48"/>
      <c r="C73" s="8"/>
      <c r="D73" s="48"/>
      <c r="E73" s="48"/>
    </row>
    <row r="74">
      <c r="A74" s="48"/>
      <c r="B74" s="48"/>
      <c r="C74" s="8"/>
      <c r="D74" s="48"/>
      <c r="E74" s="48"/>
    </row>
    <row r="75">
      <c r="A75" s="48"/>
      <c r="B75" s="48"/>
      <c r="C75" s="8"/>
      <c r="D75" s="48"/>
      <c r="E75" s="48"/>
    </row>
    <row r="76">
      <c r="A76" s="48"/>
      <c r="B76" s="48"/>
      <c r="C76" s="8"/>
      <c r="D76" s="48"/>
      <c r="E76" s="48"/>
    </row>
    <row r="77">
      <c r="A77" s="48"/>
      <c r="B77" s="48"/>
      <c r="C77" s="8"/>
      <c r="D77" s="48"/>
      <c r="E77" s="48"/>
    </row>
    <row r="78">
      <c r="A78" s="48"/>
      <c r="B78" s="48"/>
      <c r="C78" s="8"/>
      <c r="D78" s="48"/>
      <c r="E78" s="48"/>
    </row>
    <row r="79">
      <c r="A79" s="48"/>
      <c r="B79" s="48"/>
      <c r="C79" s="8"/>
      <c r="D79" s="48"/>
      <c r="E79" s="48"/>
    </row>
    <row r="80">
      <c r="A80" s="48"/>
      <c r="B80" s="48"/>
      <c r="C80" s="8"/>
      <c r="D80" s="48"/>
      <c r="E80" s="48"/>
    </row>
    <row r="81">
      <c r="A81" s="48"/>
      <c r="B81" s="48"/>
      <c r="C81" s="8"/>
      <c r="D81" s="48"/>
      <c r="E81" s="48"/>
    </row>
    <row r="82">
      <c r="A82" s="48"/>
      <c r="B82" s="48"/>
      <c r="C82" s="8"/>
      <c r="D82" s="48"/>
      <c r="E82" s="48"/>
    </row>
    <row r="83">
      <c r="A83" s="48"/>
      <c r="B83" s="48"/>
      <c r="C83" s="8"/>
      <c r="D83" s="48"/>
      <c r="E83" s="48"/>
    </row>
    <row r="84">
      <c r="A84" s="48"/>
      <c r="B84" s="48"/>
      <c r="C84" s="8"/>
      <c r="D84" s="48"/>
      <c r="E84" s="48"/>
    </row>
    <row r="85">
      <c r="A85" s="48"/>
      <c r="B85" s="48"/>
      <c r="C85" s="8"/>
      <c r="D85" s="48"/>
      <c r="E85" s="48"/>
    </row>
    <row r="86">
      <c r="A86" s="48"/>
      <c r="B86" s="48"/>
      <c r="C86" s="8"/>
      <c r="D86" s="48"/>
      <c r="E86" s="48"/>
    </row>
    <row r="87">
      <c r="A87" s="48"/>
      <c r="B87" s="48"/>
      <c r="C87" s="8"/>
      <c r="D87" s="48"/>
      <c r="E87" s="48"/>
    </row>
    <row r="88">
      <c r="A88" s="48"/>
      <c r="B88" s="48"/>
      <c r="C88" s="8"/>
      <c r="D88" s="48"/>
      <c r="E88" s="48"/>
    </row>
    <row r="89">
      <c r="A89" s="48"/>
      <c r="B89" s="48"/>
      <c r="C89" s="8"/>
      <c r="D89" s="48"/>
      <c r="E89" s="48"/>
    </row>
    <row r="90">
      <c r="A90" s="48"/>
      <c r="B90" s="48"/>
      <c r="C90" s="8"/>
      <c r="D90" s="48"/>
      <c r="E90" s="48"/>
    </row>
    <row r="91">
      <c r="A91" s="48"/>
      <c r="B91" s="48"/>
      <c r="C91" s="8"/>
      <c r="D91" s="48"/>
      <c r="E91" s="48"/>
    </row>
    <row r="92">
      <c r="A92" s="48"/>
      <c r="B92" s="48"/>
      <c r="C92" s="8"/>
      <c r="D92" s="48"/>
      <c r="E92" s="48"/>
    </row>
    <row r="93">
      <c r="A93" s="48"/>
      <c r="B93" s="48"/>
      <c r="C93" s="8"/>
      <c r="D93" s="48"/>
      <c r="E93" s="48"/>
    </row>
    <row r="94">
      <c r="A94" s="48"/>
      <c r="B94" s="48"/>
      <c r="C94" s="8"/>
      <c r="D94" s="48"/>
      <c r="E94" s="48"/>
    </row>
    <row r="95">
      <c r="A95" s="48"/>
      <c r="B95" s="48"/>
      <c r="C95" s="8"/>
      <c r="D95" s="48"/>
      <c r="E95" s="48"/>
    </row>
    <row r="96">
      <c r="A96" s="48"/>
      <c r="B96" s="48"/>
      <c r="C96" s="8"/>
      <c r="D96" s="48"/>
      <c r="E96" s="48"/>
    </row>
    <row r="97">
      <c r="A97" s="48"/>
      <c r="B97" s="48"/>
      <c r="C97" s="8"/>
      <c r="D97" s="48"/>
      <c r="E97" s="48"/>
    </row>
    <row r="98">
      <c r="A98" s="48"/>
      <c r="B98" s="48"/>
      <c r="C98" s="8"/>
      <c r="D98" s="48"/>
      <c r="E98" s="48"/>
    </row>
    <row r="99">
      <c r="A99" s="48"/>
      <c r="B99" s="48"/>
      <c r="C99" s="8"/>
      <c r="D99" s="48"/>
      <c r="E99" s="48"/>
    </row>
    <row r="100">
      <c r="A100" s="48"/>
      <c r="B100" s="48"/>
      <c r="C100" s="8"/>
      <c r="D100" s="48"/>
      <c r="E100" s="48"/>
    </row>
    <row r="101">
      <c r="A101" s="48"/>
      <c r="B101" s="48"/>
      <c r="C101" s="8"/>
      <c r="D101" s="48"/>
      <c r="E101" s="48"/>
    </row>
    <row r="102">
      <c r="A102" s="48"/>
      <c r="B102" s="48"/>
      <c r="C102" s="8"/>
      <c r="D102" s="48"/>
      <c r="E102" s="48"/>
    </row>
    <row r="103">
      <c r="A103" s="48"/>
      <c r="B103" s="48"/>
      <c r="C103" s="8"/>
      <c r="D103" s="48"/>
      <c r="E103" s="48"/>
    </row>
    <row r="104">
      <c r="A104" s="48"/>
      <c r="B104" s="48"/>
      <c r="C104" s="8"/>
      <c r="D104" s="48"/>
      <c r="E104" s="48"/>
    </row>
    <row r="105">
      <c r="A105" s="48"/>
      <c r="B105" s="48"/>
      <c r="C105" s="8"/>
      <c r="D105" s="48"/>
      <c r="E105" s="48"/>
    </row>
    <row r="106">
      <c r="A106" s="48"/>
      <c r="B106" s="48"/>
      <c r="C106" s="8"/>
      <c r="D106" s="48"/>
      <c r="E106" s="48"/>
    </row>
    <row r="107">
      <c r="A107" s="48"/>
      <c r="B107" s="48"/>
      <c r="C107" s="8"/>
      <c r="D107" s="48"/>
      <c r="E107" s="48"/>
    </row>
    <row r="108">
      <c r="A108" s="48"/>
      <c r="B108" s="48"/>
      <c r="C108" s="8"/>
      <c r="D108" s="48"/>
      <c r="E108" s="48"/>
    </row>
    <row r="109">
      <c r="A109" s="48"/>
      <c r="B109" s="48"/>
      <c r="C109" s="8"/>
      <c r="D109" s="48"/>
      <c r="E109" s="48"/>
    </row>
    <row r="110">
      <c r="A110" s="48"/>
      <c r="B110" s="48"/>
      <c r="C110" s="8"/>
      <c r="D110" s="48"/>
      <c r="E110" s="48"/>
    </row>
    <row r="111">
      <c r="A111" s="48"/>
      <c r="B111" s="48"/>
      <c r="C111" s="8"/>
      <c r="D111" s="48"/>
      <c r="E111" s="48"/>
    </row>
    <row r="112">
      <c r="A112" s="48"/>
      <c r="B112" s="48"/>
      <c r="C112" s="8"/>
      <c r="D112" s="48"/>
      <c r="E112" s="48"/>
    </row>
    <row r="113">
      <c r="A113" s="48"/>
      <c r="B113" s="48"/>
      <c r="C113" s="8"/>
      <c r="D113" s="48"/>
      <c r="E113" s="48"/>
    </row>
    <row r="114">
      <c r="A114" s="48"/>
      <c r="B114" s="48"/>
      <c r="C114" s="8"/>
      <c r="D114" s="48"/>
      <c r="E114" s="48"/>
    </row>
    <row r="115">
      <c r="A115" s="48"/>
      <c r="B115" s="48"/>
      <c r="C115" s="8"/>
      <c r="D115" s="48"/>
      <c r="E115" s="48"/>
    </row>
    <row r="116">
      <c r="A116" s="48"/>
      <c r="B116" s="48"/>
      <c r="C116" s="8"/>
      <c r="D116" s="48"/>
      <c r="E116" s="48"/>
    </row>
    <row r="117">
      <c r="A117" s="48"/>
      <c r="B117" s="48"/>
      <c r="C117" s="8"/>
      <c r="D117" s="48"/>
      <c r="E117" s="48"/>
    </row>
    <row r="118">
      <c r="A118" s="48"/>
      <c r="B118" s="48"/>
      <c r="C118" s="8"/>
      <c r="D118" s="48"/>
      <c r="E118" s="48"/>
    </row>
    <row r="119">
      <c r="A119" s="48"/>
      <c r="B119" s="48"/>
      <c r="C119" s="8"/>
      <c r="D119" s="48"/>
      <c r="E119" s="48"/>
    </row>
    <row r="120">
      <c r="A120" s="48"/>
      <c r="B120" s="48"/>
      <c r="C120" s="8"/>
      <c r="D120" s="48"/>
      <c r="E120" s="48"/>
    </row>
    <row r="121">
      <c r="A121" s="48"/>
      <c r="B121" s="48"/>
      <c r="C121" s="8"/>
      <c r="D121" s="48"/>
      <c r="E121" s="48"/>
    </row>
    <row r="122">
      <c r="A122" s="48"/>
      <c r="B122" s="48"/>
      <c r="C122" s="8"/>
      <c r="D122" s="48"/>
      <c r="E122" s="48"/>
    </row>
    <row r="123">
      <c r="A123" s="48"/>
      <c r="B123" s="48"/>
      <c r="C123" s="8"/>
      <c r="D123" s="48"/>
      <c r="E123" s="48"/>
    </row>
    <row r="124">
      <c r="A124" s="48"/>
      <c r="B124" s="48"/>
      <c r="C124" s="8"/>
      <c r="D124" s="48"/>
      <c r="E124" s="48"/>
    </row>
    <row r="125">
      <c r="A125" s="48"/>
      <c r="B125" s="48"/>
      <c r="C125" s="8"/>
      <c r="D125" s="48"/>
      <c r="E125" s="48"/>
    </row>
    <row r="126">
      <c r="A126" s="48"/>
      <c r="B126" s="48"/>
      <c r="C126" s="8"/>
      <c r="D126" s="48"/>
      <c r="E126" s="48"/>
    </row>
    <row r="127">
      <c r="A127" s="48"/>
      <c r="B127" s="48"/>
      <c r="C127" s="8"/>
      <c r="D127" s="48"/>
      <c r="E127" s="48"/>
    </row>
    <row r="128">
      <c r="A128" s="48"/>
      <c r="B128" s="48"/>
      <c r="C128" s="8"/>
      <c r="D128" s="48"/>
      <c r="E128" s="48"/>
    </row>
    <row r="129">
      <c r="A129" s="48"/>
      <c r="B129" s="48"/>
      <c r="C129" s="8"/>
      <c r="D129" s="48"/>
      <c r="E129" s="48"/>
    </row>
    <row r="130">
      <c r="A130" s="48"/>
      <c r="B130" s="48"/>
      <c r="C130" s="8"/>
      <c r="D130" s="48"/>
      <c r="E130" s="48"/>
    </row>
    <row r="131">
      <c r="A131" s="48"/>
      <c r="B131" s="48"/>
      <c r="C131" s="8"/>
      <c r="D131" s="48"/>
      <c r="E131" s="48"/>
    </row>
    <row r="132">
      <c r="A132" s="48"/>
      <c r="B132" s="48"/>
      <c r="C132" s="8"/>
      <c r="D132" s="48"/>
      <c r="E132" s="48"/>
    </row>
    <row r="133">
      <c r="A133" s="48"/>
      <c r="B133" s="48"/>
      <c r="C133" s="8"/>
      <c r="D133" s="48"/>
      <c r="E133" s="48"/>
    </row>
    <row r="134">
      <c r="A134" s="48"/>
      <c r="B134" s="48"/>
      <c r="C134" s="8"/>
      <c r="D134" s="48"/>
      <c r="E134" s="48"/>
    </row>
    <row r="135">
      <c r="A135" s="48"/>
      <c r="B135" s="48"/>
      <c r="C135" s="8"/>
      <c r="D135" s="48"/>
      <c r="E135" s="48"/>
    </row>
    <row r="136">
      <c r="A136" s="48"/>
      <c r="B136" s="48"/>
      <c r="C136" s="8"/>
      <c r="D136" s="48"/>
      <c r="E136" s="48"/>
    </row>
    <row r="137">
      <c r="A137" s="48"/>
      <c r="B137" s="48"/>
      <c r="C137" s="8"/>
      <c r="D137" s="48"/>
      <c r="E137" s="48"/>
    </row>
    <row r="138">
      <c r="A138" s="48"/>
      <c r="B138" s="48"/>
      <c r="C138" s="8"/>
      <c r="D138" s="48"/>
      <c r="E138" s="48"/>
    </row>
    <row r="139">
      <c r="A139" s="48"/>
      <c r="B139" s="48"/>
      <c r="C139" s="8"/>
      <c r="D139" s="48"/>
      <c r="E139" s="48"/>
    </row>
    <row r="140">
      <c r="A140" s="48"/>
      <c r="B140" s="48"/>
      <c r="C140" s="8"/>
      <c r="D140" s="48"/>
      <c r="E140" s="48"/>
    </row>
    <row r="141">
      <c r="A141" s="48"/>
      <c r="B141" s="48"/>
      <c r="C141" s="8"/>
      <c r="D141" s="48"/>
      <c r="E141" s="48"/>
    </row>
    <row r="142">
      <c r="A142" s="48"/>
      <c r="B142" s="48"/>
      <c r="C142" s="8"/>
      <c r="D142" s="48"/>
      <c r="E142" s="48"/>
    </row>
    <row r="143">
      <c r="A143" s="48"/>
      <c r="B143" s="48"/>
      <c r="C143" s="8"/>
      <c r="D143" s="48"/>
      <c r="E143" s="48"/>
    </row>
    <row r="144">
      <c r="A144" s="48"/>
      <c r="B144" s="48"/>
      <c r="C144" s="8"/>
      <c r="D144" s="48"/>
      <c r="E144" s="48"/>
    </row>
    <row r="145">
      <c r="A145" s="48"/>
      <c r="B145" s="48"/>
      <c r="C145" s="8"/>
      <c r="D145" s="48"/>
      <c r="E145" s="48"/>
    </row>
    <row r="146">
      <c r="A146" s="48"/>
      <c r="B146" s="48"/>
      <c r="C146" s="8"/>
      <c r="D146" s="48"/>
      <c r="E146" s="48"/>
    </row>
    <row r="147">
      <c r="A147" s="48"/>
      <c r="B147" s="48"/>
      <c r="C147" s="8"/>
      <c r="D147" s="48"/>
      <c r="E147" s="48"/>
    </row>
    <row r="148">
      <c r="A148" s="48"/>
      <c r="B148" s="48"/>
      <c r="C148" s="8"/>
      <c r="D148" s="48"/>
      <c r="E148" s="48"/>
    </row>
    <row r="149">
      <c r="A149" s="48"/>
      <c r="B149" s="48"/>
      <c r="C149" s="8"/>
      <c r="D149" s="48"/>
      <c r="E149" s="48"/>
    </row>
    <row r="150">
      <c r="A150" s="48"/>
      <c r="B150" s="48"/>
      <c r="C150" s="8"/>
      <c r="D150" s="48"/>
      <c r="E150" s="48"/>
    </row>
    <row r="151">
      <c r="A151" s="48"/>
      <c r="B151" s="48"/>
      <c r="C151" s="8"/>
      <c r="D151" s="48"/>
      <c r="E151" s="48"/>
    </row>
    <row r="152">
      <c r="A152" s="48"/>
      <c r="B152" s="48"/>
      <c r="C152" s="8"/>
      <c r="D152" s="48"/>
      <c r="E152" s="48"/>
    </row>
    <row r="153">
      <c r="A153" s="48"/>
      <c r="B153" s="48"/>
      <c r="C153" s="8"/>
      <c r="D153" s="48"/>
      <c r="E153" s="48"/>
    </row>
    <row r="154">
      <c r="A154" s="48"/>
      <c r="B154" s="48"/>
      <c r="C154" s="8"/>
      <c r="D154" s="48"/>
      <c r="E154" s="48"/>
    </row>
    <row r="155">
      <c r="A155" s="48"/>
      <c r="B155" s="48"/>
      <c r="C155" s="8"/>
      <c r="D155" s="48"/>
      <c r="E155" s="48"/>
    </row>
    <row r="156">
      <c r="A156" s="48"/>
      <c r="B156" s="48"/>
      <c r="C156" s="8"/>
      <c r="D156" s="48"/>
      <c r="E156" s="48"/>
    </row>
    <row r="157">
      <c r="A157" s="48"/>
      <c r="B157" s="48"/>
      <c r="C157" s="8"/>
      <c r="D157" s="48"/>
      <c r="E157" s="48"/>
    </row>
    <row r="158">
      <c r="A158" s="48"/>
      <c r="B158" s="48"/>
      <c r="C158" s="8"/>
      <c r="D158" s="48"/>
      <c r="E158" s="48"/>
    </row>
    <row r="159">
      <c r="A159" s="48"/>
      <c r="B159" s="48"/>
      <c r="C159" s="8"/>
      <c r="D159" s="48"/>
      <c r="E159" s="48"/>
    </row>
    <row r="160">
      <c r="A160" s="48"/>
      <c r="B160" s="48"/>
      <c r="C160" s="8"/>
      <c r="D160" s="48"/>
      <c r="E160" s="48"/>
    </row>
    <row r="161">
      <c r="A161" s="48"/>
      <c r="B161" s="48"/>
      <c r="C161" s="8"/>
      <c r="D161" s="48"/>
      <c r="E161" s="48"/>
    </row>
    <row r="162">
      <c r="A162" s="48"/>
      <c r="B162" s="48"/>
      <c r="C162" s="8"/>
      <c r="D162" s="48"/>
      <c r="E162" s="48"/>
    </row>
    <row r="163">
      <c r="A163" s="48"/>
      <c r="B163" s="48"/>
      <c r="C163" s="8"/>
      <c r="D163" s="48"/>
      <c r="E163" s="48"/>
    </row>
    <row r="164">
      <c r="A164" s="48"/>
      <c r="B164" s="48"/>
      <c r="C164" s="8"/>
      <c r="D164" s="48"/>
      <c r="E164" s="48"/>
    </row>
    <row r="165">
      <c r="A165" s="48"/>
      <c r="B165" s="48"/>
      <c r="C165" s="8"/>
      <c r="D165" s="48"/>
      <c r="E165" s="48"/>
    </row>
    <row r="166">
      <c r="A166" s="48"/>
      <c r="B166" s="48"/>
      <c r="C166" s="8"/>
      <c r="D166" s="48"/>
      <c r="E166" s="48"/>
    </row>
    <row r="167">
      <c r="A167" s="48"/>
      <c r="B167" s="48"/>
      <c r="C167" s="8"/>
      <c r="D167" s="48"/>
      <c r="E167" s="48"/>
    </row>
    <row r="168">
      <c r="A168" s="48"/>
      <c r="B168" s="48"/>
      <c r="C168" s="8"/>
      <c r="D168" s="48"/>
      <c r="E168" s="48"/>
    </row>
    <row r="169">
      <c r="A169" s="48"/>
      <c r="B169" s="48"/>
      <c r="C169" s="8"/>
      <c r="D169" s="48"/>
      <c r="E169" s="48"/>
    </row>
    <row r="170">
      <c r="A170" s="48"/>
      <c r="B170" s="48"/>
      <c r="C170" s="8"/>
      <c r="D170" s="48"/>
      <c r="E170" s="48"/>
    </row>
    <row r="171">
      <c r="A171" s="48"/>
      <c r="B171" s="48"/>
      <c r="C171" s="8"/>
      <c r="D171" s="48"/>
      <c r="E171" s="48"/>
    </row>
    <row r="172">
      <c r="A172" s="48"/>
      <c r="B172" s="48"/>
      <c r="C172" s="8"/>
      <c r="D172" s="48"/>
      <c r="E172" s="48"/>
    </row>
    <row r="173">
      <c r="A173" s="48"/>
      <c r="B173" s="48"/>
      <c r="C173" s="8"/>
      <c r="D173" s="48"/>
      <c r="E173" s="48"/>
    </row>
    <row r="174">
      <c r="A174" s="48"/>
      <c r="B174" s="48"/>
      <c r="C174" s="8"/>
      <c r="D174" s="48"/>
      <c r="E174" s="48"/>
    </row>
    <row r="175">
      <c r="A175" s="48"/>
      <c r="B175" s="48"/>
      <c r="C175" s="8"/>
      <c r="D175" s="48"/>
      <c r="E175" s="48"/>
    </row>
    <row r="176">
      <c r="A176" s="48"/>
      <c r="B176" s="48"/>
      <c r="C176" s="8"/>
      <c r="D176" s="48"/>
      <c r="E176" s="48"/>
    </row>
    <row r="177">
      <c r="A177" s="48"/>
      <c r="B177" s="48"/>
      <c r="C177" s="8"/>
      <c r="D177" s="48"/>
      <c r="E177" s="48"/>
    </row>
    <row r="178">
      <c r="A178" s="48"/>
      <c r="B178" s="48"/>
      <c r="C178" s="8"/>
      <c r="D178" s="48"/>
      <c r="E178" s="48"/>
    </row>
    <row r="179">
      <c r="A179" s="48"/>
      <c r="B179" s="48"/>
      <c r="C179" s="8"/>
      <c r="D179" s="48"/>
      <c r="E179" s="48"/>
    </row>
    <row r="180">
      <c r="A180" s="48"/>
      <c r="B180" s="48"/>
      <c r="C180" s="8"/>
      <c r="D180" s="48"/>
      <c r="E180" s="48"/>
    </row>
    <row r="181">
      <c r="A181" s="48"/>
      <c r="B181" s="48"/>
      <c r="C181" s="8"/>
      <c r="D181" s="48"/>
      <c r="E181" s="48"/>
    </row>
    <row r="182">
      <c r="A182" s="48"/>
      <c r="B182" s="48"/>
      <c r="C182" s="8"/>
      <c r="D182" s="48"/>
      <c r="E182" s="48"/>
    </row>
    <row r="183">
      <c r="A183" s="48"/>
      <c r="B183" s="48"/>
      <c r="C183" s="8"/>
      <c r="D183" s="48"/>
      <c r="E183" s="48"/>
    </row>
    <row r="184">
      <c r="A184" s="48"/>
      <c r="B184" s="48"/>
      <c r="C184" s="8"/>
      <c r="D184" s="48"/>
      <c r="E184" s="48"/>
    </row>
    <row r="185">
      <c r="A185" s="48"/>
      <c r="B185" s="48"/>
      <c r="C185" s="8"/>
      <c r="D185" s="48"/>
      <c r="E185" s="48"/>
    </row>
    <row r="186">
      <c r="A186" s="48"/>
      <c r="B186" s="48"/>
      <c r="C186" s="8"/>
      <c r="D186" s="48"/>
      <c r="E186" s="48"/>
    </row>
    <row r="187">
      <c r="A187" s="48"/>
      <c r="B187" s="48"/>
      <c r="C187" s="8"/>
      <c r="D187" s="48"/>
      <c r="E187" s="48"/>
    </row>
    <row r="188">
      <c r="A188" s="48"/>
      <c r="B188" s="48"/>
      <c r="C188" s="8"/>
      <c r="D188" s="48"/>
      <c r="E188" s="48"/>
    </row>
    <row r="189">
      <c r="A189" s="48"/>
      <c r="B189" s="48"/>
      <c r="C189" s="8"/>
      <c r="D189" s="48"/>
      <c r="E189" s="48"/>
    </row>
    <row r="190">
      <c r="A190" s="48"/>
      <c r="B190" s="48"/>
      <c r="C190" s="8"/>
      <c r="D190" s="48"/>
      <c r="E190" s="48"/>
    </row>
    <row r="191">
      <c r="A191" s="48"/>
      <c r="B191" s="48"/>
      <c r="C191" s="8"/>
      <c r="D191" s="48"/>
      <c r="E191" s="48"/>
    </row>
    <row r="192">
      <c r="A192" s="48"/>
      <c r="B192" s="48"/>
      <c r="C192" s="8"/>
      <c r="D192" s="48"/>
      <c r="E192" s="48"/>
    </row>
    <row r="193">
      <c r="A193" s="48"/>
      <c r="B193" s="48"/>
      <c r="C193" s="8"/>
      <c r="D193" s="48"/>
      <c r="E193" s="48"/>
    </row>
    <row r="194">
      <c r="A194" s="48"/>
      <c r="B194" s="48"/>
      <c r="C194" s="8"/>
      <c r="D194" s="48"/>
      <c r="E194" s="48"/>
    </row>
    <row r="195">
      <c r="A195" s="48"/>
      <c r="B195" s="48"/>
      <c r="C195" s="8"/>
      <c r="D195" s="48"/>
      <c r="E195" s="48"/>
    </row>
    <row r="196">
      <c r="A196" s="48"/>
      <c r="B196" s="48"/>
      <c r="C196" s="8"/>
      <c r="D196" s="48"/>
      <c r="E196" s="48"/>
    </row>
    <row r="197">
      <c r="A197" s="48"/>
      <c r="B197" s="48"/>
      <c r="C197" s="8"/>
      <c r="D197" s="48"/>
      <c r="E197" s="48"/>
    </row>
    <row r="198">
      <c r="A198" s="48"/>
      <c r="B198" s="48"/>
      <c r="C198" s="8"/>
      <c r="D198" s="48"/>
      <c r="E198" s="48"/>
    </row>
    <row r="199">
      <c r="A199" s="48"/>
      <c r="B199" s="48"/>
      <c r="C199" s="8"/>
      <c r="D199" s="48"/>
      <c r="E199" s="48"/>
    </row>
    <row r="200">
      <c r="A200" s="48"/>
      <c r="B200" s="48"/>
      <c r="C200" s="8"/>
      <c r="D200" s="48"/>
      <c r="E200" s="48"/>
    </row>
    <row r="201">
      <c r="A201" s="48"/>
      <c r="B201" s="48"/>
      <c r="C201" s="8"/>
      <c r="D201" s="48"/>
      <c r="E201" s="48"/>
    </row>
    <row r="202">
      <c r="A202" s="48"/>
      <c r="B202" s="48"/>
      <c r="C202" s="8"/>
      <c r="D202" s="48"/>
      <c r="E202" s="48"/>
    </row>
    <row r="203">
      <c r="A203" s="48"/>
      <c r="B203" s="48"/>
      <c r="C203" s="8"/>
      <c r="D203" s="48"/>
      <c r="E203" s="48"/>
    </row>
    <row r="204">
      <c r="A204" s="48"/>
      <c r="B204" s="48"/>
      <c r="C204" s="8"/>
      <c r="D204" s="48"/>
      <c r="E204" s="48"/>
    </row>
    <row r="205">
      <c r="A205" s="48"/>
      <c r="B205" s="48"/>
      <c r="C205" s="8"/>
      <c r="D205" s="48"/>
      <c r="E205" s="48"/>
    </row>
    <row r="206">
      <c r="A206" s="48"/>
      <c r="B206" s="48"/>
      <c r="C206" s="8"/>
      <c r="D206" s="48"/>
      <c r="E206" s="48"/>
    </row>
    <row r="207">
      <c r="A207" s="48"/>
      <c r="B207" s="48"/>
      <c r="C207" s="8"/>
      <c r="D207" s="48"/>
      <c r="E207" s="48"/>
    </row>
    <row r="208">
      <c r="A208" s="48"/>
      <c r="B208" s="48"/>
      <c r="C208" s="8"/>
      <c r="D208" s="48"/>
      <c r="E208" s="48"/>
    </row>
    <row r="209">
      <c r="A209" s="48"/>
      <c r="B209" s="48"/>
      <c r="C209" s="8"/>
      <c r="D209" s="48"/>
      <c r="E209" s="48"/>
    </row>
    <row r="210">
      <c r="A210" s="48"/>
      <c r="B210" s="48"/>
      <c r="C210" s="8"/>
      <c r="D210" s="48"/>
      <c r="E210" s="48"/>
    </row>
    <row r="211">
      <c r="A211" s="48"/>
      <c r="B211" s="48"/>
      <c r="C211" s="8"/>
      <c r="D211" s="48"/>
      <c r="E211" s="48"/>
    </row>
    <row r="212">
      <c r="A212" s="48"/>
      <c r="B212" s="48"/>
      <c r="C212" s="8"/>
      <c r="D212" s="48"/>
      <c r="E212" s="48"/>
    </row>
    <row r="213">
      <c r="A213" s="48"/>
      <c r="B213" s="48"/>
      <c r="C213" s="8"/>
      <c r="D213" s="48"/>
      <c r="E213" s="48"/>
    </row>
    <row r="214">
      <c r="A214" s="48"/>
      <c r="B214" s="48"/>
      <c r="C214" s="8"/>
      <c r="D214" s="48"/>
      <c r="E214" s="48"/>
    </row>
    <row r="215">
      <c r="A215" s="48"/>
      <c r="B215" s="48"/>
      <c r="C215" s="8"/>
      <c r="D215" s="48"/>
      <c r="E215" s="48"/>
    </row>
    <row r="216">
      <c r="A216" s="48"/>
      <c r="B216" s="48"/>
      <c r="C216" s="8"/>
      <c r="D216" s="48"/>
      <c r="E216" s="48"/>
    </row>
    <row r="217">
      <c r="A217" s="48"/>
      <c r="B217" s="48"/>
      <c r="C217" s="8"/>
      <c r="D217" s="48"/>
      <c r="E217" s="48"/>
    </row>
    <row r="218">
      <c r="A218" s="48"/>
      <c r="B218" s="48"/>
      <c r="C218" s="8"/>
      <c r="D218" s="48"/>
      <c r="E218" s="48"/>
    </row>
    <row r="219">
      <c r="A219" s="48"/>
      <c r="B219" s="48"/>
      <c r="C219" s="8"/>
      <c r="D219" s="48"/>
      <c r="E219" s="48"/>
    </row>
    <row r="220">
      <c r="A220" s="48"/>
      <c r="B220" s="48"/>
      <c r="C220" s="8"/>
      <c r="D220" s="48"/>
      <c r="E220" s="48"/>
    </row>
    <row r="221">
      <c r="A221" s="48"/>
      <c r="B221" s="48"/>
      <c r="C221" s="8"/>
      <c r="D221" s="48"/>
      <c r="E221" s="48"/>
    </row>
    <row r="222">
      <c r="A222" s="48"/>
      <c r="B222" s="48"/>
      <c r="C222" s="8"/>
      <c r="D222" s="48"/>
      <c r="E222" s="48"/>
    </row>
    <row r="223">
      <c r="A223" s="48"/>
      <c r="B223" s="48"/>
      <c r="C223" s="8"/>
      <c r="D223" s="48"/>
      <c r="E223" s="48"/>
    </row>
    <row r="224">
      <c r="A224" s="48"/>
      <c r="B224" s="48"/>
      <c r="C224" s="8"/>
      <c r="D224" s="48"/>
      <c r="E224" s="48"/>
    </row>
    <row r="225">
      <c r="A225" s="48"/>
      <c r="B225" s="48"/>
      <c r="C225" s="8"/>
      <c r="D225" s="48"/>
      <c r="E225" s="48"/>
    </row>
    <row r="226">
      <c r="A226" s="48"/>
      <c r="B226" s="48"/>
      <c r="C226" s="8"/>
      <c r="D226" s="48"/>
      <c r="E226" s="48"/>
    </row>
    <row r="227">
      <c r="A227" s="48"/>
      <c r="B227" s="48"/>
      <c r="C227" s="8"/>
      <c r="D227" s="48"/>
      <c r="E227" s="48"/>
    </row>
    <row r="228">
      <c r="A228" s="48"/>
      <c r="B228" s="48"/>
      <c r="C228" s="8"/>
      <c r="D228" s="48"/>
      <c r="E228" s="48"/>
    </row>
    <row r="229">
      <c r="A229" s="48"/>
      <c r="B229" s="48"/>
      <c r="C229" s="8"/>
      <c r="D229" s="48"/>
      <c r="E229" s="48"/>
    </row>
    <row r="230">
      <c r="A230" s="48"/>
      <c r="B230" s="48"/>
      <c r="C230" s="8"/>
      <c r="D230" s="48"/>
      <c r="E230" s="48"/>
    </row>
    <row r="231">
      <c r="A231" s="48"/>
      <c r="B231" s="48"/>
      <c r="C231" s="8"/>
      <c r="D231" s="48"/>
      <c r="E231" s="48"/>
    </row>
    <row r="232">
      <c r="A232" s="48"/>
      <c r="B232" s="48"/>
      <c r="C232" s="8"/>
      <c r="D232" s="48"/>
      <c r="E232" s="48"/>
    </row>
    <row r="233">
      <c r="A233" s="48"/>
      <c r="B233" s="48"/>
      <c r="C233" s="8"/>
      <c r="D233" s="48"/>
      <c r="E233" s="48"/>
    </row>
    <row r="234">
      <c r="A234" s="48"/>
      <c r="B234" s="48"/>
      <c r="C234" s="8"/>
      <c r="D234" s="48"/>
      <c r="E234" s="48"/>
    </row>
    <row r="235">
      <c r="A235" s="48"/>
      <c r="B235" s="48"/>
      <c r="C235" s="8"/>
      <c r="D235" s="48"/>
      <c r="E235" s="48"/>
    </row>
    <row r="236">
      <c r="A236" s="48"/>
      <c r="B236" s="48"/>
      <c r="C236" s="8"/>
      <c r="D236" s="48"/>
      <c r="E236" s="48"/>
    </row>
    <row r="237">
      <c r="A237" s="48"/>
      <c r="B237" s="48"/>
      <c r="C237" s="8"/>
      <c r="D237" s="48"/>
      <c r="E237" s="48"/>
    </row>
    <row r="238">
      <c r="A238" s="48"/>
      <c r="B238" s="48"/>
      <c r="C238" s="8"/>
      <c r="D238" s="48"/>
      <c r="E238" s="48"/>
    </row>
    <row r="239">
      <c r="A239" s="48"/>
      <c r="B239" s="48"/>
      <c r="C239" s="8"/>
      <c r="D239" s="48"/>
      <c r="E239" s="48"/>
    </row>
    <row r="240">
      <c r="A240" s="48"/>
      <c r="B240" s="48"/>
      <c r="C240" s="8"/>
      <c r="D240" s="48"/>
      <c r="E240" s="48"/>
    </row>
    <row r="241">
      <c r="A241" s="48"/>
      <c r="B241" s="48"/>
      <c r="C241" s="8"/>
      <c r="D241" s="48"/>
      <c r="E241" s="48"/>
    </row>
    <row r="242">
      <c r="A242" s="48"/>
      <c r="B242" s="48"/>
      <c r="C242" s="8"/>
      <c r="D242" s="48"/>
      <c r="E242" s="48"/>
    </row>
    <row r="243">
      <c r="A243" s="48"/>
      <c r="B243" s="48"/>
      <c r="C243" s="8"/>
      <c r="D243" s="48"/>
      <c r="E243" s="48"/>
    </row>
    <row r="244">
      <c r="A244" s="48"/>
      <c r="B244" s="48"/>
      <c r="C244" s="8"/>
      <c r="D244" s="48"/>
      <c r="E244" s="48"/>
    </row>
    <row r="245">
      <c r="A245" s="48"/>
      <c r="B245" s="48"/>
      <c r="C245" s="8"/>
      <c r="D245" s="48"/>
      <c r="E245" s="48"/>
    </row>
    <row r="246">
      <c r="A246" s="48"/>
      <c r="B246" s="48"/>
      <c r="C246" s="8"/>
      <c r="D246" s="48"/>
      <c r="E246" s="48"/>
    </row>
    <row r="247">
      <c r="A247" s="48"/>
      <c r="B247" s="48"/>
      <c r="C247" s="8"/>
      <c r="D247" s="48"/>
      <c r="E247" s="48"/>
    </row>
    <row r="248">
      <c r="A248" s="48"/>
      <c r="B248" s="48"/>
      <c r="C248" s="8"/>
      <c r="D248" s="48"/>
      <c r="E248" s="48"/>
    </row>
    <row r="249">
      <c r="A249" s="48"/>
      <c r="B249" s="48"/>
      <c r="C249" s="8"/>
      <c r="D249" s="48"/>
      <c r="E249" s="48"/>
    </row>
    <row r="250">
      <c r="A250" s="48"/>
      <c r="B250" s="48"/>
      <c r="C250" s="8"/>
      <c r="D250" s="48"/>
      <c r="E250" s="48"/>
    </row>
    <row r="251">
      <c r="A251" s="48"/>
      <c r="B251" s="48"/>
      <c r="C251" s="8"/>
      <c r="D251" s="48"/>
      <c r="E251" s="48"/>
    </row>
    <row r="252">
      <c r="A252" s="48"/>
      <c r="B252" s="48"/>
      <c r="C252" s="8"/>
      <c r="D252" s="48"/>
      <c r="E252" s="48"/>
    </row>
    <row r="253">
      <c r="A253" s="48"/>
      <c r="B253" s="48"/>
      <c r="C253" s="8"/>
      <c r="D253" s="48"/>
      <c r="E253" s="48"/>
    </row>
    <row r="254">
      <c r="A254" s="48"/>
      <c r="B254" s="48"/>
      <c r="C254" s="8"/>
      <c r="D254" s="48"/>
      <c r="E254" s="48"/>
    </row>
    <row r="255">
      <c r="A255" s="48"/>
      <c r="B255" s="48"/>
      <c r="C255" s="8"/>
      <c r="D255" s="48"/>
      <c r="E255" s="48"/>
    </row>
    <row r="256">
      <c r="A256" s="48"/>
      <c r="B256" s="48"/>
      <c r="C256" s="8"/>
      <c r="D256" s="48"/>
      <c r="E256" s="48"/>
    </row>
    <row r="257">
      <c r="A257" s="48"/>
      <c r="B257" s="48"/>
      <c r="C257" s="8"/>
      <c r="D257" s="48"/>
      <c r="E257" s="48"/>
    </row>
    <row r="258">
      <c r="A258" s="48"/>
      <c r="B258" s="48"/>
      <c r="C258" s="8"/>
      <c r="D258" s="48"/>
      <c r="E258" s="48"/>
    </row>
    <row r="259">
      <c r="A259" s="48"/>
      <c r="B259" s="48"/>
      <c r="C259" s="8"/>
      <c r="D259" s="48"/>
      <c r="E259" s="48"/>
    </row>
    <row r="260">
      <c r="A260" s="48"/>
      <c r="B260" s="48"/>
      <c r="C260" s="8"/>
      <c r="D260" s="48"/>
      <c r="E260" s="48"/>
    </row>
    <row r="261">
      <c r="A261" s="48"/>
      <c r="B261" s="48"/>
      <c r="C261" s="8"/>
      <c r="D261" s="48"/>
      <c r="E261" s="48"/>
    </row>
    <row r="262">
      <c r="A262" s="48"/>
      <c r="B262" s="48"/>
      <c r="C262" s="8"/>
      <c r="D262" s="48"/>
      <c r="E262" s="48"/>
    </row>
    <row r="263">
      <c r="A263" s="48"/>
      <c r="B263" s="48"/>
      <c r="C263" s="8"/>
      <c r="D263" s="48"/>
      <c r="E263" s="48"/>
    </row>
    <row r="264">
      <c r="A264" s="48"/>
      <c r="B264" s="48"/>
      <c r="C264" s="8"/>
      <c r="D264" s="48"/>
      <c r="E264" s="48"/>
    </row>
    <row r="265">
      <c r="A265" s="48"/>
      <c r="B265" s="48"/>
      <c r="C265" s="8"/>
      <c r="D265" s="48"/>
      <c r="E265" s="48"/>
    </row>
    <row r="266">
      <c r="A266" s="48"/>
      <c r="B266" s="48"/>
      <c r="C266" s="8"/>
      <c r="D266" s="48"/>
      <c r="E266" s="48"/>
    </row>
    <row r="267">
      <c r="A267" s="48"/>
      <c r="B267" s="48"/>
      <c r="C267" s="8"/>
      <c r="D267" s="48"/>
      <c r="E267" s="48"/>
    </row>
    <row r="268">
      <c r="A268" s="48"/>
      <c r="B268" s="48"/>
      <c r="C268" s="8"/>
      <c r="D268" s="48"/>
      <c r="E268" s="48"/>
    </row>
    <row r="269">
      <c r="A269" s="48"/>
      <c r="B269" s="48"/>
      <c r="C269" s="8"/>
      <c r="D269" s="48"/>
      <c r="E269" s="48"/>
    </row>
    <row r="270">
      <c r="A270" s="48"/>
      <c r="B270" s="48"/>
      <c r="C270" s="8"/>
      <c r="D270" s="48"/>
      <c r="E270" s="48"/>
    </row>
    <row r="271">
      <c r="A271" s="48"/>
      <c r="B271" s="48"/>
      <c r="C271" s="8"/>
      <c r="D271" s="48"/>
      <c r="E271" s="48"/>
    </row>
    <row r="272">
      <c r="A272" s="48"/>
      <c r="B272" s="48"/>
      <c r="C272" s="8"/>
      <c r="D272" s="48"/>
      <c r="E272" s="48"/>
    </row>
    <row r="273">
      <c r="A273" s="48"/>
      <c r="B273" s="48"/>
      <c r="C273" s="8"/>
      <c r="D273" s="48"/>
      <c r="E273" s="48"/>
    </row>
    <row r="274">
      <c r="A274" s="48"/>
      <c r="B274" s="48"/>
      <c r="C274" s="8"/>
      <c r="D274" s="48"/>
      <c r="E274" s="48"/>
    </row>
    <row r="275">
      <c r="A275" s="48"/>
      <c r="B275" s="48"/>
      <c r="C275" s="8"/>
      <c r="D275" s="48"/>
      <c r="E275" s="48"/>
    </row>
    <row r="276">
      <c r="A276" s="48"/>
      <c r="B276" s="48"/>
      <c r="C276" s="8"/>
      <c r="D276" s="48"/>
      <c r="E276" s="48"/>
    </row>
    <row r="277">
      <c r="A277" s="48"/>
      <c r="B277" s="48"/>
      <c r="C277" s="8"/>
      <c r="D277" s="48"/>
      <c r="E277" s="48"/>
    </row>
    <row r="278">
      <c r="A278" s="48"/>
      <c r="B278" s="48"/>
      <c r="C278" s="8"/>
      <c r="D278" s="48"/>
      <c r="E278" s="48"/>
    </row>
    <row r="279">
      <c r="A279" s="48"/>
      <c r="B279" s="48"/>
      <c r="C279" s="8"/>
      <c r="D279" s="48"/>
      <c r="E279" s="48"/>
    </row>
    <row r="280">
      <c r="A280" s="48"/>
      <c r="B280" s="48"/>
      <c r="C280" s="8"/>
      <c r="D280" s="48"/>
      <c r="E280" s="48"/>
    </row>
    <row r="281">
      <c r="A281" s="48"/>
      <c r="B281" s="48"/>
      <c r="C281" s="8"/>
      <c r="D281" s="48"/>
      <c r="E281" s="48"/>
    </row>
    <row r="282">
      <c r="A282" s="48"/>
      <c r="B282" s="48"/>
      <c r="C282" s="8"/>
      <c r="D282" s="48"/>
      <c r="E282" s="48"/>
    </row>
    <row r="283">
      <c r="A283" s="48"/>
      <c r="B283" s="48"/>
      <c r="C283" s="8"/>
      <c r="D283" s="48"/>
      <c r="E283" s="48"/>
    </row>
    <row r="284">
      <c r="A284" s="48"/>
      <c r="B284" s="48"/>
      <c r="C284" s="8"/>
      <c r="D284" s="48"/>
      <c r="E284" s="48"/>
    </row>
    <row r="285">
      <c r="A285" s="48"/>
      <c r="B285" s="48"/>
      <c r="C285" s="8"/>
      <c r="D285" s="48"/>
      <c r="E285" s="48"/>
    </row>
    <row r="286">
      <c r="A286" s="48"/>
      <c r="B286" s="48"/>
      <c r="C286" s="8"/>
      <c r="D286" s="48"/>
      <c r="E286" s="48"/>
    </row>
    <row r="287">
      <c r="A287" s="48"/>
      <c r="B287" s="48"/>
      <c r="C287" s="8"/>
      <c r="D287" s="48"/>
      <c r="E287" s="48"/>
    </row>
    <row r="288">
      <c r="A288" s="48"/>
      <c r="B288" s="48"/>
      <c r="C288" s="8"/>
      <c r="D288" s="48"/>
      <c r="E288" s="48"/>
    </row>
    <row r="289">
      <c r="A289" s="48"/>
      <c r="B289" s="48"/>
      <c r="C289" s="8"/>
      <c r="D289" s="48"/>
      <c r="E289" s="48"/>
    </row>
    <row r="290">
      <c r="A290" s="48"/>
      <c r="B290" s="48"/>
      <c r="C290" s="8"/>
      <c r="D290" s="48"/>
      <c r="E290" s="48"/>
    </row>
    <row r="291">
      <c r="A291" s="48"/>
      <c r="B291" s="48"/>
      <c r="C291" s="8"/>
      <c r="D291" s="48"/>
      <c r="E291" s="48"/>
    </row>
    <row r="292">
      <c r="A292" s="48"/>
      <c r="B292" s="48"/>
      <c r="C292" s="8"/>
      <c r="D292" s="48"/>
      <c r="E292" s="48"/>
    </row>
    <row r="293">
      <c r="A293" s="48"/>
      <c r="B293" s="48"/>
      <c r="C293" s="8"/>
      <c r="D293" s="48"/>
      <c r="E293" s="48"/>
    </row>
    <row r="294">
      <c r="A294" s="48"/>
      <c r="B294" s="48"/>
      <c r="C294" s="8"/>
      <c r="D294" s="48"/>
      <c r="E294" s="48"/>
    </row>
    <row r="295">
      <c r="A295" s="48"/>
      <c r="B295" s="48"/>
      <c r="C295" s="8"/>
      <c r="D295" s="48"/>
      <c r="E295" s="48"/>
    </row>
    <row r="296">
      <c r="A296" s="48"/>
      <c r="B296" s="48"/>
      <c r="C296" s="8"/>
      <c r="D296" s="48"/>
      <c r="E296" s="48"/>
    </row>
    <row r="297">
      <c r="A297" s="48"/>
      <c r="B297" s="48"/>
      <c r="C297" s="8"/>
      <c r="D297" s="48"/>
      <c r="E297" s="48"/>
    </row>
    <row r="298">
      <c r="A298" s="48"/>
      <c r="B298" s="48"/>
      <c r="C298" s="8"/>
      <c r="D298" s="48"/>
      <c r="E298" s="48"/>
    </row>
    <row r="299">
      <c r="A299" s="48"/>
      <c r="B299" s="48"/>
      <c r="C299" s="8"/>
      <c r="D299" s="48"/>
      <c r="E299" s="48"/>
    </row>
    <row r="300">
      <c r="A300" s="48"/>
      <c r="B300" s="48"/>
      <c r="C300" s="8"/>
      <c r="D300" s="48"/>
      <c r="E300" s="48"/>
    </row>
    <row r="301">
      <c r="A301" s="48"/>
      <c r="B301" s="48"/>
      <c r="C301" s="8"/>
      <c r="D301" s="48"/>
      <c r="E301" s="48"/>
    </row>
    <row r="302">
      <c r="A302" s="48"/>
      <c r="B302" s="48"/>
      <c r="C302" s="8"/>
      <c r="D302" s="48"/>
      <c r="E302" s="48"/>
    </row>
    <row r="303">
      <c r="A303" s="48"/>
      <c r="B303" s="48"/>
      <c r="C303" s="8"/>
      <c r="D303" s="48"/>
      <c r="E303" s="48"/>
    </row>
    <row r="304">
      <c r="A304" s="48"/>
      <c r="B304" s="48"/>
      <c r="C304" s="8"/>
      <c r="D304" s="48"/>
      <c r="E304" s="48"/>
    </row>
    <row r="305">
      <c r="A305" s="48"/>
      <c r="B305" s="48"/>
      <c r="C305" s="8"/>
      <c r="D305" s="48"/>
      <c r="E305" s="48"/>
    </row>
    <row r="306">
      <c r="A306" s="48"/>
      <c r="B306" s="48"/>
      <c r="C306" s="8"/>
      <c r="D306" s="48"/>
      <c r="E306" s="48"/>
    </row>
    <row r="307">
      <c r="A307" s="48"/>
      <c r="B307" s="48"/>
      <c r="C307" s="8"/>
      <c r="D307" s="48"/>
      <c r="E307" s="48"/>
    </row>
    <row r="308">
      <c r="A308" s="48"/>
      <c r="B308" s="48"/>
      <c r="C308" s="8"/>
      <c r="D308" s="48"/>
      <c r="E308" s="48"/>
    </row>
    <row r="309">
      <c r="A309" s="48"/>
      <c r="B309" s="48"/>
      <c r="C309" s="8"/>
      <c r="D309" s="48"/>
      <c r="E309" s="48"/>
    </row>
    <row r="310">
      <c r="A310" s="48"/>
      <c r="B310" s="48"/>
      <c r="C310" s="8"/>
      <c r="D310" s="48"/>
      <c r="E310" s="48"/>
    </row>
    <row r="311">
      <c r="A311" s="48"/>
      <c r="B311" s="48"/>
      <c r="C311" s="8"/>
      <c r="D311" s="48"/>
      <c r="E311" s="48"/>
    </row>
    <row r="312">
      <c r="A312" s="48"/>
      <c r="B312" s="48"/>
      <c r="C312" s="8"/>
      <c r="D312" s="48"/>
      <c r="E312" s="48"/>
    </row>
    <row r="313">
      <c r="A313" s="48"/>
      <c r="B313" s="48"/>
      <c r="C313" s="8"/>
      <c r="D313" s="48"/>
      <c r="E313" s="48"/>
    </row>
    <row r="314">
      <c r="A314" s="48"/>
      <c r="B314" s="48"/>
      <c r="C314" s="8"/>
      <c r="D314" s="48"/>
      <c r="E314" s="48"/>
    </row>
    <row r="315">
      <c r="A315" s="48"/>
      <c r="B315" s="48"/>
      <c r="C315" s="8"/>
      <c r="D315" s="48"/>
      <c r="E315" s="48"/>
    </row>
    <row r="316">
      <c r="A316" s="48"/>
      <c r="B316" s="48"/>
      <c r="C316" s="8"/>
      <c r="D316" s="48"/>
      <c r="E316" s="48"/>
    </row>
    <row r="317">
      <c r="A317" s="48"/>
      <c r="B317" s="48"/>
      <c r="C317" s="8"/>
      <c r="D317" s="48"/>
      <c r="E317" s="48"/>
    </row>
    <row r="318">
      <c r="A318" s="48"/>
      <c r="B318" s="48"/>
      <c r="C318" s="8"/>
      <c r="D318" s="48"/>
      <c r="E318" s="48"/>
    </row>
    <row r="319">
      <c r="A319" s="48"/>
      <c r="B319" s="48"/>
      <c r="C319" s="8"/>
      <c r="D319" s="48"/>
      <c r="E319" s="48"/>
    </row>
    <row r="320">
      <c r="A320" s="48"/>
      <c r="B320" s="48"/>
      <c r="C320" s="8"/>
      <c r="D320" s="48"/>
      <c r="E320" s="48"/>
    </row>
    <row r="321">
      <c r="A321" s="48"/>
      <c r="B321" s="48"/>
      <c r="C321" s="8"/>
      <c r="D321" s="48"/>
      <c r="E321" s="48"/>
    </row>
    <row r="322">
      <c r="A322" s="48"/>
      <c r="B322" s="48"/>
      <c r="C322" s="8"/>
      <c r="D322" s="48"/>
      <c r="E322" s="48"/>
    </row>
    <row r="323">
      <c r="A323" s="48"/>
      <c r="B323" s="48"/>
      <c r="C323" s="8"/>
      <c r="D323" s="48"/>
      <c r="E323" s="48"/>
    </row>
    <row r="324">
      <c r="A324" s="48"/>
      <c r="B324" s="48"/>
      <c r="C324" s="8"/>
      <c r="D324" s="48"/>
      <c r="E324" s="48"/>
    </row>
    <row r="325">
      <c r="A325" s="48"/>
      <c r="B325" s="48"/>
      <c r="C325" s="8"/>
      <c r="D325" s="48"/>
      <c r="E325" s="48"/>
    </row>
    <row r="326">
      <c r="A326" s="48"/>
      <c r="B326" s="48"/>
      <c r="C326" s="8"/>
      <c r="D326" s="48"/>
      <c r="E326" s="48"/>
    </row>
    <row r="327">
      <c r="A327" s="48"/>
      <c r="B327" s="48"/>
      <c r="C327" s="8"/>
      <c r="D327" s="48"/>
      <c r="E327" s="48"/>
    </row>
    <row r="328">
      <c r="A328" s="48"/>
      <c r="B328" s="48"/>
      <c r="C328" s="8"/>
      <c r="D328" s="48"/>
      <c r="E328" s="48"/>
    </row>
    <row r="329">
      <c r="A329" s="48"/>
      <c r="B329" s="48"/>
      <c r="C329" s="8"/>
      <c r="D329" s="48"/>
      <c r="E329" s="48"/>
    </row>
    <row r="330">
      <c r="A330" s="48"/>
      <c r="B330" s="48"/>
      <c r="C330" s="8"/>
      <c r="D330" s="48"/>
      <c r="E330" s="48"/>
    </row>
    <row r="331">
      <c r="A331" s="48"/>
      <c r="B331" s="48"/>
      <c r="C331" s="8"/>
      <c r="D331" s="48"/>
      <c r="E331" s="48"/>
    </row>
    <row r="332">
      <c r="A332" s="48"/>
      <c r="B332" s="48"/>
      <c r="C332" s="8"/>
      <c r="D332" s="48"/>
      <c r="E332" s="48"/>
    </row>
    <row r="333">
      <c r="A333" s="48"/>
      <c r="B333" s="48"/>
      <c r="C333" s="8"/>
      <c r="D333" s="48"/>
      <c r="E333" s="48"/>
    </row>
    <row r="334">
      <c r="A334" s="48"/>
      <c r="B334" s="48"/>
      <c r="C334" s="8"/>
      <c r="D334" s="48"/>
      <c r="E334" s="48"/>
    </row>
    <row r="335">
      <c r="A335" s="48"/>
      <c r="B335" s="48"/>
      <c r="C335" s="8"/>
      <c r="D335" s="48"/>
      <c r="E335" s="48"/>
    </row>
    <row r="336">
      <c r="A336" s="48"/>
      <c r="B336" s="48"/>
      <c r="C336" s="8"/>
      <c r="D336" s="48"/>
      <c r="E336" s="48"/>
    </row>
    <row r="337">
      <c r="A337" s="48"/>
      <c r="B337" s="48"/>
      <c r="C337" s="8"/>
      <c r="D337" s="48"/>
      <c r="E337" s="48"/>
    </row>
    <row r="338">
      <c r="A338" s="48"/>
      <c r="B338" s="48"/>
      <c r="C338" s="8"/>
      <c r="D338" s="48"/>
      <c r="E338" s="48"/>
    </row>
    <row r="339">
      <c r="A339" s="48"/>
      <c r="B339" s="48"/>
      <c r="C339" s="8"/>
      <c r="D339" s="48"/>
      <c r="E339" s="48"/>
    </row>
    <row r="340">
      <c r="A340" s="48"/>
      <c r="B340" s="48"/>
      <c r="C340" s="8"/>
      <c r="D340" s="48"/>
      <c r="E340" s="48"/>
    </row>
    <row r="341">
      <c r="A341" s="48"/>
      <c r="B341" s="48"/>
      <c r="C341" s="8"/>
      <c r="D341" s="48"/>
      <c r="E341" s="48"/>
    </row>
    <row r="342">
      <c r="A342" s="48"/>
      <c r="B342" s="48"/>
      <c r="C342" s="8"/>
      <c r="D342" s="48"/>
      <c r="E342" s="48"/>
    </row>
    <row r="343">
      <c r="A343" s="48"/>
      <c r="B343" s="48"/>
      <c r="C343" s="8"/>
      <c r="D343" s="48"/>
      <c r="E343" s="48"/>
    </row>
    <row r="344">
      <c r="A344" s="48"/>
      <c r="B344" s="48"/>
      <c r="C344" s="8"/>
      <c r="D344" s="48"/>
      <c r="E344" s="48"/>
    </row>
    <row r="345">
      <c r="A345" s="48"/>
      <c r="B345" s="48"/>
      <c r="C345" s="8"/>
      <c r="D345" s="48"/>
      <c r="E345" s="48"/>
    </row>
    <row r="346">
      <c r="A346" s="48"/>
      <c r="B346" s="48"/>
      <c r="C346" s="8"/>
      <c r="D346" s="48"/>
      <c r="E346" s="48"/>
    </row>
    <row r="347">
      <c r="A347" s="48"/>
      <c r="B347" s="48"/>
      <c r="C347" s="8"/>
      <c r="D347" s="48"/>
      <c r="E347" s="48"/>
    </row>
    <row r="348">
      <c r="A348" s="48"/>
      <c r="B348" s="48"/>
      <c r="C348" s="8"/>
      <c r="D348" s="48"/>
      <c r="E348" s="48"/>
    </row>
    <row r="349">
      <c r="A349" s="48"/>
      <c r="B349" s="48"/>
      <c r="C349" s="8"/>
      <c r="D349" s="48"/>
      <c r="E349" s="48"/>
    </row>
    <row r="350">
      <c r="A350" s="48"/>
      <c r="B350" s="48"/>
      <c r="C350" s="8"/>
      <c r="D350" s="48"/>
      <c r="E350" s="48"/>
    </row>
    <row r="351">
      <c r="A351" s="48"/>
      <c r="B351" s="48"/>
      <c r="C351" s="8"/>
      <c r="D351" s="48"/>
      <c r="E351" s="48"/>
    </row>
    <row r="352">
      <c r="A352" s="48"/>
      <c r="B352" s="48"/>
      <c r="C352" s="8"/>
      <c r="D352" s="48"/>
      <c r="E352" s="48"/>
    </row>
    <row r="353">
      <c r="A353" s="48"/>
      <c r="B353" s="48"/>
      <c r="C353" s="8"/>
      <c r="D353" s="48"/>
      <c r="E353" s="48"/>
    </row>
    <row r="354">
      <c r="A354" s="48"/>
      <c r="B354" s="48"/>
      <c r="C354" s="8"/>
      <c r="D354" s="48"/>
      <c r="E354" s="48"/>
    </row>
    <row r="355">
      <c r="A355" s="48"/>
      <c r="B355" s="48"/>
      <c r="C355" s="8"/>
      <c r="D355" s="48"/>
      <c r="E355" s="48"/>
    </row>
    <row r="356">
      <c r="A356" s="48"/>
      <c r="B356" s="48"/>
      <c r="C356" s="8"/>
      <c r="D356" s="48"/>
      <c r="E356" s="48"/>
    </row>
    <row r="357">
      <c r="A357" s="48"/>
      <c r="B357" s="48"/>
      <c r="C357" s="8"/>
      <c r="D357" s="48"/>
      <c r="E357" s="48"/>
    </row>
    <row r="358">
      <c r="A358" s="48"/>
      <c r="B358" s="48"/>
      <c r="C358" s="8"/>
      <c r="D358" s="48"/>
      <c r="E358" s="48"/>
    </row>
    <row r="359">
      <c r="A359" s="48"/>
      <c r="B359" s="48"/>
      <c r="C359" s="8"/>
      <c r="D359" s="48"/>
      <c r="E359" s="48"/>
    </row>
    <row r="360">
      <c r="A360" s="48"/>
      <c r="B360" s="48"/>
      <c r="C360" s="8"/>
      <c r="D360" s="48"/>
      <c r="E360" s="48"/>
    </row>
    <row r="361">
      <c r="A361" s="48"/>
      <c r="B361" s="48"/>
      <c r="C361" s="8"/>
      <c r="D361" s="48"/>
      <c r="E361" s="48"/>
    </row>
    <row r="362">
      <c r="A362" s="48"/>
      <c r="B362" s="48"/>
      <c r="C362" s="8"/>
      <c r="D362" s="48"/>
      <c r="E362" s="48"/>
    </row>
    <row r="363">
      <c r="A363" s="48"/>
      <c r="B363" s="48"/>
      <c r="C363" s="8"/>
      <c r="D363" s="48"/>
      <c r="E363" s="48"/>
    </row>
    <row r="364">
      <c r="A364" s="48"/>
      <c r="B364" s="48"/>
      <c r="C364" s="8"/>
      <c r="D364" s="48"/>
      <c r="E364" s="48"/>
    </row>
    <row r="365">
      <c r="A365" s="48"/>
      <c r="B365" s="48"/>
      <c r="C365" s="8"/>
      <c r="D365" s="48"/>
      <c r="E365" s="48"/>
    </row>
    <row r="366">
      <c r="A366" s="48"/>
      <c r="B366" s="48"/>
      <c r="C366" s="8"/>
      <c r="D366" s="48"/>
      <c r="E366" s="48"/>
    </row>
    <row r="367">
      <c r="A367" s="48"/>
      <c r="B367" s="48"/>
      <c r="C367" s="8"/>
      <c r="D367" s="48"/>
      <c r="E367" s="48"/>
    </row>
    <row r="368">
      <c r="A368" s="48"/>
      <c r="B368" s="48"/>
      <c r="C368" s="8"/>
      <c r="D368" s="48"/>
      <c r="E368" s="48"/>
    </row>
    <row r="369">
      <c r="A369" s="48"/>
      <c r="B369" s="48"/>
      <c r="C369" s="8"/>
      <c r="D369" s="48"/>
      <c r="E369" s="48"/>
    </row>
    <row r="370">
      <c r="A370" s="48"/>
      <c r="B370" s="48"/>
      <c r="C370" s="8"/>
      <c r="D370" s="48"/>
      <c r="E370" s="48"/>
    </row>
    <row r="371">
      <c r="A371" s="48"/>
      <c r="B371" s="48"/>
      <c r="C371" s="8"/>
      <c r="D371" s="48"/>
      <c r="E371" s="48"/>
    </row>
    <row r="372">
      <c r="A372" s="48"/>
      <c r="B372" s="48"/>
      <c r="C372" s="8"/>
      <c r="D372" s="48"/>
      <c r="E372" s="48"/>
    </row>
    <row r="373">
      <c r="A373" s="48"/>
      <c r="B373" s="48"/>
      <c r="C373" s="8"/>
      <c r="D373" s="48"/>
      <c r="E373" s="48"/>
    </row>
    <row r="374">
      <c r="A374" s="48"/>
      <c r="B374" s="48"/>
      <c r="C374" s="8"/>
      <c r="D374" s="48"/>
      <c r="E374" s="48"/>
    </row>
    <row r="375">
      <c r="A375" s="48"/>
      <c r="B375" s="48"/>
      <c r="C375" s="8"/>
      <c r="D375" s="48"/>
      <c r="E375" s="48"/>
    </row>
    <row r="376">
      <c r="A376" s="48"/>
      <c r="B376" s="48"/>
      <c r="C376" s="8"/>
      <c r="D376" s="48"/>
      <c r="E376" s="48"/>
    </row>
    <row r="377">
      <c r="A377" s="48"/>
      <c r="B377" s="48"/>
      <c r="C377" s="8"/>
      <c r="D377" s="48"/>
      <c r="E377" s="48"/>
    </row>
    <row r="378">
      <c r="A378" s="48"/>
      <c r="B378" s="48"/>
      <c r="C378" s="8"/>
      <c r="D378" s="48"/>
      <c r="E378" s="48"/>
    </row>
    <row r="379">
      <c r="A379" s="48"/>
      <c r="B379" s="48"/>
      <c r="C379" s="8"/>
      <c r="D379" s="48"/>
      <c r="E379" s="48"/>
    </row>
    <row r="380">
      <c r="A380" s="48"/>
      <c r="B380" s="48"/>
      <c r="C380" s="8"/>
      <c r="D380" s="48"/>
      <c r="E380" s="48"/>
    </row>
    <row r="381">
      <c r="A381" s="48"/>
      <c r="B381" s="48"/>
      <c r="C381" s="8"/>
      <c r="D381" s="48"/>
      <c r="E381" s="48"/>
    </row>
    <row r="382">
      <c r="A382" s="48"/>
      <c r="B382" s="48"/>
      <c r="C382" s="8"/>
      <c r="D382" s="48"/>
      <c r="E382" s="48"/>
    </row>
    <row r="383">
      <c r="A383" s="48"/>
      <c r="B383" s="48"/>
      <c r="C383" s="8"/>
      <c r="D383" s="48"/>
      <c r="E383" s="48"/>
    </row>
    <row r="384">
      <c r="A384" s="48"/>
      <c r="B384" s="48"/>
      <c r="C384" s="8"/>
      <c r="D384" s="48"/>
      <c r="E384" s="48"/>
    </row>
    <row r="385">
      <c r="A385" s="48"/>
      <c r="B385" s="48"/>
      <c r="C385" s="8"/>
      <c r="D385" s="48"/>
      <c r="E385" s="48"/>
    </row>
    <row r="386">
      <c r="A386" s="48"/>
      <c r="B386" s="48"/>
      <c r="C386" s="8"/>
      <c r="D386" s="48"/>
      <c r="E386" s="48"/>
    </row>
    <row r="387">
      <c r="A387" s="48"/>
      <c r="B387" s="48"/>
      <c r="C387" s="8"/>
      <c r="D387" s="48"/>
      <c r="E387" s="48"/>
    </row>
    <row r="388">
      <c r="A388" s="48"/>
      <c r="B388" s="48"/>
      <c r="C388" s="8"/>
      <c r="D388" s="48"/>
      <c r="E388" s="48"/>
    </row>
    <row r="389">
      <c r="A389" s="48"/>
      <c r="B389" s="48"/>
      <c r="C389" s="8"/>
      <c r="D389" s="48"/>
      <c r="E389" s="48"/>
    </row>
    <row r="390">
      <c r="A390" s="48"/>
      <c r="B390" s="48"/>
      <c r="C390" s="8"/>
      <c r="D390" s="48"/>
      <c r="E390" s="48"/>
    </row>
    <row r="391">
      <c r="A391" s="48"/>
      <c r="B391" s="48"/>
      <c r="C391" s="8"/>
      <c r="D391" s="48"/>
      <c r="E391" s="48"/>
    </row>
    <row r="392">
      <c r="A392" s="48"/>
      <c r="B392" s="48"/>
      <c r="C392" s="8"/>
      <c r="D392" s="48"/>
      <c r="E392" s="48"/>
    </row>
    <row r="393">
      <c r="A393" s="48"/>
      <c r="B393" s="48"/>
      <c r="C393" s="8"/>
      <c r="D393" s="48"/>
      <c r="E393" s="48"/>
    </row>
    <row r="394">
      <c r="A394" s="48"/>
      <c r="B394" s="48"/>
      <c r="C394" s="8"/>
      <c r="D394" s="48"/>
      <c r="E394" s="48"/>
    </row>
    <row r="395">
      <c r="A395" s="48"/>
      <c r="B395" s="48"/>
      <c r="C395" s="8"/>
      <c r="D395" s="48"/>
      <c r="E395" s="48"/>
    </row>
    <row r="396">
      <c r="A396" s="48"/>
      <c r="B396" s="48"/>
      <c r="C396" s="8"/>
      <c r="D396" s="48"/>
      <c r="E396" s="48"/>
    </row>
    <row r="397">
      <c r="A397" s="48"/>
      <c r="B397" s="48"/>
      <c r="C397" s="8"/>
      <c r="D397" s="48"/>
      <c r="E397" s="48"/>
    </row>
    <row r="398">
      <c r="A398" s="48"/>
      <c r="B398" s="48"/>
      <c r="C398" s="8"/>
      <c r="D398" s="48"/>
      <c r="E398" s="48"/>
    </row>
    <row r="399">
      <c r="A399" s="48"/>
      <c r="B399" s="48"/>
      <c r="C399" s="8"/>
      <c r="D399" s="48"/>
      <c r="E399" s="48"/>
    </row>
    <row r="400">
      <c r="A400" s="48"/>
      <c r="B400" s="48"/>
      <c r="C400" s="8"/>
      <c r="D400" s="48"/>
      <c r="E400" s="48"/>
    </row>
    <row r="401">
      <c r="A401" s="48"/>
      <c r="B401" s="48"/>
      <c r="C401" s="8"/>
      <c r="D401" s="48"/>
      <c r="E401" s="48"/>
    </row>
    <row r="402">
      <c r="A402" s="48"/>
      <c r="B402" s="48"/>
      <c r="C402" s="8"/>
      <c r="D402" s="48"/>
      <c r="E402" s="48"/>
    </row>
    <row r="403">
      <c r="A403" s="48"/>
      <c r="B403" s="48"/>
      <c r="C403" s="8"/>
      <c r="D403" s="48"/>
      <c r="E403" s="48"/>
    </row>
    <row r="404">
      <c r="A404" s="48"/>
      <c r="B404" s="48"/>
      <c r="C404" s="8"/>
      <c r="D404" s="48"/>
      <c r="E404" s="48"/>
    </row>
    <row r="405">
      <c r="A405" s="48"/>
      <c r="B405" s="48"/>
      <c r="C405" s="8"/>
      <c r="D405" s="48"/>
      <c r="E405" s="48"/>
    </row>
    <row r="406">
      <c r="A406" s="48"/>
      <c r="B406" s="48"/>
      <c r="C406" s="8"/>
      <c r="D406" s="48"/>
      <c r="E406" s="48"/>
    </row>
    <row r="407">
      <c r="A407" s="48"/>
      <c r="B407" s="48"/>
      <c r="C407" s="8"/>
      <c r="D407" s="48"/>
      <c r="E407" s="48"/>
    </row>
    <row r="408">
      <c r="A408" s="48"/>
      <c r="B408" s="48"/>
      <c r="C408" s="8"/>
      <c r="D408" s="48"/>
      <c r="E408" s="48"/>
    </row>
    <row r="409">
      <c r="A409" s="48"/>
      <c r="B409" s="48"/>
      <c r="C409" s="8"/>
      <c r="D409" s="48"/>
      <c r="E409" s="48"/>
    </row>
    <row r="410">
      <c r="A410" s="48"/>
      <c r="B410" s="48"/>
      <c r="C410" s="8"/>
      <c r="D410" s="48"/>
      <c r="E410" s="48"/>
    </row>
    <row r="411">
      <c r="A411" s="48"/>
      <c r="B411" s="48"/>
      <c r="C411" s="8"/>
      <c r="D411" s="48"/>
      <c r="E411" s="48"/>
    </row>
    <row r="412">
      <c r="A412" s="48"/>
      <c r="B412" s="48"/>
      <c r="C412" s="8"/>
      <c r="D412" s="48"/>
      <c r="E412" s="48"/>
    </row>
    <row r="413">
      <c r="A413" s="48"/>
      <c r="B413" s="48"/>
      <c r="C413" s="8"/>
      <c r="D413" s="48"/>
      <c r="E413" s="48"/>
    </row>
    <row r="414">
      <c r="A414" s="48"/>
      <c r="B414" s="48"/>
      <c r="C414" s="8"/>
      <c r="D414" s="48"/>
      <c r="E414" s="48"/>
    </row>
    <row r="415">
      <c r="A415" s="48"/>
      <c r="B415" s="48"/>
      <c r="C415" s="8"/>
      <c r="D415" s="48"/>
      <c r="E415" s="48"/>
    </row>
    <row r="416">
      <c r="A416" s="48"/>
      <c r="B416" s="48"/>
      <c r="C416" s="8"/>
      <c r="D416" s="48"/>
      <c r="E416" s="48"/>
    </row>
    <row r="417">
      <c r="A417" s="48"/>
      <c r="B417" s="48"/>
      <c r="C417" s="8"/>
      <c r="D417" s="48"/>
      <c r="E417" s="48"/>
    </row>
    <row r="418">
      <c r="A418" s="48"/>
      <c r="B418" s="48"/>
      <c r="C418" s="8"/>
      <c r="D418" s="48"/>
      <c r="E418" s="48"/>
    </row>
    <row r="419">
      <c r="A419" s="48"/>
      <c r="B419" s="48"/>
      <c r="C419" s="8"/>
      <c r="D419" s="48"/>
      <c r="E419" s="48"/>
    </row>
    <row r="420">
      <c r="A420" s="48"/>
      <c r="B420" s="48"/>
      <c r="C420" s="8"/>
      <c r="D420" s="48"/>
      <c r="E420" s="48"/>
    </row>
    <row r="421">
      <c r="A421" s="48"/>
      <c r="B421" s="48"/>
      <c r="C421" s="8"/>
      <c r="D421" s="48"/>
      <c r="E421" s="48"/>
    </row>
    <row r="422">
      <c r="A422" s="48"/>
      <c r="B422" s="48"/>
      <c r="C422" s="8"/>
      <c r="D422" s="48"/>
      <c r="E422" s="48"/>
    </row>
    <row r="423">
      <c r="A423" s="48"/>
      <c r="B423" s="48"/>
      <c r="C423" s="8"/>
      <c r="D423" s="48"/>
      <c r="E423" s="48"/>
    </row>
    <row r="424">
      <c r="A424" s="48"/>
      <c r="B424" s="48"/>
      <c r="C424" s="8"/>
      <c r="D424" s="48"/>
      <c r="E424" s="48"/>
    </row>
    <row r="425">
      <c r="A425" s="48"/>
      <c r="B425" s="48"/>
      <c r="C425" s="8"/>
      <c r="D425" s="48"/>
      <c r="E425" s="48"/>
    </row>
    <row r="426">
      <c r="A426" s="48"/>
      <c r="B426" s="48"/>
      <c r="C426" s="8"/>
      <c r="D426" s="48"/>
      <c r="E426" s="48"/>
    </row>
    <row r="427">
      <c r="A427" s="48"/>
      <c r="B427" s="48"/>
      <c r="C427" s="8"/>
      <c r="D427" s="48"/>
      <c r="E427" s="48"/>
    </row>
    <row r="428">
      <c r="A428" s="48"/>
      <c r="B428" s="48"/>
      <c r="C428" s="8"/>
      <c r="D428" s="48"/>
      <c r="E428" s="48"/>
    </row>
    <row r="429">
      <c r="A429" s="48"/>
      <c r="B429" s="48"/>
      <c r="C429" s="8"/>
      <c r="D429" s="48"/>
      <c r="E429" s="48"/>
    </row>
    <row r="430">
      <c r="A430" s="48"/>
      <c r="B430" s="48"/>
      <c r="C430" s="8"/>
      <c r="D430" s="48"/>
      <c r="E430" s="48"/>
    </row>
    <row r="431">
      <c r="A431" s="48"/>
      <c r="B431" s="48"/>
      <c r="C431" s="8"/>
      <c r="D431" s="48"/>
      <c r="E431" s="48"/>
    </row>
    <row r="432">
      <c r="A432" s="48"/>
      <c r="B432" s="48"/>
      <c r="C432" s="8"/>
      <c r="D432" s="48"/>
      <c r="E432" s="48"/>
    </row>
    <row r="433">
      <c r="A433" s="48"/>
      <c r="B433" s="48"/>
      <c r="C433" s="8"/>
      <c r="D433" s="48"/>
      <c r="E433" s="48"/>
    </row>
    <row r="434">
      <c r="A434" s="48"/>
      <c r="B434" s="48"/>
      <c r="C434" s="8"/>
      <c r="D434" s="48"/>
      <c r="E434" s="48"/>
    </row>
    <row r="435">
      <c r="A435" s="48"/>
      <c r="B435" s="48"/>
      <c r="C435" s="8"/>
      <c r="D435" s="48"/>
      <c r="E435" s="48"/>
    </row>
    <row r="436">
      <c r="A436" s="48"/>
      <c r="B436" s="48"/>
      <c r="C436" s="8"/>
      <c r="D436" s="48"/>
      <c r="E436" s="48"/>
    </row>
    <row r="437">
      <c r="A437" s="48"/>
      <c r="B437" s="48"/>
      <c r="C437" s="8"/>
      <c r="D437" s="48"/>
      <c r="E437" s="48"/>
    </row>
    <row r="438">
      <c r="A438" s="48"/>
      <c r="B438" s="48"/>
      <c r="C438" s="8"/>
      <c r="D438" s="48"/>
      <c r="E438" s="48"/>
    </row>
    <row r="439">
      <c r="A439" s="48"/>
      <c r="B439" s="48"/>
      <c r="C439" s="8"/>
      <c r="D439" s="48"/>
      <c r="E439" s="48"/>
    </row>
    <row r="440">
      <c r="A440" s="48"/>
      <c r="B440" s="48"/>
      <c r="C440" s="8"/>
      <c r="D440" s="48"/>
      <c r="E440" s="48"/>
    </row>
    <row r="441">
      <c r="A441" s="48"/>
      <c r="B441" s="48"/>
      <c r="C441" s="8"/>
      <c r="D441" s="48"/>
      <c r="E441" s="48"/>
    </row>
    <row r="442">
      <c r="A442" s="48"/>
      <c r="B442" s="48"/>
      <c r="C442" s="8"/>
      <c r="D442" s="48"/>
      <c r="E442" s="48"/>
    </row>
    <row r="443">
      <c r="A443" s="48"/>
      <c r="B443" s="48"/>
      <c r="C443" s="8"/>
      <c r="D443" s="48"/>
      <c r="E443" s="48"/>
    </row>
    <row r="444">
      <c r="A444" s="48"/>
      <c r="B444" s="48"/>
      <c r="C444" s="8"/>
      <c r="D444" s="48"/>
      <c r="E444" s="48"/>
    </row>
    <row r="445">
      <c r="A445" s="48"/>
      <c r="B445" s="48"/>
      <c r="C445" s="8"/>
      <c r="D445" s="48"/>
      <c r="E445" s="48"/>
    </row>
    <row r="446">
      <c r="A446" s="48"/>
      <c r="B446" s="48"/>
      <c r="C446" s="8"/>
      <c r="D446" s="48"/>
      <c r="E446" s="48"/>
    </row>
    <row r="447">
      <c r="A447" s="48"/>
      <c r="B447" s="48"/>
      <c r="C447" s="8"/>
      <c r="D447" s="48"/>
      <c r="E447" s="48"/>
    </row>
    <row r="448">
      <c r="A448" s="48"/>
      <c r="B448" s="48"/>
      <c r="C448" s="8"/>
      <c r="D448" s="48"/>
      <c r="E448" s="48"/>
    </row>
    <row r="449">
      <c r="A449" s="48"/>
      <c r="B449" s="48"/>
      <c r="C449" s="8"/>
      <c r="D449" s="48"/>
      <c r="E449" s="48"/>
    </row>
    <row r="450">
      <c r="A450" s="48"/>
      <c r="B450" s="48"/>
      <c r="C450" s="8"/>
      <c r="D450" s="48"/>
      <c r="E450" s="48"/>
    </row>
    <row r="451">
      <c r="A451" s="48"/>
      <c r="B451" s="48"/>
      <c r="C451" s="8"/>
      <c r="D451" s="48"/>
      <c r="E451" s="48"/>
    </row>
    <row r="452">
      <c r="A452" s="48"/>
      <c r="B452" s="48"/>
      <c r="C452" s="8"/>
      <c r="D452" s="48"/>
      <c r="E452" s="48"/>
    </row>
    <row r="453">
      <c r="A453" s="48"/>
      <c r="B453" s="48"/>
      <c r="C453" s="8"/>
      <c r="D453" s="48"/>
      <c r="E453" s="48"/>
    </row>
    <row r="454">
      <c r="A454" s="48"/>
      <c r="B454" s="48"/>
      <c r="C454" s="8"/>
      <c r="D454" s="48"/>
      <c r="E454" s="48"/>
    </row>
    <row r="455">
      <c r="A455" s="48"/>
      <c r="B455" s="48"/>
      <c r="C455" s="8"/>
      <c r="D455" s="48"/>
      <c r="E455" s="48"/>
    </row>
    <row r="456">
      <c r="A456" s="48"/>
      <c r="B456" s="48"/>
      <c r="C456" s="8"/>
      <c r="D456" s="48"/>
      <c r="E456" s="48"/>
    </row>
    <row r="457">
      <c r="A457" s="48"/>
      <c r="B457" s="48"/>
      <c r="C457" s="8"/>
      <c r="D457" s="48"/>
      <c r="E457" s="48"/>
    </row>
    <row r="458">
      <c r="A458" s="48"/>
      <c r="B458" s="48"/>
      <c r="C458" s="8"/>
      <c r="D458" s="48"/>
      <c r="E458" s="48"/>
    </row>
    <row r="459">
      <c r="A459" s="48"/>
      <c r="B459" s="48"/>
      <c r="C459" s="8"/>
      <c r="D459" s="48"/>
      <c r="E459" s="48"/>
    </row>
    <row r="460">
      <c r="A460" s="48"/>
      <c r="B460" s="48"/>
      <c r="C460" s="8"/>
      <c r="D460" s="48"/>
      <c r="E460" s="48"/>
    </row>
    <row r="461">
      <c r="A461" s="48"/>
      <c r="B461" s="48"/>
      <c r="C461" s="8"/>
      <c r="D461" s="48"/>
      <c r="E461" s="48"/>
    </row>
    <row r="462">
      <c r="A462" s="48"/>
      <c r="B462" s="48"/>
      <c r="C462" s="8"/>
      <c r="D462" s="48"/>
      <c r="E462" s="48"/>
    </row>
    <row r="463">
      <c r="A463" s="48"/>
      <c r="B463" s="48"/>
      <c r="C463" s="8"/>
      <c r="D463" s="48"/>
      <c r="E463" s="48"/>
    </row>
    <row r="464">
      <c r="A464" s="48"/>
      <c r="B464" s="48"/>
      <c r="C464" s="8"/>
      <c r="D464" s="48"/>
      <c r="E464" s="48"/>
    </row>
    <row r="465">
      <c r="A465" s="48"/>
      <c r="B465" s="48"/>
      <c r="C465" s="8"/>
      <c r="D465" s="48"/>
      <c r="E465" s="48"/>
    </row>
    <row r="466">
      <c r="A466" s="48"/>
      <c r="B466" s="48"/>
      <c r="C466" s="8"/>
      <c r="D466" s="48"/>
      <c r="E466" s="48"/>
    </row>
    <row r="467">
      <c r="A467" s="48"/>
      <c r="B467" s="48"/>
      <c r="C467" s="8"/>
      <c r="D467" s="48"/>
      <c r="E467" s="48"/>
    </row>
    <row r="468">
      <c r="A468" s="48"/>
      <c r="B468" s="48"/>
      <c r="C468" s="8"/>
      <c r="D468" s="48"/>
      <c r="E468" s="48"/>
    </row>
    <row r="469">
      <c r="A469" s="48"/>
      <c r="B469" s="48"/>
      <c r="C469" s="8"/>
      <c r="D469" s="48"/>
      <c r="E469" s="48"/>
    </row>
    <row r="470">
      <c r="A470" s="48"/>
      <c r="B470" s="48"/>
      <c r="C470" s="8"/>
      <c r="D470" s="48"/>
      <c r="E470" s="48"/>
    </row>
    <row r="471">
      <c r="A471" s="48"/>
      <c r="B471" s="48"/>
      <c r="C471" s="8"/>
      <c r="D471" s="48"/>
      <c r="E471" s="48"/>
    </row>
    <row r="472">
      <c r="A472" s="48"/>
      <c r="B472" s="48"/>
      <c r="C472" s="8"/>
      <c r="D472" s="48"/>
      <c r="E472" s="48"/>
    </row>
    <row r="473">
      <c r="A473" s="48"/>
      <c r="B473" s="48"/>
      <c r="C473" s="8"/>
      <c r="D473" s="48"/>
      <c r="E473" s="48"/>
    </row>
    <row r="474">
      <c r="A474" s="48"/>
      <c r="B474" s="48"/>
      <c r="C474" s="8"/>
      <c r="D474" s="48"/>
      <c r="E474" s="48"/>
    </row>
    <row r="475">
      <c r="A475" s="48"/>
      <c r="B475" s="48"/>
      <c r="C475" s="8"/>
      <c r="D475" s="48"/>
      <c r="E475" s="48"/>
    </row>
    <row r="476">
      <c r="A476" s="48"/>
      <c r="B476" s="48"/>
      <c r="C476" s="8"/>
      <c r="D476" s="48"/>
      <c r="E476" s="48"/>
    </row>
    <row r="477">
      <c r="A477" s="48"/>
      <c r="B477" s="48"/>
      <c r="C477" s="8"/>
      <c r="D477" s="48"/>
      <c r="E477" s="48"/>
    </row>
    <row r="478">
      <c r="A478" s="48"/>
      <c r="B478" s="48"/>
      <c r="C478" s="8"/>
      <c r="D478" s="48"/>
      <c r="E478" s="48"/>
    </row>
    <row r="479">
      <c r="A479" s="48"/>
      <c r="B479" s="48"/>
      <c r="C479" s="8"/>
      <c r="D479" s="48"/>
      <c r="E479" s="48"/>
    </row>
    <row r="480">
      <c r="A480" s="48"/>
      <c r="B480" s="48"/>
      <c r="C480" s="8"/>
      <c r="D480" s="48"/>
      <c r="E480" s="48"/>
    </row>
    <row r="481">
      <c r="A481" s="48"/>
      <c r="B481" s="48"/>
      <c r="C481" s="8"/>
      <c r="D481" s="48"/>
      <c r="E481" s="48"/>
    </row>
    <row r="482">
      <c r="A482" s="48"/>
      <c r="B482" s="48"/>
      <c r="C482" s="8"/>
      <c r="D482" s="48"/>
      <c r="E482" s="48"/>
    </row>
    <row r="483">
      <c r="A483" s="48"/>
      <c r="B483" s="48"/>
      <c r="C483" s="8"/>
      <c r="D483" s="48"/>
      <c r="E483" s="48"/>
    </row>
    <row r="484">
      <c r="A484" s="48"/>
      <c r="B484" s="48"/>
      <c r="C484" s="8"/>
      <c r="D484" s="48"/>
      <c r="E484" s="48"/>
    </row>
    <row r="485">
      <c r="A485" s="48"/>
      <c r="B485" s="48"/>
      <c r="C485" s="8"/>
      <c r="D485" s="48"/>
      <c r="E485" s="48"/>
    </row>
    <row r="486">
      <c r="A486" s="48"/>
      <c r="B486" s="48"/>
      <c r="C486" s="8"/>
      <c r="D486" s="48"/>
      <c r="E486" s="48"/>
    </row>
    <row r="487">
      <c r="A487" s="48"/>
      <c r="B487" s="48"/>
      <c r="C487" s="8"/>
      <c r="D487" s="48"/>
      <c r="E487" s="48"/>
    </row>
    <row r="488">
      <c r="A488" s="48"/>
      <c r="B488" s="48"/>
      <c r="C488" s="8"/>
      <c r="D488" s="48"/>
      <c r="E488" s="48"/>
    </row>
    <row r="489">
      <c r="A489" s="48"/>
      <c r="B489" s="48"/>
      <c r="C489" s="8"/>
      <c r="D489" s="48"/>
      <c r="E489" s="48"/>
    </row>
    <row r="490">
      <c r="A490" s="48"/>
      <c r="B490" s="48"/>
      <c r="C490" s="8"/>
      <c r="D490" s="48"/>
      <c r="E490" s="48"/>
    </row>
    <row r="491">
      <c r="A491" s="48"/>
      <c r="B491" s="48"/>
      <c r="C491" s="8"/>
      <c r="D491" s="48"/>
      <c r="E491" s="48"/>
    </row>
    <row r="492">
      <c r="A492" s="48"/>
      <c r="B492" s="48"/>
      <c r="C492" s="8"/>
      <c r="D492" s="48"/>
      <c r="E492" s="48"/>
    </row>
    <row r="493">
      <c r="A493" s="48"/>
      <c r="B493" s="48"/>
      <c r="C493" s="8"/>
      <c r="D493" s="48"/>
      <c r="E493" s="48"/>
    </row>
    <row r="494">
      <c r="A494" s="48"/>
      <c r="B494" s="48"/>
      <c r="C494" s="8"/>
      <c r="D494" s="48"/>
      <c r="E494" s="48"/>
    </row>
    <row r="495">
      <c r="A495" s="48"/>
      <c r="B495" s="48"/>
      <c r="C495" s="8"/>
      <c r="D495" s="48"/>
      <c r="E495" s="48"/>
    </row>
    <row r="496">
      <c r="A496" s="48"/>
      <c r="B496" s="48"/>
      <c r="C496" s="8"/>
      <c r="D496" s="48"/>
      <c r="E496" s="48"/>
    </row>
    <row r="497">
      <c r="A497" s="48"/>
      <c r="B497" s="48"/>
      <c r="C497" s="8"/>
      <c r="D497" s="48"/>
      <c r="E497" s="48"/>
    </row>
    <row r="498">
      <c r="A498" s="48"/>
      <c r="B498" s="48"/>
      <c r="C498" s="8"/>
      <c r="D498" s="48"/>
      <c r="E498" s="48"/>
    </row>
    <row r="499">
      <c r="A499" s="48"/>
      <c r="B499" s="48"/>
      <c r="C499" s="8"/>
      <c r="D499" s="48"/>
      <c r="E499" s="48"/>
    </row>
    <row r="500">
      <c r="A500" s="48"/>
      <c r="B500" s="48"/>
      <c r="C500" s="8"/>
      <c r="D500" s="48"/>
      <c r="E500" s="48"/>
    </row>
    <row r="501">
      <c r="A501" s="48"/>
      <c r="B501" s="48"/>
      <c r="C501" s="8"/>
      <c r="D501" s="48"/>
      <c r="E501" s="48"/>
    </row>
    <row r="502">
      <c r="A502" s="48"/>
      <c r="B502" s="48"/>
      <c r="C502" s="8"/>
      <c r="D502" s="48"/>
      <c r="E502" s="48"/>
    </row>
    <row r="503">
      <c r="A503" s="48"/>
      <c r="B503" s="48"/>
      <c r="C503" s="8"/>
      <c r="D503" s="48"/>
      <c r="E503" s="48"/>
    </row>
    <row r="504">
      <c r="A504" s="48"/>
      <c r="B504" s="48"/>
      <c r="C504" s="8"/>
      <c r="D504" s="48"/>
      <c r="E504" s="48"/>
    </row>
    <row r="505">
      <c r="A505" s="48"/>
      <c r="B505" s="48"/>
      <c r="C505" s="8"/>
      <c r="D505" s="48"/>
      <c r="E505" s="48"/>
    </row>
    <row r="506">
      <c r="A506" s="48"/>
      <c r="B506" s="48"/>
      <c r="C506" s="8"/>
      <c r="D506" s="48"/>
      <c r="E506" s="48"/>
    </row>
    <row r="507">
      <c r="A507" s="48"/>
      <c r="B507" s="48"/>
      <c r="C507" s="8"/>
      <c r="D507" s="48"/>
      <c r="E507" s="48"/>
    </row>
    <row r="508">
      <c r="A508" s="48"/>
      <c r="B508" s="48"/>
      <c r="C508" s="8"/>
      <c r="D508" s="48"/>
      <c r="E508" s="48"/>
    </row>
    <row r="509">
      <c r="A509" s="48"/>
      <c r="B509" s="48"/>
      <c r="C509" s="8"/>
      <c r="D509" s="48"/>
      <c r="E509" s="48"/>
    </row>
    <row r="510">
      <c r="A510" s="48"/>
      <c r="B510" s="48"/>
      <c r="C510" s="8"/>
      <c r="D510" s="48"/>
      <c r="E510" s="48"/>
    </row>
    <row r="511">
      <c r="A511" s="48"/>
      <c r="B511" s="48"/>
      <c r="C511" s="8"/>
      <c r="D511" s="48"/>
      <c r="E511" s="48"/>
    </row>
    <row r="512">
      <c r="A512" s="48"/>
      <c r="B512" s="48"/>
      <c r="C512" s="8"/>
      <c r="D512" s="48"/>
      <c r="E512" s="48"/>
    </row>
    <row r="513">
      <c r="A513" s="48"/>
      <c r="B513" s="48"/>
      <c r="C513" s="8"/>
      <c r="D513" s="48"/>
      <c r="E513" s="48"/>
    </row>
    <row r="514">
      <c r="A514" s="48"/>
      <c r="B514" s="48"/>
      <c r="C514" s="8"/>
      <c r="D514" s="48"/>
      <c r="E514" s="48"/>
    </row>
    <row r="515">
      <c r="A515" s="48"/>
      <c r="B515" s="48"/>
      <c r="C515" s="8"/>
      <c r="D515" s="48"/>
      <c r="E515" s="48"/>
    </row>
    <row r="516">
      <c r="A516" s="48"/>
      <c r="B516" s="48"/>
      <c r="C516" s="8"/>
      <c r="D516" s="48"/>
      <c r="E516" s="48"/>
    </row>
    <row r="517">
      <c r="A517" s="48"/>
      <c r="B517" s="48"/>
      <c r="C517" s="8"/>
      <c r="D517" s="48"/>
      <c r="E517" s="48"/>
    </row>
    <row r="518">
      <c r="A518" s="48"/>
      <c r="B518" s="48"/>
      <c r="C518" s="8"/>
      <c r="D518" s="48"/>
      <c r="E518" s="48"/>
    </row>
    <row r="519">
      <c r="A519" s="48"/>
      <c r="B519" s="48"/>
      <c r="C519" s="8"/>
      <c r="D519" s="48"/>
      <c r="E519" s="48"/>
    </row>
    <row r="520">
      <c r="A520" s="48"/>
      <c r="B520" s="48"/>
      <c r="C520" s="8"/>
      <c r="D520" s="48"/>
      <c r="E520" s="48"/>
    </row>
    <row r="521">
      <c r="A521" s="48"/>
      <c r="B521" s="48"/>
      <c r="C521" s="8"/>
      <c r="D521" s="48"/>
      <c r="E521" s="48"/>
    </row>
    <row r="522">
      <c r="A522" s="48"/>
      <c r="B522" s="48"/>
      <c r="C522" s="8"/>
      <c r="D522" s="48"/>
      <c r="E522" s="48"/>
    </row>
    <row r="523">
      <c r="A523" s="48"/>
      <c r="B523" s="48"/>
      <c r="C523" s="8"/>
      <c r="D523" s="48"/>
      <c r="E523" s="48"/>
    </row>
    <row r="524">
      <c r="A524" s="48"/>
      <c r="B524" s="48"/>
      <c r="C524" s="8"/>
      <c r="D524" s="48"/>
      <c r="E524" s="48"/>
    </row>
    <row r="525">
      <c r="A525" s="48"/>
      <c r="B525" s="48"/>
      <c r="C525" s="8"/>
      <c r="D525" s="48"/>
      <c r="E525" s="48"/>
    </row>
    <row r="526">
      <c r="A526" s="48"/>
      <c r="B526" s="48"/>
      <c r="C526" s="8"/>
      <c r="D526" s="48"/>
      <c r="E526" s="48"/>
    </row>
    <row r="527">
      <c r="A527" s="48"/>
      <c r="B527" s="48"/>
      <c r="C527" s="8"/>
      <c r="D527" s="48"/>
      <c r="E527" s="48"/>
    </row>
    <row r="528">
      <c r="A528" s="48"/>
      <c r="B528" s="48"/>
      <c r="C528" s="8"/>
      <c r="D528" s="48"/>
      <c r="E528" s="48"/>
    </row>
    <row r="529">
      <c r="A529" s="48"/>
      <c r="B529" s="48"/>
      <c r="C529" s="8"/>
      <c r="D529" s="48"/>
      <c r="E529" s="48"/>
    </row>
    <row r="530">
      <c r="A530" s="48"/>
      <c r="B530" s="48"/>
      <c r="C530" s="8"/>
      <c r="D530" s="48"/>
      <c r="E530" s="48"/>
    </row>
    <row r="531">
      <c r="A531" s="48"/>
      <c r="B531" s="48"/>
      <c r="C531" s="8"/>
      <c r="D531" s="48"/>
      <c r="E531" s="48"/>
    </row>
    <row r="532">
      <c r="A532" s="48"/>
      <c r="B532" s="48"/>
      <c r="C532" s="8"/>
      <c r="D532" s="48"/>
      <c r="E532" s="48"/>
    </row>
    <row r="533">
      <c r="A533" s="48"/>
      <c r="B533" s="48"/>
      <c r="C533" s="8"/>
      <c r="D533" s="48"/>
      <c r="E533" s="48"/>
    </row>
    <row r="534">
      <c r="A534" s="48"/>
      <c r="B534" s="48"/>
      <c r="C534" s="8"/>
      <c r="D534" s="48"/>
      <c r="E534" s="48"/>
    </row>
    <row r="535">
      <c r="A535" s="48"/>
      <c r="B535" s="48"/>
      <c r="C535" s="8"/>
      <c r="D535" s="48"/>
      <c r="E535" s="48"/>
    </row>
    <row r="536">
      <c r="A536" s="48"/>
      <c r="B536" s="48"/>
      <c r="C536" s="8"/>
      <c r="D536" s="48"/>
      <c r="E536" s="48"/>
    </row>
    <row r="537">
      <c r="A537" s="48"/>
      <c r="B537" s="48"/>
      <c r="C537" s="8"/>
      <c r="D537" s="48"/>
      <c r="E537" s="48"/>
    </row>
    <row r="538">
      <c r="A538" s="48"/>
      <c r="B538" s="48"/>
      <c r="C538" s="8"/>
      <c r="D538" s="48"/>
      <c r="E538" s="48"/>
    </row>
    <row r="539">
      <c r="A539" s="48"/>
      <c r="B539" s="48"/>
      <c r="C539" s="8"/>
      <c r="D539" s="48"/>
      <c r="E539" s="48"/>
    </row>
    <row r="540">
      <c r="A540" s="48"/>
      <c r="B540" s="48"/>
      <c r="C540" s="8"/>
      <c r="D540" s="48"/>
      <c r="E540" s="48"/>
    </row>
    <row r="541">
      <c r="A541" s="48"/>
      <c r="B541" s="48"/>
      <c r="C541" s="8"/>
      <c r="D541" s="48"/>
      <c r="E541" s="48"/>
    </row>
    <row r="542">
      <c r="A542" s="48"/>
      <c r="B542" s="48"/>
      <c r="C542" s="8"/>
      <c r="D542" s="48"/>
      <c r="E542" s="48"/>
    </row>
    <row r="543">
      <c r="A543" s="48"/>
      <c r="B543" s="48"/>
      <c r="C543" s="8"/>
      <c r="D543" s="48"/>
      <c r="E543" s="48"/>
    </row>
    <row r="544">
      <c r="A544" s="48"/>
      <c r="B544" s="48"/>
      <c r="C544" s="8"/>
      <c r="D544" s="48"/>
      <c r="E544" s="48"/>
    </row>
    <row r="545">
      <c r="A545" s="48"/>
      <c r="B545" s="48"/>
      <c r="C545" s="8"/>
      <c r="D545" s="48"/>
      <c r="E545" s="48"/>
    </row>
    <row r="546">
      <c r="A546" s="48"/>
      <c r="B546" s="48"/>
      <c r="C546" s="8"/>
      <c r="D546" s="48"/>
      <c r="E546" s="48"/>
    </row>
    <row r="547">
      <c r="A547" s="48"/>
      <c r="B547" s="48"/>
      <c r="C547" s="8"/>
      <c r="D547" s="48"/>
      <c r="E547" s="48"/>
    </row>
    <row r="548">
      <c r="A548" s="48"/>
      <c r="B548" s="48"/>
      <c r="C548" s="8"/>
      <c r="D548" s="48"/>
      <c r="E548" s="48"/>
    </row>
    <row r="549">
      <c r="A549" s="48"/>
      <c r="B549" s="48"/>
      <c r="C549" s="8"/>
      <c r="D549" s="48"/>
      <c r="E549" s="48"/>
    </row>
    <row r="550">
      <c r="A550" s="48"/>
      <c r="B550" s="48"/>
      <c r="C550" s="8"/>
      <c r="D550" s="48"/>
      <c r="E550" s="48"/>
    </row>
    <row r="551">
      <c r="A551" s="48"/>
      <c r="B551" s="48"/>
      <c r="C551" s="8"/>
      <c r="D551" s="48"/>
      <c r="E551" s="48"/>
    </row>
    <row r="552">
      <c r="A552" s="48"/>
      <c r="B552" s="48"/>
      <c r="C552" s="8"/>
      <c r="D552" s="48"/>
      <c r="E552" s="48"/>
    </row>
    <row r="553">
      <c r="A553" s="48"/>
      <c r="B553" s="48"/>
      <c r="C553" s="8"/>
      <c r="D553" s="48"/>
      <c r="E553" s="48"/>
    </row>
    <row r="554">
      <c r="A554" s="48"/>
      <c r="B554" s="48"/>
      <c r="C554" s="8"/>
      <c r="D554" s="48"/>
      <c r="E554" s="48"/>
    </row>
    <row r="555">
      <c r="A555" s="48"/>
      <c r="B555" s="48"/>
      <c r="C555" s="8"/>
      <c r="D555" s="48"/>
      <c r="E555" s="48"/>
    </row>
    <row r="556">
      <c r="A556" s="48"/>
      <c r="B556" s="48"/>
      <c r="C556" s="8"/>
      <c r="D556" s="48"/>
      <c r="E556" s="48"/>
    </row>
    <row r="557">
      <c r="A557" s="48"/>
      <c r="B557" s="48"/>
      <c r="C557" s="8"/>
      <c r="D557" s="48"/>
      <c r="E557" s="48"/>
    </row>
    <row r="558">
      <c r="A558" s="48"/>
      <c r="B558" s="48"/>
      <c r="C558" s="8"/>
      <c r="D558" s="48"/>
      <c r="E558" s="48"/>
    </row>
    <row r="559">
      <c r="A559" s="48"/>
      <c r="B559" s="48"/>
      <c r="C559" s="8"/>
      <c r="D559" s="48"/>
      <c r="E559" s="48"/>
    </row>
    <row r="560">
      <c r="A560" s="48"/>
      <c r="B560" s="48"/>
      <c r="C560" s="8"/>
      <c r="D560" s="48"/>
      <c r="E560" s="48"/>
    </row>
    <row r="561">
      <c r="A561" s="48"/>
      <c r="B561" s="48"/>
      <c r="C561" s="8"/>
      <c r="D561" s="48"/>
      <c r="E561" s="48"/>
    </row>
    <row r="562">
      <c r="A562" s="48"/>
      <c r="B562" s="48"/>
      <c r="C562" s="8"/>
      <c r="D562" s="48"/>
      <c r="E562" s="48"/>
    </row>
    <row r="563">
      <c r="A563" s="48"/>
      <c r="B563" s="48"/>
      <c r="C563" s="8"/>
      <c r="D563" s="48"/>
      <c r="E563" s="48"/>
    </row>
    <row r="564">
      <c r="A564" s="48"/>
      <c r="B564" s="48"/>
      <c r="C564" s="8"/>
      <c r="D564" s="48"/>
      <c r="E564" s="48"/>
    </row>
    <row r="565">
      <c r="A565" s="48"/>
      <c r="B565" s="48"/>
      <c r="C565" s="8"/>
      <c r="D565" s="48"/>
      <c r="E565" s="48"/>
    </row>
    <row r="566">
      <c r="A566" s="48"/>
      <c r="B566" s="48"/>
      <c r="C566" s="8"/>
      <c r="D566" s="48"/>
      <c r="E566" s="48"/>
    </row>
    <row r="567">
      <c r="A567" s="48"/>
      <c r="B567" s="48"/>
      <c r="C567" s="8"/>
      <c r="D567" s="48"/>
      <c r="E567" s="48"/>
    </row>
    <row r="568">
      <c r="A568" s="48"/>
      <c r="B568" s="48"/>
      <c r="C568" s="8"/>
      <c r="D568" s="48"/>
      <c r="E568" s="48"/>
    </row>
    <row r="569">
      <c r="A569" s="48"/>
      <c r="B569" s="48"/>
      <c r="C569" s="8"/>
      <c r="D569" s="48"/>
      <c r="E569" s="48"/>
    </row>
    <row r="570">
      <c r="A570" s="48"/>
      <c r="B570" s="48"/>
      <c r="C570" s="8"/>
      <c r="D570" s="48"/>
      <c r="E570" s="48"/>
    </row>
    <row r="571">
      <c r="A571" s="48"/>
      <c r="B571" s="48"/>
      <c r="C571" s="8"/>
      <c r="D571" s="48"/>
      <c r="E571" s="48"/>
    </row>
    <row r="572">
      <c r="A572" s="48"/>
      <c r="B572" s="48"/>
      <c r="C572" s="8"/>
      <c r="D572" s="48"/>
      <c r="E572" s="48"/>
    </row>
    <row r="573">
      <c r="A573" s="48"/>
      <c r="B573" s="48"/>
      <c r="C573" s="8"/>
      <c r="D573" s="48"/>
      <c r="E573" s="48"/>
    </row>
    <row r="574">
      <c r="A574" s="48"/>
      <c r="B574" s="48"/>
      <c r="C574" s="8"/>
      <c r="D574" s="48"/>
      <c r="E574" s="48"/>
    </row>
    <row r="575">
      <c r="A575" s="48"/>
      <c r="B575" s="48"/>
      <c r="C575" s="8"/>
      <c r="D575" s="48"/>
      <c r="E575" s="48"/>
    </row>
    <row r="576">
      <c r="A576" s="48"/>
      <c r="B576" s="48"/>
      <c r="C576" s="8"/>
      <c r="D576" s="48"/>
      <c r="E576" s="48"/>
    </row>
    <row r="577">
      <c r="A577" s="48"/>
      <c r="B577" s="48"/>
      <c r="C577" s="8"/>
      <c r="D577" s="48"/>
      <c r="E577" s="48"/>
    </row>
    <row r="578">
      <c r="A578" s="48"/>
      <c r="B578" s="48"/>
      <c r="C578" s="8"/>
      <c r="D578" s="48"/>
      <c r="E578" s="48"/>
    </row>
    <row r="579">
      <c r="A579" s="48"/>
      <c r="B579" s="48"/>
      <c r="C579" s="8"/>
      <c r="D579" s="48"/>
      <c r="E579" s="48"/>
    </row>
    <row r="580">
      <c r="A580" s="48"/>
      <c r="B580" s="48"/>
      <c r="C580" s="8"/>
      <c r="D580" s="48"/>
      <c r="E580" s="48"/>
    </row>
    <row r="581">
      <c r="A581" s="48"/>
      <c r="B581" s="48"/>
      <c r="C581" s="8"/>
      <c r="D581" s="48"/>
      <c r="E581" s="48"/>
    </row>
    <row r="582">
      <c r="A582" s="48"/>
      <c r="B582" s="48"/>
      <c r="C582" s="8"/>
      <c r="D582" s="48"/>
      <c r="E582" s="48"/>
    </row>
    <row r="583">
      <c r="A583" s="48"/>
      <c r="B583" s="48"/>
      <c r="C583" s="8"/>
      <c r="D583" s="48"/>
      <c r="E583" s="48"/>
    </row>
    <row r="584">
      <c r="A584" s="48"/>
      <c r="B584" s="48"/>
      <c r="C584" s="8"/>
      <c r="D584" s="48"/>
      <c r="E584" s="48"/>
    </row>
    <row r="585">
      <c r="A585" s="48"/>
      <c r="B585" s="48"/>
      <c r="C585" s="8"/>
      <c r="D585" s="48"/>
      <c r="E585" s="48"/>
    </row>
    <row r="586">
      <c r="A586" s="48"/>
      <c r="B586" s="48"/>
      <c r="C586" s="8"/>
      <c r="D586" s="48"/>
      <c r="E586" s="48"/>
    </row>
    <row r="587">
      <c r="A587" s="48"/>
      <c r="B587" s="48"/>
      <c r="C587" s="8"/>
      <c r="D587" s="48"/>
      <c r="E587" s="48"/>
    </row>
    <row r="588">
      <c r="A588" s="48"/>
      <c r="B588" s="48"/>
      <c r="C588" s="8"/>
      <c r="D588" s="48"/>
      <c r="E588" s="48"/>
    </row>
    <row r="589">
      <c r="A589" s="48"/>
      <c r="B589" s="48"/>
      <c r="C589" s="8"/>
      <c r="D589" s="48"/>
      <c r="E589" s="48"/>
    </row>
    <row r="590">
      <c r="A590" s="48"/>
      <c r="B590" s="48"/>
      <c r="C590" s="8"/>
      <c r="D590" s="48"/>
      <c r="E590" s="48"/>
    </row>
    <row r="591">
      <c r="A591" s="48"/>
      <c r="B591" s="48"/>
      <c r="C591" s="8"/>
      <c r="D591" s="48"/>
      <c r="E591" s="48"/>
    </row>
    <row r="592">
      <c r="A592" s="48"/>
      <c r="B592" s="48"/>
      <c r="C592" s="8"/>
      <c r="D592" s="48"/>
      <c r="E592" s="48"/>
    </row>
    <row r="593">
      <c r="A593" s="48"/>
      <c r="B593" s="48"/>
      <c r="C593" s="8"/>
      <c r="D593" s="48"/>
      <c r="E593" s="48"/>
    </row>
    <row r="594">
      <c r="A594" s="48"/>
      <c r="B594" s="48"/>
      <c r="C594" s="8"/>
      <c r="D594" s="48"/>
      <c r="E594" s="48"/>
    </row>
    <row r="595">
      <c r="A595" s="48"/>
      <c r="B595" s="48"/>
      <c r="C595" s="8"/>
      <c r="D595" s="48"/>
      <c r="E595" s="48"/>
    </row>
    <row r="596">
      <c r="A596" s="48"/>
      <c r="B596" s="48"/>
      <c r="C596" s="8"/>
      <c r="D596" s="48"/>
      <c r="E596" s="48"/>
    </row>
    <row r="597">
      <c r="A597" s="48"/>
      <c r="B597" s="48"/>
      <c r="C597" s="8"/>
      <c r="D597" s="48"/>
      <c r="E597" s="48"/>
    </row>
    <row r="598">
      <c r="A598" s="48"/>
      <c r="B598" s="48"/>
      <c r="C598" s="8"/>
      <c r="D598" s="48"/>
      <c r="E598" s="48"/>
    </row>
    <row r="599">
      <c r="A599" s="48"/>
      <c r="B599" s="48"/>
      <c r="C599" s="8"/>
      <c r="D599" s="48"/>
      <c r="E599" s="48"/>
    </row>
    <row r="600">
      <c r="A600" s="48"/>
      <c r="B600" s="48"/>
      <c r="C600" s="8"/>
      <c r="D600" s="48"/>
      <c r="E600" s="48"/>
    </row>
    <row r="601">
      <c r="A601" s="48"/>
      <c r="B601" s="48"/>
      <c r="C601" s="8"/>
      <c r="D601" s="48"/>
      <c r="E601" s="48"/>
    </row>
    <row r="602">
      <c r="A602" s="48"/>
      <c r="B602" s="48"/>
      <c r="C602" s="8"/>
      <c r="D602" s="48"/>
      <c r="E602" s="48"/>
    </row>
    <row r="603">
      <c r="A603" s="48"/>
      <c r="B603" s="48"/>
      <c r="C603" s="8"/>
      <c r="D603" s="48"/>
      <c r="E603" s="48"/>
    </row>
    <row r="604">
      <c r="A604" s="48"/>
      <c r="B604" s="48"/>
      <c r="C604" s="8"/>
      <c r="D604" s="48"/>
      <c r="E604" s="48"/>
    </row>
    <row r="605">
      <c r="A605" s="48"/>
      <c r="B605" s="48"/>
      <c r="C605" s="8"/>
      <c r="D605" s="48"/>
      <c r="E605" s="48"/>
    </row>
    <row r="606">
      <c r="A606" s="48"/>
      <c r="B606" s="48"/>
      <c r="C606" s="8"/>
      <c r="D606" s="48"/>
      <c r="E606" s="48"/>
    </row>
    <row r="607">
      <c r="A607" s="48"/>
      <c r="B607" s="48"/>
      <c r="C607" s="8"/>
      <c r="D607" s="48"/>
      <c r="E607" s="48"/>
    </row>
    <row r="608">
      <c r="A608" s="48"/>
      <c r="B608" s="48"/>
      <c r="C608" s="8"/>
      <c r="D608" s="48"/>
      <c r="E608" s="48"/>
    </row>
    <row r="609">
      <c r="A609" s="48"/>
      <c r="B609" s="48"/>
      <c r="C609" s="8"/>
      <c r="D609" s="48"/>
      <c r="E609" s="48"/>
    </row>
    <row r="610">
      <c r="A610" s="48"/>
      <c r="B610" s="48"/>
      <c r="C610" s="8"/>
      <c r="D610" s="48"/>
      <c r="E610" s="48"/>
    </row>
    <row r="611">
      <c r="A611" s="48"/>
      <c r="B611" s="48"/>
      <c r="C611" s="8"/>
      <c r="D611" s="48"/>
      <c r="E611" s="48"/>
    </row>
    <row r="612">
      <c r="A612" s="48"/>
      <c r="B612" s="48"/>
      <c r="C612" s="8"/>
      <c r="D612" s="48"/>
      <c r="E612" s="48"/>
    </row>
    <row r="613">
      <c r="A613" s="48"/>
      <c r="B613" s="48"/>
      <c r="C613" s="8"/>
      <c r="D613" s="48"/>
      <c r="E613" s="48"/>
    </row>
    <row r="614">
      <c r="A614" s="48"/>
      <c r="B614" s="48"/>
      <c r="C614" s="8"/>
      <c r="D614" s="48"/>
      <c r="E614" s="48"/>
    </row>
    <row r="615">
      <c r="A615" s="48"/>
      <c r="B615" s="48"/>
      <c r="C615" s="8"/>
      <c r="D615" s="48"/>
      <c r="E615" s="48"/>
    </row>
    <row r="616">
      <c r="A616" s="48"/>
      <c r="B616" s="48"/>
      <c r="C616" s="8"/>
      <c r="D616" s="48"/>
      <c r="E616" s="48"/>
    </row>
    <row r="617">
      <c r="A617" s="48"/>
      <c r="B617" s="48"/>
      <c r="C617" s="8"/>
      <c r="D617" s="48"/>
      <c r="E617" s="48"/>
    </row>
    <row r="618">
      <c r="A618" s="48"/>
      <c r="B618" s="48"/>
      <c r="C618" s="8"/>
      <c r="D618" s="48"/>
      <c r="E618" s="48"/>
    </row>
    <row r="619">
      <c r="A619" s="48"/>
      <c r="B619" s="48"/>
      <c r="C619" s="8"/>
      <c r="D619" s="48"/>
      <c r="E619" s="48"/>
    </row>
    <row r="620">
      <c r="A620" s="48"/>
      <c r="B620" s="48"/>
      <c r="C620" s="8"/>
      <c r="D620" s="48"/>
      <c r="E620" s="48"/>
    </row>
    <row r="621">
      <c r="A621" s="48"/>
      <c r="B621" s="48"/>
      <c r="C621" s="8"/>
      <c r="D621" s="48"/>
      <c r="E621" s="48"/>
    </row>
    <row r="622">
      <c r="A622" s="48"/>
      <c r="B622" s="48"/>
      <c r="C622" s="8"/>
      <c r="D622" s="48"/>
      <c r="E622" s="48"/>
    </row>
    <row r="623">
      <c r="A623" s="48"/>
      <c r="B623" s="48"/>
      <c r="C623" s="8"/>
      <c r="D623" s="48"/>
      <c r="E623" s="48"/>
    </row>
    <row r="624">
      <c r="A624" s="48"/>
      <c r="B624" s="48"/>
      <c r="C624" s="8"/>
      <c r="D624" s="48"/>
      <c r="E624" s="48"/>
    </row>
    <row r="625">
      <c r="A625" s="48"/>
      <c r="B625" s="48"/>
      <c r="C625" s="8"/>
      <c r="D625" s="48"/>
      <c r="E625" s="48"/>
    </row>
    <row r="626">
      <c r="A626" s="48"/>
      <c r="B626" s="48"/>
      <c r="C626" s="8"/>
      <c r="D626" s="48"/>
      <c r="E626" s="48"/>
    </row>
    <row r="627">
      <c r="A627" s="48"/>
      <c r="B627" s="48"/>
      <c r="C627" s="8"/>
      <c r="D627" s="48"/>
      <c r="E627" s="48"/>
    </row>
    <row r="628">
      <c r="A628" s="48"/>
      <c r="B628" s="48"/>
      <c r="C628" s="8"/>
      <c r="D628" s="48"/>
      <c r="E628" s="48"/>
    </row>
    <row r="629">
      <c r="A629" s="48"/>
      <c r="B629" s="48"/>
      <c r="C629" s="8"/>
      <c r="D629" s="48"/>
      <c r="E629" s="48"/>
    </row>
    <row r="630">
      <c r="A630" s="48"/>
      <c r="B630" s="48"/>
      <c r="C630" s="8"/>
      <c r="D630" s="48"/>
      <c r="E630" s="48"/>
    </row>
    <row r="631">
      <c r="A631" s="48"/>
      <c r="B631" s="48"/>
      <c r="C631" s="8"/>
      <c r="D631" s="48"/>
      <c r="E631" s="48"/>
    </row>
    <row r="632">
      <c r="A632" s="48"/>
      <c r="B632" s="48"/>
      <c r="C632" s="8"/>
      <c r="D632" s="48"/>
      <c r="E632" s="48"/>
    </row>
    <row r="633">
      <c r="A633" s="48"/>
      <c r="B633" s="48"/>
      <c r="C633" s="8"/>
      <c r="D633" s="48"/>
      <c r="E633" s="48"/>
    </row>
    <row r="634">
      <c r="A634" s="48"/>
      <c r="B634" s="48"/>
      <c r="C634" s="8"/>
      <c r="D634" s="48"/>
      <c r="E634" s="48"/>
    </row>
    <row r="635">
      <c r="A635" s="48"/>
      <c r="B635" s="48"/>
      <c r="C635" s="8"/>
      <c r="D635" s="48"/>
      <c r="E635" s="48"/>
    </row>
    <row r="636">
      <c r="A636" s="48"/>
      <c r="B636" s="48"/>
      <c r="C636" s="8"/>
      <c r="D636" s="48"/>
      <c r="E636" s="48"/>
    </row>
    <row r="637">
      <c r="A637" s="48"/>
      <c r="B637" s="48"/>
      <c r="C637" s="8"/>
      <c r="D637" s="48"/>
      <c r="E637" s="48"/>
    </row>
    <row r="638">
      <c r="A638" s="48"/>
      <c r="B638" s="48"/>
      <c r="C638" s="8"/>
      <c r="D638" s="48"/>
      <c r="E638" s="48"/>
    </row>
    <row r="639">
      <c r="A639" s="48"/>
      <c r="B639" s="48"/>
      <c r="C639" s="8"/>
      <c r="D639" s="48"/>
      <c r="E639" s="48"/>
    </row>
    <row r="640">
      <c r="A640" s="48"/>
      <c r="B640" s="48"/>
      <c r="C640" s="8"/>
      <c r="D640" s="48"/>
      <c r="E640" s="48"/>
    </row>
    <row r="641">
      <c r="A641" s="48"/>
      <c r="B641" s="48"/>
      <c r="C641" s="8"/>
      <c r="D641" s="48"/>
      <c r="E641" s="48"/>
    </row>
    <row r="642">
      <c r="A642" s="48"/>
      <c r="B642" s="48"/>
      <c r="C642" s="8"/>
      <c r="D642" s="48"/>
      <c r="E642" s="48"/>
    </row>
    <row r="643">
      <c r="A643" s="48"/>
      <c r="B643" s="48"/>
      <c r="C643" s="8"/>
      <c r="D643" s="48"/>
      <c r="E643" s="48"/>
    </row>
    <row r="644">
      <c r="A644" s="48"/>
      <c r="B644" s="48"/>
      <c r="C644" s="8"/>
      <c r="D644" s="48"/>
      <c r="E644" s="48"/>
    </row>
    <row r="645">
      <c r="A645" s="48"/>
      <c r="B645" s="48"/>
      <c r="C645" s="8"/>
      <c r="D645" s="48"/>
      <c r="E645" s="48"/>
    </row>
    <row r="646">
      <c r="A646" s="48"/>
      <c r="B646" s="48"/>
      <c r="C646" s="8"/>
      <c r="D646" s="48"/>
      <c r="E646" s="48"/>
    </row>
    <row r="647">
      <c r="A647" s="48"/>
      <c r="B647" s="48"/>
      <c r="C647" s="8"/>
      <c r="D647" s="48"/>
      <c r="E647" s="48"/>
    </row>
    <row r="648">
      <c r="A648" s="48"/>
      <c r="B648" s="48"/>
      <c r="C648" s="8"/>
      <c r="D648" s="48"/>
      <c r="E648" s="48"/>
    </row>
    <row r="649">
      <c r="A649" s="48"/>
      <c r="B649" s="48"/>
      <c r="C649" s="8"/>
      <c r="D649" s="48"/>
      <c r="E649" s="48"/>
    </row>
    <row r="650">
      <c r="A650" s="48"/>
      <c r="B650" s="48"/>
      <c r="C650" s="8"/>
      <c r="D650" s="48"/>
      <c r="E650" s="48"/>
    </row>
    <row r="651">
      <c r="A651" s="48"/>
      <c r="B651" s="48"/>
      <c r="C651" s="8"/>
      <c r="D651" s="48"/>
      <c r="E651" s="48"/>
    </row>
    <row r="652">
      <c r="A652" s="48"/>
      <c r="B652" s="48"/>
      <c r="C652" s="8"/>
      <c r="D652" s="48"/>
      <c r="E652" s="48"/>
    </row>
    <row r="653">
      <c r="A653" s="48"/>
      <c r="B653" s="48"/>
      <c r="C653" s="8"/>
      <c r="D653" s="48"/>
      <c r="E653" s="48"/>
    </row>
    <row r="654">
      <c r="A654" s="48"/>
      <c r="B654" s="48"/>
      <c r="C654" s="8"/>
      <c r="D654" s="48"/>
      <c r="E654" s="48"/>
    </row>
    <row r="655">
      <c r="A655" s="48"/>
      <c r="B655" s="48"/>
      <c r="C655" s="8"/>
      <c r="D655" s="48"/>
      <c r="E655" s="48"/>
    </row>
    <row r="656">
      <c r="A656" s="48"/>
      <c r="B656" s="48"/>
      <c r="C656" s="8"/>
      <c r="D656" s="48"/>
      <c r="E656" s="48"/>
    </row>
    <row r="657">
      <c r="A657" s="48"/>
      <c r="B657" s="48"/>
      <c r="C657" s="8"/>
      <c r="D657" s="48"/>
      <c r="E657" s="48"/>
    </row>
    <row r="658">
      <c r="A658" s="48"/>
      <c r="B658" s="48"/>
      <c r="C658" s="8"/>
      <c r="D658" s="48"/>
      <c r="E658" s="48"/>
    </row>
    <row r="659">
      <c r="A659" s="48"/>
      <c r="B659" s="48"/>
      <c r="C659" s="8"/>
      <c r="D659" s="48"/>
      <c r="E659" s="48"/>
    </row>
    <row r="660">
      <c r="A660" s="48"/>
      <c r="B660" s="48"/>
      <c r="C660" s="8"/>
      <c r="D660" s="48"/>
      <c r="E660" s="48"/>
    </row>
    <row r="661">
      <c r="A661" s="48"/>
      <c r="B661" s="48"/>
      <c r="C661" s="8"/>
      <c r="D661" s="48"/>
      <c r="E661" s="48"/>
    </row>
    <row r="662">
      <c r="A662" s="48"/>
      <c r="B662" s="48"/>
      <c r="C662" s="8"/>
      <c r="D662" s="48"/>
      <c r="E662" s="48"/>
    </row>
    <row r="663">
      <c r="A663" s="48"/>
      <c r="B663" s="48"/>
      <c r="C663" s="8"/>
      <c r="D663" s="48"/>
      <c r="E663" s="48"/>
    </row>
    <row r="664">
      <c r="A664" s="48"/>
      <c r="B664" s="48"/>
      <c r="C664" s="8"/>
      <c r="D664" s="48"/>
      <c r="E664" s="48"/>
    </row>
    <row r="665">
      <c r="A665" s="48"/>
      <c r="B665" s="48"/>
      <c r="C665" s="8"/>
      <c r="D665" s="48"/>
      <c r="E665" s="48"/>
    </row>
    <row r="666">
      <c r="A666" s="48"/>
      <c r="B666" s="48"/>
      <c r="C666" s="8"/>
      <c r="D666" s="48"/>
      <c r="E666" s="48"/>
    </row>
    <row r="667">
      <c r="A667" s="48"/>
      <c r="B667" s="48"/>
      <c r="C667" s="8"/>
      <c r="D667" s="48"/>
      <c r="E667" s="48"/>
    </row>
    <row r="668">
      <c r="A668" s="48"/>
      <c r="B668" s="48"/>
      <c r="C668" s="8"/>
      <c r="D668" s="48"/>
      <c r="E668" s="48"/>
    </row>
    <row r="669">
      <c r="A669" s="48"/>
      <c r="B669" s="48"/>
      <c r="C669" s="8"/>
      <c r="D669" s="48"/>
      <c r="E669" s="48"/>
    </row>
    <row r="670">
      <c r="A670" s="48"/>
      <c r="B670" s="48"/>
      <c r="C670" s="8"/>
      <c r="D670" s="48"/>
      <c r="E670" s="48"/>
    </row>
    <row r="671">
      <c r="A671" s="48"/>
      <c r="B671" s="48"/>
      <c r="C671" s="8"/>
      <c r="D671" s="48"/>
      <c r="E671" s="48"/>
    </row>
    <row r="672">
      <c r="A672" s="48"/>
      <c r="B672" s="48"/>
      <c r="C672" s="8"/>
      <c r="D672" s="48"/>
      <c r="E672" s="48"/>
    </row>
    <row r="673">
      <c r="A673" s="48"/>
      <c r="B673" s="48"/>
      <c r="C673" s="8"/>
      <c r="D673" s="48"/>
      <c r="E673" s="48"/>
    </row>
    <row r="674">
      <c r="A674" s="48"/>
      <c r="B674" s="48"/>
      <c r="C674" s="8"/>
      <c r="D674" s="48"/>
      <c r="E674" s="48"/>
    </row>
    <row r="675">
      <c r="A675" s="48"/>
      <c r="B675" s="48"/>
      <c r="C675" s="8"/>
      <c r="D675" s="48"/>
      <c r="E675" s="48"/>
    </row>
    <row r="676">
      <c r="A676" s="48"/>
      <c r="B676" s="48"/>
      <c r="C676" s="8"/>
      <c r="D676" s="48"/>
      <c r="E676" s="48"/>
    </row>
    <row r="677">
      <c r="A677" s="48"/>
      <c r="B677" s="48"/>
      <c r="C677" s="8"/>
      <c r="D677" s="48"/>
      <c r="E677" s="48"/>
    </row>
    <row r="678">
      <c r="A678" s="48"/>
      <c r="B678" s="48"/>
      <c r="C678" s="8"/>
      <c r="D678" s="48"/>
      <c r="E678" s="48"/>
    </row>
    <row r="679">
      <c r="A679" s="48"/>
      <c r="B679" s="48"/>
      <c r="C679" s="8"/>
      <c r="D679" s="48"/>
      <c r="E679" s="48"/>
    </row>
    <row r="680">
      <c r="A680" s="48"/>
      <c r="B680" s="48"/>
      <c r="C680" s="8"/>
      <c r="D680" s="48"/>
      <c r="E680" s="48"/>
    </row>
    <row r="681">
      <c r="A681" s="48"/>
      <c r="B681" s="48"/>
      <c r="C681" s="8"/>
      <c r="D681" s="48"/>
      <c r="E681" s="48"/>
    </row>
    <row r="682">
      <c r="A682" s="48"/>
      <c r="B682" s="48"/>
      <c r="C682" s="8"/>
      <c r="D682" s="48"/>
      <c r="E682" s="48"/>
    </row>
    <row r="683">
      <c r="A683" s="48"/>
      <c r="B683" s="48"/>
      <c r="C683" s="8"/>
      <c r="D683" s="48"/>
      <c r="E683" s="48"/>
    </row>
    <row r="684">
      <c r="A684" s="48"/>
      <c r="B684" s="48"/>
      <c r="C684" s="8"/>
      <c r="D684" s="48"/>
      <c r="E684" s="48"/>
    </row>
    <row r="685">
      <c r="A685" s="48"/>
      <c r="B685" s="48"/>
      <c r="C685" s="8"/>
      <c r="D685" s="48"/>
      <c r="E685" s="48"/>
    </row>
    <row r="686">
      <c r="A686" s="48"/>
      <c r="B686" s="48"/>
      <c r="C686" s="8"/>
      <c r="D686" s="48"/>
      <c r="E686" s="48"/>
    </row>
    <row r="687">
      <c r="A687" s="48"/>
      <c r="B687" s="48"/>
      <c r="C687" s="8"/>
      <c r="D687" s="48"/>
      <c r="E687" s="48"/>
    </row>
    <row r="688">
      <c r="A688" s="48"/>
      <c r="B688" s="48"/>
      <c r="C688" s="8"/>
      <c r="D688" s="48"/>
      <c r="E688" s="48"/>
    </row>
    <row r="689">
      <c r="A689" s="48"/>
      <c r="B689" s="48"/>
      <c r="C689" s="8"/>
      <c r="D689" s="48"/>
      <c r="E689" s="48"/>
    </row>
    <row r="690">
      <c r="A690" s="48"/>
      <c r="B690" s="48"/>
      <c r="C690" s="8"/>
      <c r="D690" s="48"/>
      <c r="E690" s="48"/>
    </row>
    <row r="691">
      <c r="A691" s="48"/>
      <c r="B691" s="48"/>
      <c r="C691" s="8"/>
      <c r="D691" s="48"/>
      <c r="E691" s="48"/>
    </row>
    <row r="692">
      <c r="A692" s="48"/>
      <c r="B692" s="48"/>
      <c r="C692" s="8"/>
      <c r="D692" s="48"/>
      <c r="E692" s="48"/>
    </row>
    <row r="693">
      <c r="A693" s="48"/>
      <c r="B693" s="48"/>
      <c r="C693" s="8"/>
      <c r="D693" s="48"/>
      <c r="E693" s="48"/>
    </row>
    <row r="694">
      <c r="A694" s="48"/>
      <c r="B694" s="48"/>
      <c r="C694" s="8"/>
      <c r="D694" s="48"/>
      <c r="E694" s="48"/>
    </row>
    <row r="695">
      <c r="A695" s="48"/>
      <c r="B695" s="48"/>
      <c r="C695" s="8"/>
      <c r="D695" s="48"/>
      <c r="E695" s="48"/>
    </row>
    <row r="696">
      <c r="A696" s="48"/>
      <c r="B696" s="48"/>
      <c r="C696" s="8"/>
      <c r="D696" s="48"/>
      <c r="E696" s="48"/>
    </row>
    <row r="697">
      <c r="A697" s="48"/>
      <c r="B697" s="48"/>
      <c r="C697" s="8"/>
      <c r="D697" s="48"/>
      <c r="E697" s="48"/>
    </row>
    <row r="698">
      <c r="A698" s="48"/>
      <c r="B698" s="48"/>
      <c r="C698" s="8"/>
      <c r="D698" s="48"/>
      <c r="E698" s="48"/>
    </row>
    <row r="699">
      <c r="A699" s="48"/>
      <c r="B699" s="48"/>
      <c r="C699" s="8"/>
      <c r="D699" s="48"/>
      <c r="E699" s="48"/>
    </row>
    <row r="700">
      <c r="A700" s="48"/>
      <c r="B700" s="48"/>
      <c r="C700" s="8"/>
      <c r="D700" s="48"/>
      <c r="E700" s="48"/>
    </row>
    <row r="701">
      <c r="A701" s="48"/>
      <c r="B701" s="48"/>
      <c r="C701" s="8"/>
      <c r="D701" s="48"/>
      <c r="E701" s="48"/>
    </row>
    <row r="702">
      <c r="A702" s="48"/>
      <c r="B702" s="48"/>
      <c r="C702" s="8"/>
      <c r="D702" s="48"/>
      <c r="E702" s="48"/>
    </row>
    <row r="703">
      <c r="A703" s="48"/>
      <c r="B703" s="48"/>
      <c r="C703" s="8"/>
      <c r="D703" s="48"/>
      <c r="E703" s="48"/>
    </row>
    <row r="704">
      <c r="A704" s="48"/>
      <c r="B704" s="48"/>
      <c r="C704" s="8"/>
      <c r="D704" s="48"/>
      <c r="E704" s="48"/>
    </row>
    <row r="705">
      <c r="A705" s="48"/>
      <c r="B705" s="48"/>
      <c r="C705" s="8"/>
      <c r="D705" s="48"/>
      <c r="E705" s="48"/>
    </row>
    <row r="706">
      <c r="A706" s="48"/>
      <c r="B706" s="48"/>
      <c r="C706" s="8"/>
      <c r="D706" s="48"/>
      <c r="E706" s="48"/>
    </row>
    <row r="707">
      <c r="A707" s="48"/>
      <c r="B707" s="48"/>
      <c r="C707" s="8"/>
      <c r="D707" s="48"/>
      <c r="E707" s="48"/>
    </row>
    <row r="708">
      <c r="A708" s="48"/>
      <c r="B708" s="48"/>
      <c r="C708" s="8"/>
      <c r="D708" s="48"/>
      <c r="E708" s="48"/>
    </row>
    <row r="709">
      <c r="A709" s="48"/>
      <c r="B709" s="48"/>
      <c r="C709" s="8"/>
      <c r="D709" s="48"/>
      <c r="E709" s="48"/>
    </row>
    <row r="710">
      <c r="A710" s="48"/>
      <c r="B710" s="48"/>
      <c r="C710" s="8"/>
      <c r="D710" s="48"/>
      <c r="E710" s="48"/>
    </row>
    <row r="711">
      <c r="A711" s="48"/>
      <c r="B711" s="48"/>
      <c r="C711" s="8"/>
      <c r="D711" s="48"/>
      <c r="E711" s="48"/>
    </row>
    <row r="712">
      <c r="A712" s="48"/>
      <c r="B712" s="48"/>
      <c r="C712" s="8"/>
      <c r="D712" s="48"/>
      <c r="E712" s="48"/>
    </row>
    <row r="713">
      <c r="A713" s="48"/>
      <c r="B713" s="48"/>
      <c r="C713" s="8"/>
      <c r="D713" s="48"/>
      <c r="E713" s="48"/>
    </row>
    <row r="714">
      <c r="A714" s="48"/>
      <c r="B714" s="48"/>
      <c r="C714" s="8"/>
      <c r="D714" s="48"/>
      <c r="E714" s="48"/>
    </row>
    <row r="715">
      <c r="A715" s="48"/>
      <c r="B715" s="48"/>
      <c r="C715" s="8"/>
      <c r="D715" s="48"/>
      <c r="E715" s="48"/>
    </row>
    <row r="716">
      <c r="A716" s="48"/>
      <c r="B716" s="48"/>
      <c r="C716" s="8"/>
      <c r="D716" s="48"/>
      <c r="E716" s="48"/>
    </row>
    <row r="717">
      <c r="A717" s="48"/>
      <c r="B717" s="48"/>
      <c r="C717" s="8"/>
      <c r="D717" s="48"/>
      <c r="E717" s="48"/>
    </row>
    <row r="718">
      <c r="A718" s="48"/>
      <c r="B718" s="48"/>
      <c r="C718" s="8"/>
      <c r="D718" s="48"/>
      <c r="E718" s="48"/>
    </row>
    <row r="719">
      <c r="A719" s="48"/>
      <c r="B719" s="48"/>
      <c r="C719" s="8"/>
      <c r="D719" s="48"/>
      <c r="E719" s="48"/>
    </row>
    <row r="720">
      <c r="A720" s="48"/>
      <c r="B720" s="48"/>
      <c r="C720" s="8"/>
      <c r="D720" s="48"/>
      <c r="E720" s="48"/>
    </row>
    <row r="721">
      <c r="A721" s="48"/>
      <c r="B721" s="48"/>
      <c r="C721" s="8"/>
      <c r="D721" s="48"/>
      <c r="E721" s="48"/>
    </row>
    <row r="722">
      <c r="A722" s="48"/>
      <c r="B722" s="48"/>
      <c r="C722" s="8"/>
      <c r="D722" s="48"/>
      <c r="E722" s="48"/>
    </row>
    <row r="723">
      <c r="A723" s="48"/>
      <c r="B723" s="48"/>
      <c r="C723" s="8"/>
      <c r="D723" s="48"/>
      <c r="E723" s="48"/>
    </row>
    <row r="724">
      <c r="A724" s="48"/>
      <c r="B724" s="48"/>
      <c r="C724" s="8"/>
      <c r="D724" s="48"/>
      <c r="E724" s="48"/>
    </row>
    <row r="725">
      <c r="A725" s="48"/>
      <c r="B725" s="48"/>
      <c r="C725" s="8"/>
      <c r="D725" s="48"/>
      <c r="E725" s="48"/>
    </row>
    <row r="726">
      <c r="A726" s="48"/>
      <c r="B726" s="48"/>
      <c r="C726" s="8"/>
      <c r="D726" s="48"/>
      <c r="E726" s="48"/>
    </row>
    <row r="727">
      <c r="A727" s="48"/>
      <c r="B727" s="48"/>
      <c r="C727" s="8"/>
      <c r="D727" s="48"/>
      <c r="E727" s="48"/>
    </row>
    <row r="728">
      <c r="A728" s="48"/>
      <c r="B728" s="48"/>
      <c r="C728" s="8"/>
      <c r="D728" s="48"/>
      <c r="E728" s="48"/>
    </row>
    <row r="729">
      <c r="A729" s="48"/>
      <c r="B729" s="48"/>
      <c r="C729" s="8"/>
      <c r="D729" s="48"/>
      <c r="E729" s="48"/>
    </row>
    <row r="730">
      <c r="A730" s="48"/>
      <c r="B730" s="48"/>
      <c r="C730" s="8"/>
      <c r="D730" s="48"/>
      <c r="E730" s="48"/>
    </row>
    <row r="731">
      <c r="A731" s="48"/>
      <c r="B731" s="48"/>
      <c r="C731" s="8"/>
      <c r="D731" s="48"/>
      <c r="E731" s="48"/>
    </row>
    <row r="732">
      <c r="A732" s="48"/>
      <c r="B732" s="48"/>
      <c r="C732" s="8"/>
      <c r="D732" s="48"/>
      <c r="E732" s="48"/>
    </row>
    <row r="733">
      <c r="A733" s="48"/>
      <c r="B733" s="48"/>
      <c r="C733" s="8"/>
      <c r="D733" s="48"/>
      <c r="E733" s="48"/>
    </row>
    <row r="734">
      <c r="A734" s="48"/>
      <c r="B734" s="48"/>
      <c r="C734" s="8"/>
      <c r="D734" s="48"/>
      <c r="E734" s="48"/>
    </row>
    <row r="735">
      <c r="A735" s="48"/>
      <c r="B735" s="48"/>
      <c r="C735" s="8"/>
      <c r="D735" s="48"/>
      <c r="E735" s="48"/>
    </row>
    <row r="736">
      <c r="A736" s="48"/>
      <c r="B736" s="48"/>
      <c r="C736" s="8"/>
      <c r="D736" s="48"/>
      <c r="E736" s="48"/>
    </row>
    <row r="737">
      <c r="A737" s="48"/>
      <c r="B737" s="48"/>
      <c r="C737" s="8"/>
      <c r="D737" s="48"/>
      <c r="E737" s="48"/>
    </row>
    <row r="738">
      <c r="A738" s="48"/>
      <c r="B738" s="48"/>
      <c r="C738" s="8"/>
      <c r="D738" s="48"/>
      <c r="E738" s="48"/>
    </row>
    <row r="739">
      <c r="A739" s="48"/>
      <c r="B739" s="48"/>
      <c r="C739" s="8"/>
      <c r="D739" s="48"/>
      <c r="E739" s="48"/>
    </row>
    <row r="740">
      <c r="A740" s="48"/>
      <c r="B740" s="48"/>
      <c r="C740" s="8"/>
      <c r="D740" s="48"/>
      <c r="E740" s="48"/>
    </row>
    <row r="741">
      <c r="A741" s="48"/>
      <c r="B741" s="48"/>
      <c r="C741" s="8"/>
      <c r="D741" s="48"/>
      <c r="E741" s="48"/>
    </row>
    <row r="742">
      <c r="A742" s="48"/>
      <c r="B742" s="48"/>
      <c r="C742" s="8"/>
      <c r="D742" s="48"/>
      <c r="E742" s="48"/>
    </row>
    <row r="743">
      <c r="A743" s="48"/>
      <c r="B743" s="48"/>
      <c r="C743" s="8"/>
      <c r="D743" s="48"/>
      <c r="E743" s="48"/>
    </row>
    <row r="744">
      <c r="A744" s="48"/>
      <c r="B744" s="48"/>
      <c r="C744" s="8"/>
      <c r="D744" s="48"/>
      <c r="E744" s="48"/>
    </row>
    <row r="745">
      <c r="A745" s="48"/>
      <c r="B745" s="48"/>
      <c r="C745" s="8"/>
      <c r="D745" s="48"/>
      <c r="E745" s="48"/>
    </row>
    <row r="746">
      <c r="A746" s="48"/>
      <c r="B746" s="48"/>
      <c r="C746" s="8"/>
      <c r="D746" s="48"/>
      <c r="E746" s="48"/>
    </row>
    <row r="747">
      <c r="A747" s="48"/>
      <c r="B747" s="48"/>
      <c r="C747" s="8"/>
      <c r="D747" s="48"/>
      <c r="E747" s="48"/>
    </row>
    <row r="748">
      <c r="A748" s="48"/>
      <c r="B748" s="48"/>
      <c r="C748" s="8"/>
      <c r="D748" s="48"/>
      <c r="E748" s="48"/>
    </row>
    <row r="749">
      <c r="A749" s="48"/>
      <c r="B749" s="48"/>
      <c r="C749" s="8"/>
      <c r="D749" s="48"/>
      <c r="E749" s="48"/>
    </row>
    <row r="750">
      <c r="A750" s="48"/>
      <c r="B750" s="48"/>
      <c r="C750" s="8"/>
      <c r="D750" s="48"/>
      <c r="E750" s="48"/>
    </row>
    <row r="751">
      <c r="A751" s="48"/>
      <c r="B751" s="48"/>
      <c r="C751" s="8"/>
      <c r="D751" s="48"/>
      <c r="E751" s="48"/>
    </row>
    <row r="752">
      <c r="A752" s="48"/>
      <c r="B752" s="48"/>
      <c r="C752" s="8"/>
      <c r="D752" s="48"/>
      <c r="E752" s="48"/>
    </row>
    <row r="753">
      <c r="A753" s="48"/>
      <c r="B753" s="48"/>
      <c r="C753" s="8"/>
      <c r="D753" s="48"/>
      <c r="E753" s="48"/>
    </row>
    <row r="754">
      <c r="A754" s="48"/>
      <c r="B754" s="48"/>
      <c r="C754" s="8"/>
      <c r="D754" s="48"/>
      <c r="E754" s="48"/>
    </row>
    <row r="755">
      <c r="A755" s="48"/>
      <c r="B755" s="48"/>
      <c r="C755" s="8"/>
      <c r="D755" s="48"/>
      <c r="E755" s="48"/>
    </row>
    <row r="756">
      <c r="A756" s="48"/>
      <c r="B756" s="48"/>
      <c r="C756" s="8"/>
      <c r="D756" s="48"/>
      <c r="E756" s="48"/>
    </row>
    <row r="757">
      <c r="A757" s="48"/>
      <c r="B757" s="48"/>
      <c r="C757" s="8"/>
      <c r="D757" s="48"/>
      <c r="E757" s="48"/>
    </row>
    <row r="758">
      <c r="A758" s="48"/>
      <c r="B758" s="48"/>
      <c r="C758" s="8"/>
      <c r="D758" s="48"/>
      <c r="E758" s="48"/>
    </row>
    <row r="759">
      <c r="A759" s="48"/>
      <c r="B759" s="48"/>
      <c r="C759" s="8"/>
      <c r="D759" s="48"/>
      <c r="E759" s="48"/>
    </row>
    <row r="760">
      <c r="A760" s="48"/>
      <c r="B760" s="48"/>
      <c r="C760" s="8"/>
      <c r="D760" s="48"/>
      <c r="E760" s="48"/>
    </row>
    <row r="761">
      <c r="A761" s="48"/>
      <c r="B761" s="48"/>
      <c r="C761" s="8"/>
      <c r="D761" s="48"/>
      <c r="E761" s="48"/>
    </row>
    <row r="762">
      <c r="A762" s="48"/>
      <c r="B762" s="48"/>
      <c r="C762" s="8"/>
      <c r="D762" s="48"/>
      <c r="E762" s="48"/>
    </row>
    <row r="763">
      <c r="A763" s="48"/>
      <c r="B763" s="48"/>
      <c r="C763" s="8"/>
      <c r="D763" s="48"/>
      <c r="E763" s="48"/>
    </row>
    <row r="764">
      <c r="A764" s="48"/>
      <c r="B764" s="48"/>
      <c r="C764" s="8"/>
      <c r="D764" s="48"/>
      <c r="E764" s="48"/>
    </row>
    <row r="765">
      <c r="A765" s="48"/>
      <c r="B765" s="48"/>
      <c r="C765" s="8"/>
      <c r="D765" s="48"/>
      <c r="E765" s="48"/>
    </row>
    <row r="766">
      <c r="A766" s="48"/>
      <c r="B766" s="48"/>
      <c r="C766" s="8"/>
      <c r="D766" s="48"/>
      <c r="E766" s="48"/>
    </row>
    <row r="767">
      <c r="A767" s="48"/>
      <c r="B767" s="48"/>
      <c r="C767" s="8"/>
      <c r="D767" s="48"/>
      <c r="E767" s="48"/>
    </row>
    <row r="768">
      <c r="A768" s="48"/>
      <c r="B768" s="48"/>
      <c r="C768" s="8"/>
      <c r="D768" s="48"/>
      <c r="E768" s="48"/>
    </row>
    <row r="769">
      <c r="A769" s="48"/>
      <c r="B769" s="48"/>
      <c r="C769" s="8"/>
      <c r="D769" s="48"/>
      <c r="E769" s="48"/>
    </row>
    <row r="770">
      <c r="A770" s="48"/>
      <c r="B770" s="48"/>
      <c r="C770" s="8"/>
      <c r="D770" s="48"/>
      <c r="E770" s="48"/>
    </row>
    <row r="771">
      <c r="A771" s="48"/>
      <c r="B771" s="48"/>
      <c r="C771" s="8"/>
      <c r="D771" s="48"/>
      <c r="E771" s="48"/>
    </row>
    <row r="772">
      <c r="A772" s="48"/>
      <c r="B772" s="48"/>
      <c r="C772" s="8"/>
      <c r="D772" s="48"/>
      <c r="E772" s="48"/>
    </row>
    <row r="773">
      <c r="A773" s="48"/>
      <c r="B773" s="48"/>
      <c r="C773" s="8"/>
      <c r="D773" s="48"/>
      <c r="E773" s="48"/>
    </row>
    <row r="774">
      <c r="A774" s="48"/>
      <c r="B774" s="48"/>
      <c r="C774" s="8"/>
      <c r="D774" s="48"/>
      <c r="E774" s="48"/>
    </row>
    <row r="775">
      <c r="A775" s="48"/>
      <c r="B775" s="48"/>
      <c r="C775" s="8"/>
      <c r="D775" s="48"/>
      <c r="E775" s="48"/>
    </row>
    <row r="776">
      <c r="A776" s="48"/>
      <c r="B776" s="48"/>
      <c r="C776" s="8"/>
      <c r="D776" s="48"/>
      <c r="E776" s="48"/>
    </row>
    <row r="777">
      <c r="A777" s="48"/>
      <c r="B777" s="48"/>
      <c r="C777" s="8"/>
      <c r="D777" s="48"/>
      <c r="E777" s="48"/>
    </row>
    <row r="778">
      <c r="A778" s="48"/>
      <c r="B778" s="48"/>
      <c r="C778" s="8"/>
      <c r="D778" s="48"/>
      <c r="E778" s="48"/>
    </row>
    <row r="779">
      <c r="A779" s="48"/>
      <c r="B779" s="48"/>
      <c r="C779" s="8"/>
      <c r="D779" s="48"/>
      <c r="E779" s="48"/>
    </row>
    <row r="780">
      <c r="A780" s="48"/>
      <c r="B780" s="48"/>
      <c r="C780" s="8"/>
      <c r="D780" s="48"/>
      <c r="E780" s="48"/>
    </row>
    <row r="781">
      <c r="A781" s="48"/>
      <c r="B781" s="48"/>
      <c r="C781" s="8"/>
      <c r="D781" s="48"/>
      <c r="E781" s="48"/>
    </row>
    <row r="782">
      <c r="A782" s="48"/>
      <c r="B782" s="48"/>
      <c r="C782" s="8"/>
      <c r="D782" s="48"/>
      <c r="E782" s="48"/>
    </row>
    <row r="783">
      <c r="A783" s="48"/>
      <c r="B783" s="48"/>
      <c r="C783" s="8"/>
      <c r="D783" s="48"/>
      <c r="E783" s="48"/>
    </row>
    <row r="784">
      <c r="A784" s="48"/>
      <c r="B784" s="48"/>
      <c r="C784" s="8"/>
      <c r="D784" s="48"/>
      <c r="E784" s="48"/>
    </row>
    <row r="785">
      <c r="A785" s="48"/>
      <c r="B785" s="48"/>
      <c r="C785" s="8"/>
      <c r="D785" s="48"/>
      <c r="E785" s="48"/>
    </row>
    <row r="786">
      <c r="A786" s="48"/>
      <c r="B786" s="48"/>
      <c r="C786" s="8"/>
      <c r="D786" s="48"/>
      <c r="E786" s="48"/>
    </row>
    <row r="787">
      <c r="A787" s="48"/>
      <c r="B787" s="48"/>
      <c r="C787" s="8"/>
      <c r="D787" s="48"/>
      <c r="E787" s="48"/>
    </row>
    <row r="788">
      <c r="A788" s="48"/>
      <c r="B788" s="48"/>
      <c r="C788" s="8"/>
      <c r="D788" s="48"/>
      <c r="E788" s="48"/>
    </row>
    <row r="789">
      <c r="A789" s="48"/>
      <c r="B789" s="48"/>
      <c r="C789" s="8"/>
      <c r="D789" s="48"/>
      <c r="E789" s="48"/>
    </row>
    <row r="790">
      <c r="A790" s="48"/>
      <c r="B790" s="48"/>
      <c r="C790" s="8"/>
      <c r="D790" s="48"/>
      <c r="E790" s="48"/>
    </row>
    <row r="791">
      <c r="A791" s="48"/>
      <c r="B791" s="48"/>
      <c r="C791" s="8"/>
      <c r="D791" s="48"/>
      <c r="E791" s="48"/>
    </row>
    <row r="792">
      <c r="A792" s="48"/>
      <c r="B792" s="48"/>
      <c r="C792" s="8"/>
      <c r="D792" s="48"/>
      <c r="E792" s="48"/>
    </row>
    <row r="793">
      <c r="A793" s="48"/>
      <c r="B793" s="48"/>
      <c r="C793" s="8"/>
      <c r="D793" s="48"/>
      <c r="E793" s="48"/>
    </row>
    <row r="794">
      <c r="A794" s="48"/>
      <c r="B794" s="48"/>
      <c r="C794" s="8"/>
      <c r="D794" s="48"/>
      <c r="E794" s="48"/>
    </row>
    <row r="795">
      <c r="A795" s="48"/>
      <c r="B795" s="48"/>
      <c r="C795" s="8"/>
      <c r="D795" s="48"/>
      <c r="E795" s="48"/>
    </row>
    <row r="796">
      <c r="A796" s="48"/>
      <c r="B796" s="48"/>
      <c r="C796" s="8"/>
      <c r="D796" s="48"/>
      <c r="E796" s="48"/>
    </row>
    <row r="797">
      <c r="A797" s="48"/>
      <c r="B797" s="48"/>
      <c r="C797" s="8"/>
      <c r="D797" s="48"/>
      <c r="E797" s="48"/>
    </row>
    <row r="798">
      <c r="A798" s="48"/>
      <c r="B798" s="48"/>
      <c r="C798" s="8"/>
      <c r="D798" s="48"/>
      <c r="E798" s="48"/>
    </row>
    <row r="799">
      <c r="A799" s="48"/>
      <c r="B799" s="48"/>
      <c r="C799" s="8"/>
      <c r="D799" s="48"/>
      <c r="E799" s="48"/>
    </row>
    <row r="800">
      <c r="A800" s="48"/>
      <c r="B800" s="48"/>
      <c r="C800" s="8"/>
      <c r="D800" s="48"/>
      <c r="E800" s="48"/>
    </row>
    <row r="801">
      <c r="A801" s="48"/>
      <c r="B801" s="48"/>
      <c r="C801" s="8"/>
      <c r="D801" s="48"/>
      <c r="E801" s="48"/>
    </row>
    <row r="802">
      <c r="A802" s="48"/>
      <c r="B802" s="48"/>
      <c r="C802" s="8"/>
      <c r="D802" s="48"/>
      <c r="E802" s="48"/>
    </row>
    <row r="803">
      <c r="A803" s="48"/>
      <c r="B803" s="48"/>
      <c r="C803" s="8"/>
      <c r="D803" s="48"/>
      <c r="E803" s="48"/>
    </row>
    <row r="804">
      <c r="A804" s="48"/>
      <c r="B804" s="48"/>
      <c r="C804" s="8"/>
      <c r="D804" s="48"/>
      <c r="E804" s="48"/>
    </row>
    <row r="805">
      <c r="A805" s="48"/>
      <c r="B805" s="48"/>
      <c r="C805" s="8"/>
      <c r="D805" s="48"/>
      <c r="E805" s="48"/>
    </row>
    <row r="806">
      <c r="A806" s="48"/>
      <c r="B806" s="48"/>
      <c r="C806" s="8"/>
      <c r="D806" s="48"/>
      <c r="E806" s="48"/>
    </row>
    <row r="807">
      <c r="A807" s="48"/>
      <c r="B807" s="48"/>
      <c r="C807" s="8"/>
      <c r="D807" s="48"/>
      <c r="E807" s="48"/>
    </row>
    <row r="808">
      <c r="A808" s="48"/>
      <c r="B808" s="48"/>
      <c r="C808" s="8"/>
      <c r="D808" s="48"/>
      <c r="E808" s="48"/>
    </row>
    <row r="809">
      <c r="A809" s="48"/>
      <c r="B809" s="48"/>
      <c r="C809" s="8"/>
      <c r="D809" s="48"/>
      <c r="E809" s="48"/>
    </row>
    <row r="810">
      <c r="A810" s="48"/>
      <c r="B810" s="48"/>
      <c r="C810" s="8"/>
      <c r="D810" s="48"/>
      <c r="E810" s="48"/>
    </row>
    <row r="811">
      <c r="A811" s="48"/>
      <c r="B811" s="48"/>
      <c r="C811" s="8"/>
      <c r="D811" s="48"/>
      <c r="E811" s="48"/>
    </row>
    <row r="812">
      <c r="A812" s="48"/>
      <c r="B812" s="48"/>
      <c r="C812" s="8"/>
      <c r="D812" s="48"/>
      <c r="E812" s="48"/>
    </row>
    <row r="813">
      <c r="A813" s="48"/>
      <c r="B813" s="48"/>
      <c r="C813" s="8"/>
      <c r="D813" s="48"/>
      <c r="E813" s="48"/>
    </row>
    <row r="814">
      <c r="A814" s="48"/>
      <c r="B814" s="48"/>
      <c r="C814" s="8"/>
      <c r="D814" s="48"/>
      <c r="E814" s="48"/>
    </row>
    <row r="815">
      <c r="A815" s="48"/>
      <c r="B815" s="48"/>
      <c r="C815" s="8"/>
      <c r="D815" s="48"/>
      <c r="E815" s="48"/>
    </row>
    <row r="816">
      <c r="A816" s="48"/>
      <c r="B816" s="48"/>
      <c r="C816" s="8"/>
      <c r="D816" s="48"/>
      <c r="E816" s="48"/>
    </row>
    <row r="817">
      <c r="A817" s="48"/>
      <c r="B817" s="48"/>
      <c r="C817" s="8"/>
      <c r="D817" s="48"/>
      <c r="E817" s="48"/>
    </row>
    <row r="818">
      <c r="A818" s="48"/>
      <c r="B818" s="48"/>
      <c r="C818" s="8"/>
      <c r="D818" s="48"/>
      <c r="E818" s="48"/>
    </row>
    <row r="819">
      <c r="A819" s="48"/>
      <c r="B819" s="48"/>
      <c r="C819" s="8"/>
      <c r="D819" s="48"/>
      <c r="E819" s="48"/>
    </row>
    <row r="820">
      <c r="A820" s="48"/>
      <c r="B820" s="48"/>
      <c r="C820" s="8"/>
      <c r="D820" s="48"/>
      <c r="E820" s="48"/>
    </row>
    <row r="821">
      <c r="A821" s="48"/>
      <c r="B821" s="48"/>
      <c r="C821" s="8"/>
      <c r="D821" s="48"/>
      <c r="E821" s="48"/>
    </row>
    <row r="822">
      <c r="A822" s="48"/>
      <c r="B822" s="48"/>
      <c r="C822" s="8"/>
      <c r="D822" s="48"/>
      <c r="E822" s="48"/>
    </row>
    <row r="823">
      <c r="A823" s="48"/>
      <c r="B823" s="48"/>
      <c r="C823" s="8"/>
      <c r="D823" s="48"/>
      <c r="E823" s="48"/>
    </row>
    <row r="824">
      <c r="A824" s="48"/>
      <c r="B824" s="48"/>
      <c r="C824" s="8"/>
      <c r="D824" s="48"/>
      <c r="E824" s="48"/>
    </row>
    <row r="825">
      <c r="A825" s="48"/>
      <c r="B825" s="48"/>
      <c r="C825" s="8"/>
      <c r="D825" s="48"/>
      <c r="E825" s="48"/>
    </row>
    <row r="826">
      <c r="A826" s="48"/>
      <c r="B826" s="48"/>
      <c r="C826" s="8"/>
      <c r="D826" s="48"/>
      <c r="E826" s="48"/>
    </row>
    <row r="827">
      <c r="A827" s="48"/>
      <c r="B827" s="48"/>
      <c r="C827" s="8"/>
      <c r="D827" s="48"/>
      <c r="E827" s="48"/>
    </row>
    <row r="828">
      <c r="A828" s="48"/>
      <c r="B828" s="48"/>
      <c r="C828" s="8"/>
      <c r="D828" s="48"/>
      <c r="E828" s="48"/>
    </row>
    <row r="829">
      <c r="A829" s="48"/>
      <c r="B829" s="48"/>
      <c r="C829" s="8"/>
      <c r="D829" s="48"/>
      <c r="E829" s="48"/>
    </row>
    <row r="830">
      <c r="A830" s="48"/>
      <c r="B830" s="48"/>
      <c r="C830" s="8"/>
      <c r="D830" s="48"/>
      <c r="E830" s="48"/>
    </row>
    <row r="831">
      <c r="A831" s="48"/>
      <c r="B831" s="48"/>
      <c r="C831" s="8"/>
      <c r="D831" s="48"/>
      <c r="E831" s="48"/>
    </row>
    <row r="832">
      <c r="A832" s="48"/>
      <c r="B832" s="48"/>
      <c r="C832" s="8"/>
      <c r="D832" s="48"/>
      <c r="E832" s="48"/>
    </row>
    <row r="833">
      <c r="A833" s="48"/>
      <c r="B833" s="48"/>
      <c r="C833" s="8"/>
      <c r="D833" s="48"/>
      <c r="E833" s="48"/>
    </row>
    <row r="834">
      <c r="A834" s="48"/>
      <c r="B834" s="48"/>
      <c r="C834" s="8"/>
      <c r="D834" s="48"/>
      <c r="E834" s="48"/>
    </row>
    <row r="835">
      <c r="A835" s="48"/>
      <c r="B835" s="48"/>
      <c r="C835" s="8"/>
      <c r="D835" s="48"/>
      <c r="E835" s="48"/>
    </row>
    <row r="836">
      <c r="A836" s="48"/>
      <c r="B836" s="48"/>
      <c r="C836" s="8"/>
      <c r="D836" s="48"/>
      <c r="E836" s="48"/>
    </row>
    <row r="837">
      <c r="A837" s="48"/>
      <c r="B837" s="48"/>
      <c r="C837" s="8"/>
      <c r="D837" s="48"/>
      <c r="E837" s="48"/>
    </row>
    <row r="838">
      <c r="A838" s="48"/>
      <c r="B838" s="48"/>
      <c r="C838" s="8"/>
      <c r="D838" s="48"/>
      <c r="E838" s="48"/>
    </row>
    <row r="839">
      <c r="A839" s="48"/>
      <c r="B839" s="48"/>
      <c r="C839" s="8"/>
      <c r="D839" s="48"/>
      <c r="E839" s="48"/>
    </row>
    <row r="840">
      <c r="A840" s="48"/>
      <c r="B840" s="48"/>
      <c r="C840" s="8"/>
      <c r="D840" s="48"/>
      <c r="E840" s="48"/>
    </row>
    <row r="841">
      <c r="A841" s="48"/>
      <c r="B841" s="48"/>
      <c r="C841" s="8"/>
      <c r="D841" s="48"/>
      <c r="E841" s="48"/>
    </row>
    <row r="842">
      <c r="A842" s="48"/>
      <c r="B842" s="48"/>
      <c r="C842" s="8"/>
      <c r="D842" s="48"/>
      <c r="E842" s="48"/>
    </row>
    <row r="843">
      <c r="A843" s="48"/>
      <c r="B843" s="48"/>
      <c r="C843" s="8"/>
      <c r="D843" s="48"/>
      <c r="E843" s="48"/>
    </row>
    <row r="844">
      <c r="A844" s="48"/>
      <c r="B844" s="48"/>
      <c r="C844" s="8"/>
      <c r="D844" s="48"/>
      <c r="E844" s="48"/>
    </row>
    <row r="845">
      <c r="A845" s="48"/>
      <c r="B845" s="48"/>
      <c r="C845" s="8"/>
      <c r="D845" s="48"/>
      <c r="E845" s="48"/>
    </row>
    <row r="846">
      <c r="A846" s="48"/>
      <c r="B846" s="48"/>
      <c r="C846" s="8"/>
      <c r="D846" s="48"/>
      <c r="E846" s="48"/>
    </row>
    <row r="847">
      <c r="A847" s="48"/>
      <c r="B847" s="48"/>
      <c r="C847" s="8"/>
      <c r="D847" s="48"/>
      <c r="E847" s="48"/>
    </row>
    <row r="848">
      <c r="A848" s="48"/>
      <c r="B848" s="48"/>
      <c r="C848" s="8"/>
      <c r="D848" s="48"/>
      <c r="E848" s="48"/>
    </row>
    <row r="849">
      <c r="A849" s="48"/>
      <c r="B849" s="48"/>
      <c r="C849" s="8"/>
      <c r="D849" s="48"/>
      <c r="E849" s="48"/>
    </row>
    <row r="850">
      <c r="A850" s="48"/>
      <c r="B850" s="48"/>
      <c r="C850" s="8"/>
      <c r="D850" s="48"/>
      <c r="E850" s="48"/>
    </row>
    <row r="851">
      <c r="A851" s="48"/>
      <c r="B851" s="48"/>
      <c r="C851" s="8"/>
      <c r="D851" s="48"/>
      <c r="E851" s="48"/>
    </row>
    <row r="852">
      <c r="A852" s="48"/>
      <c r="B852" s="48"/>
      <c r="C852" s="8"/>
      <c r="D852" s="48"/>
      <c r="E852" s="48"/>
    </row>
    <row r="853">
      <c r="A853" s="48"/>
      <c r="B853" s="48"/>
      <c r="C853" s="8"/>
      <c r="D853" s="48"/>
      <c r="E853" s="48"/>
    </row>
    <row r="854">
      <c r="A854" s="48"/>
      <c r="B854" s="48"/>
      <c r="C854" s="8"/>
      <c r="D854" s="48"/>
      <c r="E854" s="48"/>
    </row>
    <row r="855">
      <c r="A855" s="48"/>
      <c r="B855" s="48"/>
      <c r="C855" s="8"/>
      <c r="D855" s="48"/>
      <c r="E855" s="48"/>
    </row>
    <row r="856">
      <c r="A856" s="48"/>
      <c r="B856" s="48"/>
      <c r="C856" s="8"/>
      <c r="D856" s="48"/>
      <c r="E856" s="48"/>
    </row>
    <row r="857">
      <c r="A857" s="48"/>
      <c r="B857" s="48"/>
      <c r="C857" s="8"/>
      <c r="D857" s="48"/>
      <c r="E857" s="48"/>
    </row>
    <row r="858">
      <c r="A858" s="48"/>
      <c r="B858" s="48"/>
      <c r="C858" s="8"/>
      <c r="D858" s="48"/>
      <c r="E858" s="48"/>
    </row>
    <row r="859">
      <c r="A859" s="48"/>
      <c r="B859" s="48"/>
      <c r="C859" s="8"/>
      <c r="D859" s="48"/>
      <c r="E859" s="48"/>
    </row>
    <row r="860">
      <c r="A860" s="48"/>
      <c r="B860" s="48"/>
      <c r="C860" s="8"/>
      <c r="D860" s="48"/>
      <c r="E860" s="48"/>
    </row>
    <row r="861">
      <c r="A861" s="48"/>
      <c r="B861" s="48"/>
      <c r="C861" s="8"/>
      <c r="D861" s="48"/>
      <c r="E861" s="48"/>
    </row>
    <row r="862">
      <c r="A862" s="48"/>
      <c r="B862" s="48"/>
      <c r="C862" s="8"/>
      <c r="D862" s="48"/>
      <c r="E862" s="48"/>
    </row>
    <row r="863">
      <c r="A863" s="48"/>
      <c r="B863" s="48"/>
      <c r="C863" s="8"/>
      <c r="D863" s="48"/>
      <c r="E863" s="48"/>
    </row>
    <row r="864">
      <c r="A864" s="48"/>
      <c r="B864" s="48"/>
      <c r="C864" s="8"/>
      <c r="D864" s="48"/>
      <c r="E864" s="48"/>
    </row>
    <row r="865">
      <c r="A865" s="48"/>
      <c r="B865" s="48"/>
      <c r="C865" s="8"/>
      <c r="D865" s="48"/>
      <c r="E865" s="48"/>
    </row>
    <row r="866">
      <c r="A866" s="48"/>
      <c r="B866" s="48"/>
      <c r="C866" s="8"/>
      <c r="D866" s="48"/>
      <c r="E866" s="48"/>
    </row>
    <row r="867">
      <c r="A867" s="48"/>
      <c r="B867" s="48"/>
      <c r="C867" s="8"/>
      <c r="D867" s="48"/>
      <c r="E867" s="48"/>
    </row>
    <row r="868">
      <c r="A868" s="48"/>
      <c r="B868" s="48"/>
      <c r="C868" s="8"/>
      <c r="D868" s="48"/>
      <c r="E868" s="48"/>
    </row>
    <row r="869">
      <c r="A869" s="48"/>
      <c r="B869" s="48"/>
      <c r="C869" s="8"/>
      <c r="D869" s="48"/>
      <c r="E869" s="48"/>
    </row>
    <row r="870">
      <c r="A870" s="48"/>
      <c r="B870" s="48"/>
      <c r="C870" s="8"/>
      <c r="D870" s="48"/>
      <c r="E870" s="48"/>
    </row>
    <row r="871">
      <c r="A871" s="48"/>
      <c r="B871" s="48"/>
      <c r="C871" s="8"/>
      <c r="D871" s="48"/>
      <c r="E871" s="48"/>
    </row>
    <row r="872">
      <c r="A872" s="48"/>
      <c r="B872" s="48"/>
      <c r="C872" s="8"/>
      <c r="D872" s="48"/>
      <c r="E872" s="48"/>
    </row>
    <row r="873">
      <c r="A873" s="48"/>
      <c r="B873" s="48"/>
      <c r="C873" s="8"/>
      <c r="D873" s="48"/>
      <c r="E873" s="48"/>
    </row>
    <row r="874">
      <c r="A874" s="48"/>
      <c r="B874" s="48"/>
      <c r="C874" s="8"/>
      <c r="D874" s="48"/>
      <c r="E874" s="48"/>
    </row>
    <row r="875">
      <c r="A875" s="48"/>
      <c r="B875" s="48"/>
      <c r="C875" s="8"/>
      <c r="D875" s="48"/>
      <c r="E875" s="48"/>
    </row>
    <row r="876">
      <c r="A876" s="48"/>
      <c r="B876" s="48"/>
      <c r="C876" s="8"/>
      <c r="D876" s="48"/>
      <c r="E876" s="48"/>
    </row>
    <row r="877">
      <c r="A877" s="48"/>
      <c r="B877" s="48"/>
      <c r="C877" s="8"/>
      <c r="D877" s="48"/>
      <c r="E877" s="48"/>
    </row>
    <row r="878">
      <c r="A878" s="48"/>
      <c r="B878" s="48"/>
      <c r="C878" s="8"/>
      <c r="D878" s="48"/>
      <c r="E878" s="48"/>
    </row>
    <row r="879">
      <c r="A879" s="48"/>
      <c r="B879" s="48"/>
      <c r="C879" s="8"/>
      <c r="D879" s="48"/>
      <c r="E879" s="48"/>
    </row>
    <row r="880">
      <c r="A880" s="48"/>
      <c r="B880" s="48"/>
      <c r="C880" s="8"/>
      <c r="D880" s="48"/>
      <c r="E880" s="48"/>
    </row>
    <row r="881">
      <c r="A881" s="48"/>
      <c r="B881" s="48"/>
      <c r="C881" s="8"/>
      <c r="D881" s="48"/>
      <c r="E881" s="48"/>
    </row>
    <row r="882">
      <c r="A882" s="48"/>
      <c r="B882" s="48"/>
      <c r="C882" s="8"/>
      <c r="D882" s="48"/>
      <c r="E882" s="48"/>
    </row>
    <row r="883">
      <c r="A883" s="48"/>
      <c r="B883" s="48"/>
      <c r="C883" s="8"/>
      <c r="D883" s="48"/>
      <c r="E883" s="48"/>
    </row>
    <row r="884">
      <c r="A884" s="48"/>
      <c r="B884" s="48"/>
      <c r="C884" s="8"/>
      <c r="D884" s="48"/>
      <c r="E884" s="48"/>
    </row>
    <row r="885">
      <c r="A885" s="48"/>
      <c r="B885" s="48"/>
      <c r="C885" s="8"/>
      <c r="D885" s="48"/>
      <c r="E885" s="48"/>
    </row>
    <row r="886">
      <c r="A886" s="48"/>
      <c r="B886" s="48"/>
      <c r="C886" s="8"/>
      <c r="D886" s="48"/>
      <c r="E886" s="48"/>
    </row>
    <row r="887">
      <c r="A887" s="48"/>
      <c r="B887" s="48"/>
      <c r="C887" s="8"/>
      <c r="D887" s="48"/>
      <c r="E887" s="48"/>
    </row>
    <row r="888">
      <c r="A888" s="48"/>
      <c r="B888" s="48"/>
      <c r="C888" s="8"/>
      <c r="D888" s="48"/>
      <c r="E888" s="48"/>
    </row>
    <row r="889">
      <c r="A889" s="48"/>
      <c r="B889" s="48"/>
      <c r="C889" s="8"/>
      <c r="D889" s="48"/>
      <c r="E889" s="48"/>
    </row>
    <row r="890">
      <c r="A890" s="48"/>
      <c r="B890" s="48"/>
      <c r="C890" s="8"/>
      <c r="D890" s="48"/>
      <c r="E890" s="48"/>
    </row>
    <row r="891">
      <c r="A891" s="48"/>
      <c r="B891" s="48"/>
      <c r="C891" s="8"/>
      <c r="D891" s="48"/>
      <c r="E891" s="48"/>
    </row>
    <row r="892">
      <c r="A892" s="48"/>
      <c r="B892" s="48"/>
      <c r="C892" s="8"/>
      <c r="D892" s="48"/>
      <c r="E892" s="48"/>
    </row>
    <row r="893">
      <c r="A893" s="48"/>
      <c r="B893" s="48"/>
      <c r="C893" s="8"/>
      <c r="D893" s="48"/>
      <c r="E893" s="48"/>
    </row>
    <row r="894">
      <c r="A894" s="48"/>
      <c r="B894" s="48"/>
      <c r="C894" s="8"/>
      <c r="D894" s="48"/>
      <c r="E894" s="48"/>
    </row>
    <row r="895">
      <c r="A895" s="48"/>
      <c r="B895" s="48"/>
      <c r="C895" s="8"/>
      <c r="D895" s="48"/>
      <c r="E895" s="48"/>
    </row>
    <row r="896">
      <c r="A896" s="48"/>
      <c r="B896" s="48"/>
      <c r="C896" s="8"/>
      <c r="D896" s="48"/>
      <c r="E896" s="48"/>
    </row>
    <row r="897">
      <c r="A897" s="48"/>
      <c r="B897" s="48"/>
      <c r="C897" s="8"/>
      <c r="D897" s="48"/>
      <c r="E897" s="48"/>
    </row>
    <row r="898">
      <c r="A898" s="48"/>
      <c r="B898" s="48"/>
      <c r="C898" s="8"/>
      <c r="D898" s="48"/>
      <c r="E898" s="48"/>
    </row>
    <row r="899">
      <c r="A899" s="48"/>
      <c r="B899" s="48"/>
      <c r="C899" s="8"/>
      <c r="D899" s="48"/>
      <c r="E899" s="48"/>
    </row>
    <row r="900">
      <c r="A900" s="48"/>
      <c r="B900" s="48"/>
      <c r="C900" s="8"/>
      <c r="D900" s="48"/>
      <c r="E900" s="48"/>
    </row>
    <row r="901">
      <c r="A901" s="48"/>
      <c r="B901" s="48"/>
      <c r="C901" s="8"/>
      <c r="D901" s="48"/>
      <c r="E901" s="48"/>
    </row>
    <row r="902">
      <c r="A902" s="48"/>
      <c r="B902" s="48"/>
      <c r="C902" s="8"/>
      <c r="D902" s="48"/>
      <c r="E902" s="48"/>
    </row>
    <row r="903">
      <c r="A903" s="48"/>
      <c r="B903" s="48"/>
      <c r="C903" s="8"/>
      <c r="D903" s="48"/>
      <c r="E903" s="48"/>
    </row>
    <row r="904">
      <c r="A904" s="48"/>
      <c r="B904" s="48"/>
      <c r="C904" s="8"/>
      <c r="D904" s="48"/>
      <c r="E904" s="48"/>
    </row>
    <row r="905">
      <c r="A905" s="48"/>
      <c r="B905" s="48"/>
      <c r="C905" s="8"/>
      <c r="D905" s="48"/>
      <c r="E905" s="48"/>
    </row>
    <row r="906">
      <c r="A906" s="48"/>
      <c r="B906" s="48"/>
      <c r="C906" s="8"/>
      <c r="D906" s="48"/>
      <c r="E906" s="48"/>
    </row>
    <row r="907">
      <c r="A907" s="48"/>
      <c r="B907" s="48"/>
      <c r="C907" s="8"/>
      <c r="D907" s="48"/>
      <c r="E907" s="48"/>
    </row>
    <row r="908">
      <c r="A908" s="48"/>
      <c r="B908" s="48"/>
      <c r="C908" s="8"/>
      <c r="D908" s="48"/>
      <c r="E908" s="48"/>
    </row>
    <row r="909">
      <c r="A909" s="48"/>
      <c r="B909" s="48"/>
      <c r="C909" s="8"/>
      <c r="D909" s="48"/>
      <c r="E909" s="48"/>
    </row>
    <row r="910">
      <c r="A910" s="48"/>
      <c r="B910" s="48"/>
      <c r="C910" s="8"/>
      <c r="D910" s="48"/>
      <c r="E910" s="48"/>
    </row>
    <row r="911">
      <c r="A911" s="48"/>
      <c r="B911" s="48"/>
      <c r="C911" s="8"/>
      <c r="D911" s="48"/>
      <c r="E911" s="48"/>
    </row>
    <row r="912">
      <c r="A912" s="48"/>
      <c r="B912" s="48"/>
      <c r="C912" s="8"/>
      <c r="D912" s="48"/>
      <c r="E912" s="48"/>
    </row>
    <row r="913">
      <c r="A913" s="48"/>
      <c r="B913" s="48"/>
      <c r="C913" s="8"/>
      <c r="D913" s="48"/>
      <c r="E913" s="48"/>
    </row>
    <row r="914">
      <c r="A914" s="48"/>
      <c r="B914" s="48"/>
      <c r="C914" s="8"/>
      <c r="D914" s="48"/>
      <c r="E914" s="48"/>
    </row>
    <row r="915">
      <c r="A915" s="48"/>
      <c r="B915" s="48"/>
      <c r="C915" s="8"/>
      <c r="D915" s="48"/>
      <c r="E915" s="48"/>
    </row>
    <row r="916">
      <c r="A916" s="48"/>
      <c r="B916" s="48"/>
      <c r="C916" s="8"/>
      <c r="D916" s="48"/>
      <c r="E916" s="48"/>
    </row>
    <row r="917">
      <c r="A917" s="48"/>
      <c r="B917" s="48"/>
      <c r="C917" s="8"/>
      <c r="D917" s="48"/>
      <c r="E917" s="48"/>
    </row>
    <row r="918">
      <c r="A918" s="48"/>
      <c r="B918" s="48"/>
      <c r="C918" s="8"/>
      <c r="D918" s="48"/>
      <c r="E918" s="48"/>
    </row>
    <row r="919">
      <c r="A919" s="48"/>
      <c r="B919" s="48"/>
      <c r="C919" s="8"/>
      <c r="D919" s="48"/>
      <c r="E919" s="48"/>
    </row>
    <row r="920">
      <c r="A920" s="48"/>
      <c r="B920" s="48"/>
      <c r="C920" s="8"/>
      <c r="D920" s="48"/>
      <c r="E920" s="48"/>
    </row>
    <row r="921">
      <c r="A921" s="48"/>
      <c r="B921" s="48"/>
      <c r="C921" s="8"/>
      <c r="D921" s="48"/>
      <c r="E921" s="48"/>
    </row>
    <row r="922">
      <c r="A922" s="48"/>
      <c r="B922" s="48"/>
      <c r="C922" s="8"/>
      <c r="D922" s="48"/>
      <c r="E922" s="48"/>
    </row>
    <row r="923">
      <c r="A923" s="48"/>
      <c r="B923" s="48"/>
      <c r="C923" s="8"/>
      <c r="D923" s="48"/>
      <c r="E923" s="48"/>
    </row>
    <row r="924">
      <c r="A924" s="48"/>
      <c r="B924" s="48"/>
      <c r="C924" s="8"/>
      <c r="D924" s="48"/>
      <c r="E924" s="48"/>
    </row>
    <row r="925">
      <c r="A925" s="48"/>
      <c r="B925" s="48"/>
      <c r="C925" s="8"/>
      <c r="D925" s="48"/>
      <c r="E925" s="48"/>
    </row>
    <row r="926">
      <c r="A926" s="48"/>
      <c r="B926" s="48"/>
      <c r="C926" s="8"/>
      <c r="D926" s="48"/>
      <c r="E926" s="48"/>
    </row>
    <row r="927">
      <c r="A927" s="48"/>
      <c r="B927" s="48"/>
      <c r="C927" s="8"/>
      <c r="D927" s="48"/>
      <c r="E927" s="48"/>
    </row>
    <row r="928">
      <c r="A928" s="48"/>
      <c r="B928" s="48"/>
      <c r="C928" s="8"/>
      <c r="D928" s="48"/>
      <c r="E928" s="48"/>
    </row>
    <row r="929">
      <c r="A929" s="48"/>
      <c r="B929" s="48"/>
      <c r="C929" s="8"/>
      <c r="D929" s="48"/>
      <c r="E929" s="48"/>
    </row>
    <row r="930">
      <c r="A930" s="48"/>
      <c r="B930" s="48"/>
      <c r="C930" s="8"/>
      <c r="D930" s="48"/>
      <c r="E930" s="48"/>
    </row>
    <row r="931">
      <c r="A931" s="48"/>
      <c r="B931" s="48"/>
      <c r="C931" s="8"/>
      <c r="D931" s="48"/>
      <c r="E931" s="48"/>
    </row>
    <row r="932">
      <c r="A932" s="48"/>
      <c r="B932" s="48"/>
      <c r="C932" s="8"/>
      <c r="D932" s="48"/>
      <c r="E932" s="48"/>
    </row>
    <row r="933">
      <c r="A933" s="48"/>
      <c r="B933" s="48"/>
      <c r="C933" s="8"/>
      <c r="D933" s="48"/>
      <c r="E933" s="48"/>
    </row>
    <row r="934">
      <c r="A934" s="48"/>
      <c r="B934" s="48"/>
      <c r="C934" s="8"/>
      <c r="D934" s="48"/>
      <c r="E934" s="48"/>
    </row>
    <row r="935">
      <c r="A935" s="48"/>
      <c r="B935" s="48"/>
      <c r="C935" s="8"/>
      <c r="D935" s="48"/>
      <c r="E935" s="48"/>
    </row>
    <row r="936">
      <c r="A936" s="48"/>
      <c r="B936" s="48"/>
      <c r="C936" s="8"/>
      <c r="D936" s="48"/>
      <c r="E936" s="48"/>
    </row>
    <row r="937">
      <c r="A937" s="48"/>
      <c r="B937" s="48"/>
      <c r="C937" s="8"/>
      <c r="D937" s="48"/>
      <c r="E937" s="48"/>
    </row>
    <row r="938">
      <c r="A938" s="48"/>
      <c r="B938" s="48"/>
      <c r="C938" s="8"/>
      <c r="D938" s="48"/>
      <c r="E938" s="48"/>
    </row>
    <row r="939">
      <c r="A939" s="48"/>
      <c r="B939" s="48"/>
      <c r="C939" s="8"/>
      <c r="D939" s="48"/>
      <c r="E939" s="48"/>
    </row>
    <row r="940">
      <c r="A940" s="48"/>
      <c r="B940" s="48"/>
      <c r="C940" s="8"/>
      <c r="D940" s="48"/>
      <c r="E940" s="48"/>
    </row>
    <row r="941">
      <c r="A941" s="48"/>
      <c r="B941" s="48"/>
      <c r="C941" s="8"/>
      <c r="D941" s="48"/>
      <c r="E941" s="48"/>
    </row>
    <row r="942">
      <c r="A942" s="48"/>
      <c r="B942" s="48"/>
      <c r="C942" s="8"/>
      <c r="D942" s="48"/>
      <c r="E942" s="48"/>
    </row>
    <row r="943">
      <c r="A943" s="48"/>
      <c r="B943" s="48"/>
      <c r="C943" s="8"/>
      <c r="D943" s="48"/>
      <c r="E943" s="48"/>
    </row>
    <row r="944">
      <c r="A944" s="48"/>
      <c r="B944" s="48"/>
      <c r="C944" s="8"/>
      <c r="D944" s="48"/>
      <c r="E944" s="48"/>
    </row>
    <row r="945">
      <c r="A945" s="48"/>
      <c r="B945" s="48"/>
      <c r="C945" s="8"/>
      <c r="D945" s="48"/>
      <c r="E945" s="48"/>
    </row>
    <row r="946">
      <c r="A946" s="48"/>
      <c r="B946" s="48"/>
      <c r="C946" s="8"/>
      <c r="D946" s="48"/>
      <c r="E946" s="48"/>
    </row>
    <row r="947">
      <c r="A947" s="48"/>
      <c r="B947" s="48"/>
      <c r="C947" s="8"/>
      <c r="D947" s="48"/>
      <c r="E947" s="48"/>
    </row>
    <row r="948">
      <c r="A948" s="48"/>
      <c r="B948" s="48"/>
      <c r="C948" s="8"/>
      <c r="D948" s="48"/>
      <c r="E948" s="48"/>
    </row>
    <row r="949">
      <c r="A949" s="48"/>
      <c r="B949" s="48"/>
      <c r="C949" s="8"/>
      <c r="D949" s="48"/>
      <c r="E949" s="48"/>
    </row>
    <row r="950">
      <c r="A950" s="48"/>
      <c r="B950" s="48"/>
      <c r="C950" s="8"/>
      <c r="D950" s="48"/>
      <c r="E950" s="48"/>
    </row>
    <row r="951">
      <c r="A951" s="48"/>
      <c r="B951" s="48"/>
      <c r="C951" s="8"/>
      <c r="D951" s="48"/>
      <c r="E951" s="48"/>
    </row>
    <row r="952">
      <c r="A952" s="48"/>
      <c r="B952" s="48"/>
      <c r="C952" s="8"/>
      <c r="D952" s="48"/>
      <c r="E952" s="48"/>
    </row>
    <row r="953">
      <c r="A953" s="48"/>
      <c r="B953" s="48"/>
      <c r="C953" s="8"/>
      <c r="D953" s="48"/>
      <c r="E953" s="48"/>
    </row>
    <row r="954">
      <c r="A954" s="48"/>
      <c r="B954" s="48"/>
      <c r="C954" s="8"/>
      <c r="D954" s="48"/>
      <c r="E954" s="48"/>
    </row>
    <row r="955">
      <c r="A955" s="48"/>
      <c r="B955" s="48"/>
      <c r="C955" s="8"/>
      <c r="D955" s="48"/>
      <c r="E955" s="48"/>
    </row>
    <row r="956">
      <c r="A956" s="48"/>
      <c r="B956" s="48"/>
      <c r="C956" s="8"/>
      <c r="D956" s="48"/>
      <c r="E956" s="48"/>
    </row>
    <row r="957">
      <c r="A957" s="48"/>
      <c r="B957" s="48"/>
      <c r="C957" s="8"/>
      <c r="D957" s="48"/>
      <c r="E957" s="48"/>
    </row>
    <row r="958">
      <c r="A958" s="48"/>
      <c r="B958" s="48"/>
      <c r="C958" s="8"/>
      <c r="D958" s="48"/>
      <c r="E958" s="48"/>
    </row>
    <row r="959">
      <c r="A959" s="48"/>
      <c r="B959" s="48"/>
      <c r="C959" s="8"/>
      <c r="D959" s="48"/>
      <c r="E959" s="48"/>
    </row>
    <row r="960">
      <c r="A960" s="48"/>
      <c r="B960" s="48"/>
      <c r="C960" s="8"/>
      <c r="D960" s="48"/>
      <c r="E960" s="48"/>
    </row>
    <row r="961">
      <c r="A961" s="48"/>
      <c r="B961" s="48"/>
      <c r="C961" s="8"/>
      <c r="D961" s="48"/>
      <c r="E961" s="48"/>
    </row>
    <row r="962">
      <c r="A962" s="48"/>
      <c r="B962" s="48"/>
      <c r="C962" s="8"/>
      <c r="D962" s="48"/>
      <c r="E962" s="48"/>
    </row>
    <row r="963">
      <c r="A963" s="48"/>
      <c r="B963" s="48"/>
      <c r="C963" s="8"/>
      <c r="D963" s="48"/>
      <c r="E963" s="48"/>
    </row>
    <row r="964">
      <c r="A964" s="48"/>
      <c r="B964" s="48"/>
      <c r="C964" s="8"/>
      <c r="D964" s="48"/>
      <c r="E964" s="48"/>
    </row>
    <row r="965">
      <c r="A965" s="48"/>
      <c r="B965" s="48"/>
      <c r="C965" s="8"/>
      <c r="D965" s="48"/>
      <c r="E965" s="48"/>
    </row>
    <row r="966">
      <c r="A966" s="48"/>
      <c r="B966" s="48"/>
      <c r="C966" s="8"/>
      <c r="D966" s="48"/>
      <c r="E966" s="48"/>
    </row>
    <row r="967">
      <c r="A967" s="48"/>
      <c r="B967" s="48"/>
      <c r="C967" s="8"/>
      <c r="D967" s="48"/>
      <c r="E967" s="48"/>
    </row>
    <row r="968">
      <c r="A968" s="48"/>
      <c r="B968" s="48"/>
      <c r="C968" s="8"/>
      <c r="D968" s="48"/>
      <c r="E968" s="48"/>
    </row>
    <row r="969">
      <c r="A969" s="48"/>
      <c r="B969" s="48"/>
      <c r="C969" s="8"/>
      <c r="D969" s="48"/>
      <c r="E969" s="48"/>
    </row>
    <row r="970">
      <c r="A970" s="48"/>
      <c r="B970" s="48"/>
      <c r="C970" s="8"/>
      <c r="D970" s="48"/>
      <c r="E970" s="48"/>
    </row>
    <row r="971">
      <c r="A971" s="48"/>
      <c r="B971" s="48"/>
      <c r="C971" s="8"/>
      <c r="D971" s="48"/>
      <c r="E971" s="48"/>
    </row>
    <row r="972">
      <c r="A972" s="48"/>
      <c r="B972" s="48"/>
      <c r="C972" s="8"/>
      <c r="D972" s="48"/>
      <c r="E972" s="48"/>
    </row>
    <row r="973">
      <c r="A973" s="48"/>
      <c r="B973" s="48"/>
      <c r="C973" s="8"/>
      <c r="D973" s="48"/>
      <c r="E973" s="48"/>
    </row>
    <row r="974">
      <c r="A974" s="48"/>
      <c r="B974" s="48"/>
      <c r="C974" s="8"/>
      <c r="D974" s="48"/>
      <c r="E974" s="48"/>
    </row>
    <row r="975">
      <c r="A975" s="48"/>
      <c r="B975" s="48"/>
      <c r="C975" s="8"/>
      <c r="D975" s="48"/>
      <c r="E975" s="48"/>
    </row>
    <row r="976">
      <c r="A976" s="48"/>
      <c r="B976" s="48"/>
      <c r="C976" s="8"/>
      <c r="D976" s="48"/>
      <c r="E976" s="48"/>
    </row>
    <row r="977">
      <c r="A977" s="48"/>
      <c r="B977" s="48"/>
      <c r="C977" s="8"/>
      <c r="D977" s="48"/>
      <c r="E977" s="48"/>
    </row>
    <row r="978">
      <c r="A978" s="48"/>
      <c r="B978" s="48"/>
      <c r="C978" s="8"/>
      <c r="D978" s="48"/>
      <c r="E978" s="48"/>
    </row>
    <row r="979">
      <c r="A979" s="48"/>
      <c r="B979" s="48"/>
      <c r="C979" s="8"/>
      <c r="D979" s="48"/>
      <c r="E979" s="48"/>
    </row>
    <row r="980">
      <c r="A980" s="48"/>
      <c r="B980" s="48"/>
      <c r="C980" s="8"/>
      <c r="D980" s="48"/>
      <c r="E980" s="48"/>
    </row>
    <row r="981">
      <c r="A981" s="48"/>
      <c r="B981" s="48"/>
      <c r="C981" s="8"/>
      <c r="D981" s="48"/>
      <c r="E981" s="48"/>
    </row>
    <row r="982">
      <c r="A982" s="48"/>
      <c r="B982" s="48"/>
      <c r="C982" s="8"/>
      <c r="D982" s="48"/>
      <c r="E982" s="48"/>
    </row>
    <row r="983">
      <c r="A983" s="48"/>
      <c r="B983" s="48"/>
      <c r="C983" s="8"/>
      <c r="D983" s="48"/>
      <c r="E983" s="48"/>
    </row>
    <row r="984">
      <c r="A984" s="48"/>
      <c r="B984" s="48"/>
      <c r="C984" s="8"/>
      <c r="D984" s="48"/>
      <c r="E984" s="48"/>
    </row>
    <row r="985">
      <c r="A985" s="48"/>
      <c r="B985" s="48"/>
      <c r="C985" s="8"/>
      <c r="D985" s="48"/>
      <c r="E985" s="48"/>
    </row>
    <row r="986">
      <c r="A986" s="48"/>
      <c r="B986" s="48"/>
      <c r="C986" s="8"/>
      <c r="D986" s="48"/>
      <c r="E986" s="48"/>
    </row>
    <row r="987">
      <c r="A987" s="48"/>
      <c r="B987" s="48"/>
      <c r="C987" s="8"/>
      <c r="D987" s="48"/>
      <c r="E987" s="48"/>
    </row>
    <row r="988">
      <c r="A988" s="48"/>
      <c r="B988" s="48"/>
      <c r="C988" s="8"/>
      <c r="D988" s="48"/>
      <c r="E988" s="48"/>
    </row>
    <row r="989">
      <c r="A989" s="48"/>
      <c r="B989" s="48"/>
      <c r="C989" s="8"/>
      <c r="D989" s="48"/>
      <c r="E989" s="48"/>
    </row>
    <row r="990">
      <c r="A990" s="48"/>
      <c r="B990" s="48"/>
      <c r="C990" s="8"/>
      <c r="D990" s="48"/>
      <c r="E990" s="48"/>
    </row>
    <row r="991">
      <c r="A991" s="48"/>
      <c r="B991" s="48"/>
      <c r="C991" s="8"/>
      <c r="D991" s="48"/>
      <c r="E991" s="48"/>
    </row>
    <row r="992">
      <c r="A992" s="48"/>
      <c r="B992" s="48"/>
      <c r="C992" s="8"/>
      <c r="D992" s="48"/>
      <c r="E992" s="48"/>
    </row>
    <row r="993">
      <c r="A993" s="48"/>
      <c r="B993" s="48"/>
      <c r="C993" s="8"/>
      <c r="D993" s="48"/>
      <c r="E993" s="48"/>
    </row>
    <row r="994">
      <c r="A994" s="48"/>
      <c r="B994" s="48"/>
      <c r="C994" s="8"/>
      <c r="D994" s="48"/>
      <c r="E994" s="48"/>
    </row>
    <row r="995">
      <c r="A995" s="48"/>
      <c r="B995" s="48"/>
      <c r="C995" s="8"/>
      <c r="D995" s="48"/>
      <c r="E995" s="48"/>
    </row>
    <row r="996">
      <c r="A996" s="48"/>
      <c r="B996" s="48"/>
      <c r="C996" s="8"/>
      <c r="D996" s="48"/>
      <c r="E996" s="48"/>
    </row>
    <row r="997">
      <c r="A997" s="48"/>
      <c r="B997" s="48"/>
      <c r="C997" s="8"/>
      <c r="D997" s="48"/>
      <c r="E997" s="48"/>
    </row>
    <row r="998">
      <c r="A998" s="48"/>
      <c r="B998" s="48"/>
      <c r="C998" s="8"/>
      <c r="D998" s="48"/>
      <c r="E998" s="48"/>
    </row>
    <row r="999">
      <c r="A999" s="48"/>
      <c r="B999" s="48"/>
      <c r="C999" s="8"/>
      <c r="D999" s="48"/>
      <c r="E999" s="48"/>
    </row>
    <row r="1000">
      <c r="A1000" s="48"/>
      <c r="B1000" s="48"/>
      <c r="C1000" s="8"/>
      <c r="D1000" s="48"/>
      <c r="E1000" s="4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1.88"/>
    <col customWidth="1" min="4" max="4" width="19.13"/>
    <col customWidth="1" min="5" max="5" width="18.25"/>
    <col customWidth="1" min="6" max="6" width="18.75"/>
    <col customWidth="1" min="7" max="8" width="18.38"/>
    <col customWidth="1" min="9" max="9" width="19.38"/>
    <col customWidth="1" min="10" max="10" width="20.0"/>
    <col customWidth="1" min="11" max="19" width="18.63"/>
  </cols>
  <sheetData>
    <row r="1">
      <c r="A1" s="2"/>
      <c r="B1" s="2"/>
      <c r="C1" s="5"/>
      <c r="D1" s="7">
        <v>1.0</v>
      </c>
      <c r="E1" s="7">
        <v>2.0</v>
      </c>
      <c r="F1" s="7">
        <v>3.0</v>
      </c>
      <c r="G1" s="7">
        <v>4.0</v>
      </c>
      <c r="H1" s="7">
        <v>5.0</v>
      </c>
      <c r="I1" s="7">
        <v>6.0</v>
      </c>
      <c r="J1" s="7">
        <v>7.0</v>
      </c>
      <c r="K1" s="7">
        <v>8.0</v>
      </c>
      <c r="L1" s="7">
        <v>9.0</v>
      </c>
      <c r="M1" s="7"/>
      <c r="N1" s="7"/>
      <c r="O1" s="7"/>
      <c r="P1" s="7"/>
      <c r="Q1" s="7"/>
      <c r="R1" s="7"/>
      <c r="S1" s="7"/>
      <c r="T1" s="12"/>
      <c r="U1" s="12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19" t="s">
        <v>0</v>
      </c>
      <c r="B2" s="19" t="s">
        <v>2</v>
      </c>
      <c r="C2" s="24" t="s">
        <v>3</v>
      </c>
      <c r="D2" s="26" t="s">
        <v>29</v>
      </c>
      <c r="E2" s="26" t="s">
        <v>31</v>
      </c>
      <c r="F2" s="26" t="s">
        <v>34</v>
      </c>
      <c r="G2" s="26" t="s">
        <v>35</v>
      </c>
      <c r="H2" s="26" t="s">
        <v>37</v>
      </c>
      <c r="I2" s="26" t="s">
        <v>39</v>
      </c>
      <c r="J2" s="26" t="s">
        <v>42</v>
      </c>
      <c r="K2" s="26" t="s">
        <v>43</v>
      </c>
      <c r="L2" s="26" t="s">
        <v>45</v>
      </c>
      <c r="M2" s="26" t="s">
        <v>48</v>
      </c>
      <c r="N2" s="26" t="s">
        <v>50</v>
      </c>
      <c r="O2" s="26" t="s">
        <v>52</v>
      </c>
      <c r="P2" s="26" t="s">
        <v>54</v>
      </c>
      <c r="Q2" s="26" t="s">
        <v>55</v>
      </c>
      <c r="R2" s="26" t="s">
        <v>56</v>
      </c>
      <c r="S2" s="26" t="s">
        <v>59</v>
      </c>
      <c r="T2" s="32" t="s">
        <v>60</v>
      </c>
      <c r="U2" s="20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33">
        <v>1.0</v>
      </c>
      <c r="B3" s="34" t="s">
        <v>68</v>
      </c>
      <c r="C3" s="35" t="s">
        <v>69</v>
      </c>
      <c r="D3" s="36">
        <v>24.0</v>
      </c>
      <c r="E3" s="36">
        <v>48.0</v>
      </c>
      <c r="F3" s="36">
        <v>80.0</v>
      </c>
      <c r="G3" s="36">
        <v>56.0</v>
      </c>
      <c r="H3" s="36">
        <v>54.0</v>
      </c>
      <c r="I3" s="36">
        <v>50.0</v>
      </c>
      <c r="J3" s="36">
        <v>48.0</v>
      </c>
      <c r="K3" s="36">
        <v>46.0</v>
      </c>
      <c r="L3" s="36" t="s">
        <v>74</v>
      </c>
      <c r="M3" s="36">
        <v>48.0</v>
      </c>
      <c r="N3" s="36">
        <v>48.0</v>
      </c>
      <c r="O3" s="36">
        <v>50.0</v>
      </c>
      <c r="P3" s="36">
        <v>44.0</v>
      </c>
      <c r="Q3" s="36">
        <v>48.0</v>
      </c>
      <c r="R3" s="36">
        <v>48.0</v>
      </c>
      <c r="S3" s="36">
        <v>48.0</v>
      </c>
      <c r="T3" s="38">
        <f t="shared" ref="T3:T76" si="1">Countif(D3:N3,"A")</f>
        <v>1</v>
      </c>
      <c r="U3" s="20"/>
      <c r="V3" s="39" t="str">
        <f>IFERROR(__xludf.DUMMYFUNCTION("TEXTJOIN("", "",TRUE,FILTER(D$1:N$1, D3:N3=""A""))"),"9")</f>
        <v>9</v>
      </c>
      <c r="W3" s="39">
        <f t="shared" ref="W3:W85" si="2">countif(D3:S3,"A")</f>
        <v>1</v>
      </c>
    </row>
    <row r="4">
      <c r="A4" s="33">
        <v>2.0</v>
      </c>
      <c r="B4" s="41" t="s">
        <v>102</v>
      </c>
      <c r="C4" s="42" t="s">
        <v>106</v>
      </c>
      <c r="D4" s="36">
        <v>20.0</v>
      </c>
      <c r="E4" s="36" t="s">
        <v>74</v>
      </c>
      <c r="F4" s="36">
        <v>68.0</v>
      </c>
      <c r="G4" s="36">
        <v>48.0</v>
      </c>
      <c r="H4" s="36">
        <v>58.0</v>
      </c>
      <c r="I4" s="36">
        <v>48.0</v>
      </c>
      <c r="J4" s="36">
        <v>46.0</v>
      </c>
      <c r="K4" s="36">
        <v>22.0</v>
      </c>
      <c r="L4" s="36">
        <v>42.0</v>
      </c>
      <c r="M4" s="36" t="s">
        <v>74</v>
      </c>
      <c r="N4" s="36">
        <v>44.0</v>
      </c>
      <c r="O4" s="36">
        <v>42.0</v>
      </c>
      <c r="P4" s="36">
        <v>38.0</v>
      </c>
      <c r="Q4" s="36" t="s">
        <v>74</v>
      </c>
      <c r="R4" s="36" t="s">
        <v>74</v>
      </c>
      <c r="S4" s="36" t="s">
        <v>74</v>
      </c>
      <c r="T4" s="38">
        <f t="shared" si="1"/>
        <v>2</v>
      </c>
      <c r="U4" s="20"/>
      <c r="V4" s="39" t="str">
        <f>IFERROR(__xludf.DUMMYFUNCTION("TEXTJOIN("", "",TRUE,FILTER(D$1:N$1, D4:N4=""A""))"),"2")</f>
        <v>2</v>
      </c>
      <c r="W4" s="39">
        <f t="shared" si="2"/>
        <v>5</v>
      </c>
    </row>
    <row r="5">
      <c r="A5" s="33">
        <v>3.0</v>
      </c>
      <c r="B5" s="34" t="s">
        <v>140</v>
      </c>
      <c r="C5" s="46" t="s">
        <v>143</v>
      </c>
      <c r="D5" s="36">
        <v>21.0</v>
      </c>
      <c r="E5" s="36">
        <v>42.0</v>
      </c>
      <c r="F5" s="36">
        <v>38.0</v>
      </c>
      <c r="G5" s="36" t="s">
        <v>74</v>
      </c>
      <c r="H5" s="36" t="s">
        <v>74</v>
      </c>
      <c r="I5" s="36">
        <v>48.0</v>
      </c>
      <c r="J5" s="36" t="s">
        <v>74</v>
      </c>
      <c r="K5" s="36">
        <v>38.0</v>
      </c>
      <c r="L5" s="36">
        <v>46.0</v>
      </c>
      <c r="M5" s="36">
        <v>48.0</v>
      </c>
      <c r="N5" s="36">
        <v>50.0</v>
      </c>
      <c r="O5" s="36">
        <v>42.0</v>
      </c>
      <c r="P5" s="36" t="s">
        <v>74</v>
      </c>
      <c r="Q5" s="36" t="s">
        <v>74</v>
      </c>
      <c r="R5" s="36">
        <v>48.0</v>
      </c>
      <c r="S5" s="36">
        <v>46.0</v>
      </c>
      <c r="T5" s="38">
        <f t="shared" si="1"/>
        <v>3</v>
      </c>
      <c r="U5" s="20"/>
      <c r="V5" s="39" t="str">
        <f>IFERROR(__xludf.DUMMYFUNCTION("TEXTJOIN("", "",TRUE,FILTER(D$1:N$1, D5:N5=""A""))"),"4, 5, 7")</f>
        <v>4, 5, 7</v>
      </c>
      <c r="W5" s="39">
        <f t="shared" si="2"/>
        <v>5</v>
      </c>
    </row>
    <row r="6">
      <c r="A6" s="33">
        <v>4.0</v>
      </c>
      <c r="B6" s="34" t="s">
        <v>170</v>
      </c>
      <c r="C6" s="46" t="s">
        <v>174</v>
      </c>
      <c r="D6" s="36" t="s">
        <v>74</v>
      </c>
      <c r="E6" s="36">
        <v>30.0</v>
      </c>
      <c r="F6" s="36">
        <v>68.0</v>
      </c>
      <c r="G6" s="36">
        <v>46.0</v>
      </c>
      <c r="H6" s="36">
        <v>54.0</v>
      </c>
      <c r="I6" s="36">
        <v>44.0</v>
      </c>
      <c r="J6" s="36">
        <v>42.0</v>
      </c>
      <c r="K6" s="36">
        <v>39.0</v>
      </c>
      <c r="L6" s="36">
        <v>46.0</v>
      </c>
      <c r="M6" s="36">
        <v>46.0</v>
      </c>
      <c r="N6" s="36">
        <v>42.0</v>
      </c>
      <c r="O6" s="36" t="s">
        <v>74</v>
      </c>
      <c r="P6" s="36" t="s">
        <v>74</v>
      </c>
      <c r="Q6" s="36" t="s">
        <v>74</v>
      </c>
      <c r="R6" s="36" t="s">
        <v>74</v>
      </c>
      <c r="S6" s="36" t="s">
        <v>74</v>
      </c>
      <c r="T6" s="38">
        <f t="shared" si="1"/>
        <v>1</v>
      </c>
      <c r="U6" s="20"/>
      <c r="V6" s="39" t="str">
        <f>IFERROR(__xludf.DUMMYFUNCTION("TEXTJOIN("", "",TRUE,FILTER(D$1:N$1, D6:N6=""A""))"),"1")</f>
        <v>1</v>
      </c>
      <c r="W6" s="39">
        <f t="shared" si="2"/>
        <v>6</v>
      </c>
    </row>
    <row r="7">
      <c r="A7" s="33">
        <v>5.0</v>
      </c>
      <c r="B7" s="34" t="s">
        <v>187</v>
      </c>
      <c r="C7" s="46" t="s">
        <v>188</v>
      </c>
      <c r="D7" s="36">
        <v>22.0</v>
      </c>
      <c r="E7" s="36">
        <v>38.0</v>
      </c>
      <c r="F7" s="36">
        <v>62.0</v>
      </c>
      <c r="G7" s="36">
        <v>54.0</v>
      </c>
      <c r="H7" s="36">
        <v>50.0</v>
      </c>
      <c r="I7" s="36">
        <v>44.0</v>
      </c>
      <c r="J7" s="36" t="s">
        <v>74</v>
      </c>
      <c r="K7" s="36">
        <v>32.0</v>
      </c>
      <c r="L7" s="36">
        <v>46.0</v>
      </c>
      <c r="M7" s="36">
        <v>46.0</v>
      </c>
      <c r="N7" s="36">
        <v>44.0</v>
      </c>
      <c r="O7" s="36">
        <v>40.0</v>
      </c>
      <c r="P7" s="36">
        <v>46.0</v>
      </c>
      <c r="Q7" s="36">
        <v>48.0</v>
      </c>
      <c r="R7" s="36">
        <v>46.0</v>
      </c>
      <c r="S7" s="36">
        <v>44.0</v>
      </c>
      <c r="T7" s="38">
        <f t="shared" si="1"/>
        <v>1</v>
      </c>
      <c r="U7" s="20"/>
      <c r="V7" s="39" t="str">
        <f>IFERROR(__xludf.DUMMYFUNCTION("TEXTJOIN("", "",TRUE,FILTER(D$1:N$1, D7:N7=""A""))"),"7")</f>
        <v>7</v>
      </c>
      <c r="W7" s="39">
        <f t="shared" si="2"/>
        <v>1</v>
      </c>
    </row>
    <row r="8">
      <c r="A8" s="33">
        <v>6.0</v>
      </c>
      <c r="B8" s="34" t="s">
        <v>199</v>
      </c>
      <c r="C8" s="46" t="s">
        <v>201</v>
      </c>
      <c r="D8" s="36" t="s">
        <v>74</v>
      </c>
      <c r="E8" s="36" t="s">
        <v>74</v>
      </c>
      <c r="F8" s="36" t="s">
        <v>74</v>
      </c>
      <c r="G8" s="36" t="s">
        <v>74</v>
      </c>
      <c r="H8" s="36" t="s">
        <v>74</v>
      </c>
      <c r="I8" s="36" t="s">
        <v>74</v>
      </c>
      <c r="J8" s="36" t="s">
        <v>74</v>
      </c>
      <c r="K8" s="36">
        <v>26.0</v>
      </c>
      <c r="L8" s="36" t="s">
        <v>74</v>
      </c>
      <c r="M8" s="36" t="s">
        <v>74</v>
      </c>
      <c r="N8" s="36" t="s">
        <v>74</v>
      </c>
      <c r="O8" s="36" t="s">
        <v>74</v>
      </c>
      <c r="P8" s="36" t="s">
        <v>74</v>
      </c>
      <c r="Q8" s="36" t="s">
        <v>74</v>
      </c>
      <c r="R8" s="36" t="s">
        <v>74</v>
      </c>
      <c r="S8" s="36" t="s">
        <v>74</v>
      </c>
      <c r="T8" s="38">
        <f t="shared" si="1"/>
        <v>10</v>
      </c>
      <c r="U8" s="20"/>
      <c r="V8" s="39" t="str">
        <f>IFERROR(__xludf.DUMMYFUNCTION("TEXTJOIN("", "",TRUE,FILTER(D$1:N$1, D8:N8=""A""))"),"1, 2, 3, 4, 5, 6, 7, 9")</f>
        <v>1, 2, 3, 4, 5, 6, 7, 9</v>
      </c>
      <c r="W8" s="39">
        <f t="shared" si="2"/>
        <v>15</v>
      </c>
    </row>
    <row r="9">
      <c r="A9" s="33">
        <v>7.0</v>
      </c>
      <c r="B9" s="52" t="s">
        <v>213</v>
      </c>
      <c r="C9" s="53" t="s">
        <v>216</v>
      </c>
      <c r="D9" s="36" t="s">
        <v>74</v>
      </c>
      <c r="E9" s="36">
        <v>44.0</v>
      </c>
      <c r="F9" s="36">
        <v>80.0</v>
      </c>
      <c r="G9" s="36">
        <v>56.0</v>
      </c>
      <c r="H9" s="36">
        <v>60.0</v>
      </c>
      <c r="I9" s="36">
        <v>44.0</v>
      </c>
      <c r="J9" s="36">
        <v>50.0</v>
      </c>
      <c r="K9" s="36" t="s">
        <v>74</v>
      </c>
      <c r="L9" s="36" t="s">
        <v>74</v>
      </c>
      <c r="M9" s="36">
        <v>50.0</v>
      </c>
      <c r="N9" s="36">
        <v>50.0</v>
      </c>
      <c r="O9" s="36" t="s">
        <v>74</v>
      </c>
      <c r="P9" s="36" t="s">
        <v>74</v>
      </c>
      <c r="Q9" s="36" t="s">
        <v>74</v>
      </c>
      <c r="R9" s="36">
        <v>50.0</v>
      </c>
      <c r="S9" s="36" t="s">
        <v>74</v>
      </c>
      <c r="T9" s="38">
        <f t="shared" si="1"/>
        <v>3</v>
      </c>
      <c r="U9" s="20"/>
      <c r="V9" s="39" t="str">
        <f>IFERROR(__xludf.DUMMYFUNCTION("TEXTJOIN("", "",TRUE,FILTER(D$1:N$1, D9:N9=""A""))"),"1, 8, 9")</f>
        <v>1, 8, 9</v>
      </c>
      <c r="W9" s="39">
        <f t="shared" si="2"/>
        <v>7</v>
      </c>
    </row>
    <row r="10">
      <c r="A10" s="33">
        <v>8.0</v>
      </c>
      <c r="B10" s="52" t="s">
        <v>228</v>
      </c>
      <c r="C10" s="57" t="s">
        <v>230</v>
      </c>
      <c r="D10" s="36">
        <v>22.0</v>
      </c>
      <c r="E10" s="36">
        <v>38.0</v>
      </c>
      <c r="F10" s="36">
        <v>76.0</v>
      </c>
      <c r="G10" s="36">
        <v>48.0</v>
      </c>
      <c r="H10" s="36">
        <v>58.0</v>
      </c>
      <c r="I10" s="36">
        <v>40.0</v>
      </c>
      <c r="J10" s="36">
        <v>40.0</v>
      </c>
      <c r="K10" s="36" t="s">
        <v>74</v>
      </c>
      <c r="L10" s="36">
        <v>42.0</v>
      </c>
      <c r="M10" s="36">
        <v>40.0</v>
      </c>
      <c r="N10" s="36">
        <v>32.0</v>
      </c>
      <c r="O10" s="36">
        <v>32.0</v>
      </c>
      <c r="P10" s="36">
        <v>30.0</v>
      </c>
      <c r="Q10" s="36">
        <v>42.0</v>
      </c>
      <c r="R10" s="36">
        <v>34.0</v>
      </c>
      <c r="S10" s="36" t="s">
        <v>74</v>
      </c>
      <c r="T10" s="38">
        <f t="shared" si="1"/>
        <v>1</v>
      </c>
      <c r="U10" s="20"/>
      <c r="V10" s="39" t="str">
        <f>IFERROR(__xludf.DUMMYFUNCTION("TEXTJOIN("", "",TRUE,FILTER(D$1:N$1, D10:N10=""A""))"),"8")</f>
        <v>8</v>
      </c>
      <c r="W10" s="39">
        <f t="shared" si="2"/>
        <v>2</v>
      </c>
    </row>
    <row r="11">
      <c r="A11" s="33">
        <v>9.0</v>
      </c>
      <c r="B11" s="52" t="s">
        <v>240</v>
      </c>
      <c r="C11" s="57" t="s">
        <v>241</v>
      </c>
      <c r="D11" s="36">
        <v>21.0</v>
      </c>
      <c r="E11" s="36">
        <v>40.0</v>
      </c>
      <c r="F11" s="36">
        <v>76.0</v>
      </c>
      <c r="G11" s="36" t="s">
        <v>74</v>
      </c>
      <c r="H11" s="36" t="s">
        <v>74</v>
      </c>
      <c r="I11" s="36">
        <v>24.0</v>
      </c>
      <c r="J11" s="36" t="s">
        <v>74</v>
      </c>
      <c r="K11" s="36" t="s">
        <v>74</v>
      </c>
      <c r="L11" s="36" t="s">
        <v>74</v>
      </c>
      <c r="M11" s="36" t="s">
        <v>74</v>
      </c>
      <c r="N11" s="36" t="s">
        <v>74</v>
      </c>
      <c r="O11" s="36" t="s">
        <v>74</v>
      </c>
      <c r="P11" s="36" t="s">
        <v>74</v>
      </c>
      <c r="Q11" s="36" t="s">
        <v>74</v>
      </c>
      <c r="R11" s="36" t="s">
        <v>74</v>
      </c>
      <c r="S11" s="36" t="s">
        <v>74</v>
      </c>
      <c r="T11" s="38">
        <f t="shared" si="1"/>
        <v>7</v>
      </c>
      <c r="U11" s="20"/>
      <c r="V11" s="39" t="str">
        <f>IFERROR(__xludf.DUMMYFUNCTION("TEXTJOIN("", "",TRUE,FILTER(D$1:N$1, D11:N11=""A""))"),"4, 5, 7, 8, 9")</f>
        <v>4, 5, 7, 8, 9</v>
      </c>
      <c r="W11" s="39">
        <f t="shared" si="2"/>
        <v>12</v>
      </c>
    </row>
    <row r="12">
      <c r="A12" s="33">
        <v>10.0</v>
      </c>
      <c r="B12" s="52" t="s">
        <v>252</v>
      </c>
      <c r="C12" s="57" t="s">
        <v>254</v>
      </c>
      <c r="D12" s="36">
        <v>21.0</v>
      </c>
      <c r="E12" s="36">
        <v>42.0</v>
      </c>
      <c r="F12" s="36">
        <v>78.0</v>
      </c>
      <c r="G12" s="36">
        <v>60.0</v>
      </c>
      <c r="H12" s="36">
        <v>52.0</v>
      </c>
      <c r="I12" s="36">
        <v>50.0</v>
      </c>
      <c r="J12" s="36" t="s">
        <v>74</v>
      </c>
      <c r="K12" s="36">
        <v>36.0</v>
      </c>
      <c r="L12" s="36">
        <v>48.0</v>
      </c>
      <c r="M12" s="36">
        <v>48.0</v>
      </c>
      <c r="N12" s="36" t="s">
        <v>74</v>
      </c>
      <c r="O12" s="36">
        <v>48.0</v>
      </c>
      <c r="P12" s="36" t="s">
        <v>74</v>
      </c>
      <c r="Q12" s="36" t="s">
        <v>74</v>
      </c>
      <c r="R12" s="36" t="s">
        <v>74</v>
      </c>
      <c r="S12" s="36" t="s">
        <v>74</v>
      </c>
      <c r="T12" s="38">
        <f t="shared" si="1"/>
        <v>2</v>
      </c>
      <c r="U12" s="20"/>
      <c r="V12" s="39" t="str">
        <f>IFERROR(__xludf.DUMMYFUNCTION("TEXTJOIN("", "",TRUE,FILTER(D$1:N$1, D12:N12=""A""))"),"7")</f>
        <v>7</v>
      </c>
      <c r="W12" s="39">
        <f t="shared" si="2"/>
        <v>6</v>
      </c>
    </row>
    <row r="13">
      <c r="A13" s="33">
        <v>11.0</v>
      </c>
      <c r="B13" s="34" t="s">
        <v>268</v>
      </c>
      <c r="C13" s="46" t="s">
        <v>271</v>
      </c>
      <c r="D13" s="36">
        <v>23.0</v>
      </c>
      <c r="E13" s="36">
        <v>50.0</v>
      </c>
      <c r="F13" s="36">
        <v>64.0</v>
      </c>
      <c r="G13" s="36">
        <v>58.0</v>
      </c>
      <c r="H13" s="36">
        <v>52.0</v>
      </c>
      <c r="I13" s="36">
        <v>46.0</v>
      </c>
      <c r="J13" s="36">
        <v>48.0</v>
      </c>
      <c r="K13" s="36">
        <v>43.0</v>
      </c>
      <c r="L13" s="36">
        <v>50.0</v>
      </c>
      <c r="M13" s="36">
        <v>48.0</v>
      </c>
      <c r="N13" s="36">
        <v>46.0</v>
      </c>
      <c r="O13" s="36">
        <v>48.0</v>
      </c>
      <c r="P13" s="36">
        <v>44.0</v>
      </c>
      <c r="Q13" s="36">
        <v>46.0</v>
      </c>
      <c r="R13" s="36">
        <v>48.0</v>
      </c>
      <c r="S13" s="36">
        <v>46.0</v>
      </c>
      <c r="T13" s="38">
        <f t="shared" si="1"/>
        <v>0</v>
      </c>
      <c r="U13" s="20"/>
      <c r="V13" s="39" t="str">
        <f>IFERROR(__xludf.DUMMYFUNCTION("TEXTJOIN("", "",TRUE,FILTER(D$1:N$1, D13:N13=""A""))"),"#N/A")</f>
        <v>#N/A</v>
      </c>
      <c r="W13" s="39">
        <f t="shared" si="2"/>
        <v>0</v>
      </c>
    </row>
    <row r="14">
      <c r="A14" s="33">
        <v>12.0</v>
      </c>
      <c r="B14" s="34" t="s">
        <v>280</v>
      </c>
      <c r="C14" s="46" t="s">
        <v>281</v>
      </c>
      <c r="D14" s="36">
        <v>19.0</v>
      </c>
      <c r="E14" s="36">
        <v>50.0</v>
      </c>
      <c r="F14" s="36">
        <v>56.0</v>
      </c>
      <c r="G14" s="36">
        <v>18.0</v>
      </c>
      <c r="H14" s="36">
        <v>20.0</v>
      </c>
      <c r="I14" s="36">
        <v>40.0</v>
      </c>
      <c r="J14" s="36" t="s">
        <v>74</v>
      </c>
      <c r="K14" s="36" t="s">
        <v>74</v>
      </c>
      <c r="L14" s="36" t="s">
        <v>74</v>
      </c>
      <c r="M14" s="36">
        <v>38.0</v>
      </c>
      <c r="N14" s="36">
        <v>16.0</v>
      </c>
      <c r="O14" s="36">
        <v>12.0</v>
      </c>
      <c r="P14" s="36">
        <v>24.0</v>
      </c>
      <c r="Q14" s="36" t="s">
        <v>74</v>
      </c>
      <c r="R14" s="36" t="s">
        <v>74</v>
      </c>
      <c r="S14" s="36" t="s">
        <v>74</v>
      </c>
      <c r="T14" s="38">
        <f t="shared" si="1"/>
        <v>3</v>
      </c>
      <c r="U14" s="20"/>
      <c r="V14" s="39" t="str">
        <f>IFERROR(__xludf.DUMMYFUNCTION("TEXTJOIN("", "",TRUE,FILTER(D$1:N$1, D14:N14=""A""))"),"7, 8, 9")</f>
        <v>7, 8, 9</v>
      </c>
      <c r="W14" s="39">
        <f t="shared" si="2"/>
        <v>6</v>
      </c>
    </row>
    <row r="15">
      <c r="A15" s="33">
        <v>13.0</v>
      </c>
      <c r="B15" s="60" t="s">
        <v>204</v>
      </c>
      <c r="C15" s="46" t="s">
        <v>206</v>
      </c>
      <c r="D15" s="36">
        <v>21.0</v>
      </c>
      <c r="E15" s="36">
        <v>42.0</v>
      </c>
      <c r="F15" s="36" t="s">
        <v>74</v>
      </c>
      <c r="G15" s="36">
        <v>50.0</v>
      </c>
      <c r="H15" s="36">
        <v>58.0</v>
      </c>
      <c r="I15" s="36">
        <v>48.0</v>
      </c>
      <c r="J15" s="36">
        <v>50.0</v>
      </c>
      <c r="K15" s="36">
        <v>40.0</v>
      </c>
      <c r="L15" s="36">
        <v>48.0</v>
      </c>
      <c r="M15" s="36">
        <v>48.0</v>
      </c>
      <c r="N15" s="36">
        <v>46.0</v>
      </c>
      <c r="O15" s="36">
        <v>48.0</v>
      </c>
      <c r="P15" s="36" t="s">
        <v>74</v>
      </c>
      <c r="Q15" s="36">
        <v>46.0</v>
      </c>
      <c r="R15" s="36">
        <v>46.0</v>
      </c>
      <c r="S15" s="36" t="s">
        <v>74</v>
      </c>
      <c r="T15" s="38">
        <f t="shared" si="1"/>
        <v>1</v>
      </c>
      <c r="U15" s="20"/>
      <c r="V15" s="39" t="str">
        <f>IFERROR(__xludf.DUMMYFUNCTION("TEXTJOIN("", "",TRUE,FILTER(D$1:N$1, D15:N15=""A""))"),"3")</f>
        <v>3</v>
      </c>
      <c r="W15" s="39">
        <f t="shared" si="2"/>
        <v>3</v>
      </c>
    </row>
    <row r="16">
      <c r="A16" s="33">
        <v>14.0</v>
      </c>
      <c r="B16" s="51" t="s">
        <v>295</v>
      </c>
      <c r="C16" s="46" t="s">
        <v>296</v>
      </c>
      <c r="D16" s="36">
        <v>23.0</v>
      </c>
      <c r="E16" s="36">
        <v>46.0</v>
      </c>
      <c r="F16" s="36">
        <v>68.0</v>
      </c>
      <c r="G16" s="36">
        <v>46.0</v>
      </c>
      <c r="H16" s="36">
        <v>56.0</v>
      </c>
      <c r="I16" s="36">
        <v>44.0</v>
      </c>
      <c r="J16" s="36">
        <v>48.0</v>
      </c>
      <c r="K16" s="36">
        <v>37.0</v>
      </c>
      <c r="L16" s="36">
        <v>46.0</v>
      </c>
      <c r="M16" s="36">
        <v>44.0</v>
      </c>
      <c r="N16" s="36">
        <v>44.0</v>
      </c>
      <c r="O16" s="36">
        <v>44.0</v>
      </c>
      <c r="P16" s="36">
        <v>36.0</v>
      </c>
      <c r="Q16" s="36">
        <v>30.0</v>
      </c>
      <c r="R16" s="36">
        <v>40.0</v>
      </c>
      <c r="S16" s="36">
        <v>46.0</v>
      </c>
      <c r="T16" s="38">
        <f t="shared" si="1"/>
        <v>0</v>
      </c>
      <c r="U16" s="20"/>
      <c r="V16" s="39" t="str">
        <f>IFERROR(__xludf.DUMMYFUNCTION("TEXTJOIN("", "",TRUE,FILTER(D$1:N$1, D16:N16=""A""))"),"#N/A")</f>
        <v>#N/A</v>
      </c>
      <c r="W16" s="39">
        <f t="shared" si="2"/>
        <v>0</v>
      </c>
    </row>
    <row r="17">
      <c r="A17" s="33">
        <v>15.0</v>
      </c>
      <c r="B17" s="51" t="s">
        <v>306</v>
      </c>
      <c r="C17" s="46" t="s">
        <v>307</v>
      </c>
      <c r="D17" s="36">
        <v>21.0</v>
      </c>
      <c r="E17" s="36">
        <v>36.0</v>
      </c>
      <c r="F17" s="36">
        <v>50.0</v>
      </c>
      <c r="G17" s="36">
        <v>40.0</v>
      </c>
      <c r="H17" s="36">
        <v>36.0</v>
      </c>
      <c r="I17" s="36">
        <v>40.0</v>
      </c>
      <c r="J17" s="36">
        <v>44.0</v>
      </c>
      <c r="K17" s="36">
        <v>41.0</v>
      </c>
      <c r="L17" s="18">
        <v>42.0</v>
      </c>
      <c r="M17" s="36">
        <v>50.0</v>
      </c>
      <c r="N17" s="36">
        <v>50.0</v>
      </c>
      <c r="O17" s="36">
        <v>50.0</v>
      </c>
      <c r="P17" s="36" t="s">
        <v>74</v>
      </c>
      <c r="Q17" s="36" t="s">
        <v>74</v>
      </c>
      <c r="R17" s="36" t="s">
        <v>74</v>
      </c>
      <c r="S17" s="36" t="s">
        <v>74</v>
      </c>
      <c r="T17" s="38">
        <f t="shared" si="1"/>
        <v>0</v>
      </c>
      <c r="U17" s="20"/>
      <c r="V17" s="39" t="str">
        <f>IFERROR(__xludf.DUMMYFUNCTION("TEXTJOIN("", "",TRUE,FILTER(D$1:N$1, D17:N17=""A""))"),"#N/A")</f>
        <v>#N/A</v>
      </c>
      <c r="W17" s="39">
        <f t="shared" si="2"/>
        <v>4</v>
      </c>
    </row>
    <row r="18">
      <c r="A18" s="33">
        <v>16.0</v>
      </c>
      <c r="B18" s="51" t="s">
        <v>315</v>
      </c>
      <c r="C18" s="46" t="s">
        <v>317</v>
      </c>
      <c r="D18" s="36">
        <v>21.0</v>
      </c>
      <c r="E18" s="36">
        <v>40.0</v>
      </c>
      <c r="F18" s="36">
        <v>76.0</v>
      </c>
      <c r="G18" s="36">
        <v>48.0</v>
      </c>
      <c r="H18" s="36">
        <v>54.0</v>
      </c>
      <c r="I18" s="36">
        <v>50.0</v>
      </c>
      <c r="J18" s="36">
        <v>48.0</v>
      </c>
      <c r="K18" s="36">
        <v>45.0</v>
      </c>
      <c r="L18" s="36">
        <v>50.0</v>
      </c>
      <c r="M18" s="36">
        <v>50.0</v>
      </c>
      <c r="N18" s="36">
        <v>50.0</v>
      </c>
      <c r="O18" s="36" t="s">
        <v>74</v>
      </c>
      <c r="P18" s="36" t="s">
        <v>74</v>
      </c>
      <c r="Q18" s="36" t="s">
        <v>74</v>
      </c>
      <c r="R18" s="36" t="s">
        <v>74</v>
      </c>
      <c r="S18" s="36" t="s">
        <v>74</v>
      </c>
      <c r="T18" s="38">
        <f t="shared" si="1"/>
        <v>0</v>
      </c>
      <c r="U18" s="20"/>
      <c r="V18" s="39" t="str">
        <f>IFERROR(__xludf.DUMMYFUNCTION("TEXTJOIN("", "",TRUE,FILTER(D$1:N$1, D18:N18=""A""))"),"#N/A")</f>
        <v>#N/A</v>
      </c>
      <c r="W18" s="39">
        <f t="shared" si="2"/>
        <v>5</v>
      </c>
    </row>
    <row r="19">
      <c r="A19" s="33">
        <v>17.0</v>
      </c>
      <c r="B19" s="51" t="s">
        <v>323</v>
      </c>
      <c r="C19" s="46" t="s">
        <v>324</v>
      </c>
      <c r="D19" s="36" t="s">
        <v>74</v>
      </c>
      <c r="E19" s="36" t="s">
        <v>74</v>
      </c>
      <c r="F19" s="36" t="s">
        <v>74</v>
      </c>
      <c r="G19" s="36" t="s">
        <v>74</v>
      </c>
      <c r="H19" s="36">
        <v>36.0</v>
      </c>
      <c r="I19" s="36">
        <v>42.0</v>
      </c>
      <c r="J19" s="36" t="s">
        <v>74</v>
      </c>
      <c r="K19" s="36" t="s">
        <v>74</v>
      </c>
      <c r="L19" s="36" t="s">
        <v>74</v>
      </c>
      <c r="M19" s="36">
        <v>38.0</v>
      </c>
      <c r="N19" s="36" t="s">
        <v>74</v>
      </c>
      <c r="O19" s="36">
        <v>42.0</v>
      </c>
      <c r="P19" s="36" t="s">
        <v>74</v>
      </c>
      <c r="Q19" s="36" t="s">
        <v>74</v>
      </c>
      <c r="R19" s="36" t="s">
        <v>74</v>
      </c>
      <c r="S19" s="36" t="s">
        <v>74</v>
      </c>
      <c r="T19" s="38">
        <f t="shared" si="1"/>
        <v>8</v>
      </c>
      <c r="U19" s="20"/>
      <c r="V19" s="39" t="str">
        <f>IFERROR(__xludf.DUMMYFUNCTION("TEXTJOIN("", "",TRUE,FILTER(D$1:N$1, D19:N19=""A""))"),"1, 2, 3, 4, 7, 8, 9")</f>
        <v>1, 2, 3, 4, 7, 8, 9</v>
      </c>
      <c r="W19" s="39">
        <f t="shared" si="2"/>
        <v>12</v>
      </c>
    </row>
    <row r="20">
      <c r="A20" s="33">
        <v>18.0</v>
      </c>
      <c r="B20" s="51" t="s">
        <v>334</v>
      </c>
      <c r="C20" s="46" t="s">
        <v>335</v>
      </c>
      <c r="D20" s="36" t="s">
        <v>74</v>
      </c>
      <c r="E20" s="36">
        <v>46.0</v>
      </c>
      <c r="F20" s="36">
        <v>32.0</v>
      </c>
      <c r="G20" s="36" t="s">
        <v>74</v>
      </c>
      <c r="H20" s="36">
        <v>44.0</v>
      </c>
      <c r="I20" s="36" t="s">
        <v>74</v>
      </c>
      <c r="J20" s="36" t="s">
        <v>74</v>
      </c>
      <c r="K20" s="36" t="s">
        <v>74</v>
      </c>
      <c r="L20" s="36">
        <v>46.0</v>
      </c>
      <c r="M20" s="36">
        <v>38.0</v>
      </c>
      <c r="N20" s="36">
        <v>48.0</v>
      </c>
      <c r="O20" s="36">
        <v>40.0</v>
      </c>
      <c r="P20" s="36">
        <v>32.0</v>
      </c>
      <c r="Q20" s="36" t="s">
        <v>74</v>
      </c>
      <c r="R20" s="36" t="s">
        <v>74</v>
      </c>
      <c r="S20" s="36" t="s">
        <v>74</v>
      </c>
      <c r="T20" s="38">
        <f t="shared" si="1"/>
        <v>5</v>
      </c>
      <c r="U20" s="20"/>
      <c r="V20" s="39" t="str">
        <f>IFERROR(__xludf.DUMMYFUNCTION("TEXTJOIN("", "",TRUE,FILTER(D$1:N$1, D20:N20=""A""))"),"1, 4, 6, 7, 8")</f>
        <v>1, 4, 6, 7, 8</v>
      </c>
      <c r="W20" s="39">
        <f t="shared" si="2"/>
        <v>8</v>
      </c>
    </row>
    <row r="21">
      <c r="A21" s="33">
        <v>19.0</v>
      </c>
      <c r="B21" s="51" t="s">
        <v>343</v>
      </c>
      <c r="C21" s="46" t="s">
        <v>344</v>
      </c>
      <c r="D21" s="36">
        <v>21.0</v>
      </c>
      <c r="E21" s="36">
        <v>28.0</v>
      </c>
      <c r="F21" s="36">
        <v>52.0</v>
      </c>
      <c r="G21" s="36">
        <v>40.0</v>
      </c>
      <c r="H21" s="36">
        <v>52.0</v>
      </c>
      <c r="I21" s="36">
        <v>44.0</v>
      </c>
      <c r="J21" s="36">
        <v>44.0</v>
      </c>
      <c r="K21" s="36" t="s">
        <v>74</v>
      </c>
      <c r="L21" s="36">
        <v>40.0</v>
      </c>
      <c r="M21" s="36">
        <v>40.0</v>
      </c>
      <c r="N21" s="36">
        <v>38.0</v>
      </c>
      <c r="O21" s="36">
        <v>40.0</v>
      </c>
      <c r="P21" s="36">
        <v>32.0</v>
      </c>
      <c r="Q21" s="36">
        <v>38.0</v>
      </c>
      <c r="R21" s="36">
        <v>36.0</v>
      </c>
      <c r="S21" s="36">
        <v>42.0</v>
      </c>
      <c r="T21" s="38">
        <f t="shared" si="1"/>
        <v>1</v>
      </c>
      <c r="U21" s="20"/>
      <c r="V21" s="39" t="str">
        <f>IFERROR(__xludf.DUMMYFUNCTION("TEXTJOIN("", "",TRUE,FILTER(D$1:N$1, D21:N21=""A""))"),"8")</f>
        <v>8</v>
      </c>
      <c r="W21" s="39">
        <f t="shared" si="2"/>
        <v>1</v>
      </c>
    </row>
    <row r="22">
      <c r="A22" s="33">
        <v>20.0</v>
      </c>
      <c r="B22" s="51" t="s">
        <v>353</v>
      </c>
      <c r="C22" s="46" t="s">
        <v>354</v>
      </c>
      <c r="D22" s="36">
        <v>20.0</v>
      </c>
      <c r="E22" s="36">
        <v>36.0</v>
      </c>
      <c r="F22" s="36">
        <v>70.0</v>
      </c>
      <c r="G22" s="36">
        <v>50.0</v>
      </c>
      <c r="H22" s="36">
        <v>52.0</v>
      </c>
      <c r="I22" s="36">
        <v>40.0</v>
      </c>
      <c r="J22" s="36" t="s">
        <v>74</v>
      </c>
      <c r="K22" s="36" t="s">
        <v>74</v>
      </c>
      <c r="L22" s="36">
        <v>46.0</v>
      </c>
      <c r="M22" s="36">
        <v>40.0</v>
      </c>
      <c r="N22" s="36">
        <v>50.0</v>
      </c>
      <c r="O22" s="36" t="s">
        <v>74</v>
      </c>
      <c r="P22" s="36" t="s">
        <v>74</v>
      </c>
      <c r="Q22" s="36" t="s">
        <v>74</v>
      </c>
      <c r="R22" s="36" t="s">
        <v>74</v>
      </c>
      <c r="S22" s="36" t="s">
        <v>74</v>
      </c>
      <c r="T22" s="38">
        <f t="shared" si="1"/>
        <v>2</v>
      </c>
      <c r="U22" s="20"/>
      <c r="V22" s="39" t="str">
        <f>IFERROR(__xludf.DUMMYFUNCTION("TEXTJOIN("", "",TRUE,FILTER(D$1:N$1, D22:N22=""A""))"),"7, 8")</f>
        <v>7, 8</v>
      </c>
      <c r="W22" s="39">
        <f t="shared" si="2"/>
        <v>7</v>
      </c>
    </row>
    <row r="23">
      <c r="A23" s="33">
        <v>21.0</v>
      </c>
      <c r="B23" s="51" t="s">
        <v>267</v>
      </c>
      <c r="C23" s="46" t="s">
        <v>270</v>
      </c>
      <c r="D23" s="36">
        <v>23.0</v>
      </c>
      <c r="E23" s="36" t="s">
        <v>74</v>
      </c>
      <c r="F23" s="36">
        <v>54.0</v>
      </c>
      <c r="G23" s="36">
        <v>58.0</v>
      </c>
      <c r="H23" s="36" t="s">
        <v>74</v>
      </c>
      <c r="I23" s="36" t="s">
        <v>74</v>
      </c>
      <c r="J23" s="36" t="s">
        <v>74</v>
      </c>
      <c r="K23" s="36" t="s">
        <v>74</v>
      </c>
      <c r="L23" s="36">
        <v>48.0</v>
      </c>
      <c r="M23" s="36" t="s">
        <v>74</v>
      </c>
      <c r="N23" s="36">
        <v>48.0</v>
      </c>
      <c r="O23" s="36" t="s">
        <v>74</v>
      </c>
      <c r="P23" s="36" t="s">
        <v>74</v>
      </c>
      <c r="Q23" s="36" t="s">
        <v>74</v>
      </c>
      <c r="R23" s="36" t="s">
        <v>74</v>
      </c>
      <c r="S23" s="36" t="s">
        <v>74</v>
      </c>
      <c r="T23" s="38">
        <f t="shared" si="1"/>
        <v>6</v>
      </c>
      <c r="U23" s="20"/>
      <c r="V23" s="39" t="str">
        <f>IFERROR(__xludf.DUMMYFUNCTION("TEXTJOIN("", "",TRUE,FILTER(D$1:N$1, D23:N23=""A""))"),"2, 5, 6, 7, 8")</f>
        <v>2, 5, 6, 7, 8</v>
      </c>
      <c r="W23" s="39">
        <f t="shared" si="2"/>
        <v>11</v>
      </c>
    </row>
    <row r="24">
      <c r="A24" s="33">
        <v>22.0</v>
      </c>
      <c r="B24" s="51" t="s">
        <v>372</v>
      </c>
      <c r="C24" s="46" t="s">
        <v>374</v>
      </c>
      <c r="D24" s="36">
        <v>18.0</v>
      </c>
      <c r="E24" s="36">
        <v>38.0</v>
      </c>
      <c r="F24" s="36">
        <v>22.0</v>
      </c>
      <c r="G24" s="36">
        <v>40.0</v>
      </c>
      <c r="H24" s="36">
        <v>46.0</v>
      </c>
      <c r="I24" s="36">
        <v>36.0</v>
      </c>
      <c r="J24" s="36">
        <v>36.0</v>
      </c>
      <c r="K24" s="36">
        <v>28.0</v>
      </c>
      <c r="L24" s="36">
        <v>48.0</v>
      </c>
      <c r="M24" s="36" t="s">
        <v>74</v>
      </c>
      <c r="N24" s="36">
        <v>44.0</v>
      </c>
      <c r="O24" s="36">
        <v>48.0</v>
      </c>
      <c r="P24" s="36" t="s">
        <v>74</v>
      </c>
      <c r="Q24" s="36">
        <v>36.0</v>
      </c>
      <c r="R24" s="36" t="s">
        <v>74</v>
      </c>
      <c r="S24" s="36">
        <v>38.0</v>
      </c>
      <c r="T24" s="38">
        <f t="shared" si="1"/>
        <v>1</v>
      </c>
      <c r="U24" s="20"/>
      <c r="V24" s="39" t="str">
        <f>IFERROR(__xludf.DUMMYFUNCTION("TEXTJOIN("", "",TRUE,FILTER(D$1:N$1, D24:N24=""A""))"),"")</f>
        <v/>
      </c>
      <c r="W24" s="39">
        <f t="shared" si="2"/>
        <v>3</v>
      </c>
    </row>
    <row r="25">
      <c r="A25" s="33">
        <v>23.0</v>
      </c>
      <c r="B25" s="51" t="s">
        <v>383</v>
      </c>
      <c r="C25" s="46" t="s">
        <v>385</v>
      </c>
      <c r="D25" s="36" t="s">
        <v>74</v>
      </c>
      <c r="E25" s="36" t="s">
        <v>74</v>
      </c>
      <c r="F25" s="36" t="s">
        <v>74</v>
      </c>
      <c r="G25" s="36" t="s">
        <v>74</v>
      </c>
      <c r="H25" s="36" t="s">
        <v>74</v>
      </c>
      <c r="I25" s="36">
        <v>16.0</v>
      </c>
      <c r="J25" s="36" t="s">
        <v>74</v>
      </c>
      <c r="K25" s="36" t="s">
        <v>74</v>
      </c>
      <c r="L25" s="36" t="s">
        <v>74</v>
      </c>
      <c r="M25" s="36">
        <v>48.0</v>
      </c>
      <c r="N25" s="36">
        <v>40.0</v>
      </c>
      <c r="O25" s="36" t="s">
        <v>74</v>
      </c>
      <c r="P25" s="36" t="s">
        <v>74</v>
      </c>
      <c r="Q25" s="36" t="s">
        <v>74</v>
      </c>
      <c r="R25" s="36" t="s">
        <v>74</v>
      </c>
      <c r="S25" s="36" t="s">
        <v>74</v>
      </c>
      <c r="T25" s="38">
        <f t="shared" si="1"/>
        <v>8</v>
      </c>
      <c r="U25" s="20"/>
      <c r="V25" s="39" t="str">
        <f>IFERROR(__xludf.DUMMYFUNCTION("TEXTJOIN("", "",TRUE,FILTER(D$1:N$1, D25:N25=""A""))"),"1, 2, 3, 4, 5, 7, 8, 9")</f>
        <v>1, 2, 3, 4, 5, 7, 8, 9</v>
      </c>
      <c r="W25" s="39">
        <f t="shared" si="2"/>
        <v>13</v>
      </c>
    </row>
    <row r="26">
      <c r="A26" s="33">
        <v>24.0</v>
      </c>
      <c r="B26" s="34" t="s">
        <v>405</v>
      </c>
      <c r="C26" s="46" t="s">
        <v>406</v>
      </c>
      <c r="D26" s="36" t="s">
        <v>74</v>
      </c>
      <c r="E26" s="36" t="s">
        <v>74</v>
      </c>
      <c r="F26" s="36">
        <v>58.0</v>
      </c>
      <c r="G26" s="36">
        <v>40.0</v>
      </c>
      <c r="H26" s="36" t="s">
        <v>74</v>
      </c>
      <c r="I26" s="36">
        <v>36.0</v>
      </c>
      <c r="J26" s="36">
        <v>42.0</v>
      </c>
      <c r="K26" s="36">
        <v>31.0</v>
      </c>
      <c r="L26" s="36" t="s">
        <v>74</v>
      </c>
      <c r="M26" s="36">
        <v>46.0</v>
      </c>
      <c r="N26" s="36">
        <v>44.0</v>
      </c>
      <c r="O26" s="36">
        <v>42.0</v>
      </c>
      <c r="P26" s="36">
        <v>42.0</v>
      </c>
      <c r="Q26" s="36">
        <v>44.0</v>
      </c>
      <c r="R26" s="36">
        <v>44.0</v>
      </c>
      <c r="S26" s="36">
        <v>46.0</v>
      </c>
      <c r="T26" s="38">
        <f t="shared" si="1"/>
        <v>4</v>
      </c>
      <c r="U26" s="20"/>
      <c r="V26" s="39" t="str">
        <f>IFERROR(__xludf.DUMMYFUNCTION("TEXTJOIN("", "",TRUE,FILTER(D$1:N$1, D26:N26=""A""))"),"1, 2, 5, 9")</f>
        <v>1, 2, 5, 9</v>
      </c>
      <c r="W26" s="39">
        <f t="shared" si="2"/>
        <v>4</v>
      </c>
    </row>
    <row r="27">
      <c r="A27" s="33">
        <v>25.0</v>
      </c>
      <c r="B27" s="34" t="s">
        <v>418</v>
      </c>
      <c r="C27" s="46" t="s">
        <v>419</v>
      </c>
      <c r="D27" s="36" t="s">
        <v>74</v>
      </c>
      <c r="E27" s="36">
        <v>40.0</v>
      </c>
      <c r="F27" s="36">
        <v>72.0</v>
      </c>
      <c r="G27" s="36">
        <v>40.0</v>
      </c>
      <c r="H27" s="36">
        <v>48.0</v>
      </c>
      <c r="I27" s="36">
        <v>48.0</v>
      </c>
      <c r="J27" s="36" t="s">
        <v>74</v>
      </c>
      <c r="K27" s="36" t="s">
        <v>74</v>
      </c>
      <c r="L27" s="36">
        <v>48.0</v>
      </c>
      <c r="M27" s="36">
        <v>48.0</v>
      </c>
      <c r="N27" s="36">
        <v>42.0</v>
      </c>
      <c r="O27" s="36">
        <v>48.0</v>
      </c>
      <c r="P27" s="36" t="s">
        <v>74</v>
      </c>
      <c r="Q27" s="36" t="s">
        <v>74</v>
      </c>
      <c r="R27" s="36">
        <v>44.0</v>
      </c>
      <c r="S27" s="36" t="s">
        <v>74</v>
      </c>
      <c r="T27" s="38">
        <f t="shared" si="1"/>
        <v>3</v>
      </c>
      <c r="U27" s="20"/>
      <c r="V27" s="39" t="str">
        <f>IFERROR(__xludf.DUMMYFUNCTION("TEXTJOIN("", "",TRUE,FILTER(D$1:N$1, D27:N27=""A""))"),"1, 7, 8")</f>
        <v>1, 7, 8</v>
      </c>
      <c r="W27" s="39">
        <f t="shared" si="2"/>
        <v>6</v>
      </c>
    </row>
    <row r="28">
      <c r="A28" s="33">
        <v>26.0</v>
      </c>
      <c r="B28" s="34" t="s">
        <v>429</v>
      </c>
      <c r="C28" s="46" t="s">
        <v>430</v>
      </c>
      <c r="D28" s="36">
        <v>22.0</v>
      </c>
      <c r="E28" s="36">
        <v>38.0</v>
      </c>
      <c r="F28" s="36">
        <v>76.0</v>
      </c>
      <c r="G28" s="36">
        <v>50.0</v>
      </c>
      <c r="H28" s="36">
        <v>54.0</v>
      </c>
      <c r="I28" s="36">
        <v>50.0</v>
      </c>
      <c r="J28" s="36">
        <v>48.0</v>
      </c>
      <c r="K28" s="36">
        <v>40.0</v>
      </c>
      <c r="L28" s="36">
        <v>46.0</v>
      </c>
      <c r="M28" s="36">
        <v>48.0</v>
      </c>
      <c r="N28" s="36">
        <v>50.0</v>
      </c>
      <c r="O28" s="36">
        <v>48.0</v>
      </c>
      <c r="P28" s="36">
        <v>46.0</v>
      </c>
      <c r="Q28" s="36" t="s">
        <v>74</v>
      </c>
      <c r="R28" s="36">
        <v>46.0</v>
      </c>
      <c r="S28" s="36" t="s">
        <v>74</v>
      </c>
      <c r="T28" s="38">
        <f t="shared" si="1"/>
        <v>0</v>
      </c>
      <c r="U28" s="20"/>
      <c r="V28" s="39" t="str">
        <f>IFERROR(__xludf.DUMMYFUNCTION("TEXTJOIN("", "",TRUE,FILTER(D$1:N$1, D28:N28=""A""))"),"#N/A")</f>
        <v>#N/A</v>
      </c>
      <c r="W28" s="39">
        <f t="shared" si="2"/>
        <v>2</v>
      </c>
    </row>
    <row r="29">
      <c r="A29" s="33">
        <v>27.0</v>
      </c>
      <c r="B29" s="34" t="s">
        <v>441</v>
      </c>
      <c r="C29" s="46" t="s">
        <v>442</v>
      </c>
      <c r="D29" s="36" t="s">
        <v>74</v>
      </c>
      <c r="E29" s="36">
        <v>46.0</v>
      </c>
      <c r="F29" s="36">
        <v>76.0</v>
      </c>
      <c r="G29" s="36">
        <v>56.0</v>
      </c>
      <c r="H29" s="36">
        <v>56.0</v>
      </c>
      <c r="I29" s="36">
        <v>48.0</v>
      </c>
      <c r="J29" s="36">
        <v>46.0</v>
      </c>
      <c r="K29" s="36">
        <v>39.0</v>
      </c>
      <c r="L29" s="36">
        <v>50.0</v>
      </c>
      <c r="M29" s="36">
        <v>50.0</v>
      </c>
      <c r="N29" s="36">
        <v>48.0</v>
      </c>
      <c r="O29" s="36">
        <v>46.0</v>
      </c>
      <c r="P29" s="36">
        <v>44.0</v>
      </c>
      <c r="Q29" s="36">
        <v>48.0</v>
      </c>
      <c r="R29" s="36" t="s">
        <v>74</v>
      </c>
      <c r="S29" s="36" t="s">
        <v>74</v>
      </c>
      <c r="T29" s="38">
        <f t="shared" si="1"/>
        <v>1</v>
      </c>
      <c r="U29" s="20"/>
      <c r="V29" s="39" t="str">
        <f>IFERROR(__xludf.DUMMYFUNCTION("TEXTJOIN("", "",TRUE,FILTER(D$1:N$1, D29:N29=""A""))"),"1")</f>
        <v>1</v>
      </c>
      <c r="W29" s="39">
        <f t="shared" si="2"/>
        <v>3</v>
      </c>
    </row>
    <row r="30">
      <c r="A30" s="33">
        <v>28.0</v>
      </c>
      <c r="B30" s="34" t="s">
        <v>454</v>
      </c>
      <c r="C30" s="46" t="s">
        <v>456</v>
      </c>
      <c r="D30" s="36" t="s">
        <v>74</v>
      </c>
      <c r="E30" s="36">
        <v>30.0</v>
      </c>
      <c r="F30" s="36">
        <v>40.0</v>
      </c>
      <c r="G30" s="36">
        <v>30.0</v>
      </c>
      <c r="H30" s="36">
        <v>44.0</v>
      </c>
      <c r="I30" s="36">
        <v>46.0</v>
      </c>
      <c r="J30" s="36">
        <v>36.0</v>
      </c>
      <c r="K30" s="36">
        <v>29.0</v>
      </c>
      <c r="L30" s="36">
        <v>38.0</v>
      </c>
      <c r="M30" s="36">
        <v>38.0</v>
      </c>
      <c r="N30" s="36">
        <v>32.0</v>
      </c>
      <c r="O30" s="36" t="s">
        <v>74</v>
      </c>
      <c r="P30" s="36">
        <v>44.0</v>
      </c>
      <c r="Q30" s="36">
        <v>46.0</v>
      </c>
      <c r="R30" s="36" t="s">
        <v>74</v>
      </c>
      <c r="S30" s="36" t="s">
        <v>74</v>
      </c>
      <c r="T30" s="38">
        <f t="shared" si="1"/>
        <v>1</v>
      </c>
      <c r="U30" s="20"/>
      <c r="V30" s="39" t="str">
        <f>IFERROR(__xludf.DUMMYFUNCTION("TEXTJOIN("", "",TRUE,FILTER(D$1:N$1, D30:N30=""A""))"),"1")</f>
        <v>1</v>
      </c>
      <c r="W30" s="39">
        <f t="shared" si="2"/>
        <v>4</v>
      </c>
    </row>
    <row r="31">
      <c r="A31" s="33">
        <v>29.0</v>
      </c>
      <c r="B31" s="34" t="s">
        <v>466</v>
      </c>
      <c r="C31" s="46" t="s">
        <v>468</v>
      </c>
      <c r="D31" s="36" t="s">
        <v>74</v>
      </c>
      <c r="E31" s="36">
        <v>28.0</v>
      </c>
      <c r="F31" s="36">
        <v>74.0</v>
      </c>
      <c r="G31" s="36" t="s">
        <v>74</v>
      </c>
      <c r="H31" s="36" t="s">
        <v>74</v>
      </c>
      <c r="I31" s="36">
        <v>50.0</v>
      </c>
      <c r="J31" s="36">
        <v>44.0</v>
      </c>
      <c r="K31" s="36">
        <v>36.0</v>
      </c>
      <c r="L31" s="36">
        <v>44.0</v>
      </c>
      <c r="M31" s="36" t="s">
        <v>74</v>
      </c>
      <c r="N31" s="36" t="s">
        <v>74</v>
      </c>
      <c r="O31" s="36" t="s">
        <v>74</v>
      </c>
      <c r="P31" s="36">
        <v>44.0</v>
      </c>
      <c r="Q31" s="36">
        <v>48.0</v>
      </c>
      <c r="R31" s="36" t="s">
        <v>74</v>
      </c>
      <c r="S31" s="36" t="s">
        <v>74</v>
      </c>
      <c r="T31" s="38">
        <f t="shared" si="1"/>
        <v>5</v>
      </c>
      <c r="U31" s="20"/>
      <c r="V31" s="39" t="str">
        <f>IFERROR(__xludf.DUMMYFUNCTION("TEXTJOIN("", "",TRUE,FILTER(D$1:N$1, D31:N31=""A""))"),"1, 4, 5")</f>
        <v>1, 4, 5</v>
      </c>
      <c r="W31" s="39">
        <f t="shared" si="2"/>
        <v>8</v>
      </c>
    </row>
    <row r="32">
      <c r="A32" s="33">
        <v>30.0</v>
      </c>
      <c r="B32" s="34" t="s">
        <v>480</v>
      </c>
      <c r="C32" s="46" t="s">
        <v>482</v>
      </c>
      <c r="D32" s="36" t="s">
        <v>74</v>
      </c>
      <c r="E32" s="36">
        <v>32.0</v>
      </c>
      <c r="F32" s="36">
        <v>56.0</v>
      </c>
      <c r="G32" s="36">
        <v>48.0</v>
      </c>
      <c r="H32" s="36">
        <v>40.0</v>
      </c>
      <c r="I32" s="36" t="s">
        <v>74</v>
      </c>
      <c r="J32" s="36">
        <v>40.0</v>
      </c>
      <c r="K32" s="36">
        <v>41.0</v>
      </c>
      <c r="L32" s="36">
        <v>38.0</v>
      </c>
      <c r="M32" s="36">
        <v>42.0</v>
      </c>
      <c r="N32" s="36">
        <v>40.0</v>
      </c>
      <c r="O32" s="36">
        <v>40.0</v>
      </c>
      <c r="P32" s="36">
        <v>42.0</v>
      </c>
      <c r="Q32" s="36" t="s">
        <v>74</v>
      </c>
      <c r="R32" s="36" t="s">
        <v>74</v>
      </c>
      <c r="S32" s="36" t="s">
        <v>74</v>
      </c>
      <c r="T32" s="38">
        <f t="shared" si="1"/>
        <v>2</v>
      </c>
      <c r="U32" s="20"/>
      <c r="V32" s="39" t="str">
        <f>IFERROR(__xludf.DUMMYFUNCTION("TEXTJOIN("", "",TRUE,FILTER(D$1:N$1, D32:N32=""A""))"),"1, 6")</f>
        <v>1, 6</v>
      </c>
      <c r="W32" s="39">
        <f t="shared" si="2"/>
        <v>5</v>
      </c>
    </row>
    <row r="33">
      <c r="A33" s="33">
        <v>31.0</v>
      </c>
      <c r="B33" s="34" t="s">
        <v>495</v>
      </c>
      <c r="C33" s="66" t="s">
        <v>496</v>
      </c>
      <c r="D33" s="36">
        <v>24.0</v>
      </c>
      <c r="E33" s="36" t="s">
        <v>74</v>
      </c>
      <c r="F33" s="36">
        <v>46.0</v>
      </c>
      <c r="G33" s="36" t="s">
        <v>74</v>
      </c>
      <c r="H33" s="36">
        <v>32.0</v>
      </c>
      <c r="I33" s="36">
        <v>48.0</v>
      </c>
      <c r="J33" s="36" t="s">
        <v>74</v>
      </c>
      <c r="K33" s="36" t="s">
        <v>74</v>
      </c>
      <c r="L33" s="36">
        <v>48.0</v>
      </c>
      <c r="M33" s="36" t="s">
        <v>74</v>
      </c>
      <c r="N33" s="36">
        <v>48.0</v>
      </c>
      <c r="O33" s="36" t="s">
        <v>74</v>
      </c>
      <c r="P33" s="36" t="s">
        <v>74</v>
      </c>
      <c r="Q33" s="36" t="s">
        <v>74</v>
      </c>
      <c r="R33" s="36" t="s">
        <v>74</v>
      </c>
      <c r="S33" s="36" t="s">
        <v>74</v>
      </c>
      <c r="T33" s="38">
        <f t="shared" si="1"/>
        <v>5</v>
      </c>
      <c r="U33" s="20"/>
      <c r="V33" s="39" t="str">
        <f>IFERROR(__xludf.DUMMYFUNCTION("TEXTJOIN("", "",TRUE,FILTER(D$1:N$1, D33:N33=""A""))"),"2, 4, 7, 8")</f>
        <v>2, 4, 7, 8</v>
      </c>
      <c r="W33" s="39">
        <f t="shared" si="2"/>
        <v>10</v>
      </c>
    </row>
    <row r="34">
      <c r="A34" s="33">
        <v>32.0</v>
      </c>
      <c r="B34" s="34" t="s">
        <v>513</v>
      </c>
      <c r="C34" s="46" t="s">
        <v>514</v>
      </c>
      <c r="D34" s="36" t="s">
        <v>74</v>
      </c>
      <c r="E34" s="36">
        <v>38.0</v>
      </c>
      <c r="F34" s="36" t="s">
        <v>74</v>
      </c>
      <c r="G34" s="36" t="s">
        <v>74</v>
      </c>
      <c r="H34" s="36">
        <v>54.0</v>
      </c>
      <c r="I34" s="36">
        <v>48.0</v>
      </c>
      <c r="J34" s="36">
        <v>48.0</v>
      </c>
      <c r="K34" s="36" t="s">
        <v>74</v>
      </c>
      <c r="L34" s="36" t="s">
        <v>74</v>
      </c>
      <c r="M34" s="36">
        <v>50.0</v>
      </c>
      <c r="N34" s="36" t="s">
        <v>74</v>
      </c>
      <c r="O34" s="36" t="s">
        <v>74</v>
      </c>
      <c r="P34" s="36" t="s">
        <v>74</v>
      </c>
      <c r="Q34" s="36">
        <v>46.0</v>
      </c>
      <c r="R34" s="36" t="s">
        <v>74</v>
      </c>
      <c r="S34" s="36" t="s">
        <v>74</v>
      </c>
      <c r="T34" s="38">
        <f t="shared" si="1"/>
        <v>6</v>
      </c>
      <c r="U34" s="20"/>
      <c r="V34" s="39" t="str">
        <f>IFERROR(__xludf.DUMMYFUNCTION("TEXTJOIN("", "",TRUE,FILTER(D$1:N$1, D34:N34=""A""))"),"1, 3, 4, 8, 9")</f>
        <v>1, 3, 4, 8, 9</v>
      </c>
      <c r="W34" s="39">
        <f t="shared" si="2"/>
        <v>10</v>
      </c>
    </row>
    <row r="35">
      <c r="A35" s="33">
        <v>33.0</v>
      </c>
      <c r="B35" s="34" t="s">
        <v>331</v>
      </c>
      <c r="C35" s="46" t="s">
        <v>332</v>
      </c>
      <c r="D35" s="36" t="s">
        <v>74</v>
      </c>
      <c r="E35" s="36" t="s">
        <v>74</v>
      </c>
      <c r="F35" s="36" t="s">
        <v>74</v>
      </c>
      <c r="G35" s="36">
        <v>40.0</v>
      </c>
      <c r="H35" s="36" t="s">
        <v>74</v>
      </c>
      <c r="I35" s="36" t="s">
        <v>74</v>
      </c>
      <c r="J35" s="36" t="s">
        <v>74</v>
      </c>
      <c r="K35" s="36" t="s">
        <v>74</v>
      </c>
      <c r="L35" s="36" t="s">
        <v>74</v>
      </c>
      <c r="M35" s="36" t="s">
        <v>74</v>
      </c>
      <c r="N35" s="36" t="s">
        <v>74</v>
      </c>
      <c r="O35" s="36" t="s">
        <v>74</v>
      </c>
      <c r="P35" s="36" t="s">
        <v>74</v>
      </c>
      <c r="Q35" s="36" t="s">
        <v>74</v>
      </c>
      <c r="R35" s="36" t="s">
        <v>74</v>
      </c>
      <c r="S35" s="36" t="s">
        <v>74</v>
      </c>
      <c r="T35" s="38">
        <f t="shared" si="1"/>
        <v>10</v>
      </c>
      <c r="U35" s="20"/>
      <c r="V35" s="39" t="str">
        <f>IFERROR(__xludf.DUMMYFUNCTION("TEXTJOIN("", "",TRUE,FILTER(D$1:N$1, D35:N35=""A""))"),"1, 2, 3, 5, 6, 7, 8, 9")</f>
        <v>1, 2, 3, 5, 6, 7, 8, 9</v>
      </c>
      <c r="W35" s="39">
        <f t="shared" si="2"/>
        <v>15</v>
      </c>
    </row>
    <row r="36">
      <c r="A36" s="33">
        <v>34.0</v>
      </c>
      <c r="B36" s="34" t="s">
        <v>536</v>
      </c>
      <c r="C36" s="46" t="s">
        <v>538</v>
      </c>
      <c r="D36" s="36">
        <v>21.0</v>
      </c>
      <c r="E36" s="36" t="s">
        <v>74</v>
      </c>
      <c r="F36" s="36">
        <v>46.0</v>
      </c>
      <c r="G36" s="36">
        <v>46.0</v>
      </c>
      <c r="H36" s="36">
        <v>30.0</v>
      </c>
      <c r="I36" s="36">
        <v>44.0</v>
      </c>
      <c r="J36" s="36">
        <v>44.0</v>
      </c>
      <c r="K36" s="36">
        <v>33.0</v>
      </c>
      <c r="L36" s="36">
        <v>44.0</v>
      </c>
      <c r="M36" s="36">
        <v>44.0</v>
      </c>
      <c r="N36" s="36">
        <v>40.0</v>
      </c>
      <c r="O36" s="36">
        <v>38.0</v>
      </c>
      <c r="P36" s="36">
        <v>44.0</v>
      </c>
      <c r="Q36" s="36" t="s">
        <v>74</v>
      </c>
      <c r="R36" s="36" t="s">
        <v>74</v>
      </c>
      <c r="S36" s="36" t="s">
        <v>74</v>
      </c>
      <c r="T36" s="38">
        <f t="shared" si="1"/>
        <v>1</v>
      </c>
      <c r="U36" s="20"/>
      <c r="V36" s="39" t="str">
        <f>IFERROR(__xludf.DUMMYFUNCTION("TEXTJOIN("", "",TRUE,FILTER(D$1:N$1, D36:N36=""A""))"),"2")</f>
        <v>2</v>
      </c>
      <c r="W36" s="39">
        <f t="shared" si="2"/>
        <v>4</v>
      </c>
    </row>
    <row r="37">
      <c r="A37" s="33">
        <v>35.0</v>
      </c>
      <c r="B37" s="34" t="s">
        <v>547</v>
      </c>
      <c r="C37" s="46" t="s">
        <v>548</v>
      </c>
      <c r="D37" s="36">
        <v>18.0</v>
      </c>
      <c r="E37" s="36">
        <v>38.0</v>
      </c>
      <c r="F37" s="36" t="s">
        <v>74</v>
      </c>
      <c r="G37" s="36">
        <v>50.0</v>
      </c>
      <c r="H37" s="36">
        <v>34.0</v>
      </c>
      <c r="I37" s="36">
        <v>50.0</v>
      </c>
      <c r="J37" s="36" t="s">
        <v>74</v>
      </c>
      <c r="K37" s="36" t="s">
        <v>74</v>
      </c>
      <c r="L37" s="36" t="s">
        <v>74</v>
      </c>
      <c r="M37" s="36">
        <v>50.0</v>
      </c>
      <c r="N37" s="36">
        <v>48.0</v>
      </c>
      <c r="O37" s="36" t="s">
        <v>74</v>
      </c>
      <c r="P37" s="36" t="s">
        <v>74</v>
      </c>
      <c r="Q37" s="36" t="s">
        <v>74</v>
      </c>
      <c r="R37" s="36" t="s">
        <v>74</v>
      </c>
      <c r="S37" s="36" t="s">
        <v>74</v>
      </c>
      <c r="T37" s="38">
        <f t="shared" si="1"/>
        <v>4</v>
      </c>
      <c r="U37" s="20"/>
      <c r="V37" s="39" t="str">
        <f>IFERROR(__xludf.DUMMYFUNCTION("TEXTJOIN("", "",TRUE,FILTER(D$1:N$1, D37:N37=""A""))"),"3, 7, 8, 9")</f>
        <v>3, 7, 8, 9</v>
      </c>
      <c r="W37" s="39">
        <f t="shared" si="2"/>
        <v>9</v>
      </c>
    </row>
    <row r="38">
      <c r="A38" s="33">
        <v>36.0</v>
      </c>
      <c r="B38" s="34" t="s">
        <v>560</v>
      </c>
      <c r="C38" s="46" t="s">
        <v>561</v>
      </c>
      <c r="D38" s="36">
        <v>19.0</v>
      </c>
      <c r="E38" s="36">
        <v>38.0</v>
      </c>
      <c r="F38" s="36">
        <v>64.0</v>
      </c>
      <c r="G38" s="36">
        <v>54.0</v>
      </c>
      <c r="H38" s="36">
        <v>56.0</v>
      </c>
      <c r="I38" s="36">
        <v>48.0</v>
      </c>
      <c r="J38" s="36">
        <v>46.0</v>
      </c>
      <c r="K38" s="36">
        <v>38.0</v>
      </c>
      <c r="L38" s="36">
        <v>46.0</v>
      </c>
      <c r="M38" s="36">
        <v>44.0</v>
      </c>
      <c r="N38" s="36">
        <v>44.0</v>
      </c>
      <c r="O38" s="36">
        <v>40.0</v>
      </c>
      <c r="P38" s="36">
        <v>36.0</v>
      </c>
      <c r="Q38" s="36">
        <v>44.0</v>
      </c>
      <c r="R38" s="36" t="s">
        <v>74</v>
      </c>
      <c r="S38" s="36" t="s">
        <v>74</v>
      </c>
      <c r="T38" s="38">
        <f t="shared" si="1"/>
        <v>0</v>
      </c>
      <c r="U38" s="20"/>
      <c r="V38" s="39" t="str">
        <f>IFERROR(__xludf.DUMMYFUNCTION("TEXTJOIN("", "",TRUE,FILTER(D$1:N$1, D38:N38=""A""))"),"#N/A")</f>
        <v>#N/A</v>
      </c>
      <c r="W38" s="39">
        <f t="shared" si="2"/>
        <v>2</v>
      </c>
    </row>
    <row r="39">
      <c r="A39" s="33">
        <v>37.0</v>
      </c>
      <c r="B39" s="34" t="s">
        <v>573</v>
      </c>
      <c r="C39" s="46" t="s">
        <v>575</v>
      </c>
      <c r="D39" s="36">
        <v>22.0</v>
      </c>
      <c r="E39" s="36">
        <v>42.0</v>
      </c>
      <c r="F39" s="36" t="s">
        <v>74</v>
      </c>
      <c r="G39" s="36">
        <v>48.0</v>
      </c>
      <c r="H39" s="36" t="s">
        <v>74</v>
      </c>
      <c r="I39" s="36">
        <v>46.0</v>
      </c>
      <c r="J39" s="36">
        <v>46.0</v>
      </c>
      <c r="K39" s="36">
        <v>38.0</v>
      </c>
      <c r="L39" s="36" t="s">
        <v>74</v>
      </c>
      <c r="M39" s="36">
        <v>46.0</v>
      </c>
      <c r="N39" s="36">
        <v>50.0</v>
      </c>
      <c r="O39" s="36">
        <v>42.0</v>
      </c>
      <c r="P39" s="36">
        <v>44.0</v>
      </c>
      <c r="Q39" s="36">
        <v>46.0</v>
      </c>
      <c r="R39" s="36">
        <v>48.0</v>
      </c>
      <c r="S39" s="36" t="s">
        <v>74</v>
      </c>
      <c r="T39" s="38">
        <f t="shared" si="1"/>
        <v>3</v>
      </c>
      <c r="U39" s="20"/>
      <c r="V39" s="39" t="str">
        <f>IFERROR(__xludf.DUMMYFUNCTION("TEXTJOIN("", "",TRUE,FILTER(D$1:N$1, D39:N39=""A""))"),"3, 5, 9")</f>
        <v>3, 5, 9</v>
      </c>
      <c r="W39" s="39">
        <f t="shared" si="2"/>
        <v>4</v>
      </c>
    </row>
    <row r="40">
      <c r="A40" s="33">
        <v>38.0</v>
      </c>
      <c r="B40" s="34" t="s">
        <v>584</v>
      </c>
      <c r="C40" s="46" t="s">
        <v>586</v>
      </c>
      <c r="D40" s="36">
        <v>22.0</v>
      </c>
      <c r="E40" s="36" t="s">
        <v>74</v>
      </c>
      <c r="F40" s="36" t="s">
        <v>74</v>
      </c>
      <c r="G40" s="36">
        <v>36.0</v>
      </c>
      <c r="H40" s="36" t="s">
        <v>74</v>
      </c>
      <c r="I40" s="36">
        <v>40.0</v>
      </c>
      <c r="J40" s="36" t="s">
        <v>74</v>
      </c>
      <c r="K40" s="36" t="s">
        <v>74</v>
      </c>
      <c r="L40" s="36" t="s">
        <v>74</v>
      </c>
      <c r="M40" s="36">
        <v>46.0</v>
      </c>
      <c r="N40" s="36">
        <v>48.0</v>
      </c>
      <c r="O40" s="36">
        <v>40.0</v>
      </c>
      <c r="P40" s="36" t="s">
        <v>74</v>
      </c>
      <c r="Q40" s="36" t="s">
        <v>74</v>
      </c>
      <c r="R40" s="36" t="s">
        <v>74</v>
      </c>
      <c r="S40" s="36" t="s">
        <v>74</v>
      </c>
      <c r="T40" s="38">
        <f t="shared" si="1"/>
        <v>6</v>
      </c>
      <c r="U40" s="20"/>
      <c r="V40" s="39" t="str">
        <f>IFERROR(__xludf.DUMMYFUNCTION("TEXTJOIN("", "",TRUE,FILTER(D$1:N$1, D40:N40=""A""))"),"2, 3, 5, 7, 8, 9")</f>
        <v>2, 3, 5, 7, 8, 9</v>
      </c>
      <c r="W40" s="39">
        <f t="shared" si="2"/>
        <v>10</v>
      </c>
    </row>
    <row r="41">
      <c r="A41" s="33">
        <v>39.0</v>
      </c>
      <c r="B41" s="34" t="s">
        <v>601</v>
      </c>
      <c r="C41" s="46" t="s">
        <v>603</v>
      </c>
      <c r="D41" s="36" t="s">
        <v>74</v>
      </c>
      <c r="E41" s="36">
        <v>46.0</v>
      </c>
      <c r="F41" s="36">
        <v>78.0</v>
      </c>
      <c r="G41" s="36">
        <v>38.0</v>
      </c>
      <c r="H41" s="36">
        <v>58.0</v>
      </c>
      <c r="I41" s="36">
        <v>50.0</v>
      </c>
      <c r="J41" s="36" t="s">
        <v>74</v>
      </c>
      <c r="K41" s="36"/>
      <c r="L41" s="36">
        <v>50.0</v>
      </c>
      <c r="M41" s="36">
        <v>48.0</v>
      </c>
      <c r="N41" s="36">
        <v>48.0</v>
      </c>
      <c r="O41" s="36">
        <v>48.0</v>
      </c>
      <c r="P41" s="36">
        <v>46.0</v>
      </c>
      <c r="Q41" s="36" t="s">
        <v>74</v>
      </c>
      <c r="R41" s="36">
        <v>50.0</v>
      </c>
      <c r="S41" s="36" t="s">
        <v>74</v>
      </c>
      <c r="T41" s="38">
        <f t="shared" si="1"/>
        <v>2</v>
      </c>
      <c r="U41" s="20"/>
      <c r="V41" s="39" t="str">
        <f>IFERROR(__xludf.DUMMYFUNCTION("TEXTJOIN("", "",TRUE,FILTER(D$1:N$1, D41:N41=""A""))"),"1, 7")</f>
        <v>1, 7</v>
      </c>
      <c r="W41" s="39">
        <f t="shared" si="2"/>
        <v>4</v>
      </c>
    </row>
    <row r="42">
      <c r="A42" s="33">
        <v>40.0</v>
      </c>
      <c r="B42" s="34" t="s">
        <v>507</v>
      </c>
      <c r="C42" s="46" t="s">
        <v>508</v>
      </c>
      <c r="D42" s="36" t="s">
        <v>74</v>
      </c>
      <c r="E42" s="36" t="s">
        <v>74</v>
      </c>
      <c r="F42" s="36" t="s">
        <v>74</v>
      </c>
      <c r="G42" s="36">
        <v>60.0</v>
      </c>
      <c r="H42" s="36">
        <v>60.0</v>
      </c>
      <c r="I42" s="36">
        <v>48.0</v>
      </c>
      <c r="J42" s="36" t="s">
        <v>74</v>
      </c>
      <c r="K42" s="36"/>
      <c r="L42" s="36" t="s">
        <v>74</v>
      </c>
      <c r="M42" s="36" t="s">
        <v>74</v>
      </c>
      <c r="N42" s="36">
        <v>48.0</v>
      </c>
      <c r="O42" s="36">
        <v>48.0</v>
      </c>
      <c r="P42" s="36" t="s">
        <v>74</v>
      </c>
      <c r="Q42" s="36">
        <v>50.0</v>
      </c>
      <c r="R42" s="36" t="s">
        <v>74</v>
      </c>
      <c r="S42" s="36" t="s">
        <v>74</v>
      </c>
      <c r="T42" s="38">
        <f t="shared" si="1"/>
        <v>6</v>
      </c>
      <c r="U42" s="20"/>
      <c r="V42" s="39" t="str">
        <f>IFERROR(__xludf.DUMMYFUNCTION("TEXTJOIN("", "",TRUE,FILTER(D$1:N$1, D42:N42=""A""))"),"1, 2, 3, 7, 9")</f>
        <v>1, 2, 3, 7, 9</v>
      </c>
      <c r="W42" s="39">
        <f t="shared" si="2"/>
        <v>9</v>
      </c>
    </row>
    <row r="43">
      <c r="A43" s="33">
        <v>41.0</v>
      </c>
      <c r="B43" s="34" t="s">
        <v>630</v>
      </c>
      <c r="C43" s="46" t="s">
        <v>631</v>
      </c>
      <c r="D43" s="36" t="s">
        <v>74</v>
      </c>
      <c r="E43" s="36">
        <v>48.0</v>
      </c>
      <c r="F43" s="36">
        <v>72.0</v>
      </c>
      <c r="G43" s="36" t="s">
        <v>74</v>
      </c>
      <c r="H43" s="36" t="s">
        <v>74</v>
      </c>
      <c r="I43" s="36" t="s">
        <v>74</v>
      </c>
      <c r="J43" s="36" t="s">
        <v>74</v>
      </c>
      <c r="K43" s="36"/>
      <c r="L43" s="36" t="s">
        <v>74</v>
      </c>
      <c r="M43" s="36" t="s">
        <v>74</v>
      </c>
      <c r="N43" s="36">
        <v>48.0</v>
      </c>
      <c r="O43" s="36" t="s">
        <v>74</v>
      </c>
      <c r="P43" s="36" t="s">
        <v>74</v>
      </c>
      <c r="Q43" s="36" t="s">
        <v>74</v>
      </c>
      <c r="R43" s="36" t="s">
        <v>74</v>
      </c>
      <c r="S43" s="36" t="s">
        <v>74</v>
      </c>
      <c r="T43" s="38">
        <f t="shared" si="1"/>
        <v>7</v>
      </c>
      <c r="U43" s="20"/>
      <c r="V43" s="39" t="str">
        <f>IFERROR(__xludf.DUMMYFUNCTION("TEXTJOIN("", "",TRUE,FILTER(D$1:N$1, D43:N43=""A""))"),"1, 4, 5, 6, 7, 9")</f>
        <v>1, 4, 5, 6, 7, 9</v>
      </c>
      <c r="W43" s="39">
        <f t="shared" si="2"/>
        <v>12</v>
      </c>
    </row>
    <row r="44">
      <c r="A44" s="33">
        <v>42.0</v>
      </c>
      <c r="B44" s="34" t="s">
        <v>642</v>
      </c>
      <c r="C44" s="46" t="s">
        <v>644</v>
      </c>
      <c r="D44" s="36">
        <v>22.0</v>
      </c>
      <c r="E44" s="36">
        <v>42.0</v>
      </c>
      <c r="F44" s="36">
        <v>54.0</v>
      </c>
      <c r="G44" s="36" t="s">
        <v>74</v>
      </c>
      <c r="H44" s="36">
        <v>60.0</v>
      </c>
      <c r="I44" s="36">
        <v>44.0</v>
      </c>
      <c r="J44" s="36" t="s">
        <v>74</v>
      </c>
      <c r="K44" s="36"/>
      <c r="L44" s="36">
        <v>50.0</v>
      </c>
      <c r="M44" s="36" t="s">
        <v>74</v>
      </c>
      <c r="N44" s="36">
        <v>50.0</v>
      </c>
      <c r="O44" s="36" t="s">
        <v>74</v>
      </c>
      <c r="P44" s="36">
        <v>46.0</v>
      </c>
      <c r="Q44" s="36">
        <v>48.0</v>
      </c>
      <c r="R44" s="36" t="s">
        <v>74</v>
      </c>
      <c r="S44" s="36">
        <v>50.0</v>
      </c>
      <c r="T44" s="38">
        <f t="shared" si="1"/>
        <v>3</v>
      </c>
      <c r="U44" s="20"/>
      <c r="V44" s="39" t="str">
        <f>IFERROR(__xludf.DUMMYFUNCTION("TEXTJOIN("", "",TRUE,FILTER(D$1:N$1, D44:N44=""A""))"),"4, 7")</f>
        <v>4, 7</v>
      </c>
      <c r="W44" s="39">
        <f t="shared" si="2"/>
        <v>5</v>
      </c>
    </row>
    <row r="45">
      <c r="A45" s="33">
        <v>43.0</v>
      </c>
      <c r="B45" s="34" t="s">
        <v>656</v>
      </c>
      <c r="C45" s="46" t="s">
        <v>658</v>
      </c>
      <c r="D45" s="36">
        <v>22.0</v>
      </c>
      <c r="E45" s="36">
        <v>50.0</v>
      </c>
      <c r="F45" s="36">
        <v>70.0</v>
      </c>
      <c r="G45" s="36">
        <v>60.0</v>
      </c>
      <c r="H45" s="36">
        <v>52.0</v>
      </c>
      <c r="I45" s="36">
        <v>44.0</v>
      </c>
      <c r="J45" s="36" t="s">
        <v>74</v>
      </c>
      <c r="K45" s="36"/>
      <c r="L45" s="36">
        <v>44.0</v>
      </c>
      <c r="M45" s="36">
        <v>44.0</v>
      </c>
      <c r="N45" s="36">
        <v>46.0</v>
      </c>
      <c r="O45" s="36">
        <v>46.0</v>
      </c>
      <c r="P45" s="36">
        <v>40.0</v>
      </c>
      <c r="Q45" s="36">
        <v>46.0</v>
      </c>
      <c r="R45" s="36">
        <v>44.0</v>
      </c>
      <c r="S45" s="36">
        <v>46.0</v>
      </c>
      <c r="T45" s="38">
        <f t="shared" si="1"/>
        <v>1</v>
      </c>
      <c r="U45" s="20"/>
      <c r="V45" s="39" t="str">
        <f>IFERROR(__xludf.DUMMYFUNCTION("TEXTJOIN("", "",TRUE,FILTER(D$1:N$1, D45:N45=""A""))"),"7")</f>
        <v>7</v>
      </c>
      <c r="W45" s="39">
        <f t="shared" si="2"/>
        <v>1</v>
      </c>
    </row>
    <row r="46">
      <c r="A46" s="33">
        <v>44.0</v>
      </c>
      <c r="B46" s="34" t="s">
        <v>667</v>
      </c>
      <c r="C46" s="46" t="s">
        <v>669</v>
      </c>
      <c r="D46" s="36">
        <v>22.0</v>
      </c>
      <c r="E46" s="36" t="s">
        <v>74</v>
      </c>
      <c r="F46" s="36" t="s">
        <v>74</v>
      </c>
      <c r="G46" s="36" t="s">
        <v>74</v>
      </c>
      <c r="H46" s="36" t="s">
        <v>74</v>
      </c>
      <c r="I46" s="36">
        <v>36.0</v>
      </c>
      <c r="J46" s="36" t="s">
        <v>74</v>
      </c>
      <c r="K46" s="36"/>
      <c r="L46" s="36" t="s">
        <v>74</v>
      </c>
      <c r="M46" s="36">
        <v>50.0</v>
      </c>
      <c r="N46" s="36">
        <v>32.0</v>
      </c>
      <c r="O46" s="36" t="s">
        <v>74</v>
      </c>
      <c r="P46" s="36" t="s">
        <v>74</v>
      </c>
      <c r="Q46" s="36">
        <v>44.0</v>
      </c>
      <c r="R46" s="36" t="s">
        <v>74</v>
      </c>
      <c r="S46" s="36" t="s">
        <v>74</v>
      </c>
      <c r="T46" s="38">
        <f t="shared" si="1"/>
        <v>6</v>
      </c>
      <c r="U46" s="20"/>
      <c r="V46" s="39" t="str">
        <f>IFERROR(__xludf.DUMMYFUNCTION("TEXTJOIN("", "",TRUE,FILTER(D$1:N$1, D46:N46=""A""))"),"2, 3, 4, 5, 7, 9")</f>
        <v>2, 3, 4, 5, 7, 9</v>
      </c>
      <c r="W46" s="39">
        <f t="shared" si="2"/>
        <v>10</v>
      </c>
    </row>
    <row r="47">
      <c r="A47" s="33">
        <v>45.0</v>
      </c>
      <c r="B47" s="34" t="s">
        <v>598</v>
      </c>
      <c r="C47" s="46" t="s">
        <v>599</v>
      </c>
      <c r="D47" s="36" t="s">
        <v>74</v>
      </c>
      <c r="E47" s="36" t="s">
        <v>74</v>
      </c>
      <c r="F47" s="36" t="s">
        <v>74</v>
      </c>
      <c r="G47" s="36" t="s">
        <v>74</v>
      </c>
      <c r="H47" s="36" t="s">
        <v>74</v>
      </c>
      <c r="I47" s="36" t="s">
        <v>74</v>
      </c>
      <c r="J47" s="36" t="s">
        <v>74</v>
      </c>
      <c r="K47" s="36"/>
      <c r="L47" s="36" t="s">
        <v>74</v>
      </c>
      <c r="M47" s="36" t="s">
        <v>74</v>
      </c>
      <c r="N47" s="36" t="s">
        <v>74</v>
      </c>
      <c r="O47" s="36" t="s">
        <v>74</v>
      </c>
      <c r="P47" s="36" t="s">
        <v>74</v>
      </c>
      <c r="Q47" s="36" t="s">
        <v>74</v>
      </c>
      <c r="R47" s="36" t="s">
        <v>74</v>
      </c>
      <c r="S47" s="36" t="s">
        <v>74</v>
      </c>
      <c r="T47" s="38">
        <f t="shared" si="1"/>
        <v>10</v>
      </c>
      <c r="U47" s="20"/>
      <c r="V47" s="39" t="str">
        <f>IFERROR(__xludf.DUMMYFUNCTION("TEXTJOIN("", "",TRUE,FILTER(D$1:N$1, D47:N47=""A""))"),"1, 2, 3, 4, 5, 6, 7, 9")</f>
        <v>1, 2, 3, 4, 5, 6, 7, 9</v>
      </c>
      <c r="W47" s="39">
        <f t="shared" si="2"/>
        <v>15</v>
      </c>
    </row>
    <row r="48">
      <c r="A48" s="33">
        <v>46.0</v>
      </c>
      <c r="B48" s="34" t="s">
        <v>692</v>
      </c>
      <c r="C48" s="46" t="s">
        <v>694</v>
      </c>
      <c r="D48" s="36" t="s">
        <v>74</v>
      </c>
      <c r="E48" s="36">
        <v>38.0</v>
      </c>
      <c r="F48" s="36" t="s">
        <v>74</v>
      </c>
      <c r="G48" s="36" t="s">
        <v>74</v>
      </c>
      <c r="H48" s="36">
        <v>60.0</v>
      </c>
      <c r="I48" s="36" t="s">
        <v>74</v>
      </c>
      <c r="J48" s="36" t="s">
        <v>74</v>
      </c>
      <c r="K48" s="36"/>
      <c r="L48" s="36" t="s">
        <v>74</v>
      </c>
      <c r="M48" s="36" t="s">
        <v>74</v>
      </c>
      <c r="N48" s="36" t="s">
        <v>74</v>
      </c>
      <c r="O48" s="36" t="s">
        <v>74</v>
      </c>
      <c r="P48" s="36" t="s">
        <v>74</v>
      </c>
      <c r="Q48" s="36">
        <v>50.0</v>
      </c>
      <c r="R48" s="36" t="s">
        <v>74</v>
      </c>
      <c r="S48" s="36" t="s">
        <v>74</v>
      </c>
      <c r="T48" s="38">
        <f t="shared" si="1"/>
        <v>8</v>
      </c>
      <c r="U48" s="20"/>
      <c r="V48" s="39" t="str">
        <f>IFERROR(__xludf.DUMMYFUNCTION("TEXTJOIN("", "",TRUE,FILTER(D$1:N$1, D48:N48=""A""))"),"1, 3, 4, 6, 7, 9")</f>
        <v>1, 3, 4, 6, 7, 9</v>
      </c>
      <c r="W48" s="39">
        <f t="shared" si="2"/>
        <v>12</v>
      </c>
    </row>
    <row r="49">
      <c r="A49" s="33">
        <v>47.0</v>
      </c>
      <c r="B49" s="34" t="s">
        <v>705</v>
      </c>
      <c r="C49" s="46" t="s">
        <v>706</v>
      </c>
      <c r="D49" s="36" t="s">
        <v>74</v>
      </c>
      <c r="E49" s="36">
        <v>26.0</v>
      </c>
      <c r="F49" s="36" t="s">
        <v>74</v>
      </c>
      <c r="G49" s="36">
        <v>26.0</v>
      </c>
      <c r="H49" s="36" t="s">
        <v>74</v>
      </c>
      <c r="I49" s="36">
        <v>50.0</v>
      </c>
      <c r="J49" s="36">
        <v>44.0</v>
      </c>
      <c r="K49" s="36"/>
      <c r="L49" s="36">
        <v>50.0</v>
      </c>
      <c r="M49" s="36">
        <v>46.0</v>
      </c>
      <c r="N49" s="36">
        <v>50.0</v>
      </c>
      <c r="O49" s="36">
        <v>50.0</v>
      </c>
      <c r="P49" s="36">
        <v>46.0</v>
      </c>
      <c r="Q49" s="36">
        <v>44.0</v>
      </c>
      <c r="R49" s="36">
        <v>50.0</v>
      </c>
      <c r="S49" s="36">
        <v>50.0</v>
      </c>
      <c r="T49" s="38">
        <f t="shared" si="1"/>
        <v>3</v>
      </c>
      <c r="U49" s="20"/>
      <c r="V49" s="39" t="str">
        <f>IFERROR(__xludf.DUMMYFUNCTION("TEXTJOIN("", "",TRUE,FILTER(D$1:N$1, D49:N49=""A""))"),"1, 3, 5")</f>
        <v>1, 3, 5</v>
      </c>
      <c r="W49" s="39">
        <f t="shared" si="2"/>
        <v>3</v>
      </c>
    </row>
    <row r="50">
      <c r="A50" s="33">
        <v>48.0</v>
      </c>
      <c r="B50" s="34" t="s">
        <v>718</v>
      </c>
      <c r="C50" s="46" t="s">
        <v>719</v>
      </c>
      <c r="D50" s="36">
        <v>22.0</v>
      </c>
      <c r="E50" s="36">
        <v>38.0</v>
      </c>
      <c r="F50" s="36">
        <v>62.0</v>
      </c>
      <c r="G50" s="36">
        <v>50.0</v>
      </c>
      <c r="H50" s="36">
        <v>48.0</v>
      </c>
      <c r="I50" s="36">
        <v>44.0</v>
      </c>
      <c r="J50" s="36" t="s">
        <v>74</v>
      </c>
      <c r="K50" s="36"/>
      <c r="L50" s="36">
        <v>44.0</v>
      </c>
      <c r="M50" s="36">
        <v>46.0</v>
      </c>
      <c r="N50" s="36">
        <v>44.0</v>
      </c>
      <c r="O50" s="36">
        <v>44.0</v>
      </c>
      <c r="P50" s="36">
        <v>34.0</v>
      </c>
      <c r="Q50" s="36" t="s">
        <v>74</v>
      </c>
      <c r="R50" s="36">
        <v>42.0</v>
      </c>
      <c r="S50" s="36">
        <v>46.0</v>
      </c>
      <c r="T50" s="38">
        <f t="shared" si="1"/>
        <v>1</v>
      </c>
      <c r="U50" s="20"/>
      <c r="V50" s="39" t="str">
        <f>IFERROR(__xludf.DUMMYFUNCTION("TEXTJOIN("", "",TRUE,FILTER(D$1:N$1, D50:N50=""A""))"),"7")</f>
        <v>7</v>
      </c>
      <c r="W50" s="39">
        <f t="shared" si="2"/>
        <v>2</v>
      </c>
    </row>
    <row r="51">
      <c r="A51" s="33">
        <v>49.0</v>
      </c>
      <c r="B51" s="34" t="s">
        <v>728</v>
      </c>
      <c r="C51" s="46" t="s">
        <v>729</v>
      </c>
      <c r="D51" s="36">
        <v>23.0</v>
      </c>
      <c r="E51" s="36">
        <v>44.0</v>
      </c>
      <c r="F51" s="36">
        <v>66.0</v>
      </c>
      <c r="G51" s="36">
        <v>60.0</v>
      </c>
      <c r="H51" s="36">
        <v>60.0</v>
      </c>
      <c r="I51" s="36">
        <v>46.0</v>
      </c>
      <c r="J51" s="36" t="s">
        <v>74</v>
      </c>
      <c r="K51" s="36"/>
      <c r="L51" s="36">
        <v>46.0</v>
      </c>
      <c r="M51" s="36" t="s">
        <v>74</v>
      </c>
      <c r="N51" s="36">
        <v>50.0</v>
      </c>
      <c r="O51" s="36" t="s">
        <v>74</v>
      </c>
      <c r="P51" s="36">
        <v>46.0</v>
      </c>
      <c r="Q51" s="36" t="s">
        <v>74</v>
      </c>
      <c r="R51" s="36" t="s">
        <v>74</v>
      </c>
      <c r="S51" s="36" t="s">
        <v>74</v>
      </c>
      <c r="T51" s="38">
        <f t="shared" si="1"/>
        <v>2</v>
      </c>
      <c r="U51" s="20"/>
      <c r="V51" s="39" t="str">
        <f>IFERROR(__xludf.DUMMYFUNCTION("TEXTJOIN("", "",TRUE,FILTER(D$1:N$1, D51:N51=""A""))"),"7")</f>
        <v>7</v>
      </c>
      <c r="W51" s="39">
        <f t="shared" si="2"/>
        <v>6</v>
      </c>
    </row>
    <row r="52">
      <c r="A52" s="33">
        <v>50.0</v>
      </c>
      <c r="B52" s="34" t="s">
        <v>731</v>
      </c>
      <c r="C52" s="46" t="s">
        <v>732</v>
      </c>
      <c r="D52" s="36">
        <v>19.0</v>
      </c>
      <c r="E52" s="36">
        <v>42.0</v>
      </c>
      <c r="F52" s="36">
        <v>56.0</v>
      </c>
      <c r="G52" s="36">
        <v>52.0</v>
      </c>
      <c r="H52" s="36">
        <v>52.0</v>
      </c>
      <c r="I52" s="36">
        <v>36.0</v>
      </c>
      <c r="J52" s="36">
        <v>38.0</v>
      </c>
      <c r="K52" s="36"/>
      <c r="L52" s="36">
        <v>32.0</v>
      </c>
      <c r="M52" s="36">
        <v>34.0</v>
      </c>
      <c r="N52" s="36">
        <v>38.0</v>
      </c>
      <c r="O52" s="36">
        <v>36.0</v>
      </c>
      <c r="P52" s="36" t="s">
        <v>74</v>
      </c>
      <c r="Q52" s="36">
        <v>30.0</v>
      </c>
      <c r="R52" s="36">
        <v>40.0</v>
      </c>
      <c r="S52" s="36">
        <v>32.0</v>
      </c>
      <c r="T52" s="38">
        <f t="shared" si="1"/>
        <v>0</v>
      </c>
      <c r="U52" s="20"/>
      <c r="V52" s="39" t="str">
        <f>IFERROR(__xludf.DUMMYFUNCTION("TEXTJOIN("", "",TRUE,FILTER(D$1:N$1, D52:N52=""A""))"),"#N/A")</f>
        <v>#N/A</v>
      </c>
      <c r="W52" s="39">
        <f t="shared" si="2"/>
        <v>1</v>
      </c>
    </row>
    <row r="53">
      <c r="A53" s="33">
        <v>51.0</v>
      </c>
      <c r="B53" s="34" t="s">
        <v>387</v>
      </c>
      <c r="C53" s="46" t="s">
        <v>388</v>
      </c>
      <c r="D53" s="36">
        <v>22.0</v>
      </c>
      <c r="E53" s="36">
        <v>34.0</v>
      </c>
      <c r="F53" s="36">
        <v>54.0</v>
      </c>
      <c r="G53" s="36">
        <v>56.0</v>
      </c>
      <c r="H53" s="36">
        <v>52.0</v>
      </c>
      <c r="I53" s="36">
        <v>46.0</v>
      </c>
      <c r="J53" s="36">
        <v>46.0</v>
      </c>
      <c r="K53" s="36"/>
      <c r="L53" s="36">
        <v>46.0</v>
      </c>
      <c r="M53" s="36">
        <v>44.0</v>
      </c>
      <c r="N53" s="36">
        <v>44.0</v>
      </c>
      <c r="O53" s="36">
        <v>42.0</v>
      </c>
      <c r="P53" s="36">
        <v>44.0</v>
      </c>
      <c r="Q53" s="36">
        <v>40.0</v>
      </c>
      <c r="R53" s="36">
        <v>48.0</v>
      </c>
      <c r="S53" s="36" t="s">
        <v>74</v>
      </c>
      <c r="T53" s="38">
        <f t="shared" si="1"/>
        <v>0</v>
      </c>
      <c r="U53" s="20"/>
      <c r="V53" s="39" t="str">
        <f>IFERROR(__xludf.DUMMYFUNCTION("TEXTJOIN("", "",TRUE,FILTER(D$1:N$1, D53:N53=""A""))"),"#N/A")</f>
        <v>#N/A</v>
      </c>
      <c r="W53" s="39">
        <f t="shared" si="2"/>
        <v>1</v>
      </c>
    </row>
    <row r="54">
      <c r="A54" s="33">
        <v>52.0</v>
      </c>
      <c r="B54" s="34" t="s">
        <v>733</v>
      </c>
      <c r="C54" s="46" t="s">
        <v>734</v>
      </c>
      <c r="D54" s="36">
        <v>24.0</v>
      </c>
      <c r="E54" s="36" t="s">
        <v>74</v>
      </c>
      <c r="F54" s="36" t="s">
        <v>74</v>
      </c>
      <c r="G54" s="36">
        <v>56.0</v>
      </c>
      <c r="H54" s="36">
        <v>58.0</v>
      </c>
      <c r="I54" s="36">
        <v>48.0</v>
      </c>
      <c r="J54" s="36">
        <v>46.0</v>
      </c>
      <c r="K54" s="36"/>
      <c r="L54" s="36">
        <v>50.0</v>
      </c>
      <c r="M54" s="36" t="s">
        <v>74</v>
      </c>
      <c r="N54" s="36">
        <v>50.0</v>
      </c>
      <c r="O54" s="36">
        <v>48.0</v>
      </c>
      <c r="P54" s="36">
        <v>36.0</v>
      </c>
      <c r="Q54" s="36">
        <v>38.0</v>
      </c>
      <c r="R54" s="36" t="s">
        <v>74</v>
      </c>
      <c r="S54" s="36" t="s">
        <v>74</v>
      </c>
      <c r="T54" s="38">
        <f t="shared" si="1"/>
        <v>3</v>
      </c>
      <c r="U54" s="20"/>
      <c r="V54" s="39" t="str">
        <f>IFERROR(__xludf.DUMMYFUNCTION("TEXTJOIN("", "",TRUE,FILTER(D$1:N$1, D54:N54=""A""))"),"2, 3")</f>
        <v>2, 3</v>
      </c>
      <c r="W54" s="39">
        <f t="shared" si="2"/>
        <v>5</v>
      </c>
    </row>
    <row r="55">
      <c r="A55" s="33">
        <v>53.0</v>
      </c>
      <c r="B55" s="34" t="s">
        <v>739</v>
      </c>
      <c r="C55" s="46" t="s">
        <v>740</v>
      </c>
      <c r="D55" s="36">
        <v>23.0</v>
      </c>
      <c r="E55" s="36">
        <v>38.0</v>
      </c>
      <c r="F55" s="36">
        <v>70.0</v>
      </c>
      <c r="G55" s="36" t="s">
        <v>74</v>
      </c>
      <c r="H55" s="36">
        <v>38.0</v>
      </c>
      <c r="I55" s="36">
        <v>46.0</v>
      </c>
      <c r="J55" s="36" t="s">
        <v>74</v>
      </c>
      <c r="K55" s="36"/>
      <c r="L55" s="36" t="s">
        <v>74</v>
      </c>
      <c r="M55" s="36" t="s">
        <v>74</v>
      </c>
      <c r="N55" s="36">
        <v>40.0</v>
      </c>
      <c r="O55" s="36" t="s">
        <v>74</v>
      </c>
      <c r="P55" s="36">
        <v>46.0</v>
      </c>
      <c r="Q55" s="36" t="s">
        <v>74</v>
      </c>
      <c r="R55" s="36" t="s">
        <v>74</v>
      </c>
      <c r="S55" s="36" t="s">
        <v>74</v>
      </c>
      <c r="T55" s="38">
        <f t="shared" si="1"/>
        <v>4</v>
      </c>
      <c r="U55" s="20"/>
      <c r="V55" s="39" t="str">
        <f>IFERROR(__xludf.DUMMYFUNCTION("TEXTJOIN("", "",TRUE,FILTER(D$1:N$1, D55:N55=""A""))"),"4, 7, 9")</f>
        <v>4, 7, 9</v>
      </c>
      <c r="W55" s="39">
        <f t="shared" si="2"/>
        <v>8</v>
      </c>
    </row>
    <row r="56">
      <c r="A56" s="33">
        <v>54.0</v>
      </c>
      <c r="B56" s="34" t="s">
        <v>299</v>
      </c>
      <c r="C56" s="46" t="s">
        <v>300</v>
      </c>
      <c r="D56" s="36" t="s">
        <v>74</v>
      </c>
      <c r="E56" s="36" t="s">
        <v>74</v>
      </c>
      <c r="F56" s="36">
        <v>80.0</v>
      </c>
      <c r="G56" s="36" t="s">
        <v>74</v>
      </c>
      <c r="H56" s="36">
        <v>52.0</v>
      </c>
      <c r="I56" s="36" t="s">
        <v>74</v>
      </c>
      <c r="J56" s="36" t="s">
        <v>74</v>
      </c>
      <c r="K56" s="36"/>
      <c r="L56" s="36">
        <v>48.0</v>
      </c>
      <c r="M56" s="36" t="s">
        <v>74</v>
      </c>
      <c r="N56" s="36" t="s">
        <v>74</v>
      </c>
      <c r="O56" s="36" t="s">
        <v>74</v>
      </c>
      <c r="P56" s="36" t="s">
        <v>74</v>
      </c>
      <c r="Q56" s="36" t="s">
        <v>74</v>
      </c>
      <c r="R56" s="36" t="s">
        <v>74</v>
      </c>
      <c r="S56" s="36" t="s">
        <v>74</v>
      </c>
      <c r="T56" s="38">
        <f t="shared" si="1"/>
        <v>7</v>
      </c>
      <c r="U56" s="20"/>
      <c r="V56" s="39" t="str">
        <f>IFERROR(__xludf.DUMMYFUNCTION("TEXTJOIN("", "",TRUE,FILTER(D$1:N$1, D56:N56=""A""))"),"1, 2, 4, 6, 7")</f>
        <v>1, 2, 4, 6, 7</v>
      </c>
      <c r="W56" s="39">
        <f t="shared" si="2"/>
        <v>12</v>
      </c>
    </row>
    <row r="57">
      <c r="A57" s="33">
        <v>55.0</v>
      </c>
      <c r="B57" s="34" t="s">
        <v>750</v>
      </c>
      <c r="C57" s="46" t="s">
        <v>751</v>
      </c>
      <c r="D57" s="36" t="s">
        <v>74</v>
      </c>
      <c r="E57" s="36" t="s">
        <v>74</v>
      </c>
      <c r="F57" s="36">
        <v>70.0</v>
      </c>
      <c r="G57" s="36">
        <v>58.0</v>
      </c>
      <c r="H57" s="36" t="s">
        <v>74</v>
      </c>
      <c r="I57" s="36" t="s">
        <v>74</v>
      </c>
      <c r="J57" s="36" t="s">
        <v>74</v>
      </c>
      <c r="K57" s="36"/>
      <c r="L57" s="36" t="s">
        <v>74</v>
      </c>
      <c r="M57" s="36" t="s">
        <v>74</v>
      </c>
      <c r="N57" s="36" t="s">
        <v>74</v>
      </c>
      <c r="O57" s="36">
        <v>44.0</v>
      </c>
      <c r="P57" s="36">
        <v>42.0</v>
      </c>
      <c r="Q57" s="36" t="s">
        <v>74</v>
      </c>
      <c r="R57" s="36" t="s">
        <v>74</v>
      </c>
      <c r="S57" s="36" t="s">
        <v>74</v>
      </c>
      <c r="T57" s="38">
        <f t="shared" si="1"/>
        <v>8</v>
      </c>
      <c r="U57" s="20"/>
      <c r="V57" s="39" t="str">
        <f>IFERROR(__xludf.DUMMYFUNCTION("TEXTJOIN("", "",TRUE,FILTER(D$1:N$1, D57:N57=""A""))"),"1, 2, 5, 6, 7, 9")</f>
        <v>1, 2, 5, 6, 7, 9</v>
      </c>
      <c r="W57" s="39">
        <f t="shared" si="2"/>
        <v>11</v>
      </c>
    </row>
    <row r="58">
      <c r="A58" s="33">
        <v>56.0</v>
      </c>
      <c r="B58" s="80" t="s">
        <v>757</v>
      </c>
      <c r="C58" s="46" t="s">
        <v>758</v>
      </c>
      <c r="D58" s="36">
        <v>23.0</v>
      </c>
      <c r="E58" s="36">
        <v>46.0</v>
      </c>
      <c r="F58" s="36" t="s">
        <v>74</v>
      </c>
      <c r="G58" s="36" t="s">
        <v>74</v>
      </c>
      <c r="H58" s="36" t="s">
        <v>74</v>
      </c>
      <c r="I58" s="36">
        <v>50.0</v>
      </c>
      <c r="J58" s="36">
        <v>50.0</v>
      </c>
      <c r="K58" s="36"/>
      <c r="L58" s="36">
        <v>46.0</v>
      </c>
      <c r="M58" s="36">
        <v>50.0</v>
      </c>
      <c r="N58" s="36" t="s">
        <v>74</v>
      </c>
      <c r="O58" s="36">
        <v>50.0</v>
      </c>
      <c r="P58" s="36" t="s">
        <v>74</v>
      </c>
      <c r="Q58" s="36" t="s">
        <v>74</v>
      </c>
      <c r="R58" s="36" t="s">
        <v>74</v>
      </c>
      <c r="S58" s="36">
        <v>50.0</v>
      </c>
      <c r="T58" s="38">
        <f t="shared" si="1"/>
        <v>4</v>
      </c>
      <c r="U58" s="20"/>
      <c r="V58" s="39" t="str">
        <f>IFERROR(__xludf.DUMMYFUNCTION("TEXTJOIN("", "",TRUE,FILTER(D$1:N$1, D58:N58=""A""))"),"3, 4, 5")</f>
        <v>3, 4, 5</v>
      </c>
      <c r="W58" s="39">
        <f t="shared" si="2"/>
        <v>7</v>
      </c>
    </row>
    <row r="59">
      <c r="A59" s="33">
        <v>57.0</v>
      </c>
      <c r="B59" s="34" t="s">
        <v>763</v>
      </c>
      <c r="C59" s="46" t="s">
        <v>764</v>
      </c>
      <c r="D59" s="36">
        <v>23.0</v>
      </c>
      <c r="E59" s="36" t="s">
        <v>74</v>
      </c>
      <c r="F59" s="36">
        <v>70.0</v>
      </c>
      <c r="G59" s="36">
        <v>46.0</v>
      </c>
      <c r="H59" s="36">
        <v>58.0</v>
      </c>
      <c r="I59" s="36">
        <v>48.0</v>
      </c>
      <c r="J59" s="36">
        <v>50.0</v>
      </c>
      <c r="K59" s="36"/>
      <c r="L59" s="36">
        <v>50.0</v>
      </c>
      <c r="M59" s="36">
        <v>46.0</v>
      </c>
      <c r="N59" s="36">
        <v>48.0</v>
      </c>
      <c r="O59" s="36">
        <v>44.0</v>
      </c>
      <c r="P59" s="36">
        <v>46.0</v>
      </c>
      <c r="Q59" s="36">
        <v>48.0</v>
      </c>
      <c r="R59" s="36">
        <v>48.0</v>
      </c>
      <c r="S59" s="36" t="s">
        <v>74</v>
      </c>
      <c r="T59" s="38">
        <f t="shared" si="1"/>
        <v>1</v>
      </c>
      <c r="U59" s="20"/>
      <c r="V59" s="39" t="str">
        <f>IFERROR(__xludf.DUMMYFUNCTION("TEXTJOIN("", "",TRUE,FILTER(D$1:N$1, D59:N59=""A""))"),"2")</f>
        <v>2</v>
      </c>
      <c r="W59" s="39">
        <f t="shared" si="2"/>
        <v>2</v>
      </c>
    </row>
    <row r="60" ht="15.0" customHeight="1">
      <c r="A60" s="33">
        <v>58.0</v>
      </c>
      <c r="B60" s="34" t="s">
        <v>768</v>
      </c>
      <c r="C60" s="66" t="s">
        <v>770</v>
      </c>
      <c r="D60" s="36" t="s">
        <v>74</v>
      </c>
      <c r="E60" s="36">
        <v>42.0</v>
      </c>
      <c r="F60" s="36">
        <v>62.0</v>
      </c>
      <c r="G60" s="36">
        <v>44.0</v>
      </c>
      <c r="H60" s="36">
        <v>48.0</v>
      </c>
      <c r="I60" s="36">
        <v>48.0</v>
      </c>
      <c r="J60" s="36">
        <v>44.0</v>
      </c>
      <c r="K60" s="36"/>
      <c r="L60" s="36" t="s">
        <v>74</v>
      </c>
      <c r="M60" s="36">
        <v>44.0</v>
      </c>
      <c r="N60" s="36">
        <v>44.0</v>
      </c>
      <c r="O60" s="36">
        <v>46.0</v>
      </c>
      <c r="P60" s="36">
        <v>42.0</v>
      </c>
      <c r="Q60" s="36">
        <v>46.0</v>
      </c>
      <c r="R60" s="36" t="s">
        <v>74</v>
      </c>
      <c r="S60" s="36" t="s">
        <v>74</v>
      </c>
      <c r="T60" s="38">
        <f t="shared" si="1"/>
        <v>2</v>
      </c>
      <c r="U60" s="20"/>
      <c r="V60" s="39" t="str">
        <f>IFERROR(__xludf.DUMMYFUNCTION("TEXTJOIN("", "",TRUE,FILTER(D$1:N$1, D60:N60=""A""))"),"1, 9")</f>
        <v>1, 9</v>
      </c>
      <c r="W60" s="39">
        <f t="shared" si="2"/>
        <v>4</v>
      </c>
    </row>
    <row r="61">
      <c r="A61" s="33">
        <v>59.0</v>
      </c>
      <c r="B61" s="34" t="s">
        <v>360</v>
      </c>
      <c r="C61" s="46" t="s">
        <v>361</v>
      </c>
      <c r="D61" s="36">
        <v>21.0</v>
      </c>
      <c r="E61" s="36">
        <v>42.0</v>
      </c>
      <c r="F61" s="36">
        <v>70.0</v>
      </c>
      <c r="G61" s="36">
        <v>52.0</v>
      </c>
      <c r="H61" s="36">
        <v>58.0</v>
      </c>
      <c r="I61" s="36">
        <v>44.0</v>
      </c>
      <c r="J61" s="36">
        <v>44.0</v>
      </c>
      <c r="K61" s="36"/>
      <c r="L61" s="36">
        <v>42.0</v>
      </c>
      <c r="M61" s="36">
        <v>42.0</v>
      </c>
      <c r="N61" s="36">
        <v>40.0</v>
      </c>
      <c r="O61" s="36">
        <v>40.0</v>
      </c>
      <c r="P61" s="36" t="s">
        <v>74</v>
      </c>
      <c r="Q61" s="36">
        <v>38.0</v>
      </c>
      <c r="R61" s="36">
        <v>38.0</v>
      </c>
      <c r="S61" s="36" t="s">
        <v>74</v>
      </c>
      <c r="T61" s="38">
        <f t="shared" si="1"/>
        <v>0</v>
      </c>
      <c r="U61" s="20"/>
      <c r="V61" s="39" t="str">
        <f>IFERROR(__xludf.DUMMYFUNCTION("TEXTJOIN("", "",TRUE,FILTER(D$1:N$1, D61:N61=""A""))"),"#N/A")</f>
        <v>#N/A</v>
      </c>
      <c r="W61" s="39">
        <f t="shared" si="2"/>
        <v>2</v>
      </c>
    </row>
    <row r="62">
      <c r="A62" s="33">
        <v>60.0</v>
      </c>
      <c r="B62" s="34" t="s">
        <v>623</v>
      </c>
      <c r="C62" s="46" t="s">
        <v>624</v>
      </c>
      <c r="D62" s="36" t="s">
        <v>74</v>
      </c>
      <c r="E62" s="36">
        <v>28.0</v>
      </c>
      <c r="F62" s="36">
        <v>80.0</v>
      </c>
      <c r="G62" s="36">
        <v>46.0</v>
      </c>
      <c r="H62" s="36" t="s">
        <v>74</v>
      </c>
      <c r="I62" s="36">
        <v>46.0</v>
      </c>
      <c r="J62" s="36">
        <v>50.0</v>
      </c>
      <c r="K62" s="36"/>
      <c r="L62" s="36">
        <v>26.0</v>
      </c>
      <c r="M62" s="36" t="s">
        <v>74</v>
      </c>
      <c r="N62" s="36">
        <v>22.0</v>
      </c>
      <c r="O62" s="36" t="s">
        <v>74</v>
      </c>
      <c r="P62" s="36" t="s">
        <v>74</v>
      </c>
      <c r="Q62" s="36">
        <v>48.0</v>
      </c>
      <c r="R62" s="36" t="s">
        <v>74</v>
      </c>
      <c r="S62" s="36" t="s">
        <v>74</v>
      </c>
      <c r="T62" s="38">
        <f t="shared" si="1"/>
        <v>3</v>
      </c>
      <c r="U62" s="20"/>
      <c r="V62" s="39" t="str">
        <f>IFERROR(__xludf.DUMMYFUNCTION("TEXTJOIN("", "",TRUE,FILTER(D$1:N$1, D62:N62=""A""))"),"1, 5")</f>
        <v>1, 5</v>
      </c>
      <c r="W62" s="39">
        <f t="shared" si="2"/>
        <v>7</v>
      </c>
    </row>
    <row r="63">
      <c r="A63" s="33">
        <v>61.0</v>
      </c>
      <c r="B63" s="34" t="s">
        <v>690</v>
      </c>
      <c r="C63" s="46" t="s">
        <v>691</v>
      </c>
      <c r="D63" s="36" t="s">
        <v>74</v>
      </c>
      <c r="E63" s="36" t="s">
        <v>74</v>
      </c>
      <c r="F63" s="36">
        <v>78.0</v>
      </c>
      <c r="G63" s="36">
        <v>40.0</v>
      </c>
      <c r="H63" s="36">
        <v>58.0</v>
      </c>
      <c r="I63" s="36">
        <v>48.0</v>
      </c>
      <c r="J63" s="36" t="s">
        <v>74</v>
      </c>
      <c r="K63" s="36"/>
      <c r="L63" s="36" t="s">
        <v>74</v>
      </c>
      <c r="M63" s="36" t="s">
        <v>74</v>
      </c>
      <c r="N63" s="36">
        <v>50.0</v>
      </c>
      <c r="O63" s="36" t="s">
        <v>74</v>
      </c>
      <c r="P63" s="36">
        <v>46.0</v>
      </c>
      <c r="Q63" s="36" t="s">
        <v>74</v>
      </c>
      <c r="R63" s="36" t="s">
        <v>74</v>
      </c>
      <c r="S63" s="36" t="s">
        <v>74</v>
      </c>
      <c r="T63" s="38">
        <f t="shared" si="1"/>
        <v>5</v>
      </c>
      <c r="U63" s="20"/>
      <c r="V63" s="39" t="str">
        <f>IFERROR(__xludf.DUMMYFUNCTION("TEXTJOIN("", "",TRUE,FILTER(D$1:N$1, D63:N63=""A""))"),"1, 2, 7, 9")</f>
        <v>1, 2, 7, 9</v>
      </c>
      <c r="W63" s="39">
        <f t="shared" si="2"/>
        <v>9</v>
      </c>
    </row>
    <row r="64">
      <c r="A64" s="33">
        <v>62.0</v>
      </c>
      <c r="B64" s="34" t="s">
        <v>780</v>
      </c>
      <c r="C64" s="46" t="s">
        <v>781</v>
      </c>
      <c r="D64" s="36" t="s">
        <v>74</v>
      </c>
      <c r="E64" s="36" t="s">
        <v>74</v>
      </c>
      <c r="F64" s="36" t="s">
        <v>74</v>
      </c>
      <c r="G64" s="36">
        <v>46.0</v>
      </c>
      <c r="H64" s="36">
        <v>52.0</v>
      </c>
      <c r="I64" s="36" t="s">
        <v>74</v>
      </c>
      <c r="J64" s="36" t="s">
        <v>74</v>
      </c>
      <c r="K64" s="36"/>
      <c r="L64" s="36">
        <v>42.0</v>
      </c>
      <c r="M64" s="36" t="s">
        <v>74</v>
      </c>
      <c r="N64" s="36">
        <v>48.0</v>
      </c>
      <c r="O64" s="36" t="s">
        <v>74</v>
      </c>
      <c r="P64" s="36">
        <v>44.0</v>
      </c>
      <c r="Q64" s="36" t="s">
        <v>74</v>
      </c>
      <c r="R64" s="36" t="s">
        <v>74</v>
      </c>
      <c r="S64" s="36">
        <v>48.0</v>
      </c>
      <c r="T64" s="38">
        <f t="shared" si="1"/>
        <v>6</v>
      </c>
      <c r="U64" s="20"/>
      <c r="V64" s="39" t="str">
        <f>IFERROR(__xludf.DUMMYFUNCTION("TEXTJOIN("", "",TRUE,FILTER(D$1:N$1, D64:N64=""A""))"),"1, 2, 3, 6, 7")</f>
        <v>1, 2, 3, 6, 7</v>
      </c>
      <c r="W64" s="39">
        <f t="shared" si="2"/>
        <v>9</v>
      </c>
    </row>
    <row r="65">
      <c r="A65" s="33">
        <v>63.0</v>
      </c>
      <c r="B65" s="67" t="s">
        <v>784</v>
      </c>
      <c r="C65" s="66" t="s">
        <v>785</v>
      </c>
      <c r="D65" s="36" t="s">
        <v>74</v>
      </c>
      <c r="E65" s="36" t="s">
        <v>74</v>
      </c>
      <c r="F65" s="36" t="s">
        <v>74</v>
      </c>
      <c r="G65" s="36">
        <v>54.0</v>
      </c>
      <c r="H65" s="36" t="s">
        <v>74</v>
      </c>
      <c r="I65" s="36" t="s">
        <v>74</v>
      </c>
      <c r="J65" s="36" t="s">
        <v>74</v>
      </c>
      <c r="K65" s="36"/>
      <c r="L65" s="36" t="s">
        <v>74</v>
      </c>
      <c r="M65" s="36" t="s">
        <v>74</v>
      </c>
      <c r="N65" s="36" t="s">
        <v>74</v>
      </c>
      <c r="O65" s="36" t="s">
        <v>74</v>
      </c>
      <c r="P65" s="36" t="s">
        <v>74</v>
      </c>
      <c r="Q65" s="36" t="s">
        <v>74</v>
      </c>
      <c r="R65" s="36" t="s">
        <v>74</v>
      </c>
      <c r="S65" s="36" t="s">
        <v>74</v>
      </c>
      <c r="T65" s="38">
        <f t="shared" si="1"/>
        <v>9</v>
      </c>
      <c r="U65" s="20"/>
      <c r="V65" s="39" t="str">
        <f>IFERROR(__xludf.DUMMYFUNCTION("TEXTJOIN("", "",TRUE,FILTER(D$1:N$1, D65:N65=""A""))"),"1, 2, 3, 5, 6, 7, 9")</f>
        <v>1, 2, 3, 5, 6, 7, 9</v>
      </c>
      <c r="W65" s="39">
        <f t="shared" si="2"/>
        <v>14</v>
      </c>
    </row>
    <row r="66">
      <c r="A66" s="33">
        <v>64.0</v>
      </c>
      <c r="B66" s="67" t="s">
        <v>790</v>
      </c>
      <c r="C66" s="67" t="s">
        <v>791</v>
      </c>
      <c r="D66" s="36" t="s">
        <v>74</v>
      </c>
      <c r="E66" s="36" t="s">
        <v>74</v>
      </c>
      <c r="F66" s="36" t="s">
        <v>74</v>
      </c>
      <c r="G66" s="36">
        <v>50.0</v>
      </c>
      <c r="H66" s="36" t="s">
        <v>74</v>
      </c>
      <c r="I66" s="36">
        <v>40.0</v>
      </c>
      <c r="J66" s="36" t="s">
        <v>74</v>
      </c>
      <c r="K66" s="36"/>
      <c r="L66" s="36">
        <v>44.0</v>
      </c>
      <c r="M66" s="36">
        <v>48.0</v>
      </c>
      <c r="N66" s="36">
        <v>50.0</v>
      </c>
      <c r="O66" s="36">
        <v>48.0</v>
      </c>
      <c r="P66" s="36">
        <v>44.0</v>
      </c>
      <c r="Q66" s="36" t="s">
        <v>74</v>
      </c>
      <c r="R66" s="36" t="s">
        <v>74</v>
      </c>
      <c r="S66" s="36" t="s">
        <v>74</v>
      </c>
      <c r="T66" s="38">
        <f t="shared" si="1"/>
        <v>5</v>
      </c>
      <c r="U66" s="20"/>
      <c r="V66" s="39" t="str">
        <f>IFERROR(__xludf.DUMMYFUNCTION("TEXTJOIN("", "",TRUE,FILTER(D$1:N$1, D66:N66=""A""))"),"1, 2, 3, 5, 7")</f>
        <v>1, 2, 3, 5, 7</v>
      </c>
      <c r="W66" s="39">
        <f t="shared" si="2"/>
        <v>8</v>
      </c>
    </row>
    <row r="67">
      <c r="A67" s="33">
        <v>65.0</v>
      </c>
      <c r="B67" s="67" t="s">
        <v>742</v>
      </c>
      <c r="C67" s="81" t="s">
        <v>795</v>
      </c>
      <c r="D67" s="36" t="s">
        <v>74</v>
      </c>
      <c r="E67" s="36" t="s">
        <v>74</v>
      </c>
      <c r="F67" s="36" t="s">
        <v>74</v>
      </c>
      <c r="G67" s="36" t="s">
        <v>74</v>
      </c>
      <c r="H67" s="36" t="s">
        <v>74</v>
      </c>
      <c r="I67" s="36" t="s">
        <v>74</v>
      </c>
      <c r="J67" s="36" t="s">
        <v>74</v>
      </c>
      <c r="K67" s="36"/>
      <c r="L67" s="36" t="s">
        <v>74</v>
      </c>
      <c r="M67" s="36" t="s">
        <v>74</v>
      </c>
      <c r="N67" s="36" t="s">
        <v>74</v>
      </c>
      <c r="O67" s="36" t="s">
        <v>74</v>
      </c>
      <c r="P67" s="36" t="s">
        <v>74</v>
      </c>
      <c r="Q67" s="36" t="s">
        <v>74</v>
      </c>
      <c r="R67" s="36" t="s">
        <v>74</v>
      </c>
      <c r="S67" s="36" t="s">
        <v>74</v>
      </c>
      <c r="T67" s="38">
        <f t="shared" si="1"/>
        <v>10</v>
      </c>
      <c r="U67" s="20"/>
      <c r="V67" s="39" t="str">
        <f>IFERROR(__xludf.DUMMYFUNCTION("TEXTJOIN("", "",TRUE,FILTER(D$1:N$1, D67:N67=""A""))"),"1, 2, 3, 4, 5, 6, 7, 9")</f>
        <v>1, 2, 3, 4, 5, 6, 7, 9</v>
      </c>
      <c r="W67" s="39">
        <f t="shared" si="2"/>
        <v>15</v>
      </c>
    </row>
    <row r="68">
      <c r="A68" s="33">
        <v>66.0</v>
      </c>
      <c r="B68" s="67" t="s">
        <v>799</v>
      </c>
      <c r="C68" s="67" t="s">
        <v>800</v>
      </c>
      <c r="D68" s="36" t="s">
        <v>74</v>
      </c>
      <c r="E68" s="36" t="s">
        <v>74</v>
      </c>
      <c r="F68" s="36">
        <v>52.0</v>
      </c>
      <c r="G68" s="36" t="s">
        <v>74</v>
      </c>
      <c r="H68" s="36" t="s">
        <v>74</v>
      </c>
      <c r="I68" s="36" t="s">
        <v>74</v>
      </c>
      <c r="J68" s="36" t="s">
        <v>74</v>
      </c>
      <c r="K68" s="36"/>
      <c r="L68" s="36" t="s">
        <v>74</v>
      </c>
      <c r="M68" s="36">
        <v>48.0</v>
      </c>
      <c r="N68" s="36">
        <v>48.0</v>
      </c>
      <c r="O68" s="36" t="s">
        <v>74</v>
      </c>
      <c r="P68" s="36" t="s">
        <v>74</v>
      </c>
      <c r="Q68" s="36" t="s">
        <v>74</v>
      </c>
      <c r="R68" s="36" t="s">
        <v>74</v>
      </c>
      <c r="S68" s="36" t="s">
        <v>74</v>
      </c>
      <c r="T68" s="38">
        <f t="shared" si="1"/>
        <v>7</v>
      </c>
      <c r="U68" s="20"/>
      <c r="V68" s="39" t="str">
        <f>IFERROR(__xludf.DUMMYFUNCTION("TEXTJOIN("", "",TRUE,FILTER(D$1:N$1, D68:N68=""A""))"),"1, 2, 4, 5, 6, 7, 9")</f>
        <v>1, 2, 4, 5, 6, 7, 9</v>
      </c>
      <c r="W68" s="39">
        <f t="shared" si="2"/>
        <v>12</v>
      </c>
    </row>
    <row r="69">
      <c r="A69" s="33">
        <v>67.0</v>
      </c>
      <c r="B69" s="67" t="s">
        <v>647</v>
      </c>
      <c r="C69" s="63" t="s">
        <v>649</v>
      </c>
      <c r="D69" s="36">
        <v>20.0</v>
      </c>
      <c r="E69" s="36">
        <v>44.0</v>
      </c>
      <c r="F69" s="36">
        <v>58.0</v>
      </c>
      <c r="G69" s="36">
        <v>48.0</v>
      </c>
      <c r="H69" s="36">
        <v>58.0</v>
      </c>
      <c r="I69" s="36">
        <v>50.0</v>
      </c>
      <c r="J69" s="36">
        <v>48.0</v>
      </c>
      <c r="K69" s="36"/>
      <c r="L69" s="36">
        <v>46.0</v>
      </c>
      <c r="M69" s="36">
        <v>48.0</v>
      </c>
      <c r="N69" s="36">
        <v>46.0</v>
      </c>
      <c r="O69" s="36">
        <v>48.0</v>
      </c>
      <c r="P69" s="36">
        <v>46.0</v>
      </c>
      <c r="Q69" s="36">
        <v>46.0</v>
      </c>
      <c r="R69" s="36">
        <v>42.0</v>
      </c>
      <c r="S69" s="36">
        <v>46.0</v>
      </c>
      <c r="T69" s="38">
        <f t="shared" si="1"/>
        <v>0</v>
      </c>
      <c r="U69" s="20"/>
      <c r="V69" s="39" t="str">
        <f>IFERROR(__xludf.DUMMYFUNCTION("TEXTJOIN("", "",TRUE,FILTER(D$1:N$1, D69:N69=""A""))"),"#N/A")</f>
        <v>#N/A</v>
      </c>
      <c r="W69" s="39">
        <f t="shared" si="2"/>
        <v>0</v>
      </c>
    </row>
    <row r="70">
      <c r="A70" s="33">
        <v>68.0</v>
      </c>
      <c r="B70" s="67" t="s">
        <v>807</v>
      </c>
      <c r="C70" s="63" t="s">
        <v>808</v>
      </c>
      <c r="D70" s="36">
        <v>23.0</v>
      </c>
      <c r="E70" s="36" t="s">
        <v>74</v>
      </c>
      <c r="F70" s="36">
        <v>26.0</v>
      </c>
      <c r="G70" s="36">
        <v>42.0</v>
      </c>
      <c r="H70" s="36">
        <v>56.0</v>
      </c>
      <c r="I70" s="36">
        <v>44.0</v>
      </c>
      <c r="J70" s="36">
        <v>50.0</v>
      </c>
      <c r="K70" s="36"/>
      <c r="L70" s="36">
        <v>40.0</v>
      </c>
      <c r="M70" s="36">
        <v>40.0</v>
      </c>
      <c r="N70" s="36">
        <v>30.0</v>
      </c>
      <c r="O70" s="36" t="s">
        <v>74</v>
      </c>
      <c r="P70" s="36">
        <v>26.0</v>
      </c>
      <c r="Q70" s="36">
        <v>42.0</v>
      </c>
      <c r="R70" s="36" t="s">
        <v>74</v>
      </c>
      <c r="S70" s="36" t="s">
        <v>74</v>
      </c>
      <c r="T70" s="38">
        <f t="shared" si="1"/>
        <v>1</v>
      </c>
      <c r="U70" s="20"/>
      <c r="V70" s="39" t="str">
        <f>IFERROR(__xludf.DUMMYFUNCTION("TEXTJOIN("", "",TRUE,FILTER(D$1:N$1, D70:N70=""A""))"),"2")</f>
        <v>2</v>
      </c>
      <c r="W70" s="39">
        <f t="shared" si="2"/>
        <v>4</v>
      </c>
    </row>
    <row r="71">
      <c r="A71" s="33">
        <v>69.0</v>
      </c>
      <c r="B71" s="67" t="s">
        <v>752</v>
      </c>
      <c r="C71" s="63" t="s">
        <v>753</v>
      </c>
      <c r="D71" s="36">
        <v>23.0</v>
      </c>
      <c r="E71" s="36" t="s">
        <v>74</v>
      </c>
      <c r="F71" s="36">
        <v>28.0</v>
      </c>
      <c r="G71" s="36" t="s">
        <v>74</v>
      </c>
      <c r="H71" s="36" t="s">
        <v>74</v>
      </c>
      <c r="I71" s="36">
        <v>48.0</v>
      </c>
      <c r="J71" s="36">
        <v>44.0</v>
      </c>
      <c r="K71" s="36"/>
      <c r="L71" s="36">
        <v>48.0</v>
      </c>
      <c r="M71" s="36">
        <v>48.0</v>
      </c>
      <c r="N71" s="36">
        <v>46.0</v>
      </c>
      <c r="O71" s="36" t="s">
        <v>74</v>
      </c>
      <c r="P71" s="36" t="s">
        <v>74</v>
      </c>
      <c r="Q71" s="36" t="s">
        <v>74</v>
      </c>
      <c r="R71" s="36" t="s">
        <v>74</v>
      </c>
      <c r="S71" s="36" t="s">
        <v>74</v>
      </c>
      <c r="T71" s="38">
        <f t="shared" si="1"/>
        <v>3</v>
      </c>
      <c r="U71" s="20"/>
      <c r="V71" s="39" t="str">
        <f>IFERROR(__xludf.DUMMYFUNCTION("TEXTJOIN("", "",TRUE,FILTER(D$1:N$1, D71:N71=""A""))"),"2, 4, 5")</f>
        <v>2, 4, 5</v>
      </c>
      <c r="W71" s="39">
        <f t="shared" si="2"/>
        <v>8</v>
      </c>
    </row>
    <row r="72">
      <c r="A72" s="33">
        <v>70.0</v>
      </c>
      <c r="B72" s="67" t="s">
        <v>816</v>
      </c>
      <c r="C72" s="63" t="s">
        <v>817</v>
      </c>
      <c r="D72" s="36" t="s">
        <v>74</v>
      </c>
      <c r="E72" s="36">
        <v>42.0</v>
      </c>
      <c r="F72" s="36">
        <v>80.0</v>
      </c>
      <c r="G72" s="36">
        <v>46.0</v>
      </c>
      <c r="H72" s="36">
        <v>60.0</v>
      </c>
      <c r="I72" s="36">
        <v>46.0</v>
      </c>
      <c r="J72" s="36">
        <v>38.0</v>
      </c>
      <c r="K72" s="36"/>
      <c r="L72" s="36">
        <v>34.0</v>
      </c>
      <c r="M72" s="36">
        <v>42.0</v>
      </c>
      <c r="N72" s="36" t="s">
        <v>74</v>
      </c>
      <c r="O72" s="36">
        <v>46.0</v>
      </c>
      <c r="P72" s="36" t="s">
        <v>74</v>
      </c>
      <c r="Q72" s="36">
        <v>40.0</v>
      </c>
      <c r="R72" s="36">
        <v>46.0</v>
      </c>
      <c r="S72" s="36">
        <v>42.0</v>
      </c>
      <c r="T72" s="38">
        <f t="shared" si="1"/>
        <v>2</v>
      </c>
      <c r="U72" s="20"/>
      <c r="V72" s="39" t="str">
        <f>IFERROR(__xludf.DUMMYFUNCTION("TEXTJOIN("", "",TRUE,FILTER(D$1:N$1, D72:N72=""A""))"),"1")</f>
        <v>1</v>
      </c>
      <c r="W72" s="39">
        <f t="shared" si="2"/>
        <v>3</v>
      </c>
    </row>
    <row r="73">
      <c r="A73" s="33">
        <v>71.0</v>
      </c>
      <c r="B73" s="67" t="s">
        <v>819</v>
      </c>
      <c r="C73" s="67" t="s">
        <v>820</v>
      </c>
      <c r="D73" s="36" t="s">
        <v>74</v>
      </c>
      <c r="E73" s="36">
        <v>42.0</v>
      </c>
      <c r="F73" s="36" t="s">
        <v>74</v>
      </c>
      <c r="G73" s="36">
        <v>48.0</v>
      </c>
      <c r="H73" s="36">
        <v>60.0</v>
      </c>
      <c r="I73" s="36">
        <v>50.0</v>
      </c>
      <c r="J73" s="36">
        <v>50.0</v>
      </c>
      <c r="K73" s="36"/>
      <c r="L73" s="36">
        <v>50.0</v>
      </c>
      <c r="M73" s="36">
        <v>50.0</v>
      </c>
      <c r="N73" s="36">
        <v>50.0</v>
      </c>
      <c r="O73" s="36">
        <v>46.0</v>
      </c>
      <c r="P73" s="36">
        <v>44.0</v>
      </c>
      <c r="Q73" s="36">
        <v>48.0</v>
      </c>
      <c r="R73" s="36" t="s">
        <v>74</v>
      </c>
      <c r="S73" s="36">
        <v>40.0</v>
      </c>
      <c r="T73" s="38">
        <f t="shared" si="1"/>
        <v>2</v>
      </c>
      <c r="U73" s="20"/>
      <c r="V73" s="39" t="str">
        <f>IFERROR(__xludf.DUMMYFUNCTION("TEXTJOIN("", "",TRUE,FILTER(D$1:N$1, D73:N73=""A""))"),"1, 3")</f>
        <v>1, 3</v>
      </c>
      <c r="W73" s="39">
        <f t="shared" si="2"/>
        <v>3</v>
      </c>
    </row>
    <row r="74">
      <c r="A74" s="33">
        <v>72.0</v>
      </c>
      <c r="B74" s="67" t="s">
        <v>823</v>
      </c>
      <c r="C74" s="67" t="s">
        <v>824</v>
      </c>
      <c r="D74" s="36" t="s">
        <v>74</v>
      </c>
      <c r="E74" s="36">
        <v>42.0</v>
      </c>
      <c r="F74" s="36">
        <v>76.0</v>
      </c>
      <c r="G74" s="36">
        <v>48.0</v>
      </c>
      <c r="H74" s="36">
        <v>60.0</v>
      </c>
      <c r="I74" s="36">
        <v>48.0</v>
      </c>
      <c r="J74" s="36">
        <v>40.0</v>
      </c>
      <c r="K74" s="36"/>
      <c r="L74" s="36">
        <v>48.0</v>
      </c>
      <c r="M74" s="36">
        <v>50.0</v>
      </c>
      <c r="N74" s="36">
        <v>50.0</v>
      </c>
      <c r="O74" s="36">
        <v>42.0</v>
      </c>
      <c r="P74" s="36">
        <v>40.0</v>
      </c>
      <c r="Q74" s="36">
        <v>44.0</v>
      </c>
      <c r="R74" s="36">
        <v>48.0</v>
      </c>
      <c r="S74" s="36" t="s">
        <v>74</v>
      </c>
      <c r="T74" s="38">
        <f t="shared" si="1"/>
        <v>1</v>
      </c>
      <c r="U74" s="20"/>
      <c r="V74" s="39" t="str">
        <f>IFERROR(__xludf.DUMMYFUNCTION("TEXTJOIN("", "",TRUE,FILTER(D$1:N$1, D74:N74=""A""))"),"1")</f>
        <v>1</v>
      </c>
      <c r="W74" s="39">
        <f t="shared" si="2"/>
        <v>2</v>
      </c>
    </row>
    <row r="75">
      <c r="A75" s="33">
        <v>73.0</v>
      </c>
      <c r="B75" s="67" t="s">
        <v>826</v>
      </c>
      <c r="C75" s="67" t="s">
        <v>828</v>
      </c>
      <c r="D75" s="36" t="s">
        <v>74</v>
      </c>
      <c r="E75" s="36">
        <v>26.0</v>
      </c>
      <c r="F75" s="36">
        <v>26.0</v>
      </c>
      <c r="G75" s="36" t="s">
        <v>74</v>
      </c>
      <c r="H75" s="36">
        <v>28.0</v>
      </c>
      <c r="I75" s="36">
        <v>40.0</v>
      </c>
      <c r="J75" s="36" t="s">
        <v>74</v>
      </c>
      <c r="K75" s="36"/>
      <c r="L75" s="36" t="s">
        <v>74</v>
      </c>
      <c r="M75" s="36">
        <v>38.0</v>
      </c>
      <c r="N75" s="36" t="s">
        <v>74</v>
      </c>
      <c r="O75" s="36" t="s">
        <v>74</v>
      </c>
      <c r="P75" s="36" t="s">
        <v>74</v>
      </c>
      <c r="Q75" s="36" t="s">
        <v>74</v>
      </c>
      <c r="R75" s="36" t="s">
        <v>74</v>
      </c>
      <c r="S75" s="36" t="s">
        <v>74</v>
      </c>
      <c r="T75" s="38">
        <f t="shared" si="1"/>
        <v>5</v>
      </c>
      <c r="U75" s="20"/>
      <c r="V75" s="39" t="str">
        <f>IFERROR(__xludf.DUMMYFUNCTION("TEXTJOIN("", "",TRUE,FILTER(D$1:N$1, D75:N75=""A""))"),"1, 4, 7, 9")</f>
        <v>1, 4, 7, 9</v>
      </c>
      <c r="W75" s="39">
        <f t="shared" si="2"/>
        <v>10</v>
      </c>
    </row>
    <row r="76">
      <c r="A76" s="33">
        <v>74.0</v>
      </c>
      <c r="B76" s="67" t="s">
        <v>830</v>
      </c>
      <c r="C76" s="67" t="s">
        <v>832</v>
      </c>
      <c r="D76" s="36" t="s">
        <v>74</v>
      </c>
      <c r="E76" s="36">
        <v>40.0</v>
      </c>
      <c r="F76" s="36" t="s">
        <v>74</v>
      </c>
      <c r="G76" s="36" t="s">
        <v>74</v>
      </c>
      <c r="H76" s="36">
        <v>48.0</v>
      </c>
      <c r="I76" s="36">
        <v>50.0</v>
      </c>
      <c r="J76" s="36" t="s">
        <v>74</v>
      </c>
      <c r="K76" s="36"/>
      <c r="L76" s="36" t="s">
        <v>74</v>
      </c>
      <c r="M76" s="36" t="s">
        <v>74</v>
      </c>
      <c r="N76" s="36">
        <v>50.0</v>
      </c>
      <c r="O76" s="36">
        <v>44.0</v>
      </c>
      <c r="P76" s="36" t="s">
        <v>74</v>
      </c>
      <c r="Q76" s="36" t="s">
        <v>74</v>
      </c>
      <c r="R76" s="36" t="s">
        <v>74</v>
      </c>
      <c r="S76" s="36" t="s">
        <v>74</v>
      </c>
      <c r="T76" s="38">
        <f t="shared" si="1"/>
        <v>6</v>
      </c>
      <c r="U76" s="20"/>
      <c r="V76" s="39" t="str">
        <f>IFERROR(__xludf.DUMMYFUNCTION("TEXTJOIN("", "",TRUE,FILTER(D$1:N$1, D76:N76=""A""))"),"1, 3, 4, 7, 9")</f>
        <v>1, 3, 4, 7, 9</v>
      </c>
      <c r="W76" s="39">
        <f t="shared" si="2"/>
        <v>10</v>
      </c>
    </row>
    <row r="77">
      <c r="A77" s="36">
        <v>75.0</v>
      </c>
      <c r="B77" s="18" t="s">
        <v>835</v>
      </c>
      <c r="C77" s="66" t="s">
        <v>836</v>
      </c>
      <c r="D77" s="36">
        <v>20.0</v>
      </c>
      <c r="E77" s="36">
        <v>46.0</v>
      </c>
      <c r="F77" s="36">
        <v>72.0</v>
      </c>
      <c r="G77" s="36">
        <v>56.0</v>
      </c>
      <c r="H77" s="36">
        <v>40.0</v>
      </c>
      <c r="I77" s="36">
        <v>46.0</v>
      </c>
      <c r="J77" s="36" t="s">
        <v>74</v>
      </c>
      <c r="K77" s="36"/>
      <c r="L77" s="36" t="s">
        <v>74</v>
      </c>
      <c r="M77" s="36" t="s">
        <v>74</v>
      </c>
      <c r="N77" s="36" t="s">
        <v>74</v>
      </c>
      <c r="O77" s="36" t="s">
        <v>74</v>
      </c>
      <c r="P77" s="36" t="s">
        <v>74</v>
      </c>
      <c r="Q77" s="36" t="s">
        <v>74</v>
      </c>
      <c r="R77" s="36" t="s">
        <v>74</v>
      </c>
      <c r="S77" s="36" t="s">
        <v>74</v>
      </c>
      <c r="T77" s="84"/>
      <c r="U77" s="84"/>
      <c r="W77" s="39">
        <f t="shared" si="2"/>
        <v>9</v>
      </c>
    </row>
    <row r="78">
      <c r="A78" s="33">
        <v>76.0</v>
      </c>
      <c r="B78" s="65"/>
      <c r="C78" s="46"/>
      <c r="D78" s="61"/>
      <c r="E78" s="61"/>
      <c r="F78" s="61"/>
      <c r="G78" s="61"/>
      <c r="H78" s="61"/>
      <c r="I78" s="61"/>
      <c r="J78" s="61"/>
      <c r="K78" s="61"/>
      <c r="L78" s="61"/>
      <c r="M78" s="36"/>
      <c r="N78" s="36"/>
      <c r="O78" s="36"/>
      <c r="P78" s="36"/>
      <c r="Q78" s="36"/>
      <c r="R78" s="36"/>
      <c r="S78" s="36"/>
      <c r="T78" s="84"/>
      <c r="U78" s="84"/>
      <c r="V78" s="85"/>
      <c r="W78" s="39">
        <f t="shared" si="2"/>
        <v>0</v>
      </c>
    </row>
    <row r="79">
      <c r="A79" s="33">
        <v>77.0</v>
      </c>
      <c r="B79" s="65"/>
      <c r="C79" s="36" t="s">
        <v>216</v>
      </c>
      <c r="D79" s="36" t="s">
        <v>74</v>
      </c>
      <c r="E79" s="36">
        <v>44.0</v>
      </c>
      <c r="F79" s="36" t="s">
        <v>74</v>
      </c>
      <c r="G79" s="36">
        <v>56.0</v>
      </c>
      <c r="H79" s="36">
        <v>60.0</v>
      </c>
      <c r="I79" s="36">
        <v>50.0</v>
      </c>
      <c r="J79" s="36">
        <v>50.0</v>
      </c>
      <c r="K79" s="36"/>
      <c r="L79" s="36" t="s">
        <v>74</v>
      </c>
      <c r="M79" s="36" t="s">
        <v>74</v>
      </c>
      <c r="N79" s="36">
        <v>50.0</v>
      </c>
      <c r="O79" s="36" t="s">
        <v>74</v>
      </c>
      <c r="P79" s="36" t="s">
        <v>74</v>
      </c>
      <c r="Q79" s="36" t="s">
        <v>74</v>
      </c>
      <c r="R79" s="36" t="s">
        <v>74</v>
      </c>
      <c r="S79" s="36" t="s">
        <v>74</v>
      </c>
      <c r="T79" s="84"/>
      <c r="U79" s="84"/>
      <c r="V79" s="85"/>
      <c r="W79" s="39">
        <f t="shared" si="2"/>
        <v>9</v>
      </c>
    </row>
    <row r="80">
      <c r="A80" s="36">
        <v>78.0</v>
      </c>
      <c r="B80" s="65"/>
      <c r="C80" s="36"/>
      <c r="D80" s="61"/>
      <c r="E80" s="61"/>
      <c r="F80" s="61"/>
      <c r="G80" s="61"/>
      <c r="H80" s="61"/>
      <c r="I80" s="61"/>
      <c r="J80" s="61"/>
      <c r="K80" s="61"/>
      <c r="L80" s="61"/>
      <c r="M80" s="36"/>
      <c r="N80" s="36"/>
      <c r="O80" s="36"/>
      <c r="P80" s="36"/>
      <c r="Q80" s="36"/>
      <c r="R80" s="36"/>
      <c r="S80" s="36"/>
      <c r="T80" s="84"/>
      <c r="U80" s="84"/>
      <c r="V80" s="85"/>
      <c r="W80" s="39">
        <f t="shared" si="2"/>
        <v>0</v>
      </c>
    </row>
    <row r="81">
      <c r="A81" s="33">
        <v>79.0</v>
      </c>
      <c r="B81" s="65"/>
      <c r="C81" s="36" t="s">
        <v>844</v>
      </c>
      <c r="D81" s="36" t="s">
        <v>74</v>
      </c>
      <c r="E81" s="36" t="s">
        <v>74</v>
      </c>
      <c r="F81" s="36" t="s">
        <v>74</v>
      </c>
      <c r="G81" s="36" t="s">
        <v>74</v>
      </c>
      <c r="H81" s="36">
        <v>56.0</v>
      </c>
      <c r="I81" s="36" t="s">
        <v>74</v>
      </c>
      <c r="J81" s="36" t="s">
        <v>74</v>
      </c>
      <c r="K81" s="36"/>
      <c r="L81" s="36" t="s">
        <v>74</v>
      </c>
      <c r="M81" s="36" t="s">
        <v>74</v>
      </c>
      <c r="N81" s="36">
        <v>10.0</v>
      </c>
      <c r="O81" s="36" t="s">
        <v>74</v>
      </c>
      <c r="P81" s="36" t="s">
        <v>74</v>
      </c>
      <c r="Q81" s="36" t="s">
        <v>74</v>
      </c>
      <c r="R81" s="36" t="s">
        <v>74</v>
      </c>
      <c r="S81" s="36" t="s">
        <v>74</v>
      </c>
      <c r="T81" s="84"/>
      <c r="U81" s="84"/>
      <c r="V81" s="85"/>
      <c r="W81" s="39">
        <f t="shared" si="2"/>
        <v>13</v>
      </c>
    </row>
    <row r="82">
      <c r="A82" s="33">
        <v>80.0</v>
      </c>
      <c r="B82" s="65"/>
      <c r="C82" s="36"/>
      <c r="D82" s="61"/>
      <c r="E82" s="61"/>
      <c r="F82" s="61"/>
      <c r="G82" s="61"/>
      <c r="H82" s="61"/>
      <c r="I82" s="61"/>
      <c r="J82" s="61"/>
      <c r="K82" s="61"/>
      <c r="L82" s="61"/>
      <c r="M82" s="36"/>
      <c r="N82" s="36"/>
      <c r="O82" s="36"/>
      <c r="P82" s="36"/>
      <c r="Q82" s="36"/>
      <c r="R82" s="36"/>
      <c r="S82" s="36"/>
      <c r="T82" s="84"/>
      <c r="U82" s="84"/>
      <c r="V82" s="85"/>
      <c r="W82" s="39">
        <f t="shared" si="2"/>
        <v>0</v>
      </c>
    </row>
    <row r="83">
      <c r="A83" s="36">
        <v>81.0</v>
      </c>
      <c r="B83" s="65"/>
      <c r="C83" s="36" t="s">
        <v>850</v>
      </c>
      <c r="D83" s="36" t="s">
        <v>74</v>
      </c>
      <c r="E83" s="36" t="s">
        <v>74</v>
      </c>
      <c r="F83" s="36" t="s">
        <v>74</v>
      </c>
      <c r="G83" s="36" t="s">
        <v>74</v>
      </c>
      <c r="H83" s="36">
        <v>42.0</v>
      </c>
      <c r="I83" s="36" t="s">
        <v>74</v>
      </c>
      <c r="J83" s="36" t="s">
        <v>74</v>
      </c>
      <c r="K83" s="36"/>
      <c r="L83" s="36" t="s">
        <v>74</v>
      </c>
      <c r="M83" s="36" t="s">
        <v>74</v>
      </c>
      <c r="N83" s="36" t="s">
        <v>74</v>
      </c>
      <c r="O83" s="36" t="s">
        <v>74</v>
      </c>
      <c r="P83" s="36" t="s">
        <v>74</v>
      </c>
      <c r="Q83" s="36" t="s">
        <v>74</v>
      </c>
      <c r="R83" s="36" t="s">
        <v>74</v>
      </c>
      <c r="S83" s="36" t="s">
        <v>74</v>
      </c>
      <c r="T83" s="84"/>
      <c r="U83" s="84"/>
      <c r="V83" s="85"/>
      <c r="W83" s="39">
        <f t="shared" si="2"/>
        <v>14</v>
      </c>
    </row>
    <row r="84">
      <c r="A84" s="33">
        <v>82.0</v>
      </c>
      <c r="B84" s="65"/>
      <c r="C84" s="46"/>
      <c r="D84" s="61"/>
      <c r="E84" s="61"/>
      <c r="F84" s="61"/>
      <c r="G84" s="36"/>
      <c r="H84" s="61"/>
      <c r="I84" s="61"/>
      <c r="J84" s="61"/>
      <c r="K84" s="61"/>
      <c r="L84" s="61"/>
      <c r="M84" s="36"/>
      <c r="N84" s="36"/>
      <c r="O84" s="36"/>
      <c r="P84" s="36"/>
      <c r="Q84" s="36"/>
      <c r="R84" s="36"/>
      <c r="S84" s="36"/>
      <c r="T84" s="84"/>
      <c r="U84" s="84"/>
      <c r="V84" s="85"/>
      <c r="W84" s="39">
        <f t="shared" si="2"/>
        <v>0</v>
      </c>
    </row>
    <row r="85">
      <c r="A85" s="33">
        <v>83.0</v>
      </c>
      <c r="B85" s="65"/>
      <c r="C85" s="66" t="s">
        <v>853</v>
      </c>
      <c r="D85" s="36" t="s">
        <v>74</v>
      </c>
      <c r="E85" s="36" t="s">
        <v>74</v>
      </c>
      <c r="F85" s="36" t="s">
        <v>74</v>
      </c>
      <c r="G85" s="36" t="s">
        <v>74</v>
      </c>
      <c r="H85" s="36">
        <v>60.0</v>
      </c>
      <c r="I85" s="36">
        <v>38.0</v>
      </c>
      <c r="J85" s="36" t="s">
        <v>74</v>
      </c>
      <c r="K85" s="36"/>
      <c r="L85" s="36" t="s">
        <v>74</v>
      </c>
      <c r="M85" s="36" t="s">
        <v>74</v>
      </c>
      <c r="N85" s="36">
        <v>50.0</v>
      </c>
      <c r="O85" s="36" t="s">
        <v>74</v>
      </c>
      <c r="P85" s="36" t="s">
        <v>74</v>
      </c>
      <c r="Q85" s="36" t="s">
        <v>74</v>
      </c>
      <c r="R85" s="36" t="s">
        <v>74</v>
      </c>
      <c r="S85" s="36" t="s">
        <v>74</v>
      </c>
      <c r="T85" s="84"/>
      <c r="U85" s="84"/>
      <c r="V85" s="85"/>
      <c r="W85" s="39">
        <f t="shared" si="2"/>
        <v>12</v>
      </c>
    </row>
    <row r="86">
      <c r="A86" s="71"/>
      <c r="B86" s="48"/>
      <c r="C86" s="86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</row>
    <row r="87">
      <c r="A87" s="71"/>
      <c r="B87" s="48"/>
      <c r="C87" s="86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</row>
    <row r="88">
      <c r="A88" s="71"/>
      <c r="B88" s="48"/>
      <c r="C88" s="86"/>
      <c r="D88" s="71"/>
      <c r="E88" s="71"/>
      <c r="F88" s="87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</row>
    <row r="89">
      <c r="A89" s="71"/>
      <c r="B89" s="48"/>
      <c r="C89" s="86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</row>
    <row r="90">
      <c r="A90" s="71"/>
      <c r="B90" s="48"/>
      <c r="C90" s="86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</row>
    <row r="91">
      <c r="A91" s="71"/>
      <c r="B91" s="48"/>
      <c r="C91" s="86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</row>
    <row r="92">
      <c r="A92" s="71"/>
      <c r="B92" s="48"/>
      <c r="C92" s="86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</row>
    <row r="93">
      <c r="A93" s="71"/>
      <c r="B93" s="48"/>
      <c r="C93" s="86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</row>
    <row r="94">
      <c r="A94" s="71"/>
      <c r="B94" s="48"/>
      <c r="C94" s="86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</row>
    <row r="95">
      <c r="A95" s="71"/>
      <c r="B95" s="48"/>
      <c r="C95" s="86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</row>
    <row r="96">
      <c r="A96" s="71"/>
      <c r="B96" s="48"/>
      <c r="C96" s="86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</row>
    <row r="97">
      <c r="A97" s="71"/>
      <c r="B97" s="48"/>
      <c r="C97" s="86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</row>
    <row r="98">
      <c r="A98" s="71"/>
      <c r="B98" s="48"/>
      <c r="C98" s="86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</row>
    <row r="99">
      <c r="A99" s="71"/>
      <c r="B99" s="48"/>
      <c r="C99" s="86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</row>
    <row r="100">
      <c r="A100" s="71"/>
      <c r="B100" s="48"/>
      <c r="C100" s="86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</row>
    <row r="101">
      <c r="A101" s="71"/>
      <c r="B101" s="48"/>
      <c r="C101" s="86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</row>
    <row r="102">
      <c r="A102" s="71"/>
      <c r="B102" s="48"/>
      <c r="C102" s="86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</row>
    <row r="103">
      <c r="A103" s="71"/>
      <c r="B103" s="48"/>
      <c r="C103" s="86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</row>
    <row r="104">
      <c r="A104" s="71"/>
      <c r="B104" s="48"/>
      <c r="C104" s="86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</row>
    <row r="105">
      <c r="A105" s="71"/>
      <c r="B105" s="48"/>
      <c r="C105" s="86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</row>
    <row r="106">
      <c r="A106" s="71"/>
      <c r="B106" s="48"/>
      <c r="C106" s="86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</row>
    <row r="107">
      <c r="A107" s="71"/>
      <c r="B107" s="48"/>
      <c r="C107" s="86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</row>
    <row r="108">
      <c r="A108" s="71"/>
      <c r="B108" s="48"/>
      <c r="C108" s="86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</row>
    <row r="109">
      <c r="A109" s="71"/>
      <c r="B109" s="48"/>
      <c r="C109" s="86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</row>
    <row r="110">
      <c r="A110" s="71"/>
      <c r="B110" s="48"/>
      <c r="C110" s="86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</row>
    <row r="111">
      <c r="A111" s="71"/>
      <c r="B111" s="48"/>
      <c r="C111" s="86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</row>
    <row r="112">
      <c r="A112" s="71"/>
      <c r="B112" s="48"/>
      <c r="C112" s="86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</row>
    <row r="113">
      <c r="A113" s="71"/>
      <c r="B113" s="48"/>
      <c r="C113" s="86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</row>
    <row r="114">
      <c r="A114" s="71"/>
      <c r="B114" s="48"/>
      <c r="C114" s="86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</row>
    <row r="115">
      <c r="A115" s="71"/>
      <c r="B115" s="48"/>
      <c r="C115" s="86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</row>
    <row r="116">
      <c r="A116" s="71"/>
      <c r="B116" s="48"/>
      <c r="C116" s="86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</row>
    <row r="117">
      <c r="A117" s="71"/>
      <c r="B117" s="48"/>
      <c r="C117" s="86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</row>
    <row r="118">
      <c r="A118" s="71"/>
      <c r="B118" s="48"/>
      <c r="C118" s="86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</row>
    <row r="119">
      <c r="A119" s="71"/>
      <c r="B119" s="48"/>
      <c r="C119" s="86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</row>
    <row r="120">
      <c r="A120" s="71"/>
      <c r="B120" s="48"/>
      <c r="C120" s="86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</row>
    <row r="121">
      <c r="A121" s="71"/>
      <c r="B121" s="48"/>
      <c r="C121" s="86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</row>
    <row r="122">
      <c r="A122" s="71"/>
      <c r="B122" s="48"/>
      <c r="C122" s="86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</row>
    <row r="123">
      <c r="A123" s="71"/>
      <c r="B123" s="48"/>
      <c r="C123" s="86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</row>
    <row r="124">
      <c r="A124" s="71"/>
      <c r="B124" s="48"/>
      <c r="C124" s="86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</row>
    <row r="125">
      <c r="A125" s="71"/>
      <c r="B125" s="48"/>
      <c r="C125" s="86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</row>
    <row r="126">
      <c r="A126" s="71"/>
      <c r="B126" s="48"/>
      <c r="C126" s="86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</row>
    <row r="127">
      <c r="A127" s="71"/>
      <c r="B127" s="48"/>
      <c r="C127" s="86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</row>
    <row r="128">
      <c r="A128" s="71"/>
      <c r="B128" s="48"/>
      <c r="C128" s="86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</row>
    <row r="129">
      <c r="A129" s="71"/>
      <c r="B129" s="48"/>
      <c r="C129" s="86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</row>
    <row r="130">
      <c r="A130" s="71"/>
      <c r="B130" s="48"/>
      <c r="C130" s="86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</row>
    <row r="131">
      <c r="A131" s="71"/>
      <c r="B131" s="48"/>
      <c r="C131" s="86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</row>
    <row r="132">
      <c r="A132" s="71"/>
      <c r="B132" s="48"/>
      <c r="C132" s="86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</row>
    <row r="133">
      <c r="A133" s="71"/>
      <c r="B133" s="48"/>
      <c r="C133" s="86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</row>
    <row r="134">
      <c r="A134" s="71"/>
      <c r="B134" s="48"/>
      <c r="C134" s="86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</row>
    <row r="135">
      <c r="A135" s="71"/>
      <c r="B135" s="48"/>
      <c r="C135" s="86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</row>
    <row r="136">
      <c r="A136" s="71"/>
      <c r="B136" s="48"/>
      <c r="C136" s="86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</row>
    <row r="137">
      <c r="A137" s="71"/>
      <c r="B137" s="48"/>
      <c r="C137" s="86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</row>
    <row r="138">
      <c r="A138" s="71"/>
      <c r="B138" s="48"/>
      <c r="C138" s="86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</row>
    <row r="139">
      <c r="A139" s="71"/>
      <c r="B139" s="48"/>
      <c r="C139" s="86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</row>
    <row r="140">
      <c r="A140" s="71"/>
      <c r="B140" s="48"/>
      <c r="C140" s="86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</row>
    <row r="141">
      <c r="A141" s="71"/>
      <c r="B141" s="48"/>
      <c r="C141" s="86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</row>
    <row r="142">
      <c r="A142" s="71"/>
      <c r="B142" s="48"/>
      <c r="C142" s="86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</row>
    <row r="143">
      <c r="A143" s="71"/>
      <c r="B143" s="48"/>
      <c r="C143" s="86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</row>
    <row r="144">
      <c r="A144" s="71"/>
      <c r="B144" s="48"/>
      <c r="C144" s="86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</row>
    <row r="145">
      <c r="A145" s="71"/>
      <c r="B145" s="48"/>
      <c r="C145" s="86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</row>
    <row r="146">
      <c r="A146" s="71"/>
      <c r="B146" s="48"/>
      <c r="C146" s="86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</row>
    <row r="147">
      <c r="A147" s="71"/>
      <c r="B147" s="48"/>
      <c r="C147" s="86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</row>
    <row r="148">
      <c r="A148" s="71"/>
      <c r="B148" s="48"/>
      <c r="C148" s="86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</row>
    <row r="149">
      <c r="A149" s="71"/>
      <c r="B149" s="48"/>
      <c r="C149" s="86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</row>
    <row r="150">
      <c r="A150" s="71"/>
      <c r="B150" s="48"/>
      <c r="C150" s="86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</row>
    <row r="151">
      <c r="A151" s="71"/>
      <c r="B151" s="48"/>
      <c r="C151" s="86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</row>
    <row r="152">
      <c r="A152" s="71"/>
      <c r="B152" s="48"/>
      <c r="C152" s="86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</row>
    <row r="153">
      <c r="A153" s="71"/>
      <c r="B153" s="48"/>
      <c r="C153" s="86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</row>
    <row r="154">
      <c r="A154" s="71"/>
      <c r="B154" s="48"/>
      <c r="C154" s="86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</row>
    <row r="155">
      <c r="A155" s="71"/>
      <c r="B155" s="48"/>
      <c r="C155" s="86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</row>
    <row r="156">
      <c r="A156" s="71"/>
      <c r="B156" s="48"/>
      <c r="C156" s="86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</row>
    <row r="157">
      <c r="A157" s="71"/>
      <c r="B157" s="48"/>
      <c r="C157" s="86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</row>
    <row r="158">
      <c r="A158" s="71"/>
      <c r="B158" s="48"/>
      <c r="C158" s="86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</row>
    <row r="159">
      <c r="A159" s="71"/>
      <c r="B159" s="48"/>
      <c r="C159" s="86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</row>
    <row r="160">
      <c r="A160" s="71"/>
      <c r="B160" s="48"/>
      <c r="C160" s="86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</row>
    <row r="161">
      <c r="A161" s="71"/>
      <c r="B161" s="48"/>
      <c r="C161" s="86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</row>
    <row r="162">
      <c r="A162" s="71"/>
      <c r="B162" s="48"/>
      <c r="C162" s="86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</row>
    <row r="163">
      <c r="A163" s="71"/>
      <c r="B163" s="48"/>
      <c r="C163" s="86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</row>
    <row r="164">
      <c r="A164" s="71"/>
      <c r="B164" s="48"/>
      <c r="C164" s="86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</row>
    <row r="165">
      <c r="A165" s="71"/>
      <c r="B165" s="48"/>
      <c r="C165" s="86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</row>
    <row r="166">
      <c r="A166" s="71"/>
      <c r="B166" s="48"/>
      <c r="C166" s="86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</row>
    <row r="167">
      <c r="A167" s="71"/>
      <c r="B167" s="48"/>
      <c r="C167" s="86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</row>
    <row r="168">
      <c r="A168" s="71"/>
      <c r="B168" s="48"/>
      <c r="C168" s="86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</row>
    <row r="169">
      <c r="A169" s="71"/>
      <c r="B169" s="48"/>
      <c r="C169" s="86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</row>
    <row r="170">
      <c r="A170" s="71"/>
      <c r="B170" s="48"/>
      <c r="C170" s="86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</row>
    <row r="171">
      <c r="A171" s="71"/>
      <c r="B171" s="48"/>
      <c r="C171" s="86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</row>
    <row r="172">
      <c r="A172" s="71"/>
      <c r="B172" s="48"/>
      <c r="C172" s="86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</row>
    <row r="173">
      <c r="A173" s="71"/>
      <c r="B173" s="48"/>
      <c r="C173" s="86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</row>
    <row r="174">
      <c r="A174" s="71"/>
      <c r="B174" s="48"/>
      <c r="C174" s="86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</row>
    <row r="175">
      <c r="A175" s="71"/>
      <c r="B175" s="48"/>
      <c r="C175" s="86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</row>
    <row r="176">
      <c r="A176" s="71"/>
      <c r="B176" s="48"/>
      <c r="C176" s="86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</row>
    <row r="177">
      <c r="A177" s="71"/>
      <c r="B177" s="48"/>
      <c r="C177" s="86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</row>
    <row r="178">
      <c r="A178" s="71"/>
      <c r="B178" s="48"/>
      <c r="C178" s="86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</row>
    <row r="179">
      <c r="A179" s="71"/>
      <c r="B179" s="48"/>
      <c r="C179" s="86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</row>
    <row r="180">
      <c r="A180" s="71"/>
      <c r="B180" s="48"/>
      <c r="C180" s="86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</row>
    <row r="181">
      <c r="A181" s="71"/>
      <c r="B181" s="48"/>
      <c r="C181" s="86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</row>
    <row r="182">
      <c r="A182" s="71"/>
      <c r="B182" s="48"/>
      <c r="C182" s="86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</row>
    <row r="183">
      <c r="A183" s="71"/>
      <c r="B183" s="48"/>
      <c r="C183" s="86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</row>
    <row r="184">
      <c r="A184" s="71"/>
      <c r="B184" s="48"/>
      <c r="C184" s="86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</row>
    <row r="185">
      <c r="A185" s="71"/>
      <c r="B185" s="48"/>
      <c r="C185" s="86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</row>
    <row r="186">
      <c r="A186" s="71"/>
      <c r="B186" s="48"/>
      <c r="C186" s="86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</row>
    <row r="187">
      <c r="A187" s="71"/>
      <c r="B187" s="48"/>
      <c r="C187" s="86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</row>
    <row r="188">
      <c r="A188" s="71"/>
      <c r="B188" s="48"/>
      <c r="C188" s="86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</row>
    <row r="189">
      <c r="A189" s="71"/>
      <c r="B189" s="48"/>
      <c r="C189" s="86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</row>
    <row r="190">
      <c r="A190" s="71"/>
      <c r="B190" s="48"/>
      <c r="C190" s="86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>
      <c r="A191" s="71"/>
      <c r="B191" s="48"/>
      <c r="C191" s="86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>
      <c r="A192" s="71"/>
      <c r="B192" s="48"/>
      <c r="C192" s="86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</row>
    <row r="193">
      <c r="A193" s="71"/>
      <c r="B193" s="48"/>
      <c r="C193" s="86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>
      <c r="A194" s="71"/>
      <c r="B194" s="48"/>
      <c r="C194" s="86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>
      <c r="A195" s="71"/>
      <c r="B195" s="48"/>
      <c r="C195" s="86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>
      <c r="A196" s="71"/>
      <c r="B196" s="48"/>
      <c r="C196" s="86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</row>
    <row r="197">
      <c r="A197" s="71"/>
      <c r="B197" s="48"/>
      <c r="C197" s="86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>
      <c r="A198" s="71"/>
      <c r="B198" s="48"/>
      <c r="C198" s="86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>
      <c r="A199" s="71"/>
      <c r="B199" s="48"/>
      <c r="C199" s="86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</row>
    <row r="200">
      <c r="A200" s="71"/>
      <c r="B200" s="48"/>
      <c r="C200" s="86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>
      <c r="A201" s="71"/>
      <c r="B201" s="48"/>
      <c r="C201" s="86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>
      <c r="A202" s="71"/>
      <c r="B202" s="48"/>
      <c r="C202" s="86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>
      <c r="A203" s="71"/>
      <c r="B203" s="48"/>
      <c r="C203" s="86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>
      <c r="A204" s="71"/>
      <c r="B204" s="48"/>
      <c r="C204" s="86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>
      <c r="A205" s="71"/>
      <c r="B205" s="48"/>
      <c r="C205" s="86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>
      <c r="A206" s="71"/>
      <c r="B206" s="48"/>
      <c r="C206" s="86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>
      <c r="A207" s="71"/>
      <c r="B207" s="48"/>
      <c r="C207" s="86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>
      <c r="A208" s="71"/>
      <c r="B208" s="48"/>
      <c r="C208" s="86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>
      <c r="A209" s="71"/>
      <c r="B209" s="48"/>
      <c r="C209" s="86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>
      <c r="A210" s="71"/>
      <c r="B210" s="48"/>
      <c r="C210" s="86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>
      <c r="A211" s="71"/>
      <c r="B211" s="48"/>
      <c r="C211" s="86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>
      <c r="A212" s="71"/>
      <c r="B212" s="48"/>
      <c r="C212" s="86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>
      <c r="A213" s="71"/>
      <c r="B213" s="48"/>
      <c r="C213" s="86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>
      <c r="A214" s="71"/>
      <c r="B214" s="48"/>
      <c r="C214" s="86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>
      <c r="A215" s="71"/>
      <c r="B215" s="48"/>
      <c r="C215" s="86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>
      <c r="A216" s="71"/>
      <c r="B216" s="48"/>
      <c r="C216" s="86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>
      <c r="A217" s="71"/>
      <c r="B217" s="48"/>
      <c r="C217" s="86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>
      <c r="A218" s="71"/>
      <c r="B218" s="48"/>
      <c r="C218" s="86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>
      <c r="A219" s="71"/>
      <c r="B219" s="48"/>
      <c r="C219" s="86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>
      <c r="A220" s="71"/>
      <c r="B220" s="48"/>
      <c r="C220" s="86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>
      <c r="A221" s="71"/>
      <c r="B221" s="48"/>
      <c r="C221" s="86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</row>
    <row r="222">
      <c r="A222" s="71"/>
      <c r="B222" s="48"/>
      <c r="C222" s="86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</row>
    <row r="223">
      <c r="A223" s="71"/>
      <c r="B223" s="48"/>
      <c r="C223" s="86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</row>
    <row r="224">
      <c r="A224" s="71"/>
      <c r="B224" s="48"/>
      <c r="C224" s="86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</row>
    <row r="225">
      <c r="A225" s="71"/>
      <c r="B225" s="48"/>
      <c r="C225" s="86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</row>
    <row r="226">
      <c r="A226" s="71"/>
      <c r="B226" s="48"/>
      <c r="C226" s="86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</row>
    <row r="227">
      <c r="A227" s="71"/>
      <c r="B227" s="48"/>
      <c r="C227" s="86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</row>
    <row r="228">
      <c r="A228" s="71"/>
      <c r="B228" s="48"/>
      <c r="C228" s="86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</row>
    <row r="229">
      <c r="A229" s="71"/>
      <c r="B229" s="48"/>
      <c r="C229" s="86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</row>
    <row r="230">
      <c r="A230" s="71"/>
      <c r="B230" s="48"/>
      <c r="C230" s="86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</row>
    <row r="231">
      <c r="A231" s="71"/>
      <c r="B231" s="48"/>
      <c r="C231" s="86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</row>
    <row r="232">
      <c r="A232" s="71"/>
      <c r="B232" s="48"/>
      <c r="C232" s="86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</row>
    <row r="233">
      <c r="A233" s="71"/>
      <c r="B233" s="48"/>
      <c r="C233" s="86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</row>
    <row r="234">
      <c r="A234" s="71"/>
      <c r="B234" s="48"/>
      <c r="C234" s="86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</row>
    <row r="235">
      <c r="A235" s="71"/>
      <c r="B235" s="48"/>
      <c r="C235" s="86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</row>
    <row r="236">
      <c r="A236" s="71"/>
      <c r="B236" s="48"/>
      <c r="C236" s="86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</row>
    <row r="237">
      <c r="A237" s="71"/>
      <c r="B237" s="48"/>
      <c r="C237" s="86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</row>
    <row r="238">
      <c r="A238" s="71"/>
      <c r="B238" s="48"/>
      <c r="C238" s="86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</row>
    <row r="239">
      <c r="A239" s="71"/>
      <c r="B239" s="48"/>
      <c r="C239" s="86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</row>
    <row r="240">
      <c r="A240" s="71"/>
      <c r="B240" s="48"/>
      <c r="C240" s="86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</row>
    <row r="241">
      <c r="A241" s="71"/>
      <c r="B241" s="48"/>
      <c r="C241" s="86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</row>
    <row r="242">
      <c r="A242" s="71"/>
      <c r="B242" s="48"/>
      <c r="C242" s="86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</row>
    <row r="243">
      <c r="A243" s="71"/>
      <c r="B243" s="48"/>
      <c r="C243" s="86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</row>
    <row r="244">
      <c r="A244" s="71"/>
      <c r="B244" s="48"/>
      <c r="C244" s="86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</row>
    <row r="245">
      <c r="A245" s="71"/>
      <c r="B245" s="48"/>
      <c r="C245" s="86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</row>
    <row r="246">
      <c r="A246" s="71"/>
      <c r="B246" s="48"/>
      <c r="C246" s="86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</row>
    <row r="247">
      <c r="A247" s="71"/>
      <c r="B247" s="48"/>
      <c r="C247" s="86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</row>
    <row r="248">
      <c r="A248" s="71"/>
      <c r="B248" s="48"/>
      <c r="C248" s="86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</row>
    <row r="249">
      <c r="A249" s="71"/>
      <c r="B249" s="48"/>
      <c r="C249" s="86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</row>
    <row r="250">
      <c r="A250" s="71"/>
      <c r="B250" s="48"/>
      <c r="C250" s="86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</row>
    <row r="251">
      <c r="A251" s="71"/>
      <c r="B251" s="48"/>
      <c r="C251" s="86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</row>
    <row r="252">
      <c r="A252" s="71"/>
      <c r="B252" s="48"/>
      <c r="C252" s="86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</row>
    <row r="253">
      <c r="A253" s="71"/>
      <c r="B253" s="48"/>
      <c r="C253" s="86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</row>
    <row r="254">
      <c r="A254" s="71"/>
      <c r="B254" s="48"/>
      <c r="C254" s="86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</row>
    <row r="255">
      <c r="A255" s="71"/>
      <c r="B255" s="48"/>
      <c r="C255" s="86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</row>
    <row r="256">
      <c r="A256" s="71"/>
      <c r="B256" s="48"/>
      <c r="C256" s="86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</row>
    <row r="257">
      <c r="A257" s="71"/>
      <c r="B257" s="48"/>
      <c r="C257" s="86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</row>
    <row r="258">
      <c r="A258" s="71"/>
      <c r="B258" s="48"/>
      <c r="C258" s="86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</row>
    <row r="259">
      <c r="A259" s="71"/>
      <c r="B259" s="48"/>
      <c r="C259" s="86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</row>
    <row r="260">
      <c r="A260" s="71"/>
      <c r="B260" s="48"/>
      <c r="C260" s="86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</row>
    <row r="261">
      <c r="A261" s="71"/>
      <c r="B261" s="48"/>
      <c r="C261" s="86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</row>
    <row r="262">
      <c r="A262" s="71"/>
      <c r="B262" s="48"/>
      <c r="C262" s="86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</row>
    <row r="263">
      <c r="A263" s="71"/>
      <c r="B263" s="48"/>
      <c r="C263" s="86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</row>
    <row r="264">
      <c r="A264" s="71"/>
      <c r="B264" s="48"/>
      <c r="C264" s="86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</row>
    <row r="265">
      <c r="A265" s="71"/>
      <c r="B265" s="48"/>
      <c r="C265" s="86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</row>
    <row r="266">
      <c r="A266" s="71"/>
      <c r="B266" s="48"/>
      <c r="C266" s="86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</row>
    <row r="267">
      <c r="A267" s="71"/>
      <c r="B267" s="48"/>
      <c r="C267" s="86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</row>
    <row r="268">
      <c r="A268" s="71"/>
      <c r="B268" s="48"/>
      <c r="C268" s="86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</row>
    <row r="269">
      <c r="A269" s="71"/>
      <c r="B269" s="48"/>
      <c r="C269" s="86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</row>
    <row r="270">
      <c r="A270" s="71"/>
      <c r="B270" s="48"/>
      <c r="C270" s="86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</row>
    <row r="271">
      <c r="A271" s="71"/>
      <c r="B271" s="48"/>
      <c r="C271" s="86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</row>
    <row r="272">
      <c r="A272" s="71"/>
      <c r="B272" s="48"/>
      <c r="C272" s="86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</row>
    <row r="273">
      <c r="A273" s="71"/>
      <c r="B273" s="48"/>
      <c r="C273" s="86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</row>
    <row r="274">
      <c r="A274" s="71"/>
      <c r="B274" s="48"/>
      <c r="C274" s="86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</row>
    <row r="275">
      <c r="A275" s="71"/>
      <c r="B275" s="48"/>
      <c r="C275" s="86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</row>
    <row r="276">
      <c r="A276" s="71"/>
      <c r="B276" s="48"/>
      <c r="C276" s="86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</row>
    <row r="277">
      <c r="A277" s="71"/>
      <c r="B277" s="48"/>
      <c r="C277" s="86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</row>
    <row r="278">
      <c r="A278" s="71"/>
      <c r="B278" s="48"/>
      <c r="C278" s="86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</row>
    <row r="279">
      <c r="A279" s="71"/>
      <c r="B279" s="48"/>
      <c r="C279" s="86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</row>
    <row r="280">
      <c r="A280" s="71"/>
      <c r="B280" s="48"/>
      <c r="C280" s="86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</row>
    <row r="281">
      <c r="A281" s="71"/>
      <c r="B281" s="48"/>
      <c r="C281" s="86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</row>
    <row r="282">
      <c r="A282" s="71"/>
      <c r="B282" s="48"/>
      <c r="C282" s="86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</row>
    <row r="283">
      <c r="A283" s="71"/>
      <c r="B283" s="48"/>
      <c r="C283" s="86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</row>
    <row r="284">
      <c r="A284" s="71"/>
      <c r="B284" s="48"/>
      <c r="C284" s="86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</row>
    <row r="285">
      <c r="A285" s="71"/>
      <c r="B285" s="48"/>
      <c r="C285" s="86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</row>
    <row r="286">
      <c r="A286" s="71"/>
      <c r="B286" s="48"/>
      <c r="C286" s="86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</row>
    <row r="287">
      <c r="A287" s="71"/>
      <c r="B287" s="48"/>
      <c r="C287" s="86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</row>
    <row r="288">
      <c r="A288" s="71"/>
      <c r="B288" s="48"/>
      <c r="C288" s="86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</row>
    <row r="289">
      <c r="A289" s="71"/>
      <c r="B289" s="48"/>
      <c r="C289" s="86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</row>
    <row r="290">
      <c r="A290" s="71"/>
      <c r="B290" s="48"/>
      <c r="C290" s="86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</row>
    <row r="291">
      <c r="A291" s="71"/>
      <c r="B291" s="48"/>
      <c r="C291" s="86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</row>
    <row r="292">
      <c r="A292" s="71"/>
      <c r="B292" s="48"/>
      <c r="C292" s="86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</row>
    <row r="293">
      <c r="A293" s="71"/>
      <c r="B293" s="48"/>
      <c r="C293" s="86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</row>
    <row r="294">
      <c r="A294" s="71"/>
      <c r="B294" s="48"/>
      <c r="C294" s="86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</row>
    <row r="295">
      <c r="A295" s="71"/>
      <c r="B295" s="48"/>
      <c r="C295" s="86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</row>
    <row r="296">
      <c r="A296" s="71"/>
      <c r="B296" s="48"/>
      <c r="C296" s="86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</row>
    <row r="297">
      <c r="A297" s="71"/>
      <c r="B297" s="48"/>
      <c r="C297" s="86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</row>
    <row r="298">
      <c r="A298" s="71"/>
      <c r="B298" s="48"/>
      <c r="C298" s="86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</row>
    <row r="299">
      <c r="A299" s="71"/>
      <c r="B299" s="48"/>
      <c r="C299" s="86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</row>
    <row r="300">
      <c r="A300" s="71"/>
      <c r="B300" s="48"/>
      <c r="C300" s="86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</row>
    <row r="301">
      <c r="A301" s="71"/>
      <c r="B301" s="48"/>
      <c r="C301" s="86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</row>
    <row r="302">
      <c r="A302" s="71"/>
      <c r="B302" s="48"/>
      <c r="C302" s="86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</row>
    <row r="303">
      <c r="A303" s="71"/>
      <c r="B303" s="48"/>
      <c r="C303" s="86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</row>
    <row r="304">
      <c r="A304" s="71"/>
      <c r="B304" s="48"/>
      <c r="C304" s="86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</row>
    <row r="305">
      <c r="A305" s="71"/>
      <c r="B305" s="48"/>
      <c r="C305" s="86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</row>
    <row r="306">
      <c r="A306" s="71"/>
      <c r="B306" s="48"/>
      <c r="C306" s="86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</row>
    <row r="307">
      <c r="A307" s="71"/>
      <c r="B307" s="48"/>
      <c r="C307" s="86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</row>
    <row r="308">
      <c r="A308" s="71"/>
      <c r="B308" s="48"/>
      <c r="C308" s="86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</row>
    <row r="309">
      <c r="A309" s="71"/>
      <c r="B309" s="48"/>
      <c r="C309" s="86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</row>
    <row r="310">
      <c r="A310" s="71"/>
      <c r="B310" s="48"/>
      <c r="C310" s="86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</row>
    <row r="311">
      <c r="A311" s="71"/>
      <c r="B311" s="48"/>
      <c r="C311" s="86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</row>
    <row r="312">
      <c r="A312" s="71"/>
      <c r="B312" s="48"/>
      <c r="C312" s="86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</row>
    <row r="313">
      <c r="A313" s="71"/>
      <c r="B313" s="48"/>
      <c r="C313" s="86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</row>
    <row r="314">
      <c r="A314" s="71"/>
      <c r="B314" s="48"/>
      <c r="C314" s="86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</row>
    <row r="315">
      <c r="A315" s="71"/>
      <c r="B315" s="48"/>
      <c r="C315" s="86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</row>
    <row r="316">
      <c r="A316" s="71"/>
      <c r="B316" s="48"/>
      <c r="C316" s="86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</row>
    <row r="317">
      <c r="A317" s="71"/>
      <c r="B317" s="48"/>
      <c r="C317" s="86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</row>
    <row r="318">
      <c r="A318" s="71"/>
      <c r="B318" s="48"/>
      <c r="C318" s="86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</row>
    <row r="319">
      <c r="A319" s="71"/>
      <c r="B319" s="48"/>
      <c r="C319" s="86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</row>
    <row r="320">
      <c r="A320" s="71"/>
      <c r="B320" s="48"/>
      <c r="C320" s="86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</row>
    <row r="321">
      <c r="A321" s="71"/>
      <c r="B321" s="48"/>
      <c r="C321" s="86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</row>
    <row r="322">
      <c r="A322" s="71"/>
      <c r="B322" s="48"/>
      <c r="C322" s="86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</row>
    <row r="323">
      <c r="A323" s="71"/>
      <c r="B323" s="48"/>
      <c r="C323" s="86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</row>
    <row r="324">
      <c r="A324" s="71"/>
      <c r="B324" s="48"/>
      <c r="C324" s="86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</row>
    <row r="325">
      <c r="A325" s="71"/>
      <c r="B325" s="48"/>
      <c r="C325" s="86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</row>
    <row r="326">
      <c r="A326" s="71"/>
      <c r="B326" s="48"/>
      <c r="C326" s="86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</row>
    <row r="327">
      <c r="A327" s="71"/>
      <c r="B327" s="48"/>
      <c r="C327" s="86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</row>
    <row r="328">
      <c r="A328" s="71"/>
      <c r="B328" s="48"/>
      <c r="C328" s="86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</row>
    <row r="329">
      <c r="A329" s="71"/>
      <c r="B329" s="48"/>
      <c r="C329" s="86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</row>
    <row r="330">
      <c r="A330" s="71"/>
      <c r="B330" s="48"/>
      <c r="C330" s="86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</row>
    <row r="331">
      <c r="A331" s="71"/>
      <c r="B331" s="48"/>
      <c r="C331" s="86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</row>
    <row r="332">
      <c r="A332" s="71"/>
      <c r="B332" s="48"/>
      <c r="C332" s="86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</row>
    <row r="333">
      <c r="A333" s="71"/>
      <c r="B333" s="48"/>
      <c r="C333" s="86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</row>
    <row r="334">
      <c r="A334" s="71"/>
      <c r="B334" s="48"/>
      <c r="C334" s="86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</row>
    <row r="335">
      <c r="A335" s="71"/>
      <c r="B335" s="48"/>
      <c r="C335" s="86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</row>
    <row r="336">
      <c r="A336" s="71"/>
      <c r="B336" s="48"/>
      <c r="C336" s="86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</row>
    <row r="337">
      <c r="A337" s="71"/>
      <c r="B337" s="48"/>
      <c r="C337" s="86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</row>
    <row r="338">
      <c r="A338" s="71"/>
      <c r="B338" s="48"/>
      <c r="C338" s="86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</row>
    <row r="339">
      <c r="A339" s="71"/>
      <c r="B339" s="48"/>
      <c r="C339" s="86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</row>
    <row r="340">
      <c r="A340" s="71"/>
      <c r="B340" s="48"/>
      <c r="C340" s="86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</row>
    <row r="341">
      <c r="A341" s="71"/>
      <c r="B341" s="48"/>
      <c r="C341" s="86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</row>
    <row r="342">
      <c r="A342" s="71"/>
      <c r="B342" s="48"/>
      <c r="C342" s="86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</row>
    <row r="343">
      <c r="A343" s="71"/>
      <c r="B343" s="48"/>
      <c r="C343" s="86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</row>
    <row r="344">
      <c r="A344" s="71"/>
      <c r="B344" s="48"/>
      <c r="C344" s="86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</row>
    <row r="345">
      <c r="A345" s="71"/>
      <c r="B345" s="48"/>
      <c r="C345" s="86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</row>
    <row r="346">
      <c r="A346" s="71"/>
      <c r="B346" s="48"/>
      <c r="C346" s="86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</row>
    <row r="347">
      <c r="A347" s="71"/>
      <c r="B347" s="48"/>
      <c r="C347" s="86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</row>
    <row r="348">
      <c r="A348" s="71"/>
      <c r="B348" s="48"/>
      <c r="C348" s="86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</row>
    <row r="349">
      <c r="A349" s="71"/>
      <c r="B349" s="48"/>
      <c r="C349" s="86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</row>
    <row r="350">
      <c r="A350" s="71"/>
      <c r="B350" s="48"/>
      <c r="C350" s="86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</row>
    <row r="351">
      <c r="A351" s="71"/>
      <c r="B351" s="48"/>
      <c r="C351" s="86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</row>
    <row r="352">
      <c r="A352" s="71"/>
      <c r="B352" s="48"/>
      <c r="C352" s="86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</row>
    <row r="353">
      <c r="A353" s="71"/>
      <c r="B353" s="48"/>
      <c r="C353" s="86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</row>
    <row r="354">
      <c r="A354" s="71"/>
      <c r="B354" s="48"/>
      <c r="C354" s="86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</row>
    <row r="355">
      <c r="A355" s="71"/>
      <c r="B355" s="48"/>
      <c r="C355" s="86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</row>
    <row r="356">
      <c r="A356" s="71"/>
      <c r="B356" s="48"/>
      <c r="C356" s="86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</row>
    <row r="357">
      <c r="A357" s="71"/>
      <c r="B357" s="48"/>
      <c r="C357" s="86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</row>
    <row r="358">
      <c r="A358" s="71"/>
      <c r="B358" s="48"/>
      <c r="C358" s="86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</row>
    <row r="359">
      <c r="A359" s="71"/>
      <c r="B359" s="48"/>
      <c r="C359" s="86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</row>
    <row r="360">
      <c r="A360" s="71"/>
      <c r="B360" s="48"/>
      <c r="C360" s="86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</row>
    <row r="361">
      <c r="A361" s="71"/>
      <c r="B361" s="48"/>
      <c r="C361" s="86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</row>
    <row r="362">
      <c r="A362" s="71"/>
      <c r="B362" s="48"/>
      <c r="C362" s="86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</row>
    <row r="363">
      <c r="A363" s="71"/>
      <c r="B363" s="48"/>
      <c r="C363" s="86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</row>
    <row r="364">
      <c r="A364" s="71"/>
      <c r="B364" s="48"/>
      <c r="C364" s="86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</row>
    <row r="365">
      <c r="A365" s="71"/>
      <c r="B365" s="48"/>
      <c r="C365" s="86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</row>
    <row r="366">
      <c r="A366" s="71"/>
      <c r="B366" s="48"/>
      <c r="C366" s="86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</row>
    <row r="367">
      <c r="A367" s="71"/>
      <c r="B367" s="48"/>
      <c r="C367" s="86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</row>
    <row r="368">
      <c r="A368" s="71"/>
      <c r="B368" s="48"/>
      <c r="C368" s="86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</row>
    <row r="369">
      <c r="A369" s="71"/>
      <c r="B369" s="48"/>
      <c r="C369" s="86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</row>
    <row r="370">
      <c r="A370" s="71"/>
      <c r="B370" s="48"/>
      <c r="C370" s="86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</row>
    <row r="371">
      <c r="A371" s="71"/>
      <c r="B371" s="48"/>
      <c r="C371" s="86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</row>
    <row r="372">
      <c r="A372" s="71"/>
      <c r="B372" s="48"/>
      <c r="C372" s="86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</row>
    <row r="373">
      <c r="A373" s="71"/>
      <c r="B373" s="48"/>
      <c r="C373" s="86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</row>
    <row r="374">
      <c r="A374" s="71"/>
      <c r="B374" s="48"/>
      <c r="C374" s="86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</row>
    <row r="375">
      <c r="A375" s="71"/>
      <c r="B375" s="48"/>
      <c r="C375" s="86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</row>
    <row r="376">
      <c r="A376" s="71"/>
      <c r="B376" s="48"/>
      <c r="C376" s="86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</row>
    <row r="377">
      <c r="A377" s="71"/>
      <c r="B377" s="48"/>
      <c r="C377" s="86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</row>
    <row r="378">
      <c r="A378" s="71"/>
      <c r="B378" s="48"/>
      <c r="C378" s="86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</row>
    <row r="379">
      <c r="A379" s="71"/>
      <c r="B379" s="48"/>
      <c r="C379" s="86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</row>
    <row r="380">
      <c r="A380" s="71"/>
      <c r="B380" s="48"/>
      <c r="C380" s="86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</row>
    <row r="381">
      <c r="A381" s="71"/>
      <c r="B381" s="48"/>
      <c r="C381" s="86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</row>
    <row r="382">
      <c r="A382" s="71"/>
      <c r="B382" s="48"/>
      <c r="C382" s="86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</row>
    <row r="383">
      <c r="A383" s="71"/>
      <c r="B383" s="48"/>
      <c r="C383" s="86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</row>
    <row r="384">
      <c r="A384" s="71"/>
      <c r="B384" s="48"/>
      <c r="C384" s="86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</row>
    <row r="385">
      <c r="A385" s="71"/>
      <c r="B385" s="48"/>
      <c r="C385" s="86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</row>
    <row r="386">
      <c r="A386" s="71"/>
      <c r="B386" s="48"/>
      <c r="C386" s="86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</row>
    <row r="387">
      <c r="A387" s="71"/>
      <c r="B387" s="48"/>
      <c r="C387" s="86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</row>
    <row r="388">
      <c r="A388" s="71"/>
      <c r="B388" s="48"/>
      <c r="C388" s="86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</row>
    <row r="389">
      <c r="A389" s="71"/>
      <c r="B389" s="48"/>
      <c r="C389" s="86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</row>
    <row r="390">
      <c r="A390" s="71"/>
      <c r="B390" s="48"/>
      <c r="C390" s="86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</row>
    <row r="391">
      <c r="A391" s="71"/>
      <c r="B391" s="48"/>
      <c r="C391" s="86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</row>
    <row r="392">
      <c r="A392" s="71"/>
      <c r="B392" s="48"/>
      <c r="C392" s="86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</row>
    <row r="393">
      <c r="A393" s="71"/>
      <c r="B393" s="48"/>
      <c r="C393" s="86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</row>
    <row r="394">
      <c r="A394" s="71"/>
      <c r="B394" s="48"/>
      <c r="C394" s="86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</row>
    <row r="395">
      <c r="A395" s="71"/>
      <c r="B395" s="48"/>
      <c r="C395" s="86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</row>
    <row r="396">
      <c r="A396" s="71"/>
      <c r="B396" s="48"/>
      <c r="C396" s="86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</row>
    <row r="397">
      <c r="A397" s="71"/>
      <c r="B397" s="48"/>
      <c r="C397" s="86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</row>
    <row r="398">
      <c r="A398" s="71"/>
      <c r="B398" s="48"/>
      <c r="C398" s="86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</row>
    <row r="399">
      <c r="A399" s="71"/>
      <c r="B399" s="48"/>
      <c r="C399" s="86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</row>
    <row r="400">
      <c r="A400" s="71"/>
      <c r="B400" s="48"/>
      <c r="C400" s="86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</row>
    <row r="401">
      <c r="A401" s="71"/>
      <c r="B401" s="48"/>
      <c r="C401" s="86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</row>
    <row r="402">
      <c r="A402" s="71"/>
      <c r="B402" s="48"/>
      <c r="C402" s="86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</row>
    <row r="403">
      <c r="A403" s="71"/>
      <c r="B403" s="48"/>
      <c r="C403" s="86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</row>
    <row r="404">
      <c r="A404" s="71"/>
      <c r="B404" s="48"/>
      <c r="C404" s="86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</row>
    <row r="405">
      <c r="A405" s="71"/>
      <c r="B405" s="48"/>
      <c r="C405" s="86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</row>
    <row r="406">
      <c r="A406" s="71"/>
      <c r="B406" s="48"/>
      <c r="C406" s="86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</row>
    <row r="407">
      <c r="A407" s="71"/>
      <c r="B407" s="48"/>
      <c r="C407" s="86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</row>
    <row r="408">
      <c r="A408" s="71"/>
      <c r="B408" s="48"/>
      <c r="C408" s="86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</row>
    <row r="409">
      <c r="A409" s="71"/>
      <c r="B409" s="48"/>
      <c r="C409" s="86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</row>
    <row r="410">
      <c r="A410" s="71"/>
      <c r="B410" s="48"/>
      <c r="C410" s="86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</row>
    <row r="411">
      <c r="A411" s="71"/>
      <c r="B411" s="48"/>
      <c r="C411" s="86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</row>
    <row r="412">
      <c r="A412" s="71"/>
      <c r="B412" s="48"/>
      <c r="C412" s="86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</row>
    <row r="413">
      <c r="A413" s="71"/>
      <c r="B413" s="48"/>
      <c r="C413" s="86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</row>
    <row r="414">
      <c r="A414" s="71"/>
      <c r="B414" s="48"/>
      <c r="C414" s="86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</row>
    <row r="415">
      <c r="A415" s="71"/>
      <c r="B415" s="48"/>
      <c r="C415" s="86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</row>
    <row r="416">
      <c r="A416" s="71"/>
      <c r="B416" s="48"/>
      <c r="C416" s="86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</row>
    <row r="417">
      <c r="A417" s="71"/>
      <c r="B417" s="48"/>
      <c r="C417" s="86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</row>
    <row r="418">
      <c r="A418" s="71"/>
      <c r="B418" s="48"/>
      <c r="C418" s="86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</row>
    <row r="419">
      <c r="A419" s="71"/>
      <c r="B419" s="48"/>
      <c r="C419" s="86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</row>
    <row r="420">
      <c r="A420" s="71"/>
      <c r="B420" s="48"/>
      <c r="C420" s="86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</row>
    <row r="421">
      <c r="A421" s="71"/>
      <c r="B421" s="48"/>
      <c r="C421" s="86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</row>
    <row r="422">
      <c r="A422" s="71"/>
      <c r="B422" s="48"/>
      <c r="C422" s="86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</row>
    <row r="423">
      <c r="A423" s="71"/>
      <c r="B423" s="48"/>
      <c r="C423" s="86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</row>
    <row r="424">
      <c r="A424" s="71"/>
      <c r="B424" s="48"/>
      <c r="C424" s="86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</row>
    <row r="425">
      <c r="A425" s="71"/>
      <c r="B425" s="48"/>
      <c r="C425" s="86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</row>
    <row r="426">
      <c r="A426" s="71"/>
      <c r="B426" s="48"/>
      <c r="C426" s="86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</row>
    <row r="427">
      <c r="A427" s="71"/>
      <c r="B427" s="48"/>
      <c r="C427" s="86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</row>
    <row r="428">
      <c r="A428" s="71"/>
      <c r="B428" s="48"/>
      <c r="C428" s="86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</row>
    <row r="429">
      <c r="A429" s="71"/>
      <c r="B429" s="48"/>
      <c r="C429" s="86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</row>
    <row r="430">
      <c r="A430" s="71"/>
      <c r="B430" s="48"/>
      <c r="C430" s="86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</row>
    <row r="431">
      <c r="A431" s="71"/>
      <c r="B431" s="48"/>
      <c r="C431" s="86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</row>
    <row r="432">
      <c r="A432" s="71"/>
      <c r="B432" s="48"/>
      <c r="C432" s="86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</row>
    <row r="433">
      <c r="A433" s="71"/>
      <c r="B433" s="48"/>
      <c r="C433" s="86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</row>
    <row r="434">
      <c r="A434" s="71"/>
      <c r="B434" s="48"/>
      <c r="C434" s="86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</row>
    <row r="435">
      <c r="A435" s="71"/>
      <c r="B435" s="48"/>
      <c r="C435" s="86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</row>
    <row r="436">
      <c r="A436" s="71"/>
      <c r="B436" s="48"/>
      <c r="C436" s="86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</row>
    <row r="437">
      <c r="A437" s="71"/>
      <c r="B437" s="48"/>
      <c r="C437" s="86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</row>
    <row r="438">
      <c r="A438" s="71"/>
      <c r="B438" s="48"/>
      <c r="C438" s="86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</row>
    <row r="439">
      <c r="A439" s="71"/>
      <c r="B439" s="48"/>
      <c r="C439" s="86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</row>
    <row r="440">
      <c r="A440" s="71"/>
      <c r="B440" s="48"/>
      <c r="C440" s="86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</row>
    <row r="441">
      <c r="A441" s="71"/>
      <c r="B441" s="48"/>
      <c r="C441" s="86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</row>
    <row r="442">
      <c r="A442" s="71"/>
      <c r="B442" s="48"/>
      <c r="C442" s="86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</row>
    <row r="443">
      <c r="A443" s="71"/>
      <c r="B443" s="48"/>
      <c r="C443" s="86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</row>
    <row r="444">
      <c r="A444" s="71"/>
      <c r="B444" s="48"/>
      <c r="C444" s="86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</row>
    <row r="445">
      <c r="A445" s="71"/>
      <c r="B445" s="48"/>
      <c r="C445" s="86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</row>
    <row r="446">
      <c r="A446" s="71"/>
      <c r="B446" s="48"/>
      <c r="C446" s="86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</row>
    <row r="447">
      <c r="A447" s="71"/>
      <c r="B447" s="48"/>
      <c r="C447" s="86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</row>
    <row r="448">
      <c r="A448" s="71"/>
      <c r="B448" s="48"/>
      <c r="C448" s="86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</row>
    <row r="449">
      <c r="A449" s="71"/>
      <c r="B449" s="48"/>
      <c r="C449" s="86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</row>
    <row r="450">
      <c r="A450" s="71"/>
      <c r="B450" s="48"/>
      <c r="C450" s="86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</row>
    <row r="451">
      <c r="A451" s="71"/>
      <c r="B451" s="48"/>
      <c r="C451" s="86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</row>
    <row r="452">
      <c r="A452" s="71"/>
      <c r="B452" s="48"/>
      <c r="C452" s="86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</row>
    <row r="453">
      <c r="A453" s="71"/>
      <c r="B453" s="48"/>
      <c r="C453" s="86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</row>
    <row r="454">
      <c r="A454" s="71"/>
      <c r="B454" s="48"/>
      <c r="C454" s="86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</row>
    <row r="455">
      <c r="A455" s="71"/>
      <c r="B455" s="48"/>
      <c r="C455" s="86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</row>
    <row r="456">
      <c r="A456" s="71"/>
      <c r="B456" s="48"/>
      <c r="C456" s="86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</row>
    <row r="457">
      <c r="A457" s="71"/>
      <c r="B457" s="48"/>
      <c r="C457" s="86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</row>
    <row r="458">
      <c r="A458" s="71"/>
      <c r="B458" s="48"/>
      <c r="C458" s="86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</row>
    <row r="459">
      <c r="A459" s="71"/>
      <c r="B459" s="48"/>
      <c r="C459" s="86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</row>
    <row r="460">
      <c r="A460" s="71"/>
      <c r="B460" s="48"/>
      <c r="C460" s="86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</row>
    <row r="461">
      <c r="A461" s="71"/>
      <c r="B461" s="48"/>
      <c r="C461" s="86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</row>
    <row r="462">
      <c r="A462" s="71"/>
      <c r="B462" s="48"/>
      <c r="C462" s="86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</row>
    <row r="463">
      <c r="A463" s="71"/>
      <c r="B463" s="48"/>
      <c r="C463" s="86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</row>
    <row r="464">
      <c r="A464" s="71"/>
      <c r="B464" s="48"/>
      <c r="C464" s="86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</row>
    <row r="465">
      <c r="A465" s="71"/>
      <c r="B465" s="48"/>
      <c r="C465" s="86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</row>
    <row r="466">
      <c r="A466" s="71"/>
      <c r="B466" s="48"/>
      <c r="C466" s="86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</row>
    <row r="467">
      <c r="A467" s="71"/>
      <c r="B467" s="48"/>
      <c r="C467" s="86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</row>
    <row r="468">
      <c r="A468" s="71"/>
      <c r="B468" s="48"/>
      <c r="C468" s="86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</row>
    <row r="469">
      <c r="A469" s="71"/>
      <c r="B469" s="48"/>
      <c r="C469" s="86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</row>
    <row r="470">
      <c r="A470" s="71"/>
      <c r="B470" s="48"/>
      <c r="C470" s="86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</row>
    <row r="471">
      <c r="A471" s="71"/>
      <c r="B471" s="48"/>
      <c r="C471" s="86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</row>
    <row r="472">
      <c r="A472" s="71"/>
      <c r="B472" s="48"/>
      <c r="C472" s="86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</row>
    <row r="473">
      <c r="A473" s="71"/>
      <c r="B473" s="48"/>
      <c r="C473" s="86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</row>
    <row r="474">
      <c r="A474" s="71"/>
      <c r="B474" s="48"/>
      <c r="C474" s="86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</row>
    <row r="475">
      <c r="A475" s="71"/>
      <c r="B475" s="48"/>
      <c r="C475" s="86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</row>
    <row r="476">
      <c r="A476" s="71"/>
      <c r="B476" s="48"/>
      <c r="C476" s="86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</row>
    <row r="477">
      <c r="A477" s="71"/>
      <c r="B477" s="48"/>
      <c r="C477" s="86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</row>
    <row r="478">
      <c r="A478" s="71"/>
      <c r="B478" s="48"/>
      <c r="C478" s="86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</row>
    <row r="479">
      <c r="A479" s="71"/>
      <c r="B479" s="48"/>
      <c r="C479" s="86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</row>
    <row r="480">
      <c r="A480" s="71"/>
      <c r="B480" s="48"/>
      <c r="C480" s="86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</row>
    <row r="481">
      <c r="A481" s="71"/>
      <c r="B481" s="48"/>
      <c r="C481" s="86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</row>
    <row r="482">
      <c r="A482" s="71"/>
      <c r="B482" s="48"/>
      <c r="C482" s="86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</row>
    <row r="483">
      <c r="A483" s="71"/>
      <c r="B483" s="48"/>
      <c r="C483" s="86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</row>
    <row r="484">
      <c r="A484" s="71"/>
      <c r="B484" s="48"/>
      <c r="C484" s="86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</row>
    <row r="485">
      <c r="A485" s="71"/>
      <c r="B485" s="48"/>
      <c r="C485" s="86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</row>
    <row r="486">
      <c r="A486" s="71"/>
      <c r="B486" s="48"/>
      <c r="C486" s="86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</row>
    <row r="487">
      <c r="A487" s="71"/>
      <c r="B487" s="48"/>
      <c r="C487" s="86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</row>
    <row r="488">
      <c r="A488" s="71"/>
      <c r="B488" s="48"/>
      <c r="C488" s="86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</row>
    <row r="489">
      <c r="A489" s="71"/>
      <c r="B489" s="48"/>
      <c r="C489" s="86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</row>
    <row r="490">
      <c r="A490" s="71"/>
      <c r="B490" s="48"/>
      <c r="C490" s="86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</row>
    <row r="491">
      <c r="A491" s="71"/>
      <c r="B491" s="48"/>
      <c r="C491" s="86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</row>
    <row r="492">
      <c r="A492" s="71"/>
      <c r="B492" s="48"/>
      <c r="C492" s="86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</row>
    <row r="493">
      <c r="A493" s="71"/>
      <c r="B493" s="48"/>
      <c r="C493" s="86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</row>
    <row r="494">
      <c r="A494" s="71"/>
      <c r="B494" s="48"/>
      <c r="C494" s="86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</row>
    <row r="495">
      <c r="A495" s="71"/>
      <c r="B495" s="48"/>
      <c r="C495" s="86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</row>
    <row r="496">
      <c r="A496" s="71"/>
      <c r="B496" s="48"/>
      <c r="C496" s="86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</row>
    <row r="497">
      <c r="A497" s="71"/>
      <c r="B497" s="48"/>
      <c r="C497" s="86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</row>
    <row r="498">
      <c r="A498" s="71"/>
      <c r="B498" s="48"/>
      <c r="C498" s="86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</row>
    <row r="499">
      <c r="A499" s="71"/>
      <c r="B499" s="48"/>
      <c r="C499" s="86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</row>
    <row r="500">
      <c r="A500" s="71"/>
      <c r="B500" s="48"/>
      <c r="C500" s="86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</row>
    <row r="501">
      <c r="A501" s="71"/>
      <c r="B501" s="48"/>
      <c r="C501" s="86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</row>
    <row r="502">
      <c r="A502" s="71"/>
      <c r="B502" s="48"/>
      <c r="C502" s="86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</row>
    <row r="503">
      <c r="A503" s="71"/>
      <c r="B503" s="48"/>
      <c r="C503" s="86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</row>
    <row r="504">
      <c r="A504" s="71"/>
      <c r="B504" s="48"/>
      <c r="C504" s="86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</row>
    <row r="505">
      <c r="A505" s="71"/>
      <c r="B505" s="48"/>
      <c r="C505" s="86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</row>
    <row r="506">
      <c r="A506" s="71"/>
      <c r="B506" s="48"/>
      <c r="C506" s="86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</row>
    <row r="507">
      <c r="A507" s="71"/>
      <c r="B507" s="48"/>
      <c r="C507" s="86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</row>
    <row r="508">
      <c r="A508" s="71"/>
      <c r="B508" s="48"/>
      <c r="C508" s="86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</row>
    <row r="509">
      <c r="A509" s="71"/>
      <c r="B509" s="48"/>
      <c r="C509" s="86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</row>
    <row r="510">
      <c r="A510" s="71"/>
      <c r="B510" s="48"/>
      <c r="C510" s="86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</row>
    <row r="511">
      <c r="A511" s="71"/>
      <c r="B511" s="48"/>
      <c r="C511" s="86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</row>
    <row r="512">
      <c r="A512" s="71"/>
      <c r="B512" s="48"/>
      <c r="C512" s="86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</row>
    <row r="513">
      <c r="A513" s="71"/>
      <c r="B513" s="48"/>
      <c r="C513" s="86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</row>
    <row r="514">
      <c r="A514" s="71"/>
      <c r="B514" s="48"/>
      <c r="C514" s="86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</row>
    <row r="515">
      <c r="A515" s="71"/>
      <c r="B515" s="48"/>
      <c r="C515" s="86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</row>
    <row r="516">
      <c r="A516" s="71"/>
      <c r="B516" s="48"/>
      <c r="C516" s="86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</row>
    <row r="517">
      <c r="A517" s="71"/>
      <c r="B517" s="48"/>
      <c r="C517" s="86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</row>
    <row r="518">
      <c r="A518" s="71"/>
      <c r="B518" s="48"/>
      <c r="C518" s="86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</row>
    <row r="519">
      <c r="A519" s="71"/>
      <c r="B519" s="48"/>
      <c r="C519" s="86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</row>
    <row r="520">
      <c r="A520" s="71"/>
      <c r="B520" s="48"/>
      <c r="C520" s="86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</row>
    <row r="521">
      <c r="A521" s="71"/>
      <c r="B521" s="48"/>
      <c r="C521" s="86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</row>
    <row r="522">
      <c r="A522" s="71"/>
      <c r="B522" s="48"/>
      <c r="C522" s="86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</row>
    <row r="523">
      <c r="A523" s="71"/>
      <c r="B523" s="48"/>
      <c r="C523" s="86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</row>
    <row r="524">
      <c r="A524" s="71"/>
      <c r="B524" s="48"/>
      <c r="C524" s="86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</row>
    <row r="525">
      <c r="A525" s="71"/>
      <c r="B525" s="48"/>
      <c r="C525" s="86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</row>
    <row r="526">
      <c r="A526" s="71"/>
      <c r="B526" s="48"/>
      <c r="C526" s="86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</row>
    <row r="527">
      <c r="A527" s="71"/>
      <c r="B527" s="48"/>
      <c r="C527" s="86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</row>
    <row r="528">
      <c r="A528" s="71"/>
      <c r="B528" s="48"/>
      <c r="C528" s="86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</row>
    <row r="529">
      <c r="A529" s="71"/>
      <c r="B529" s="48"/>
      <c r="C529" s="86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</row>
    <row r="530">
      <c r="A530" s="71"/>
      <c r="B530" s="48"/>
      <c r="C530" s="86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</row>
    <row r="531">
      <c r="A531" s="71"/>
      <c r="B531" s="48"/>
      <c r="C531" s="86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</row>
    <row r="532">
      <c r="A532" s="71"/>
      <c r="B532" s="48"/>
      <c r="C532" s="86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</row>
    <row r="533">
      <c r="A533" s="71"/>
      <c r="B533" s="48"/>
      <c r="C533" s="86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</row>
    <row r="534">
      <c r="A534" s="71"/>
      <c r="B534" s="48"/>
      <c r="C534" s="86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</row>
    <row r="535">
      <c r="A535" s="71"/>
      <c r="B535" s="48"/>
      <c r="C535" s="86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</row>
    <row r="536">
      <c r="A536" s="71"/>
      <c r="B536" s="48"/>
      <c r="C536" s="86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</row>
    <row r="537">
      <c r="A537" s="71"/>
      <c r="B537" s="48"/>
      <c r="C537" s="86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</row>
    <row r="538">
      <c r="A538" s="71"/>
      <c r="B538" s="48"/>
      <c r="C538" s="86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</row>
    <row r="539">
      <c r="A539" s="71"/>
      <c r="B539" s="48"/>
      <c r="C539" s="86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</row>
    <row r="540">
      <c r="A540" s="71"/>
      <c r="B540" s="48"/>
      <c r="C540" s="86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</row>
    <row r="541">
      <c r="A541" s="71"/>
      <c r="B541" s="48"/>
      <c r="C541" s="86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</row>
    <row r="542">
      <c r="A542" s="71"/>
      <c r="B542" s="48"/>
      <c r="C542" s="86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</row>
    <row r="543">
      <c r="A543" s="71"/>
      <c r="B543" s="48"/>
      <c r="C543" s="86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</row>
    <row r="544">
      <c r="A544" s="71"/>
      <c r="B544" s="48"/>
      <c r="C544" s="86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</row>
    <row r="545">
      <c r="A545" s="71"/>
      <c r="B545" s="48"/>
      <c r="C545" s="86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</row>
    <row r="546">
      <c r="A546" s="71"/>
      <c r="B546" s="48"/>
      <c r="C546" s="86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</row>
    <row r="547">
      <c r="A547" s="71"/>
      <c r="B547" s="48"/>
      <c r="C547" s="86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</row>
    <row r="548">
      <c r="A548" s="71"/>
      <c r="B548" s="48"/>
      <c r="C548" s="86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</row>
    <row r="549">
      <c r="A549" s="71"/>
      <c r="B549" s="48"/>
      <c r="C549" s="86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</row>
    <row r="550">
      <c r="A550" s="71"/>
      <c r="B550" s="48"/>
      <c r="C550" s="86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</row>
    <row r="551">
      <c r="A551" s="71"/>
      <c r="B551" s="48"/>
      <c r="C551" s="86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</row>
    <row r="552">
      <c r="A552" s="71"/>
      <c r="B552" s="48"/>
      <c r="C552" s="86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</row>
    <row r="553">
      <c r="A553" s="71"/>
      <c r="B553" s="48"/>
      <c r="C553" s="86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</row>
    <row r="554">
      <c r="A554" s="71"/>
      <c r="B554" s="48"/>
      <c r="C554" s="86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</row>
    <row r="555">
      <c r="A555" s="71"/>
      <c r="B555" s="48"/>
      <c r="C555" s="86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</row>
    <row r="556">
      <c r="A556" s="71"/>
      <c r="B556" s="48"/>
      <c r="C556" s="86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</row>
    <row r="557">
      <c r="A557" s="71"/>
      <c r="B557" s="48"/>
      <c r="C557" s="86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</row>
    <row r="558">
      <c r="A558" s="71"/>
      <c r="B558" s="48"/>
      <c r="C558" s="86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</row>
    <row r="559">
      <c r="A559" s="71"/>
      <c r="B559" s="48"/>
      <c r="C559" s="86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</row>
    <row r="560">
      <c r="A560" s="71"/>
      <c r="B560" s="48"/>
      <c r="C560" s="86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</row>
    <row r="561">
      <c r="A561" s="71"/>
      <c r="B561" s="48"/>
      <c r="C561" s="86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</row>
    <row r="562">
      <c r="A562" s="71"/>
      <c r="B562" s="48"/>
      <c r="C562" s="86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</row>
    <row r="563">
      <c r="A563" s="71"/>
      <c r="B563" s="48"/>
      <c r="C563" s="86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</row>
    <row r="564">
      <c r="A564" s="71"/>
      <c r="B564" s="48"/>
      <c r="C564" s="86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</row>
    <row r="565">
      <c r="A565" s="71"/>
      <c r="B565" s="48"/>
      <c r="C565" s="86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</row>
    <row r="566">
      <c r="A566" s="71"/>
      <c r="B566" s="48"/>
      <c r="C566" s="86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</row>
    <row r="567">
      <c r="A567" s="71"/>
      <c r="B567" s="48"/>
      <c r="C567" s="86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</row>
    <row r="568">
      <c r="A568" s="71"/>
      <c r="B568" s="48"/>
      <c r="C568" s="86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</row>
    <row r="569">
      <c r="A569" s="71"/>
      <c r="B569" s="48"/>
      <c r="C569" s="86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</row>
    <row r="570">
      <c r="A570" s="71"/>
      <c r="B570" s="48"/>
      <c r="C570" s="86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</row>
    <row r="571">
      <c r="A571" s="71"/>
      <c r="B571" s="48"/>
      <c r="C571" s="86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</row>
    <row r="572">
      <c r="A572" s="71"/>
      <c r="B572" s="48"/>
      <c r="C572" s="86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</row>
    <row r="573">
      <c r="A573" s="71"/>
      <c r="B573" s="48"/>
      <c r="C573" s="86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</row>
    <row r="574">
      <c r="A574" s="71"/>
      <c r="B574" s="48"/>
      <c r="C574" s="86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</row>
    <row r="575">
      <c r="A575" s="71"/>
      <c r="B575" s="48"/>
      <c r="C575" s="86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</row>
    <row r="576">
      <c r="A576" s="71"/>
      <c r="B576" s="48"/>
      <c r="C576" s="86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</row>
    <row r="577">
      <c r="A577" s="71"/>
      <c r="B577" s="48"/>
      <c r="C577" s="86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</row>
    <row r="578">
      <c r="A578" s="71"/>
      <c r="B578" s="48"/>
      <c r="C578" s="86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</row>
    <row r="579">
      <c r="A579" s="71"/>
      <c r="B579" s="48"/>
      <c r="C579" s="86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</row>
    <row r="580">
      <c r="A580" s="71"/>
      <c r="B580" s="48"/>
      <c r="C580" s="86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</row>
    <row r="581">
      <c r="A581" s="71"/>
      <c r="B581" s="48"/>
      <c r="C581" s="86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</row>
    <row r="582">
      <c r="A582" s="71"/>
      <c r="B582" s="48"/>
      <c r="C582" s="86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</row>
    <row r="583">
      <c r="A583" s="71"/>
      <c r="B583" s="48"/>
      <c r="C583" s="86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</row>
    <row r="584">
      <c r="A584" s="71"/>
      <c r="B584" s="48"/>
      <c r="C584" s="86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</row>
    <row r="585">
      <c r="A585" s="71"/>
      <c r="B585" s="48"/>
      <c r="C585" s="86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</row>
    <row r="586">
      <c r="A586" s="71"/>
      <c r="B586" s="48"/>
      <c r="C586" s="86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</row>
    <row r="587">
      <c r="A587" s="71"/>
      <c r="B587" s="48"/>
      <c r="C587" s="86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</row>
    <row r="588">
      <c r="A588" s="71"/>
      <c r="B588" s="48"/>
      <c r="C588" s="86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</row>
    <row r="589">
      <c r="A589" s="71"/>
      <c r="B589" s="48"/>
      <c r="C589" s="86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</row>
    <row r="590">
      <c r="A590" s="71"/>
      <c r="B590" s="48"/>
      <c r="C590" s="86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</row>
    <row r="591">
      <c r="A591" s="71"/>
      <c r="B591" s="48"/>
      <c r="C591" s="86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</row>
    <row r="592">
      <c r="A592" s="71"/>
      <c r="B592" s="48"/>
      <c r="C592" s="86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</row>
    <row r="593">
      <c r="A593" s="71"/>
      <c r="B593" s="48"/>
      <c r="C593" s="86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</row>
    <row r="594">
      <c r="A594" s="71"/>
      <c r="B594" s="48"/>
      <c r="C594" s="86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</row>
    <row r="595">
      <c r="A595" s="71"/>
      <c r="B595" s="48"/>
      <c r="C595" s="86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</row>
    <row r="596">
      <c r="A596" s="71"/>
      <c r="B596" s="48"/>
      <c r="C596" s="86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</row>
    <row r="597">
      <c r="A597" s="71"/>
      <c r="B597" s="48"/>
      <c r="C597" s="86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</row>
    <row r="598">
      <c r="A598" s="71"/>
      <c r="B598" s="48"/>
      <c r="C598" s="86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</row>
    <row r="599">
      <c r="A599" s="71"/>
      <c r="B599" s="48"/>
      <c r="C599" s="86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</row>
    <row r="600">
      <c r="A600" s="71"/>
      <c r="B600" s="48"/>
      <c r="C600" s="86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</row>
    <row r="601">
      <c r="A601" s="71"/>
      <c r="B601" s="48"/>
      <c r="C601" s="86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</row>
    <row r="602">
      <c r="A602" s="71"/>
      <c r="B602" s="48"/>
      <c r="C602" s="86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</row>
    <row r="603">
      <c r="A603" s="71"/>
      <c r="B603" s="48"/>
      <c r="C603" s="86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</row>
    <row r="604">
      <c r="A604" s="71"/>
      <c r="B604" s="48"/>
      <c r="C604" s="86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</row>
    <row r="605">
      <c r="A605" s="71"/>
      <c r="B605" s="48"/>
      <c r="C605" s="86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</row>
    <row r="606">
      <c r="A606" s="71"/>
      <c r="B606" s="48"/>
      <c r="C606" s="86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</row>
    <row r="607">
      <c r="A607" s="71"/>
      <c r="B607" s="48"/>
      <c r="C607" s="86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</row>
    <row r="608">
      <c r="A608" s="71"/>
      <c r="B608" s="48"/>
      <c r="C608" s="86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</row>
    <row r="609">
      <c r="A609" s="71"/>
      <c r="B609" s="48"/>
      <c r="C609" s="86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</row>
    <row r="610">
      <c r="A610" s="71"/>
      <c r="B610" s="48"/>
      <c r="C610" s="86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</row>
    <row r="611">
      <c r="A611" s="71"/>
      <c r="B611" s="48"/>
      <c r="C611" s="86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</row>
    <row r="612">
      <c r="A612" s="71"/>
      <c r="B612" s="48"/>
      <c r="C612" s="86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</row>
    <row r="613">
      <c r="A613" s="71"/>
      <c r="B613" s="48"/>
      <c r="C613" s="86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</row>
    <row r="614">
      <c r="A614" s="71"/>
      <c r="B614" s="48"/>
      <c r="C614" s="86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</row>
    <row r="615">
      <c r="A615" s="71"/>
      <c r="B615" s="48"/>
      <c r="C615" s="86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</row>
    <row r="616">
      <c r="A616" s="71"/>
      <c r="B616" s="48"/>
      <c r="C616" s="86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</row>
    <row r="617">
      <c r="A617" s="71"/>
      <c r="B617" s="48"/>
      <c r="C617" s="86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</row>
    <row r="618">
      <c r="A618" s="71"/>
      <c r="B618" s="48"/>
      <c r="C618" s="86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</row>
    <row r="619">
      <c r="A619" s="71"/>
      <c r="B619" s="48"/>
      <c r="C619" s="86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</row>
    <row r="620">
      <c r="A620" s="71"/>
      <c r="B620" s="48"/>
      <c r="C620" s="86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</row>
    <row r="621">
      <c r="A621" s="71"/>
      <c r="B621" s="48"/>
      <c r="C621" s="86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</row>
    <row r="622">
      <c r="A622" s="71"/>
      <c r="B622" s="48"/>
      <c r="C622" s="86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</row>
    <row r="623">
      <c r="A623" s="71"/>
      <c r="B623" s="48"/>
      <c r="C623" s="86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</row>
    <row r="624">
      <c r="A624" s="71"/>
      <c r="B624" s="48"/>
      <c r="C624" s="86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</row>
    <row r="625">
      <c r="A625" s="71"/>
      <c r="B625" s="48"/>
      <c r="C625" s="86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</row>
    <row r="626">
      <c r="A626" s="71"/>
      <c r="B626" s="48"/>
      <c r="C626" s="86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</row>
    <row r="627">
      <c r="A627" s="71"/>
      <c r="B627" s="48"/>
      <c r="C627" s="86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</row>
    <row r="628">
      <c r="A628" s="71"/>
      <c r="B628" s="48"/>
      <c r="C628" s="86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</row>
    <row r="629">
      <c r="A629" s="71"/>
      <c r="B629" s="48"/>
      <c r="C629" s="86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</row>
    <row r="630">
      <c r="A630" s="71"/>
      <c r="B630" s="48"/>
      <c r="C630" s="86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</row>
    <row r="631">
      <c r="A631" s="71"/>
      <c r="B631" s="48"/>
      <c r="C631" s="86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</row>
    <row r="632">
      <c r="A632" s="71"/>
      <c r="B632" s="48"/>
      <c r="C632" s="86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</row>
    <row r="633">
      <c r="A633" s="71"/>
      <c r="B633" s="48"/>
      <c r="C633" s="86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</row>
    <row r="634">
      <c r="A634" s="71"/>
      <c r="B634" s="48"/>
      <c r="C634" s="86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</row>
    <row r="635">
      <c r="A635" s="71"/>
      <c r="B635" s="48"/>
      <c r="C635" s="86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</row>
    <row r="636">
      <c r="A636" s="71"/>
      <c r="B636" s="48"/>
      <c r="C636" s="86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</row>
    <row r="637">
      <c r="A637" s="71"/>
      <c r="B637" s="48"/>
      <c r="C637" s="86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</row>
    <row r="638">
      <c r="A638" s="71"/>
      <c r="B638" s="48"/>
      <c r="C638" s="86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</row>
    <row r="639">
      <c r="A639" s="71"/>
      <c r="B639" s="48"/>
      <c r="C639" s="86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</row>
    <row r="640">
      <c r="A640" s="71"/>
      <c r="B640" s="48"/>
      <c r="C640" s="86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</row>
    <row r="641">
      <c r="A641" s="71"/>
      <c r="B641" s="48"/>
      <c r="C641" s="86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</row>
    <row r="642">
      <c r="A642" s="71"/>
      <c r="B642" s="48"/>
      <c r="C642" s="86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</row>
    <row r="643">
      <c r="A643" s="71"/>
      <c r="B643" s="48"/>
      <c r="C643" s="86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</row>
    <row r="644">
      <c r="A644" s="71"/>
      <c r="B644" s="48"/>
      <c r="C644" s="86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</row>
    <row r="645">
      <c r="A645" s="71"/>
      <c r="B645" s="48"/>
      <c r="C645" s="86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</row>
    <row r="646">
      <c r="A646" s="71"/>
      <c r="B646" s="48"/>
      <c r="C646" s="86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</row>
    <row r="647">
      <c r="A647" s="71"/>
      <c r="B647" s="48"/>
      <c r="C647" s="86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</row>
    <row r="648">
      <c r="A648" s="71"/>
      <c r="B648" s="48"/>
      <c r="C648" s="86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</row>
    <row r="649">
      <c r="A649" s="71"/>
      <c r="B649" s="48"/>
      <c r="C649" s="86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</row>
    <row r="650">
      <c r="A650" s="71"/>
      <c r="B650" s="48"/>
      <c r="C650" s="86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</row>
    <row r="651">
      <c r="A651" s="71"/>
      <c r="B651" s="48"/>
      <c r="C651" s="86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</row>
    <row r="652">
      <c r="A652" s="71"/>
      <c r="B652" s="48"/>
      <c r="C652" s="86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</row>
    <row r="653">
      <c r="A653" s="71"/>
      <c r="B653" s="48"/>
      <c r="C653" s="86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</row>
    <row r="654">
      <c r="A654" s="71"/>
      <c r="B654" s="48"/>
      <c r="C654" s="86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</row>
    <row r="655">
      <c r="A655" s="71"/>
      <c r="B655" s="48"/>
      <c r="C655" s="86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</row>
    <row r="656">
      <c r="A656" s="71"/>
      <c r="B656" s="48"/>
      <c r="C656" s="86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</row>
    <row r="657">
      <c r="A657" s="71"/>
      <c r="B657" s="48"/>
      <c r="C657" s="86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</row>
    <row r="658">
      <c r="A658" s="71"/>
      <c r="B658" s="48"/>
      <c r="C658" s="86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</row>
    <row r="659">
      <c r="A659" s="71"/>
      <c r="B659" s="48"/>
      <c r="C659" s="86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</row>
    <row r="660">
      <c r="A660" s="71"/>
      <c r="B660" s="48"/>
      <c r="C660" s="86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</row>
    <row r="661">
      <c r="A661" s="71"/>
      <c r="B661" s="48"/>
      <c r="C661" s="86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</row>
    <row r="662">
      <c r="A662" s="71"/>
      <c r="B662" s="48"/>
      <c r="C662" s="86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</row>
    <row r="663">
      <c r="A663" s="71"/>
      <c r="B663" s="48"/>
      <c r="C663" s="86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</row>
    <row r="664">
      <c r="A664" s="71"/>
      <c r="B664" s="48"/>
      <c r="C664" s="86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</row>
    <row r="665">
      <c r="A665" s="71"/>
      <c r="B665" s="48"/>
      <c r="C665" s="86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</row>
    <row r="666">
      <c r="A666" s="71"/>
      <c r="B666" s="48"/>
      <c r="C666" s="86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</row>
    <row r="667">
      <c r="A667" s="71"/>
      <c r="B667" s="48"/>
      <c r="C667" s="86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</row>
    <row r="668">
      <c r="A668" s="71"/>
      <c r="B668" s="48"/>
      <c r="C668" s="86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</row>
    <row r="669">
      <c r="A669" s="71"/>
      <c r="B669" s="48"/>
      <c r="C669" s="86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</row>
    <row r="670">
      <c r="A670" s="71"/>
      <c r="B670" s="48"/>
      <c r="C670" s="86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</row>
    <row r="671">
      <c r="A671" s="71"/>
      <c r="B671" s="48"/>
      <c r="C671" s="86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</row>
    <row r="672">
      <c r="A672" s="71"/>
      <c r="B672" s="48"/>
      <c r="C672" s="86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</row>
    <row r="673">
      <c r="A673" s="71"/>
      <c r="B673" s="48"/>
      <c r="C673" s="86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</row>
    <row r="674">
      <c r="A674" s="71"/>
      <c r="B674" s="48"/>
      <c r="C674" s="86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</row>
    <row r="675">
      <c r="A675" s="71"/>
      <c r="B675" s="48"/>
      <c r="C675" s="86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</row>
    <row r="676">
      <c r="A676" s="71"/>
      <c r="B676" s="48"/>
      <c r="C676" s="86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</row>
    <row r="677">
      <c r="A677" s="71"/>
      <c r="B677" s="48"/>
      <c r="C677" s="86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</row>
    <row r="678">
      <c r="A678" s="71"/>
      <c r="B678" s="48"/>
      <c r="C678" s="86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</row>
    <row r="679">
      <c r="A679" s="71"/>
      <c r="B679" s="48"/>
      <c r="C679" s="86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</row>
    <row r="680">
      <c r="A680" s="71"/>
      <c r="B680" s="48"/>
      <c r="C680" s="86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</row>
    <row r="681">
      <c r="A681" s="71"/>
      <c r="B681" s="48"/>
      <c r="C681" s="86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</row>
    <row r="682">
      <c r="A682" s="71"/>
      <c r="B682" s="48"/>
      <c r="C682" s="86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</row>
    <row r="683">
      <c r="A683" s="71"/>
      <c r="B683" s="48"/>
      <c r="C683" s="86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</row>
    <row r="684">
      <c r="A684" s="71"/>
      <c r="B684" s="48"/>
      <c r="C684" s="86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</row>
    <row r="685">
      <c r="A685" s="71"/>
      <c r="B685" s="48"/>
      <c r="C685" s="86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</row>
    <row r="686">
      <c r="A686" s="71"/>
      <c r="B686" s="48"/>
      <c r="C686" s="86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</row>
    <row r="687">
      <c r="A687" s="71"/>
      <c r="B687" s="48"/>
      <c r="C687" s="86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</row>
    <row r="688">
      <c r="A688" s="71"/>
      <c r="B688" s="48"/>
      <c r="C688" s="86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</row>
    <row r="689">
      <c r="A689" s="71"/>
      <c r="B689" s="48"/>
      <c r="C689" s="86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</row>
    <row r="690">
      <c r="A690" s="71"/>
      <c r="B690" s="48"/>
      <c r="C690" s="86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</row>
    <row r="691">
      <c r="A691" s="71"/>
      <c r="B691" s="48"/>
      <c r="C691" s="86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</row>
    <row r="692">
      <c r="A692" s="71"/>
      <c r="B692" s="48"/>
      <c r="C692" s="86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</row>
    <row r="693">
      <c r="A693" s="71"/>
      <c r="B693" s="48"/>
      <c r="C693" s="86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</row>
    <row r="694">
      <c r="A694" s="71"/>
      <c r="B694" s="48"/>
      <c r="C694" s="86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</row>
    <row r="695">
      <c r="A695" s="71"/>
      <c r="B695" s="48"/>
      <c r="C695" s="86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</row>
    <row r="696">
      <c r="A696" s="71"/>
      <c r="B696" s="48"/>
      <c r="C696" s="86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</row>
    <row r="697">
      <c r="A697" s="71"/>
      <c r="B697" s="48"/>
      <c r="C697" s="86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</row>
    <row r="698">
      <c r="A698" s="71"/>
      <c r="B698" s="48"/>
      <c r="C698" s="86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</row>
    <row r="699">
      <c r="A699" s="71"/>
      <c r="B699" s="48"/>
      <c r="C699" s="86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</row>
    <row r="700">
      <c r="A700" s="71"/>
      <c r="B700" s="48"/>
      <c r="C700" s="86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</row>
    <row r="701">
      <c r="A701" s="71"/>
      <c r="B701" s="48"/>
      <c r="C701" s="86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</row>
    <row r="702">
      <c r="A702" s="71"/>
      <c r="B702" s="48"/>
      <c r="C702" s="86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</row>
    <row r="703">
      <c r="A703" s="71"/>
      <c r="B703" s="48"/>
      <c r="C703" s="86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</row>
    <row r="704">
      <c r="A704" s="71"/>
      <c r="B704" s="48"/>
      <c r="C704" s="86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</row>
    <row r="705">
      <c r="A705" s="71"/>
      <c r="B705" s="48"/>
      <c r="C705" s="86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</row>
    <row r="706">
      <c r="A706" s="71"/>
      <c r="B706" s="48"/>
      <c r="C706" s="86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</row>
    <row r="707">
      <c r="A707" s="71"/>
      <c r="B707" s="48"/>
      <c r="C707" s="86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</row>
    <row r="708">
      <c r="A708" s="71"/>
      <c r="B708" s="48"/>
      <c r="C708" s="86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</row>
    <row r="709">
      <c r="A709" s="71"/>
      <c r="B709" s="48"/>
      <c r="C709" s="86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</row>
    <row r="710">
      <c r="A710" s="71"/>
      <c r="B710" s="48"/>
      <c r="C710" s="86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</row>
    <row r="711">
      <c r="A711" s="71"/>
      <c r="B711" s="48"/>
      <c r="C711" s="86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</row>
    <row r="712">
      <c r="A712" s="71"/>
      <c r="B712" s="48"/>
      <c r="C712" s="86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</row>
    <row r="713">
      <c r="A713" s="71"/>
      <c r="B713" s="48"/>
      <c r="C713" s="86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</row>
    <row r="714">
      <c r="A714" s="71"/>
      <c r="B714" s="48"/>
      <c r="C714" s="86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</row>
    <row r="715">
      <c r="A715" s="71"/>
      <c r="B715" s="48"/>
      <c r="C715" s="86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</row>
    <row r="716">
      <c r="A716" s="71"/>
      <c r="B716" s="48"/>
      <c r="C716" s="86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</row>
    <row r="717">
      <c r="A717" s="71"/>
      <c r="B717" s="48"/>
      <c r="C717" s="86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</row>
    <row r="718">
      <c r="A718" s="71"/>
      <c r="B718" s="48"/>
      <c r="C718" s="86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</row>
    <row r="719">
      <c r="A719" s="71"/>
      <c r="B719" s="48"/>
      <c r="C719" s="86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</row>
    <row r="720">
      <c r="A720" s="71"/>
      <c r="B720" s="48"/>
      <c r="C720" s="86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</row>
    <row r="721">
      <c r="A721" s="71"/>
      <c r="B721" s="48"/>
      <c r="C721" s="86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</row>
    <row r="722">
      <c r="A722" s="71"/>
      <c r="B722" s="48"/>
      <c r="C722" s="86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</row>
    <row r="723">
      <c r="A723" s="71"/>
      <c r="B723" s="48"/>
      <c r="C723" s="86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</row>
    <row r="724">
      <c r="A724" s="71"/>
      <c r="B724" s="48"/>
      <c r="C724" s="86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</row>
    <row r="725">
      <c r="A725" s="71"/>
      <c r="B725" s="48"/>
      <c r="C725" s="86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</row>
    <row r="726">
      <c r="A726" s="71"/>
      <c r="B726" s="48"/>
      <c r="C726" s="86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</row>
    <row r="727">
      <c r="A727" s="71"/>
      <c r="B727" s="48"/>
      <c r="C727" s="86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</row>
    <row r="728">
      <c r="A728" s="71"/>
      <c r="B728" s="48"/>
      <c r="C728" s="86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</row>
    <row r="729">
      <c r="A729" s="71"/>
      <c r="B729" s="48"/>
      <c r="C729" s="86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</row>
    <row r="730">
      <c r="A730" s="71"/>
      <c r="B730" s="48"/>
      <c r="C730" s="86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</row>
    <row r="731">
      <c r="A731" s="71"/>
      <c r="B731" s="48"/>
      <c r="C731" s="86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</row>
    <row r="732">
      <c r="A732" s="71"/>
      <c r="B732" s="48"/>
      <c r="C732" s="86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</row>
    <row r="733">
      <c r="A733" s="71"/>
      <c r="B733" s="48"/>
      <c r="C733" s="86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</row>
    <row r="734">
      <c r="A734" s="71"/>
      <c r="B734" s="48"/>
      <c r="C734" s="86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</row>
    <row r="735">
      <c r="A735" s="71"/>
      <c r="B735" s="48"/>
      <c r="C735" s="86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</row>
    <row r="736">
      <c r="A736" s="71"/>
      <c r="B736" s="48"/>
      <c r="C736" s="86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</row>
    <row r="737">
      <c r="A737" s="71"/>
      <c r="B737" s="48"/>
      <c r="C737" s="86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</row>
    <row r="738">
      <c r="A738" s="71"/>
      <c r="B738" s="48"/>
      <c r="C738" s="86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</row>
    <row r="739">
      <c r="A739" s="71"/>
      <c r="B739" s="48"/>
      <c r="C739" s="86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</row>
    <row r="740">
      <c r="A740" s="71"/>
      <c r="B740" s="48"/>
      <c r="C740" s="86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</row>
    <row r="741">
      <c r="A741" s="71"/>
      <c r="B741" s="48"/>
      <c r="C741" s="86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</row>
    <row r="742">
      <c r="A742" s="71"/>
      <c r="B742" s="48"/>
      <c r="C742" s="86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</row>
    <row r="743">
      <c r="A743" s="71"/>
      <c r="B743" s="48"/>
      <c r="C743" s="86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</row>
    <row r="744">
      <c r="A744" s="71"/>
      <c r="B744" s="48"/>
      <c r="C744" s="86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</row>
    <row r="745">
      <c r="A745" s="71"/>
      <c r="B745" s="48"/>
      <c r="C745" s="86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</row>
    <row r="746">
      <c r="A746" s="71"/>
      <c r="B746" s="48"/>
      <c r="C746" s="86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</row>
    <row r="747">
      <c r="A747" s="71"/>
      <c r="B747" s="48"/>
      <c r="C747" s="86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</row>
    <row r="748">
      <c r="A748" s="71"/>
      <c r="B748" s="48"/>
      <c r="C748" s="86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</row>
    <row r="749">
      <c r="A749" s="71"/>
      <c r="B749" s="48"/>
      <c r="C749" s="86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</row>
    <row r="750">
      <c r="A750" s="71"/>
      <c r="B750" s="48"/>
      <c r="C750" s="86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</row>
    <row r="751">
      <c r="A751" s="71"/>
      <c r="B751" s="48"/>
      <c r="C751" s="86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</row>
    <row r="752">
      <c r="A752" s="71"/>
      <c r="B752" s="48"/>
      <c r="C752" s="86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</row>
    <row r="753">
      <c r="A753" s="71"/>
      <c r="B753" s="48"/>
      <c r="C753" s="86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</row>
    <row r="754">
      <c r="A754" s="71"/>
      <c r="B754" s="48"/>
      <c r="C754" s="86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</row>
    <row r="755">
      <c r="A755" s="71"/>
      <c r="B755" s="48"/>
      <c r="C755" s="86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</row>
    <row r="756">
      <c r="A756" s="71"/>
      <c r="B756" s="48"/>
      <c r="C756" s="86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</row>
    <row r="757">
      <c r="A757" s="71"/>
      <c r="B757" s="48"/>
      <c r="C757" s="86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</row>
    <row r="758">
      <c r="A758" s="71"/>
      <c r="B758" s="48"/>
      <c r="C758" s="86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</row>
    <row r="759">
      <c r="A759" s="71"/>
      <c r="B759" s="48"/>
      <c r="C759" s="86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</row>
    <row r="760">
      <c r="A760" s="71"/>
      <c r="B760" s="48"/>
      <c r="C760" s="86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</row>
    <row r="761">
      <c r="A761" s="71"/>
      <c r="B761" s="48"/>
      <c r="C761" s="86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</row>
    <row r="762">
      <c r="A762" s="71"/>
      <c r="B762" s="48"/>
      <c r="C762" s="86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</row>
    <row r="763">
      <c r="A763" s="71"/>
      <c r="B763" s="48"/>
      <c r="C763" s="86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</row>
    <row r="764">
      <c r="A764" s="71"/>
      <c r="B764" s="48"/>
      <c r="C764" s="86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</row>
    <row r="765">
      <c r="A765" s="71"/>
      <c r="B765" s="48"/>
      <c r="C765" s="86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</row>
    <row r="766">
      <c r="A766" s="71"/>
      <c r="B766" s="48"/>
      <c r="C766" s="86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</row>
    <row r="767">
      <c r="A767" s="71"/>
      <c r="B767" s="48"/>
      <c r="C767" s="86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</row>
    <row r="768">
      <c r="A768" s="71"/>
      <c r="B768" s="48"/>
      <c r="C768" s="86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</row>
    <row r="769">
      <c r="A769" s="71"/>
      <c r="B769" s="48"/>
      <c r="C769" s="86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</row>
    <row r="770">
      <c r="A770" s="71"/>
      <c r="B770" s="48"/>
      <c r="C770" s="86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</row>
    <row r="771">
      <c r="A771" s="71"/>
      <c r="B771" s="48"/>
      <c r="C771" s="86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</row>
    <row r="772">
      <c r="A772" s="71"/>
      <c r="B772" s="48"/>
      <c r="C772" s="86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</row>
    <row r="773">
      <c r="A773" s="71"/>
      <c r="B773" s="48"/>
      <c r="C773" s="86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</row>
    <row r="774">
      <c r="A774" s="71"/>
      <c r="B774" s="48"/>
      <c r="C774" s="86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</row>
    <row r="775">
      <c r="A775" s="71"/>
      <c r="B775" s="48"/>
      <c r="C775" s="86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</row>
    <row r="776">
      <c r="A776" s="71"/>
      <c r="B776" s="48"/>
      <c r="C776" s="86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</row>
    <row r="777">
      <c r="A777" s="71"/>
      <c r="B777" s="48"/>
      <c r="C777" s="86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</row>
    <row r="778">
      <c r="A778" s="71"/>
      <c r="B778" s="48"/>
      <c r="C778" s="86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</row>
    <row r="779">
      <c r="A779" s="71"/>
      <c r="B779" s="48"/>
      <c r="C779" s="86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</row>
    <row r="780">
      <c r="A780" s="71"/>
      <c r="B780" s="48"/>
      <c r="C780" s="86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</row>
    <row r="781">
      <c r="A781" s="71"/>
      <c r="B781" s="48"/>
      <c r="C781" s="86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</row>
    <row r="782">
      <c r="A782" s="71"/>
      <c r="B782" s="48"/>
      <c r="C782" s="86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</row>
    <row r="783">
      <c r="A783" s="71"/>
      <c r="B783" s="48"/>
      <c r="C783" s="86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</row>
    <row r="784">
      <c r="A784" s="71"/>
      <c r="B784" s="48"/>
      <c r="C784" s="86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</row>
    <row r="785">
      <c r="A785" s="71"/>
      <c r="B785" s="48"/>
      <c r="C785" s="86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</row>
    <row r="786">
      <c r="A786" s="71"/>
      <c r="B786" s="48"/>
      <c r="C786" s="86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</row>
    <row r="787">
      <c r="A787" s="71"/>
      <c r="B787" s="48"/>
      <c r="C787" s="86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</row>
    <row r="788">
      <c r="A788" s="71"/>
      <c r="B788" s="48"/>
      <c r="C788" s="86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</row>
    <row r="789">
      <c r="A789" s="71"/>
      <c r="B789" s="48"/>
      <c r="C789" s="86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</row>
    <row r="790">
      <c r="A790" s="71"/>
      <c r="B790" s="48"/>
      <c r="C790" s="86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</row>
    <row r="791">
      <c r="A791" s="71"/>
      <c r="B791" s="48"/>
      <c r="C791" s="86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</row>
    <row r="792">
      <c r="A792" s="71"/>
      <c r="B792" s="48"/>
      <c r="C792" s="86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</row>
    <row r="793">
      <c r="A793" s="71"/>
      <c r="B793" s="48"/>
      <c r="C793" s="86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</row>
    <row r="794">
      <c r="A794" s="71"/>
      <c r="B794" s="48"/>
      <c r="C794" s="86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</row>
    <row r="795">
      <c r="A795" s="71"/>
      <c r="B795" s="48"/>
      <c r="C795" s="86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</row>
    <row r="796">
      <c r="A796" s="71"/>
      <c r="B796" s="48"/>
      <c r="C796" s="86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</row>
    <row r="797">
      <c r="A797" s="71"/>
      <c r="B797" s="48"/>
      <c r="C797" s="86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</row>
    <row r="798">
      <c r="A798" s="71"/>
      <c r="B798" s="48"/>
      <c r="C798" s="86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</row>
    <row r="799">
      <c r="A799" s="71"/>
      <c r="B799" s="48"/>
      <c r="C799" s="86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</row>
    <row r="800">
      <c r="A800" s="71"/>
      <c r="B800" s="48"/>
      <c r="C800" s="86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</row>
    <row r="801">
      <c r="A801" s="71"/>
      <c r="B801" s="48"/>
      <c r="C801" s="86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</row>
    <row r="802">
      <c r="A802" s="71"/>
      <c r="B802" s="48"/>
      <c r="C802" s="86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</row>
    <row r="803">
      <c r="A803" s="71"/>
      <c r="B803" s="48"/>
      <c r="C803" s="86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</row>
    <row r="804">
      <c r="A804" s="71"/>
      <c r="B804" s="48"/>
      <c r="C804" s="86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</row>
    <row r="805">
      <c r="A805" s="71"/>
      <c r="B805" s="48"/>
      <c r="C805" s="86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</row>
    <row r="806">
      <c r="A806" s="71"/>
      <c r="B806" s="48"/>
      <c r="C806" s="86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</row>
    <row r="807">
      <c r="A807" s="71"/>
      <c r="B807" s="48"/>
      <c r="C807" s="86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</row>
    <row r="808">
      <c r="A808" s="71"/>
      <c r="B808" s="48"/>
      <c r="C808" s="86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</row>
    <row r="809">
      <c r="A809" s="71"/>
      <c r="B809" s="48"/>
      <c r="C809" s="86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</row>
    <row r="810">
      <c r="A810" s="71"/>
      <c r="B810" s="48"/>
      <c r="C810" s="86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</row>
    <row r="811">
      <c r="A811" s="71"/>
      <c r="B811" s="48"/>
      <c r="C811" s="86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</row>
    <row r="812">
      <c r="A812" s="71"/>
      <c r="B812" s="48"/>
      <c r="C812" s="86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</row>
    <row r="813">
      <c r="A813" s="71"/>
      <c r="B813" s="48"/>
      <c r="C813" s="86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</row>
    <row r="814">
      <c r="A814" s="71"/>
      <c r="B814" s="48"/>
      <c r="C814" s="86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</row>
    <row r="815">
      <c r="A815" s="71"/>
      <c r="B815" s="48"/>
      <c r="C815" s="86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</row>
    <row r="816">
      <c r="A816" s="71"/>
      <c r="B816" s="48"/>
      <c r="C816" s="86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</row>
    <row r="817">
      <c r="A817" s="71"/>
      <c r="B817" s="48"/>
      <c r="C817" s="86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</row>
    <row r="818">
      <c r="A818" s="71"/>
      <c r="B818" s="48"/>
      <c r="C818" s="86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</row>
    <row r="819">
      <c r="A819" s="71"/>
      <c r="B819" s="48"/>
      <c r="C819" s="86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</row>
    <row r="820">
      <c r="A820" s="71"/>
      <c r="B820" s="48"/>
      <c r="C820" s="86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</row>
    <row r="821">
      <c r="A821" s="71"/>
      <c r="B821" s="48"/>
      <c r="C821" s="86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</row>
    <row r="822">
      <c r="A822" s="71"/>
      <c r="B822" s="48"/>
      <c r="C822" s="86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</row>
    <row r="823">
      <c r="A823" s="71"/>
      <c r="B823" s="48"/>
      <c r="C823" s="86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</row>
    <row r="824">
      <c r="A824" s="71"/>
      <c r="B824" s="48"/>
      <c r="C824" s="86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</row>
    <row r="825">
      <c r="A825" s="71"/>
      <c r="B825" s="48"/>
      <c r="C825" s="86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</row>
    <row r="826">
      <c r="A826" s="71"/>
      <c r="B826" s="48"/>
      <c r="C826" s="86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</row>
    <row r="827">
      <c r="A827" s="71"/>
      <c r="B827" s="48"/>
      <c r="C827" s="86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</row>
    <row r="828">
      <c r="A828" s="71"/>
      <c r="B828" s="48"/>
      <c r="C828" s="86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</row>
    <row r="829">
      <c r="A829" s="71"/>
      <c r="B829" s="48"/>
      <c r="C829" s="86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</row>
    <row r="830">
      <c r="A830" s="71"/>
      <c r="B830" s="48"/>
      <c r="C830" s="86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</row>
    <row r="831">
      <c r="A831" s="71"/>
      <c r="B831" s="48"/>
      <c r="C831" s="86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</row>
    <row r="832">
      <c r="A832" s="71"/>
      <c r="B832" s="48"/>
      <c r="C832" s="86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</row>
    <row r="833">
      <c r="A833" s="71"/>
      <c r="B833" s="48"/>
      <c r="C833" s="86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</row>
    <row r="834">
      <c r="A834" s="71"/>
      <c r="B834" s="48"/>
      <c r="C834" s="86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</row>
    <row r="835">
      <c r="A835" s="71"/>
      <c r="B835" s="48"/>
      <c r="C835" s="86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</row>
    <row r="836">
      <c r="A836" s="71"/>
      <c r="B836" s="48"/>
      <c r="C836" s="86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</row>
    <row r="837">
      <c r="A837" s="71"/>
      <c r="B837" s="48"/>
      <c r="C837" s="86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</row>
    <row r="838">
      <c r="A838" s="71"/>
      <c r="B838" s="48"/>
      <c r="C838" s="86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</row>
    <row r="839">
      <c r="A839" s="71"/>
      <c r="B839" s="48"/>
      <c r="C839" s="86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</row>
    <row r="840">
      <c r="A840" s="71"/>
      <c r="B840" s="48"/>
      <c r="C840" s="86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</row>
    <row r="841">
      <c r="A841" s="71"/>
      <c r="B841" s="48"/>
      <c r="C841" s="86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</row>
    <row r="842">
      <c r="A842" s="71"/>
      <c r="B842" s="48"/>
      <c r="C842" s="86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</row>
    <row r="843">
      <c r="A843" s="71"/>
      <c r="B843" s="48"/>
      <c r="C843" s="86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</row>
    <row r="844">
      <c r="A844" s="71"/>
      <c r="B844" s="48"/>
      <c r="C844" s="86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</row>
    <row r="845">
      <c r="A845" s="71"/>
      <c r="B845" s="48"/>
      <c r="C845" s="86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</row>
    <row r="846">
      <c r="A846" s="71"/>
      <c r="B846" s="48"/>
      <c r="C846" s="86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</row>
    <row r="847">
      <c r="A847" s="71"/>
      <c r="B847" s="48"/>
      <c r="C847" s="86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</row>
    <row r="848">
      <c r="A848" s="71"/>
      <c r="B848" s="48"/>
      <c r="C848" s="86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</row>
    <row r="849">
      <c r="A849" s="71"/>
      <c r="B849" s="48"/>
      <c r="C849" s="86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</row>
    <row r="850">
      <c r="A850" s="71"/>
      <c r="B850" s="48"/>
      <c r="C850" s="86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</row>
    <row r="851">
      <c r="A851" s="71"/>
      <c r="B851" s="48"/>
      <c r="C851" s="86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</row>
    <row r="852">
      <c r="A852" s="71"/>
      <c r="B852" s="48"/>
      <c r="C852" s="86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</row>
    <row r="853">
      <c r="A853" s="71"/>
      <c r="B853" s="48"/>
      <c r="C853" s="86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</row>
    <row r="854">
      <c r="A854" s="71"/>
      <c r="B854" s="48"/>
      <c r="C854" s="86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</row>
    <row r="855">
      <c r="A855" s="71"/>
      <c r="B855" s="48"/>
      <c r="C855" s="86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</row>
    <row r="856">
      <c r="A856" s="71"/>
      <c r="B856" s="48"/>
      <c r="C856" s="86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</row>
    <row r="857">
      <c r="A857" s="71"/>
      <c r="B857" s="48"/>
      <c r="C857" s="86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</row>
    <row r="858">
      <c r="A858" s="71"/>
      <c r="B858" s="48"/>
      <c r="C858" s="86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</row>
    <row r="859">
      <c r="A859" s="71"/>
      <c r="B859" s="48"/>
      <c r="C859" s="86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</row>
    <row r="860">
      <c r="A860" s="71"/>
      <c r="B860" s="48"/>
      <c r="C860" s="86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</row>
    <row r="861">
      <c r="A861" s="71"/>
      <c r="B861" s="48"/>
      <c r="C861" s="86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</row>
    <row r="862">
      <c r="A862" s="71"/>
      <c r="B862" s="48"/>
      <c r="C862" s="86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</row>
    <row r="863">
      <c r="A863" s="71"/>
      <c r="B863" s="48"/>
      <c r="C863" s="86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</row>
    <row r="864">
      <c r="A864" s="71"/>
      <c r="B864" s="48"/>
      <c r="C864" s="86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</row>
    <row r="865">
      <c r="A865" s="71"/>
      <c r="B865" s="48"/>
      <c r="C865" s="86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</row>
    <row r="866">
      <c r="A866" s="71"/>
      <c r="B866" s="48"/>
      <c r="C866" s="86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</row>
    <row r="867">
      <c r="A867" s="71"/>
      <c r="B867" s="48"/>
      <c r="C867" s="86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</row>
    <row r="868">
      <c r="A868" s="71"/>
      <c r="B868" s="48"/>
      <c r="C868" s="86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</row>
    <row r="869">
      <c r="A869" s="71"/>
      <c r="B869" s="48"/>
      <c r="C869" s="86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</row>
    <row r="870">
      <c r="A870" s="71"/>
      <c r="B870" s="48"/>
      <c r="C870" s="86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</row>
    <row r="871">
      <c r="A871" s="71"/>
      <c r="B871" s="48"/>
      <c r="C871" s="86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</row>
    <row r="872">
      <c r="A872" s="71"/>
      <c r="B872" s="48"/>
      <c r="C872" s="86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</row>
    <row r="873">
      <c r="A873" s="71"/>
      <c r="B873" s="48"/>
      <c r="C873" s="86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</row>
    <row r="874">
      <c r="A874" s="71"/>
      <c r="B874" s="48"/>
      <c r="C874" s="86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</row>
    <row r="875">
      <c r="A875" s="71"/>
      <c r="B875" s="48"/>
      <c r="C875" s="86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</row>
    <row r="876">
      <c r="A876" s="71"/>
      <c r="B876" s="48"/>
      <c r="C876" s="86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</row>
    <row r="877">
      <c r="A877" s="71"/>
      <c r="B877" s="48"/>
      <c r="C877" s="86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</row>
    <row r="878">
      <c r="A878" s="71"/>
      <c r="B878" s="48"/>
      <c r="C878" s="86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</row>
    <row r="879">
      <c r="A879" s="71"/>
      <c r="B879" s="48"/>
      <c r="C879" s="86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</row>
    <row r="880">
      <c r="A880" s="71"/>
      <c r="B880" s="48"/>
      <c r="C880" s="86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</row>
    <row r="881">
      <c r="A881" s="71"/>
      <c r="B881" s="48"/>
      <c r="C881" s="86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</row>
    <row r="882">
      <c r="A882" s="71"/>
      <c r="B882" s="48"/>
      <c r="C882" s="86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</row>
    <row r="883">
      <c r="A883" s="71"/>
      <c r="B883" s="48"/>
      <c r="C883" s="86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</row>
    <row r="884">
      <c r="A884" s="71"/>
      <c r="B884" s="48"/>
      <c r="C884" s="86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</row>
    <row r="885">
      <c r="A885" s="71"/>
      <c r="B885" s="48"/>
      <c r="C885" s="86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</row>
    <row r="886">
      <c r="A886" s="71"/>
      <c r="B886" s="48"/>
      <c r="C886" s="86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</row>
    <row r="887">
      <c r="A887" s="71"/>
      <c r="B887" s="48"/>
      <c r="C887" s="86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</row>
    <row r="888">
      <c r="A888" s="71"/>
      <c r="B888" s="48"/>
      <c r="C888" s="86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</row>
    <row r="889">
      <c r="A889" s="71"/>
      <c r="B889" s="48"/>
      <c r="C889" s="86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</row>
    <row r="890">
      <c r="A890" s="71"/>
      <c r="B890" s="48"/>
      <c r="C890" s="86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</row>
    <row r="891">
      <c r="A891" s="71"/>
      <c r="B891" s="48"/>
      <c r="C891" s="86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</row>
    <row r="892">
      <c r="A892" s="71"/>
      <c r="B892" s="48"/>
      <c r="C892" s="86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</row>
    <row r="893">
      <c r="A893" s="71"/>
      <c r="B893" s="48"/>
      <c r="C893" s="86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</row>
    <row r="894">
      <c r="A894" s="71"/>
      <c r="B894" s="48"/>
      <c r="C894" s="86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</row>
    <row r="895">
      <c r="A895" s="71"/>
      <c r="B895" s="48"/>
      <c r="C895" s="86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</row>
    <row r="896">
      <c r="A896" s="71"/>
      <c r="B896" s="48"/>
      <c r="C896" s="86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</row>
    <row r="897">
      <c r="A897" s="71"/>
      <c r="B897" s="48"/>
      <c r="C897" s="86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</row>
    <row r="898">
      <c r="A898" s="71"/>
      <c r="B898" s="48"/>
      <c r="C898" s="86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</row>
    <row r="899">
      <c r="A899" s="71"/>
      <c r="B899" s="48"/>
      <c r="C899" s="86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</row>
    <row r="900">
      <c r="A900" s="71"/>
      <c r="B900" s="48"/>
      <c r="C900" s="86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</row>
    <row r="901">
      <c r="A901" s="71"/>
      <c r="B901" s="48"/>
      <c r="C901" s="86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</row>
    <row r="902">
      <c r="A902" s="71"/>
      <c r="B902" s="48"/>
      <c r="C902" s="86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</row>
    <row r="903">
      <c r="A903" s="71"/>
      <c r="B903" s="48"/>
      <c r="C903" s="86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</row>
    <row r="904">
      <c r="A904" s="71"/>
      <c r="B904" s="48"/>
      <c r="C904" s="86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</row>
    <row r="905">
      <c r="A905" s="71"/>
      <c r="B905" s="48"/>
      <c r="C905" s="86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</row>
    <row r="906">
      <c r="A906" s="71"/>
      <c r="B906" s="48"/>
      <c r="C906" s="86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</row>
    <row r="907">
      <c r="A907" s="71"/>
      <c r="B907" s="48"/>
      <c r="C907" s="86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</row>
    <row r="908">
      <c r="A908" s="71"/>
      <c r="B908" s="48"/>
      <c r="C908" s="86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</row>
    <row r="909">
      <c r="A909" s="71"/>
      <c r="B909" s="48"/>
      <c r="C909" s="86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</row>
    <row r="910">
      <c r="A910" s="71"/>
      <c r="B910" s="48"/>
      <c r="C910" s="86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</row>
    <row r="911">
      <c r="A911" s="71"/>
      <c r="B911" s="48"/>
      <c r="C911" s="86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</row>
    <row r="912">
      <c r="A912" s="71"/>
      <c r="B912" s="48"/>
      <c r="C912" s="86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</row>
    <row r="913">
      <c r="A913" s="71"/>
      <c r="B913" s="48"/>
      <c r="C913" s="86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</row>
    <row r="914">
      <c r="A914" s="71"/>
      <c r="B914" s="48"/>
      <c r="C914" s="86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</row>
    <row r="915">
      <c r="A915" s="71"/>
      <c r="B915" s="48"/>
      <c r="C915" s="86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</row>
    <row r="916">
      <c r="A916" s="71"/>
      <c r="B916" s="48"/>
      <c r="C916" s="86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</row>
    <row r="917">
      <c r="A917" s="71"/>
      <c r="B917" s="48"/>
      <c r="C917" s="86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</row>
    <row r="918">
      <c r="A918" s="71"/>
      <c r="B918" s="48"/>
      <c r="C918" s="86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</row>
    <row r="919">
      <c r="A919" s="71"/>
      <c r="B919" s="48"/>
      <c r="C919" s="86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</row>
    <row r="920">
      <c r="A920" s="71"/>
      <c r="B920" s="48"/>
      <c r="C920" s="86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</row>
    <row r="921">
      <c r="A921" s="71"/>
      <c r="B921" s="48"/>
      <c r="C921" s="86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</row>
    <row r="997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</row>
    <row r="998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</row>
    <row r="999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</row>
    <row r="1000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</row>
  </sheetData>
  <mergeCells count="75">
    <mergeCell ref="T51:U51"/>
    <mergeCell ref="T52:U52"/>
    <mergeCell ref="T53:U53"/>
    <mergeCell ref="T54:U54"/>
    <mergeCell ref="T55:U55"/>
    <mergeCell ref="T56:U56"/>
    <mergeCell ref="T57:U57"/>
    <mergeCell ref="T58:U58"/>
    <mergeCell ref="T59:U59"/>
    <mergeCell ref="T60:U60"/>
    <mergeCell ref="T61:U61"/>
    <mergeCell ref="T62:U62"/>
    <mergeCell ref="T63:U63"/>
    <mergeCell ref="T64:U64"/>
    <mergeCell ref="T72:U72"/>
    <mergeCell ref="T73:U73"/>
    <mergeCell ref="T74:U74"/>
    <mergeCell ref="T75:U75"/>
    <mergeCell ref="T76:U76"/>
    <mergeCell ref="T65:U65"/>
    <mergeCell ref="T66:U66"/>
    <mergeCell ref="T67:U67"/>
    <mergeCell ref="T68:U68"/>
    <mergeCell ref="T69:U69"/>
    <mergeCell ref="T70:U70"/>
    <mergeCell ref="T71:U71"/>
    <mergeCell ref="T2:U2"/>
    <mergeCell ref="T3:U3"/>
    <mergeCell ref="T4:U4"/>
    <mergeCell ref="T5:U5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</mergeCells>
  <conditionalFormatting sqref="D3:S95">
    <cfRule type="beginsWith" dxfId="0" priority="1" operator="beginsWith" text="a">
      <formula>LEFT((D3),LEN("a"))=("a")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4" max="4" width="23.5"/>
    <col customWidth="1" min="5" max="5" width="15.38"/>
    <col customWidth="1" min="6" max="6" width="62.63"/>
    <col customWidth="1" min="7" max="8" width="65.13"/>
  </cols>
  <sheetData>
    <row r="1">
      <c r="F1" s="70"/>
      <c r="G1" s="71"/>
    </row>
    <row r="2">
      <c r="F2" s="70"/>
      <c r="G2" s="71"/>
    </row>
    <row r="3">
      <c r="F3" s="70"/>
      <c r="G3" s="71"/>
    </row>
    <row r="4">
      <c r="F4" s="70"/>
      <c r="G4" s="71"/>
    </row>
    <row r="5">
      <c r="D5" s="4" t="s">
        <v>2</v>
      </c>
      <c r="E5" s="9" t="s">
        <v>3</v>
      </c>
      <c r="F5" s="72" t="s">
        <v>735</v>
      </c>
      <c r="G5" s="72" t="s">
        <v>128</v>
      </c>
      <c r="H5" s="73" t="s">
        <v>736</v>
      </c>
    </row>
    <row r="6">
      <c r="D6" s="43"/>
      <c r="E6" s="43"/>
      <c r="F6" s="43"/>
      <c r="G6" s="43"/>
      <c r="H6" s="43"/>
    </row>
    <row r="7">
      <c r="D7" s="34" t="s">
        <v>68</v>
      </c>
      <c r="E7" s="35" t="s">
        <v>69</v>
      </c>
      <c r="F7" s="74" t="s">
        <v>737</v>
      </c>
      <c r="G7" s="75" t="s">
        <v>738</v>
      </c>
      <c r="H7" s="76" t="s">
        <v>741</v>
      </c>
    </row>
    <row r="8">
      <c r="D8" s="52" t="s">
        <v>730</v>
      </c>
      <c r="E8" s="42" t="s">
        <v>106</v>
      </c>
      <c r="F8" s="77" t="s">
        <v>744</v>
      </c>
      <c r="G8" s="75" t="s">
        <v>745</v>
      </c>
      <c r="H8" s="78" t="s">
        <v>74</v>
      </c>
    </row>
    <row r="9">
      <c r="D9" s="34" t="s">
        <v>140</v>
      </c>
      <c r="E9" s="46" t="s">
        <v>143</v>
      </c>
      <c r="F9" s="74" t="s">
        <v>746</v>
      </c>
      <c r="G9" s="74" t="s">
        <v>747</v>
      </c>
      <c r="H9" s="78" t="s">
        <v>74</v>
      </c>
    </row>
    <row r="10">
      <c r="D10" s="34" t="s">
        <v>170</v>
      </c>
      <c r="E10" s="46" t="s">
        <v>174</v>
      </c>
      <c r="F10" s="74" t="s">
        <v>748</v>
      </c>
      <c r="G10" s="74" t="s">
        <v>749</v>
      </c>
      <c r="H10" s="78" t="s">
        <v>74</v>
      </c>
    </row>
    <row r="11">
      <c r="D11" s="34" t="s">
        <v>187</v>
      </c>
      <c r="E11" s="46" t="s">
        <v>188</v>
      </c>
      <c r="F11" s="74" t="s">
        <v>754</v>
      </c>
      <c r="G11" s="74" t="s">
        <v>755</v>
      </c>
      <c r="H11" s="76" t="s">
        <v>756</v>
      </c>
    </row>
    <row r="12">
      <c r="D12" s="34" t="s">
        <v>199</v>
      </c>
      <c r="E12" s="46" t="s">
        <v>201</v>
      </c>
      <c r="F12" s="79" t="s">
        <v>74</v>
      </c>
      <c r="G12" s="79" t="s">
        <v>74</v>
      </c>
      <c r="H12" s="78" t="s">
        <v>74</v>
      </c>
    </row>
    <row r="13">
      <c r="D13" s="52" t="s">
        <v>213</v>
      </c>
      <c r="E13" s="57" t="s">
        <v>759</v>
      </c>
      <c r="F13" s="79" t="s">
        <v>74</v>
      </c>
      <c r="G13" s="79" t="s">
        <v>74</v>
      </c>
      <c r="H13" s="78" t="s">
        <v>74</v>
      </c>
    </row>
    <row r="14">
      <c r="D14" s="52" t="s">
        <v>228</v>
      </c>
      <c r="E14" s="57" t="s">
        <v>230</v>
      </c>
      <c r="F14" s="74" t="s">
        <v>760</v>
      </c>
      <c r="G14" s="74" t="s">
        <v>761</v>
      </c>
      <c r="H14" s="76" t="s">
        <v>762</v>
      </c>
    </row>
    <row r="15">
      <c r="D15" s="52" t="s">
        <v>240</v>
      </c>
      <c r="E15" s="57" t="s">
        <v>241</v>
      </c>
      <c r="F15" s="79" t="s">
        <v>74</v>
      </c>
      <c r="G15" s="79" t="s">
        <v>74</v>
      </c>
      <c r="H15" s="78" t="s">
        <v>74</v>
      </c>
    </row>
    <row r="16">
      <c r="D16" s="52" t="s">
        <v>252</v>
      </c>
      <c r="E16" s="57" t="s">
        <v>254</v>
      </c>
      <c r="F16" s="74" t="s">
        <v>765</v>
      </c>
      <c r="G16" s="79" t="s">
        <v>74</v>
      </c>
      <c r="H16" s="78" t="s">
        <v>74</v>
      </c>
    </row>
    <row r="17">
      <c r="D17" s="34" t="s">
        <v>268</v>
      </c>
      <c r="E17" s="46" t="s">
        <v>271</v>
      </c>
      <c r="F17" s="74" t="s">
        <v>766</v>
      </c>
      <c r="G17" s="75" t="s">
        <v>767</v>
      </c>
      <c r="H17" s="76" t="s">
        <v>769</v>
      </c>
    </row>
    <row r="18">
      <c r="D18" s="34" t="s">
        <v>280</v>
      </c>
      <c r="E18" s="46" t="s">
        <v>281</v>
      </c>
      <c r="F18" s="79" t="s">
        <v>74</v>
      </c>
      <c r="G18" s="79" t="s">
        <v>74</v>
      </c>
      <c r="H18" s="78" t="s">
        <v>74</v>
      </c>
    </row>
    <row r="19">
      <c r="D19" s="51" t="s">
        <v>204</v>
      </c>
      <c r="E19" s="46" t="s">
        <v>206</v>
      </c>
      <c r="F19" s="77" t="s">
        <v>772</v>
      </c>
      <c r="G19" s="74" t="s">
        <v>773</v>
      </c>
      <c r="H19" s="76" t="s">
        <v>774</v>
      </c>
    </row>
    <row r="20">
      <c r="D20" s="51" t="s">
        <v>295</v>
      </c>
      <c r="E20" s="46" t="s">
        <v>296</v>
      </c>
      <c r="F20" s="77" t="s">
        <v>775</v>
      </c>
      <c r="G20" s="79" t="s">
        <v>74</v>
      </c>
      <c r="H20" s="76" t="s">
        <v>776</v>
      </c>
    </row>
    <row r="21">
      <c r="D21" s="51" t="s">
        <v>306</v>
      </c>
      <c r="E21" s="46" t="s">
        <v>307</v>
      </c>
      <c r="F21" s="79" t="s">
        <v>74</v>
      </c>
      <c r="G21" s="79" t="s">
        <v>74</v>
      </c>
      <c r="H21" s="78" t="s">
        <v>74</v>
      </c>
    </row>
    <row r="22">
      <c r="D22" s="51" t="s">
        <v>315</v>
      </c>
      <c r="E22" s="46" t="s">
        <v>317</v>
      </c>
      <c r="F22" s="79" t="s">
        <v>74</v>
      </c>
      <c r="G22" s="79" t="s">
        <v>74</v>
      </c>
      <c r="H22" s="78" t="s">
        <v>74</v>
      </c>
    </row>
    <row r="23">
      <c r="D23" s="51" t="s">
        <v>323</v>
      </c>
      <c r="E23" s="46" t="s">
        <v>324</v>
      </c>
      <c r="F23" s="79" t="s">
        <v>74</v>
      </c>
      <c r="G23" s="79" t="s">
        <v>74</v>
      </c>
      <c r="H23" s="78" t="s">
        <v>74</v>
      </c>
    </row>
    <row r="24">
      <c r="D24" s="51" t="s">
        <v>334</v>
      </c>
      <c r="E24" s="46" t="s">
        <v>335</v>
      </c>
      <c r="F24" s="79" t="s">
        <v>74</v>
      </c>
      <c r="G24" s="79" t="s">
        <v>74</v>
      </c>
      <c r="H24" s="78" t="s">
        <v>74</v>
      </c>
    </row>
    <row r="25">
      <c r="D25" s="51" t="s">
        <v>343</v>
      </c>
      <c r="E25" s="46" t="s">
        <v>344</v>
      </c>
      <c r="F25" s="74" t="s">
        <v>777</v>
      </c>
      <c r="G25" s="74" t="s">
        <v>778</v>
      </c>
      <c r="H25" s="76" t="s">
        <v>779</v>
      </c>
    </row>
    <row r="26">
      <c r="D26" s="51" t="s">
        <v>353</v>
      </c>
      <c r="E26" s="46" t="s">
        <v>354</v>
      </c>
      <c r="F26" s="74" t="s">
        <v>782</v>
      </c>
      <c r="G26" s="74" t="s">
        <v>783</v>
      </c>
      <c r="H26" s="78" t="s">
        <v>74</v>
      </c>
    </row>
    <row r="27">
      <c r="D27" s="51" t="s">
        <v>267</v>
      </c>
      <c r="E27" s="46" t="s">
        <v>270</v>
      </c>
      <c r="F27" s="79" t="s">
        <v>74</v>
      </c>
      <c r="G27" s="79" t="s">
        <v>74</v>
      </c>
      <c r="H27" s="78" t="s">
        <v>74</v>
      </c>
    </row>
    <row r="28">
      <c r="D28" s="51" t="s">
        <v>372</v>
      </c>
      <c r="E28" s="46" t="s">
        <v>374</v>
      </c>
      <c r="F28" s="77" t="s">
        <v>786</v>
      </c>
      <c r="G28" s="79" t="s">
        <v>74</v>
      </c>
      <c r="H28" s="76" t="s">
        <v>787</v>
      </c>
    </row>
    <row r="29">
      <c r="D29" s="51" t="s">
        <v>383</v>
      </c>
      <c r="E29" s="46" t="s">
        <v>385</v>
      </c>
      <c r="F29" s="74" t="s">
        <v>788</v>
      </c>
      <c r="G29" s="74" t="s">
        <v>789</v>
      </c>
      <c r="H29" s="78" t="s">
        <v>74</v>
      </c>
    </row>
    <row r="30">
      <c r="D30" s="34" t="s">
        <v>405</v>
      </c>
      <c r="E30" s="46" t="s">
        <v>406</v>
      </c>
      <c r="F30" s="74" t="s">
        <v>792</v>
      </c>
      <c r="G30" s="74" t="s">
        <v>793</v>
      </c>
      <c r="H30" s="78" t="s">
        <v>74</v>
      </c>
    </row>
    <row r="31">
      <c r="D31" s="34" t="s">
        <v>418</v>
      </c>
      <c r="E31" s="46" t="s">
        <v>419</v>
      </c>
      <c r="F31" s="74" t="s">
        <v>794</v>
      </c>
      <c r="G31" s="74" t="s">
        <v>796</v>
      </c>
      <c r="H31" s="78" t="s">
        <v>74</v>
      </c>
    </row>
    <row r="32">
      <c r="D32" s="34" t="s">
        <v>429</v>
      </c>
      <c r="E32" s="46" t="s">
        <v>430</v>
      </c>
      <c r="F32" s="82" t="s">
        <v>797</v>
      </c>
      <c r="G32" s="74" t="s">
        <v>798</v>
      </c>
      <c r="H32" s="78" t="s">
        <v>74</v>
      </c>
    </row>
    <row r="33">
      <c r="D33" s="34" t="s">
        <v>441</v>
      </c>
      <c r="E33" s="46" t="s">
        <v>442</v>
      </c>
      <c r="F33" s="82" t="s">
        <v>801</v>
      </c>
      <c r="G33" s="74" t="s">
        <v>802</v>
      </c>
      <c r="H33" s="76" t="s">
        <v>803</v>
      </c>
    </row>
    <row r="34">
      <c r="D34" s="34" t="s">
        <v>454</v>
      </c>
      <c r="E34" s="46" t="s">
        <v>456</v>
      </c>
      <c r="F34" s="77" t="s">
        <v>804</v>
      </c>
      <c r="G34" s="74" t="s">
        <v>805</v>
      </c>
      <c r="H34" s="76" t="s">
        <v>806</v>
      </c>
    </row>
    <row r="35">
      <c r="D35" s="34" t="s">
        <v>466</v>
      </c>
      <c r="E35" s="46" t="s">
        <v>468</v>
      </c>
      <c r="F35" s="79" t="s">
        <v>74</v>
      </c>
      <c r="G35" s="79" t="s">
        <v>74</v>
      </c>
      <c r="H35" s="76" t="s">
        <v>809</v>
      </c>
    </row>
    <row r="36">
      <c r="D36" s="34" t="s">
        <v>480</v>
      </c>
      <c r="E36" s="46" t="s">
        <v>482</v>
      </c>
      <c r="F36" s="74" t="s">
        <v>810</v>
      </c>
      <c r="G36" s="74" t="s">
        <v>811</v>
      </c>
      <c r="H36" s="83" t="s">
        <v>812</v>
      </c>
    </row>
    <row r="37">
      <c r="D37" s="34" t="s">
        <v>495</v>
      </c>
      <c r="E37" s="46" t="s">
        <v>813</v>
      </c>
      <c r="F37" s="79" t="s">
        <v>74</v>
      </c>
      <c r="G37" s="79" t="s">
        <v>74</v>
      </c>
      <c r="H37" s="78" t="s">
        <v>74</v>
      </c>
    </row>
    <row r="38">
      <c r="D38" s="34" t="s">
        <v>513</v>
      </c>
      <c r="E38" s="46" t="s">
        <v>514</v>
      </c>
      <c r="F38" s="74" t="s">
        <v>814</v>
      </c>
      <c r="G38" s="74" t="s">
        <v>815</v>
      </c>
      <c r="H38" s="76" t="s">
        <v>818</v>
      </c>
    </row>
    <row r="39">
      <c r="D39" s="34" t="s">
        <v>536</v>
      </c>
      <c r="E39" s="46" t="s">
        <v>538</v>
      </c>
      <c r="F39" s="79" t="s">
        <v>74</v>
      </c>
      <c r="G39" s="79" t="s">
        <v>74</v>
      </c>
      <c r="H39" s="78" t="s">
        <v>74</v>
      </c>
    </row>
    <row r="40">
      <c r="D40" s="84"/>
      <c r="E40" s="84"/>
      <c r="F40" s="84"/>
      <c r="G40" s="84"/>
      <c r="H40" s="78" t="s">
        <v>74</v>
      </c>
    </row>
    <row r="41">
      <c r="D41" s="34" t="s">
        <v>547</v>
      </c>
      <c r="E41" s="46" t="s">
        <v>548</v>
      </c>
      <c r="F41" s="79" t="s">
        <v>74</v>
      </c>
      <c r="G41" s="79" t="s">
        <v>74</v>
      </c>
      <c r="H41" s="76" t="s">
        <v>821</v>
      </c>
    </row>
    <row r="42">
      <c r="D42" s="34" t="s">
        <v>560</v>
      </c>
      <c r="E42" s="46" t="s">
        <v>561</v>
      </c>
      <c r="F42" s="82" t="s">
        <v>754</v>
      </c>
      <c r="G42" s="74" t="s">
        <v>822</v>
      </c>
      <c r="H42" s="76" t="s">
        <v>825</v>
      </c>
    </row>
    <row r="43">
      <c r="D43" s="34" t="s">
        <v>573</v>
      </c>
      <c r="E43" s="46" t="s">
        <v>575</v>
      </c>
      <c r="F43" s="77" t="s">
        <v>827</v>
      </c>
      <c r="G43" s="74" t="s">
        <v>829</v>
      </c>
      <c r="H43" s="78" t="s">
        <v>74</v>
      </c>
    </row>
    <row r="44">
      <c r="D44" s="34" t="s">
        <v>584</v>
      </c>
      <c r="E44" s="46" t="s">
        <v>586</v>
      </c>
      <c r="F44" s="79" t="s">
        <v>74</v>
      </c>
      <c r="G44" s="79" t="s">
        <v>74</v>
      </c>
      <c r="H44" s="78" t="s">
        <v>74</v>
      </c>
    </row>
    <row r="45">
      <c r="D45" s="34" t="s">
        <v>601</v>
      </c>
      <c r="E45" s="46" t="s">
        <v>603</v>
      </c>
      <c r="F45" s="74" t="s">
        <v>831</v>
      </c>
      <c r="G45" s="74" t="s">
        <v>833</v>
      </c>
      <c r="H45" s="76" t="s">
        <v>834</v>
      </c>
    </row>
    <row r="46">
      <c r="D46" s="34" t="s">
        <v>507</v>
      </c>
      <c r="E46" s="46" t="s">
        <v>508</v>
      </c>
      <c r="F46" s="79" t="s">
        <v>74</v>
      </c>
      <c r="G46" s="79" t="s">
        <v>74</v>
      </c>
      <c r="H46" s="78" t="s">
        <v>74</v>
      </c>
    </row>
    <row r="47">
      <c r="D47" s="34" t="s">
        <v>630</v>
      </c>
      <c r="E47" s="46" t="s">
        <v>631</v>
      </c>
      <c r="F47" s="79" t="s">
        <v>74</v>
      </c>
      <c r="G47" s="79" t="s">
        <v>74</v>
      </c>
      <c r="H47" s="78" t="s">
        <v>74</v>
      </c>
    </row>
    <row r="48">
      <c r="D48" s="34" t="s">
        <v>642</v>
      </c>
      <c r="E48" s="46" t="s">
        <v>644</v>
      </c>
      <c r="F48" s="77" t="s">
        <v>837</v>
      </c>
      <c r="G48" s="79" t="s">
        <v>74</v>
      </c>
      <c r="H48" s="76" t="s">
        <v>838</v>
      </c>
    </row>
    <row r="49">
      <c r="D49" s="34" t="s">
        <v>656</v>
      </c>
      <c r="E49" s="46" t="s">
        <v>658</v>
      </c>
      <c r="F49" s="74" t="s">
        <v>839</v>
      </c>
      <c r="G49" s="74" t="s">
        <v>838</v>
      </c>
      <c r="H49" s="76" t="s">
        <v>840</v>
      </c>
    </row>
    <row r="50">
      <c r="D50" s="34" t="s">
        <v>667</v>
      </c>
      <c r="E50" s="46" t="s">
        <v>669</v>
      </c>
      <c r="F50" s="77" t="s">
        <v>841</v>
      </c>
      <c r="G50" s="79" t="s">
        <v>74</v>
      </c>
      <c r="H50" s="78" t="s">
        <v>74</v>
      </c>
    </row>
    <row r="51">
      <c r="D51" s="34" t="s">
        <v>598</v>
      </c>
      <c r="E51" s="46" t="s">
        <v>599</v>
      </c>
      <c r="F51" s="79" t="s">
        <v>74</v>
      </c>
      <c r="G51" s="79" t="s">
        <v>74</v>
      </c>
      <c r="H51" s="78" t="s">
        <v>74</v>
      </c>
    </row>
    <row r="52">
      <c r="D52" s="34" t="s">
        <v>692</v>
      </c>
      <c r="E52" s="46" t="s">
        <v>694</v>
      </c>
      <c r="F52" s="79" t="s">
        <v>74</v>
      </c>
      <c r="G52" s="79" t="s">
        <v>74</v>
      </c>
      <c r="H52" s="78" t="s">
        <v>74</v>
      </c>
    </row>
    <row r="53">
      <c r="D53" s="34" t="s">
        <v>705</v>
      </c>
      <c r="E53" s="46" t="s">
        <v>706</v>
      </c>
      <c r="F53" s="79" t="s">
        <v>74</v>
      </c>
      <c r="G53" s="79" t="s">
        <v>74</v>
      </c>
      <c r="H53" s="78" t="s">
        <v>74</v>
      </c>
    </row>
    <row r="54">
      <c r="D54" s="34" t="s">
        <v>718</v>
      </c>
      <c r="E54" s="46" t="s">
        <v>719</v>
      </c>
      <c r="F54" s="77" t="s">
        <v>842</v>
      </c>
      <c r="G54" s="74" t="s">
        <v>843</v>
      </c>
      <c r="H54" s="78" t="s">
        <v>74</v>
      </c>
    </row>
    <row r="55">
      <c r="D55" s="34" t="s">
        <v>728</v>
      </c>
      <c r="E55" s="46" t="s">
        <v>729</v>
      </c>
      <c r="F55" s="79" t="s">
        <v>74</v>
      </c>
      <c r="G55" s="79" t="s">
        <v>74</v>
      </c>
      <c r="H55" s="76" t="s">
        <v>845</v>
      </c>
    </row>
    <row r="56">
      <c r="D56" s="34" t="s">
        <v>731</v>
      </c>
      <c r="E56" s="46" t="s">
        <v>732</v>
      </c>
      <c r="F56" s="74" t="s">
        <v>846</v>
      </c>
      <c r="G56" s="74" t="s">
        <v>847</v>
      </c>
      <c r="H56" s="76" t="s">
        <v>848</v>
      </c>
    </row>
    <row r="57">
      <c r="D57" s="34" t="s">
        <v>387</v>
      </c>
      <c r="E57" s="46" t="s">
        <v>388</v>
      </c>
      <c r="F57" s="77" t="s">
        <v>849</v>
      </c>
      <c r="G57" s="74" t="s">
        <v>851</v>
      </c>
      <c r="H57" s="76" t="s">
        <v>852</v>
      </c>
    </row>
    <row r="58">
      <c r="D58" s="34" t="s">
        <v>733</v>
      </c>
      <c r="E58" s="46" t="s">
        <v>734</v>
      </c>
      <c r="F58" s="77" t="s">
        <v>852</v>
      </c>
      <c r="G58" s="79" t="s">
        <v>74</v>
      </c>
      <c r="H58" s="78" t="s">
        <v>74</v>
      </c>
    </row>
    <row r="59">
      <c r="D59" s="34" t="s">
        <v>739</v>
      </c>
      <c r="E59" s="46" t="s">
        <v>740</v>
      </c>
      <c r="F59" s="79" t="s">
        <v>74</v>
      </c>
      <c r="G59" s="79" t="s">
        <v>74</v>
      </c>
      <c r="H59" s="78" t="s">
        <v>74</v>
      </c>
    </row>
    <row r="60">
      <c r="D60" s="34" t="s">
        <v>299</v>
      </c>
      <c r="E60" s="46" t="s">
        <v>300</v>
      </c>
      <c r="F60" s="79" t="s">
        <v>74</v>
      </c>
      <c r="G60" s="75" t="s">
        <v>822</v>
      </c>
      <c r="H60" s="78" t="s">
        <v>74</v>
      </c>
    </row>
    <row r="61">
      <c r="D61" s="34" t="s">
        <v>750</v>
      </c>
      <c r="E61" s="46" t="s">
        <v>751</v>
      </c>
      <c r="F61" s="77" t="s">
        <v>854</v>
      </c>
      <c r="G61" s="79" t="s">
        <v>74</v>
      </c>
      <c r="H61" s="78" t="s">
        <v>74</v>
      </c>
    </row>
    <row r="62">
      <c r="D62" s="80" t="s">
        <v>757</v>
      </c>
      <c r="E62" s="46" t="s">
        <v>758</v>
      </c>
      <c r="F62" s="79" t="s">
        <v>74</v>
      </c>
      <c r="G62" s="79" t="s">
        <v>74</v>
      </c>
      <c r="H62" s="78" t="s">
        <v>74</v>
      </c>
    </row>
    <row r="63">
      <c r="D63" s="34" t="s">
        <v>763</v>
      </c>
      <c r="E63" s="46" t="s">
        <v>764</v>
      </c>
      <c r="F63" s="75" t="s">
        <v>855</v>
      </c>
      <c r="G63" s="74" t="s">
        <v>856</v>
      </c>
      <c r="H63" s="76" t="s">
        <v>857</v>
      </c>
    </row>
    <row r="64">
      <c r="D64" s="34" t="s">
        <v>768</v>
      </c>
      <c r="E64" s="46" t="s">
        <v>770</v>
      </c>
      <c r="F64" s="82" t="s">
        <v>858</v>
      </c>
      <c r="G64" s="74" t="s">
        <v>859</v>
      </c>
      <c r="H64" s="78" t="s">
        <v>74</v>
      </c>
    </row>
    <row r="65">
      <c r="D65" s="34" t="s">
        <v>360</v>
      </c>
      <c r="E65" s="46" t="s">
        <v>361</v>
      </c>
      <c r="F65" s="77" t="s">
        <v>860</v>
      </c>
      <c r="G65" s="79" t="s">
        <v>74</v>
      </c>
      <c r="H65" s="76" t="s">
        <v>861</v>
      </c>
    </row>
    <row r="66">
      <c r="D66" s="34" t="s">
        <v>623</v>
      </c>
      <c r="E66" s="46" t="s">
        <v>624</v>
      </c>
      <c r="F66" s="79" t="s">
        <v>74</v>
      </c>
      <c r="G66" s="79" t="s">
        <v>74</v>
      </c>
      <c r="H66" s="78" t="s">
        <v>74</v>
      </c>
    </row>
    <row r="67">
      <c r="D67" s="34" t="s">
        <v>690</v>
      </c>
      <c r="E67" s="46" t="s">
        <v>691</v>
      </c>
      <c r="F67" s="79" t="s">
        <v>74</v>
      </c>
      <c r="G67" s="79" t="s">
        <v>74</v>
      </c>
      <c r="H67" s="78" t="s">
        <v>74</v>
      </c>
    </row>
    <row r="68">
      <c r="D68" s="34" t="s">
        <v>780</v>
      </c>
      <c r="E68" s="46" t="s">
        <v>781</v>
      </c>
      <c r="F68" s="82" t="s">
        <v>862</v>
      </c>
      <c r="G68" s="74" t="s">
        <v>863</v>
      </c>
      <c r="H68" s="78" t="s">
        <v>74</v>
      </c>
    </row>
    <row r="69">
      <c r="D69" s="67" t="s">
        <v>784</v>
      </c>
      <c r="E69" s="66" t="s">
        <v>785</v>
      </c>
      <c r="F69" s="79" t="s">
        <v>74</v>
      </c>
      <c r="G69" s="79" t="s">
        <v>74</v>
      </c>
      <c r="H69" s="78" t="s">
        <v>74</v>
      </c>
    </row>
    <row r="70">
      <c r="D70" s="67" t="s">
        <v>790</v>
      </c>
      <c r="E70" s="67" t="s">
        <v>791</v>
      </c>
      <c r="F70" s="77" t="s">
        <v>864</v>
      </c>
      <c r="G70" s="74" t="s">
        <v>865</v>
      </c>
      <c r="H70" s="78" t="s">
        <v>74</v>
      </c>
    </row>
    <row r="71">
      <c r="D71" s="67" t="s">
        <v>742</v>
      </c>
      <c r="E71" s="67" t="s">
        <v>743</v>
      </c>
      <c r="F71" s="79" t="s">
        <v>74</v>
      </c>
      <c r="G71" s="79" t="s">
        <v>74</v>
      </c>
      <c r="H71" s="78" t="s">
        <v>74</v>
      </c>
    </row>
    <row r="72">
      <c r="D72" s="67" t="s">
        <v>799</v>
      </c>
      <c r="E72" s="67" t="s">
        <v>800</v>
      </c>
      <c r="F72" s="79" t="s">
        <v>74</v>
      </c>
      <c r="G72" s="79" t="s">
        <v>74</v>
      </c>
      <c r="H72" s="76" t="s">
        <v>866</v>
      </c>
    </row>
    <row r="73">
      <c r="D73" s="67" t="s">
        <v>647</v>
      </c>
      <c r="E73" s="63" t="s">
        <v>649</v>
      </c>
      <c r="F73" s="77" t="s">
        <v>867</v>
      </c>
      <c r="G73" s="79" t="s">
        <v>74</v>
      </c>
      <c r="H73" s="76" t="s">
        <v>868</v>
      </c>
    </row>
    <row r="74">
      <c r="D74" s="67" t="s">
        <v>807</v>
      </c>
      <c r="E74" s="63" t="s">
        <v>808</v>
      </c>
      <c r="F74" s="75" t="s">
        <v>869</v>
      </c>
      <c r="G74" s="75" t="s">
        <v>870</v>
      </c>
      <c r="H74" s="78" t="s">
        <v>74</v>
      </c>
    </row>
    <row r="75">
      <c r="D75" s="67" t="s">
        <v>752</v>
      </c>
      <c r="E75" s="63" t="s">
        <v>753</v>
      </c>
      <c r="F75" s="79" t="s">
        <v>74</v>
      </c>
      <c r="G75" s="79" t="s">
        <v>74</v>
      </c>
      <c r="H75" s="78" t="s">
        <v>74</v>
      </c>
    </row>
    <row r="76">
      <c r="D76" s="67" t="s">
        <v>816</v>
      </c>
      <c r="E76" s="63" t="s">
        <v>817</v>
      </c>
      <c r="F76" s="79" t="s">
        <v>74</v>
      </c>
      <c r="G76" s="79" t="s">
        <v>74</v>
      </c>
      <c r="H76" s="76" t="s">
        <v>871</v>
      </c>
    </row>
    <row r="77">
      <c r="D77" s="67" t="s">
        <v>819</v>
      </c>
      <c r="E77" s="67" t="s">
        <v>820</v>
      </c>
      <c r="F77" s="74" t="s">
        <v>872</v>
      </c>
      <c r="G77" s="74" t="s">
        <v>873</v>
      </c>
      <c r="H77" s="76" t="s">
        <v>874</v>
      </c>
    </row>
    <row r="78">
      <c r="D78" s="67" t="s">
        <v>823</v>
      </c>
      <c r="E78" s="67" t="s">
        <v>824</v>
      </c>
      <c r="F78" s="74" t="s">
        <v>875</v>
      </c>
      <c r="G78" s="75" t="s">
        <v>876</v>
      </c>
      <c r="H78" s="78" t="s">
        <v>74</v>
      </c>
    </row>
    <row r="79">
      <c r="D79" s="67" t="s">
        <v>826</v>
      </c>
      <c r="E79" s="67" t="s">
        <v>828</v>
      </c>
      <c r="F79" s="79" t="s">
        <v>74</v>
      </c>
      <c r="G79" s="79" t="s">
        <v>74</v>
      </c>
      <c r="H79" s="78" t="s">
        <v>74</v>
      </c>
    </row>
    <row r="80">
      <c r="D80" s="67" t="s">
        <v>830</v>
      </c>
      <c r="E80" s="67" t="s">
        <v>832</v>
      </c>
      <c r="F80" s="79" t="s">
        <v>74</v>
      </c>
      <c r="G80" s="79" t="s">
        <v>74</v>
      </c>
      <c r="H80" s="78" t="s">
        <v>74</v>
      </c>
    </row>
    <row r="81">
      <c r="D81" s="18" t="s">
        <v>877</v>
      </c>
      <c r="E81" s="66" t="s">
        <v>878</v>
      </c>
      <c r="F81" s="79" t="s">
        <v>74</v>
      </c>
      <c r="G81" s="79" t="s">
        <v>74</v>
      </c>
      <c r="H81" s="78" t="s">
        <v>74</v>
      </c>
    </row>
    <row r="82">
      <c r="F82" s="70"/>
      <c r="G82" s="71"/>
    </row>
    <row r="83">
      <c r="F83" s="70"/>
      <c r="G83" s="71"/>
    </row>
    <row r="84">
      <c r="F84" s="70"/>
      <c r="G84" s="71"/>
    </row>
    <row r="85">
      <c r="F85" s="70"/>
      <c r="G85" s="71"/>
    </row>
    <row r="86">
      <c r="F86" s="70"/>
      <c r="G86" s="71"/>
    </row>
    <row r="87">
      <c r="F87" s="70"/>
      <c r="G87" s="71"/>
    </row>
    <row r="88">
      <c r="F88" s="70"/>
      <c r="G88" s="71"/>
    </row>
    <row r="89">
      <c r="F89" s="70"/>
      <c r="G89" s="71"/>
    </row>
    <row r="90">
      <c r="F90" s="70"/>
      <c r="G90" s="71"/>
    </row>
    <row r="91">
      <c r="F91" s="70"/>
      <c r="G91" s="71"/>
    </row>
    <row r="92">
      <c r="F92" s="70"/>
      <c r="G92" s="71"/>
    </row>
    <row r="93">
      <c r="F93" s="70"/>
      <c r="G93" s="71"/>
    </row>
    <row r="94">
      <c r="F94" s="70"/>
      <c r="G94" s="71"/>
    </row>
    <row r="95">
      <c r="F95" s="70"/>
      <c r="G95" s="71"/>
    </row>
    <row r="96">
      <c r="F96" s="70"/>
      <c r="G96" s="71"/>
    </row>
    <row r="97">
      <c r="F97" s="70"/>
      <c r="G97" s="71"/>
    </row>
    <row r="98">
      <c r="F98" s="70"/>
      <c r="G98" s="71"/>
    </row>
    <row r="99">
      <c r="F99" s="70"/>
      <c r="G99" s="71"/>
    </row>
    <row r="100">
      <c r="F100" s="70"/>
      <c r="G100" s="71"/>
    </row>
    <row r="101">
      <c r="F101" s="70"/>
      <c r="G101" s="71"/>
    </row>
    <row r="102">
      <c r="F102" s="70"/>
      <c r="G102" s="71"/>
    </row>
    <row r="103">
      <c r="F103" s="70"/>
      <c r="G103" s="71"/>
    </row>
    <row r="104">
      <c r="F104" s="70"/>
      <c r="G104" s="71"/>
    </row>
    <row r="105">
      <c r="F105" s="70"/>
      <c r="G105" s="71"/>
    </row>
    <row r="106">
      <c r="F106" s="70"/>
      <c r="G106" s="71"/>
    </row>
    <row r="107">
      <c r="F107" s="70"/>
      <c r="G107" s="71"/>
    </row>
    <row r="108">
      <c r="F108" s="70"/>
      <c r="G108" s="71"/>
    </row>
    <row r="109">
      <c r="F109" s="70"/>
      <c r="G109" s="71"/>
    </row>
    <row r="110">
      <c r="F110" s="70"/>
      <c r="G110" s="71"/>
    </row>
    <row r="111">
      <c r="F111" s="70"/>
      <c r="G111" s="71"/>
    </row>
    <row r="112">
      <c r="F112" s="70"/>
      <c r="G112" s="71"/>
    </row>
    <row r="113">
      <c r="F113" s="70"/>
      <c r="G113" s="71"/>
    </row>
    <row r="114">
      <c r="F114" s="70"/>
      <c r="G114" s="71"/>
    </row>
    <row r="115">
      <c r="F115" s="70"/>
      <c r="G115" s="71"/>
    </row>
    <row r="116">
      <c r="F116" s="70"/>
      <c r="G116" s="71"/>
    </row>
    <row r="117">
      <c r="F117" s="70"/>
      <c r="G117" s="71"/>
    </row>
    <row r="118">
      <c r="F118" s="70"/>
      <c r="G118" s="71"/>
    </row>
    <row r="119">
      <c r="F119" s="70"/>
      <c r="G119" s="71"/>
    </row>
    <row r="120">
      <c r="F120" s="70"/>
      <c r="G120" s="71"/>
    </row>
    <row r="121">
      <c r="F121" s="70"/>
      <c r="G121" s="71"/>
    </row>
    <row r="122">
      <c r="F122" s="70"/>
      <c r="G122" s="71"/>
    </row>
    <row r="123">
      <c r="F123" s="70"/>
      <c r="G123" s="71"/>
    </row>
    <row r="124">
      <c r="F124" s="70"/>
      <c r="G124" s="71"/>
    </row>
    <row r="125">
      <c r="F125" s="70"/>
      <c r="G125" s="71"/>
    </row>
    <row r="126">
      <c r="F126" s="70"/>
      <c r="G126" s="71"/>
    </row>
    <row r="127">
      <c r="F127" s="70"/>
      <c r="G127" s="71"/>
    </row>
    <row r="128">
      <c r="F128" s="70"/>
      <c r="G128" s="71"/>
    </row>
    <row r="129">
      <c r="F129" s="70"/>
      <c r="G129" s="71"/>
    </row>
    <row r="130">
      <c r="F130" s="70"/>
      <c r="G130" s="71"/>
    </row>
    <row r="131">
      <c r="F131" s="70"/>
      <c r="G131" s="71"/>
    </row>
    <row r="132">
      <c r="F132" s="70"/>
      <c r="G132" s="71"/>
    </row>
    <row r="133">
      <c r="F133" s="70"/>
      <c r="G133" s="71"/>
    </row>
    <row r="134">
      <c r="F134" s="70"/>
      <c r="G134" s="71"/>
    </row>
    <row r="135">
      <c r="F135" s="70"/>
      <c r="G135" s="71"/>
    </row>
    <row r="136">
      <c r="F136" s="70"/>
      <c r="G136" s="71"/>
    </row>
    <row r="137">
      <c r="F137" s="70"/>
      <c r="G137" s="71"/>
    </row>
    <row r="138">
      <c r="F138" s="70"/>
      <c r="G138" s="71"/>
    </row>
    <row r="139">
      <c r="F139" s="70"/>
      <c r="G139" s="71"/>
    </row>
    <row r="140">
      <c r="F140" s="70"/>
      <c r="G140" s="71"/>
    </row>
    <row r="141">
      <c r="F141" s="70"/>
      <c r="G141" s="71"/>
    </row>
    <row r="142">
      <c r="F142" s="70"/>
      <c r="G142" s="71"/>
    </row>
    <row r="143">
      <c r="F143" s="70"/>
      <c r="G143" s="71"/>
    </row>
    <row r="144">
      <c r="F144" s="70"/>
      <c r="G144" s="71"/>
    </row>
    <row r="145">
      <c r="F145" s="70"/>
      <c r="G145" s="71"/>
    </row>
    <row r="146">
      <c r="F146" s="70"/>
      <c r="G146" s="71"/>
    </row>
    <row r="147">
      <c r="F147" s="70"/>
      <c r="G147" s="71"/>
    </row>
    <row r="148">
      <c r="F148" s="70"/>
      <c r="G148" s="71"/>
    </row>
    <row r="149">
      <c r="F149" s="70"/>
      <c r="G149" s="71"/>
    </row>
    <row r="150">
      <c r="F150" s="70"/>
      <c r="G150" s="71"/>
    </row>
    <row r="151">
      <c r="F151" s="70"/>
      <c r="G151" s="71"/>
    </row>
    <row r="152">
      <c r="F152" s="70"/>
      <c r="G152" s="71"/>
    </row>
    <row r="153">
      <c r="F153" s="70"/>
      <c r="G153" s="71"/>
    </row>
    <row r="154">
      <c r="F154" s="70"/>
      <c r="G154" s="71"/>
    </row>
    <row r="155">
      <c r="F155" s="70"/>
      <c r="G155" s="71"/>
    </row>
    <row r="156">
      <c r="F156" s="70"/>
      <c r="G156" s="71"/>
    </row>
    <row r="157">
      <c r="F157" s="70"/>
      <c r="G157" s="71"/>
    </row>
    <row r="158">
      <c r="F158" s="70"/>
      <c r="G158" s="71"/>
    </row>
    <row r="159">
      <c r="F159" s="70"/>
      <c r="G159" s="71"/>
    </row>
    <row r="160">
      <c r="F160" s="70"/>
      <c r="G160" s="71"/>
    </row>
    <row r="161">
      <c r="F161" s="70"/>
      <c r="G161" s="71"/>
    </row>
    <row r="162">
      <c r="F162" s="70"/>
      <c r="G162" s="71"/>
    </row>
    <row r="163">
      <c r="F163" s="70"/>
      <c r="G163" s="71"/>
    </row>
    <row r="164">
      <c r="F164" s="70"/>
      <c r="G164" s="71"/>
    </row>
    <row r="165">
      <c r="F165" s="70"/>
      <c r="G165" s="71"/>
    </row>
    <row r="166">
      <c r="F166" s="70"/>
      <c r="G166" s="71"/>
    </row>
    <row r="167">
      <c r="F167" s="70"/>
      <c r="G167" s="71"/>
    </row>
    <row r="168">
      <c r="F168" s="70"/>
      <c r="G168" s="71"/>
    </row>
    <row r="169">
      <c r="F169" s="70"/>
      <c r="G169" s="71"/>
    </row>
    <row r="170">
      <c r="F170" s="70"/>
      <c r="G170" s="71"/>
    </row>
    <row r="171">
      <c r="F171" s="70"/>
      <c r="G171" s="71"/>
    </row>
    <row r="172">
      <c r="F172" s="70"/>
      <c r="G172" s="71"/>
    </row>
    <row r="173">
      <c r="F173" s="70"/>
      <c r="G173" s="71"/>
    </row>
    <row r="174">
      <c r="F174" s="70"/>
      <c r="G174" s="71"/>
    </row>
    <row r="175">
      <c r="F175" s="70"/>
      <c r="G175" s="71"/>
    </row>
    <row r="176">
      <c r="F176" s="70"/>
      <c r="G176" s="71"/>
    </row>
    <row r="177">
      <c r="F177" s="70"/>
      <c r="G177" s="71"/>
    </row>
    <row r="178">
      <c r="F178" s="70"/>
      <c r="G178" s="71"/>
    </row>
    <row r="179">
      <c r="F179" s="70"/>
      <c r="G179" s="71"/>
    </row>
    <row r="180">
      <c r="F180" s="70"/>
      <c r="G180" s="71"/>
    </row>
    <row r="181">
      <c r="F181" s="70"/>
      <c r="G181" s="71"/>
    </row>
    <row r="182">
      <c r="F182" s="70"/>
      <c r="G182" s="71"/>
    </row>
    <row r="183">
      <c r="F183" s="70"/>
      <c r="G183" s="71"/>
    </row>
    <row r="184">
      <c r="F184" s="70"/>
      <c r="G184" s="71"/>
    </row>
    <row r="185">
      <c r="F185" s="70"/>
      <c r="G185" s="71"/>
    </row>
    <row r="186">
      <c r="F186" s="70"/>
      <c r="G186" s="71"/>
    </row>
    <row r="187">
      <c r="F187" s="70"/>
      <c r="G187" s="71"/>
    </row>
    <row r="188">
      <c r="F188" s="70"/>
      <c r="G188" s="71"/>
    </row>
    <row r="189">
      <c r="F189" s="70"/>
      <c r="G189" s="71"/>
    </row>
    <row r="190">
      <c r="F190" s="70"/>
      <c r="G190" s="71"/>
    </row>
    <row r="191">
      <c r="F191" s="70"/>
      <c r="G191" s="71"/>
    </row>
    <row r="192">
      <c r="F192" s="70"/>
      <c r="G192" s="71"/>
    </row>
    <row r="193">
      <c r="F193" s="70"/>
      <c r="G193" s="71"/>
    </row>
    <row r="194">
      <c r="F194" s="70"/>
      <c r="G194" s="71"/>
    </row>
    <row r="195">
      <c r="F195" s="70"/>
      <c r="G195" s="71"/>
    </row>
    <row r="196">
      <c r="F196" s="70"/>
      <c r="G196" s="71"/>
    </row>
    <row r="197">
      <c r="F197" s="70"/>
      <c r="G197" s="71"/>
    </row>
    <row r="198">
      <c r="F198" s="70"/>
      <c r="G198" s="71"/>
    </row>
    <row r="199">
      <c r="F199" s="70"/>
      <c r="G199" s="71"/>
    </row>
    <row r="200">
      <c r="F200" s="70"/>
      <c r="G200" s="71"/>
    </row>
    <row r="201">
      <c r="F201" s="70"/>
      <c r="G201" s="71"/>
    </row>
    <row r="202">
      <c r="F202" s="70"/>
      <c r="G202" s="71"/>
    </row>
    <row r="203">
      <c r="F203" s="70"/>
      <c r="G203" s="71"/>
    </row>
    <row r="204">
      <c r="F204" s="70"/>
      <c r="G204" s="71"/>
    </row>
    <row r="205">
      <c r="F205" s="70"/>
      <c r="G205" s="71"/>
    </row>
    <row r="206">
      <c r="F206" s="70"/>
      <c r="G206" s="71"/>
    </row>
    <row r="207">
      <c r="F207" s="70"/>
      <c r="G207" s="71"/>
    </row>
    <row r="208">
      <c r="F208" s="70"/>
      <c r="G208" s="71"/>
    </row>
    <row r="209">
      <c r="F209" s="70"/>
      <c r="G209" s="71"/>
    </row>
    <row r="210">
      <c r="F210" s="70"/>
      <c r="G210" s="71"/>
    </row>
    <row r="211">
      <c r="F211" s="70"/>
      <c r="G211" s="71"/>
    </row>
    <row r="212">
      <c r="F212" s="70"/>
      <c r="G212" s="71"/>
    </row>
    <row r="213">
      <c r="F213" s="70"/>
      <c r="G213" s="71"/>
    </row>
    <row r="214">
      <c r="F214" s="70"/>
      <c r="G214" s="71"/>
    </row>
    <row r="215">
      <c r="F215" s="70"/>
      <c r="G215" s="71"/>
    </row>
    <row r="216">
      <c r="F216" s="70"/>
      <c r="G216" s="71"/>
    </row>
    <row r="217">
      <c r="F217" s="70"/>
      <c r="G217" s="71"/>
    </row>
    <row r="218">
      <c r="F218" s="70"/>
      <c r="G218" s="71"/>
    </row>
    <row r="219">
      <c r="F219" s="70"/>
      <c r="G219" s="71"/>
    </row>
    <row r="220">
      <c r="F220" s="70"/>
      <c r="G220" s="71"/>
    </row>
    <row r="221">
      <c r="F221" s="70"/>
      <c r="G221" s="71"/>
    </row>
    <row r="222">
      <c r="F222" s="70"/>
      <c r="G222" s="71"/>
    </row>
    <row r="223">
      <c r="F223" s="70"/>
      <c r="G223" s="71"/>
    </row>
    <row r="224">
      <c r="F224" s="70"/>
      <c r="G224" s="71"/>
    </row>
    <row r="225">
      <c r="F225" s="70"/>
      <c r="G225" s="71"/>
    </row>
    <row r="226">
      <c r="F226" s="70"/>
      <c r="G226" s="71"/>
    </row>
    <row r="227">
      <c r="F227" s="70"/>
      <c r="G227" s="71"/>
    </row>
    <row r="228">
      <c r="F228" s="70"/>
      <c r="G228" s="71"/>
    </row>
    <row r="229">
      <c r="F229" s="70"/>
      <c r="G229" s="71"/>
    </row>
    <row r="230">
      <c r="F230" s="70"/>
      <c r="G230" s="71"/>
    </row>
    <row r="231">
      <c r="F231" s="70"/>
      <c r="G231" s="71"/>
    </row>
    <row r="232">
      <c r="F232" s="70"/>
      <c r="G232" s="71"/>
    </row>
    <row r="233">
      <c r="F233" s="70"/>
      <c r="G233" s="71"/>
    </row>
    <row r="234">
      <c r="F234" s="70"/>
      <c r="G234" s="71"/>
    </row>
    <row r="235">
      <c r="F235" s="70"/>
      <c r="G235" s="71"/>
    </row>
    <row r="236">
      <c r="F236" s="70"/>
      <c r="G236" s="71"/>
    </row>
    <row r="237">
      <c r="F237" s="70"/>
      <c r="G237" s="71"/>
    </row>
    <row r="238">
      <c r="F238" s="70"/>
      <c r="G238" s="71"/>
    </row>
    <row r="239">
      <c r="F239" s="70"/>
      <c r="G239" s="71"/>
    </row>
    <row r="240">
      <c r="F240" s="70"/>
      <c r="G240" s="71"/>
    </row>
    <row r="241">
      <c r="F241" s="70"/>
      <c r="G241" s="71"/>
    </row>
    <row r="242">
      <c r="F242" s="70"/>
      <c r="G242" s="71"/>
    </row>
    <row r="243">
      <c r="F243" s="70"/>
      <c r="G243" s="71"/>
    </row>
    <row r="244">
      <c r="F244" s="70"/>
      <c r="G244" s="71"/>
    </row>
    <row r="245">
      <c r="F245" s="70"/>
      <c r="G245" s="71"/>
    </row>
    <row r="246">
      <c r="F246" s="70"/>
      <c r="G246" s="71"/>
    </row>
    <row r="247">
      <c r="F247" s="70"/>
      <c r="G247" s="71"/>
    </row>
    <row r="248">
      <c r="F248" s="70"/>
      <c r="G248" s="71"/>
    </row>
    <row r="249">
      <c r="F249" s="70"/>
      <c r="G249" s="71"/>
    </row>
    <row r="250">
      <c r="F250" s="70"/>
      <c r="G250" s="71"/>
    </row>
    <row r="251">
      <c r="F251" s="70"/>
      <c r="G251" s="71"/>
    </row>
    <row r="252">
      <c r="F252" s="70"/>
      <c r="G252" s="71"/>
    </row>
    <row r="253">
      <c r="F253" s="70"/>
      <c r="G253" s="71"/>
    </row>
    <row r="254">
      <c r="F254" s="70"/>
      <c r="G254" s="71"/>
    </row>
    <row r="255">
      <c r="F255" s="70"/>
      <c r="G255" s="71"/>
    </row>
    <row r="256">
      <c r="F256" s="70"/>
      <c r="G256" s="71"/>
    </row>
    <row r="257">
      <c r="F257" s="70"/>
      <c r="G257" s="71"/>
    </row>
    <row r="258">
      <c r="F258" s="70"/>
      <c r="G258" s="71"/>
    </row>
    <row r="259">
      <c r="F259" s="70"/>
      <c r="G259" s="71"/>
    </row>
    <row r="260">
      <c r="F260" s="70"/>
      <c r="G260" s="71"/>
    </row>
    <row r="261">
      <c r="F261" s="70"/>
      <c r="G261" s="71"/>
    </row>
    <row r="262">
      <c r="F262" s="70"/>
      <c r="G262" s="71"/>
    </row>
    <row r="263">
      <c r="F263" s="70"/>
      <c r="G263" s="71"/>
    </row>
    <row r="264">
      <c r="F264" s="70"/>
      <c r="G264" s="71"/>
    </row>
    <row r="265">
      <c r="F265" s="70"/>
      <c r="G265" s="71"/>
    </row>
    <row r="266">
      <c r="F266" s="70"/>
      <c r="G266" s="71"/>
    </row>
    <row r="267">
      <c r="F267" s="70"/>
      <c r="G267" s="71"/>
    </row>
    <row r="268">
      <c r="F268" s="70"/>
      <c r="G268" s="71"/>
    </row>
    <row r="269">
      <c r="F269" s="70"/>
      <c r="G269" s="71"/>
    </row>
    <row r="270">
      <c r="F270" s="70"/>
      <c r="G270" s="71"/>
    </row>
    <row r="271">
      <c r="F271" s="70"/>
      <c r="G271" s="71"/>
    </row>
    <row r="272">
      <c r="F272" s="70"/>
      <c r="G272" s="71"/>
    </row>
    <row r="273">
      <c r="F273" s="70"/>
      <c r="G273" s="71"/>
    </row>
    <row r="274">
      <c r="F274" s="70"/>
      <c r="G274" s="71"/>
    </row>
    <row r="275">
      <c r="F275" s="70"/>
      <c r="G275" s="71"/>
    </row>
    <row r="276">
      <c r="F276" s="70"/>
      <c r="G276" s="71"/>
    </row>
    <row r="277">
      <c r="F277" s="70"/>
      <c r="G277" s="71"/>
    </row>
    <row r="278">
      <c r="F278" s="70"/>
      <c r="G278" s="71"/>
    </row>
    <row r="279">
      <c r="F279" s="70"/>
      <c r="G279" s="71"/>
    </row>
    <row r="280">
      <c r="F280" s="70"/>
      <c r="G280" s="71"/>
    </row>
    <row r="281">
      <c r="F281" s="70"/>
      <c r="G281" s="71"/>
    </row>
    <row r="282">
      <c r="F282" s="70"/>
      <c r="G282" s="71"/>
    </row>
    <row r="283">
      <c r="F283" s="70"/>
      <c r="G283" s="71"/>
    </row>
    <row r="284">
      <c r="F284" s="70"/>
      <c r="G284" s="71"/>
    </row>
    <row r="285">
      <c r="F285" s="70"/>
      <c r="G285" s="71"/>
    </row>
    <row r="286">
      <c r="F286" s="70"/>
      <c r="G286" s="71"/>
    </row>
    <row r="287">
      <c r="F287" s="70"/>
      <c r="G287" s="71"/>
    </row>
    <row r="288">
      <c r="F288" s="70"/>
      <c r="G288" s="71"/>
    </row>
    <row r="289">
      <c r="F289" s="70"/>
      <c r="G289" s="71"/>
    </row>
    <row r="290">
      <c r="F290" s="70"/>
      <c r="G290" s="71"/>
    </row>
    <row r="291">
      <c r="F291" s="70"/>
      <c r="G291" s="71"/>
    </row>
    <row r="292">
      <c r="F292" s="70"/>
      <c r="G292" s="71"/>
    </row>
    <row r="293">
      <c r="F293" s="70"/>
      <c r="G293" s="71"/>
    </row>
    <row r="294">
      <c r="F294" s="70"/>
      <c r="G294" s="71"/>
    </row>
    <row r="295">
      <c r="F295" s="70"/>
      <c r="G295" s="71"/>
    </row>
    <row r="296">
      <c r="F296" s="70"/>
      <c r="G296" s="71"/>
    </row>
    <row r="297">
      <c r="F297" s="70"/>
      <c r="G297" s="71"/>
    </row>
    <row r="298">
      <c r="F298" s="70"/>
      <c r="G298" s="71"/>
    </row>
    <row r="299">
      <c r="F299" s="70"/>
      <c r="G299" s="71"/>
    </row>
    <row r="300">
      <c r="F300" s="70"/>
      <c r="G300" s="71"/>
    </row>
    <row r="301">
      <c r="F301" s="70"/>
      <c r="G301" s="71"/>
    </row>
    <row r="302">
      <c r="F302" s="70"/>
      <c r="G302" s="71"/>
    </row>
    <row r="303">
      <c r="F303" s="70"/>
      <c r="G303" s="71"/>
    </row>
    <row r="304">
      <c r="F304" s="70"/>
      <c r="G304" s="71"/>
    </row>
    <row r="305">
      <c r="F305" s="70"/>
      <c r="G305" s="71"/>
    </row>
    <row r="306">
      <c r="F306" s="70"/>
      <c r="G306" s="71"/>
    </row>
    <row r="307">
      <c r="F307" s="70"/>
      <c r="G307" s="71"/>
    </row>
    <row r="308">
      <c r="F308" s="70"/>
      <c r="G308" s="71"/>
    </row>
    <row r="309">
      <c r="F309" s="70"/>
      <c r="G309" s="71"/>
    </row>
    <row r="310">
      <c r="F310" s="70"/>
      <c r="G310" s="71"/>
    </row>
    <row r="311">
      <c r="F311" s="70"/>
      <c r="G311" s="71"/>
    </row>
    <row r="312">
      <c r="F312" s="70"/>
      <c r="G312" s="71"/>
    </row>
    <row r="313">
      <c r="F313" s="70"/>
      <c r="G313" s="71"/>
    </row>
    <row r="314">
      <c r="F314" s="70"/>
      <c r="G314" s="71"/>
    </row>
    <row r="315">
      <c r="F315" s="70"/>
      <c r="G315" s="71"/>
    </row>
    <row r="316">
      <c r="F316" s="70"/>
      <c r="G316" s="71"/>
    </row>
    <row r="317">
      <c r="F317" s="70"/>
      <c r="G317" s="71"/>
    </row>
    <row r="318">
      <c r="F318" s="70"/>
      <c r="G318" s="71"/>
    </row>
    <row r="319">
      <c r="F319" s="70"/>
      <c r="G319" s="71"/>
    </row>
    <row r="320">
      <c r="F320" s="70"/>
      <c r="G320" s="71"/>
    </row>
    <row r="321">
      <c r="F321" s="70"/>
      <c r="G321" s="71"/>
    </row>
    <row r="322">
      <c r="F322" s="70"/>
      <c r="G322" s="71"/>
    </row>
    <row r="323">
      <c r="F323" s="70"/>
      <c r="G323" s="71"/>
    </row>
    <row r="324">
      <c r="F324" s="70"/>
      <c r="G324" s="71"/>
    </row>
    <row r="325">
      <c r="F325" s="70"/>
      <c r="G325" s="71"/>
    </row>
    <row r="326">
      <c r="F326" s="70"/>
      <c r="G326" s="71"/>
    </row>
    <row r="327">
      <c r="F327" s="70"/>
      <c r="G327" s="71"/>
    </row>
    <row r="328">
      <c r="F328" s="70"/>
      <c r="G328" s="71"/>
    </row>
    <row r="329">
      <c r="F329" s="70"/>
      <c r="G329" s="71"/>
    </row>
    <row r="330">
      <c r="F330" s="70"/>
      <c r="G330" s="71"/>
    </row>
    <row r="331">
      <c r="F331" s="70"/>
      <c r="G331" s="71"/>
    </row>
    <row r="332">
      <c r="F332" s="70"/>
      <c r="G332" s="71"/>
    </row>
    <row r="333">
      <c r="F333" s="70"/>
      <c r="G333" s="71"/>
    </row>
    <row r="334">
      <c r="F334" s="70"/>
      <c r="G334" s="71"/>
    </row>
    <row r="335">
      <c r="F335" s="70"/>
      <c r="G335" s="71"/>
    </row>
    <row r="336">
      <c r="F336" s="70"/>
      <c r="G336" s="71"/>
    </row>
    <row r="337">
      <c r="F337" s="70"/>
      <c r="G337" s="71"/>
    </row>
    <row r="338">
      <c r="F338" s="70"/>
      <c r="G338" s="71"/>
    </row>
    <row r="339">
      <c r="F339" s="70"/>
      <c r="G339" s="71"/>
    </row>
    <row r="340">
      <c r="F340" s="70"/>
      <c r="G340" s="71"/>
    </row>
    <row r="341">
      <c r="F341" s="70"/>
      <c r="G341" s="71"/>
    </row>
    <row r="342">
      <c r="F342" s="70"/>
      <c r="G342" s="71"/>
    </row>
    <row r="343">
      <c r="F343" s="70"/>
      <c r="G343" s="71"/>
    </row>
    <row r="344">
      <c r="F344" s="70"/>
      <c r="G344" s="71"/>
    </row>
    <row r="345">
      <c r="F345" s="70"/>
      <c r="G345" s="71"/>
    </row>
    <row r="346">
      <c r="F346" s="70"/>
      <c r="G346" s="71"/>
    </row>
    <row r="347">
      <c r="F347" s="70"/>
      <c r="G347" s="71"/>
    </row>
    <row r="348">
      <c r="F348" s="70"/>
      <c r="G348" s="71"/>
    </row>
    <row r="349">
      <c r="F349" s="70"/>
      <c r="G349" s="71"/>
    </row>
    <row r="350">
      <c r="F350" s="70"/>
      <c r="G350" s="71"/>
    </row>
    <row r="351">
      <c r="F351" s="70"/>
      <c r="G351" s="71"/>
    </row>
    <row r="352">
      <c r="F352" s="70"/>
      <c r="G352" s="71"/>
    </row>
    <row r="353">
      <c r="F353" s="70"/>
      <c r="G353" s="71"/>
    </row>
    <row r="354">
      <c r="F354" s="70"/>
      <c r="G354" s="71"/>
    </row>
    <row r="355">
      <c r="F355" s="70"/>
      <c r="G355" s="71"/>
    </row>
    <row r="356">
      <c r="F356" s="70"/>
      <c r="G356" s="71"/>
    </row>
    <row r="357">
      <c r="F357" s="70"/>
      <c r="G357" s="71"/>
    </row>
    <row r="358">
      <c r="F358" s="70"/>
      <c r="G358" s="71"/>
    </row>
    <row r="359">
      <c r="F359" s="70"/>
      <c r="G359" s="71"/>
    </row>
    <row r="360">
      <c r="F360" s="70"/>
      <c r="G360" s="71"/>
    </row>
    <row r="361">
      <c r="F361" s="70"/>
      <c r="G361" s="71"/>
    </row>
    <row r="362">
      <c r="F362" s="70"/>
      <c r="G362" s="71"/>
    </row>
    <row r="363">
      <c r="F363" s="70"/>
      <c r="G363" s="71"/>
    </row>
    <row r="364">
      <c r="F364" s="70"/>
      <c r="G364" s="71"/>
    </row>
    <row r="365">
      <c r="F365" s="70"/>
      <c r="G365" s="71"/>
    </row>
    <row r="366">
      <c r="F366" s="70"/>
      <c r="G366" s="71"/>
    </row>
    <row r="367">
      <c r="F367" s="70"/>
      <c r="G367" s="71"/>
    </row>
    <row r="368">
      <c r="F368" s="70"/>
      <c r="G368" s="71"/>
    </row>
    <row r="369">
      <c r="F369" s="70"/>
      <c r="G369" s="71"/>
    </row>
    <row r="370">
      <c r="F370" s="70"/>
      <c r="G370" s="71"/>
    </row>
    <row r="371">
      <c r="F371" s="70"/>
      <c r="G371" s="71"/>
    </row>
    <row r="372">
      <c r="F372" s="70"/>
      <c r="G372" s="71"/>
    </row>
    <row r="373">
      <c r="F373" s="70"/>
      <c r="G373" s="71"/>
    </row>
    <row r="374">
      <c r="F374" s="70"/>
      <c r="G374" s="71"/>
    </row>
    <row r="375">
      <c r="F375" s="70"/>
      <c r="G375" s="71"/>
    </row>
    <row r="376">
      <c r="F376" s="70"/>
      <c r="G376" s="71"/>
    </row>
    <row r="377">
      <c r="F377" s="70"/>
      <c r="G377" s="71"/>
    </row>
    <row r="378">
      <c r="F378" s="70"/>
      <c r="G378" s="71"/>
    </row>
    <row r="379">
      <c r="F379" s="70"/>
      <c r="G379" s="71"/>
    </row>
    <row r="380">
      <c r="F380" s="70"/>
      <c r="G380" s="71"/>
    </row>
    <row r="381">
      <c r="F381" s="70"/>
      <c r="G381" s="71"/>
    </row>
    <row r="382">
      <c r="F382" s="70"/>
      <c r="G382" s="71"/>
    </row>
    <row r="383">
      <c r="F383" s="70"/>
      <c r="G383" s="71"/>
    </row>
    <row r="384">
      <c r="F384" s="70"/>
      <c r="G384" s="71"/>
    </row>
    <row r="385">
      <c r="F385" s="70"/>
      <c r="G385" s="71"/>
    </row>
    <row r="386">
      <c r="F386" s="70"/>
      <c r="G386" s="71"/>
    </row>
    <row r="387">
      <c r="F387" s="70"/>
      <c r="G387" s="71"/>
    </row>
    <row r="388">
      <c r="F388" s="70"/>
      <c r="G388" s="71"/>
    </row>
    <row r="389">
      <c r="F389" s="70"/>
      <c r="G389" s="71"/>
    </row>
    <row r="390">
      <c r="F390" s="70"/>
      <c r="G390" s="71"/>
    </row>
    <row r="391">
      <c r="F391" s="70"/>
      <c r="G391" s="71"/>
    </row>
    <row r="392">
      <c r="F392" s="70"/>
      <c r="G392" s="71"/>
    </row>
    <row r="393">
      <c r="F393" s="70"/>
      <c r="G393" s="71"/>
    </row>
    <row r="394">
      <c r="F394" s="70"/>
      <c r="G394" s="71"/>
    </row>
    <row r="395">
      <c r="F395" s="70"/>
      <c r="G395" s="71"/>
    </row>
    <row r="396">
      <c r="F396" s="70"/>
      <c r="G396" s="71"/>
    </row>
    <row r="397">
      <c r="F397" s="70"/>
      <c r="G397" s="71"/>
    </row>
    <row r="398">
      <c r="F398" s="70"/>
      <c r="G398" s="71"/>
    </row>
    <row r="399">
      <c r="F399" s="70"/>
      <c r="G399" s="71"/>
    </row>
    <row r="400">
      <c r="F400" s="70"/>
      <c r="G400" s="71"/>
    </row>
    <row r="401">
      <c r="F401" s="70"/>
      <c r="G401" s="71"/>
    </row>
    <row r="402">
      <c r="F402" s="70"/>
      <c r="G402" s="71"/>
    </row>
    <row r="403">
      <c r="F403" s="70"/>
      <c r="G403" s="71"/>
    </row>
    <row r="404">
      <c r="F404" s="70"/>
      <c r="G404" s="71"/>
    </row>
    <row r="405">
      <c r="F405" s="70"/>
      <c r="G405" s="71"/>
    </row>
    <row r="406">
      <c r="F406" s="70"/>
      <c r="G406" s="71"/>
    </row>
    <row r="407">
      <c r="F407" s="70"/>
      <c r="G407" s="71"/>
    </row>
    <row r="408">
      <c r="F408" s="70"/>
      <c r="G408" s="71"/>
    </row>
    <row r="409">
      <c r="F409" s="70"/>
      <c r="G409" s="71"/>
    </row>
    <row r="410">
      <c r="F410" s="70"/>
      <c r="G410" s="71"/>
    </row>
    <row r="411">
      <c r="F411" s="70"/>
      <c r="G411" s="71"/>
    </row>
    <row r="412">
      <c r="F412" s="70"/>
      <c r="G412" s="71"/>
    </row>
    <row r="413">
      <c r="F413" s="70"/>
      <c r="G413" s="71"/>
    </row>
    <row r="414">
      <c r="F414" s="70"/>
      <c r="G414" s="71"/>
    </row>
    <row r="415">
      <c r="F415" s="70"/>
      <c r="G415" s="71"/>
    </row>
    <row r="416">
      <c r="F416" s="70"/>
      <c r="G416" s="71"/>
    </row>
    <row r="417">
      <c r="F417" s="70"/>
      <c r="G417" s="71"/>
    </row>
    <row r="418">
      <c r="F418" s="70"/>
      <c r="G418" s="71"/>
    </row>
    <row r="419">
      <c r="F419" s="70"/>
      <c r="G419" s="71"/>
    </row>
    <row r="420">
      <c r="F420" s="70"/>
      <c r="G420" s="71"/>
    </row>
    <row r="421">
      <c r="F421" s="70"/>
      <c r="G421" s="71"/>
    </row>
    <row r="422">
      <c r="F422" s="70"/>
      <c r="G422" s="71"/>
    </row>
    <row r="423">
      <c r="F423" s="70"/>
      <c r="G423" s="71"/>
    </row>
    <row r="424">
      <c r="F424" s="70"/>
      <c r="G424" s="71"/>
    </row>
    <row r="425">
      <c r="F425" s="70"/>
      <c r="G425" s="71"/>
    </row>
    <row r="426">
      <c r="F426" s="70"/>
      <c r="G426" s="71"/>
    </row>
    <row r="427">
      <c r="F427" s="70"/>
      <c r="G427" s="71"/>
    </row>
    <row r="428">
      <c r="F428" s="70"/>
      <c r="G428" s="71"/>
    </row>
    <row r="429">
      <c r="F429" s="70"/>
      <c r="G429" s="71"/>
    </row>
    <row r="430">
      <c r="F430" s="70"/>
      <c r="G430" s="71"/>
    </row>
    <row r="431">
      <c r="F431" s="70"/>
      <c r="G431" s="71"/>
    </row>
    <row r="432">
      <c r="F432" s="70"/>
      <c r="G432" s="71"/>
    </row>
    <row r="433">
      <c r="F433" s="70"/>
      <c r="G433" s="71"/>
    </row>
    <row r="434">
      <c r="F434" s="70"/>
      <c r="G434" s="71"/>
    </row>
    <row r="435">
      <c r="F435" s="70"/>
      <c r="G435" s="71"/>
    </row>
    <row r="436">
      <c r="F436" s="70"/>
      <c r="G436" s="71"/>
    </row>
    <row r="437">
      <c r="F437" s="70"/>
      <c r="G437" s="71"/>
    </row>
    <row r="438">
      <c r="F438" s="70"/>
      <c r="G438" s="71"/>
    </row>
    <row r="439">
      <c r="F439" s="70"/>
      <c r="G439" s="71"/>
    </row>
    <row r="440">
      <c r="F440" s="70"/>
      <c r="G440" s="71"/>
    </row>
    <row r="441">
      <c r="F441" s="70"/>
      <c r="G441" s="71"/>
    </row>
    <row r="442">
      <c r="F442" s="70"/>
      <c r="G442" s="71"/>
    </row>
    <row r="443">
      <c r="F443" s="70"/>
      <c r="G443" s="71"/>
    </row>
    <row r="444">
      <c r="F444" s="70"/>
      <c r="G444" s="71"/>
    </row>
    <row r="445">
      <c r="F445" s="70"/>
      <c r="G445" s="71"/>
    </row>
    <row r="446">
      <c r="F446" s="70"/>
      <c r="G446" s="71"/>
    </row>
    <row r="447">
      <c r="F447" s="70"/>
      <c r="G447" s="71"/>
    </row>
    <row r="448">
      <c r="F448" s="70"/>
      <c r="G448" s="71"/>
    </row>
    <row r="449">
      <c r="F449" s="70"/>
      <c r="G449" s="71"/>
    </row>
    <row r="450">
      <c r="F450" s="70"/>
      <c r="G450" s="71"/>
    </row>
    <row r="451">
      <c r="F451" s="70"/>
      <c r="G451" s="71"/>
    </row>
    <row r="452">
      <c r="F452" s="70"/>
      <c r="G452" s="71"/>
    </row>
    <row r="453">
      <c r="F453" s="70"/>
      <c r="G453" s="71"/>
    </row>
    <row r="454">
      <c r="F454" s="70"/>
      <c r="G454" s="71"/>
    </row>
    <row r="455">
      <c r="F455" s="70"/>
      <c r="G455" s="71"/>
    </row>
    <row r="456">
      <c r="F456" s="70"/>
      <c r="G456" s="71"/>
    </row>
    <row r="457">
      <c r="F457" s="70"/>
      <c r="G457" s="71"/>
    </row>
    <row r="458">
      <c r="F458" s="70"/>
      <c r="G458" s="71"/>
    </row>
    <row r="459">
      <c r="F459" s="70"/>
      <c r="G459" s="71"/>
    </row>
    <row r="460">
      <c r="F460" s="70"/>
      <c r="G460" s="71"/>
    </row>
    <row r="461">
      <c r="F461" s="70"/>
      <c r="G461" s="71"/>
    </row>
    <row r="462">
      <c r="F462" s="70"/>
      <c r="G462" s="71"/>
    </row>
    <row r="463">
      <c r="F463" s="70"/>
      <c r="G463" s="71"/>
    </row>
    <row r="464">
      <c r="F464" s="70"/>
      <c r="G464" s="71"/>
    </row>
    <row r="465">
      <c r="F465" s="70"/>
      <c r="G465" s="71"/>
    </row>
    <row r="466">
      <c r="F466" s="70"/>
      <c r="G466" s="71"/>
    </row>
    <row r="467">
      <c r="F467" s="70"/>
      <c r="G467" s="71"/>
    </row>
    <row r="468">
      <c r="F468" s="70"/>
      <c r="G468" s="71"/>
    </row>
    <row r="469">
      <c r="F469" s="70"/>
      <c r="G469" s="71"/>
    </row>
    <row r="470">
      <c r="F470" s="70"/>
      <c r="G470" s="71"/>
    </row>
    <row r="471">
      <c r="F471" s="70"/>
      <c r="G471" s="71"/>
    </row>
    <row r="472">
      <c r="F472" s="70"/>
      <c r="G472" s="71"/>
    </row>
    <row r="473">
      <c r="F473" s="70"/>
      <c r="G473" s="71"/>
    </row>
    <row r="474">
      <c r="F474" s="70"/>
      <c r="G474" s="71"/>
    </row>
    <row r="475">
      <c r="F475" s="70"/>
      <c r="G475" s="71"/>
    </row>
    <row r="476">
      <c r="F476" s="70"/>
      <c r="G476" s="71"/>
    </row>
    <row r="477">
      <c r="F477" s="70"/>
      <c r="G477" s="71"/>
    </row>
    <row r="478">
      <c r="F478" s="70"/>
      <c r="G478" s="71"/>
    </row>
    <row r="479">
      <c r="F479" s="70"/>
      <c r="G479" s="71"/>
    </row>
    <row r="480">
      <c r="F480" s="70"/>
      <c r="G480" s="71"/>
    </row>
    <row r="481">
      <c r="F481" s="70"/>
      <c r="G481" s="71"/>
    </row>
    <row r="482">
      <c r="F482" s="70"/>
      <c r="G482" s="71"/>
    </row>
    <row r="483">
      <c r="F483" s="70"/>
      <c r="G483" s="71"/>
    </row>
    <row r="484">
      <c r="F484" s="70"/>
      <c r="G484" s="71"/>
    </row>
    <row r="485">
      <c r="F485" s="70"/>
      <c r="G485" s="71"/>
    </row>
    <row r="486">
      <c r="F486" s="70"/>
      <c r="G486" s="71"/>
    </row>
    <row r="487">
      <c r="F487" s="70"/>
      <c r="G487" s="71"/>
    </row>
    <row r="488">
      <c r="F488" s="70"/>
      <c r="G488" s="71"/>
    </row>
    <row r="489">
      <c r="F489" s="70"/>
      <c r="G489" s="71"/>
    </row>
    <row r="490">
      <c r="F490" s="70"/>
      <c r="G490" s="71"/>
    </row>
    <row r="491">
      <c r="F491" s="70"/>
      <c r="G491" s="71"/>
    </row>
    <row r="492">
      <c r="F492" s="70"/>
      <c r="G492" s="71"/>
    </row>
    <row r="493">
      <c r="F493" s="70"/>
      <c r="G493" s="71"/>
    </row>
    <row r="494">
      <c r="F494" s="70"/>
      <c r="G494" s="71"/>
    </row>
    <row r="495">
      <c r="F495" s="70"/>
      <c r="G495" s="71"/>
    </row>
    <row r="496">
      <c r="F496" s="70"/>
      <c r="G496" s="71"/>
    </row>
    <row r="497">
      <c r="F497" s="70"/>
      <c r="G497" s="71"/>
    </row>
    <row r="498">
      <c r="F498" s="70"/>
      <c r="G498" s="71"/>
    </row>
    <row r="499">
      <c r="F499" s="70"/>
      <c r="G499" s="71"/>
    </row>
    <row r="500">
      <c r="F500" s="70"/>
      <c r="G500" s="71"/>
    </row>
    <row r="501">
      <c r="F501" s="70"/>
      <c r="G501" s="71"/>
    </row>
    <row r="502">
      <c r="F502" s="70"/>
      <c r="G502" s="71"/>
    </row>
    <row r="503">
      <c r="F503" s="70"/>
      <c r="G503" s="71"/>
    </row>
    <row r="504">
      <c r="F504" s="70"/>
      <c r="G504" s="71"/>
    </row>
    <row r="505">
      <c r="F505" s="70"/>
      <c r="G505" s="71"/>
    </row>
    <row r="506">
      <c r="F506" s="70"/>
      <c r="G506" s="71"/>
    </row>
    <row r="507">
      <c r="F507" s="70"/>
      <c r="G507" s="71"/>
    </row>
    <row r="508">
      <c r="F508" s="70"/>
      <c r="G508" s="71"/>
    </row>
    <row r="509">
      <c r="F509" s="70"/>
      <c r="G509" s="71"/>
    </row>
    <row r="510">
      <c r="F510" s="70"/>
      <c r="G510" s="71"/>
    </row>
    <row r="511">
      <c r="F511" s="70"/>
      <c r="G511" s="71"/>
    </row>
    <row r="512">
      <c r="F512" s="70"/>
      <c r="G512" s="71"/>
    </row>
    <row r="513">
      <c r="F513" s="70"/>
      <c r="G513" s="71"/>
    </row>
    <row r="514">
      <c r="F514" s="70"/>
      <c r="G514" s="71"/>
    </row>
    <row r="515">
      <c r="F515" s="70"/>
      <c r="G515" s="71"/>
    </row>
    <row r="516">
      <c r="F516" s="70"/>
      <c r="G516" s="71"/>
    </row>
    <row r="517">
      <c r="F517" s="70"/>
      <c r="G517" s="71"/>
    </row>
    <row r="518">
      <c r="F518" s="70"/>
      <c r="G518" s="71"/>
    </row>
    <row r="519">
      <c r="F519" s="70"/>
      <c r="G519" s="71"/>
    </row>
    <row r="520">
      <c r="F520" s="70"/>
      <c r="G520" s="71"/>
    </row>
    <row r="521">
      <c r="F521" s="70"/>
      <c r="G521" s="71"/>
    </row>
    <row r="522">
      <c r="F522" s="70"/>
      <c r="G522" s="71"/>
    </row>
    <row r="523">
      <c r="F523" s="70"/>
      <c r="G523" s="71"/>
    </row>
    <row r="524">
      <c r="F524" s="70"/>
      <c r="G524" s="71"/>
    </row>
    <row r="525">
      <c r="F525" s="70"/>
      <c r="G525" s="71"/>
    </row>
    <row r="526">
      <c r="F526" s="70"/>
      <c r="G526" s="71"/>
    </row>
    <row r="527">
      <c r="F527" s="70"/>
      <c r="G527" s="71"/>
    </row>
    <row r="528">
      <c r="F528" s="70"/>
      <c r="G528" s="71"/>
    </row>
    <row r="529">
      <c r="F529" s="70"/>
      <c r="G529" s="71"/>
    </row>
    <row r="530">
      <c r="F530" s="70"/>
      <c r="G530" s="71"/>
    </row>
    <row r="531">
      <c r="F531" s="70"/>
      <c r="G531" s="71"/>
    </row>
    <row r="532">
      <c r="F532" s="70"/>
      <c r="G532" s="71"/>
    </row>
    <row r="533">
      <c r="F533" s="70"/>
      <c r="G533" s="71"/>
    </row>
    <row r="534">
      <c r="F534" s="70"/>
      <c r="G534" s="71"/>
    </row>
    <row r="535">
      <c r="F535" s="70"/>
      <c r="G535" s="71"/>
    </row>
    <row r="536">
      <c r="F536" s="70"/>
      <c r="G536" s="71"/>
    </row>
    <row r="537">
      <c r="F537" s="70"/>
      <c r="G537" s="71"/>
    </row>
    <row r="538">
      <c r="F538" s="70"/>
      <c r="G538" s="71"/>
    </row>
    <row r="539">
      <c r="F539" s="70"/>
      <c r="G539" s="71"/>
    </row>
    <row r="540">
      <c r="F540" s="70"/>
      <c r="G540" s="71"/>
    </row>
    <row r="541">
      <c r="F541" s="70"/>
      <c r="G541" s="71"/>
    </row>
    <row r="542">
      <c r="F542" s="70"/>
      <c r="G542" s="71"/>
    </row>
    <row r="543">
      <c r="F543" s="70"/>
      <c r="G543" s="71"/>
    </row>
    <row r="544">
      <c r="F544" s="70"/>
      <c r="G544" s="71"/>
    </row>
    <row r="545">
      <c r="F545" s="70"/>
      <c r="G545" s="71"/>
    </row>
    <row r="546">
      <c r="F546" s="70"/>
      <c r="G546" s="71"/>
    </row>
    <row r="547">
      <c r="F547" s="70"/>
      <c r="G547" s="71"/>
    </row>
    <row r="548">
      <c r="F548" s="70"/>
      <c r="G548" s="71"/>
    </row>
    <row r="549">
      <c r="F549" s="70"/>
      <c r="G549" s="71"/>
    </row>
    <row r="550">
      <c r="F550" s="70"/>
      <c r="G550" s="71"/>
    </row>
    <row r="551">
      <c r="F551" s="70"/>
      <c r="G551" s="71"/>
    </row>
    <row r="552">
      <c r="F552" s="70"/>
      <c r="G552" s="71"/>
    </row>
    <row r="553">
      <c r="F553" s="70"/>
      <c r="G553" s="71"/>
    </row>
    <row r="554">
      <c r="F554" s="70"/>
      <c r="G554" s="71"/>
    </row>
    <row r="555">
      <c r="F555" s="70"/>
      <c r="G555" s="71"/>
    </row>
    <row r="556">
      <c r="F556" s="70"/>
      <c r="G556" s="71"/>
    </row>
    <row r="557">
      <c r="F557" s="70"/>
      <c r="G557" s="71"/>
    </row>
    <row r="558">
      <c r="F558" s="70"/>
      <c r="G558" s="71"/>
    </row>
    <row r="559">
      <c r="F559" s="70"/>
      <c r="G559" s="71"/>
    </row>
    <row r="560">
      <c r="F560" s="70"/>
      <c r="G560" s="71"/>
    </row>
    <row r="561">
      <c r="F561" s="70"/>
      <c r="G561" s="71"/>
    </row>
    <row r="562">
      <c r="F562" s="70"/>
      <c r="G562" s="71"/>
    </row>
    <row r="563">
      <c r="F563" s="70"/>
      <c r="G563" s="71"/>
    </row>
    <row r="564">
      <c r="F564" s="70"/>
      <c r="G564" s="71"/>
    </row>
    <row r="565">
      <c r="F565" s="70"/>
      <c r="G565" s="71"/>
    </row>
    <row r="566">
      <c r="F566" s="70"/>
      <c r="G566" s="71"/>
    </row>
    <row r="567">
      <c r="F567" s="70"/>
      <c r="G567" s="71"/>
    </row>
    <row r="568">
      <c r="F568" s="70"/>
      <c r="G568" s="71"/>
    </row>
    <row r="569">
      <c r="F569" s="70"/>
      <c r="G569" s="71"/>
    </row>
    <row r="570">
      <c r="F570" s="70"/>
      <c r="G570" s="71"/>
    </row>
    <row r="571">
      <c r="F571" s="70"/>
      <c r="G571" s="71"/>
    </row>
    <row r="572">
      <c r="F572" s="70"/>
      <c r="G572" s="71"/>
    </row>
    <row r="573">
      <c r="F573" s="70"/>
      <c r="G573" s="71"/>
    </row>
    <row r="574">
      <c r="F574" s="70"/>
      <c r="G574" s="71"/>
    </row>
    <row r="575">
      <c r="F575" s="70"/>
      <c r="G575" s="71"/>
    </row>
    <row r="576">
      <c r="F576" s="70"/>
      <c r="G576" s="71"/>
    </row>
    <row r="577">
      <c r="F577" s="70"/>
      <c r="G577" s="71"/>
    </row>
    <row r="578">
      <c r="F578" s="70"/>
      <c r="G578" s="71"/>
    </row>
    <row r="579">
      <c r="F579" s="70"/>
      <c r="G579" s="71"/>
    </row>
    <row r="580">
      <c r="F580" s="70"/>
      <c r="G580" s="71"/>
    </row>
    <row r="581">
      <c r="F581" s="70"/>
      <c r="G581" s="71"/>
    </row>
    <row r="582">
      <c r="F582" s="70"/>
      <c r="G582" s="71"/>
    </row>
    <row r="583">
      <c r="F583" s="70"/>
      <c r="G583" s="71"/>
    </row>
    <row r="584">
      <c r="F584" s="70"/>
      <c r="G584" s="71"/>
    </row>
    <row r="585">
      <c r="F585" s="70"/>
      <c r="G585" s="71"/>
    </row>
    <row r="586">
      <c r="F586" s="70"/>
      <c r="G586" s="71"/>
    </row>
    <row r="587">
      <c r="F587" s="70"/>
      <c r="G587" s="71"/>
    </row>
    <row r="588">
      <c r="F588" s="70"/>
      <c r="G588" s="71"/>
    </row>
    <row r="589">
      <c r="F589" s="70"/>
      <c r="G589" s="71"/>
    </row>
    <row r="590">
      <c r="F590" s="70"/>
      <c r="G590" s="71"/>
    </row>
    <row r="591">
      <c r="F591" s="70"/>
      <c r="G591" s="71"/>
    </row>
    <row r="592">
      <c r="F592" s="70"/>
      <c r="G592" s="71"/>
    </row>
    <row r="593">
      <c r="F593" s="70"/>
      <c r="G593" s="71"/>
    </row>
    <row r="594">
      <c r="F594" s="70"/>
      <c r="G594" s="71"/>
    </row>
    <row r="595">
      <c r="F595" s="70"/>
      <c r="G595" s="71"/>
    </row>
    <row r="596">
      <c r="F596" s="70"/>
      <c r="G596" s="71"/>
    </row>
    <row r="597">
      <c r="F597" s="70"/>
      <c r="G597" s="71"/>
    </row>
    <row r="598">
      <c r="F598" s="70"/>
      <c r="G598" s="71"/>
    </row>
    <row r="599">
      <c r="F599" s="70"/>
      <c r="G599" s="71"/>
    </row>
    <row r="600">
      <c r="F600" s="70"/>
      <c r="G600" s="71"/>
    </row>
    <row r="601">
      <c r="F601" s="70"/>
      <c r="G601" s="71"/>
    </row>
    <row r="602">
      <c r="F602" s="70"/>
      <c r="G602" s="71"/>
    </row>
    <row r="603">
      <c r="F603" s="70"/>
      <c r="G603" s="71"/>
    </row>
    <row r="604">
      <c r="F604" s="70"/>
      <c r="G604" s="71"/>
    </row>
    <row r="605">
      <c r="F605" s="70"/>
      <c r="G605" s="71"/>
    </row>
    <row r="606">
      <c r="F606" s="70"/>
      <c r="G606" s="71"/>
    </row>
    <row r="607">
      <c r="F607" s="70"/>
      <c r="G607" s="71"/>
    </row>
    <row r="608">
      <c r="F608" s="70"/>
      <c r="G608" s="71"/>
    </row>
    <row r="609">
      <c r="F609" s="70"/>
      <c r="G609" s="71"/>
    </row>
    <row r="610">
      <c r="F610" s="70"/>
      <c r="G610" s="71"/>
    </row>
    <row r="611">
      <c r="F611" s="70"/>
      <c r="G611" s="71"/>
    </row>
    <row r="612">
      <c r="F612" s="70"/>
      <c r="G612" s="71"/>
    </row>
    <row r="613">
      <c r="F613" s="70"/>
      <c r="G613" s="71"/>
    </row>
    <row r="614">
      <c r="F614" s="70"/>
      <c r="G614" s="71"/>
    </row>
    <row r="615">
      <c r="F615" s="70"/>
      <c r="G615" s="71"/>
    </row>
    <row r="616">
      <c r="F616" s="70"/>
      <c r="G616" s="71"/>
    </row>
    <row r="617">
      <c r="F617" s="70"/>
      <c r="G617" s="71"/>
    </row>
    <row r="618">
      <c r="F618" s="70"/>
      <c r="G618" s="71"/>
    </row>
    <row r="619">
      <c r="F619" s="70"/>
      <c r="G619" s="71"/>
    </row>
    <row r="620">
      <c r="F620" s="70"/>
      <c r="G620" s="71"/>
    </row>
    <row r="621">
      <c r="F621" s="70"/>
      <c r="G621" s="71"/>
    </row>
    <row r="622">
      <c r="F622" s="70"/>
      <c r="G622" s="71"/>
    </row>
    <row r="623">
      <c r="F623" s="70"/>
      <c r="G623" s="71"/>
    </row>
    <row r="624">
      <c r="F624" s="70"/>
      <c r="G624" s="71"/>
    </row>
    <row r="625">
      <c r="F625" s="70"/>
      <c r="G625" s="71"/>
    </row>
    <row r="626">
      <c r="F626" s="70"/>
      <c r="G626" s="71"/>
    </row>
    <row r="627">
      <c r="F627" s="70"/>
      <c r="G627" s="71"/>
    </row>
    <row r="628">
      <c r="F628" s="70"/>
      <c r="G628" s="71"/>
    </row>
    <row r="629">
      <c r="F629" s="70"/>
      <c r="G629" s="71"/>
    </row>
    <row r="630">
      <c r="F630" s="70"/>
      <c r="G630" s="71"/>
    </row>
    <row r="631">
      <c r="F631" s="70"/>
      <c r="G631" s="71"/>
    </row>
    <row r="632">
      <c r="F632" s="70"/>
      <c r="G632" s="71"/>
    </row>
    <row r="633">
      <c r="F633" s="70"/>
      <c r="G633" s="71"/>
    </row>
    <row r="634">
      <c r="F634" s="70"/>
      <c r="G634" s="71"/>
    </row>
    <row r="635">
      <c r="F635" s="70"/>
      <c r="G635" s="71"/>
    </row>
    <row r="636">
      <c r="F636" s="70"/>
      <c r="G636" s="71"/>
    </row>
    <row r="637">
      <c r="F637" s="70"/>
      <c r="G637" s="71"/>
    </row>
    <row r="638">
      <c r="F638" s="70"/>
      <c r="G638" s="71"/>
    </row>
    <row r="639">
      <c r="F639" s="70"/>
      <c r="G639" s="71"/>
    </row>
    <row r="640">
      <c r="F640" s="70"/>
      <c r="G640" s="71"/>
    </row>
    <row r="641">
      <c r="F641" s="70"/>
      <c r="G641" s="71"/>
    </row>
    <row r="642">
      <c r="F642" s="70"/>
      <c r="G642" s="71"/>
    </row>
    <row r="643">
      <c r="F643" s="70"/>
      <c r="G643" s="71"/>
    </row>
    <row r="644">
      <c r="F644" s="70"/>
      <c r="G644" s="71"/>
    </row>
    <row r="645">
      <c r="F645" s="70"/>
      <c r="G645" s="71"/>
    </row>
    <row r="646">
      <c r="F646" s="70"/>
      <c r="G646" s="71"/>
    </row>
    <row r="647">
      <c r="F647" s="70"/>
      <c r="G647" s="71"/>
    </row>
    <row r="648">
      <c r="F648" s="70"/>
      <c r="G648" s="71"/>
    </row>
    <row r="649">
      <c r="F649" s="70"/>
      <c r="G649" s="71"/>
    </row>
    <row r="650">
      <c r="F650" s="70"/>
      <c r="G650" s="71"/>
    </row>
    <row r="651">
      <c r="F651" s="70"/>
      <c r="G651" s="71"/>
    </row>
    <row r="652">
      <c r="F652" s="70"/>
      <c r="G652" s="71"/>
    </row>
    <row r="653">
      <c r="F653" s="70"/>
      <c r="G653" s="71"/>
    </row>
    <row r="654">
      <c r="F654" s="70"/>
      <c r="G654" s="71"/>
    </row>
    <row r="655">
      <c r="F655" s="70"/>
      <c r="G655" s="71"/>
    </row>
    <row r="656">
      <c r="F656" s="70"/>
      <c r="G656" s="71"/>
    </row>
    <row r="657">
      <c r="F657" s="70"/>
      <c r="G657" s="71"/>
    </row>
    <row r="658">
      <c r="F658" s="70"/>
      <c r="G658" s="71"/>
    </row>
    <row r="659">
      <c r="F659" s="70"/>
      <c r="G659" s="71"/>
    </row>
    <row r="660">
      <c r="F660" s="70"/>
      <c r="G660" s="71"/>
    </row>
    <row r="661">
      <c r="F661" s="70"/>
      <c r="G661" s="71"/>
    </row>
    <row r="662">
      <c r="F662" s="70"/>
      <c r="G662" s="71"/>
    </row>
    <row r="663">
      <c r="F663" s="70"/>
      <c r="G663" s="71"/>
    </row>
    <row r="664">
      <c r="F664" s="70"/>
      <c r="G664" s="71"/>
    </row>
    <row r="665">
      <c r="F665" s="70"/>
      <c r="G665" s="71"/>
    </row>
    <row r="666">
      <c r="F666" s="70"/>
      <c r="G666" s="71"/>
    </row>
    <row r="667">
      <c r="F667" s="70"/>
      <c r="G667" s="71"/>
    </row>
    <row r="668">
      <c r="F668" s="70"/>
      <c r="G668" s="71"/>
    </row>
    <row r="669">
      <c r="F669" s="70"/>
      <c r="G669" s="71"/>
    </row>
    <row r="670">
      <c r="F670" s="70"/>
      <c r="G670" s="71"/>
    </row>
    <row r="671">
      <c r="F671" s="70"/>
      <c r="G671" s="71"/>
    </row>
    <row r="672">
      <c r="F672" s="70"/>
      <c r="G672" s="71"/>
    </row>
    <row r="673">
      <c r="F673" s="70"/>
      <c r="G673" s="71"/>
    </row>
    <row r="674">
      <c r="F674" s="70"/>
      <c r="G674" s="71"/>
    </row>
    <row r="675">
      <c r="F675" s="70"/>
      <c r="G675" s="71"/>
    </row>
    <row r="676">
      <c r="F676" s="70"/>
      <c r="G676" s="71"/>
    </row>
    <row r="677">
      <c r="F677" s="70"/>
      <c r="G677" s="71"/>
    </row>
    <row r="678">
      <c r="F678" s="70"/>
      <c r="G678" s="71"/>
    </row>
    <row r="679">
      <c r="F679" s="70"/>
      <c r="G679" s="71"/>
    </row>
    <row r="680">
      <c r="F680" s="70"/>
      <c r="G680" s="71"/>
    </row>
    <row r="681">
      <c r="F681" s="70"/>
      <c r="G681" s="71"/>
    </row>
    <row r="682">
      <c r="F682" s="70"/>
      <c r="G682" s="71"/>
    </row>
    <row r="683">
      <c r="F683" s="70"/>
      <c r="G683" s="71"/>
    </row>
    <row r="684">
      <c r="F684" s="70"/>
      <c r="G684" s="71"/>
    </row>
    <row r="685">
      <c r="F685" s="70"/>
      <c r="G685" s="71"/>
    </row>
    <row r="686">
      <c r="F686" s="70"/>
      <c r="G686" s="71"/>
    </row>
    <row r="687">
      <c r="F687" s="70"/>
      <c r="G687" s="71"/>
    </row>
    <row r="688">
      <c r="F688" s="70"/>
      <c r="G688" s="71"/>
    </row>
    <row r="689">
      <c r="F689" s="70"/>
      <c r="G689" s="71"/>
    </row>
    <row r="690">
      <c r="F690" s="70"/>
      <c r="G690" s="71"/>
    </row>
    <row r="691">
      <c r="F691" s="70"/>
      <c r="G691" s="71"/>
    </row>
    <row r="692">
      <c r="F692" s="70"/>
      <c r="G692" s="71"/>
    </row>
    <row r="693">
      <c r="F693" s="70"/>
      <c r="G693" s="71"/>
    </row>
    <row r="694">
      <c r="F694" s="70"/>
      <c r="G694" s="71"/>
    </row>
    <row r="695">
      <c r="F695" s="70"/>
      <c r="G695" s="71"/>
    </row>
    <row r="696">
      <c r="F696" s="70"/>
      <c r="G696" s="71"/>
    </row>
    <row r="697">
      <c r="F697" s="70"/>
      <c r="G697" s="71"/>
    </row>
    <row r="698">
      <c r="F698" s="70"/>
      <c r="G698" s="71"/>
    </row>
    <row r="699">
      <c r="F699" s="70"/>
      <c r="G699" s="71"/>
    </row>
    <row r="700">
      <c r="F700" s="70"/>
      <c r="G700" s="71"/>
    </row>
    <row r="701">
      <c r="F701" s="70"/>
      <c r="G701" s="71"/>
    </row>
    <row r="702">
      <c r="F702" s="70"/>
      <c r="G702" s="71"/>
    </row>
    <row r="703">
      <c r="F703" s="70"/>
      <c r="G703" s="71"/>
    </row>
    <row r="704">
      <c r="F704" s="70"/>
      <c r="G704" s="71"/>
    </row>
    <row r="705">
      <c r="F705" s="70"/>
      <c r="G705" s="71"/>
    </row>
    <row r="706">
      <c r="F706" s="70"/>
      <c r="G706" s="71"/>
    </row>
    <row r="707">
      <c r="F707" s="70"/>
      <c r="G707" s="71"/>
    </row>
    <row r="708">
      <c r="F708" s="70"/>
      <c r="G708" s="71"/>
    </row>
    <row r="709">
      <c r="F709" s="70"/>
      <c r="G709" s="71"/>
    </row>
    <row r="710">
      <c r="F710" s="70"/>
      <c r="G710" s="71"/>
    </row>
    <row r="711">
      <c r="F711" s="70"/>
      <c r="G711" s="71"/>
    </row>
    <row r="712">
      <c r="F712" s="70"/>
      <c r="G712" s="71"/>
    </row>
    <row r="713">
      <c r="F713" s="70"/>
      <c r="G713" s="71"/>
    </row>
    <row r="714">
      <c r="F714" s="70"/>
      <c r="G714" s="71"/>
    </row>
    <row r="715">
      <c r="F715" s="70"/>
      <c r="G715" s="71"/>
    </row>
    <row r="716">
      <c r="F716" s="70"/>
      <c r="G716" s="71"/>
    </row>
    <row r="717">
      <c r="F717" s="70"/>
      <c r="G717" s="71"/>
    </row>
    <row r="718">
      <c r="F718" s="70"/>
      <c r="G718" s="71"/>
    </row>
    <row r="719">
      <c r="F719" s="70"/>
      <c r="G719" s="71"/>
    </row>
    <row r="720">
      <c r="F720" s="70"/>
      <c r="G720" s="71"/>
    </row>
    <row r="721">
      <c r="F721" s="70"/>
      <c r="G721" s="71"/>
    </row>
    <row r="722">
      <c r="F722" s="70"/>
      <c r="G722" s="71"/>
    </row>
    <row r="723">
      <c r="F723" s="70"/>
      <c r="G723" s="71"/>
    </row>
    <row r="724">
      <c r="F724" s="70"/>
      <c r="G724" s="71"/>
    </row>
    <row r="725">
      <c r="F725" s="70"/>
      <c r="G725" s="71"/>
    </row>
    <row r="726">
      <c r="F726" s="70"/>
      <c r="G726" s="71"/>
    </row>
    <row r="727">
      <c r="F727" s="70"/>
      <c r="G727" s="71"/>
    </row>
    <row r="728">
      <c r="F728" s="70"/>
      <c r="G728" s="71"/>
    </row>
    <row r="729">
      <c r="F729" s="70"/>
      <c r="G729" s="71"/>
    </row>
    <row r="730">
      <c r="F730" s="70"/>
      <c r="G730" s="71"/>
    </row>
    <row r="731">
      <c r="F731" s="70"/>
      <c r="G731" s="71"/>
    </row>
    <row r="732">
      <c r="F732" s="70"/>
      <c r="G732" s="71"/>
    </row>
    <row r="733">
      <c r="F733" s="70"/>
      <c r="G733" s="71"/>
    </row>
    <row r="734">
      <c r="F734" s="70"/>
      <c r="G734" s="71"/>
    </row>
    <row r="735">
      <c r="F735" s="70"/>
      <c r="G735" s="71"/>
    </row>
    <row r="736">
      <c r="F736" s="70"/>
      <c r="G736" s="71"/>
    </row>
    <row r="737">
      <c r="F737" s="70"/>
      <c r="G737" s="71"/>
    </row>
    <row r="738">
      <c r="F738" s="70"/>
      <c r="G738" s="71"/>
    </row>
    <row r="739">
      <c r="F739" s="70"/>
      <c r="G739" s="71"/>
    </row>
    <row r="740">
      <c r="F740" s="70"/>
      <c r="G740" s="71"/>
    </row>
    <row r="741">
      <c r="F741" s="70"/>
      <c r="G741" s="71"/>
    </row>
    <row r="742">
      <c r="F742" s="70"/>
      <c r="G742" s="71"/>
    </row>
    <row r="743">
      <c r="F743" s="70"/>
      <c r="G743" s="71"/>
    </row>
    <row r="744">
      <c r="F744" s="70"/>
      <c r="G744" s="71"/>
    </row>
    <row r="745">
      <c r="F745" s="70"/>
      <c r="G745" s="71"/>
    </row>
    <row r="746">
      <c r="F746" s="70"/>
      <c r="G746" s="71"/>
    </row>
    <row r="747">
      <c r="F747" s="70"/>
      <c r="G747" s="71"/>
    </row>
    <row r="748">
      <c r="F748" s="70"/>
      <c r="G748" s="71"/>
    </row>
    <row r="749">
      <c r="F749" s="70"/>
      <c r="G749" s="71"/>
    </row>
    <row r="750">
      <c r="F750" s="70"/>
      <c r="G750" s="71"/>
    </row>
    <row r="751">
      <c r="F751" s="70"/>
      <c r="G751" s="71"/>
    </row>
    <row r="752">
      <c r="F752" s="70"/>
      <c r="G752" s="71"/>
    </row>
    <row r="753">
      <c r="F753" s="70"/>
      <c r="G753" s="71"/>
    </row>
    <row r="754">
      <c r="F754" s="70"/>
      <c r="G754" s="71"/>
    </row>
    <row r="755">
      <c r="F755" s="70"/>
      <c r="G755" s="71"/>
    </row>
    <row r="756">
      <c r="F756" s="70"/>
      <c r="G756" s="71"/>
    </row>
    <row r="757">
      <c r="F757" s="70"/>
      <c r="G757" s="71"/>
    </row>
    <row r="758">
      <c r="F758" s="70"/>
      <c r="G758" s="71"/>
    </row>
    <row r="759">
      <c r="F759" s="70"/>
      <c r="G759" s="71"/>
    </row>
    <row r="760">
      <c r="F760" s="70"/>
      <c r="G760" s="71"/>
    </row>
    <row r="761">
      <c r="F761" s="70"/>
      <c r="G761" s="71"/>
    </row>
    <row r="762">
      <c r="F762" s="70"/>
      <c r="G762" s="71"/>
    </row>
    <row r="763">
      <c r="F763" s="70"/>
      <c r="G763" s="71"/>
    </row>
    <row r="764">
      <c r="F764" s="70"/>
      <c r="G764" s="71"/>
    </row>
    <row r="765">
      <c r="F765" s="70"/>
      <c r="G765" s="71"/>
    </row>
    <row r="766">
      <c r="F766" s="70"/>
      <c r="G766" s="71"/>
    </row>
    <row r="767">
      <c r="F767" s="70"/>
      <c r="G767" s="71"/>
    </row>
    <row r="768">
      <c r="F768" s="70"/>
      <c r="G768" s="71"/>
    </row>
    <row r="769">
      <c r="F769" s="70"/>
      <c r="G769" s="71"/>
    </row>
    <row r="770">
      <c r="F770" s="70"/>
      <c r="G770" s="71"/>
    </row>
    <row r="771">
      <c r="F771" s="70"/>
      <c r="G771" s="71"/>
    </row>
    <row r="772">
      <c r="F772" s="70"/>
      <c r="G772" s="71"/>
    </row>
    <row r="773">
      <c r="F773" s="70"/>
      <c r="G773" s="71"/>
    </row>
    <row r="774">
      <c r="F774" s="70"/>
      <c r="G774" s="71"/>
    </row>
    <row r="775">
      <c r="F775" s="70"/>
      <c r="G775" s="71"/>
    </row>
    <row r="776">
      <c r="F776" s="70"/>
      <c r="G776" s="71"/>
    </row>
    <row r="777">
      <c r="F777" s="70"/>
      <c r="G777" s="71"/>
    </row>
    <row r="778">
      <c r="F778" s="70"/>
      <c r="G778" s="71"/>
    </row>
    <row r="779">
      <c r="F779" s="70"/>
      <c r="G779" s="71"/>
    </row>
    <row r="780">
      <c r="F780" s="70"/>
      <c r="G780" s="71"/>
    </row>
    <row r="781">
      <c r="F781" s="70"/>
      <c r="G781" s="71"/>
    </row>
    <row r="782">
      <c r="F782" s="70"/>
      <c r="G782" s="71"/>
    </row>
    <row r="783">
      <c r="F783" s="70"/>
      <c r="G783" s="71"/>
    </row>
    <row r="784">
      <c r="F784" s="70"/>
      <c r="G784" s="71"/>
    </row>
    <row r="785">
      <c r="F785" s="70"/>
      <c r="G785" s="71"/>
    </row>
    <row r="786">
      <c r="F786" s="70"/>
      <c r="G786" s="71"/>
    </row>
    <row r="787">
      <c r="F787" s="70"/>
      <c r="G787" s="71"/>
    </row>
    <row r="788">
      <c r="F788" s="70"/>
      <c r="G788" s="71"/>
    </row>
    <row r="789">
      <c r="F789" s="70"/>
      <c r="G789" s="71"/>
    </row>
    <row r="790">
      <c r="F790" s="70"/>
      <c r="G790" s="71"/>
    </row>
    <row r="791">
      <c r="F791" s="70"/>
      <c r="G791" s="71"/>
    </row>
    <row r="792">
      <c r="F792" s="70"/>
      <c r="G792" s="71"/>
    </row>
    <row r="793">
      <c r="F793" s="70"/>
      <c r="G793" s="71"/>
    </row>
    <row r="794">
      <c r="F794" s="70"/>
      <c r="G794" s="71"/>
    </row>
    <row r="795">
      <c r="F795" s="70"/>
      <c r="G795" s="71"/>
    </row>
    <row r="796">
      <c r="F796" s="70"/>
      <c r="G796" s="71"/>
    </row>
    <row r="797">
      <c r="F797" s="70"/>
      <c r="G797" s="71"/>
    </row>
    <row r="798">
      <c r="F798" s="70"/>
      <c r="G798" s="71"/>
    </row>
    <row r="799">
      <c r="F799" s="70"/>
      <c r="G799" s="71"/>
    </row>
    <row r="800">
      <c r="F800" s="70"/>
      <c r="G800" s="71"/>
    </row>
    <row r="801">
      <c r="F801" s="70"/>
      <c r="G801" s="71"/>
    </row>
    <row r="802">
      <c r="F802" s="70"/>
      <c r="G802" s="71"/>
    </row>
    <row r="803">
      <c r="F803" s="70"/>
      <c r="G803" s="71"/>
    </row>
    <row r="804">
      <c r="F804" s="70"/>
      <c r="G804" s="71"/>
    </row>
    <row r="805">
      <c r="F805" s="70"/>
      <c r="G805" s="71"/>
    </row>
    <row r="806">
      <c r="F806" s="70"/>
      <c r="G806" s="71"/>
    </row>
    <row r="807">
      <c r="F807" s="70"/>
      <c r="G807" s="71"/>
    </row>
    <row r="808">
      <c r="F808" s="70"/>
      <c r="G808" s="71"/>
    </row>
    <row r="809">
      <c r="F809" s="70"/>
      <c r="G809" s="71"/>
    </row>
    <row r="810">
      <c r="F810" s="70"/>
      <c r="G810" s="71"/>
    </row>
    <row r="811">
      <c r="F811" s="70"/>
      <c r="G811" s="71"/>
    </row>
    <row r="812">
      <c r="F812" s="70"/>
      <c r="G812" s="71"/>
    </row>
    <row r="813">
      <c r="F813" s="70"/>
      <c r="G813" s="71"/>
    </row>
    <row r="814">
      <c r="F814" s="70"/>
      <c r="G814" s="71"/>
    </row>
    <row r="815">
      <c r="F815" s="70"/>
      <c r="G815" s="71"/>
    </row>
    <row r="816">
      <c r="F816" s="70"/>
      <c r="G816" s="71"/>
    </row>
    <row r="817">
      <c r="F817" s="70"/>
      <c r="G817" s="71"/>
    </row>
    <row r="818">
      <c r="F818" s="70"/>
      <c r="G818" s="71"/>
    </row>
    <row r="819">
      <c r="F819" s="70"/>
      <c r="G819" s="71"/>
    </row>
    <row r="820">
      <c r="F820" s="70"/>
      <c r="G820" s="71"/>
    </row>
    <row r="821">
      <c r="F821" s="70"/>
      <c r="G821" s="71"/>
    </row>
    <row r="822">
      <c r="F822" s="70"/>
      <c r="G822" s="71"/>
    </row>
    <row r="823">
      <c r="F823" s="70"/>
      <c r="G823" s="71"/>
    </row>
    <row r="824">
      <c r="F824" s="70"/>
      <c r="G824" s="71"/>
    </row>
    <row r="825">
      <c r="F825" s="70"/>
      <c r="G825" s="71"/>
    </row>
    <row r="826">
      <c r="F826" s="70"/>
      <c r="G826" s="71"/>
    </row>
    <row r="827">
      <c r="F827" s="70"/>
      <c r="G827" s="71"/>
    </row>
    <row r="828">
      <c r="F828" s="70"/>
      <c r="G828" s="71"/>
    </row>
    <row r="829">
      <c r="F829" s="70"/>
      <c r="G829" s="71"/>
    </row>
    <row r="830">
      <c r="F830" s="70"/>
      <c r="G830" s="71"/>
    </row>
    <row r="831">
      <c r="F831" s="70"/>
      <c r="G831" s="71"/>
    </row>
    <row r="832">
      <c r="F832" s="70"/>
      <c r="G832" s="71"/>
    </row>
    <row r="833">
      <c r="F833" s="70"/>
      <c r="G833" s="71"/>
    </row>
    <row r="834">
      <c r="F834" s="70"/>
      <c r="G834" s="71"/>
    </row>
    <row r="835">
      <c r="F835" s="70"/>
      <c r="G835" s="71"/>
    </row>
    <row r="836">
      <c r="F836" s="70"/>
      <c r="G836" s="71"/>
    </row>
    <row r="837">
      <c r="F837" s="70"/>
      <c r="G837" s="71"/>
    </row>
    <row r="838">
      <c r="F838" s="70"/>
      <c r="G838" s="71"/>
    </row>
    <row r="839">
      <c r="F839" s="70"/>
      <c r="G839" s="71"/>
    </row>
    <row r="840">
      <c r="F840" s="70"/>
      <c r="G840" s="71"/>
    </row>
    <row r="841">
      <c r="F841" s="70"/>
      <c r="G841" s="71"/>
    </row>
    <row r="842">
      <c r="F842" s="70"/>
      <c r="G842" s="71"/>
    </row>
    <row r="843">
      <c r="F843" s="70"/>
      <c r="G843" s="71"/>
    </row>
    <row r="844">
      <c r="F844" s="70"/>
      <c r="G844" s="71"/>
    </row>
    <row r="845">
      <c r="F845" s="70"/>
      <c r="G845" s="71"/>
    </row>
    <row r="846">
      <c r="F846" s="70"/>
      <c r="G846" s="71"/>
    </row>
    <row r="847">
      <c r="F847" s="70"/>
      <c r="G847" s="71"/>
    </row>
    <row r="848">
      <c r="F848" s="70"/>
      <c r="G848" s="71"/>
    </row>
    <row r="849">
      <c r="F849" s="70"/>
      <c r="G849" s="71"/>
    </row>
    <row r="850">
      <c r="F850" s="70"/>
      <c r="G850" s="71"/>
    </row>
    <row r="851">
      <c r="F851" s="70"/>
      <c r="G851" s="71"/>
    </row>
    <row r="852">
      <c r="F852" s="70"/>
      <c r="G852" s="71"/>
    </row>
    <row r="853">
      <c r="F853" s="70"/>
      <c r="G853" s="71"/>
    </row>
    <row r="854">
      <c r="F854" s="70"/>
      <c r="G854" s="71"/>
    </row>
    <row r="855">
      <c r="F855" s="70"/>
      <c r="G855" s="71"/>
    </row>
    <row r="856">
      <c r="F856" s="70"/>
      <c r="G856" s="71"/>
    </row>
    <row r="857">
      <c r="F857" s="70"/>
      <c r="G857" s="71"/>
    </row>
    <row r="858">
      <c r="F858" s="70"/>
      <c r="G858" s="71"/>
    </row>
    <row r="859">
      <c r="F859" s="70"/>
      <c r="G859" s="71"/>
    </row>
    <row r="860">
      <c r="F860" s="70"/>
      <c r="G860" s="71"/>
    </row>
    <row r="861">
      <c r="F861" s="70"/>
      <c r="G861" s="71"/>
    </row>
    <row r="862">
      <c r="F862" s="70"/>
      <c r="G862" s="71"/>
    </row>
    <row r="863">
      <c r="F863" s="70"/>
      <c r="G863" s="71"/>
    </row>
    <row r="864">
      <c r="F864" s="70"/>
      <c r="G864" s="71"/>
    </row>
    <row r="865">
      <c r="F865" s="70"/>
      <c r="G865" s="71"/>
    </row>
    <row r="866">
      <c r="F866" s="70"/>
      <c r="G866" s="71"/>
    </row>
    <row r="867">
      <c r="F867" s="70"/>
      <c r="G867" s="71"/>
    </row>
    <row r="868">
      <c r="F868" s="70"/>
      <c r="G868" s="71"/>
    </row>
    <row r="869">
      <c r="F869" s="70"/>
      <c r="G869" s="71"/>
    </row>
    <row r="870">
      <c r="F870" s="70"/>
      <c r="G870" s="71"/>
    </row>
    <row r="871">
      <c r="F871" s="70"/>
      <c r="G871" s="71"/>
    </row>
    <row r="872">
      <c r="F872" s="70"/>
      <c r="G872" s="71"/>
    </row>
    <row r="873">
      <c r="F873" s="70"/>
      <c r="G873" s="71"/>
    </row>
    <row r="874">
      <c r="F874" s="70"/>
      <c r="G874" s="71"/>
    </row>
    <row r="875">
      <c r="F875" s="70"/>
      <c r="G875" s="71"/>
    </row>
    <row r="876">
      <c r="F876" s="70"/>
      <c r="G876" s="71"/>
    </row>
    <row r="877">
      <c r="F877" s="70"/>
      <c r="G877" s="71"/>
    </row>
    <row r="878">
      <c r="F878" s="70"/>
      <c r="G878" s="71"/>
    </row>
    <row r="879">
      <c r="F879" s="70"/>
      <c r="G879" s="71"/>
    </row>
    <row r="880">
      <c r="F880" s="70"/>
      <c r="G880" s="71"/>
    </row>
    <row r="881">
      <c r="F881" s="70"/>
      <c r="G881" s="71"/>
    </row>
    <row r="882">
      <c r="F882" s="70"/>
      <c r="G882" s="71"/>
    </row>
    <row r="883">
      <c r="F883" s="70"/>
      <c r="G883" s="71"/>
    </row>
    <row r="884">
      <c r="F884" s="70"/>
      <c r="G884" s="71"/>
    </row>
    <row r="885">
      <c r="F885" s="70"/>
      <c r="G885" s="71"/>
    </row>
    <row r="886">
      <c r="F886" s="70"/>
      <c r="G886" s="71"/>
    </row>
    <row r="887">
      <c r="F887" s="70"/>
      <c r="G887" s="71"/>
    </row>
    <row r="888">
      <c r="F888" s="70"/>
      <c r="G888" s="71"/>
    </row>
    <row r="889">
      <c r="F889" s="70"/>
      <c r="G889" s="71"/>
    </row>
    <row r="890">
      <c r="F890" s="70"/>
      <c r="G890" s="71"/>
    </row>
    <row r="891">
      <c r="F891" s="70"/>
      <c r="G891" s="71"/>
    </row>
    <row r="892">
      <c r="F892" s="70"/>
      <c r="G892" s="71"/>
    </row>
    <row r="893">
      <c r="F893" s="70"/>
      <c r="G893" s="71"/>
    </row>
    <row r="894">
      <c r="F894" s="70"/>
      <c r="G894" s="71"/>
    </row>
    <row r="895">
      <c r="F895" s="70"/>
      <c r="G895" s="71"/>
    </row>
    <row r="896">
      <c r="F896" s="70"/>
      <c r="G896" s="71"/>
    </row>
    <row r="897">
      <c r="F897" s="70"/>
      <c r="G897" s="71"/>
    </row>
    <row r="898">
      <c r="F898" s="70"/>
      <c r="G898" s="71"/>
    </row>
    <row r="899">
      <c r="F899" s="70"/>
      <c r="G899" s="71"/>
    </row>
    <row r="900">
      <c r="F900" s="70"/>
      <c r="G900" s="71"/>
    </row>
    <row r="901">
      <c r="F901" s="70"/>
      <c r="G901" s="71"/>
    </row>
    <row r="902">
      <c r="F902" s="70"/>
      <c r="G902" s="71"/>
    </row>
    <row r="903">
      <c r="F903" s="70"/>
      <c r="G903" s="71"/>
    </row>
    <row r="904">
      <c r="F904" s="70"/>
      <c r="G904" s="71"/>
    </row>
    <row r="905">
      <c r="F905" s="70"/>
      <c r="G905" s="71"/>
    </row>
    <row r="906">
      <c r="F906" s="70"/>
      <c r="G906" s="71"/>
    </row>
    <row r="907">
      <c r="F907" s="70"/>
      <c r="G907" s="71"/>
    </row>
    <row r="908">
      <c r="F908" s="70"/>
      <c r="G908" s="71"/>
    </row>
    <row r="909">
      <c r="F909" s="70"/>
      <c r="G909" s="71"/>
    </row>
    <row r="910">
      <c r="F910" s="70"/>
      <c r="G910" s="71"/>
    </row>
    <row r="911">
      <c r="F911" s="70"/>
      <c r="G911" s="71"/>
    </row>
    <row r="912">
      <c r="F912" s="70"/>
      <c r="G912" s="71"/>
    </row>
    <row r="913">
      <c r="F913" s="70"/>
      <c r="G913" s="71"/>
    </row>
    <row r="914">
      <c r="F914" s="70"/>
      <c r="G914" s="71"/>
    </row>
    <row r="915">
      <c r="F915" s="70"/>
      <c r="G915" s="71"/>
    </row>
    <row r="916">
      <c r="F916" s="70"/>
      <c r="G916" s="71"/>
    </row>
    <row r="917">
      <c r="F917" s="70"/>
      <c r="G917" s="71"/>
    </row>
    <row r="918">
      <c r="F918" s="70"/>
      <c r="G918" s="71"/>
    </row>
    <row r="919">
      <c r="F919" s="70"/>
      <c r="G919" s="71"/>
    </row>
    <row r="920">
      <c r="F920" s="70"/>
      <c r="G920" s="71"/>
    </row>
    <row r="921">
      <c r="F921" s="70"/>
      <c r="G921" s="71"/>
    </row>
    <row r="922">
      <c r="F922" s="70"/>
      <c r="G922" s="71"/>
    </row>
    <row r="923">
      <c r="F923" s="70"/>
      <c r="G923" s="71"/>
    </row>
    <row r="924">
      <c r="F924" s="70"/>
      <c r="G924" s="71"/>
    </row>
    <row r="925">
      <c r="F925" s="70"/>
      <c r="G925" s="71"/>
    </row>
    <row r="926">
      <c r="F926" s="70"/>
      <c r="G926" s="71"/>
    </row>
    <row r="927">
      <c r="F927" s="70"/>
      <c r="G927" s="71"/>
    </row>
    <row r="928">
      <c r="F928" s="70"/>
      <c r="G928" s="71"/>
    </row>
    <row r="929">
      <c r="F929" s="70"/>
      <c r="G929" s="71"/>
    </row>
    <row r="930">
      <c r="F930" s="70"/>
      <c r="G930" s="71"/>
    </row>
    <row r="931">
      <c r="F931" s="70"/>
      <c r="G931" s="71"/>
    </row>
    <row r="932">
      <c r="F932" s="70"/>
      <c r="G932" s="71"/>
    </row>
    <row r="933">
      <c r="F933" s="70"/>
      <c r="G933" s="71"/>
    </row>
    <row r="934">
      <c r="F934" s="70"/>
      <c r="G934" s="71"/>
    </row>
    <row r="935">
      <c r="F935" s="70"/>
      <c r="G935" s="71"/>
    </row>
    <row r="936">
      <c r="F936" s="70"/>
      <c r="G936" s="71"/>
    </row>
    <row r="937">
      <c r="F937" s="70"/>
      <c r="G937" s="71"/>
    </row>
    <row r="938">
      <c r="F938" s="70"/>
      <c r="G938" s="71"/>
    </row>
    <row r="939">
      <c r="F939" s="70"/>
      <c r="G939" s="71"/>
    </row>
    <row r="940">
      <c r="F940" s="70"/>
      <c r="G940" s="71"/>
    </row>
    <row r="941">
      <c r="F941" s="70"/>
      <c r="G941" s="71"/>
    </row>
    <row r="942">
      <c r="F942" s="70"/>
      <c r="G942" s="71"/>
    </row>
    <row r="943">
      <c r="F943" s="70"/>
      <c r="G943" s="71"/>
    </row>
    <row r="944">
      <c r="F944" s="70"/>
      <c r="G944" s="71"/>
    </row>
    <row r="945">
      <c r="F945" s="70"/>
      <c r="G945" s="71"/>
    </row>
    <row r="946">
      <c r="F946" s="70"/>
      <c r="G946" s="71"/>
    </row>
    <row r="947">
      <c r="F947" s="70"/>
      <c r="G947" s="71"/>
    </row>
    <row r="948">
      <c r="F948" s="70"/>
      <c r="G948" s="71"/>
    </row>
    <row r="949">
      <c r="F949" s="70"/>
      <c r="G949" s="71"/>
    </row>
    <row r="950">
      <c r="F950" s="70"/>
      <c r="G950" s="71"/>
    </row>
    <row r="951">
      <c r="F951" s="70"/>
      <c r="G951" s="71"/>
    </row>
    <row r="952">
      <c r="F952" s="70"/>
      <c r="G952" s="71"/>
    </row>
    <row r="953">
      <c r="F953" s="70"/>
      <c r="G953" s="71"/>
    </row>
    <row r="954">
      <c r="F954" s="70"/>
      <c r="G954" s="71"/>
    </row>
    <row r="955">
      <c r="F955" s="70"/>
      <c r="G955" s="71"/>
    </row>
    <row r="956">
      <c r="F956" s="70"/>
      <c r="G956" s="71"/>
    </row>
    <row r="957">
      <c r="F957" s="70"/>
      <c r="G957" s="71"/>
    </row>
    <row r="958">
      <c r="F958" s="70"/>
      <c r="G958" s="71"/>
    </row>
    <row r="959">
      <c r="F959" s="70"/>
      <c r="G959" s="71"/>
    </row>
    <row r="960">
      <c r="F960" s="70"/>
      <c r="G960" s="71"/>
    </row>
    <row r="961">
      <c r="F961" s="70"/>
      <c r="G961" s="71"/>
    </row>
    <row r="962">
      <c r="F962" s="70"/>
      <c r="G962" s="71"/>
    </row>
    <row r="963">
      <c r="F963" s="70"/>
      <c r="G963" s="71"/>
    </row>
    <row r="964">
      <c r="F964" s="70"/>
      <c r="G964" s="71"/>
    </row>
    <row r="965">
      <c r="F965" s="70"/>
      <c r="G965" s="71"/>
    </row>
    <row r="966">
      <c r="F966" s="70"/>
      <c r="G966" s="71"/>
    </row>
    <row r="967">
      <c r="F967" s="70"/>
      <c r="G967" s="71"/>
    </row>
    <row r="968">
      <c r="F968" s="70"/>
      <c r="G968" s="71"/>
    </row>
    <row r="969">
      <c r="F969" s="70"/>
      <c r="G969" s="71"/>
    </row>
    <row r="970">
      <c r="F970" s="70"/>
      <c r="G970" s="71"/>
    </row>
    <row r="971">
      <c r="F971" s="70"/>
      <c r="G971" s="71"/>
    </row>
    <row r="972">
      <c r="F972" s="70"/>
      <c r="G972" s="71"/>
    </row>
    <row r="973">
      <c r="F973" s="70"/>
      <c r="G973" s="71"/>
    </row>
    <row r="974">
      <c r="F974" s="70"/>
      <c r="G974" s="71"/>
    </row>
    <row r="975">
      <c r="F975" s="70"/>
      <c r="G975" s="71"/>
    </row>
    <row r="976">
      <c r="F976" s="70"/>
      <c r="G976" s="71"/>
    </row>
    <row r="977">
      <c r="F977" s="70"/>
      <c r="G977" s="71"/>
    </row>
    <row r="978">
      <c r="F978" s="70"/>
      <c r="G978" s="71"/>
    </row>
    <row r="979">
      <c r="F979" s="70"/>
      <c r="G979" s="71"/>
    </row>
    <row r="980">
      <c r="F980" s="70"/>
      <c r="G980" s="71"/>
    </row>
    <row r="981">
      <c r="F981" s="70"/>
      <c r="G981" s="71"/>
    </row>
    <row r="982">
      <c r="F982" s="70"/>
      <c r="G982" s="71"/>
    </row>
    <row r="983">
      <c r="F983" s="70"/>
      <c r="G983" s="71"/>
    </row>
    <row r="984">
      <c r="F984" s="70"/>
      <c r="G984" s="71"/>
    </row>
    <row r="985">
      <c r="F985" s="70"/>
      <c r="G985" s="71"/>
    </row>
    <row r="986">
      <c r="F986" s="70"/>
      <c r="G986" s="71"/>
    </row>
    <row r="987">
      <c r="F987" s="70"/>
      <c r="G987" s="71"/>
    </row>
    <row r="988">
      <c r="F988" s="70"/>
      <c r="G988" s="71"/>
    </row>
    <row r="989">
      <c r="F989" s="70"/>
      <c r="G989" s="71"/>
    </row>
    <row r="990">
      <c r="F990" s="70"/>
      <c r="G990" s="71"/>
    </row>
    <row r="991">
      <c r="F991" s="70"/>
      <c r="G991" s="71"/>
    </row>
    <row r="992">
      <c r="F992" s="70"/>
      <c r="G992" s="71"/>
    </row>
    <row r="993">
      <c r="F993" s="70"/>
      <c r="G993" s="71"/>
    </row>
    <row r="994">
      <c r="F994" s="70"/>
      <c r="G994" s="71"/>
    </row>
    <row r="995">
      <c r="F995" s="70"/>
      <c r="G995" s="71"/>
    </row>
    <row r="996">
      <c r="F996" s="70"/>
      <c r="G996" s="71"/>
    </row>
    <row r="997">
      <c r="F997" s="70"/>
      <c r="G997" s="71"/>
    </row>
    <row r="998">
      <c r="F998" s="70"/>
      <c r="G998" s="71"/>
    </row>
    <row r="999">
      <c r="F999" s="70"/>
      <c r="G999" s="71"/>
    </row>
    <row r="1000">
      <c r="F1000" s="70"/>
      <c r="G1000" s="71"/>
    </row>
  </sheetData>
  <mergeCells count="5">
    <mergeCell ref="D5:D6"/>
    <mergeCell ref="E5:E6"/>
    <mergeCell ref="F5:F6"/>
    <mergeCell ref="G5:G6"/>
    <mergeCell ref="H5:H6"/>
  </mergeCells>
  <conditionalFormatting sqref="F7:F81">
    <cfRule type="cellIs" dxfId="0" priority="1" operator="equal">
      <formula>"A"</formula>
    </cfRule>
  </conditionalFormatting>
  <conditionalFormatting sqref="G7:G81">
    <cfRule type="cellIs" dxfId="0" priority="2" operator="equal">
      <formula>"A"</formula>
    </cfRule>
  </conditionalFormatting>
  <conditionalFormatting sqref="H7:H81">
    <cfRule type="cellIs" dxfId="0" priority="3" operator="equal">
      <formula>"A"</formula>
    </cfRule>
  </conditionalFormatting>
  <hyperlinks>
    <hyperlink r:id="rId1" ref="F7"/>
    <hyperlink r:id="rId2" ref="G7"/>
    <hyperlink r:id="rId3" ref="H7"/>
    <hyperlink r:id="rId4" ref="F8"/>
    <hyperlink r:id="rId5" ref="G8"/>
    <hyperlink r:id="rId6" ref="F9"/>
    <hyperlink r:id="rId7" ref="G9"/>
    <hyperlink r:id="rId8" ref="F10"/>
    <hyperlink r:id="rId9" ref="G10"/>
    <hyperlink r:id="rId10" ref="F11"/>
    <hyperlink r:id="rId11" ref="G11"/>
    <hyperlink r:id="rId12" ref="H11"/>
    <hyperlink r:id="rId13" ref="F14"/>
    <hyperlink r:id="rId14" ref="G14"/>
    <hyperlink r:id="rId15" ref="H14"/>
    <hyperlink r:id="rId16" ref="F16"/>
    <hyperlink r:id="rId17" ref="F17"/>
    <hyperlink r:id="rId18" ref="G17"/>
    <hyperlink r:id="rId19" ref="H17"/>
    <hyperlink r:id="rId20" ref="F19"/>
    <hyperlink r:id="rId21" ref="G19"/>
    <hyperlink r:id="rId22" ref="H19"/>
    <hyperlink r:id="rId23" ref="F20"/>
    <hyperlink r:id="rId24" ref="H20"/>
    <hyperlink r:id="rId25" ref="F25"/>
    <hyperlink r:id="rId26" ref="G25"/>
    <hyperlink r:id="rId27" ref="H25"/>
    <hyperlink r:id="rId28" ref="F26"/>
    <hyperlink r:id="rId29" ref="G26"/>
    <hyperlink r:id="rId30" ref="F28"/>
    <hyperlink r:id="rId31" ref="H28"/>
    <hyperlink r:id="rId32" ref="F29"/>
    <hyperlink r:id="rId33" ref="G29"/>
    <hyperlink r:id="rId34" ref="F30"/>
    <hyperlink r:id="rId35" ref="G30"/>
    <hyperlink r:id="rId36" ref="F31"/>
    <hyperlink r:id="rId37" ref="G31"/>
    <hyperlink r:id="rId38" ref="F32"/>
    <hyperlink r:id="rId39" ref="G32"/>
    <hyperlink r:id="rId40" ref="F33"/>
    <hyperlink r:id="rId41" ref="G33"/>
    <hyperlink r:id="rId42" ref="H33"/>
    <hyperlink r:id="rId43" ref="F34"/>
    <hyperlink r:id="rId44" ref="G34"/>
    <hyperlink r:id="rId45" ref="H34"/>
    <hyperlink r:id="rId46" ref="H35"/>
    <hyperlink r:id="rId47" ref="F36"/>
    <hyperlink r:id="rId48" ref="G36"/>
    <hyperlink r:id="rId49" ref="H36"/>
    <hyperlink r:id="rId50" ref="F38"/>
    <hyperlink r:id="rId51" ref="G38"/>
    <hyperlink r:id="rId52" ref="H38"/>
    <hyperlink r:id="rId53" ref="H41"/>
    <hyperlink r:id="rId54" ref="F42"/>
    <hyperlink r:id="rId55" ref="G42"/>
    <hyperlink r:id="rId56" ref="H42"/>
    <hyperlink r:id="rId57" ref="F43"/>
    <hyperlink r:id="rId58" ref="G43"/>
    <hyperlink r:id="rId59" ref="F45"/>
    <hyperlink r:id="rId60" ref="G45"/>
    <hyperlink r:id="rId61" ref="H45"/>
    <hyperlink r:id="rId62" ref="F48"/>
    <hyperlink r:id="rId63" ref="H48"/>
    <hyperlink r:id="rId64" ref="F49"/>
    <hyperlink r:id="rId65" ref="G49"/>
    <hyperlink r:id="rId66" ref="H49"/>
    <hyperlink r:id="rId67" ref="F50"/>
    <hyperlink r:id="rId68" ref="F54"/>
    <hyperlink r:id="rId69" ref="G54"/>
    <hyperlink r:id="rId70" ref="H55"/>
    <hyperlink r:id="rId71" ref="F56"/>
    <hyperlink r:id="rId72" ref="G56"/>
    <hyperlink r:id="rId73" ref="H56"/>
    <hyperlink r:id="rId74" ref="F57"/>
    <hyperlink r:id="rId75" ref="G57"/>
    <hyperlink r:id="rId76" ref="H57"/>
    <hyperlink r:id="rId77" ref="F58"/>
    <hyperlink r:id="rId78" ref="G60"/>
    <hyperlink r:id="rId79" ref="F61"/>
    <hyperlink r:id="rId80" ref="F63"/>
    <hyperlink r:id="rId81" ref="G63"/>
    <hyperlink r:id="rId82" ref="H63"/>
    <hyperlink r:id="rId83" ref="F64"/>
    <hyperlink r:id="rId84" ref="G64"/>
    <hyperlink r:id="rId85" ref="F65"/>
    <hyperlink r:id="rId86" ref="H65"/>
    <hyperlink r:id="rId87" ref="F68"/>
    <hyperlink r:id="rId88" ref="G68"/>
    <hyperlink r:id="rId89" ref="F70"/>
    <hyperlink r:id="rId90" ref="G70"/>
    <hyperlink r:id="rId91" ref="H72"/>
    <hyperlink r:id="rId92" ref="F73"/>
    <hyperlink r:id="rId93" ref="H73"/>
    <hyperlink r:id="rId94" ref="F74"/>
    <hyperlink r:id="rId95" ref="G74"/>
    <hyperlink r:id="rId96" ref="H76"/>
    <hyperlink r:id="rId97" ref="F77"/>
    <hyperlink r:id="rId98" ref="G77"/>
    <hyperlink r:id="rId99" ref="H77"/>
    <hyperlink r:id="rId100" ref="F78"/>
    <hyperlink r:id="rId101" ref="G78"/>
  </hyperlinks>
  <drawing r:id="rId102"/>
</worksheet>
</file>