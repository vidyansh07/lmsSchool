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Course Timeline" sheetId="2" r:id="rId6"/>
    <sheet state="visible" name="DSR" sheetId="3" r:id="rId7"/>
    <sheet state="visible" name="Assesment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<sst xmlns="http://schemas.openxmlformats.org/spreadsheetml/2006/main" count="1204" uniqueCount="555">
  <si>
    <t>S NO</t>
  </si>
  <si>
    <t>ARYA COLLEGE OF ENGINEERING</t>
  </si>
  <si>
    <t>SNO</t>
  </si>
  <si>
    <t>Student Name</t>
  </si>
  <si>
    <t>RTU Roll No.</t>
  </si>
  <si>
    <t xml:space="preserve">Total Present </t>
  </si>
  <si>
    <t xml:space="preserve">Total Absent </t>
  </si>
  <si>
    <t xml:space="preserve">Total Class </t>
  </si>
  <si>
    <t>Attendance Percent</t>
  </si>
  <si>
    <t>Date</t>
  </si>
  <si>
    <t>Topic Cover</t>
  </si>
  <si>
    <t>Student Count Online Offline</t>
  </si>
  <si>
    <t xml:space="preserve">Trainer Name </t>
  </si>
  <si>
    <t>Cloud Computing Fundamentals, Types of Cloud Computing, Web Server Architecture, HTML Basics, HTML Tags, Lists, Tables, Forms, Classes &amp; IDs</t>
  </si>
  <si>
    <t>BLOWN UP SYLLABUS</t>
  </si>
  <si>
    <t>12 / 0</t>
  </si>
  <si>
    <t>Gaurav Lalwani</t>
  </si>
  <si>
    <t>MICROSOFT AZ-204 — DEVELOPING SOLUTIONS FOR MICROSOFT AZURE</t>
  </si>
  <si>
    <t>JavaScript Introduction, APIs, Request-Response Flow, Event Handling, Functions, Arrays, Loops, Practical Coding Exercises</t>
  </si>
  <si>
    <t>Lecturer Name:</t>
  </si>
  <si>
    <t>13 / 0</t>
  </si>
  <si>
    <t>No. of Lectures Required: 60</t>
  </si>
  <si>
    <t>JavaScript Objects, Hoisting, DOM Fundamentals, DOM Manipulation, Events, Closures, Coding Exercises, Q&amp;A Session</t>
  </si>
  <si>
    <t>Assesment 1  HTML &amp; JavaScript Fundamentals Test Out of 40</t>
  </si>
  <si>
    <t>10 / 0</t>
  </si>
  <si>
    <t xml:space="preserve">Assesment 2 HTML, CSS &amp; JavaScript Advanced Out of 40 </t>
  </si>
  <si>
    <t>Assesment 3 (Web App and Function  App) Out of 40</t>
  </si>
  <si>
    <t>Lecture No.</t>
  </si>
  <si>
    <t>APIs, JSON, HTTP Methods, Postman, HTTP Headers, Async JavaScript, Fetch API, Array Methods, Student Management System Project</t>
  </si>
  <si>
    <t>JavaScript Revision, Conditional Statements, Operators, Closures, Assessment Test, Cloud Computing Concepts, Azure Developer Roles</t>
  </si>
  <si>
    <t>BLOWN UP TOPICS</t>
  </si>
  <si>
    <t>9 / 2</t>
  </si>
  <si>
    <t>Status</t>
  </si>
  <si>
    <t>Node.js Introduction, Installation, Architecture, Modules, NPM, Express.js, Server Creation, Dynamic Routing, Practical Exercises</t>
  </si>
  <si>
    <t>UNIT 1: AZURE FOUNDATIONS FOR DEVELOPERS</t>
  </si>
  <si>
    <t>Introduction to CRUD Operations, Create, Read, Update, Delete Operations, Practical Implementation of CRUD APIs, Testing APIs using Postman</t>
  </si>
  <si>
    <t>Vishal</t>
  </si>
  <si>
    <t>Introduction to MVC Architecture, Model-View-Controller, Signup API Development, Login API Development, API Flow, Authentication Basics, Postman Testing</t>
  </si>
  <si>
    <t>9 / 0</t>
  </si>
  <si>
    <t>1. Introduction to Azure &amp; AZ-204</t>
  </si>
  <si>
    <t>Done</t>
  </si>
  <si>
    <t>React.js Introduction, JSX, Props, React Hooks, useState, useEffect, Form Handling, Practical Implementation</t>
  </si>
  <si>
    <t>8 / 2</t>
  </si>
  <si>
    <t>1.1 Cloud Computing Recap</t>
  </si>
  <si>
    <t>Git Introduction, Version Control Concepts, Git Workflow (Init, Add, Commit), Hands-on Git Commands Practice</t>
  </si>
  <si>
    <t>1.1.1 IaaS, PaaS, SaaS</t>
  </si>
  <si>
    <t>1.1.2 Public, Private, Hybrid Cloud</t>
  </si>
  <si>
    <t>Neetesh Singh</t>
  </si>
  <si>
    <t>1.2 Azure Overview</t>
  </si>
  <si>
    <t>16/June./2026</t>
  </si>
  <si>
    <t xml:space="preserve">Assesment 4 (SERVICE BUS and storage account ) Out of </t>
  </si>
  <si>
    <t>Assesment 5 (Oauth and Entra)</t>
  </si>
  <si>
    <t>Assesment 6 ()</t>
  </si>
  <si>
    <t>Total Assessments Missed</t>
  </si>
  <si>
    <t>Which assessment missed</t>
  </si>
  <si>
    <t>Ayushi Bansal</t>
  </si>
  <si>
    <t>23EACCS067</t>
  </si>
  <si>
    <t>AB</t>
  </si>
  <si>
    <t>1.2.1 Microsoft Azure Services Landscape</t>
  </si>
  <si>
    <t xml:space="preserve">PROJECT 1 (Project Title ) Out of </t>
  </si>
  <si>
    <t>Aditya Sharma</t>
  </si>
  <si>
    <t>1.2.2 Azure vs AWS vs GCP (Brief)</t>
  </si>
  <si>
    <t xml:space="preserve">PROJECT 2 (Project Title ) Out of </t>
  </si>
  <si>
    <t>23eaccs014</t>
  </si>
  <si>
    <t>1.3 AZ-204 Exam Overview</t>
  </si>
  <si>
    <t>1.3.1 Exam Pattern (100 Minutes, Passing Score 700/1000)</t>
  </si>
  <si>
    <t>1.3.2 5 Domains &amp; Weightage</t>
  </si>
  <si>
    <t>Bhavesh Jain</t>
  </si>
  <si>
    <t>23EACCS070</t>
  </si>
  <si>
    <t>1.3.3 January 2026 Skills Update (Security Elevated)</t>
  </si>
  <si>
    <t>TANISHQ GARG</t>
  </si>
  <si>
    <t>23EACCS946</t>
  </si>
  <si>
    <t>Bhupendra Dadhich</t>
  </si>
  <si>
    <t>1.4 Role of an Azure Developer</t>
  </si>
  <si>
    <t>23EACCS073</t>
  </si>
  <si>
    <t>2. Azure Global Infrastructure &amp; Account Setup</t>
  </si>
  <si>
    <t>DAKSH MATHUR</t>
  </si>
  <si>
    <t>23EACCS079</t>
  </si>
  <si>
    <t>P</t>
  </si>
  <si>
    <t>2.1 Azure Regions &amp; Region Pairs</t>
  </si>
  <si>
    <t>SUNDAY</t>
  </si>
  <si>
    <t>2.2 Availability Zones</t>
  </si>
  <si>
    <t>2.3 Edge Locations &amp; Azure CDN POPs</t>
  </si>
  <si>
    <t>Hitesh Jangir</t>
  </si>
  <si>
    <t>23EACCS128</t>
  </si>
  <si>
    <t>2.4 Azure Free Account Setup</t>
  </si>
  <si>
    <t>A</t>
  </si>
  <si>
    <t>Vansh Gupta</t>
  </si>
  <si>
    <t>23EACCS956</t>
  </si>
  <si>
    <t>Hritik singh</t>
  </si>
  <si>
    <t>2.5 Azure Portal Tour</t>
  </si>
  <si>
    <t>23EACCS130</t>
  </si>
  <si>
    <t>Jay Prakash Kumawat</t>
  </si>
  <si>
    <t>2.6 Azure Resource Hierarchy</t>
  </si>
  <si>
    <t>23EACCS136</t>
  </si>
  <si>
    <t>p</t>
  </si>
  <si>
    <t>2.6.1 Management Groups</t>
  </si>
  <si>
    <t>Keshav Kumar</t>
  </si>
  <si>
    <t>23EACCS151</t>
  </si>
  <si>
    <t>2.6.2 Subscriptions</t>
  </si>
  <si>
    <t>2.6.3 Resource Groups</t>
  </si>
  <si>
    <t>Lokesh Kumar</t>
  </si>
  <si>
    <t>23EACCS169</t>
  </si>
  <si>
    <t>Nehul Singh Negi</t>
  </si>
  <si>
    <t>23EACCS809</t>
  </si>
  <si>
    <t>Nishu Raj</t>
  </si>
  <si>
    <t>23EACCS817</t>
  </si>
  <si>
    <t>2.6.4 Resources</t>
  </si>
  <si>
    <t>Ritesh Sahu</t>
  </si>
  <si>
    <t>23EACCS872</t>
  </si>
  <si>
    <t>2.7 Azure Cost Management &amp; Billing Alerts</t>
  </si>
  <si>
    <t>Saurabh Kumar</t>
  </si>
  <si>
    <t>23EACCS905</t>
  </si>
  <si>
    <t>3. Developer Tools for Azure</t>
  </si>
  <si>
    <t>3.1 Azure CLI Installation &amp; Configuration</t>
  </si>
  <si>
    <t>3.2 Azure PowerShell</t>
  </si>
  <si>
    <t>Yogesh Prajapat</t>
  </si>
  <si>
    <t>3.3 Azure Cloud Shell</t>
  </si>
  <si>
    <t>23EACCS978</t>
  </si>
  <si>
    <t>3.4 Visual Studio &amp; VS Code Azure Extensions</t>
  </si>
  <si>
    <t>3.5 Azure SDKs Overview</t>
  </si>
  <si>
    <t>3.5.1 .NET SDK for Azure</t>
  </si>
  <si>
    <t>3.5.2 Other Language SDKs</t>
  </si>
  <si>
    <t>3.6 ARM (Azure Resource Manager) Concepts</t>
  </si>
  <si>
    <t>3.7 Azure REST APIs Overview</t>
  </si>
  <si>
    <t>23EACCS014</t>
  </si>
  <si>
    <t>📁 MINI PROJECT 1: Azure Account Setup &amp; First Resource Deployment (Half Day)</t>
  </si>
  <si>
    <t>Set up Azure Account &amp; Configure Spending Limits</t>
  </si>
  <si>
    <t>Create Resource Groups via Portal, CLI &amp; PowerShell</t>
  </si>
  <si>
    <t>Deploy a Simple Web App using Multiple Methods</t>
  </si>
  <si>
    <t>OP</t>
  </si>
  <si>
    <t>Explore Resource Hierarchy</t>
  </si>
  <si>
    <t>🏭 INDUSTRY LECTURE 1 (1 Hour)</t>
  </si>
  <si>
    <t>Topic: Azure Developer Role &amp; Career Path in Industry</t>
  </si>
  <si>
    <t>Format: Guest Lecture + Q&amp;A Session</t>
  </si>
  <si>
    <t>UNIT 2: DEVELOP AZURE COMPUTE SOLUTIONS (Domain 1 — 25–30%)</t>
  </si>
  <si>
    <t>1. Azure App Service — Part 1</t>
  </si>
  <si>
    <t>1.1 App Service Overview</t>
  </si>
  <si>
    <t>1.1.1 App Service Plan</t>
  </si>
  <si>
    <t>1.1.2 App Service Pricing Tiers (Free, Shared, Basic, Standard, Premium, Isolated)</t>
  </si>
  <si>
    <t>1.2 Creating Web Apps</t>
  </si>
  <si>
    <t>1.2.1 Web Apps on Windows vs Linux</t>
  </si>
  <si>
    <t>1.2.2 Deployment Slots</t>
  </si>
  <si>
    <t>1.2.3 Slot Swapping &amp; Auto-Swap</t>
  </si>
  <si>
    <t>1.3 App Service Authentication &amp; Authorization</t>
  </si>
  <si>
    <t>1.4 Custom Domains &amp; SSL/TLS Bindings</t>
  </si>
  <si>
    <t>2. Azure App Service — Part 2 (Configuration &amp; Scaling)</t>
  </si>
  <si>
    <t>2.1 App Service Configuration</t>
  </si>
  <si>
    <t>2.1.1 Application Settings</t>
  </si>
  <si>
    <t>2.1.2 Connection Strings</t>
  </si>
  <si>
    <t>2.1.3 General Settings</t>
  </si>
  <si>
    <t>2.2 Networking Features</t>
  </si>
  <si>
    <t>2.2.1 VNet Integration</t>
  </si>
  <si>
    <t>2.2.2 Hybrid Connections</t>
  </si>
  <si>
    <t>Pending</t>
  </si>
  <si>
    <t>2.2.3 Private Endpoints</t>
  </si>
  <si>
    <t>2.3 Scaling App Service</t>
  </si>
  <si>
    <t>2.3.1 Scale Up vs Scale Out</t>
  </si>
  <si>
    <t>2.3.2 Auto-Scaling Rules</t>
  </si>
  <si>
    <t>2.4 Backup &amp; Restore</t>
  </si>
  <si>
    <t>3. Azure App Service — Part 3 (Deployment)</t>
  </si>
  <si>
    <t>3.1 Deployment Methods</t>
  </si>
  <si>
    <t>3.1.1 Git / GitHub Deployment</t>
  </si>
  <si>
    <t>3.1.2 ZIP &amp; WAR Deploy</t>
  </si>
  <si>
    <t>3.1.3 Azure DevOps Pipelines</t>
  </si>
  <si>
    <t>3.1.4 FTP/FTPS Deployment</t>
  </si>
  <si>
    <t>3.2 Continuous Deployment Setup</t>
  </si>
  <si>
    <t>3.3 Local Git vs External Git</t>
  </si>
  <si>
    <t>3.4 KuDu Service &amp; Advanced Tools</t>
  </si>
  <si>
    <t>3.5 Diagnostic Logging &amp; Application Insights Integration</t>
  </si>
  <si>
    <t>4. Azure Functions — Part 1</t>
  </si>
  <si>
    <t>4.1 Serverless Computing Overview</t>
  </si>
  <si>
    <t>4.2 Azure Functions Introduction</t>
  </si>
  <si>
    <t>4.2.1 Function App vs Function</t>
  </si>
  <si>
    <t>4.2.2 Hosting Plans (Consumption, Premium, Dedicated)</t>
  </si>
  <si>
    <t>4.2.3 Flex Consumption Plan</t>
  </si>
  <si>
    <t>4.3 Function Runtime Versions</t>
  </si>
  <si>
    <t>4.4 Creating Functions in Portal &amp; VS Code</t>
  </si>
  <si>
    <t>4.5 Function Structure (function.json, host.json)</t>
  </si>
  <si>
    <t>5. Azure Functions — Part 2 (Triggers &amp; Bindings)</t>
  </si>
  <si>
    <t>5.1 Triggers Overview</t>
  </si>
  <si>
    <t>5.1.1 HTTP Trigger</t>
  </si>
  <si>
    <t>5.1.2 Timer Trigger (CRON Expressions)</t>
  </si>
  <si>
    <t>5.1.3 Blob Storage Trigger</t>
  </si>
  <si>
    <t>5.1.4 Queue Storage Trigger</t>
  </si>
  <si>
    <t>5.1.5 Event Grid Trigger</t>
  </si>
  <si>
    <t>5.1.6 Event Hub &amp; Service Bus Triggers</t>
  </si>
  <si>
    <t>5.2 Input &amp; Output Bindings</t>
  </si>
  <si>
    <t>5.3 Binding Expressions &amp; Patterns</t>
  </si>
  <si>
    <t>5.4 Function Authorization Levels (Anonymous, Function, Admin)</t>
  </si>
  <si>
    <t>6. Azure Functions — Part 3 (Durable Functions)</t>
  </si>
  <si>
    <t>6.1 Durable Functions Overview</t>
  </si>
  <si>
    <t>6.2 Durable Function Types</t>
  </si>
  <si>
    <t>6.2.1 Orchestrator Functions</t>
  </si>
  <si>
    <t>6.2.2 Activity Functions</t>
  </si>
  <si>
    <t>6.2.3 Entity Functions</t>
  </si>
  <si>
    <t>6.2.4 Client Functions</t>
  </si>
  <si>
    <t>6.3 Application Patterns</t>
  </si>
  <si>
    <t>6.3.1 Function Chaining</t>
  </si>
  <si>
    <t>6.3.2 Fan-Out / Fan-In</t>
  </si>
  <si>
    <t>6.3.3 Async HTTP APIs</t>
  </si>
  <si>
    <t>6.3.4 Monitor Pattern</t>
  </si>
  <si>
    <t>6.3.5 Human Interaction Pattern</t>
  </si>
  <si>
    <t>6.4 Task Hubs &amp; State Management</t>
  </si>
  <si>
    <t>7. Containerized Solutions — Part 1</t>
  </si>
  <si>
    <t>7.1 Docker Basics for Azure Developers</t>
  </si>
  <si>
    <t>7.1.1 Images vs Containers</t>
  </si>
  <si>
    <t>7.1.2 Dockerfile Basics</t>
  </si>
  <si>
    <t>7.2 Azure Container Registry (ACR)</t>
  </si>
  <si>
    <t>7.2.1 Creating ACR &amp; Pricing Tiers</t>
  </si>
  <si>
    <t>7.2.2 Pushing &amp; Pulling Images</t>
  </si>
  <si>
    <t>7.2.3 ACR Tasks (Build, Run, Schedule)</t>
  </si>
  <si>
    <t>7.2.4 ACR Authentication (Admin, Service Principal, Managed Identity)</t>
  </si>
  <si>
    <t>7.3 ACR Replication &amp; Geo-Replication</t>
  </si>
  <si>
    <t>8. Containerized Solutions — Part 2</t>
  </si>
  <si>
    <t>8.1 Azure Container Instances (ACI)</t>
  </si>
  <si>
    <t>8.1.1 Deploying Containers</t>
  </si>
  <si>
    <t>8.1.2 Container Groups</t>
  </si>
  <si>
    <t>8.1.3 Resource Allocation &amp; Restart Policies</t>
  </si>
  <si>
    <t>8.1.4 Persistent Storage with Azure Files</t>
  </si>
  <si>
    <t>8.2 Azure Container Apps</t>
  </si>
  <si>
    <t>8.2.1 Architecture &amp; Environments</t>
  </si>
  <si>
    <t>8.2.2 Scaling Rules (KEDA-based)</t>
  </si>
  <si>
    <t>8.2.3 Revisions &amp; Traffic Splitting</t>
  </si>
  <si>
    <t>8.2.4 Dapr Integration</t>
  </si>
  <si>
    <t>8.3 Azure Kubernetes Service (AKS) — Overview</t>
  </si>
  <si>
    <t>📁 MINI PROJECT 2: Build &amp; Deploy Compute Solutions (Half Day)</t>
  </si>
  <si>
    <t>Deploy a Web App to Azure App Service with Deployment Slots</t>
  </si>
  <si>
    <t>Build an HTTP-triggered Azure Function</t>
  </si>
  <si>
    <t>Containerize an App and Push to ACR</t>
  </si>
  <si>
    <t>Deploy Container to Azure Container Instances</t>
  </si>
  <si>
    <t>🔴 TEST 1: Azure Compute Solutions (Half Day)</t>
  </si>
  <si>
    <t>MCQ (25 Marks) + Scenario-Based (25 Marks)</t>
  </si>
  <si>
    <t>Duration: 1 to 1.5 Hours</t>
  </si>
  <si>
    <t>🏭 INDUSTRY LECTURE 2 (1 Hour)</t>
  </si>
  <si>
    <t>Topic: Building Production-Grade Compute Solutions on Azure</t>
  </si>
  <si>
    <t>UNIT 3: DEVELOP FOR AZURE STORAGE (Domain 2 — 15–20%)</t>
  </si>
  <si>
    <t>1. Azure Storage Account Fundamentals</t>
  </si>
  <si>
    <t>1.1 Storage Account Types</t>
  </si>
  <si>
    <t>1.1.1 General Purpose v2 (GPv2)</t>
  </si>
  <si>
    <t>1.1.2 Premium Block Blobs</t>
  </si>
  <si>
    <t>1.1.3 Premium File Shares</t>
  </si>
  <si>
    <t>1.1.4 Premium Page Blobs</t>
  </si>
  <si>
    <t>1.2 Storage Services Overview</t>
  </si>
  <si>
    <t>1.2.1 Blob, File, Queue, Table</t>
  </si>
  <si>
    <t>1.3 Replication Options</t>
  </si>
  <si>
    <t>1.3.1 LRS, ZRS, GRS, RA-GRS, GZRS, RA-GZRS</t>
  </si>
  <si>
    <t>1.4 Access Tiers (Hot, Cool, Cold, Archive)</t>
  </si>
  <si>
    <t>1.5 Storage Account Endpoints</t>
  </si>
  <si>
    <t>2. Azure Blob Storage — Part 1</t>
  </si>
  <si>
    <t>2.1 Blob Types</t>
  </si>
  <si>
    <t>2.1.1 Block Blobs</t>
  </si>
  <si>
    <t>2.1.2 Append Blobs</t>
  </si>
  <si>
    <t>2.1.3 Page Blobs</t>
  </si>
  <si>
    <t>2.2 Containers &amp; Blob Hierarchy</t>
  </si>
  <si>
    <t>2.3 Uploading &amp; Downloading Blobs</t>
  </si>
  <si>
    <t>2.3.1 Using Azure Portal</t>
  </si>
  <si>
    <t>2.3.2 Using Azure Storage Explorer</t>
  </si>
  <si>
    <t>2.3.3 Using AzCopy</t>
  </si>
  <si>
    <t>2.3.4 Using Azure SDK</t>
  </si>
  <si>
    <t>2.4 Blob Metadata &amp; Properties</t>
  </si>
  <si>
    <t>3. Azure Blob Storage — Part 2 (Lifecycle &amp; Security)</t>
  </si>
  <si>
    <t>3.1 Blob Lifecycle Management</t>
  </si>
  <si>
    <t>3.1.1 Lifecycle Policies</t>
  </si>
  <si>
    <t>3.1.2 Automatic Tiering</t>
  </si>
  <si>
    <t>3.1.3 Blob Expiration Rules</t>
  </si>
  <si>
    <t>3.2 Blob Versioning &amp; Soft Delete</t>
  </si>
  <si>
    <t>3.3 Blob Snapshots</t>
  </si>
  <si>
    <t>3.4 Static Website Hosting in Blob</t>
  </si>
  <si>
    <t>3.5 Blob Storage Events &amp; Event Grid Integration</t>
  </si>
  <si>
    <t>3.6 Blob Index Tags</t>
  </si>
  <si>
    <t>4. Azure Cosmos DB — Part 1</t>
  </si>
  <si>
    <t>4.1 Cosmos DB Overview</t>
  </si>
  <si>
    <t>4.1.1 Globally Distributed NoSQL</t>
  </si>
  <si>
    <t>4.1.2 Multi-Model Database</t>
  </si>
  <si>
    <t>4.2 Cosmos DB APIs</t>
  </si>
  <si>
    <t>4.2.1 NoSQL API (Core)</t>
  </si>
  <si>
    <t>4.2.2 MongoDB API</t>
  </si>
  <si>
    <t>4.2.3 Cassandra API</t>
  </si>
  <si>
    <t>4.2.4 Gremlin (Graph) API</t>
  </si>
  <si>
    <t>4.2.5 Table API</t>
  </si>
  <si>
    <t>4.3 Containers &amp; Items</t>
  </si>
  <si>
    <t>4.4 Request Units (RUs) &amp; Throughput</t>
  </si>
  <si>
    <t>4.4.1 Provisioned vs Serverless vs Autoscale</t>
  </si>
  <si>
    <t>5. Azure Cosmos DB — Part 2 (Modeling &amp; Consistency)</t>
  </si>
  <si>
    <t>5.1 Partition Key Design</t>
  </si>
  <si>
    <t>5.1.1 Logical vs Physical Partitions</t>
  </si>
  <si>
    <t>5.1.2 Hot Partition Problem</t>
  </si>
  <si>
    <t>5.2 Consistency Levels</t>
  </si>
  <si>
    <t>5.2.1 Strong</t>
  </si>
  <si>
    <t>5.2.2 Bounded Staleness</t>
  </si>
  <si>
    <t>5.2.3 Session (Default)</t>
  </si>
  <si>
    <t>5.2.4 Consistent Prefix</t>
  </si>
  <si>
    <t>5.2.5 Eventual</t>
  </si>
  <si>
    <t>5.3 Global Distribution &amp; Multi-Region Writes</t>
  </si>
  <si>
    <t>5.4 Change Feed</t>
  </si>
  <si>
    <t>5.5 Stored Procedures, Triggers &amp; UDFs</t>
  </si>
  <si>
    <t>5.6 Cosmos DB SDK Operations (CRUD)</t>
  </si>
  <si>
    <t>📁 MINI PROJECT 3: Storage &amp; Cosmos DB Application (Half Day)</t>
  </si>
  <si>
    <t>Build App that Uploads Images to Blob Storage</t>
  </si>
  <si>
    <t>Configure Lifecycle Policy (Hot → Cool → Archive)</t>
  </si>
  <si>
    <t>Create Cosmos DB Container with Right Partition Key</t>
  </si>
  <si>
    <t>Perform CRUD Operations using SDK</t>
  </si>
  <si>
    <t>🔴 TEST 2: Azure Storage &amp; Cosmos DB (Half Day)</t>
  </si>
  <si>
    <t>🏭 INDUSTRY LECTURE 3 (1 Hour)</t>
  </si>
  <si>
    <t>Topic: Designing Data Storage for Cloud-Native Apps</t>
  </si>
  <si>
    <t>UNIT 4: IMPLEMENT AZURE SECURITY (Domain 3 — 20–25%) [ELEVATED PRIORITY]</t>
  </si>
  <si>
    <t>1. Microsoft Entra ID (formerly Azure AD) Fundamentals</t>
  </si>
  <si>
    <t>1.1 Identity &amp; Access Management Basics</t>
  </si>
  <si>
    <t>1.2 Entra ID Core Concepts</t>
  </si>
  <si>
    <t>1.2.1 Tenants</t>
  </si>
  <si>
    <t>1.2.2 Users &amp; Groups</t>
  </si>
  <si>
    <t>1.2.3 Applications (Enterprise &amp; App Registrations)</t>
  </si>
  <si>
    <t>1.3 Entra ID Editions (Free, P1, P2)</t>
  </si>
  <si>
    <t>1.4 Application Types</t>
  </si>
  <si>
    <t>1.4.1 Single-Tenant vs Multi-Tenant</t>
  </si>
  <si>
    <t>1.4.2 Confidential vs Public Clients</t>
  </si>
  <si>
    <t>2. Authentication &amp; Authorization with Entra ID</t>
  </si>
  <si>
    <t>2.1 Microsoft Identity Platform</t>
  </si>
  <si>
    <t>2.2 OAuth 2.0 Flows</t>
  </si>
  <si>
    <t>2.2.1 Authorization Code Flow</t>
  </si>
  <si>
    <t>2.2.2 Client Credentials Flow</t>
  </si>
  <si>
    <t>2.2.3 On-Behalf-Of Flow</t>
  </si>
  <si>
    <t>2.2.4 Device Code Flow</t>
  </si>
  <si>
    <t>2.2.5 Implicit Flow (Legacy)</t>
  </si>
  <si>
    <t>2.3 OpenID Connect (OIDC)</t>
  </si>
  <si>
    <t>2.4 MSAL (Microsoft Authentication Library)</t>
  </si>
  <si>
    <t>2.4.1 Acquiring Tokens</t>
  </si>
  <si>
    <t>2.4.2 Token Caching</t>
  </si>
  <si>
    <t>2.5 ID Tokens vs Access Tokens vs Refresh Tokens</t>
  </si>
  <si>
    <t>3. Microsoft Graph API</t>
  </si>
  <si>
    <t>3.1 Microsoft Graph Overview</t>
  </si>
  <si>
    <t>3.2 Endpoints &amp; Versioning (v1.0 vs beta)</t>
  </si>
  <si>
    <t>3.3 Authenticating to Microsoft Graph</t>
  </si>
  <si>
    <t>3.4 Common Graph Operations</t>
  </si>
  <si>
    <t>3.4.1 Reading User Profile</t>
  </si>
  <si>
    <t>3.4.2 Sending Emails</t>
  </si>
  <si>
    <t>3.4.3 Calendar &amp; OneDrive Operations</t>
  </si>
  <si>
    <t>3.5 Graph SDK Usage</t>
  </si>
  <si>
    <t>3.6 Permissions (Delegated vs Application)</t>
  </si>
  <si>
    <t>3.7 Throttling &amp; Best Practices</t>
  </si>
  <si>
    <t>4. Azure RBAC (Role-Based Access Control)</t>
  </si>
  <si>
    <t>4.1 RBAC Concepts</t>
  </si>
  <si>
    <t>4.1.1 Security Principal</t>
  </si>
  <si>
    <t>4.1.2 Role Definition</t>
  </si>
  <si>
    <t>4.1.3 Role Assignment</t>
  </si>
  <si>
    <t>4.1.4 Scope (Management Group, Subscription, RG, Resource)</t>
  </si>
  <si>
    <t>4.2 Built-In Roles</t>
  </si>
  <si>
    <t>4.2.1 Owner, Contributor, Reader, User Access Administrator</t>
  </si>
  <si>
    <t>4.3 Custom Roles</t>
  </si>
  <si>
    <t>4.4 RBAC vs Entra Roles (Difference)</t>
  </si>
  <si>
    <t>4.5 Conditional Access Policies (Overview)</t>
  </si>
  <si>
    <t>5. Managed Identities</t>
  </si>
  <si>
    <t>5.1 What are Managed Identities</t>
  </si>
  <si>
    <t>5.1.1 Why Use Managed Identities</t>
  </si>
  <si>
    <t>5.1.2 No Secrets in Code</t>
  </si>
  <si>
    <t>5.2 Types of Managed Identities</t>
  </si>
  <si>
    <t>5.2.1 System-Assigned Managed Identity</t>
  </si>
  <si>
    <t>5.2.2 User-Assigned Managed Identity</t>
  </si>
  <si>
    <t>5.3 Enabling Managed Identity on Azure Resources</t>
  </si>
  <si>
    <t>5.3.1 App Service</t>
  </si>
  <si>
    <t>5.3.2 Function Apps</t>
  </si>
  <si>
    <t>5.3.3 Virtual Machines</t>
  </si>
  <si>
    <t>5.4 Using Managed Identity to Access Resources</t>
  </si>
  <si>
    <t>5.5 DefaultAzureCredential in SDK</t>
  </si>
  <si>
    <t>6. Azure Key Vault</t>
  </si>
  <si>
    <t>6.1 Key Vault Overview</t>
  </si>
  <si>
    <t>6.1.1 Secrets, Keys, Certificates</t>
  </si>
  <si>
    <t>6.2 Key Vault Access Models</t>
  </si>
  <si>
    <t>6.2.1 Vault Access Policies</t>
  </si>
  <si>
    <t>6.2.2 Azure RBAC for Key Vault</t>
  </si>
  <si>
    <t>6.3 Storing &amp; Retrieving Secrets via SDK</t>
  </si>
  <si>
    <t>6.4 Key Vault References in App Service &amp; Functions</t>
  </si>
  <si>
    <t>6.5 Key Rotation &amp; Versioning</t>
  </si>
  <si>
    <t>6.6 Soft Delete &amp; Purge Protection</t>
  </si>
  <si>
    <t>6.7 Hardware Security Modules (HSM) Overview</t>
  </si>
  <si>
    <t>7. Shared Access Signatures (SAS) &amp; Storage Security</t>
  </si>
  <si>
    <t>7.1 Shared Access Signatures (SAS)</t>
  </si>
  <si>
    <t>7.1.1 Account SAS</t>
  </si>
  <si>
    <t>7.1.2 Service SAS</t>
  </si>
  <si>
    <t>7.1.3 User Delegation SAS (Most Secure)</t>
  </si>
  <si>
    <t>7.2 SAS Permissions &amp; Expiry</t>
  </si>
  <si>
    <t>7.3 Stored Access Policies</t>
  </si>
  <si>
    <t>7.4 Storage Account Keys &amp; Key Rotation</t>
  </si>
  <si>
    <t>7.5 Customer-Managed Keys (CMK) vs Microsoft-Managed Keys</t>
  </si>
  <si>
    <t>7.6 Encryption at Rest &amp; in Transit</t>
  </si>
  <si>
    <t>📁 MINI PROJECT 4: Secure App with Managed Identity + Key Vault (Half Day)</t>
  </si>
  <si>
    <t>Enable System-Assigned Managed Identity on App Service</t>
  </si>
  <si>
    <t>Store Connection Strings &amp; Secrets in Key Vault</t>
  </si>
  <si>
    <t>Use Key Vault References in App Settings</t>
  </si>
  <si>
    <t>Implement RBAC for User Access Control</t>
  </si>
  <si>
    <t>Generate User Delegation SAS Token</t>
  </si>
  <si>
    <t>🔴 TEST 3: Azure Security &amp; Identity (Half Day)</t>
  </si>
  <si>
    <t>🏭 INDUSTRY LECTURE 4 (1 Hour)</t>
  </si>
  <si>
    <t>Topic: Securing Cloud Applications — Real-World Best Practices</t>
  </si>
  <si>
    <t>UNIT 5: MONITOR, TROUBLESHOOT &amp; OPTIMIZE (Domain 4 — 15–20%)</t>
  </si>
  <si>
    <t>1. Azure Monitor Fundamentals</t>
  </si>
  <si>
    <t>1.1 Azure Monitor Overview</t>
  </si>
  <si>
    <t>1.2 Metrics vs Logs (Key Difference)</t>
  </si>
  <si>
    <t>1.3 Data Sources</t>
  </si>
  <si>
    <t>1.3.1 Application</t>
  </si>
  <si>
    <t>1.3.2 OS-Level</t>
  </si>
  <si>
    <t>1.3.3 Azure Resource</t>
  </si>
  <si>
    <t>1.3.4 Azure Subscription</t>
  </si>
  <si>
    <t>1.3.5 Azure Tenant</t>
  </si>
  <si>
    <t>1.4 Diagnostic Settings</t>
  </si>
  <si>
    <t>1.5 Action Groups &amp; Alerts</t>
  </si>
  <si>
    <t>2. Application Insights</t>
  </si>
  <si>
    <t>2.1 Application Insights Overview</t>
  </si>
  <si>
    <t>2.2 Instrumentation</t>
  </si>
  <si>
    <t>2.2.1 SDK-Based Instrumentation</t>
  </si>
  <si>
    <t>2.2.2 Auto-Instrumentation</t>
  </si>
  <si>
    <t>2.3 Telemetry Data Types</t>
  </si>
  <si>
    <t>2.3.1 Requests, Dependencies, Exceptions</t>
  </si>
  <si>
    <t>2.3.2 Traces, Page Views, Custom Events</t>
  </si>
  <si>
    <t>2.4 Application Map</t>
  </si>
  <si>
    <t>2.5 Live Metrics Stream</t>
  </si>
  <si>
    <t>2.6 Smart Detection</t>
  </si>
  <si>
    <t>2.7 Availability Tests (URL Ping, Multi-Step, Custom)</t>
  </si>
  <si>
    <t>3. Log Analytics &amp; KQL</t>
  </si>
  <si>
    <t>3.1 Log Analytics Workspace</t>
  </si>
  <si>
    <t>3.2 Kusto Query Language (KQL) Basics</t>
  </si>
  <si>
    <t>3.2.1 Search &amp; Filter Operators</t>
  </si>
  <si>
    <t>3.2.2 Project, Extend, Summarize</t>
  </si>
  <si>
    <t>3.2.3 Join Operations</t>
  </si>
  <si>
    <t>3.2.4 Time-Based Queries</t>
  </si>
  <si>
    <t>3.3 Writing KQL Queries for App Insights</t>
  </si>
  <si>
    <t>3.3.1 Performance Analysis</t>
  </si>
  <si>
    <t>3.3.2 Failure Analysis</t>
  </si>
  <si>
    <t>3.3.3 Usage Analysis</t>
  </si>
  <si>
    <t>3.4 Saving Queries &amp; Functions</t>
  </si>
  <si>
    <t>3.5 Workbooks &amp; Dashboards</t>
  </si>
  <si>
    <t>4. Troubleshooting &amp; Diagnostics</t>
  </si>
  <si>
    <t>4.1 App Service Diagnostics</t>
  </si>
  <si>
    <t>4.1.1 Diagnose &amp; Solve Problems Blade</t>
  </si>
  <si>
    <t>4.1.2 Application Logging (Filesystem &amp; Blob)</t>
  </si>
  <si>
    <t>4.1.3 Web Server Logging</t>
  </si>
  <si>
    <t>4.1.4 Detailed Error Messages</t>
  </si>
  <si>
    <t>4.2 Function App Diagnostics</t>
  </si>
  <si>
    <t>4.3 Snapshot Debugger &amp; Profiler</t>
  </si>
  <si>
    <t>4.4 Auto-Heal Rules</t>
  </si>
  <si>
    <t>4.5 Remote Debugging in Visual Studio</t>
  </si>
  <si>
    <t>UNIT 6: CONNECT TO &amp; CONSUME AZURE SERVICES (Domain 5 — 15–20%)</t>
  </si>
  <si>
    <t>1. Azure API Management — Part 1</t>
  </si>
  <si>
    <t>1.1 API Management Overview</t>
  </si>
  <si>
    <t>1.1.1 Gateway, Management Plane, Developer Portal</t>
  </si>
  <si>
    <t>1.2 Pricing Tiers (Consumption, Developer, Basic, Standard v2, Premium)</t>
  </si>
  <si>
    <t>1.3 Importing &amp; Publishing APIs</t>
  </si>
  <si>
    <t>1.4 API Operations &amp; Revisions</t>
  </si>
  <si>
    <t>1.5 API Versions</t>
  </si>
  <si>
    <t>1.6 Products &amp; Subscriptions</t>
  </si>
  <si>
    <t>1.7 Subscription Keys</t>
  </si>
  <si>
    <t>2. Azure API Management — Part 2 (Policies)</t>
  </si>
  <si>
    <t>2.1 Policies Overview</t>
  </si>
  <si>
    <t>2.1.1 Inbound, Backend, Outbound, On-Error</t>
  </si>
  <si>
    <t>2.2 Common Policies</t>
  </si>
  <si>
    <t>2.2.1 Rate Limiting (rate-limit, rate-limit-by-key)</t>
  </si>
  <si>
    <t>2.2.2 Quota Policies</t>
  </si>
  <si>
    <t>2.2.3 Authentication (validate-jwt)</t>
  </si>
  <si>
    <t>2.2.4 CORS Policy</t>
  </si>
  <si>
    <t>2.2.5 Transformation (XML to JSON)</t>
  </si>
  <si>
    <t>2.2.6 Caching Policies (Response Caching)</t>
  </si>
  <si>
    <t>2.3 Named Values</t>
  </si>
  <si>
    <t>2.4 Backend Configuration</t>
  </si>
  <si>
    <t>2.5 API Mocking</t>
  </si>
  <si>
    <t>3. Azure Event Grid</t>
  </si>
  <si>
    <t>3.1 Event Grid Overview</t>
  </si>
  <si>
    <t>3.1.1 Event-Driven Architecture</t>
  </si>
  <si>
    <t>3.1.2 Publishers &amp; Subscribers</t>
  </si>
  <si>
    <t>3.2 Event Sources</t>
  </si>
  <si>
    <t>3.2.1 Built-In Azure Sources</t>
  </si>
  <si>
    <t>3.2.2 Custom Topics</t>
  </si>
  <si>
    <t>3.2.3 Partner Topics</t>
  </si>
  <si>
    <t>3.3 Event Handlers</t>
  </si>
  <si>
    <t>3.3.1 Functions, Logic Apps, Webhooks, Storage Queues</t>
  </si>
  <si>
    <t>3.4 Event Schema (CloudEvents vs Event Grid Schema)</t>
  </si>
  <si>
    <t>3.5 Filtering Events (Subject, Type, Advanced)</t>
  </si>
  <si>
    <t>3.6 Dead-Lettering &amp; Retry Policies</t>
  </si>
  <si>
    <t>4. Azure Event Hubs</t>
  </si>
  <si>
    <t>4.1 Event Hubs Overview</t>
  </si>
  <si>
    <t>4.1.1 Big Data Streaming Platform</t>
  </si>
  <si>
    <t>4.1.2 Event Hubs vs Event Grid (Difference)</t>
  </si>
  <si>
    <t>4.2 Core Concepts</t>
  </si>
  <si>
    <t>4.2.1 Namespaces &amp; Event Hubs</t>
  </si>
  <si>
    <t>4.2.2 Partitions</t>
  </si>
  <si>
    <t>4.2.3 Consumer Groups</t>
  </si>
  <si>
    <t>4.2.4 Throughput Units / Processing Units</t>
  </si>
  <si>
    <t>4.3 Event Hubs Capture (Blob / Data Lake)</t>
  </si>
  <si>
    <t>4.4 Kafka Compatibility</t>
  </si>
  <si>
    <t>4.5 SDK Operations (Producer &amp; Consumer)</t>
  </si>
  <si>
    <t>5. Azure Service Bus</t>
  </si>
  <si>
    <t>5.1 Service Bus Overview</t>
  </si>
  <si>
    <t>5.1.1 Enterprise Messaging Platform</t>
  </si>
  <si>
    <t>5.2 Service Bus Tiers (Basic, Standard, Premium)</t>
  </si>
  <si>
    <t>5.3 Queues vs Topics &amp; Subscriptions</t>
  </si>
  <si>
    <t>5.4 Message Properties &amp; Sessions</t>
  </si>
  <si>
    <t>5.5 Dead-Letter Queue (DLQ)</t>
  </si>
  <si>
    <t>5.6 Duplicate Detection</t>
  </si>
  <si>
    <t>5.7 Auto-Forwarding &amp; Message TTL</t>
  </si>
  <si>
    <t>5.8 Filters &amp; Actions on Subscriptions</t>
  </si>
  <si>
    <t>5.9 Service Bus vs Storage Queues (When to Use What)</t>
  </si>
  <si>
    <t>6. Azure Storage Queues</t>
  </si>
  <si>
    <t>6.1 Storage Queue Overview</t>
  </si>
  <si>
    <t>6.2 Queue Operations</t>
  </si>
  <si>
    <t>6.2.1 Send, Receive, Peek, Delete</t>
  </si>
  <si>
    <t>6.2.2 Visibility Timeout</t>
  </si>
  <si>
    <t>6.2.3 Message TTL</t>
  </si>
  <si>
    <t>6.3 Storage Queue SDK Operations</t>
  </si>
  <si>
    <t>6.4 Storage Queues vs Service Bus Queues — Decision Guide</t>
  </si>
  <si>
    <t>6.5 Poison Message Handling</t>
  </si>
  <si>
    <t>📁 MINI PROJECT 5: Event-Driven Architecture (Half Day)</t>
  </si>
  <si>
    <t>Publish API via Azure API Management with Policies</t>
  </si>
  <si>
    <t>Build Event Grid → Function App Workflow</t>
  </si>
  <si>
    <t>Send Messages to Service Bus Queue</t>
  </si>
  <si>
    <t>Process Messages with Consumer Function</t>
  </si>
  <si>
    <t>End-to-End Event-Driven App</t>
  </si>
  <si>
    <t>🔴 TEST 4: Monitoring + API Management + Messaging (Half Day)</t>
  </si>
  <si>
    <t>🏭 INDUSTRY LECTURE 5 (1 Hour)</t>
  </si>
  <si>
    <t>Topic: Event-Driven Architectures &amp; Microservices on Azure</t>
  </si>
  <si>
    <t>UNIT 7: EXAM PREPARATION &amp; FULL-LENGTH PRACTICE</t>
  </si>
  <si>
    <t>1. Full-Length Mock Exam #1</t>
  </si>
  <si>
    <t>1.1 50-60 Questions, 100 Minutes (Real Exam Conditions)</t>
  </si>
  <si>
    <t>1.2 Domain-wise Score Breakdown</t>
  </si>
  <si>
    <t>1.3 Wrong Answer Analysis</t>
  </si>
  <si>
    <t>2. Service Comparison Revision — Part 1</t>
  </si>
  <si>
    <t>2.1 App Service vs Functions vs Container Apps vs AKS</t>
  </si>
  <si>
    <t>2.2 Blob vs File vs Queue vs Table Storage</t>
  </si>
  <si>
    <t>2.3 Cosmos DB APIs Comparison (NoSQL vs MongoDB vs Cassandra vs Gremlin)</t>
  </si>
  <si>
    <t>2.4 Consumption vs Premium vs Dedicated Hosting Plans</t>
  </si>
  <si>
    <t>3. Full-Length Mock Exam #2 + Service Comparison Revision — Part 2</t>
  </si>
  <si>
    <t>3.1 Second Mock Test under Exam Conditions</t>
  </si>
  <si>
    <t>3.2 Detailed Review of Wrong Answers</t>
  </si>
  <si>
    <t>3.3 Service Comparison</t>
  </si>
  <si>
    <t>3.3.1 Event Grid vs Event Hubs vs Service Bus</t>
  </si>
  <si>
    <t>3.3.2 Service Bus Queues vs Storage Queues</t>
  </si>
  <si>
    <t>3.3.3 System-Assigned vs User-Assigned Managed Identity</t>
  </si>
  <si>
    <t>3.3.4 Account SAS vs Service SAS vs User Delegation SAS</t>
  </si>
  <si>
    <t>3.3.5 Application Insights vs Log Analytics vs Azure Monitor</t>
  </si>
  <si>
    <t>3.3.6 RBAC vs Entra Roles vs Conditional Access</t>
  </si>
  <si>
    <t>4. Final Revision &amp; Exam Strategy</t>
  </si>
  <si>
    <t>4.1 Cheat Sheet Walkthrough (All 5 Domains)</t>
  </si>
  <si>
    <t>4.2 OAuth 2.0 Flows — Final Recap</t>
  </si>
  <si>
    <t>4.3 Common Confusion Pairs Final Review</t>
  </si>
  <si>
    <t>4.4 Performance-Based Questions Strategy</t>
  </si>
  <si>
    <t>4.5 Exam Day Strategy</t>
  </si>
  <si>
    <t>4.5.1 Time Management (~2 min per question)</t>
  </si>
  <si>
    <t>4.5.2 Case Study Reading Strategy</t>
  </si>
  <si>
    <t>4.5.3 Mark &amp; Review Technique</t>
  </si>
  <si>
    <t>4.5.4 Elimination Method for MCQs</t>
  </si>
  <si>
    <t>4.6 Exam Booking Process (Pearson VUE / Online Proctored)</t>
  </si>
  <si>
    <t>4.7 Post-Certification Career Path</t>
  </si>
  <si>
    <t>4.7.1 Job Roles: Azure Developer, Cloud Developer, .NET Cloud Engineer</t>
  </si>
  <si>
    <t>4.7.2 Next Certifications: AZ-400 (DevOps), AZ-305 (Architect)</t>
  </si>
  <si>
    <t>46-60</t>
  </si>
  <si>
    <t>🎯 FINAL CERTIFICATION EXAM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</si>
</sst>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/mmmm/yyyy"/>
    <numFmt numFmtId="166" formatCode="d"/>
  </numFmts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/>
    <font>
      <sz val="11.0"/>
      <color rgb="FF000000"/>
      <name val="Calibri"/>
    </font>
    <font>
      <b/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Times New Roman"/>
    </font>
    <font>
      <sz val="11.0"/>
      <color theme="1"/>
      <name val="Aptos Narrow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0"/>
    </xf>
    <xf borderId="3" fillId="2" fontId="2" numFmtId="164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readingOrder="0" vertical="bottom"/>
    </xf>
    <xf borderId="4" fillId="0" fontId="4" numFmtId="0" xfId="0" applyBorder="1" applyFont="1"/>
    <xf borderId="0" fillId="0" fontId="1" numFmtId="0" xfId="0" applyFont="1"/>
    <xf borderId="5" fillId="0" fontId="4" numFmtId="0" xfId="0" applyBorder="1" applyFont="1"/>
    <xf borderId="2" fillId="0" fontId="1" numFmtId="165" xfId="0" applyAlignment="1" applyBorder="1" applyFont="1" applyNumberFormat="1">
      <alignment readingOrder="0" vertical="bottom"/>
    </xf>
    <xf borderId="0" fillId="0" fontId="5" numFmtId="0" xfId="0" applyAlignment="1" applyFont="1">
      <alignment shrinkToFit="0" vertical="bottom" wrapText="0"/>
    </xf>
    <xf borderId="2" fillId="0" fontId="1" numFmtId="0" xfId="0" applyAlignment="1" applyBorder="1" applyFont="1">
      <alignment readingOrder="0" shrinkToFit="0" vertical="bottom" wrapText="1"/>
    </xf>
    <xf borderId="2" fillId="3" fontId="2" numFmtId="0" xfId="0" applyAlignment="1" applyBorder="1" applyFont="1">
      <alignment horizontal="center"/>
    </xf>
    <xf borderId="0" fillId="0" fontId="3" numFmtId="0" xfId="0" applyAlignment="1" applyFont="1">
      <alignment readingOrder="0" shrinkToFit="0" vertical="bottom" wrapText="0"/>
    </xf>
    <xf borderId="2" fillId="3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wrapText="1"/>
    </xf>
    <xf borderId="6" fillId="4" fontId="6" numFmtId="0" xfId="0" applyAlignment="1" applyBorder="1" applyFill="1" applyFont="1">
      <alignment horizontal="center" readingOrder="0"/>
    </xf>
    <xf borderId="6" fillId="0" fontId="6" numFmtId="0" xfId="0" applyAlignment="1" applyBorder="1" applyFont="1">
      <alignment horizontal="center" readingOrder="0" shrinkToFit="0" vertical="top" wrapText="0"/>
    </xf>
    <xf borderId="7" fillId="0" fontId="4" numFmtId="0" xfId="0" applyBorder="1" applyFont="1"/>
    <xf borderId="6" fillId="0" fontId="1" numFmtId="0" xfId="0" applyAlignment="1" applyBorder="1" applyFont="1">
      <alignment horizontal="left" readingOrder="0" shrinkToFit="0" vertical="top" wrapText="0"/>
    </xf>
    <xf borderId="2" fillId="3" fontId="2" numFmtId="166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vertical="bottom"/>
    </xf>
    <xf borderId="8" fillId="0" fontId="4" numFmtId="0" xfId="0" applyBorder="1" applyFont="1"/>
    <xf borderId="2" fillId="3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/>
    </xf>
    <xf borderId="2" fillId="0" fontId="7" numFmtId="0" xfId="0" applyAlignment="1" applyBorder="1" applyFont="1">
      <alignment horizontal="right" vertical="center"/>
    </xf>
    <xf borderId="2" fillId="0" fontId="7" numFmtId="11" xfId="0" applyAlignment="1" applyBorder="1" applyFont="1" applyNumberFormat="1">
      <alignment horizontal="right" vertical="bottom"/>
    </xf>
    <xf borderId="2" fillId="0" fontId="8" numFmtId="0" xfId="0" applyAlignment="1" applyBorder="1" applyFont="1">
      <alignment readingOrder="0"/>
    </xf>
    <xf borderId="2" fillId="0" fontId="8" numFmtId="0" xfId="0" applyBorder="1" applyFont="1"/>
    <xf borderId="2" fillId="3" fontId="9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/>
    </xf>
    <xf borderId="3" fillId="0" fontId="8" numFmtId="0" xfId="0" applyBorder="1" applyFont="1"/>
    <xf borderId="2" fillId="0" fontId="2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/>
    </xf>
    <xf borderId="2" fillId="0" fontId="7" numFmtId="11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center"/>
    </xf>
    <xf borderId="2" fillId="0" fontId="7" numFmtId="2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7" fillId="5" fontId="2" numFmtId="0" xfId="0" applyAlignment="1" applyBorder="1" applyFill="1" applyFont="1">
      <alignment horizontal="center" textRotation="255" vertical="center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right" vertical="center"/>
    </xf>
    <xf borderId="2" fillId="0" fontId="1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right" readingOrder="0" vertical="bottom"/>
    </xf>
    <xf borderId="2" fillId="0" fontId="8" numFmtId="0" xfId="0" applyAlignment="1" applyBorder="1" applyFont="1">
      <alignment horizontal="right" readingOrder="0"/>
    </xf>
    <xf borderId="2" fillId="6" fontId="1" numFmtId="0" xfId="0" applyAlignment="1" applyBorder="1" applyFill="1" applyFont="1">
      <alignment horizontal="center"/>
    </xf>
    <xf borderId="2" fillId="6" fontId="1" numFmtId="0" xfId="0" applyAlignment="1" applyBorder="1" applyFont="1">
      <alignment horizontal="center" readingOrder="0"/>
    </xf>
    <xf borderId="2" fillId="6" fontId="8" numFmtId="0" xfId="0" applyAlignment="1" applyBorder="1" applyFont="1">
      <alignment readingOrder="0"/>
    </xf>
    <xf borderId="2" fillId="6" fontId="1" numFmtId="0" xfId="0" applyAlignment="1" applyBorder="1" applyFont="1">
      <alignment vertical="bottom"/>
    </xf>
    <xf borderId="2" fillId="6" fontId="1" numFmtId="0" xfId="0" applyAlignment="1" applyBorder="1" applyFont="1">
      <alignment readingOrder="0" vertical="bottom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5" numFmtId="0" xfId="0" applyAlignment="1" applyBorder="1" applyFont="1">
      <alignment horizontal="right" readingOrder="0" shrinkToFit="0" vertical="center" wrapText="0"/>
    </xf>
    <xf borderId="2" fillId="0" fontId="5" numFmtId="0" xfId="0" applyAlignment="1" applyBorder="1" applyFont="1">
      <alignment horizontal="right" readingOrder="0" shrinkToFit="0" vertical="bottom" wrapText="0"/>
    </xf>
    <xf borderId="2" fillId="6" fontId="1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horizontal="right" vertical="bottom"/>
    </xf>
    <xf borderId="0" fillId="0" fontId="8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7" numFmtId="2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horizontal="center" vertical="bottom"/>
    </xf>
    <xf borderId="0" fillId="0" fontId="8" numFmtId="0" xfId="0" applyFont="1"/>
    <xf borderId="0" fillId="0" fontId="8" numFmtId="2" xfId="0" applyFont="1" applyNumberFormat="1"/>
    <xf borderId="6" fillId="0" fontId="11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50.63"/>
    <col customWidth="1" min="7" max="7" width="16.63"/>
    <col customWidth="1" min="8" max="40" width="4.63"/>
    <col customWidth="1" min="41" max="70" width="5.63"/>
  </cols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8"/>
      <c r="I1" s="10"/>
      <c r="J1" s="12"/>
      <c r="K1" s="8">
        <v>46174.0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8">
        <v>46204.0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>
      <c r="A2" s="22"/>
      <c r="B2" s="22"/>
      <c r="C2" s="22"/>
      <c r="D2" s="22"/>
      <c r="E2" s="22"/>
      <c r="F2" s="22"/>
      <c r="G2" s="22"/>
      <c r="H2" s="24">
        <v>46171.0</v>
      </c>
      <c r="I2" s="24">
        <v>46172.0</v>
      </c>
      <c r="J2" s="24">
        <v>46173.0</v>
      </c>
      <c r="K2" s="24">
        <v>46174.0</v>
      </c>
      <c r="L2" s="24">
        <v>46175.0</v>
      </c>
      <c r="M2" s="24">
        <v>46176.0</v>
      </c>
      <c r="N2" s="24">
        <v>46177.0</v>
      </c>
      <c r="O2" s="24">
        <v>46178.0</v>
      </c>
      <c r="P2" s="24">
        <v>46179.0</v>
      </c>
      <c r="Q2" s="24">
        <v>46180.0</v>
      </c>
      <c r="R2" s="24">
        <v>46181.0</v>
      </c>
      <c r="S2" s="24">
        <v>46182.0</v>
      </c>
      <c r="T2" s="24">
        <v>46183.0</v>
      </c>
      <c r="U2" s="24">
        <v>46184.0</v>
      </c>
      <c r="V2" s="24">
        <v>46185.0</v>
      </c>
      <c r="W2" s="24">
        <v>46186.0</v>
      </c>
      <c r="X2" s="24">
        <v>46187.0</v>
      </c>
      <c r="Y2" s="24">
        <v>46188.0</v>
      </c>
      <c r="Z2" s="24">
        <v>46189.0</v>
      </c>
      <c r="AA2" s="24">
        <v>46190.0</v>
      </c>
      <c r="AB2" s="24">
        <v>46191.0</v>
      </c>
      <c r="AC2" s="24">
        <v>46192.0</v>
      </c>
      <c r="AD2" s="24">
        <v>46193.0</v>
      </c>
      <c r="AE2" s="24">
        <v>46194.0</v>
      </c>
      <c r="AF2" s="24">
        <v>46195.0</v>
      </c>
      <c r="AG2" s="24">
        <v>46196.0</v>
      </c>
      <c r="AH2" s="24">
        <v>46197.0</v>
      </c>
      <c r="AI2" s="24">
        <v>46198.0</v>
      </c>
      <c r="AJ2" s="24">
        <v>46199.0</v>
      </c>
      <c r="AK2" s="24">
        <v>46200.0</v>
      </c>
      <c r="AL2" s="24">
        <v>46201.0</v>
      </c>
      <c r="AM2" s="24">
        <v>46202.0</v>
      </c>
      <c r="AN2" s="24">
        <v>46203.0</v>
      </c>
      <c r="AO2" s="24">
        <v>46204.0</v>
      </c>
      <c r="AP2" s="24">
        <v>46205.0</v>
      </c>
      <c r="AQ2" s="24">
        <v>46206.0</v>
      </c>
      <c r="AR2" s="24">
        <v>46207.0</v>
      </c>
      <c r="AS2" s="24">
        <v>46208.0</v>
      </c>
      <c r="AT2" s="24">
        <v>46209.0</v>
      </c>
      <c r="AU2" s="24">
        <v>46210.0</v>
      </c>
      <c r="AV2" s="24">
        <v>46211.0</v>
      </c>
      <c r="AW2" s="24">
        <v>46212.0</v>
      </c>
      <c r="AX2" s="24">
        <v>46213.0</v>
      </c>
      <c r="AY2" s="24">
        <v>46214.0</v>
      </c>
      <c r="AZ2" s="24">
        <v>46215.0</v>
      </c>
      <c r="BA2" s="24">
        <v>46216.0</v>
      </c>
      <c r="BB2" s="24">
        <v>46217.0</v>
      </c>
      <c r="BC2" s="24">
        <v>46218.0</v>
      </c>
      <c r="BD2" s="24">
        <v>46219.0</v>
      </c>
      <c r="BE2" s="24">
        <v>46220.0</v>
      </c>
      <c r="BF2" s="24">
        <v>46221.0</v>
      </c>
      <c r="BG2" s="24">
        <v>46222.0</v>
      </c>
      <c r="BH2" s="24">
        <v>46223.0</v>
      </c>
      <c r="BI2" s="24">
        <v>46224.0</v>
      </c>
      <c r="BJ2" s="24">
        <v>46225.0</v>
      </c>
      <c r="BK2" s="24">
        <v>46226.0</v>
      </c>
      <c r="BL2" s="24">
        <v>46227.0</v>
      </c>
      <c r="BM2" s="24">
        <v>46228.0</v>
      </c>
      <c r="BN2" s="24">
        <v>46229.0</v>
      </c>
      <c r="BO2" s="24">
        <v>46230.0</v>
      </c>
      <c r="BP2" s="24">
        <v>46231.0</v>
      </c>
      <c r="BQ2" s="24">
        <v>46232.0</v>
      </c>
      <c r="BR2" s="24">
        <v>46233.0</v>
      </c>
    </row>
    <row r="3">
      <c r="A3" s="28"/>
      <c r="B3" s="28"/>
      <c r="C3" s="28"/>
      <c r="D3" s="28"/>
      <c r="E3" s="28"/>
      <c r="F3" s="28"/>
      <c r="G3" s="28"/>
      <c r="H3" s="29" t="str">
        <f t="shared" ref="H3:BR3" si="1">TEXT(H2,"ddd")</f>
        <v>Fri</v>
      </c>
      <c r="I3" s="29" t="str">
        <f t="shared" si="1"/>
        <v>Sat</v>
      </c>
      <c r="J3" s="29" t="str">
        <f t="shared" si="1"/>
        <v>Sun</v>
      </c>
      <c r="K3" s="29" t="str">
        <f t="shared" si="1"/>
        <v>Mon</v>
      </c>
      <c r="L3" s="29" t="str">
        <f t="shared" si="1"/>
        <v>Tue</v>
      </c>
      <c r="M3" s="29" t="str">
        <f t="shared" si="1"/>
        <v>Wed</v>
      </c>
      <c r="N3" s="29" t="str">
        <f t="shared" si="1"/>
        <v>Thu</v>
      </c>
      <c r="O3" s="29" t="str">
        <f t="shared" si="1"/>
        <v>Fri</v>
      </c>
      <c r="P3" s="29" t="str">
        <f t="shared" si="1"/>
        <v>Sat</v>
      </c>
      <c r="Q3" s="29" t="str">
        <f t="shared" si="1"/>
        <v>Sun</v>
      </c>
      <c r="R3" s="29" t="str">
        <f t="shared" si="1"/>
        <v>Mon</v>
      </c>
      <c r="S3" s="29" t="str">
        <f t="shared" si="1"/>
        <v>Tue</v>
      </c>
      <c r="T3" s="29" t="str">
        <f t="shared" si="1"/>
        <v>Wed</v>
      </c>
      <c r="U3" s="29" t="str">
        <f t="shared" si="1"/>
        <v>Thu</v>
      </c>
      <c r="V3" s="29" t="str">
        <f t="shared" si="1"/>
        <v>Fri</v>
      </c>
      <c r="W3" s="29" t="str">
        <f t="shared" si="1"/>
        <v>Sat</v>
      </c>
      <c r="X3" s="29" t="str">
        <f t="shared" si="1"/>
        <v>Sun</v>
      </c>
      <c r="Y3" s="29" t="str">
        <f t="shared" si="1"/>
        <v>Mon</v>
      </c>
      <c r="Z3" s="29" t="str">
        <f t="shared" si="1"/>
        <v>Tue</v>
      </c>
      <c r="AA3" s="29" t="str">
        <f t="shared" si="1"/>
        <v>Wed</v>
      </c>
      <c r="AB3" s="29" t="str">
        <f t="shared" si="1"/>
        <v>Thu</v>
      </c>
      <c r="AC3" s="29" t="str">
        <f t="shared" si="1"/>
        <v>Fri</v>
      </c>
      <c r="AD3" s="29" t="str">
        <f t="shared" si="1"/>
        <v>Sat</v>
      </c>
      <c r="AE3" s="29" t="str">
        <f t="shared" si="1"/>
        <v>Sun</v>
      </c>
      <c r="AF3" s="29" t="str">
        <f t="shared" si="1"/>
        <v>Mon</v>
      </c>
      <c r="AG3" s="29" t="str">
        <f t="shared" si="1"/>
        <v>Tue</v>
      </c>
      <c r="AH3" s="29" t="str">
        <f t="shared" si="1"/>
        <v>Wed</v>
      </c>
      <c r="AI3" s="29" t="str">
        <f t="shared" si="1"/>
        <v>Thu</v>
      </c>
      <c r="AJ3" s="29" t="str">
        <f t="shared" si="1"/>
        <v>Fri</v>
      </c>
      <c r="AK3" s="29" t="str">
        <f t="shared" si="1"/>
        <v>Sat</v>
      </c>
      <c r="AL3" s="29" t="str">
        <f t="shared" si="1"/>
        <v>Sun</v>
      </c>
      <c r="AM3" s="29" t="str">
        <f t="shared" si="1"/>
        <v>Mon</v>
      </c>
      <c r="AN3" s="29" t="str">
        <f t="shared" si="1"/>
        <v>Tue</v>
      </c>
      <c r="AO3" s="29" t="str">
        <f t="shared" si="1"/>
        <v>Wed</v>
      </c>
      <c r="AP3" s="29" t="str">
        <f t="shared" si="1"/>
        <v>Thu</v>
      </c>
      <c r="AQ3" s="29" t="str">
        <f t="shared" si="1"/>
        <v>Fri</v>
      </c>
      <c r="AR3" s="29" t="str">
        <f t="shared" si="1"/>
        <v>Sat</v>
      </c>
      <c r="AS3" s="29" t="str">
        <f t="shared" si="1"/>
        <v>Sun</v>
      </c>
      <c r="AT3" s="29" t="str">
        <f t="shared" si="1"/>
        <v>Mon</v>
      </c>
      <c r="AU3" s="29" t="str">
        <f t="shared" si="1"/>
        <v>Tue</v>
      </c>
      <c r="AV3" s="29" t="str">
        <f t="shared" si="1"/>
        <v>Wed</v>
      </c>
      <c r="AW3" s="29" t="str">
        <f t="shared" si="1"/>
        <v>Thu</v>
      </c>
      <c r="AX3" s="29" t="str">
        <f t="shared" si="1"/>
        <v>Fri</v>
      </c>
      <c r="AY3" s="29" t="str">
        <f t="shared" si="1"/>
        <v>Sat</v>
      </c>
      <c r="AZ3" s="29" t="str">
        <f t="shared" si="1"/>
        <v>Sun</v>
      </c>
      <c r="BA3" s="29" t="str">
        <f t="shared" si="1"/>
        <v>Mon</v>
      </c>
      <c r="BB3" s="29" t="str">
        <f t="shared" si="1"/>
        <v>Tue</v>
      </c>
      <c r="BC3" s="29" t="str">
        <f t="shared" si="1"/>
        <v>Wed</v>
      </c>
      <c r="BD3" s="29" t="str">
        <f t="shared" si="1"/>
        <v>Thu</v>
      </c>
      <c r="BE3" s="29" t="str">
        <f t="shared" si="1"/>
        <v>Fri</v>
      </c>
      <c r="BF3" s="29" t="str">
        <f t="shared" si="1"/>
        <v>Sat</v>
      </c>
      <c r="BG3" s="29" t="str">
        <f t="shared" si="1"/>
        <v>Sun</v>
      </c>
      <c r="BH3" s="29" t="str">
        <f t="shared" si="1"/>
        <v>Mon</v>
      </c>
      <c r="BI3" s="29" t="str">
        <f t="shared" si="1"/>
        <v>Tue</v>
      </c>
      <c r="BJ3" s="29" t="str">
        <f t="shared" si="1"/>
        <v>Wed</v>
      </c>
      <c r="BK3" s="29" t="str">
        <f t="shared" si="1"/>
        <v>Thu</v>
      </c>
      <c r="BL3" s="29" t="str">
        <f t="shared" si="1"/>
        <v>Fri</v>
      </c>
      <c r="BM3" s="29" t="str">
        <f t="shared" si="1"/>
        <v>Sat</v>
      </c>
      <c r="BN3" s="29" t="str">
        <f t="shared" si="1"/>
        <v>Sun</v>
      </c>
      <c r="BO3" s="29" t="str">
        <f t="shared" si="1"/>
        <v>Mon</v>
      </c>
      <c r="BP3" s="29" t="str">
        <f t="shared" si="1"/>
        <v>Tue</v>
      </c>
      <c r="BQ3" s="29" t="str">
        <f t="shared" si="1"/>
        <v>Wed</v>
      </c>
      <c r="BR3" s="29" t="str">
        <f t="shared" si="1"/>
        <v>Thu</v>
      </c>
    </row>
    <row r="4">
      <c r="A4" s="38">
        <v>1.0</v>
      </c>
      <c r="B4" s="41" t="s">
        <v>60</v>
      </c>
      <c r="C4" s="41" t="s">
        <v>63</v>
      </c>
      <c r="D4" s="42">
        <f t="shared" ref="D4:D20" si="2">COUNTIF(H4:BR4,"p") + COUNTIF(H4:BR4,"op")</f>
        <v>6</v>
      </c>
      <c r="E4" s="42">
        <f t="shared" ref="E4:E20" si="3">COUNTIF(H4:BR4,"A") + COUNTIF(H4:BR4,"oA")</f>
        <v>21</v>
      </c>
      <c r="F4" s="42">
        <f t="shared" ref="F4:F20" si="4">E4+D4</f>
        <v>27</v>
      </c>
      <c r="G4" s="46">
        <f t="shared" ref="G4:G20" si="5">(D4/F4)*100</f>
        <v>22.22222222</v>
      </c>
      <c r="H4" s="47" t="s">
        <v>78</v>
      </c>
      <c r="I4" s="47" t="s">
        <v>78</v>
      </c>
      <c r="J4" s="48" t="s">
        <v>80</v>
      </c>
      <c r="K4" s="47" t="s">
        <v>86</v>
      </c>
      <c r="L4" s="47" t="s">
        <v>78</v>
      </c>
      <c r="M4" s="47" t="s">
        <v>86</v>
      </c>
      <c r="N4" s="47" t="s">
        <v>86</v>
      </c>
      <c r="O4" s="47" t="s">
        <v>78</v>
      </c>
      <c r="P4" s="47" t="s">
        <v>86</v>
      </c>
      <c r="Q4" s="48" t="s">
        <v>80</v>
      </c>
      <c r="R4" s="47" t="s">
        <v>86</v>
      </c>
      <c r="S4" s="47" t="s">
        <v>86</v>
      </c>
      <c r="T4" s="47" t="s">
        <v>95</v>
      </c>
      <c r="U4" s="47" t="s">
        <v>78</v>
      </c>
      <c r="V4" s="47" t="s">
        <v>86</v>
      </c>
      <c r="W4" s="47" t="s">
        <v>86</v>
      </c>
      <c r="X4" s="48" t="s">
        <v>80</v>
      </c>
      <c r="Z4" s="47" t="s">
        <v>86</v>
      </c>
      <c r="AA4" s="47" t="s">
        <v>86</v>
      </c>
      <c r="AB4" s="47" t="s">
        <v>86</v>
      </c>
      <c r="AC4" s="47" t="s">
        <v>86</v>
      </c>
      <c r="AD4" s="47" t="s">
        <v>86</v>
      </c>
      <c r="AE4" s="48" t="s">
        <v>80</v>
      </c>
      <c r="AF4" s="47" t="s">
        <v>86</v>
      </c>
      <c r="AG4" s="47" t="s">
        <v>86</v>
      </c>
      <c r="AH4" s="51"/>
      <c r="AI4" s="51"/>
      <c r="AJ4" s="47" t="s">
        <v>86</v>
      </c>
      <c r="AL4" s="48" t="s">
        <v>80</v>
      </c>
      <c r="AM4" s="47" t="s">
        <v>86</v>
      </c>
      <c r="AN4" s="47" t="s">
        <v>86</v>
      </c>
      <c r="AO4" s="47" t="s">
        <v>86</v>
      </c>
      <c r="AP4" s="51"/>
      <c r="AQ4" s="47" t="s">
        <v>86</v>
      </c>
      <c r="AR4" s="47" t="s">
        <v>86</v>
      </c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</row>
    <row r="5">
      <c r="A5" s="38">
        <v>2.0</v>
      </c>
      <c r="B5" s="41" t="s">
        <v>55</v>
      </c>
      <c r="C5" s="43" t="s">
        <v>56</v>
      </c>
      <c r="D5" s="42">
        <f t="shared" si="2"/>
        <v>22</v>
      </c>
      <c r="E5" s="42">
        <f t="shared" si="3"/>
        <v>5</v>
      </c>
      <c r="F5" s="42">
        <f t="shared" si="4"/>
        <v>27</v>
      </c>
      <c r="G5" s="46">
        <f t="shared" si="5"/>
        <v>81.48148148</v>
      </c>
      <c r="H5" s="47" t="s">
        <v>78</v>
      </c>
      <c r="I5" s="47" t="s">
        <v>78</v>
      </c>
      <c r="J5" s="22"/>
      <c r="K5" s="47" t="s">
        <v>78</v>
      </c>
      <c r="L5" s="47" t="s">
        <v>78</v>
      </c>
      <c r="M5" s="47" t="s">
        <v>130</v>
      </c>
      <c r="N5" s="47" t="s">
        <v>130</v>
      </c>
      <c r="O5" s="47" t="s">
        <v>78</v>
      </c>
      <c r="P5" s="47" t="s">
        <v>78</v>
      </c>
      <c r="Q5" s="22"/>
      <c r="R5" s="47" t="s">
        <v>130</v>
      </c>
      <c r="S5" s="47" t="s">
        <v>130</v>
      </c>
      <c r="T5" s="47" t="s">
        <v>130</v>
      </c>
      <c r="U5" s="47" t="s">
        <v>86</v>
      </c>
      <c r="V5" s="47" t="s">
        <v>78</v>
      </c>
      <c r="W5" s="47" t="s">
        <v>78</v>
      </c>
      <c r="X5" s="22"/>
      <c r="Z5" s="47" t="s">
        <v>78</v>
      </c>
      <c r="AA5" s="47" t="s">
        <v>78</v>
      </c>
      <c r="AB5" s="47" t="s">
        <v>78</v>
      </c>
      <c r="AC5" s="47" t="s">
        <v>86</v>
      </c>
      <c r="AD5" s="47" t="s">
        <v>86</v>
      </c>
      <c r="AE5" s="22"/>
      <c r="AF5" s="47" t="s">
        <v>86</v>
      </c>
      <c r="AG5" s="47" t="s">
        <v>86</v>
      </c>
      <c r="AH5" s="51"/>
      <c r="AI5" s="51"/>
      <c r="AJ5" s="47" t="s">
        <v>78</v>
      </c>
      <c r="AL5" s="22"/>
      <c r="AM5" s="47" t="s">
        <v>78</v>
      </c>
      <c r="AN5" s="47" t="s">
        <v>78</v>
      </c>
      <c r="AO5" s="47" t="s">
        <v>78</v>
      </c>
      <c r="AP5" s="51"/>
      <c r="AQ5" s="47" t="s">
        <v>78</v>
      </c>
      <c r="AR5" s="47" t="s">
        <v>78</v>
      </c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</row>
    <row r="6">
      <c r="A6" s="38">
        <v>3.0</v>
      </c>
      <c r="B6" s="41" t="s">
        <v>67</v>
      </c>
      <c r="C6" s="41" t="s">
        <v>68</v>
      </c>
      <c r="D6" s="42">
        <f t="shared" si="2"/>
        <v>25</v>
      </c>
      <c r="E6" s="42">
        <f t="shared" si="3"/>
        <v>2</v>
      </c>
      <c r="F6" s="42">
        <f t="shared" si="4"/>
        <v>27</v>
      </c>
      <c r="G6" s="46">
        <f t="shared" si="5"/>
        <v>92.59259259</v>
      </c>
      <c r="H6" s="47" t="s">
        <v>78</v>
      </c>
      <c r="I6" s="47" t="s">
        <v>78</v>
      </c>
      <c r="J6" s="22"/>
      <c r="K6" s="47" t="s">
        <v>86</v>
      </c>
      <c r="L6" s="47" t="s">
        <v>78</v>
      </c>
      <c r="M6" s="47" t="s">
        <v>130</v>
      </c>
      <c r="N6" s="47" t="s">
        <v>130</v>
      </c>
      <c r="O6" s="47" t="s">
        <v>78</v>
      </c>
      <c r="P6" s="47" t="s">
        <v>86</v>
      </c>
      <c r="Q6" s="22"/>
      <c r="R6" s="47" t="s">
        <v>130</v>
      </c>
      <c r="S6" s="47" t="s">
        <v>130</v>
      </c>
      <c r="T6" s="47" t="s">
        <v>130</v>
      </c>
      <c r="U6" s="47" t="s">
        <v>130</v>
      </c>
      <c r="V6" s="47" t="s">
        <v>78</v>
      </c>
      <c r="W6" s="47" t="s">
        <v>78</v>
      </c>
      <c r="X6" s="22"/>
      <c r="Z6" s="47" t="s">
        <v>78</v>
      </c>
      <c r="AA6" s="47" t="s">
        <v>78</v>
      </c>
      <c r="AB6" s="47" t="s">
        <v>78</v>
      </c>
      <c r="AC6" s="47" t="s">
        <v>78</v>
      </c>
      <c r="AD6" s="47" t="s">
        <v>78</v>
      </c>
      <c r="AE6" s="22"/>
      <c r="AF6" s="47" t="s">
        <v>78</v>
      </c>
      <c r="AG6" s="47" t="s">
        <v>78</v>
      </c>
      <c r="AH6" s="47"/>
      <c r="AI6" s="51"/>
      <c r="AJ6" s="47" t="s">
        <v>78</v>
      </c>
      <c r="AL6" s="22"/>
      <c r="AM6" s="47" t="s">
        <v>78</v>
      </c>
      <c r="AN6" s="47" t="s">
        <v>78</v>
      </c>
      <c r="AO6" s="47" t="s">
        <v>78</v>
      </c>
      <c r="AP6" s="51"/>
      <c r="AQ6" s="47" t="s">
        <v>78</v>
      </c>
      <c r="AR6" s="47" t="s">
        <v>78</v>
      </c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</row>
    <row r="7">
      <c r="A7" s="38">
        <v>4.0</v>
      </c>
      <c r="B7" s="45" t="s">
        <v>72</v>
      </c>
      <c r="C7" s="45" t="s">
        <v>74</v>
      </c>
      <c r="D7" s="42">
        <f t="shared" si="2"/>
        <v>14</v>
      </c>
      <c r="E7" s="42">
        <f t="shared" si="3"/>
        <v>11</v>
      </c>
      <c r="F7" s="41">
        <f t="shared" si="4"/>
        <v>25</v>
      </c>
      <c r="G7" s="46">
        <f t="shared" si="5"/>
        <v>56</v>
      </c>
      <c r="H7" s="54" t="s">
        <v>86</v>
      </c>
      <c r="I7" s="55" t="s">
        <v>95</v>
      </c>
      <c r="J7" s="22"/>
      <c r="K7" s="54" t="s">
        <v>86</v>
      </c>
      <c r="L7" s="54" t="s">
        <v>86</v>
      </c>
      <c r="M7" s="54" t="s">
        <v>86</v>
      </c>
      <c r="N7" s="56" t="s">
        <v>86</v>
      </c>
      <c r="O7" s="54" t="s">
        <v>86</v>
      </c>
      <c r="P7" s="54" t="s">
        <v>86</v>
      </c>
      <c r="Q7" s="22"/>
      <c r="R7" s="57" t="s">
        <v>86</v>
      </c>
      <c r="S7" s="57" t="s">
        <v>86</v>
      </c>
      <c r="T7" s="58" t="s">
        <v>78</v>
      </c>
      <c r="U7" s="56" t="s">
        <v>86</v>
      </c>
      <c r="V7" s="59"/>
      <c r="W7" s="60" t="s">
        <v>78</v>
      </c>
      <c r="X7" s="22"/>
      <c r="Y7" s="61"/>
      <c r="Z7" s="59"/>
      <c r="AA7" s="60" t="s">
        <v>78</v>
      </c>
      <c r="AB7" s="35" t="s">
        <v>78</v>
      </c>
      <c r="AC7" s="60" t="s">
        <v>78</v>
      </c>
      <c r="AD7" s="60" t="s">
        <v>78</v>
      </c>
      <c r="AE7" s="22"/>
      <c r="AF7" s="60" t="s">
        <v>78</v>
      </c>
      <c r="AG7" s="60" t="s">
        <v>78</v>
      </c>
      <c r="AH7" s="59"/>
      <c r="AI7" s="36"/>
      <c r="AJ7" s="9" t="s">
        <v>78</v>
      </c>
      <c r="AL7" s="22"/>
      <c r="AM7" s="9" t="s">
        <v>78</v>
      </c>
      <c r="AN7" s="9" t="s">
        <v>78</v>
      </c>
      <c r="AO7" s="9" t="s">
        <v>78</v>
      </c>
      <c r="AP7" s="36"/>
      <c r="AQ7" s="9" t="s">
        <v>78</v>
      </c>
      <c r="AR7" s="9" t="s">
        <v>86</v>
      </c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</row>
    <row r="8">
      <c r="A8" s="38">
        <v>5.0</v>
      </c>
      <c r="B8" s="41" t="s">
        <v>76</v>
      </c>
      <c r="C8" s="41" t="s">
        <v>77</v>
      </c>
      <c r="D8" s="42">
        <f t="shared" si="2"/>
        <v>27</v>
      </c>
      <c r="E8" s="42">
        <f t="shared" si="3"/>
        <v>0</v>
      </c>
      <c r="F8" s="42">
        <f t="shared" si="4"/>
        <v>27</v>
      </c>
      <c r="G8" s="46">
        <f t="shared" si="5"/>
        <v>100</v>
      </c>
      <c r="H8" s="47" t="s">
        <v>78</v>
      </c>
      <c r="I8" s="47" t="s">
        <v>78</v>
      </c>
      <c r="J8" s="22"/>
      <c r="K8" s="47" t="s">
        <v>78</v>
      </c>
      <c r="L8" s="47" t="s">
        <v>78</v>
      </c>
      <c r="M8" s="47" t="s">
        <v>78</v>
      </c>
      <c r="N8" s="47" t="s">
        <v>78</v>
      </c>
      <c r="O8" s="47" t="s">
        <v>78</v>
      </c>
      <c r="P8" s="47" t="s">
        <v>78</v>
      </c>
      <c r="Q8" s="22"/>
      <c r="R8" s="47" t="s">
        <v>78</v>
      </c>
      <c r="S8" s="47" t="s">
        <v>78</v>
      </c>
      <c r="T8" s="47" t="s">
        <v>95</v>
      </c>
      <c r="U8" s="47" t="s">
        <v>78</v>
      </c>
      <c r="V8" s="47" t="s">
        <v>78</v>
      </c>
      <c r="W8" s="47" t="s">
        <v>78</v>
      </c>
      <c r="X8" s="22"/>
      <c r="Z8" s="47" t="s">
        <v>78</v>
      </c>
      <c r="AA8" s="47" t="s">
        <v>78</v>
      </c>
      <c r="AB8" s="47" t="s">
        <v>78</v>
      </c>
      <c r="AC8" s="47" t="s">
        <v>78</v>
      </c>
      <c r="AD8" s="47" t="s">
        <v>78</v>
      </c>
      <c r="AE8" s="22"/>
      <c r="AF8" s="47" t="s">
        <v>78</v>
      </c>
      <c r="AG8" s="47" t="s">
        <v>78</v>
      </c>
      <c r="AH8" s="51"/>
      <c r="AI8" s="51"/>
      <c r="AJ8" s="47" t="s">
        <v>78</v>
      </c>
      <c r="AL8" s="22"/>
      <c r="AM8" s="47" t="s">
        <v>78</v>
      </c>
      <c r="AN8" s="47" t="s">
        <v>78</v>
      </c>
      <c r="AO8" s="47" t="s">
        <v>78</v>
      </c>
      <c r="AP8" s="51"/>
      <c r="AQ8" s="47" t="s">
        <v>78</v>
      </c>
      <c r="AR8" s="47" t="s">
        <v>78</v>
      </c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</row>
    <row r="9">
      <c r="A9" s="38">
        <v>6.0</v>
      </c>
      <c r="B9" s="41" t="s">
        <v>83</v>
      </c>
      <c r="C9" s="41" t="s">
        <v>84</v>
      </c>
      <c r="D9" s="42">
        <f t="shared" si="2"/>
        <v>14</v>
      </c>
      <c r="E9" s="42">
        <f t="shared" si="3"/>
        <v>13</v>
      </c>
      <c r="F9" s="42">
        <f t="shared" si="4"/>
        <v>27</v>
      </c>
      <c r="G9" s="46">
        <f t="shared" si="5"/>
        <v>51.85185185</v>
      </c>
      <c r="H9" s="47" t="s">
        <v>86</v>
      </c>
      <c r="I9" s="47" t="s">
        <v>78</v>
      </c>
      <c r="J9" s="22"/>
      <c r="K9" s="47" t="s">
        <v>78</v>
      </c>
      <c r="L9" s="47" t="s">
        <v>86</v>
      </c>
      <c r="M9" s="47" t="s">
        <v>86</v>
      </c>
      <c r="N9" s="47" t="s">
        <v>78</v>
      </c>
      <c r="O9" s="47" t="s">
        <v>78</v>
      </c>
      <c r="P9" s="47" t="s">
        <v>86</v>
      </c>
      <c r="Q9" s="22"/>
      <c r="R9" s="47" t="s">
        <v>86</v>
      </c>
      <c r="S9" s="47" t="s">
        <v>78</v>
      </c>
      <c r="T9" s="47" t="s">
        <v>95</v>
      </c>
      <c r="U9" s="47" t="s">
        <v>78</v>
      </c>
      <c r="V9" s="47" t="s">
        <v>78</v>
      </c>
      <c r="W9" s="47" t="s">
        <v>78</v>
      </c>
      <c r="X9" s="22"/>
      <c r="Z9" s="47" t="s">
        <v>78</v>
      </c>
      <c r="AA9" s="47" t="s">
        <v>78</v>
      </c>
      <c r="AB9" s="47" t="s">
        <v>78</v>
      </c>
      <c r="AC9" s="47" t="s">
        <v>86</v>
      </c>
      <c r="AD9" s="47" t="s">
        <v>78</v>
      </c>
      <c r="AE9" s="22"/>
      <c r="AF9" s="47" t="s">
        <v>86</v>
      </c>
      <c r="AG9" s="47" t="s">
        <v>78</v>
      </c>
      <c r="AH9" s="51"/>
      <c r="AI9" s="51"/>
      <c r="AJ9" s="47" t="s">
        <v>86</v>
      </c>
      <c r="AL9" s="22"/>
      <c r="AM9" s="47" t="s">
        <v>86</v>
      </c>
      <c r="AN9" s="47" t="s">
        <v>86</v>
      </c>
      <c r="AO9" s="47" t="s">
        <v>86</v>
      </c>
      <c r="AP9" s="51"/>
      <c r="AQ9" s="47" t="s">
        <v>86</v>
      </c>
      <c r="AR9" s="47" t="s">
        <v>86</v>
      </c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</row>
    <row r="10">
      <c r="A10" s="38">
        <v>7.0</v>
      </c>
      <c r="B10" s="41" t="s">
        <v>89</v>
      </c>
      <c r="C10" s="41" t="s">
        <v>91</v>
      </c>
      <c r="D10" s="42">
        <f t="shared" si="2"/>
        <v>4</v>
      </c>
      <c r="E10" s="42">
        <f t="shared" si="3"/>
        <v>23</v>
      </c>
      <c r="F10" s="42">
        <f t="shared" si="4"/>
        <v>27</v>
      </c>
      <c r="G10" s="46">
        <f t="shared" si="5"/>
        <v>14.81481481</v>
      </c>
      <c r="H10" s="47" t="s">
        <v>86</v>
      </c>
      <c r="I10" s="47" t="s">
        <v>78</v>
      </c>
      <c r="J10" s="22"/>
      <c r="K10" s="47" t="s">
        <v>78</v>
      </c>
      <c r="L10" s="47" t="s">
        <v>86</v>
      </c>
      <c r="M10" s="47" t="s">
        <v>78</v>
      </c>
      <c r="N10" s="47" t="s">
        <v>86</v>
      </c>
      <c r="O10" s="47" t="s">
        <v>86</v>
      </c>
      <c r="P10" s="47" t="s">
        <v>86</v>
      </c>
      <c r="Q10" s="22"/>
      <c r="R10" s="47" t="s">
        <v>86</v>
      </c>
      <c r="S10" s="47" t="s">
        <v>86</v>
      </c>
      <c r="T10" s="47" t="s">
        <v>86</v>
      </c>
      <c r="U10" s="47" t="s">
        <v>86</v>
      </c>
      <c r="V10" s="47" t="s">
        <v>86</v>
      </c>
      <c r="W10" s="47" t="s">
        <v>86</v>
      </c>
      <c r="X10" s="22"/>
      <c r="Y10" s="67"/>
      <c r="Z10" s="47" t="s">
        <v>86</v>
      </c>
      <c r="AA10" s="47" t="s">
        <v>86</v>
      </c>
      <c r="AB10" s="47" t="s">
        <v>86</v>
      </c>
      <c r="AC10" s="47" t="s">
        <v>86</v>
      </c>
      <c r="AD10" s="47" t="s">
        <v>86</v>
      </c>
      <c r="AE10" s="22"/>
      <c r="AF10" s="47" t="s">
        <v>86</v>
      </c>
      <c r="AG10" s="47" t="s">
        <v>86</v>
      </c>
      <c r="AH10" s="51"/>
      <c r="AI10" s="51"/>
      <c r="AJ10" s="47" t="s">
        <v>86</v>
      </c>
      <c r="AL10" s="22"/>
      <c r="AM10" s="47" t="s">
        <v>86</v>
      </c>
      <c r="AN10" s="47" t="s">
        <v>86</v>
      </c>
      <c r="AO10" s="47" t="s">
        <v>86</v>
      </c>
      <c r="AP10" s="51"/>
      <c r="AQ10" s="47" t="s">
        <v>86</v>
      </c>
      <c r="AR10" s="47" t="s">
        <v>78</v>
      </c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</row>
    <row r="11">
      <c r="A11" s="38">
        <v>8.0</v>
      </c>
      <c r="B11" s="41" t="s">
        <v>92</v>
      </c>
      <c r="C11" s="41" t="s">
        <v>94</v>
      </c>
      <c r="D11" s="42">
        <f t="shared" si="2"/>
        <v>18</v>
      </c>
      <c r="E11" s="42">
        <f t="shared" si="3"/>
        <v>9</v>
      </c>
      <c r="F11" s="42">
        <f t="shared" si="4"/>
        <v>27</v>
      </c>
      <c r="G11" s="46">
        <f t="shared" si="5"/>
        <v>66.66666667</v>
      </c>
      <c r="H11" s="47" t="s">
        <v>78</v>
      </c>
      <c r="I11" s="47" t="s">
        <v>78</v>
      </c>
      <c r="J11" s="22"/>
      <c r="K11" s="47" t="s">
        <v>86</v>
      </c>
      <c r="L11" s="47" t="s">
        <v>78</v>
      </c>
      <c r="M11" s="47" t="s">
        <v>78</v>
      </c>
      <c r="N11" s="47" t="s">
        <v>78</v>
      </c>
      <c r="O11" s="47" t="s">
        <v>86</v>
      </c>
      <c r="P11" s="47" t="s">
        <v>86</v>
      </c>
      <c r="Q11" s="22"/>
      <c r="R11" s="47" t="s">
        <v>86</v>
      </c>
      <c r="S11" s="47" t="s">
        <v>78</v>
      </c>
      <c r="T11" s="47" t="s">
        <v>95</v>
      </c>
      <c r="U11" s="47" t="s">
        <v>78</v>
      </c>
      <c r="V11" s="47" t="s">
        <v>78</v>
      </c>
      <c r="W11" s="47" t="s">
        <v>86</v>
      </c>
      <c r="X11" s="22"/>
      <c r="Z11" s="47" t="s">
        <v>78</v>
      </c>
      <c r="AA11" s="47" t="s">
        <v>78</v>
      </c>
      <c r="AB11" s="47" t="s">
        <v>78</v>
      </c>
      <c r="AC11" s="47" t="s">
        <v>78</v>
      </c>
      <c r="AD11" s="47" t="s">
        <v>78</v>
      </c>
      <c r="AE11" s="22"/>
      <c r="AF11" s="47" t="s">
        <v>86</v>
      </c>
      <c r="AG11" s="47" t="s">
        <v>86</v>
      </c>
      <c r="AH11" s="51"/>
      <c r="AI11" s="51"/>
      <c r="AJ11" s="47" t="s">
        <v>86</v>
      </c>
      <c r="AL11" s="22"/>
      <c r="AM11" s="47" t="s">
        <v>78</v>
      </c>
      <c r="AN11" s="47" t="s">
        <v>78</v>
      </c>
      <c r="AO11" s="47" t="s">
        <v>86</v>
      </c>
      <c r="AP11" s="51"/>
      <c r="AQ11" s="47" t="s">
        <v>78</v>
      </c>
      <c r="AR11" s="47" t="s">
        <v>78</v>
      </c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</row>
    <row r="12">
      <c r="A12" s="38">
        <v>9.0</v>
      </c>
      <c r="B12" s="49" t="s">
        <v>97</v>
      </c>
      <c r="C12" s="49" t="s">
        <v>98</v>
      </c>
      <c r="D12" s="42">
        <f t="shared" si="2"/>
        <v>12</v>
      </c>
      <c r="E12" s="42">
        <f t="shared" si="3"/>
        <v>12</v>
      </c>
      <c r="F12" s="42">
        <f t="shared" si="4"/>
        <v>24</v>
      </c>
      <c r="G12" s="46">
        <f t="shared" si="5"/>
        <v>50</v>
      </c>
      <c r="H12" s="68" t="s">
        <v>78</v>
      </c>
      <c r="I12" s="68" t="s">
        <v>86</v>
      </c>
      <c r="J12" s="22"/>
      <c r="K12" s="68" t="s">
        <v>86</v>
      </c>
      <c r="L12" s="68" t="s">
        <v>86</v>
      </c>
      <c r="M12" s="68" t="s">
        <v>86</v>
      </c>
      <c r="N12" s="68" t="s">
        <v>86</v>
      </c>
      <c r="O12" s="68" t="s">
        <v>86</v>
      </c>
      <c r="P12" s="68" t="s">
        <v>86</v>
      </c>
      <c r="Q12" s="22"/>
      <c r="R12" s="68" t="s">
        <v>86</v>
      </c>
      <c r="S12" s="68" t="s">
        <v>86</v>
      </c>
      <c r="T12" s="69"/>
      <c r="U12" s="69"/>
      <c r="V12" s="69"/>
      <c r="W12" s="68" t="s">
        <v>78</v>
      </c>
      <c r="X12" s="22"/>
      <c r="Y12" s="70"/>
      <c r="Z12" s="68" t="s">
        <v>78</v>
      </c>
      <c r="AA12" s="68" t="s">
        <v>78</v>
      </c>
      <c r="AB12" s="68" t="s">
        <v>78</v>
      </c>
      <c r="AC12" s="68" t="s">
        <v>78</v>
      </c>
      <c r="AD12" s="68" t="s">
        <v>78</v>
      </c>
      <c r="AE12" s="22"/>
      <c r="AF12" s="68" t="s">
        <v>86</v>
      </c>
      <c r="AG12" s="68" t="s">
        <v>78</v>
      </c>
      <c r="AH12" s="69"/>
      <c r="AI12" s="69"/>
      <c r="AJ12" s="68" t="s">
        <v>78</v>
      </c>
      <c r="AL12" s="22"/>
      <c r="AM12" s="68" t="s">
        <v>78</v>
      </c>
      <c r="AN12" s="68" t="s">
        <v>78</v>
      </c>
      <c r="AO12" s="68" t="s">
        <v>78</v>
      </c>
      <c r="AP12" s="69"/>
      <c r="AQ12" s="68" t="s">
        <v>86</v>
      </c>
      <c r="AR12" s="68" t="s">
        <v>86</v>
      </c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</row>
    <row r="13">
      <c r="A13" s="38">
        <v>10.0</v>
      </c>
      <c r="B13" s="41" t="s">
        <v>101</v>
      </c>
      <c r="C13" s="41" t="s">
        <v>102</v>
      </c>
      <c r="D13" s="42">
        <f t="shared" si="2"/>
        <v>11</v>
      </c>
      <c r="E13" s="42">
        <f t="shared" si="3"/>
        <v>12</v>
      </c>
      <c r="F13" s="42">
        <f t="shared" si="4"/>
        <v>23</v>
      </c>
      <c r="G13" s="46">
        <f t="shared" si="5"/>
        <v>47.82608696</v>
      </c>
      <c r="H13" s="68" t="s">
        <v>86</v>
      </c>
      <c r="I13" s="68" t="s">
        <v>86</v>
      </c>
      <c r="J13" s="22"/>
      <c r="K13" s="68" t="s">
        <v>86</v>
      </c>
      <c r="L13" s="68" t="s">
        <v>86</v>
      </c>
      <c r="M13" s="68" t="s">
        <v>86</v>
      </c>
      <c r="N13" s="68" t="s">
        <v>86</v>
      </c>
      <c r="O13" s="68" t="s">
        <v>86</v>
      </c>
      <c r="P13" s="68" t="s">
        <v>86</v>
      </c>
      <c r="Q13" s="22"/>
      <c r="R13" s="68" t="s">
        <v>86</v>
      </c>
      <c r="S13" s="68" t="s">
        <v>86</v>
      </c>
      <c r="T13" s="69"/>
      <c r="U13" s="69"/>
      <c r="V13" s="69"/>
      <c r="W13" s="69"/>
      <c r="X13" s="22"/>
      <c r="Y13" s="70"/>
      <c r="Z13" s="68" t="s">
        <v>86</v>
      </c>
      <c r="AA13" s="68" t="s">
        <v>86</v>
      </c>
      <c r="AB13" s="68" t="s">
        <v>78</v>
      </c>
      <c r="AC13" s="68" t="s">
        <v>78</v>
      </c>
      <c r="AD13" s="68" t="s">
        <v>78</v>
      </c>
      <c r="AE13" s="22"/>
      <c r="AF13" s="68" t="s">
        <v>78</v>
      </c>
      <c r="AG13" s="68" t="s">
        <v>78</v>
      </c>
      <c r="AH13" s="69"/>
      <c r="AI13" s="69"/>
      <c r="AJ13" s="68" t="s">
        <v>78</v>
      </c>
      <c r="AL13" s="22"/>
      <c r="AM13" s="68" t="s">
        <v>78</v>
      </c>
      <c r="AN13" s="68" t="s">
        <v>78</v>
      </c>
      <c r="AO13" s="68" t="s">
        <v>78</v>
      </c>
      <c r="AP13" s="69"/>
      <c r="AQ13" s="68" t="s">
        <v>78</v>
      </c>
      <c r="AR13" s="68" t="s">
        <v>78</v>
      </c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</row>
    <row r="14">
      <c r="A14" s="38">
        <v>11.0</v>
      </c>
      <c r="B14" s="41" t="s">
        <v>103</v>
      </c>
      <c r="C14" s="41" t="s">
        <v>104</v>
      </c>
      <c r="D14" s="42">
        <f t="shared" si="2"/>
        <v>12</v>
      </c>
      <c r="E14" s="42">
        <f t="shared" si="3"/>
        <v>10</v>
      </c>
      <c r="F14" s="42">
        <f t="shared" si="4"/>
        <v>22</v>
      </c>
      <c r="G14" s="46">
        <f t="shared" si="5"/>
        <v>54.54545455</v>
      </c>
      <c r="H14" s="68" t="s">
        <v>86</v>
      </c>
      <c r="I14" s="68" t="s">
        <v>86</v>
      </c>
      <c r="J14" s="22"/>
      <c r="K14" s="68" t="s">
        <v>86</v>
      </c>
      <c r="L14" s="68" t="s">
        <v>86</v>
      </c>
      <c r="M14" s="68" t="s">
        <v>86</v>
      </c>
      <c r="N14" s="68" t="s">
        <v>86</v>
      </c>
      <c r="O14" s="68" t="s">
        <v>86</v>
      </c>
      <c r="P14" s="69"/>
      <c r="Q14" s="22"/>
      <c r="R14" s="68" t="s">
        <v>86</v>
      </c>
      <c r="S14" s="68" t="s">
        <v>86</v>
      </c>
      <c r="T14" s="69"/>
      <c r="U14" s="69"/>
      <c r="V14" s="69"/>
      <c r="W14" s="69"/>
      <c r="X14" s="22"/>
      <c r="Y14" s="70"/>
      <c r="Z14" s="68" t="s">
        <v>78</v>
      </c>
      <c r="AA14" s="68" t="s">
        <v>78</v>
      </c>
      <c r="AB14" s="68" t="s">
        <v>78</v>
      </c>
      <c r="AC14" s="68" t="s">
        <v>78</v>
      </c>
      <c r="AD14" s="68" t="s">
        <v>86</v>
      </c>
      <c r="AE14" s="22"/>
      <c r="AF14" s="68" t="s">
        <v>78</v>
      </c>
      <c r="AG14" s="68" t="s">
        <v>78</v>
      </c>
      <c r="AH14" s="69"/>
      <c r="AI14" s="69"/>
      <c r="AJ14" s="68" t="s">
        <v>78</v>
      </c>
      <c r="AL14" s="22"/>
      <c r="AM14" s="68" t="s">
        <v>78</v>
      </c>
      <c r="AN14" s="68" t="s">
        <v>78</v>
      </c>
      <c r="AO14" s="68" t="s">
        <v>78</v>
      </c>
      <c r="AP14" s="69"/>
      <c r="AQ14" s="68" t="s">
        <v>78</v>
      </c>
      <c r="AR14" s="68" t="s">
        <v>78</v>
      </c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</row>
    <row r="15">
      <c r="A15" s="38">
        <v>12.0</v>
      </c>
      <c r="B15" s="41" t="s">
        <v>105</v>
      </c>
      <c r="C15" s="41" t="s">
        <v>106</v>
      </c>
      <c r="D15" s="42">
        <f t="shared" si="2"/>
        <v>26</v>
      </c>
      <c r="E15" s="42">
        <f t="shared" si="3"/>
        <v>1</v>
      </c>
      <c r="F15" s="42">
        <f t="shared" si="4"/>
        <v>27</v>
      </c>
      <c r="G15" s="46">
        <f t="shared" si="5"/>
        <v>96.2962963</v>
      </c>
      <c r="H15" s="47" t="s">
        <v>78</v>
      </c>
      <c r="I15" s="47" t="s">
        <v>78</v>
      </c>
      <c r="J15" s="22"/>
      <c r="K15" s="47" t="s">
        <v>78</v>
      </c>
      <c r="L15" s="47" t="s">
        <v>78</v>
      </c>
      <c r="M15" s="47" t="s">
        <v>78</v>
      </c>
      <c r="N15" s="47" t="s">
        <v>78</v>
      </c>
      <c r="O15" s="47" t="s">
        <v>78</v>
      </c>
      <c r="P15" s="47" t="s">
        <v>78</v>
      </c>
      <c r="Q15" s="22"/>
      <c r="R15" s="47" t="s">
        <v>78</v>
      </c>
      <c r="S15" s="47" t="s">
        <v>86</v>
      </c>
      <c r="T15" s="47" t="s">
        <v>78</v>
      </c>
      <c r="U15" s="47" t="s">
        <v>78</v>
      </c>
      <c r="V15" s="47" t="s">
        <v>78</v>
      </c>
      <c r="W15" s="47" t="s">
        <v>78</v>
      </c>
      <c r="X15" s="22"/>
      <c r="Z15" s="47" t="s">
        <v>78</v>
      </c>
      <c r="AA15" s="47" t="s">
        <v>78</v>
      </c>
      <c r="AB15" s="47" t="s">
        <v>78</v>
      </c>
      <c r="AC15" s="47" t="s">
        <v>78</v>
      </c>
      <c r="AD15" s="47" t="s">
        <v>78</v>
      </c>
      <c r="AE15" s="22"/>
      <c r="AF15" s="47" t="s">
        <v>78</v>
      </c>
      <c r="AG15" s="47" t="s">
        <v>78</v>
      </c>
      <c r="AH15" s="51"/>
      <c r="AI15" s="51"/>
      <c r="AJ15" s="47" t="s">
        <v>78</v>
      </c>
      <c r="AL15" s="22"/>
      <c r="AM15" s="47" t="s">
        <v>78</v>
      </c>
      <c r="AN15" s="47" t="s">
        <v>78</v>
      </c>
      <c r="AO15" s="47" t="s">
        <v>78</v>
      </c>
      <c r="AP15" s="51"/>
      <c r="AQ15" s="47" t="s">
        <v>78</v>
      </c>
      <c r="AR15" s="47" t="s">
        <v>78</v>
      </c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</row>
    <row r="16">
      <c r="A16" s="38">
        <v>13.0</v>
      </c>
      <c r="B16" s="41" t="s">
        <v>108</v>
      </c>
      <c r="C16" s="41" t="s">
        <v>109</v>
      </c>
      <c r="D16" s="42">
        <f t="shared" si="2"/>
        <v>22</v>
      </c>
      <c r="E16" s="42">
        <f t="shared" si="3"/>
        <v>5</v>
      </c>
      <c r="F16" s="42">
        <f t="shared" si="4"/>
        <v>27</v>
      </c>
      <c r="G16" s="46">
        <f t="shared" si="5"/>
        <v>81.48148148</v>
      </c>
      <c r="H16" s="47" t="s">
        <v>78</v>
      </c>
      <c r="I16" s="47" t="s">
        <v>78</v>
      </c>
      <c r="J16" s="22"/>
      <c r="K16" s="47" t="s">
        <v>78</v>
      </c>
      <c r="L16" s="47" t="s">
        <v>86</v>
      </c>
      <c r="M16" s="47" t="s">
        <v>78</v>
      </c>
      <c r="N16" s="47" t="s">
        <v>78</v>
      </c>
      <c r="O16" s="47" t="s">
        <v>78</v>
      </c>
      <c r="P16" s="47" t="s">
        <v>78</v>
      </c>
      <c r="Q16" s="22"/>
      <c r="R16" s="47" t="s">
        <v>78</v>
      </c>
      <c r="S16" s="47" t="s">
        <v>78</v>
      </c>
      <c r="T16" s="47" t="s">
        <v>95</v>
      </c>
      <c r="U16" s="47" t="s">
        <v>78</v>
      </c>
      <c r="V16" s="47" t="s">
        <v>78</v>
      </c>
      <c r="W16" s="47" t="s">
        <v>78</v>
      </c>
      <c r="X16" s="22"/>
      <c r="Y16" s="36"/>
      <c r="Z16" s="47" t="s">
        <v>78</v>
      </c>
      <c r="AA16" s="47" t="s">
        <v>78</v>
      </c>
      <c r="AB16" s="47" t="s">
        <v>78</v>
      </c>
      <c r="AC16" s="47" t="s">
        <v>78</v>
      </c>
      <c r="AD16" s="47" t="s">
        <v>78</v>
      </c>
      <c r="AE16" s="22"/>
      <c r="AF16" s="47" t="s">
        <v>86</v>
      </c>
      <c r="AG16" s="47" t="s">
        <v>86</v>
      </c>
      <c r="AH16" s="51"/>
      <c r="AI16" s="51"/>
      <c r="AJ16" s="47" t="s">
        <v>86</v>
      </c>
      <c r="AL16" s="22"/>
      <c r="AM16" s="47" t="s">
        <v>78</v>
      </c>
      <c r="AN16" s="47" t="s">
        <v>78</v>
      </c>
      <c r="AO16" s="47" t="s">
        <v>78</v>
      </c>
      <c r="AP16" s="51"/>
      <c r="AQ16" s="47" t="s">
        <v>78</v>
      </c>
      <c r="AR16" s="47" t="s">
        <v>86</v>
      </c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</row>
    <row r="17">
      <c r="A17" s="38">
        <v>14.0</v>
      </c>
      <c r="B17" s="41" t="s">
        <v>111</v>
      </c>
      <c r="C17" s="41" t="s">
        <v>112</v>
      </c>
      <c r="D17" s="42">
        <f t="shared" si="2"/>
        <v>24</v>
      </c>
      <c r="E17" s="42">
        <f t="shared" si="3"/>
        <v>3</v>
      </c>
      <c r="F17" s="42">
        <f t="shared" si="4"/>
        <v>27</v>
      </c>
      <c r="G17" s="46">
        <f t="shared" si="5"/>
        <v>88.88888889</v>
      </c>
      <c r="H17" s="47" t="s">
        <v>78</v>
      </c>
      <c r="I17" s="47" t="s">
        <v>78</v>
      </c>
      <c r="J17" s="22"/>
      <c r="K17" s="47" t="s">
        <v>78</v>
      </c>
      <c r="L17" s="47" t="s">
        <v>78</v>
      </c>
      <c r="M17" s="47" t="s">
        <v>78</v>
      </c>
      <c r="N17" s="47" t="s">
        <v>78</v>
      </c>
      <c r="O17" s="47" t="s">
        <v>78</v>
      </c>
      <c r="P17" s="47" t="s">
        <v>78</v>
      </c>
      <c r="Q17" s="22"/>
      <c r="R17" s="47" t="s">
        <v>78</v>
      </c>
      <c r="S17" s="47" t="s">
        <v>78</v>
      </c>
      <c r="T17" s="47" t="s">
        <v>95</v>
      </c>
      <c r="U17" s="47" t="s">
        <v>78</v>
      </c>
      <c r="V17" s="47" t="s">
        <v>78</v>
      </c>
      <c r="W17" s="47" t="s">
        <v>78</v>
      </c>
      <c r="X17" s="22"/>
      <c r="Y17" s="36"/>
      <c r="Z17" s="47" t="s">
        <v>86</v>
      </c>
      <c r="AA17" s="47" t="s">
        <v>78</v>
      </c>
      <c r="AB17" s="47" t="s">
        <v>78</v>
      </c>
      <c r="AC17" s="47" t="s">
        <v>78</v>
      </c>
      <c r="AD17" s="47" t="s">
        <v>78</v>
      </c>
      <c r="AE17" s="22"/>
      <c r="AF17" s="47" t="s">
        <v>86</v>
      </c>
      <c r="AG17" s="47" t="s">
        <v>78</v>
      </c>
      <c r="AH17" s="51"/>
      <c r="AI17" s="51"/>
      <c r="AJ17" s="47" t="s">
        <v>78</v>
      </c>
      <c r="AL17" s="22"/>
      <c r="AM17" s="47" t="s">
        <v>78</v>
      </c>
      <c r="AN17" s="47" t="s">
        <v>86</v>
      </c>
      <c r="AO17" s="47" t="s">
        <v>78</v>
      </c>
      <c r="AP17" s="51"/>
      <c r="AQ17" s="47" t="s">
        <v>78</v>
      </c>
      <c r="AR17" s="47" t="s">
        <v>78</v>
      </c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</row>
    <row r="18">
      <c r="A18" s="38">
        <v>15.0</v>
      </c>
      <c r="B18" s="41" t="s">
        <v>70</v>
      </c>
      <c r="C18" s="41" t="s">
        <v>71</v>
      </c>
      <c r="D18" s="42">
        <f t="shared" si="2"/>
        <v>26</v>
      </c>
      <c r="E18" s="42">
        <f t="shared" si="3"/>
        <v>1</v>
      </c>
      <c r="F18" s="42">
        <f t="shared" si="4"/>
        <v>27</v>
      </c>
      <c r="G18" s="46">
        <f t="shared" si="5"/>
        <v>96.2962963</v>
      </c>
      <c r="H18" s="47" t="s">
        <v>78</v>
      </c>
      <c r="I18" s="47" t="s">
        <v>78</v>
      </c>
      <c r="J18" s="22"/>
      <c r="K18" s="47" t="s">
        <v>78</v>
      </c>
      <c r="L18" s="47" t="s">
        <v>86</v>
      </c>
      <c r="M18" s="47" t="s">
        <v>78</v>
      </c>
      <c r="N18" s="47" t="s">
        <v>78</v>
      </c>
      <c r="O18" s="47" t="s">
        <v>78</v>
      </c>
      <c r="P18" s="47" t="s">
        <v>78</v>
      </c>
      <c r="Q18" s="22"/>
      <c r="R18" s="47" t="s">
        <v>78</v>
      </c>
      <c r="S18" s="47" t="s">
        <v>78</v>
      </c>
      <c r="T18" s="47" t="s">
        <v>95</v>
      </c>
      <c r="U18" s="47" t="s">
        <v>78</v>
      </c>
      <c r="V18" s="47" t="s">
        <v>78</v>
      </c>
      <c r="W18" s="47" t="s">
        <v>78</v>
      </c>
      <c r="X18" s="22"/>
      <c r="Y18" s="36"/>
      <c r="Z18" s="47" t="s">
        <v>78</v>
      </c>
      <c r="AA18" s="47" t="s">
        <v>78</v>
      </c>
      <c r="AB18" s="47" t="s">
        <v>95</v>
      </c>
      <c r="AC18" s="47" t="s">
        <v>78</v>
      </c>
      <c r="AD18" s="47" t="s">
        <v>78</v>
      </c>
      <c r="AE18" s="22"/>
      <c r="AF18" s="47" t="s">
        <v>78</v>
      </c>
      <c r="AG18" s="47" t="s">
        <v>78</v>
      </c>
      <c r="AH18" s="51"/>
      <c r="AI18" s="51"/>
      <c r="AJ18" s="47" t="s">
        <v>78</v>
      </c>
      <c r="AL18" s="22"/>
      <c r="AM18" s="47" t="s">
        <v>78</v>
      </c>
      <c r="AN18" s="47" t="s">
        <v>78</v>
      </c>
      <c r="AO18" s="47" t="s">
        <v>78</v>
      </c>
      <c r="AP18" s="51"/>
      <c r="AQ18" s="47" t="s">
        <v>78</v>
      </c>
      <c r="AR18" s="47" t="s">
        <v>78</v>
      </c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</row>
    <row r="19">
      <c r="A19" s="38">
        <v>16.0</v>
      </c>
      <c r="B19" s="41" t="s">
        <v>87</v>
      </c>
      <c r="C19" s="41" t="s">
        <v>88</v>
      </c>
      <c r="D19" s="42">
        <f t="shared" si="2"/>
        <v>21</v>
      </c>
      <c r="E19" s="42">
        <f t="shared" si="3"/>
        <v>6</v>
      </c>
      <c r="F19" s="42">
        <f t="shared" si="4"/>
        <v>27</v>
      </c>
      <c r="G19" s="71">
        <f t="shared" si="5"/>
        <v>77.77777778</v>
      </c>
      <c r="H19" s="47" t="s">
        <v>78</v>
      </c>
      <c r="I19" s="47" t="s">
        <v>78</v>
      </c>
      <c r="J19" s="22"/>
      <c r="K19" s="47" t="s">
        <v>78</v>
      </c>
      <c r="L19" s="47" t="s">
        <v>86</v>
      </c>
      <c r="M19" s="47" t="s">
        <v>78</v>
      </c>
      <c r="N19" s="47" t="s">
        <v>78</v>
      </c>
      <c r="O19" s="47" t="s">
        <v>86</v>
      </c>
      <c r="P19" s="47" t="s">
        <v>78</v>
      </c>
      <c r="Q19" s="22"/>
      <c r="R19" s="47" t="s">
        <v>78</v>
      </c>
      <c r="S19" s="47" t="s">
        <v>78</v>
      </c>
      <c r="T19" s="47" t="s">
        <v>95</v>
      </c>
      <c r="U19" s="47" t="s">
        <v>78</v>
      </c>
      <c r="V19" s="47" t="s">
        <v>78</v>
      </c>
      <c r="W19" s="47" t="s">
        <v>86</v>
      </c>
      <c r="X19" s="22"/>
      <c r="Y19" s="36"/>
      <c r="Z19" s="47" t="s">
        <v>86</v>
      </c>
      <c r="AA19" s="47" t="s">
        <v>78</v>
      </c>
      <c r="AB19" s="47" t="s">
        <v>78</v>
      </c>
      <c r="AC19" s="47" t="s">
        <v>78</v>
      </c>
      <c r="AD19" s="47" t="s">
        <v>78</v>
      </c>
      <c r="AE19" s="22"/>
      <c r="AF19" s="47" t="s">
        <v>86</v>
      </c>
      <c r="AG19" s="47" t="s">
        <v>78</v>
      </c>
      <c r="AH19" s="51"/>
      <c r="AI19" s="51"/>
      <c r="AJ19" s="47" t="s">
        <v>78</v>
      </c>
      <c r="AL19" s="22"/>
      <c r="AM19" s="47" t="s">
        <v>78</v>
      </c>
      <c r="AN19" s="47" t="s">
        <v>78</v>
      </c>
      <c r="AO19" s="47" t="s">
        <v>78</v>
      </c>
      <c r="AP19" s="51"/>
      <c r="AQ19" s="47" t="s">
        <v>86</v>
      </c>
      <c r="AR19" s="47" t="s">
        <v>78</v>
      </c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</row>
    <row r="20">
      <c r="A20" s="38">
        <v>17.0</v>
      </c>
      <c r="B20" s="41" t="s">
        <v>116</v>
      </c>
      <c r="C20" s="41" t="s">
        <v>118</v>
      </c>
      <c r="D20" s="42">
        <f t="shared" si="2"/>
        <v>23</v>
      </c>
      <c r="E20" s="42">
        <f t="shared" si="3"/>
        <v>2</v>
      </c>
      <c r="F20" s="42">
        <f t="shared" si="4"/>
        <v>25</v>
      </c>
      <c r="G20" s="46">
        <f t="shared" si="5"/>
        <v>92</v>
      </c>
      <c r="H20" s="47" t="s">
        <v>78</v>
      </c>
      <c r="I20" s="47" t="s">
        <v>78</v>
      </c>
      <c r="J20" s="28"/>
      <c r="K20" s="47" t="s">
        <v>78</v>
      </c>
      <c r="L20" s="47" t="s">
        <v>78</v>
      </c>
      <c r="M20" s="47" t="s">
        <v>78</v>
      </c>
      <c r="N20" s="72" t="s">
        <v>78</v>
      </c>
      <c r="O20" s="47" t="s">
        <v>78</v>
      </c>
      <c r="P20" s="47" t="s">
        <v>78</v>
      </c>
      <c r="Q20" s="28"/>
      <c r="R20" s="47" t="s">
        <v>78</v>
      </c>
      <c r="S20" s="47" t="s">
        <v>78</v>
      </c>
      <c r="T20" s="47" t="s">
        <v>78</v>
      </c>
      <c r="U20" s="67"/>
      <c r="V20" s="47" t="s">
        <v>78</v>
      </c>
      <c r="W20" s="47" t="s">
        <v>78</v>
      </c>
      <c r="X20" s="28"/>
      <c r="Y20" s="36"/>
      <c r="Z20" s="47" t="s">
        <v>78</v>
      </c>
      <c r="AA20" s="47" t="s">
        <v>78</v>
      </c>
      <c r="AB20" s="51"/>
      <c r="AC20" s="47" t="s">
        <v>78</v>
      </c>
      <c r="AD20" s="47" t="s">
        <v>78</v>
      </c>
      <c r="AE20" s="28"/>
      <c r="AF20" s="47" t="s">
        <v>78</v>
      </c>
      <c r="AG20" s="47" t="s">
        <v>78</v>
      </c>
      <c r="AH20" s="51"/>
      <c r="AI20" s="51"/>
      <c r="AJ20" s="47" t="s">
        <v>78</v>
      </c>
      <c r="AL20" s="28"/>
      <c r="AM20" s="47" t="s">
        <v>78</v>
      </c>
      <c r="AN20" s="47" t="s">
        <v>78</v>
      </c>
      <c r="AO20" s="47" t="s">
        <v>78</v>
      </c>
      <c r="AP20" s="51"/>
      <c r="AQ20" s="47" t="s">
        <v>86</v>
      </c>
      <c r="AR20" s="47" t="s">
        <v>86</v>
      </c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</row>
    <row r="21">
      <c r="G21" s="73"/>
    </row>
    <row r="22">
      <c r="G22" s="73"/>
    </row>
    <row r="23">
      <c r="D23" s="74" t="str">
        <f>IFERROR(__xludf.DUMMYFUNCTION("FILTER(B2:C20,G2:G20&lt;=50)"),"")</f>
        <v/>
      </c>
      <c r="E23" s="74"/>
      <c r="F23" s="74" t="str">
        <f>IFERROR(__xludf.DUMMYFUNCTION("FILTER(G2:G20,G2:G20&lt;=50)"),"")</f>
        <v/>
      </c>
      <c r="G23" s="73"/>
    </row>
    <row r="24">
      <c r="D24" s="74"/>
      <c r="E24" s="74"/>
      <c r="F24" s="74"/>
      <c r="G24" s="73"/>
    </row>
    <row r="25">
      <c r="D25" s="74" t="str">
        <f>IFERROR(__xludf.DUMMYFUNCTION("""COMPUTED_VALUE"""),"Aditya Sharma")</f>
        <v>Aditya Sharma</v>
      </c>
      <c r="E25" s="74" t="str">
        <f>IFERROR(__xludf.DUMMYFUNCTION("""COMPUTED_VALUE"""),"23eaccs014")</f>
        <v>23eaccs014</v>
      </c>
      <c r="F25" s="75">
        <f>IFERROR(__xludf.DUMMYFUNCTION("""COMPUTED_VALUE"""),22.22222222222222)</f>
        <v>22.22222222</v>
      </c>
      <c r="G25" s="73"/>
    </row>
    <row r="26">
      <c r="D26" s="74" t="str">
        <f>IFERROR(__xludf.DUMMYFUNCTION("""COMPUTED_VALUE"""),"Hritik singh")</f>
        <v>Hritik singh</v>
      </c>
      <c r="E26" s="74" t="str">
        <f>IFERROR(__xludf.DUMMYFUNCTION("""COMPUTED_VALUE"""),"23EACCS130")</f>
        <v>23EACCS130</v>
      </c>
      <c r="F26" s="75">
        <f>IFERROR(__xludf.DUMMYFUNCTION("""COMPUTED_VALUE"""),14.814814814814813)</f>
        <v>14.81481481</v>
      </c>
      <c r="G26" s="73"/>
    </row>
    <row r="27">
      <c r="D27" s="74" t="str">
        <f>IFERROR(__xludf.DUMMYFUNCTION("""COMPUTED_VALUE"""),"Keshav Kumar")</f>
        <v>Keshav Kumar</v>
      </c>
      <c r="E27" s="74" t="str">
        <f>IFERROR(__xludf.DUMMYFUNCTION("""COMPUTED_VALUE"""),"23EACCS151")</f>
        <v>23EACCS151</v>
      </c>
      <c r="F27" s="75">
        <f>IFERROR(__xludf.DUMMYFUNCTION("""COMPUTED_VALUE"""),50.0)</f>
        <v>50</v>
      </c>
      <c r="G27" s="73"/>
    </row>
    <row r="28">
      <c r="D28" s="74" t="str">
        <f>IFERROR(__xludf.DUMMYFUNCTION("""COMPUTED_VALUE"""),"Lokesh Kumar")</f>
        <v>Lokesh Kumar</v>
      </c>
      <c r="E28" s="74" t="str">
        <f>IFERROR(__xludf.DUMMYFUNCTION("""COMPUTED_VALUE"""),"23EACCS169")</f>
        <v>23EACCS169</v>
      </c>
      <c r="F28" s="75">
        <f>IFERROR(__xludf.DUMMYFUNCTION("""COMPUTED_VALUE"""),47.82608695652174)</f>
        <v>47.82608696</v>
      </c>
      <c r="G28" s="73"/>
    </row>
    <row r="29">
      <c r="G29" s="73"/>
    </row>
    <row r="30">
      <c r="G30" s="73"/>
    </row>
    <row r="31">
      <c r="G31" s="73"/>
    </row>
    <row r="32">
      <c r="G32" s="73"/>
    </row>
    <row r="33">
      <c r="G33" s="73"/>
    </row>
    <row r="34">
      <c r="G34" s="73"/>
    </row>
    <row r="35">
      <c r="G35" s="73"/>
    </row>
    <row r="36">
      <c r="G36" s="73"/>
    </row>
    <row r="37">
      <c r="G37" s="73"/>
    </row>
    <row r="38">
      <c r="G38" s="73"/>
    </row>
    <row r="39">
      <c r="G39" s="73"/>
    </row>
    <row r="40">
      <c r="G40" s="73"/>
    </row>
    <row r="41">
      <c r="G41" s="73"/>
    </row>
    <row r="42">
      <c r="G42" s="73"/>
    </row>
    <row r="43">
      <c r="G43" s="73"/>
    </row>
    <row r="44">
      <c r="G44" s="73"/>
    </row>
    <row r="45">
      <c r="G45" s="73"/>
    </row>
    <row r="46">
      <c r="G46" s="73"/>
    </row>
  </sheetData>
  <mergeCells count="15">
    <mergeCell ref="H1:J1"/>
    <mergeCell ref="K1:AN1"/>
    <mergeCell ref="AO1:BR1"/>
    <mergeCell ref="J4:J20"/>
    <mergeCell ref="Q4:Q20"/>
    <mergeCell ref="X4:X20"/>
    <mergeCell ref="AE4:AE20"/>
    <mergeCell ref="AL4:AL20"/>
    <mergeCell ref="A1:A3"/>
    <mergeCell ref="B1:B3"/>
    <mergeCell ref="C1:C3"/>
    <mergeCell ref="D1:D3"/>
    <mergeCell ref="E1:E3"/>
    <mergeCell ref="F1:F3"/>
    <mergeCell ref="G1:G3"/>
  </mergeCells>
  <conditionalFormatting sqref="G4:BR25">
    <cfRule type="beginsWith" dxfId="1" priority="1" operator="beginsWith" text="p">
      <formula>LEFT((G4),LEN("p"))=("p")</formula>
    </cfRule>
  </conditionalFormatting>
  <conditionalFormatting sqref="G4:BR25">
    <cfRule type="beginsWith" dxfId="0" priority="2" operator="beginsWith" text="a">
      <formula>LEFT((G4),LEN("a"))=("a")</formula>
    </cfRule>
  </conditionalFormatting>
  <conditionalFormatting sqref="G4:BR25">
    <cfRule type="beginsWith" dxfId="2" priority="3" operator="beginsWith" text="op">
      <formula>LEFT((G4),LEN("op"))=("op")</formula>
    </cfRule>
  </conditionalFormatting>
  <conditionalFormatting sqref="AG19">
    <cfRule type="notContainsBlanks" dxfId="3" priority="4">
      <formula>LEN(TRIM(AG19))&gt;0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5"/>
    <col customWidth="1" min="3" max="3" width="14.88"/>
  </cols>
  <sheetData>
    <row r="1">
      <c r="A1" s="7" t="s">
        <v>1</v>
      </c>
      <c r="C1" s="14"/>
    </row>
    <row r="2">
      <c r="A2" s="7" t="s">
        <v>14</v>
      </c>
      <c r="C2" s="14"/>
    </row>
    <row r="3">
      <c r="A3" s="7" t="s">
        <v>17</v>
      </c>
      <c r="C3" s="14"/>
    </row>
    <row r="4">
      <c r="A4" s="17" t="s">
        <v>19</v>
      </c>
      <c r="B4" s="14"/>
      <c r="C4" s="14"/>
    </row>
    <row r="5">
      <c r="A5" s="17" t="s">
        <v>21</v>
      </c>
      <c r="B5" s="14"/>
      <c r="C5" s="14"/>
    </row>
    <row r="6">
      <c r="A6" s="14"/>
      <c r="B6" s="14"/>
      <c r="C6" s="14"/>
    </row>
    <row r="7">
      <c r="A7" s="20" t="s">
        <v>27</v>
      </c>
      <c r="B7" s="20" t="s">
        <v>30</v>
      </c>
      <c r="C7" s="20" t="s">
        <v>32</v>
      </c>
    </row>
    <row r="8">
      <c r="A8" s="21">
        <v>1.0</v>
      </c>
      <c r="B8" s="23" t="s">
        <v>34</v>
      </c>
      <c r="C8" s="25"/>
    </row>
    <row r="9">
      <c r="A9" s="25"/>
      <c r="B9" s="23" t="s">
        <v>39</v>
      </c>
      <c r="C9" s="26" t="s">
        <v>40</v>
      </c>
    </row>
    <row r="10">
      <c r="A10" s="25"/>
      <c r="B10" s="23" t="s">
        <v>43</v>
      </c>
      <c r="C10" s="26" t="s">
        <v>40</v>
      </c>
    </row>
    <row r="11">
      <c r="A11" s="25"/>
      <c r="B11" s="23" t="s">
        <v>45</v>
      </c>
      <c r="C11" s="26" t="s">
        <v>40</v>
      </c>
    </row>
    <row r="12">
      <c r="A12" s="25"/>
      <c r="B12" s="23" t="s">
        <v>46</v>
      </c>
      <c r="C12" s="26" t="s">
        <v>40</v>
      </c>
    </row>
    <row r="13">
      <c r="A13" s="25"/>
      <c r="B13" s="23" t="s">
        <v>48</v>
      </c>
      <c r="C13" s="26" t="s">
        <v>40</v>
      </c>
    </row>
    <row r="14">
      <c r="A14" s="25"/>
      <c r="B14" s="23" t="s">
        <v>58</v>
      </c>
      <c r="C14" s="26" t="s">
        <v>40</v>
      </c>
    </row>
    <row r="15">
      <c r="A15" s="25"/>
      <c r="B15" s="23" t="s">
        <v>61</v>
      </c>
      <c r="C15" s="26" t="s">
        <v>40</v>
      </c>
    </row>
    <row r="16">
      <c r="A16" s="25"/>
      <c r="B16" s="23" t="s">
        <v>64</v>
      </c>
      <c r="C16" s="26" t="s">
        <v>40</v>
      </c>
    </row>
    <row r="17">
      <c r="A17" s="25"/>
      <c r="B17" s="23" t="s">
        <v>65</v>
      </c>
      <c r="C17" s="26" t="s">
        <v>40</v>
      </c>
    </row>
    <row r="18">
      <c r="A18" s="25"/>
      <c r="B18" s="23" t="s">
        <v>66</v>
      </c>
      <c r="C18" s="26" t="s">
        <v>40</v>
      </c>
    </row>
    <row r="19">
      <c r="A19" s="25"/>
      <c r="B19" s="23" t="s">
        <v>69</v>
      </c>
      <c r="C19" s="26" t="s">
        <v>40</v>
      </c>
    </row>
    <row r="20">
      <c r="A20" s="25"/>
      <c r="B20" s="23" t="s">
        <v>73</v>
      </c>
      <c r="C20" s="26" t="s">
        <v>40</v>
      </c>
    </row>
    <row r="21">
      <c r="A21" s="21">
        <v>2.0</v>
      </c>
      <c r="B21" s="23" t="s">
        <v>75</v>
      </c>
      <c r="C21" s="26" t="s">
        <v>40</v>
      </c>
    </row>
    <row r="22">
      <c r="A22" s="25"/>
      <c r="B22" s="23" t="s">
        <v>79</v>
      </c>
      <c r="C22" s="25"/>
    </row>
    <row r="23">
      <c r="A23" s="25"/>
      <c r="B23" s="23" t="s">
        <v>81</v>
      </c>
      <c r="C23" s="25"/>
    </row>
    <row r="24">
      <c r="A24" s="25"/>
      <c r="B24" s="23" t="s">
        <v>82</v>
      </c>
      <c r="C24" s="25"/>
    </row>
    <row r="25">
      <c r="A25" s="25"/>
      <c r="B25" s="23" t="s">
        <v>85</v>
      </c>
      <c r="C25" s="26" t="s">
        <v>40</v>
      </c>
    </row>
    <row r="26">
      <c r="A26" s="25"/>
      <c r="B26" s="23" t="s">
        <v>90</v>
      </c>
      <c r="C26" s="26" t="s">
        <v>40</v>
      </c>
    </row>
    <row r="27">
      <c r="A27" s="25"/>
      <c r="B27" s="23" t="s">
        <v>93</v>
      </c>
      <c r="C27" s="26" t="s">
        <v>40</v>
      </c>
    </row>
    <row r="28">
      <c r="A28" s="25"/>
      <c r="B28" s="23" t="s">
        <v>96</v>
      </c>
      <c r="C28" s="26" t="s">
        <v>40</v>
      </c>
    </row>
    <row r="29">
      <c r="A29" s="25"/>
      <c r="B29" s="23" t="s">
        <v>99</v>
      </c>
      <c r="C29" s="26" t="s">
        <v>40</v>
      </c>
    </row>
    <row r="30">
      <c r="A30" s="25"/>
      <c r="B30" s="23" t="s">
        <v>100</v>
      </c>
      <c r="C30" s="26" t="s">
        <v>40</v>
      </c>
    </row>
    <row r="31">
      <c r="A31" s="25"/>
      <c r="B31" s="23" t="s">
        <v>107</v>
      </c>
      <c r="C31" s="26" t="s">
        <v>40</v>
      </c>
    </row>
    <row r="32">
      <c r="A32" s="25"/>
      <c r="B32" s="23" t="s">
        <v>110</v>
      </c>
      <c r="C32" s="26" t="s">
        <v>40</v>
      </c>
    </row>
    <row r="33">
      <c r="A33" s="21">
        <v>3.0</v>
      </c>
      <c r="B33" s="23" t="s">
        <v>113</v>
      </c>
      <c r="C33" s="25"/>
    </row>
    <row r="34">
      <c r="A34" s="25"/>
      <c r="B34" s="23" t="s">
        <v>114</v>
      </c>
      <c r="C34" s="25"/>
    </row>
    <row r="35">
      <c r="A35" s="25"/>
      <c r="B35" s="23" t="s">
        <v>115</v>
      </c>
      <c r="C35" s="25"/>
    </row>
    <row r="36">
      <c r="A36" s="25"/>
      <c r="B36" s="23" t="s">
        <v>117</v>
      </c>
      <c r="C36" s="25"/>
    </row>
    <row r="37">
      <c r="A37" s="25"/>
      <c r="B37" s="23" t="s">
        <v>119</v>
      </c>
      <c r="C37" s="26" t="s">
        <v>40</v>
      </c>
    </row>
    <row r="38">
      <c r="A38" s="25"/>
      <c r="B38" s="23" t="s">
        <v>120</v>
      </c>
      <c r="C38" s="25"/>
    </row>
    <row r="39">
      <c r="A39" s="25"/>
      <c r="B39" s="23" t="s">
        <v>121</v>
      </c>
      <c r="C39" s="25"/>
    </row>
    <row r="40">
      <c r="A40" s="25"/>
      <c r="B40" s="23" t="s">
        <v>122</v>
      </c>
      <c r="C40" s="25"/>
    </row>
    <row r="41">
      <c r="A41" s="25"/>
      <c r="B41" s="23" t="s">
        <v>123</v>
      </c>
      <c r="C41" s="25"/>
    </row>
    <row r="42">
      <c r="A42" s="25"/>
      <c r="B42" s="23" t="s">
        <v>124</v>
      </c>
      <c r="C42" s="25"/>
    </row>
    <row r="43">
      <c r="A43" s="21">
        <v>4.0</v>
      </c>
      <c r="B43" s="23" t="s">
        <v>126</v>
      </c>
      <c r="C43" s="25"/>
    </row>
    <row r="44">
      <c r="A44" s="25"/>
      <c r="B44" s="23" t="s">
        <v>127</v>
      </c>
      <c r="C44" s="25"/>
    </row>
    <row r="45">
      <c r="A45" s="25"/>
      <c r="B45" s="23" t="s">
        <v>128</v>
      </c>
      <c r="C45" s="25"/>
    </row>
    <row r="46">
      <c r="A46" s="25"/>
      <c r="B46" s="23" t="s">
        <v>129</v>
      </c>
      <c r="C46" s="25"/>
    </row>
    <row r="47">
      <c r="A47" s="25"/>
      <c r="B47" s="23" t="s">
        <v>131</v>
      </c>
      <c r="C47" s="25"/>
    </row>
    <row r="48">
      <c r="A48" s="25"/>
      <c r="B48" s="23" t="s">
        <v>132</v>
      </c>
      <c r="C48" s="25"/>
    </row>
    <row r="49">
      <c r="A49" s="25"/>
      <c r="B49" s="23" t="s">
        <v>133</v>
      </c>
      <c r="C49" s="25"/>
    </row>
    <row r="50">
      <c r="A50" s="25"/>
      <c r="B50" s="23" t="s">
        <v>134</v>
      </c>
      <c r="C50" s="25"/>
    </row>
    <row r="51">
      <c r="A51" s="21">
        <v>5.0</v>
      </c>
      <c r="B51" s="23" t="s">
        <v>135</v>
      </c>
      <c r="C51" s="26" t="s">
        <v>40</v>
      </c>
    </row>
    <row r="52">
      <c r="A52" s="25"/>
      <c r="B52" s="23" t="s">
        <v>136</v>
      </c>
      <c r="C52" s="26" t="s">
        <v>40</v>
      </c>
    </row>
    <row r="53">
      <c r="A53" s="25"/>
      <c r="B53" s="23" t="s">
        <v>137</v>
      </c>
      <c r="C53" s="26" t="s">
        <v>40</v>
      </c>
    </row>
    <row r="54">
      <c r="A54" s="25"/>
      <c r="B54" s="23" t="s">
        <v>138</v>
      </c>
      <c r="C54" s="26" t="s">
        <v>40</v>
      </c>
    </row>
    <row r="55">
      <c r="A55" s="25"/>
      <c r="B55" s="23" t="s">
        <v>139</v>
      </c>
      <c r="C55" s="26" t="s">
        <v>40</v>
      </c>
    </row>
    <row r="56">
      <c r="A56" s="25"/>
      <c r="B56" s="23" t="s">
        <v>140</v>
      </c>
      <c r="C56" s="26" t="s">
        <v>40</v>
      </c>
    </row>
    <row r="57">
      <c r="A57" s="25"/>
      <c r="B57" s="23" t="s">
        <v>141</v>
      </c>
      <c r="C57" s="26" t="s">
        <v>40</v>
      </c>
    </row>
    <row r="58">
      <c r="A58" s="25"/>
      <c r="B58" s="23" t="s">
        <v>142</v>
      </c>
      <c r="C58" s="26" t="s">
        <v>40</v>
      </c>
    </row>
    <row r="59">
      <c r="A59" s="25"/>
      <c r="B59" s="23" t="s">
        <v>143</v>
      </c>
      <c r="C59" s="26" t="s">
        <v>40</v>
      </c>
    </row>
    <row r="60">
      <c r="A60" s="25"/>
      <c r="B60" s="23" t="s">
        <v>144</v>
      </c>
      <c r="C60" s="26" t="s">
        <v>40</v>
      </c>
    </row>
    <row r="61">
      <c r="A61" s="25"/>
      <c r="B61" s="23" t="s">
        <v>145</v>
      </c>
      <c r="C61" s="26" t="s">
        <v>40</v>
      </c>
    </row>
    <row r="62">
      <c r="A62" s="21">
        <v>6.0</v>
      </c>
      <c r="B62" s="23" t="s">
        <v>146</v>
      </c>
      <c r="C62" s="26" t="s">
        <v>40</v>
      </c>
    </row>
    <row r="63">
      <c r="A63" s="25"/>
      <c r="B63" s="23" t="s">
        <v>147</v>
      </c>
      <c r="C63" s="26" t="s">
        <v>40</v>
      </c>
    </row>
    <row r="64">
      <c r="A64" s="25"/>
      <c r="B64" s="23" t="s">
        <v>148</v>
      </c>
      <c r="C64" s="26" t="s">
        <v>40</v>
      </c>
    </row>
    <row r="65">
      <c r="A65" s="25"/>
      <c r="B65" s="23" t="s">
        <v>149</v>
      </c>
      <c r="C65" s="26" t="s">
        <v>40</v>
      </c>
    </row>
    <row r="66">
      <c r="A66" s="25"/>
      <c r="B66" s="23" t="s">
        <v>150</v>
      </c>
      <c r="C66" s="26" t="s">
        <v>40</v>
      </c>
    </row>
    <row r="67">
      <c r="A67" s="25"/>
      <c r="B67" s="23" t="s">
        <v>151</v>
      </c>
      <c r="C67" s="26" t="s">
        <v>40</v>
      </c>
    </row>
    <row r="68">
      <c r="A68" s="25"/>
      <c r="B68" s="23" t="s">
        <v>152</v>
      </c>
      <c r="C68" s="26" t="s">
        <v>40</v>
      </c>
    </row>
    <row r="69">
      <c r="A69" s="25"/>
      <c r="B69" s="23" t="s">
        <v>153</v>
      </c>
      <c r="C69" s="26" t="s">
        <v>154</v>
      </c>
    </row>
    <row r="70">
      <c r="A70" s="25"/>
      <c r="B70" s="23" t="s">
        <v>155</v>
      </c>
      <c r="C70" s="25"/>
    </row>
    <row r="71">
      <c r="A71" s="25"/>
      <c r="B71" s="23" t="s">
        <v>156</v>
      </c>
      <c r="C71" s="26" t="s">
        <v>40</v>
      </c>
    </row>
    <row r="72">
      <c r="A72" s="25"/>
      <c r="B72" s="23" t="s">
        <v>157</v>
      </c>
      <c r="C72" s="26" t="s">
        <v>40</v>
      </c>
    </row>
    <row r="73">
      <c r="A73" s="25"/>
      <c r="B73" s="23" t="s">
        <v>158</v>
      </c>
      <c r="C73" s="26" t="s">
        <v>40</v>
      </c>
    </row>
    <row r="74">
      <c r="A74" s="25"/>
      <c r="B74" s="23" t="s">
        <v>159</v>
      </c>
      <c r="C74" s="26" t="s">
        <v>40</v>
      </c>
    </row>
    <row r="75">
      <c r="A75" s="21">
        <v>7.0</v>
      </c>
      <c r="B75" s="23" t="s">
        <v>160</v>
      </c>
      <c r="C75" s="25"/>
    </row>
    <row r="76">
      <c r="A76" s="25"/>
      <c r="B76" s="23" t="s">
        <v>161</v>
      </c>
      <c r="C76" s="25"/>
    </row>
    <row r="77">
      <c r="A77" s="25"/>
      <c r="B77" s="23" t="s">
        <v>162</v>
      </c>
      <c r="C77" s="25"/>
    </row>
    <row r="78">
      <c r="A78" s="25"/>
      <c r="B78" s="23" t="s">
        <v>163</v>
      </c>
      <c r="C78" s="25"/>
    </row>
    <row r="79">
      <c r="A79" s="25"/>
      <c r="B79" s="23" t="s">
        <v>164</v>
      </c>
      <c r="C79" s="26" t="s">
        <v>40</v>
      </c>
    </row>
    <row r="80">
      <c r="A80" s="25"/>
      <c r="B80" s="23" t="s">
        <v>165</v>
      </c>
      <c r="C80" s="25"/>
    </row>
    <row r="81">
      <c r="A81" s="25"/>
      <c r="B81" s="23" t="s">
        <v>166</v>
      </c>
      <c r="C81" s="26" t="s">
        <v>40</v>
      </c>
    </row>
    <row r="82">
      <c r="A82" s="25"/>
      <c r="B82" s="23" t="s">
        <v>167</v>
      </c>
      <c r="C82" s="26" t="s">
        <v>40</v>
      </c>
    </row>
    <row r="83">
      <c r="A83" s="25"/>
      <c r="B83" s="23" t="s">
        <v>168</v>
      </c>
      <c r="C83" s="26" t="s">
        <v>40</v>
      </c>
    </row>
    <row r="84">
      <c r="A84" s="25"/>
      <c r="B84" s="23" t="s">
        <v>169</v>
      </c>
      <c r="C84" s="26" t="s">
        <v>40</v>
      </c>
    </row>
    <row r="85">
      <c r="A85" s="21">
        <v>8.0</v>
      </c>
      <c r="B85" s="23" t="s">
        <v>170</v>
      </c>
      <c r="C85" s="26" t="s">
        <v>40</v>
      </c>
    </row>
    <row r="86">
      <c r="A86" s="25"/>
      <c r="B86" s="23" t="s">
        <v>171</v>
      </c>
      <c r="C86" s="26" t="s">
        <v>40</v>
      </c>
    </row>
    <row r="87">
      <c r="A87" s="25"/>
      <c r="B87" s="23" t="s">
        <v>172</v>
      </c>
      <c r="C87" s="26" t="s">
        <v>40</v>
      </c>
    </row>
    <row r="88">
      <c r="A88" s="25"/>
      <c r="B88" s="23" t="s">
        <v>173</v>
      </c>
      <c r="C88" s="26" t="s">
        <v>40</v>
      </c>
    </row>
    <row r="89">
      <c r="A89" s="25"/>
      <c r="B89" s="23" t="s">
        <v>174</v>
      </c>
      <c r="C89" s="26" t="s">
        <v>40</v>
      </c>
    </row>
    <row r="90">
      <c r="A90" s="25"/>
      <c r="B90" s="23" t="s">
        <v>175</v>
      </c>
      <c r="C90" s="26" t="s">
        <v>40</v>
      </c>
    </row>
    <row r="91">
      <c r="A91" s="25"/>
      <c r="B91" s="23" t="s">
        <v>176</v>
      </c>
      <c r="C91" s="26" t="s">
        <v>40</v>
      </c>
    </row>
    <row r="92">
      <c r="A92" s="25"/>
      <c r="B92" s="23" t="s">
        <v>177</v>
      </c>
      <c r="C92" s="26" t="s">
        <v>40</v>
      </c>
    </row>
    <row r="93">
      <c r="A93" s="25"/>
      <c r="B93" s="23" t="s">
        <v>178</v>
      </c>
      <c r="C93" s="26" t="s">
        <v>40</v>
      </c>
    </row>
    <row r="94">
      <c r="A94" s="21">
        <v>9.0</v>
      </c>
      <c r="B94" s="23" t="s">
        <v>179</v>
      </c>
      <c r="C94" s="25"/>
    </row>
    <row r="95">
      <c r="A95" s="25"/>
      <c r="B95" s="23" t="s">
        <v>180</v>
      </c>
      <c r="C95" s="26" t="s">
        <v>40</v>
      </c>
    </row>
    <row r="96">
      <c r="A96" s="25"/>
      <c r="B96" s="23" t="s">
        <v>181</v>
      </c>
      <c r="C96" s="26" t="s">
        <v>40</v>
      </c>
    </row>
    <row r="97">
      <c r="A97" s="25"/>
      <c r="B97" s="23" t="s">
        <v>182</v>
      </c>
      <c r="C97" s="26" t="s">
        <v>40</v>
      </c>
    </row>
    <row r="98">
      <c r="A98" s="25"/>
      <c r="B98" s="23" t="s">
        <v>183</v>
      </c>
      <c r="C98" s="26" t="s">
        <v>40</v>
      </c>
    </row>
    <row r="99">
      <c r="A99" s="25"/>
      <c r="B99" s="23" t="s">
        <v>184</v>
      </c>
      <c r="C99" s="26" t="s">
        <v>40</v>
      </c>
    </row>
    <row r="100">
      <c r="A100" s="25"/>
      <c r="B100" s="23" t="s">
        <v>185</v>
      </c>
      <c r="C100" s="25"/>
    </row>
    <row r="101">
      <c r="A101" s="25"/>
      <c r="B101" s="23" t="s">
        <v>186</v>
      </c>
      <c r="C101" s="25"/>
    </row>
    <row r="102">
      <c r="A102" s="25"/>
      <c r="B102" s="23" t="s">
        <v>187</v>
      </c>
      <c r="C102" s="26" t="s">
        <v>40</v>
      </c>
    </row>
    <row r="103">
      <c r="A103" s="25"/>
      <c r="B103" s="23" t="s">
        <v>188</v>
      </c>
      <c r="C103" s="26" t="s">
        <v>40</v>
      </c>
    </row>
    <row r="104">
      <c r="A104" s="25"/>
      <c r="B104" s="23" t="s">
        <v>189</v>
      </c>
      <c r="C104" s="26" t="s">
        <v>40</v>
      </c>
    </row>
    <row r="105">
      <c r="A105" s="21">
        <v>10.0</v>
      </c>
      <c r="B105" s="23" t="s">
        <v>190</v>
      </c>
      <c r="C105" s="25"/>
    </row>
    <row r="106">
      <c r="A106" s="25"/>
      <c r="B106" s="23" t="s">
        <v>191</v>
      </c>
      <c r="C106" s="25"/>
    </row>
    <row r="107">
      <c r="A107" s="25"/>
      <c r="B107" s="23" t="s">
        <v>192</v>
      </c>
      <c r="C107" s="25"/>
    </row>
    <row r="108">
      <c r="A108" s="25"/>
      <c r="B108" s="23" t="s">
        <v>193</v>
      </c>
      <c r="C108" s="25"/>
    </row>
    <row r="109">
      <c r="A109" s="25"/>
      <c r="B109" s="23" t="s">
        <v>194</v>
      </c>
      <c r="C109" s="25"/>
    </row>
    <row r="110">
      <c r="A110" s="25"/>
      <c r="B110" s="23" t="s">
        <v>195</v>
      </c>
      <c r="C110" s="25"/>
    </row>
    <row r="111">
      <c r="A111" s="25"/>
      <c r="B111" s="23" t="s">
        <v>196</v>
      </c>
      <c r="C111" s="25"/>
    </row>
    <row r="112">
      <c r="A112" s="25"/>
      <c r="B112" s="23" t="s">
        <v>197</v>
      </c>
      <c r="C112" s="25"/>
    </row>
    <row r="113">
      <c r="A113" s="25"/>
      <c r="B113" s="23" t="s">
        <v>198</v>
      </c>
      <c r="C113" s="25"/>
    </row>
    <row r="114">
      <c r="A114" s="25"/>
      <c r="B114" s="23" t="s">
        <v>199</v>
      </c>
      <c r="C114" s="25"/>
    </row>
    <row r="115">
      <c r="A115" s="25"/>
      <c r="B115" s="23" t="s">
        <v>200</v>
      </c>
      <c r="C115" s="25"/>
    </row>
    <row r="116">
      <c r="A116" s="25"/>
      <c r="B116" s="23" t="s">
        <v>201</v>
      </c>
      <c r="C116" s="25"/>
    </row>
    <row r="117">
      <c r="A117" s="25"/>
      <c r="B117" s="23" t="s">
        <v>202</v>
      </c>
      <c r="C117" s="25"/>
    </row>
    <row r="118">
      <c r="A118" s="25"/>
      <c r="B118" s="23" t="s">
        <v>203</v>
      </c>
      <c r="C118" s="25"/>
    </row>
    <row r="119">
      <c r="A119" s="21">
        <v>11.0</v>
      </c>
      <c r="B119" s="23" t="s">
        <v>204</v>
      </c>
      <c r="C119" s="25"/>
    </row>
    <row r="120">
      <c r="A120" s="25"/>
      <c r="B120" s="23" t="s">
        <v>205</v>
      </c>
      <c r="C120" s="25"/>
    </row>
    <row r="121">
      <c r="A121" s="25"/>
      <c r="B121" s="23" t="s">
        <v>206</v>
      </c>
      <c r="C121" s="25"/>
    </row>
    <row r="122">
      <c r="A122" s="25"/>
      <c r="B122" s="23" t="s">
        <v>207</v>
      </c>
      <c r="C122" s="25"/>
    </row>
    <row r="123">
      <c r="A123" s="25"/>
      <c r="B123" s="23" t="s">
        <v>208</v>
      </c>
      <c r="C123" s="25"/>
    </row>
    <row r="124">
      <c r="A124" s="25"/>
      <c r="B124" s="23" t="s">
        <v>209</v>
      </c>
      <c r="C124" s="25"/>
    </row>
    <row r="125">
      <c r="A125" s="25"/>
      <c r="B125" s="23" t="s">
        <v>210</v>
      </c>
      <c r="C125" s="25"/>
    </row>
    <row r="126">
      <c r="A126" s="25"/>
      <c r="B126" s="23" t="s">
        <v>211</v>
      </c>
      <c r="C126" s="25"/>
    </row>
    <row r="127">
      <c r="A127" s="25"/>
      <c r="B127" s="23" t="s">
        <v>212</v>
      </c>
      <c r="C127" s="25"/>
    </row>
    <row r="128">
      <c r="A128" s="25"/>
      <c r="B128" s="23" t="s">
        <v>213</v>
      </c>
      <c r="C128" s="25"/>
    </row>
    <row r="129">
      <c r="A129" s="21">
        <v>12.0</v>
      </c>
      <c r="B129" s="23" t="s">
        <v>214</v>
      </c>
      <c r="C129" s="25"/>
    </row>
    <row r="130">
      <c r="A130" s="25"/>
      <c r="B130" s="23" t="s">
        <v>215</v>
      </c>
      <c r="C130" s="25"/>
    </row>
    <row r="131">
      <c r="A131" s="25"/>
      <c r="B131" s="23" t="s">
        <v>216</v>
      </c>
      <c r="C131" s="25"/>
    </row>
    <row r="132">
      <c r="A132" s="25"/>
      <c r="B132" s="23" t="s">
        <v>217</v>
      </c>
      <c r="C132" s="25"/>
    </row>
    <row r="133">
      <c r="A133" s="25"/>
      <c r="B133" s="23" t="s">
        <v>218</v>
      </c>
      <c r="C133" s="25"/>
    </row>
    <row r="134">
      <c r="A134" s="25"/>
      <c r="B134" s="23" t="s">
        <v>219</v>
      </c>
      <c r="C134" s="25"/>
    </row>
    <row r="135">
      <c r="A135" s="25"/>
      <c r="B135" s="23" t="s">
        <v>220</v>
      </c>
      <c r="C135" s="25"/>
    </row>
    <row r="136">
      <c r="A136" s="25"/>
      <c r="B136" s="23" t="s">
        <v>221</v>
      </c>
      <c r="C136" s="25"/>
    </row>
    <row r="137">
      <c r="A137" s="25"/>
      <c r="B137" s="23" t="s">
        <v>222</v>
      </c>
      <c r="C137" s="25"/>
    </row>
    <row r="138">
      <c r="A138" s="25"/>
      <c r="B138" s="23" t="s">
        <v>223</v>
      </c>
      <c r="C138" s="25"/>
    </row>
    <row r="139">
      <c r="A139" s="25"/>
      <c r="B139" s="23" t="s">
        <v>224</v>
      </c>
      <c r="C139" s="25"/>
    </row>
    <row r="140">
      <c r="A140" s="25"/>
      <c r="B140" s="23" t="s">
        <v>225</v>
      </c>
      <c r="C140" s="25"/>
    </row>
    <row r="141">
      <c r="A141" s="21">
        <v>13.0</v>
      </c>
      <c r="B141" s="23" t="s">
        <v>226</v>
      </c>
      <c r="C141" s="25"/>
    </row>
    <row r="142">
      <c r="A142" s="25"/>
      <c r="B142" s="23" t="s">
        <v>227</v>
      </c>
      <c r="C142" s="25"/>
    </row>
    <row r="143">
      <c r="A143" s="25"/>
      <c r="B143" s="23" t="s">
        <v>228</v>
      </c>
      <c r="C143" s="25"/>
    </row>
    <row r="144">
      <c r="A144" s="25"/>
      <c r="B144" s="23" t="s">
        <v>229</v>
      </c>
      <c r="C144" s="25"/>
    </row>
    <row r="145">
      <c r="A145" s="25"/>
      <c r="B145" s="23" t="s">
        <v>230</v>
      </c>
      <c r="C145" s="25"/>
    </row>
    <row r="146">
      <c r="A146" s="21">
        <v>14.0</v>
      </c>
      <c r="B146" s="23" t="s">
        <v>231</v>
      </c>
      <c r="C146" s="25"/>
    </row>
    <row r="147">
      <c r="A147" s="25"/>
      <c r="B147" s="23" t="s">
        <v>232</v>
      </c>
      <c r="C147" s="25"/>
    </row>
    <row r="148">
      <c r="A148" s="25"/>
      <c r="B148" s="23" t="s">
        <v>233</v>
      </c>
      <c r="C148" s="25"/>
    </row>
    <row r="149">
      <c r="A149" s="25"/>
      <c r="B149" s="23" t="s">
        <v>234</v>
      </c>
      <c r="C149" s="25"/>
    </row>
    <row r="150">
      <c r="A150" s="25"/>
      <c r="B150" s="23" t="s">
        <v>235</v>
      </c>
      <c r="C150" s="25"/>
    </row>
    <row r="151">
      <c r="A151" s="25"/>
      <c r="B151" s="23" t="s">
        <v>134</v>
      </c>
      <c r="C151" s="25"/>
    </row>
    <row r="152">
      <c r="A152" s="21">
        <v>15.0</v>
      </c>
      <c r="B152" s="23" t="s">
        <v>236</v>
      </c>
      <c r="C152" s="25"/>
    </row>
    <row r="153">
      <c r="A153" s="25"/>
      <c r="B153" s="23" t="s">
        <v>237</v>
      </c>
      <c r="C153" s="25"/>
    </row>
    <row r="154">
      <c r="A154" s="25"/>
      <c r="B154" s="23" t="s">
        <v>238</v>
      </c>
      <c r="C154" s="25"/>
    </row>
    <row r="155">
      <c r="A155" s="25"/>
      <c r="B155" s="23" t="s">
        <v>239</v>
      </c>
      <c r="C155" s="25"/>
    </row>
    <row r="156">
      <c r="A156" s="25"/>
      <c r="B156" s="23" t="s">
        <v>240</v>
      </c>
      <c r="C156" s="25"/>
    </row>
    <row r="157">
      <c r="A157" s="25"/>
      <c r="B157" s="23" t="s">
        <v>241</v>
      </c>
      <c r="C157" s="25"/>
    </row>
    <row r="158">
      <c r="A158" s="25"/>
      <c r="B158" s="23" t="s">
        <v>242</v>
      </c>
      <c r="C158" s="25"/>
    </row>
    <row r="159">
      <c r="A159" s="25"/>
      <c r="B159" s="23" t="s">
        <v>243</v>
      </c>
      <c r="C159" s="25"/>
    </row>
    <row r="160">
      <c r="A160" s="25"/>
      <c r="B160" s="23" t="s">
        <v>244</v>
      </c>
      <c r="C160" s="25"/>
    </row>
    <row r="161">
      <c r="A161" s="25"/>
      <c r="B161" s="23" t="s">
        <v>245</v>
      </c>
      <c r="C161" s="25"/>
    </row>
    <row r="162">
      <c r="A162" s="25"/>
      <c r="B162" s="23" t="s">
        <v>246</v>
      </c>
      <c r="C162" s="25"/>
    </row>
    <row r="163">
      <c r="A163" s="25"/>
      <c r="B163" s="23" t="s">
        <v>247</v>
      </c>
      <c r="C163" s="25"/>
    </row>
    <row r="164">
      <c r="A164" s="25"/>
      <c r="B164" s="23" t="s">
        <v>248</v>
      </c>
      <c r="C164" s="25"/>
    </row>
    <row r="165">
      <c r="A165" s="21">
        <v>16.0</v>
      </c>
      <c r="B165" s="23" t="s">
        <v>249</v>
      </c>
      <c r="C165" s="25"/>
    </row>
    <row r="166">
      <c r="A166" s="25"/>
      <c r="B166" s="23" t="s">
        <v>250</v>
      </c>
      <c r="C166" s="25"/>
    </row>
    <row r="167">
      <c r="A167" s="25"/>
      <c r="B167" s="23" t="s">
        <v>251</v>
      </c>
      <c r="C167" s="25"/>
    </row>
    <row r="168">
      <c r="A168" s="25"/>
      <c r="B168" s="23" t="s">
        <v>252</v>
      </c>
      <c r="C168" s="25"/>
    </row>
    <row r="169">
      <c r="A169" s="25"/>
      <c r="B169" s="23" t="s">
        <v>253</v>
      </c>
      <c r="C169" s="25"/>
    </row>
    <row r="170">
      <c r="A170" s="25"/>
      <c r="B170" s="23" t="s">
        <v>254</v>
      </c>
      <c r="C170" s="25"/>
    </row>
    <row r="171">
      <c r="A171" s="25"/>
      <c r="B171" s="23" t="s">
        <v>255</v>
      </c>
      <c r="C171" s="25"/>
    </row>
    <row r="172">
      <c r="A172" s="25"/>
      <c r="B172" s="23" t="s">
        <v>256</v>
      </c>
      <c r="C172" s="25"/>
    </row>
    <row r="173">
      <c r="A173" s="25"/>
      <c r="B173" s="23" t="s">
        <v>257</v>
      </c>
      <c r="C173" s="25"/>
    </row>
    <row r="174">
      <c r="A174" s="25"/>
      <c r="B174" s="23" t="s">
        <v>258</v>
      </c>
      <c r="C174" s="25"/>
    </row>
    <row r="175">
      <c r="A175" s="25"/>
      <c r="B175" s="23" t="s">
        <v>259</v>
      </c>
      <c r="C175" s="25"/>
    </row>
    <row r="176">
      <c r="A176" s="25"/>
      <c r="B176" s="23" t="s">
        <v>260</v>
      </c>
      <c r="C176" s="25"/>
    </row>
    <row r="177">
      <c r="A177" s="21">
        <v>17.0</v>
      </c>
      <c r="B177" s="23" t="s">
        <v>261</v>
      </c>
      <c r="C177" s="25"/>
    </row>
    <row r="178">
      <c r="A178" s="25"/>
      <c r="B178" s="23" t="s">
        <v>262</v>
      </c>
      <c r="C178" s="25"/>
    </row>
    <row r="179">
      <c r="A179" s="25"/>
      <c r="B179" s="23" t="s">
        <v>263</v>
      </c>
      <c r="C179" s="25"/>
    </row>
    <row r="180">
      <c r="A180" s="25"/>
      <c r="B180" s="23" t="s">
        <v>264</v>
      </c>
      <c r="C180" s="25"/>
    </row>
    <row r="181">
      <c r="A181" s="25"/>
      <c r="B181" s="23" t="s">
        <v>265</v>
      </c>
      <c r="C181" s="25"/>
    </row>
    <row r="182">
      <c r="A182" s="25"/>
      <c r="B182" s="23" t="s">
        <v>266</v>
      </c>
      <c r="C182" s="25"/>
    </row>
    <row r="183">
      <c r="A183" s="25"/>
      <c r="B183" s="23" t="s">
        <v>267</v>
      </c>
      <c r="C183" s="25"/>
    </row>
    <row r="184">
      <c r="A184" s="25"/>
      <c r="B184" s="23" t="s">
        <v>268</v>
      </c>
      <c r="C184" s="25"/>
    </row>
    <row r="185">
      <c r="A185" s="25"/>
      <c r="B185" s="23" t="s">
        <v>269</v>
      </c>
      <c r="C185" s="25"/>
    </row>
    <row r="186">
      <c r="A186" s="25"/>
      <c r="B186" s="23" t="s">
        <v>270</v>
      </c>
      <c r="C186" s="25"/>
    </row>
    <row r="187">
      <c r="A187" s="21">
        <v>18.0</v>
      </c>
      <c r="B187" s="23" t="s">
        <v>271</v>
      </c>
      <c r="C187" s="25"/>
    </row>
    <row r="188">
      <c r="A188" s="25"/>
      <c r="B188" s="23" t="s">
        <v>272</v>
      </c>
      <c r="C188" s="25"/>
    </row>
    <row r="189">
      <c r="A189" s="25"/>
      <c r="B189" s="23" t="s">
        <v>273</v>
      </c>
      <c r="C189" s="25"/>
    </row>
    <row r="190">
      <c r="A190" s="25"/>
      <c r="B190" s="23" t="s">
        <v>274</v>
      </c>
      <c r="C190" s="25"/>
    </row>
    <row r="191">
      <c r="A191" s="25"/>
      <c r="B191" s="23" t="s">
        <v>275</v>
      </c>
      <c r="C191" s="25"/>
    </row>
    <row r="192">
      <c r="A192" s="25"/>
      <c r="B192" s="23" t="s">
        <v>276</v>
      </c>
      <c r="C192" s="25"/>
    </row>
    <row r="193">
      <c r="A193" s="25"/>
      <c r="B193" s="23" t="s">
        <v>277</v>
      </c>
      <c r="C193" s="25"/>
    </row>
    <row r="194">
      <c r="A194" s="25"/>
      <c r="B194" s="23" t="s">
        <v>278</v>
      </c>
      <c r="C194" s="25"/>
    </row>
    <row r="195">
      <c r="A195" s="25"/>
      <c r="B195" s="23" t="s">
        <v>279</v>
      </c>
      <c r="C195" s="25"/>
    </row>
    <row r="196">
      <c r="A196" s="25"/>
      <c r="B196" s="23" t="s">
        <v>280</v>
      </c>
      <c r="C196" s="25"/>
    </row>
    <row r="197">
      <c r="A197" s="25"/>
      <c r="B197" s="23" t="s">
        <v>281</v>
      </c>
      <c r="C197" s="25"/>
    </row>
    <row r="198">
      <c r="A198" s="25"/>
      <c r="B198" s="23" t="s">
        <v>282</v>
      </c>
      <c r="C198" s="25"/>
    </row>
    <row r="199">
      <c r="A199" s="25"/>
      <c r="B199" s="23" t="s">
        <v>283</v>
      </c>
      <c r="C199" s="25"/>
    </row>
    <row r="200">
      <c r="A200" s="21">
        <v>19.0</v>
      </c>
      <c r="B200" s="23" t="s">
        <v>284</v>
      </c>
      <c r="C200" s="25"/>
    </row>
    <row r="201">
      <c r="A201" s="25"/>
      <c r="B201" s="23" t="s">
        <v>285</v>
      </c>
      <c r="C201" s="25"/>
    </row>
    <row r="202">
      <c r="A202" s="25"/>
      <c r="B202" s="23" t="s">
        <v>286</v>
      </c>
      <c r="C202" s="25"/>
    </row>
    <row r="203">
      <c r="A203" s="25"/>
      <c r="B203" s="23" t="s">
        <v>287</v>
      </c>
      <c r="C203" s="25"/>
    </row>
    <row r="204">
      <c r="A204" s="25"/>
      <c r="B204" s="23" t="s">
        <v>288</v>
      </c>
      <c r="C204" s="25"/>
    </row>
    <row r="205">
      <c r="A205" s="25"/>
      <c r="B205" s="23" t="s">
        <v>289</v>
      </c>
      <c r="C205" s="25"/>
    </row>
    <row r="206">
      <c r="A206" s="25"/>
      <c r="B206" s="23" t="s">
        <v>290</v>
      </c>
      <c r="C206" s="25"/>
    </row>
    <row r="207">
      <c r="A207" s="25"/>
      <c r="B207" s="23" t="s">
        <v>291</v>
      </c>
      <c r="C207" s="25"/>
    </row>
    <row r="208">
      <c r="A208" s="25"/>
      <c r="B208" s="23" t="s">
        <v>292</v>
      </c>
      <c r="C208" s="25"/>
    </row>
    <row r="209">
      <c r="A209" s="25"/>
      <c r="B209" s="23" t="s">
        <v>293</v>
      </c>
      <c r="C209" s="25"/>
    </row>
    <row r="210">
      <c r="A210" s="25"/>
      <c r="B210" s="23" t="s">
        <v>294</v>
      </c>
      <c r="C210" s="25"/>
    </row>
    <row r="211">
      <c r="A211" s="25"/>
      <c r="B211" s="23" t="s">
        <v>295</v>
      </c>
      <c r="C211" s="25"/>
    </row>
    <row r="212">
      <c r="A212" s="25"/>
      <c r="B212" s="23" t="s">
        <v>296</v>
      </c>
      <c r="C212" s="25"/>
    </row>
    <row r="213">
      <c r="A213" s="25"/>
      <c r="B213" s="23" t="s">
        <v>297</v>
      </c>
      <c r="C213" s="25"/>
    </row>
    <row r="214">
      <c r="A214" s="21">
        <v>20.0</v>
      </c>
      <c r="B214" s="23" t="s">
        <v>298</v>
      </c>
      <c r="C214" s="25"/>
    </row>
    <row r="215">
      <c r="A215" s="25"/>
      <c r="B215" s="23" t="s">
        <v>299</v>
      </c>
      <c r="C215" s="25"/>
    </row>
    <row r="216">
      <c r="A216" s="25"/>
      <c r="B216" s="23" t="s">
        <v>300</v>
      </c>
      <c r="C216" s="25"/>
    </row>
    <row r="217">
      <c r="A217" s="25"/>
      <c r="B217" s="23" t="s">
        <v>301</v>
      </c>
      <c r="C217" s="25"/>
    </row>
    <row r="218">
      <c r="A218" s="25"/>
      <c r="B218" s="23" t="s">
        <v>302</v>
      </c>
      <c r="C218" s="25"/>
    </row>
    <row r="219">
      <c r="A219" s="21">
        <v>21.0</v>
      </c>
      <c r="B219" s="23" t="s">
        <v>303</v>
      </c>
      <c r="C219" s="25"/>
    </row>
    <row r="220">
      <c r="A220" s="25"/>
      <c r="B220" s="23" t="s">
        <v>232</v>
      </c>
      <c r="C220" s="25"/>
    </row>
    <row r="221">
      <c r="A221" s="25"/>
      <c r="B221" s="23" t="s">
        <v>233</v>
      </c>
      <c r="C221" s="25"/>
    </row>
    <row r="222">
      <c r="A222" s="25"/>
      <c r="B222" s="23" t="s">
        <v>304</v>
      </c>
      <c r="C222" s="25"/>
    </row>
    <row r="223">
      <c r="A223" s="25"/>
      <c r="B223" s="23" t="s">
        <v>305</v>
      </c>
      <c r="C223" s="25"/>
    </row>
    <row r="224">
      <c r="A224" s="25"/>
      <c r="B224" s="23" t="s">
        <v>134</v>
      </c>
      <c r="C224" s="25"/>
    </row>
    <row r="225">
      <c r="A225" s="21">
        <v>22.0</v>
      </c>
      <c r="B225" s="23" t="s">
        <v>306</v>
      </c>
      <c r="C225" s="25"/>
    </row>
    <row r="226">
      <c r="A226" s="25"/>
      <c r="B226" s="23" t="s">
        <v>307</v>
      </c>
      <c r="C226" s="25"/>
    </row>
    <row r="227">
      <c r="A227" s="25"/>
      <c r="B227" s="23" t="s">
        <v>308</v>
      </c>
      <c r="C227" s="25"/>
    </row>
    <row r="228">
      <c r="A228" s="25"/>
      <c r="B228" s="23" t="s">
        <v>309</v>
      </c>
      <c r="C228" s="25"/>
    </row>
    <row r="229">
      <c r="A229" s="25"/>
      <c r="B229" s="23" t="s">
        <v>310</v>
      </c>
      <c r="C229" s="25"/>
    </row>
    <row r="230">
      <c r="A230" s="25"/>
      <c r="B230" s="23" t="s">
        <v>311</v>
      </c>
      <c r="C230" s="25"/>
    </row>
    <row r="231">
      <c r="A231" s="25"/>
      <c r="B231" s="23" t="s">
        <v>312</v>
      </c>
      <c r="C231" s="25"/>
    </row>
    <row r="232">
      <c r="A232" s="25"/>
      <c r="B232" s="23" t="s">
        <v>313</v>
      </c>
      <c r="C232" s="25"/>
    </row>
    <row r="233">
      <c r="A233" s="25"/>
      <c r="B233" s="23" t="s">
        <v>314</v>
      </c>
      <c r="C233" s="25"/>
    </row>
    <row r="234">
      <c r="A234" s="25"/>
      <c r="B234" s="23" t="s">
        <v>315</v>
      </c>
      <c r="C234" s="25"/>
    </row>
    <row r="235">
      <c r="A235" s="25"/>
      <c r="B235" s="23" t="s">
        <v>316</v>
      </c>
      <c r="C235" s="25"/>
    </row>
    <row r="236">
      <c r="A236" s="21">
        <v>23.0</v>
      </c>
      <c r="B236" s="23" t="s">
        <v>317</v>
      </c>
      <c r="C236" s="25"/>
    </row>
    <row r="237">
      <c r="A237" s="25"/>
      <c r="B237" s="23" t="s">
        <v>318</v>
      </c>
      <c r="C237" s="25"/>
    </row>
    <row r="238">
      <c r="A238" s="25"/>
      <c r="B238" s="23" t="s">
        <v>319</v>
      </c>
      <c r="C238" s="25"/>
    </row>
    <row r="239">
      <c r="A239" s="25"/>
      <c r="B239" s="23" t="s">
        <v>320</v>
      </c>
      <c r="C239" s="25"/>
    </row>
    <row r="240">
      <c r="A240" s="25"/>
      <c r="B240" s="23" t="s">
        <v>321</v>
      </c>
      <c r="C240" s="25"/>
    </row>
    <row r="241">
      <c r="A241" s="25"/>
      <c r="B241" s="23" t="s">
        <v>322</v>
      </c>
      <c r="C241" s="25"/>
    </row>
    <row r="242">
      <c r="A242" s="25"/>
      <c r="B242" s="23" t="s">
        <v>323</v>
      </c>
      <c r="C242" s="25"/>
    </row>
    <row r="243">
      <c r="A243" s="25"/>
      <c r="B243" s="23" t="s">
        <v>324</v>
      </c>
      <c r="C243" s="25"/>
    </row>
    <row r="244">
      <c r="A244" s="25"/>
      <c r="B244" s="23" t="s">
        <v>325</v>
      </c>
      <c r="C244" s="25"/>
    </row>
    <row r="245">
      <c r="A245" s="25"/>
      <c r="B245" s="23" t="s">
        <v>326</v>
      </c>
      <c r="C245" s="25"/>
    </row>
    <row r="246">
      <c r="A246" s="25"/>
      <c r="B246" s="23" t="s">
        <v>327</v>
      </c>
      <c r="C246" s="25"/>
    </row>
    <row r="247">
      <c r="A247" s="25"/>
      <c r="B247" s="23" t="s">
        <v>328</v>
      </c>
      <c r="C247" s="25"/>
    </row>
    <row r="248">
      <c r="A248" s="25"/>
      <c r="B248" s="23" t="s">
        <v>329</v>
      </c>
      <c r="C248" s="25"/>
    </row>
    <row r="249">
      <c r="A249" s="21">
        <v>24.0</v>
      </c>
      <c r="B249" s="23" t="s">
        <v>330</v>
      </c>
      <c r="C249" s="25"/>
    </row>
    <row r="250">
      <c r="A250" s="25"/>
      <c r="B250" s="23" t="s">
        <v>331</v>
      </c>
      <c r="C250" s="25"/>
    </row>
    <row r="251">
      <c r="A251" s="25"/>
      <c r="B251" s="23" t="s">
        <v>332</v>
      </c>
      <c r="C251" s="25"/>
    </row>
    <row r="252">
      <c r="A252" s="25"/>
      <c r="B252" s="23" t="s">
        <v>333</v>
      </c>
      <c r="C252" s="25"/>
    </row>
    <row r="253">
      <c r="A253" s="25"/>
      <c r="B253" s="23" t="s">
        <v>334</v>
      </c>
      <c r="C253" s="25"/>
    </row>
    <row r="254">
      <c r="A254" s="25"/>
      <c r="B254" s="23" t="s">
        <v>335</v>
      </c>
      <c r="C254" s="25"/>
    </row>
    <row r="255">
      <c r="A255" s="25"/>
      <c r="B255" s="23" t="s">
        <v>336</v>
      </c>
      <c r="C255" s="25"/>
    </row>
    <row r="256">
      <c r="A256" s="25"/>
      <c r="B256" s="23" t="s">
        <v>337</v>
      </c>
      <c r="C256" s="25"/>
    </row>
    <row r="257">
      <c r="A257" s="25"/>
      <c r="B257" s="23" t="s">
        <v>338</v>
      </c>
      <c r="C257" s="25"/>
    </row>
    <row r="258">
      <c r="A258" s="25"/>
      <c r="B258" s="23" t="s">
        <v>339</v>
      </c>
      <c r="C258" s="25"/>
    </row>
    <row r="259">
      <c r="A259" s="25"/>
      <c r="B259" s="23" t="s">
        <v>340</v>
      </c>
      <c r="C259" s="25"/>
    </row>
    <row r="260">
      <c r="A260" s="21">
        <v>25.0</v>
      </c>
      <c r="B260" s="23" t="s">
        <v>341</v>
      </c>
      <c r="C260" s="25"/>
    </row>
    <row r="261">
      <c r="A261" s="25"/>
      <c r="B261" s="23" t="s">
        <v>342</v>
      </c>
      <c r="C261" s="25"/>
    </row>
    <row r="262">
      <c r="A262" s="25"/>
      <c r="B262" s="23" t="s">
        <v>343</v>
      </c>
      <c r="C262" s="25"/>
    </row>
    <row r="263">
      <c r="A263" s="25"/>
      <c r="B263" s="23" t="s">
        <v>344</v>
      </c>
      <c r="C263" s="25"/>
    </row>
    <row r="264">
      <c r="A264" s="25"/>
      <c r="B264" s="23" t="s">
        <v>345</v>
      </c>
      <c r="C264" s="25"/>
    </row>
    <row r="265">
      <c r="A265" s="25"/>
      <c r="B265" s="23" t="s">
        <v>346</v>
      </c>
      <c r="C265" s="25"/>
    </row>
    <row r="266">
      <c r="A266" s="25"/>
      <c r="B266" s="23" t="s">
        <v>347</v>
      </c>
      <c r="C266" s="25"/>
    </row>
    <row r="267">
      <c r="A267" s="25"/>
      <c r="B267" s="23" t="s">
        <v>348</v>
      </c>
      <c r="C267" s="25"/>
    </row>
    <row r="268">
      <c r="A268" s="25"/>
      <c r="B268" s="23" t="s">
        <v>349</v>
      </c>
      <c r="C268" s="25"/>
    </row>
    <row r="269">
      <c r="A269" s="25"/>
      <c r="B269" s="23" t="s">
        <v>350</v>
      </c>
      <c r="C269" s="25"/>
    </row>
    <row r="270">
      <c r="A270" s="25"/>
      <c r="B270" s="23" t="s">
        <v>351</v>
      </c>
      <c r="C270" s="25"/>
    </row>
    <row r="271">
      <c r="A271" s="21">
        <v>26.0</v>
      </c>
      <c r="B271" s="23" t="s">
        <v>352</v>
      </c>
      <c r="C271" s="25"/>
    </row>
    <row r="272">
      <c r="A272" s="25"/>
      <c r="B272" s="23" t="s">
        <v>353</v>
      </c>
      <c r="C272" s="25"/>
    </row>
    <row r="273">
      <c r="A273" s="25"/>
      <c r="B273" s="23" t="s">
        <v>354</v>
      </c>
      <c r="C273" s="25"/>
    </row>
    <row r="274">
      <c r="A274" s="25"/>
      <c r="B274" s="23" t="s">
        <v>355</v>
      </c>
      <c r="C274" s="25"/>
    </row>
    <row r="275">
      <c r="A275" s="25"/>
      <c r="B275" s="23" t="s">
        <v>356</v>
      </c>
      <c r="C275" s="25"/>
    </row>
    <row r="276">
      <c r="A276" s="25"/>
      <c r="B276" s="23" t="s">
        <v>357</v>
      </c>
      <c r="C276" s="25"/>
    </row>
    <row r="277">
      <c r="A277" s="25"/>
      <c r="B277" s="23" t="s">
        <v>358</v>
      </c>
      <c r="C277" s="25"/>
    </row>
    <row r="278">
      <c r="A278" s="25"/>
      <c r="B278" s="23" t="s">
        <v>359</v>
      </c>
      <c r="C278" s="25"/>
    </row>
    <row r="279">
      <c r="A279" s="25"/>
      <c r="B279" s="23" t="s">
        <v>360</v>
      </c>
      <c r="C279" s="25"/>
    </row>
    <row r="280">
      <c r="A280" s="25"/>
      <c r="B280" s="23" t="s">
        <v>361</v>
      </c>
      <c r="C280" s="25"/>
    </row>
    <row r="281">
      <c r="A281" s="25"/>
      <c r="B281" s="23" t="s">
        <v>362</v>
      </c>
      <c r="C281" s="25"/>
    </row>
    <row r="282">
      <c r="A282" s="25"/>
      <c r="B282" s="23" t="s">
        <v>363</v>
      </c>
      <c r="C282" s="25"/>
    </row>
    <row r="283">
      <c r="A283" s="25"/>
      <c r="B283" s="23" t="s">
        <v>364</v>
      </c>
      <c r="C283" s="25"/>
    </row>
    <row r="284">
      <c r="A284" s="21">
        <v>27.0</v>
      </c>
      <c r="B284" s="23" t="s">
        <v>365</v>
      </c>
      <c r="C284" s="25"/>
    </row>
    <row r="285">
      <c r="A285" s="25"/>
      <c r="B285" s="23" t="s">
        <v>366</v>
      </c>
      <c r="C285" s="25"/>
    </row>
    <row r="286">
      <c r="A286" s="25"/>
      <c r="B286" s="23" t="s">
        <v>367</v>
      </c>
      <c r="C286" s="25"/>
    </row>
    <row r="287">
      <c r="A287" s="25"/>
      <c r="B287" s="23" t="s">
        <v>368</v>
      </c>
      <c r="C287" s="25"/>
    </row>
    <row r="288">
      <c r="A288" s="25"/>
      <c r="B288" s="23" t="s">
        <v>369</v>
      </c>
      <c r="C288" s="25"/>
    </row>
    <row r="289">
      <c r="A289" s="25"/>
      <c r="B289" s="23" t="s">
        <v>370</v>
      </c>
      <c r="C289" s="25"/>
    </row>
    <row r="290">
      <c r="A290" s="25"/>
      <c r="B290" s="23" t="s">
        <v>371</v>
      </c>
      <c r="C290" s="25"/>
    </row>
    <row r="291">
      <c r="A291" s="25"/>
      <c r="B291" s="23" t="s">
        <v>372</v>
      </c>
      <c r="C291" s="25"/>
    </row>
    <row r="292">
      <c r="A292" s="25"/>
      <c r="B292" s="23" t="s">
        <v>373</v>
      </c>
      <c r="C292" s="25"/>
    </row>
    <row r="293">
      <c r="A293" s="25"/>
      <c r="B293" s="23" t="s">
        <v>374</v>
      </c>
      <c r="C293" s="25"/>
    </row>
    <row r="294">
      <c r="A294" s="25"/>
      <c r="B294" s="23" t="s">
        <v>375</v>
      </c>
      <c r="C294" s="25"/>
    </row>
    <row r="295">
      <c r="A295" s="21">
        <v>28.0</v>
      </c>
      <c r="B295" s="23" t="s">
        <v>376</v>
      </c>
      <c r="C295" s="25"/>
    </row>
    <row r="296">
      <c r="A296" s="25"/>
      <c r="B296" s="23" t="s">
        <v>377</v>
      </c>
      <c r="C296" s="25"/>
    </row>
    <row r="297">
      <c r="A297" s="25"/>
      <c r="B297" s="23" t="s">
        <v>378</v>
      </c>
      <c r="C297" s="25"/>
    </row>
    <row r="298">
      <c r="A298" s="25"/>
      <c r="B298" s="23" t="s">
        <v>379</v>
      </c>
      <c r="C298" s="25"/>
    </row>
    <row r="299">
      <c r="A299" s="25"/>
      <c r="B299" s="23" t="s">
        <v>380</v>
      </c>
      <c r="C299" s="25"/>
    </row>
    <row r="300">
      <c r="A300" s="25"/>
      <c r="B300" s="23" t="s">
        <v>381</v>
      </c>
      <c r="C300" s="25"/>
    </row>
    <row r="301">
      <c r="A301" s="25"/>
      <c r="B301" s="23" t="s">
        <v>382</v>
      </c>
      <c r="C301" s="25"/>
    </row>
    <row r="302">
      <c r="A302" s="25"/>
      <c r="B302" s="23" t="s">
        <v>383</v>
      </c>
      <c r="C302" s="25"/>
    </row>
    <row r="303">
      <c r="A303" s="25"/>
      <c r="B303" s="23" t="s">
        <v>384</v>
      </c>
      <c r="C303" s="25"/>
    </row>
    <row r="304">
      <c r="A304" s="25"/>
      <c r="B304" s="23" t="s">
        <v>385</v>
      </c>
      <c r="C304" s="25"/>
    </row>
    <row r="305">
      <c r="A305" s="21">
        <v>29.0</v>
      </c>
      <c r="B305" s="23" t="s">
        <v>386</v>
      </c>
      <c r="C305" s="25"/>
    </row>
    <row r="306">
      <c r="A306" s="25"/>
      <c r="B306" s="23" t="s">
        <v>387</v>
      </c>
      <c r="C306" s="25"/>
    </row>
    <row r="307">
      <c r="A307" s="25"/>
      <c r="B307" s="23" t="s">
        <v>388</v>
      </c>
      <c r="C307" s="25"/>
    </row>
    <row r="308">
      <c r="A308" s="25"/>
      <c r="B308" s="23" t="s">
        <v>389</v>
      </c>
      <c r="C308" s="25"/>
    </row>
    <row r="309">
      <c r="A309" s="25"/>
      <c r="B309" s="23" t="s">
        <v>390</v>
      </c>
      <c r="C309" s="25"/>
    </row>
    <row r="310">
      <c r="A310" s="25"/>
      <c r="B310" s="23" t="s">
        <v>391</v>
      </c>
      <c r="C310" s="25"/>
    </row>
    <row r="311">
      <c r="A311" s="21">
        <v>30.0</v>
      </c>
      <c r="B311" s="23" t="s">
        <v>392</v>
      </c>
      <c r="C311" s="25"/>
    </row>
    <row r="312">
      <c r="A312" s="25"/>
      <c r="B312" s="23" t="s">
        <v>232</v>
      </c>
      <c r="C312" s="25"/>
    </row>
    <row r="313">
      <c r="A313" s="25"/>
      <c r="B313" s="23" t="s">
        <v>233</v>
      </c>
      <c r="C313" s="25"/>
    </row>
    <row r="314">
      <c r="A314" s="25"/>
      <c r="B314" s="23" t="s">
        <v>393</v>
      </c>
      <c r="C314" s="25"/>
    </row>
    <row r="315">
      <c r="A315" s="25"/>
      <c r="B315" s="23" t="s">
        <v>394</v>
      </c>
      <c r="C315" s="25"/>
    </row>
    <row r="316">
      <c r="A316" s="25"/>
      <c r="B316" s="23" t="s">
        <v>134</v>
      </c>
      <c r="C316" s="25"/>
    </row>
    <row r="317">
      <c r="A317" s="21">
        <v>31.0</v>
      </c>
      <c r="B317" s="23" t="s">
        <v>395</v>
      </c>
      <c r="C317" s="25"/>
    </row>
    <row r="318">
      <c r="A318" s="25"/>
      <c r="B318" s="23" t="s">
        <v>396</v>
      </c>
      <c r="C318" s="25"/>
    </row>
    <row r="319">
      <c r="A319" s="25"/>
      <c r="B319" s="23" t="s">
        <v>397</v>
      </c>
      <c r="C319" s="25"/>
    </row>
    <row r="320">
      <c r="A320" s="25"/>
      <c r="B320" s="23" t="s">
        <v>398</v>
      </c>
      <c r="C320" s="25"/>
    </row>
    <row r="321">
      <c r="A321" s="25"/>
      <c r="B321" s="23" t="s">
        <v>399</v>
      </c>
      <c r="C321" s="25"/>
    </row>
    <row r="322">
      <c r="A322" s="25"/>
      <c r="B322" s="23" t="s">
        <v>400</v>
      </c>
      <c r="C322" s="25"/>
    </row>
    <row r="323">
      <c r="A323" s="25"/>
      <c r="B323" s="23" t="s">
        <v>401</v>
      </c>
      <c r="C323" s="25"/>
    </row>
    <row r="324">
      <c r="A324" s="25"/>
      <c r="B324" s="23" t="s">
        <v>402</v>
      </c>
      <c r="C324" s="25"/>
    </row>
    <row r="325">
      <c r="A325" s="25"/>
      <c r="B325" s="23" t="s">
        <v>403</v>
      </c>
      <c r="C325" s="25"/>
    </row>
    <row r="326">
      <c r="A326" s="25"/>
      <c r="B326" s="23" t="s">
        <v>404</v>
      </c>
      <c r="C326" s="25"/>
    </row>
    <row r="327">
      <c r="A327" s="25"/>
      <c r="B327" s="23" t="s">
        <v>405</v>
      </c>
      <c r="C327" s="25"/>
    </row>
    <row r="328">
      <c r="A328" s="25"/>
      <c r="B328" s="23" t="s">
        <v>406</v>
      </c>
      <c r="C328" s="25"/>
    </row>
    <row r="329">
      <c r="A329" s="21">
        <v>32.0</v>
      </c>
      <c r="B329" s="23" t="s">
        <v>407</v>
      </c>
      <c r="C329" s="25"/>
    </row>
    <row r="330">
      <c r="A330" s="25"/>
      <c r="B330" s="23" t="s">
        <v>408</v>
      </c>
      <c r="C330" s="25"/>
    </row>
    <row r="331">
      <c r="A331" s="25"/>
      <c r="B331" s="23" t="s">
        <v>409</v>
      </c>
      <c r="C331" s="25"/>
    </row>
    <row r="332">
      <c r="A332" s="25"/>
      <c r="B332" s="23" t="s">
        <v>410</v>
      </c>
      <c r="C332" s="25"/>
    </row>
    <row r="333">
      <c r="A333" s="25"/>
      <c r="B333" s="23" t="s">
        <v>411</v>
      </c>
      <c r="C333" s="25"/>
    </row>
    <row r="334">
      <c r="A334" s="25"/>
      <c r="B334" s="23" t="s">
        <v>412</v>
      </c>
      <c r="C334" s="25"/>
    </row>
    <row r="335">
      <c r="A335" s="25"/>
      <c r="B335" s="23" t="s">
        <v>413</v>
      </c>
      <c r="C335" s="25"/>
    </row>
    <row r="336">
      <c r="A336" s="25"/>
      <c r="B336" s="23" t="s">
        <v>414</v>
      </c>
      <c r="C336" s="25"/>
    </row>
    <row r="337">
      <c r="A337" s="25"/>
      <c r="B337" s="23" t="s">
        <v>415</v>
      </c>
      <c r="C337" s="25"/>
    </row>
    <row r="338">
      <c r="A338" s="25"/>
      <c r="B338" s="23" t="s">
        <v>416</v>
      </c>
      <c r="C338" s="25"/>
    </row>
    <row r="339">
      <c r="A339" s="25"/>
      <c r="B339" s="23" t="s">
        <v>417</v>
      </c>
      <c r="C339" s="25"/>
    </row>
    <row r="340">
      <c r="A340" s="25"/>
      <c r="B340" s="23" t="s">
        <v>418</v>
      </c>
      <c r="C340" s="25"/>
    </row>
    <row r="341">
      <c r="A341" s="21">
        <v>33.0</v>
      </c>
      <c r="B341" s="23" t="s">
        <v>419</v>
      </c>
      <c r="C341" s="25"/>
    </row>
    <row r="342">
      <c r="A342" s="25"/>
      <c r="B342" s="23" t="s">
        <v>420</v>
      </c>
      <c r="C342" s="25"/>
    </row>
    <row r="343">
      <c r="A343" s="25"/>
      <c r="B343" s="23" t="s">
        <v>421</v>
      </c>
      <c r="C343" s="25"/>
    </row>
    <row r="344">
      <c r="A344" s="25"/>
      <c r="B344" s="23" t="s">
        <v>422</v>
      </c>
      <c r="C344" s="25"/>
    </row>
    <row r="345">
      <c r="A345" s="25"/>
      <c r="B345" s="23" t="s">
        <v>423</v>
      </c>
      <c r="C345" s="25"/>
    </row>
    <row r="346">
      <c r="A346" s="25"/>
      <c r="B346" s="23" t="s">
        <v>424</v>
      </c>
      <c r="C346" s="25"/>
    </row>
    <row r="347">
      <c r="A347" s="25"/>
      <c r="B347" s="23" t="s">
        <v>425</v>
      </c>
      <c r="C347" s="25"/>
    </row>
    <row r="348">
      <c r="A348" s="25"/>
      <c r="B348" s="23" t="s">
        <v>426</v>
      </c>
      <c r="C348" s="25"/>
    </row>
    <row r="349">
      <c r="A349" s="25"/>
      <c r="B349" s="23" t="s">
        <v>427</v>
      </c>
      <c r="C349" s="25"/>
    </row>
    <row r="350">
      <c r="A350" s="25"/>
      <c r="B350" s="23" t="s">
        <v>428</v>
      </c>
      <c r="C350" s="25"/>
    </row>
    <row r="351">
      <c r="A351" s="25"/>
      <c r="B351" s="23" t="s">
        <v>429</v>
      </c>
      <c r="C351" s="25"/>
    </row>
    <row r="352">
      <c r="A352" s="25"/>
      <c r="B352" s="23" t="s">
        <v>430</v>
      </c>
      <c r="C352" s="25"/>
    </row>
    <row r="353">
      <c r="A353" s="25"/>
      <c r="B353" s="23" t="s">
        <v>431</v>
      </c>
      <c r="C353" s="25"/>
    </row>
    <row r="354">
      <c r="A354" s="21">
        <v>34.0</v>
      </c>
      <c r="B354" s="23" t="s">
        <v>432</v>
      </c>
      <c r="C354" s="25"/>
    </row>
    <row r="355">
      <c r="A355" s="25"/>
      <c r="B355" s="23" t="s">
        <v>433</v>
      </c>
      <c r="C355" s="25"/>
    </row>
    <row r="356">
      <c r="A356" s="25"/>
      <c r="B356" s="23" t="s">
        <v>434</v>
      </c>
      <c r="C356" s="25"/>
    </row>
    <row r="357">
      <c r="A357" s="25"/>
      <c r="B357" s="23" t="s">
        <v>435</v>
      </c>
      <c r="C357" s="25"/>
    </row>
    <row r="358">
      <c r="A358" s="25"/>
      <c r="B358" s="23" t="s">
        <v>436</v>
      </c>
      <c r="C358" s="25"/>
    </row>
    <row r="359">
      <c r="A359" s="25"/>
      <c r="B359" s="23" t="s">
        <v>437</v>
      </c>
      <c r="C359" s="25"/>
    </row>
    <row r="360">
      <c r="A360" s="25"/>
      <c r="B360" s="23" t="s">
        <v>438</v>
      </c>
      <c r="C360" s="25"/>
    </row>
    <row r="361">
      <c r="A361" s="25"/>
      <c r="B361" s="23" t="s">
        <v>439</v>
      </c>
      <c r="C361" s="25"/>
    </row>
    <row r="362">
      <c r="A362" s="25"/>
      <c r="B362" s="23" t="s">
        <v>440</v>
      </c>
      <c r="C362" s="25"/>
    </row>
    <row r="363">
      <c r="A363" s="25"/>
      <c r="B363" s="23" t="s">
        <v>441</v>
      </c>
      <c r="C363" s="25"/>
    </row>
    <row r="364">
      <c r="A364" s="21">
        <v>35.0</v>
      </c>
      <c r="B364" s="23" t="s">
        <v>442</v>
      </c>
      <c r="C364" s="25"/>
    </row>
    <row r="365">
      <c r="A365" s="25"/>
      <c r="B365" s="23" t="s">
        <v>443</v>
      </c>
      <c r="C365" s="25"/>
    </row>
    <row r="366">
      <c r="A366" s="25"/>
      <c r="B366" s="23" t="s">
        <v>444</v>
      </c>
      <c r="C366" s="25"/>
    </row>
    <row r="367">
      <c r="A367" s="25"/>
      <c r="B367" s="23" t="s">
        <v>445</v>
      </c>
      <c r="C367" s="25"/>
    </row>
    <row r="368">
      <c r="A368" s="25"/>
      <c r="B368" s="23" t="s">
        <v>446</v>
      </c>
      <c r="C368" s="25"/>
    </row>
    <row r="369">
      <c r="A369" s="25"/>
      <c r="B369" s="23" t="s">
        <v>447</v>
      </c>
      <c r="C369" s="25"/>
    </row>
    <row r="370">
      <c r="A370" s="25"/>
      <c r="B370" s="23" t="s">
        <v>448</v>
      </c>
      <c r="C370" s="25"/>
    </row>
    <row r="371">
      <c r="A371" s="25"/>
      <c r="B371" s="23" t="s">
        <v>449</v>
      </c>
      <c r="C371" s="25"/>
    </row>
    <row r="372">
      <c r="A372" s="25"/>
      <c r="B372" s="23" t="s">
        <v>450</v>
      </c>
      <c r="C372" s="25"/>
    </row>
    <row r="373">
      <c r="A373" s="25"/>
      <c r="B373" s="23" t="s">
        <v>451</v>
      </c>
      <c r="C373" s="25"/>
    </row>
    <row r="374">
      <c r="A374" s="21">
        <v>36.0</v>
      </c>
      <c r="B374" s="23" t="s">
        <v>452</v>
      </c>
      <c r="C374" s="25"/>
    </row>
    <row r="375">
      <c r="A375" s="25"/>
      <c r="B375" s="23" t="s">
        <v>453</v>
      </c>
      <c r="C375" s="25"/>
    </row>
    <row r="376">
      <c r="A376" s="25"/>
      <c r="B376" s="23" t="s">
        <v>454</v>
      </c>
      <c r="C376" s="25"/>
    </row>
    <row r="377">
      <c r="A377" s="25"/>
      <c r="B377" s="23" t="s">
        <v>455</v>
      </c>
      <c r="C377" s="25"/>
    </row>
    <row r="378">
      <c r="A378" s="25"/>
      <c r="B378" s="23" t="s">
        <v>456</v>
      </c>
      <c r="C378" s="25"/>
    </row>
    <row r="379">
      <c r="A379" s="25"/>
      <c r="B379" s="23" t="s">
        <v>457</v>
      </c>
      <c r="C379" s="25"/>
    </row>
    <row r="380">
      <c r="A380" s="25"/>
      <c r="B380" s="23" t="s">
        <v>458</v>
      </c>
      <c r="C380" s="25"/>
    </row>
    <row r="381">
      <c r="A381" s="25"/>
      <c r="B381" s="23" t="s">
        <v>459</v>
      </c>
      <c r="C381" s="25"/>
    </row>
    <row r="382">
      <c r="A382" s="25"/>
      <c r="B382" s="23" t="s">
        <v>460</v>
      </c>
      <c r="C382" s="25"/>
    </row>
    <row r="383">
      <c r="A383" s="25"/>
      <c r="B383" s="23" t="s">
        <v>461</v>
      </c>
      <c r="C383" s="25"/>
    </row>
    <row r="384">
      <c r="A384" s="25"/>
      <c r="B384" s="23" t="s">
        <v>462</v>
      </c>
      <c r="C384" s="25"/>
    </row>
    <row r="385">
      <c r="A385" s="25"/>
      <c r="B385" s="23" t="s">
        <v>463</v>
      </c>
      <c r="C385" s="25"/>
    </row>
    <row r="386">
      <c r="A386" s="25"/>
      <c r="B386" s="23" t="s">
        <v>464</v>
      </c>
      <c r="C386" s="25"/>
    </row>
    <row r="387">
      <c r="A387" s="21">
        <v>37.0</v>
      </c>
      <c r="B387" s="23" t="s">
        <v>465</v>
      </c>
      <c r="C387" s="25"/>
    </row>
    <row r="388">
      <c r="A388" s="25"/>
      <c r="B388" s="23" t="s">
        <v>466</v>
      </c>
      <c r="C388" s="25"/>
    </row>
    <row r="389">
      <c r="A389" s="25"/>
      <c r="B389" s="23" t="s">
        <v>467</v>
      </c>
      <c r="C389" s="25"/>
    </row>
    <row r="390">
      <c r="A390" s="25"/>
      <c r="B390" s="23" t="s">
        <v>468</v>
      </c>
      <c r="C390" s="25"/>
    </row>
    <row r="391">
      <c r="A391" s="25"/>
      <c r="B391" s="23" t="s">
        <v>469</v>
      </c>
      <c r="C391" s="25"/>
    </row>
    <row r="392">
      <c r="A392" s="25"/>
      <c r="B392" s="23" t="s">
        <v>470</v>
      </c>
      <c r="C392" s="25"/>
    </row>
    <row r="393">
      <c r="A393" s="25"/>
      <c r="B393" s="23" t="s">
        <v>471</v>
      </c>
      <c r="C393" s="25"/>
    </row>
    <row r="394">
      <c r="A394" s="25"/>
      <c r="B394" s="23" t="s">
        <v>472</v>
      </c>
      <c r="C394" s="25"/>
    </row>
    <row r="395">
      <c r="A395" s="25"/>
      <c r="B395" s="23" t="s">
        <v>473</v>
      </c>
      <c r="C395" s="25"/>
    </row>
    <row r="396">
      <c r="A396" s="25"/>
      <c r="B396" s="23" t="s">
        <v>474</v>
      </c>
      <c r="C396" s="25"/>
    </row>
    <row r="397">
      <c r="A397" s="25"/>
      <c r="B397" s="23" t="s">
        <v>475</v>
      </c>
      <c r="C397" s="25"/>
    </row>
    <row r="398">
      <c r="A398" s="25"/>
      <c r="B398" s="23" t="s">
        <v>476</v>
      </c>
      <c r="C398" s="25"/>
    </row>
    <row r="399">
      <c r="A399" s="25"/>
      <c r="B399" s="23" t="s">
        <v>477</v>
      </c>
      <c r="C399" s="25"/>
    </row>
    <row r="400">
      <c r="A400" s="21">
        <v>38.0</v>
      </c>
      <c r="B400" s="23" t="s">
        <v>478</v>
      </c>
      <c r="C400" s="25"/>
    </row>
    <row r="401">
      <c r="A401" s="25"/>
      <c r="B401" s="23" t="s">
        <v>479</v>
      </c>
      <c r="C401" s="25"/>
    </row>
    <row r="402">
      <c r="A402" s="25"/>
      <c r="B402" s="23" t="s">
        <v>480</v>
      </c>
      <c r="C402" s="25"/>
    </row>
    <row r="403">
      <c r="A403" s="25"/>
      <c r="B403" s="23" t="s">
        <v>481</v>
      </c>
      <c r="C403" s="25"/>
    </row>
    <row r="404">
      <c r="A404" s="25"/>
      <c r="B404" s="23" t="s">
        <v>482</v>
      </c>
      <c r="C404" s="25"/>
    </row>
    <row r="405">
      <c r="A405" s="25"/>
      <c r="B405" s="23" t="s">
        <v>483</v>
      </c>
      <c r="C405" s="25"/>
    </row>
    <row r="406">
      <c r="A406" s="25"/>
      <c r="B406" s="23" t="s">
        <v>484</v>
      </c>
      <c r="C406" s="25"/>
    </row>
    <row r="407">
      <c r="A407" s="25"/>
      <c r="B407" s="23" t="s">
        <v>485</v>
      </c>
      <c r="C407" s="25"/>
    </row>
    <row r="408">
      <c r="A408" s="25"/>
      <c r="B408" s="23" t="s">
        <v>486</v>
      </c>
      <c r="C408" s="25"/>
    </row>
    <row r="409">
      <c r="A409" s="25"/>
      <c r="B409" s="23" t="s">
        <v>487</v>
      </c>
      <c r="C409" s="25"/>
    </row>
    <row r="410">
      <c r="A410" s="25"/>
      <c r="B410" s="23" t="s">
        <v>488</v>
      </c>
      <c r="C410" s="25"/>
    </row>
    <row r="411">
      <c r="A411" s="25"/>
      <c r="B411" s="23" t="s">
        <v>489</v>
      </c>
      <c r="C411" s="25"/>
    </row>
    <row r="412">
      <c r="A412" s="21">
        <v>39.0</v>
      </c>
      <c r="B412" s="23" t="s">
        <v>490</v>
      </c>
      <c r="C412" s="25"/>
    </row>
    <row r="413">
      <c r="A413" s="25"/>
      <c r="B413" s="23" t="s">
        <v>491</v>
      </c>
      <c r="C413" s="25"/>
    </row>
    <row r="414">
      <c r="A414" s="25"/>
      <c r="B414" s="23" t="s">
        <v>492</v>
      </c>
      <c r="C414" s="25"/>
    </row>
    <row r="415">
      <c r="A415" s="25"/>
      <c r="B415" s="23" t="s">
        <v>493</v>
      </c>
      <c r="C415" s="25"/>
    </row>
    <row r="416">
      <c r="A416" s="25"/>
      <c r="B416" s="23" t="s">
        <v>494</v>
      </c>
      <c r="C416" s="25"/>
    </row>
    <row r="417">
      <c r="A417" s="25"/>
      <c r="B417" s="23" t="s">
        <v>495</v>
      </c>
      <c r="C417" s="25"/>
    </row>
    <row r="418">
      <c r="A418" s="25"/>
      <c r="B418" s="23" t="s">
        <v>496</v>
      </c>
      <c r="C418" s="25"/>
    </row>
    <row r="419">
      <c r="A419" s="25"/>
      <c r="B419" s="23" t="s">
        <v>497</v>
      </c>
      <c r="C419" s="25"/>
    </row>
    <row r="420">
      <c r="A420" s="25"/>
      <c r="B420" s="23" t="s">
        <v>498</v>
      </c>
      <c r="C420" s="25"/>
    </row>
    <row r="421">
      <c r="A421" s="25"/>
      <c r="B421" s="23" t="s">
        <v>499</v>
      </c>
      <c r="C421" s="25"/>
    </row>
    <row r="422">
      <c r="A422" s="25"/>
      <c r="B422" s="23" t="s">
        <v>500</v>
      </c>
      <c r="C422" s="25"/>
    </row>
    <row r="423">
      <c r="A423" s="21">
        <v>40.0</v>
      </c>
      <c r="B423" s="23" t="s">
        <v>501</v>
      </c>
      <c r="C423" s="25"/>
    </row>
    <row r="424">
      <c r="A424" s="25"/>
      <c r="B424" s="23" t="s">
        <v>502</v>
      </c>
      <c r="C424" s="25"/>
    </row>
    <row r="425">
      <c r="A425" s="25"/>
      <c r="B425" s="23" t="s">
        <v>503</v>
      </c>
      <c r="C425" s="25"/>
    </row>
    <row r="426">
      <c r="A426" s="25"/>
      <c r="B426" s="23" t="s">
        <v>504</v>
      </c>
      <c r="C426" s="25"/>
    </row>
    <row r="427">
      <c r="A427" s="25"/>
      <c r="B427" s="23" t="s">
        <v>505</v>
      </c>
      <c r="C427" s="25"/>
    </row>
    <row r="428">
      <c r="A428" s="25"/>
      <c r="B428" s="23" t="s">
        <v>506</v>
      </c>
      <c r="C428" s="25"/>
    </row>
    <row r="429">
      <c r="A429" s="25"/>
      <c r="B429" s="23" t="s">
        <v>507</v>
      </c>
      <c r="C429" s="25"/>
    </row>
    <row r="430">
      <c r="A430" s="25"/>
      <c r="B430" s="23" t="s">
        <v>508</v>
      </c>
      <c r="C430" s="25"/>
    </row>
    <row r="431">
      <c r="A431" s="25"/>
      <c r="B431" s="23" t="s">
        <v>509</v>
      </c>
      <c r="C431" s="25"/>
    </row>
    <row r="432">
      <c r="A432" s="21">
        <v>41.0</v>
      </c>
      <c r="B432" s="23" t="s">
        <v>510</v>
      </c>
      <c r="C432" s="25"/>
    </row>
    <row r="433">
      <c r="A433" s="25"/>
      <c r="B433" s="23" t="s">
        <v>511</v>
      </c>
      <c r="C433" s="25"/>
    </row>
    <row r="434">
      <c r="A434" s="25"/>
      <c r="B434" s="23" t="s">
        <v>512</v>
      </c>
      <c r="C434" s="25"/>
    </row>
    <row r="435">
      <c r="A435" s="25"/>
      <c r="B435" s="23" t="s">
        <v>513</v>
      </c>
      <c r="C435" s="25"/>
    </row>
    <row r="436">
      <c r="A436" s="25"/>
      <c r="B436" s="23" t="s">
        <v>514</v>
      </c>
      <c r="C436" s="25"/>
    </row>
    <row r="437">
      <c r="A437" s="25"/>
      <c r="B437" s="23" t="s">
        <v>515</v>
      </c>
      <c r="C437" s="25"/>
    </row>
    <row r="438">
      <c r="A438" s="21">
        <v>42.0</v>
      </c>
      <c r="B438" s="23" t="s">
        <v>516</v>
      </c>
      <c r="C438" s="25"/>
    </row>
    <row r="439">
      <c r="A439" s="25"/>
      <c r="B439" s="23" t="s">
        <v>232</v>
      </c>
      <c r="C439" s="25"/>
    </row>
    <row r="440">
      <c r="A440" s="25"/>
      <c r="B440" s="23" t="s">
        <v>233</v>
      </c>
      <c r="C440" s="25"/>
    </row>
    <row r="441">
      <c r="A441" s="25"/>
      <c r="B441" s="23" t="s">
        <v>517</v>
      </c>
      <c r="C441" s="25"/>
    </row>
    <row r="442">
      <c r="A442" s="25"/>
      <c r="B442" s="23" t="s">
        <v>518</v>
      </c>
      <c r="C442" s="25"/>
    </row>
    <row r="443">
      <c r="A443" s="25"/>
      <c r="B443" s="23" t="s">
        <v>134</v>
      </c>
      <c r="C443" s="25"/>
    </row>
    <row r="444">
      <c r="A444" s="21">
        <v>43.0</v>
      </c>
      <c r="B444" s="23" t="s">
        <v>519</v>
      </c>
      <c r="C444" s="25"/>
    </row>
    <row r="445">
      <c r="A445" s="25"/>
      <c r="B445" s="23" t="s">
        <v>520</v>
      </c>
      <c r="C445" s="25"/>
    </row>
    <row r="446">
      <c r="A446" s="25"/>
      <c r="B446" s="23" t="s">
        <v>521</v>
      </c>
      <c r="C446" s="25"/>
    </row>
    <row r="447">
      <c r="A447" s="25"/>
      <c r="B447" s="23" t="s">
        <v>522</v>
      </c>
      <c r="C447" s="25"/>
    </row>
    <row r="448">
      <c r="A448" s="25"/>
      <c r="B448" s="23" t="s">
        <v>523</v>
      </c>
      <c r="C448" s="25"/>
    </row>
    <row r="449">
      <c r="A449" s="25"/>
      <c r="B449" s="23" t="s">
        <v>524</v>
      </c>
      <c r="C449" s="25"/>
    </row>
    <row r="450">
      <c r="A450" s="25"/>
      <c r="B450" s="23" t="s">
        <v>525</v>
      </c>
      <c r="C450" s="25"/>
    </row>
    <row r="451">
      <c r="A451" s="25"/>
      <c r="B451" s="23" t="s">
        <v>526</v>
      </c>
      <c r="C451" s="25"/>
    </row>
    <row r="452">
      <c r="A452" s="25"/>
      <c r="B452" s="23" t="s">
        <v>527</v>
      </c>
      <c r="C452" s="25"/>
    </row>
    <row r="453">
      <c r="A453" s="25"/>
      <c r="B453" s="23" t="s">
        <v>528</v>
      </c>
      <c r="C453" s="25"/>
    </row>
    <row r="454">
      <c r="A454" s="21">
        <v>44.0</v>
      </c>
      <c r="B454" s="23" t="s">
        <v>529</v>
      </c>
      <c r="C454" s="25"/>
    </row>
    <row r="455">
      <c r="A455" s="25"/>
      <c r="B455" s="23" t="s">
        <v>530</v>
      </c>
      <c r="C455" s="25"/>
    </row>
    <row r="456">
      <c r="A456" s="25"/>
      <c r="B456" s="23" t="s">
        <v>531</v>
      </c>
      <c r="C456" s="25"/>
    </row>
    <row r="457">
      <c r="A457" s="25"/>
      <c r="B457" s="23" t="s">
        <v>532</v>
      </c>
      <c r="C457" s="25"/>
    </row>
    <row r="458">
      <c r="A458" s="25"/>
      <c r="B458" s="23" t="s">
        <v>533</v>
      </c>
      <c r="C458" s="25"/>
    </row>
    <row r="459">
      <c r="A459" s="25"/>
      <c r="B459" s="23" t="s">
        <v>534</v>
      </c>
      <c r="C459" s="25"/>
    </row>
    <row r="460">
      <c r="A460" s="25"/>
      <c r="B460" s="23" t="s">
        <v>535</v>
      </c>
      <c r="C460" s="25"/>
    </row>
    <row r="461">
      <c r="A461" s="25"/>
      <c r="B461" s="23" t="s">
        <v>536</v>
      </c>
      <c r="C461" s="25"/>
    </row>
    <row r="462">
      <c r="A462" s="25"/>
      <c r="B462" s="23" t="s">
        <v>537</v>
      </c>
      <c r="C462" s="25"/>
    </row>
    <row r="463">
      <c r="A463" s="25"/>
      <c r="B463" s="23" t="s">
        <v>538</v>
      </c>
      <c r="C463" s="25"/>
    </row>
    <row r="464">
      <c r="A464" s="21">
        <v>45.0</v>
      </c>
      <c r="B464" s="23" t="s">
        <v>539</v>
      </c>
      <c r="C464" s="25"/>
    </row>
    <row r="465">
      <c r="A465" s="25"/>
      <c r="B465" s="23" t="s">
        <v>540</v>
      </c>
      <c r="C465" s="25"/>
    </row>
    <row r="466">
      <c r="A466" s="25"/>
      <c r="B466" s="23" t="s">
        <v>541</v>
      </c>
      <c r="C466" s="25"/>
    </row>
    <row r="467">
      <c r="A467" s="25"/>
      <c r="B467" s="23" t="s">
        <v>542</v>
      </c>
      <c r="C467" s="25"/>
    </row>
    <row r="468">
      <c r="A468" s="25"/>
      <c r="B468" s="23" t="s">
        <v>543</v>
      </c>
      <c r="C468" s="25"/>
    </row>
    <row r="469">
      <c r="A469" s="25"/>
      <c r="B469" s="23" t="s">
        <v>544</v>
      </c>
      <c r="C469" s="25"/>
    </row>
    <row r="470">
      <c r="A470" s="25"/>
      <c r="B470" s="23" t="s">
        <v>545</v>
      </c>
      <c r="C470" s="25"/>
    </row>
    <row r="471">
      <c r="A471" s="25"/>
      <c r="B471" s="23" t="s">
        <v>546</v>
      </c>
      <c r="C471" s="25"/>
    </row>
    <row r="472">
      <c r="A472" s="25"/>
      <c r="B472" s="23" t="s">
        <v>547</v>
      </c>
      <c r="C472" s="25"/>
    </row>
    <row r="473">
      <c r="A473" s="25"/>
      <c r="B473" s="23" t="s">
        <v>548</v>
      </c>
      <c r="C473" s="25"/>
    </row>
    <row r="474">
      <c r="A474" s="25"/>
      <c r="B474" s="23" t="s">
        <v>549</v>
      </c>
      <c r="C474" s="25"/>
    </row>
    <row r="475">
      <c r="A475" s="25"/>
      <c r="B475" s="23" t="s">
        <v>550</v>
      </c>
      <c r="C475" s="25"/>
    </row>
    <row r="476">
      <c r="A476" s="25"/>
      <c r="B476" s="23" t="s">
        <v>551</v>
      </c>
      <c r="C476" s="25"/>
    </row>
    <row r="477">
      <c r="A477" s="25"/>
      <c r="B477" s="23" t="s">
        <v>552</v>
      </c>
      <c r="C477" s="25"/>
    </row>
    <row r="478">
      <c r="A478" s="76" t="s">
        <v>553</v>
      </c>
      <c r="B478" s="77" t="s">
        <v>554</v>
      </c>
      <c r="C478" s="25"/>
    </row>
  </sheetData>
  <mergeCells count="3">
    <mergeCell ref="A1:B1"/>
    <mergeCell ref="A2:B2"/>
    <mergeCell ref="A3:B3"/>
  </mergeCells>
  <dataValidations>
    <dataValidation type="list" allowBlank="1" showErrorMessage="1" sqref="C8:C478">
      <formula1>"Done,Pending"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5"/>
    <col customWidth="1" min="4" max="4" width="27.25"/>
  </cols>
  <sheetData>
    <row r="1">
      <c r="A1" s="1"/>
      <c r="B1" s="1"/>
      <c r="C1" s="1"/>
      <c r="D1" s="1"/>
      <c r="E1" s="1"/>
    </row>
    <row r="2">
      <c r="A2" s="5" t="s">
        <v>2</v>
      </c>
      <c r="B2" s="5" t="s">
        <v>9</v>
      </c>
      <c r="C2" s="5" t="s">
        <v>10</v>
      </c>
      <c r="D2" s="5" t="s">
        <v>11</v>
      </c>
      <c r="E2" s="5" t="s">
        <v>12</v>
      </c>
    </row>
    <row r="3">
      <c r="A3" s="9">
        <v>1.0</v>
      </c>
      <c r="B3" s="13">
        <v>45806.0</v>
      </c>
      <c r="C3" s="15" t="s">
        <v>13</v>
      </c>
      <c r="D3" s="9" t="s">
        <v>15</v>
      </c>
      <c r="E3" s="9" t="s">
        <v>16</v>
      </c>
    </row>
    <row r="4">
      <c r="A4" s="9">
        <v>2.0</v>
      </c>
      <c r="B4" s="13">
        <v>45807.0</v>
      </c>
      <c r="C4" s="15" t="s">
        <v>18</v>
      </c>
      <c r="D4" s="9" t="s">
        <v>20</v>
      </c>
      <c r="E4" s="9" t="s">
        <v>16</v>
      </c>
    </row>
    <row r="5">
      <c r="A5" s="9">
        <v>3.0</v>
      </c>
      <c r="B5" s="13">
        <v>45809.0</v>
      </c>
      <c r="C5" s="15" t="s">
        <v>22</v>
      </c>
      <c r="D5" s="9" t="s">
        <v>24</v>
      </c>
      <c r="E5" s="9" t="s">
        <v>16</v>
      </c>
    </row>
    <row r="6">
      <c r="A6" s="9">
        <v>4.0</v>
      </c>
      <c r="B6" s="13">
        <v>45810.0</v>
      </c>
      <c r="C6" s="15" t="s">
        <v>28</v>
      </c>
      <c r="D6" s="9" t="s">
        <v>24</v>
      </c>
      <c r="E6" s="9" t="s">
        <v>16</v>
      </c>
    </row>
    <row r="7">
      <c r="A7" s="9">
        <v>5.0</v>
      </c>
      <c r="B7" s="13">
        <v>45811.0</v>
      </c>
      <c r="C7" s="15" t="s">
        <v>29</v>
      </c>
      <c r="D7" s="9" t="s">
        <v>31</v>
      </c>
      <c r="E7" s="9" t="s">
        <v>16</v>
      </c>
    </row>
    <row r="8">
      <c r="A8" s="9">
        <v>6.0</v>
      </c>
      <c r="B8" s="13">
        <v>45812.0</v>
      </c>
      <c r="C8" s="15" t="s">
        <v>33</v>
      </c>
      <c r="D8" s="9" t="s">
        <v>31</v>
      </c>
      <c r="E8" s="9" t="s">
        <v>16</v>
      </c>
    </row>
    <row r="9">
      <c r="A9" s="9">
        <v>7.0</v>
      </c>
      <c r="B9" s="13">
        <v>45813.0</v>
      </c>
      <c r="C9" s="15" t="s">
        <v>35</v>
      </c>
      <c r="D9" s="9" t="s">
        <v>15</v>
      </c>
      <c r="E9" s="9" t="s">
        <v>36</v>
      </c>
    </row>
    <row r="10">
      <c r="A10" s="9">
        <v>8.0</v>
      </c>
      <c r="B10" s="13">
        <v>45814.0</v>
      </c>
      <c r="C10" s="15" t="s">
        <v>37</v>
      </c>
      <c r="D10" s="9" t="s">
        <v>38</v>
      </c>
      <c r="E10" s="9" t="s">
        <v>36</v>
      </c>
    </row>
    <row r="11">
      <c r="A11" s="9">
        <v>9.0</v>
      </c>
      <c r="B11" s="13">
        <v>45816.0</v>
      </c>
      <c r="C11" s="15" t="s">
        <v>41</v>
      </c>
      <c r="D11" s="9" t="s">
        <v>42</v>
      </c>
      <c r="E11" s="9" t="s">
        <v>16</v>
      </c>
    </row>
    <row r="12">
      <c r="A12" s="9">
        <v>10.0</v>
      </c>
      <c r="B12" s="13">
        <v>45817.0</v>
      </c>
      <c r="C12" s="15" t="s">
        <v>44</v>
      </c>
      <c r="D12" s="9" t="s">
        <v>42</v>
      </c>
      <c r="E12" s="9" t="s">
        <v>16</v>
      </c>
    </row>
    <row r="13">
      <c r="A13" s="27"/>
      <c r="B13" s="13">
        <v>45818.0</v>
      </c>
      <c r="C13" s="27"/>
      <c r="D13" s="27"/>
      <c r="E13" s="9" t="s">
        <v>47</v>
      </c>
    </row>
    <row r="14">
      <c r="A14" s="27"/>
      <c r="B14" s="13">
        <v>45819.0</v>
      </c>
      <c r="C14" s="27"/>
      <c r="D14" s="27"/>
      <c r="E14" s="9" t="s">
        <v>47</v>
      </c>
    </row>
    <row r="15">
      <c r="A15" s="27"/>
      <c r="B15" s="13">
        <v>45820.0</v>
      </c>
      <c r="C15" s="27"/>
      <c r="D15" s="27"/>
      <c r="E15" s="9" t="s">
        <v>47</v>
      </c>
    </row>
    <row r="16">
      <c r="A16" s="27"/>
      <c r="B16" s="13">
        <v>45821.0</v>
      </c>
      <c r="C16" s="27"/>
      <c r="D16" s="27"/>
      <c r="E16" s="9" t="s">
        <v>47</v>
      </c>
    </row>
    <row r="17">
      <c r="A17" s="27"/>
      <c r="B17" s="9" t="s">
        <v>49</v>
      </c>
      <c r="C17" s="27"/>
      <c r="D17" s="27"/>
      <c r="E17" s="9" t="s">
        <v>47</v>
      </c>
    </row>
    <row r="18">
      <c r="A18" s="27"/>
      <c r="B18" s="13">
        <v>46555.0</v>
      </c>
      <c r="C18" s="27"/>
      <c r="D18" s="27"/>
      <c r="E18" s="9" t="s">
        <v>47</v>
      </c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6.13"/>
    <col customWidth="1" min="12" max="12" width="20.75"/>
    <col customWidth="1" min="13" max="13" width="22.13"/>
  </cols>
  <sheetData>
    <row r="1">
      <c r="A1" s="3"/>
      <c r="B1" s="4"/>
      <c r="C1" s="3"/>
      <c r="D1" s="6">
        <v>1.0</v>
      </c>
      <c r="E1" s="6">
        <v>2.0</v>
      </c>
      <c r="F1" s="6">
        <v>3.0</v>
      </c>
      <c r="G1" s="6">
        <v>4.0</v>
      </c>
      <c r="H1" s="6">
        <v>5.0</v>
      </c>
      <c r="I1" s="6">
        <v>6.0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6" t="s">
        <v>0</v>
      </c>
      <c r="B2" s="18" t="s">
        <v>3</v>
      </c>
      <c r="C2" s="16" t="s">
        <v>4</v>
      </c>
      <c r="D2" s="19" t="s">
        <v>23</v>
      </c>
      <c r="E2" s="19" t="s">
        <v>25</v>
      </c>
      <c r="F2" s="19" t="s">
        <v>26</v>
      </c>
      <c r="G2" s="19" t="s">
        <v>50</v>
      </c>
      <c r="H2" s="19" t="s">
        <v>51</v>
      </c>
      <c r="I2" s="19" t="s">
        <v>52</v>
      </c>
      <c r="J2" s="30" t="s">
        <v>53</v>
      </c>
      <c r="K2" s="12"/>
      <c r="L2" s="31" t="s">
        <v>54</v>
      </c>
      <c r="M2" s="31" t="s">
        <v>53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32">
        <v>1.0</v>
      </c>
      <c r="B3" s="33" t="s">
        <v>55</v>
      </c>
      <c r="C3" s="34" t="s">
        <v>56</v>
      </c>
      <c r="D3" s="35">
        <v>35.0</v>
      </c>
      <c r="E3" s="35">
        <v>37.0</v>
      </c>
      <c r="F3" s="35" t="s">
        <v>57</v>
      </c>
      <c r="G3" s="35" t="s">
        <v>57</v>
      </c>
      <c r="H3" s="36"/>
      <c r="I3" s="36"/>
      <c r="J3" s="39">
        <f t="shared" ref="J3:J18" si="1">Countif(D3:I3,"A")</f>
        <v>0</v>
      </c>
      <c r="K3" s="12"/>
      <c r="L3" s="36" t="str">
        <f>IFERROR(__xludf.DUMMYFUNCTION("TEXTJOIN("", "",TRUE,FILTER(D$1:I$1, D3:I3=""A""))"),"#N/A")</f>
        <v>#N/A</v>
      </c>
      <c r="M3" s="36">
        <f t="shared" ref="M3:M19" si="2">countif(D3:I3,"AB")</f>
        <v>2</v>
      </c>
    </row>
    <row r="4">
      <c r="A4" s="32">
        <v>2.0</v>
      </c>
      <c r="B4" s="33" t="s">
        <v>70</v>
      </c>
      <c r="C4" s="44" t="s">
        <v>71</v>
      </c>
      <c r="D4" s="35">
        <v>37.0</v>
      </c>
      <c r="E4" s="35">
        <v>38.0</v>
      </c>
      <c r="F4" s="35">
        <v>40.0</v>
      </c>
      <c r="G4" s="35">
        <v>40.0</v>
      </c>
      <c r="H4" s="35">
        <v>40.0</v>
      </c>
      <c r="I4" s="35"/>
      <c r="J4" s="39">
        <f t="shared" si="1"/>
        <v>0</v>
      </c>
      <c r="K4" s="12"/>
      <c r="L4" s="36" t="str">
        <f>IFERROR(__xludf.DUMMYFUNCTION("TEXTJOIN("", "",TRUE,FILTER(D$1:I$1, D4:I4=""A""))"),"#N/A")</f>
        <v>#N/A</v>
      </c>
      <c r="M4" s="36">
        <f t="shared" si="2"/>
        <v>0</v>
      </c>
    </row>
    <row r="5">
      <c r="A5" s="32">
        <v>3.0</v>
      </c>
      <c r="B5" s="33" t="s">
        <v>87</v>
      </c>
      <c r="C5" s="44" t="s">
        <v>88</v>
      </c>
      <c r="D5" s="35">
        <v>38.0</v>
      </c>
      <c r="E5" s="35">
        <v>39.0</v>
      </c>
      <c r="F5" s="35" t="s">
        <v>57</v>
      </c>
      <c r="G5" s="35" t="s">
        <v>57</v>
      </c>
      <c r="H5" s="35">
        <v>40.0</v>
      </c>
      <c r="I5" s="35"/>
      <c r="J5" s="39">
        <f t="shared" si="1"/>
        <v>0</v>
      </c>
      <c r="K5" s="12"/>
      <c r="L5" s="36" t="str">
        <f>IFERROR(__xludf.DUMMYFUNCTION("TEXTJOIN("", "",TRUE,FILTER(D$1:I$1, D5:I5=""A""))"),"#N/A")</f>
        <v>#N/A</v>
      </c>
      <c r="M5" s="36">
        <f t="shared" si="2"/>
        <v>2</v>
      </c>
    </row>
    <row r="6">
      <c r="A6" s="32">
        <v>4.0</v>
      </c>
      <c r="B6" s="50" t="s">
        <v>76</v>
      </c>
      <c r="C6" s="44" t="s">
        <v>77</v>
      </c>
      <c r="D6" s="35">
        <v>34.0</v>
      </c>
      <c r="E6" s="35">
        <v>37.0</v>
      </c>
      <c r="F6" s="35" t="s">
        <v>57</v>
      </c>
      <c r="G6" s="35" t="s">
        <v>57</v>
      </c>
      <c r="H6" s="35">
        <v>30.0</v>
      </c>
      <c r="I6" s="35"/>
      <c r="J6" s="39">
        <f t="shared" si="1"/>
        <v>0</v>
      </c>
      <c r="K6" s="12"/>
      <c r="L6" s="36" t="str">
        <f>IFERROR(__xludf.DUMMYFUNCTION("TEXTJOIN("", "",TRUE,FILTER(D$1:I$1, D6:I6=""A""))"),"#N/A")</f>
        <v>#N/A</v>
      </c>
      <c r="M6" s="36">
        <f t="shared" si="2"/>
        <v>2</v>
      </c>
    </row>
    <row r="7">
      <c r="A7" s="32">
        <v>5.0</v>
      </c>
      <c r="B7" s="50" t="s">
        <v>108</v>
      </c>
      <c r="C7" s="44" t="s">
        <v>109</v>
      </c>
      <c r="D7" s="35">
        <v>36.0</v>
      </c>
      <c r="E7" s="35">
        <v>37.0</v>
      </c>
      <c r="F7" s="35" t="s">
        <v>57</v>
      </c>
      <c r="G7" s="35">
        <v>20.0</v>
      </c>
      <c r="H7" s="36"/>
      <c r="I7" s="36"/>
      <c r="J7" s="39">
        <f t="shared" si="1"/>
        <v>0</v>
      </c>
      <c r="K7" s="12"/>
      <c r="L7" s="36" t="str">
        <f>IFERROR(__xludf.DUMMYFUNCTION("TEXTJOIN("", "",TRUE,FILTER(D$1:I$1, D7:I7=""A""))"),"#N/A")</f>
        <v>#N/A</v>
      </c>
      <c r="M7" s="36">
        <f t="shared" si="2"/>
        <v>1</v>
      </c>
    </row>
    <row r="8">
      <c r="A8" s="32">
        <v>6.0</v>
      </c>
      <c r="B8" s="33" t="s">
        <v>60</v>
      </c>
      <c r="C8" s="52" t="s">
        <v>125</v>
      </c>
      <c r="D8" s="53" t="s">
        <v>86</v>
      </c>
      <c r="E8" s="53" t="s">
        <v>86</v>
      </c>
      <c r="F8" s="35" t="s">
        <v>57</v>
      </c>
      <c r="G8" s="35" t="s">
        <v>57</v>
      </c>
      <c r="H8" s="36"/>
      <c r="I8" s="36"/>
      <c r="J8" s="39">
        <f t="shared" si="1"/>
        <v>2</v>
      </c>
      <c r="K8" s="12"/>
      <c r="L8" s="36" t="str">
        <f>IFERROR(__xludf.DUMMYFUNCTION("TEXTJOIN("", "",TRUE,FILTER(D$1:I$1, D8:I8=""A""))"),"1, 2")</f>
        <v>1, 2</v>
      </c>
      <c r="M8" s="36">
        <f t="shared" si="2"/>
        <v>2</v>
      </c>
    </row>
    <row r="9">
      <c r="A9" s="32">
        <v>7.0</v>
      </c>
      <c r="B9" s="33" t="s">
        <v>83</v>
      </c>
      <c r="C9" s="44" t="s">
        <v>84</v>
      </c>
      <c r="D9" s="35">
        <v>34.0</v>
      </c>
      <c r="E9" s="53" t="s">
        <v>86</v>
      </c>
      <c r="F9" s="35" t="s">
        <v>57</v>
      </c>
      <c r="G9" s="35" t="s">
        <v>57</v>
      </c>
      <c r="H9" s="36"/>
      <c r="I9" s="36"/>
      <c r="J9" s="39">
        <f t="shared" si="1"/>
        <v>1</v>
      </c>
      <c r="K9" s="12"/>
      <c r="L9" s="36" t="str">
        <f>IFERROR(__xludf.DUMMYFUNCTION("TEXTJOIN("", "",TRUE,FILTER(D$1:I$1, D9:I9=""A""))"),"2")</f>
        <v>2</v>
      </c>
      <c r="M9" s="36">
        <f t="shared" si="2"/>
        <v>2</v>
      </c>
    </row>
    <row r="10">
      <c r="A10" s="32">
        <v>8.0</v>
      </c>
      <c r="B10" s="33" t="s">
        <v>92</v>
      </c>
      <c r="C10" s="44" t="s">
        <v>94</v>
      </c>
      <c r="D10" s="35">
        <v>36.0</v>
      </c>
      <c r="E10" s="53" t="s">
        <v>86</v>
      </c>
      <c r="F10" s="35" t="s">
        <v>57</v>
      </c>
      <c r="G10" s="35" t="s">
        <v>57</v>
      </c>
      <c r="H10" s="36"/>
      <c r="I10" s="36"/>
      <c r="J10" s="39">
        <f t="shared" si="1"/>
        <v>1</v>
      </c>
      <c r="K10" s="12"/>
      <c r="L10" s="36" t="str">
        <f>IFERROR(__xludf.DUMMYFUNCTION("TEXTJOIN("", "",TRUE,FILTER(D$1:I$1, D10:I10=""A""))"),"2")</f>
        <v>2</v>
      </c>
      <c r="M10" s="36">
        <f t="shared" si="2"/>
        <v>2</v>
      </c>
    </row>
    <row r="11">
      <c r="A11" s="32">
        <v>9.0</v>
      </c>
      <c r="B11" s="33" t="s">
        <v>105</v>
      </c>
      <c r="C11" s="44" t="s">
        <v>106</v>
      </c>
      <c r="D11" s="35">
        <v>34.0</v>
      </c>
      <c r="E11" s="35">
        <v>35.0</v>
      </c>
      <c r="F11" s="35" t="s">
        <v>57</v>
      </c>
      <c r="G11" s="35" t="s">
        <v>57</v>
      </c>
      <c r="H11" s="36"/>
      <c r="I11" s="36"/>
      <c r="J11" s="39">
        <f t="shared" si="1"/>
        <v>0</v>
      </c>
      <c r="K11" s="12"/>
      <c r="L11" s="36" t="str">
        <f>IFERROR(__xludf.DUMMYFUNCTION("TEXTJOIN("", "",TRUE,FILTER(D$1:I$1, D11:I11=""A""))"),"#N/A")</f>
        <v>#N/A</v>
      </c>
      <c r="M11" s="36">
        <f t="shared" si="2"/>
        <v>2</v>
      </c>
    </row>
    <row r="12">
      <c r="A12" s="32">
        <v>10.0</v>
      </c>
      <c r="B12" s="33" t="s">
        <v>111</v>
      </c>
      <c r="C12" s="44" t="s">
        <v>112</v>
      </c>
      <c r="D12" s="35">
        <v>34.0</v>
      </c>
      <c r="E12" s="35">
        <v>37.0</v>
      </c>
      <c r="F12" s="35" t="s">
        <v>57</v>
      </c>
      <c r="G12" s="35" t="s">
        <v>57</v>
      </c>
      <c r="H12" s="36"/>
      <c r="I12" s="36"/>
      <c r="J12" s="39">
        <f t="shared" si="1"/>
        <v>0</v>
      </c>
      <c r="K12" s="12"/>
      <c r="L12" s="36" t="str">
        <f>IFERROR(__xludf.DUMMYFUNCTION("TEXTJOIN("", "",TRUE,FILTER(D$1:I$1, D12:I12=""A""))"),"#N/A")</f>
        <v>#N/A</v>
      </c>
      <c r="M12" s="36">
        <f t="shared" si="2"/>
        <v>2</v>
      </c>
    </row>
    <row r="13">
      <c r="A13" s="32">
        <v>11.0</v>
      </c>
      <c r="B13" s="33" t="s">
        <v>67</v>
      </c>
      <c r="C13" s="44" t="s">
        <v>68</v>
      </c>
      <c r="D13" s="35">
        <v>37.0</v>
      </c>
      <c r="E13" s="53" t="s">
        <v>86</v>
      </c>
      <c r="F13" s="35">
        <v>40.0</v>
      </c>
      <c r="G13" s="35">
        <v>40.0</v>
      </c>
      <c r="H13" s="35">
        <v>40.0</v>
      </c>
      <c r="I13" s="35"/>
      <c r="J13" s="39">
        <f t="shared" si="1"/>
        <v>1</v>
      </c>
      <c r="K13" s="12"/>
      <c r="L13" s="36" t="str">
        <f>IFERROR(__xludf.DUMMYFUNCTION("TEXTJOIN("", "",TRUE,FILTER(D$1:I$1, D13:I13=""A""))"),"2")</f>
        <v>2</v>
      </c>
      <c r="M13" s="36">
        <f t="shared" si="2"/>
        <v>0</v>
      </c>
    </row>
    <row r="14">
      <c r="A14" s="32">
        <v>12.0</v>
      </c>
      <c r="B14" s="33" t="s">
        <v>116</v>
      </c>
      <c r="C14" s="44" t="s">
        <v>118</v>
      </c>
      <c r="D14" s="35">
        <v>34.0</v>
      </c>
      <c r="E14" s="35">
        <v>34.0</v>
      </c>
      <c r="F14" s="35" t="s">
        <v>57</v>
      </c>
      <c r="G14" s="35" t="s">
        <v>57</v>
      </c>
      <c r="H14" s="36"/>
      <c r="I14" s="36"/>
      <c r="J14" s="39">
        <f t="shared" si="1"/>
        <v>0</v>
      </c>
      <c r="K14" s="12"/>
      <c r="L14" s="36" t="str">
        <f>IFERROR(__xludf.DUMMYFUNCTION("TEXTJOIN("", "",TRUE,FILTER(D$1:I$1, D14:I14=""A""))"),"#N/A")</f>
        <v>#N/A</v>
      </c>
      <c r="M14" s="36">
        <f t="shared" si="2"/>
        <v>2</v>
      </c>
    </row>
    <row r="15">
      <c r="A15" s="32">
        <v>13.0</v>
      </c>
      <c r="B15" s="33" t="s">
        <v>89</v>
      </c>
      <c r="C15" s="44" t="s">
        <v>91</v>
      </c>
      <c r="D15" s="35">
        <v>35.0</v>
      </c>
      <c r="E15" s="53" t="s">
        <v>86</v>
      </c>
      <c r="F15" s="35" t="s">
        <v>57</v>
      </c>
      <c r="G15" s="35" t="s">
        <v>57</v>
      </c>
      <c r="H15" s="36"/>
      <c r="I15" s="36"/>
      <c r="J15" s="39">
        <f t="shared" si="1"/>
        <v>1</v>
      </c>
      <c r="K15" s="12"/>
      <c r="L15" s="36" t="str">
        <f>IFERROR(__xludf.DUMMYFUNCTION("TEXTJOIN("", "",TRUE,FILTER(D$1:I$1, D15:I15=""A""))"),"2")</f>
        <v>2</v>
      </c>
      <c r="M15" s="36">
        <f t="shared" si="2"/>
        <v>2</v>
      </c>
    </row>
    <row r="16">
      <c r="A16" s="32">
        <v>14.0</v>
      </c>
      <c r="B16" s="62" t="s">
        <v>97</v>
      </c>
      <c r="C16" s="63" t="s">
        <v>98</v>
      </c>
      <c r="D16" s="53" t="s">
        <v>86</v>
      </c>
      <c r="E16" s="53" t="s">
        <v>86</v>
      </c>
      <c r="F16" s="35" t="s">
        <v>57</v>
      </c>
      <c r="G16" s="35" t="s">
        <v>57</v>
      </c>
      <c r="H16" s="36"/>
      <c r="I16" s="36"/>
      <c r="J16" s="39">
        <f t="shared" si="1"/>
        <v>2</v>
      </c>
      <c r="K16" s="12"/>
      <c r="L16" s="36" t="str">
        <f>IFERROR(__xludf.DUMMYFUNCTION("TEXTJOIN("", "",TRUE,FILTER(D$1:I$1, D16:I16=""A""))"),"1, 2")</f>
        <v>1, 2</v>
      </c>
      <c r="M16" s="36">
        <f t="shared" si="2"/>
        <v>2</v>
      </c>
    </row>
    <row r="17">
      <c r="A17" s="32">
        <v>15.0</v>
      </c>
      <c r="B17" s="44" t="s">
        <v>101</v>
      </c>
      <c r="C17" s="44" t="s">
        <v>102</v>
      </c>
      <c r="D17" s="53" t="s">
        <v>86</v>
      </c>
      <c r="E17" s="53" t="s">
        <v>86</v>
      </c>
      <c r="F17" s="35">
        <v>40.0</v>
      </c>
      <c r="G17" s="35">
        <v>40.0</v>
      </c>
      <c r="H17" s="35">
        <v>40.0</v>
      </c>
      <c r="I17" s="35"/>
      <c r="J17" s="39">
        <f t="shared" si="1"/>
        <v>2</v>
      </c>
      <c r="K17" s="12"/>
      <c r="L17" s="36" t="str">
        <f>IFERROR(__xludf.DUMMYFUNCTION("TEXTJOIN("", "",TRUE,FILTER(D$1:I$1, D17:I17=""A""))"),"1, 2")</f>
        <v>1, 2</v>
      </c>
      <c r="M17" s="36">
        <f t="shared" si="2"/>
        <v>0</v>
      </c>
    </row>
    <row r="18">
      <c r="A18" s="32">
        <v>16.0</v>
      </c>
      <c r="B18" s="44" t="s">
        <v>103</v>
      </c>
      <c r="C18" s="44" t="s">
        <v>104</v>
      </c>
      <c r="D18" s="53" t="s">
        <v>86</v>
      </c>
      <c r="E18" s="53" t="s">
        <v>86</v>
      </c>
      <c r="F18" s="35" t="s">
        <v>57</v>
      </c>
      <c r="G18" s="35" t="s">
        <v>57</v>
      </c>
      <c r="H18" s="36"/>
      <c r="I18" s="36"/>
      <c r="J18" s="39">
        <f t="shared" si="1"/>
        <v>2</v>
      </c>
      <c r="K18" s="12"/>
      <c r="L18" s="36" t="str">
        <f>IFERROR(__xludf.DUMMYFUNCTION("TEXTJOIN("", "",TRUE,FILTER(D$1:I$1, D18:I18=""A""))"),"1, 2")</f>
        <v>1, 2</v>
      </c>
      <c r="M18" s="36">
        <f t="shared" si="2"/>
        <v>2</v>
      </c>
    </row>
    <row r="19">
      <c r="A19" s="47">
        <v>17.0</v>
      </c>
      <c r="B19" s="45" t="s">
        <v>72</v>
      </c>
      <c r="C19" s="45" t="s">
        <v>74</v>
      </c>
      <c r="D19" s="64" t="s">
        <v>86</v>
      </c>
      <c r="E19" s="64" t="s">
        <v>86</v>
      </c>
      <c r="F19" s="35" t="s">
        <v>57</v>
      </c>
      <c r="G19" s="35" t="s">
        <v>57</v>
      </c>
      <c r="H19" s="47">
        <v>20.0</v>
      </c>
      <c r="I19" s="27"/>
      <c r="J19" s="65">
        <f>Countif(D19:I19,"Absent")</f>
        <v>0</v>
      </c>
      <c r="K19" s="12"/>
      <c r="L19" s="27" t="str">
        <f>IFERROR(__xludf.DUMMYFUNCTION("TEXTJOIN("", "",TRUE,FILTER(D$1:I$1, D19:I19=""Absent""))"),"#N/A")</f>
        <v>#N/A</v>
      </c>
      <c r="M19" s="36">
        <f t="shared" si="2"/>
        <v>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B20" s="66"/>
    </row>
    <row r="21">
      <c r="B21" s="66"/>
    </row>
    <row r="22">
      <c r="B22" s="66"/>
    </row>
    <row r="23">
      <c r="B23" s="66"/>
    </row>
    <row r="24">
      <c r="B24" s="66"/>
    </row>
    <row r="25">
      <c r="B25" s="66"/>
    </row>
    <row r="26">
      <c r="B26" s="66"/>
    </row>
    <row r="27">
      <c r="B27" s="66"/>
    </row>
    <row r="28">
      <c r="B28" s="66"/>
    </row>
    <row r="29">
      <c r="B29" s="66"/>
    </row>
    <row r="30">
      <c r="B30" s="66"/>
    </row>
    <row r="31">
      <c r="B31" s="66"/>
    </row>
    <row r="32">
      <c r="B32" s="66"/>
    </row>
    <row r="33">
      <c r="B33" s="66"/>
    </row>
    <row r="34">
      <c r="B34" s="66"/>
    </row>
    <row r="35">
      <c r="B35" s="66"/>
    </row>
    <row r="36">
      <c r="B36" s="66"/>
    </row>
    <row r="37">
      <c r="B37" s="66"/>
    </row>
    <row r="38">
      <c r="B38" s="66"/>
    </row>
    <row r="39">
      <c r="B39" s="66"/>
    </row>
    <row r="40">
      <c r="B40" s="66"/>
    </row>
    <row r="41">
      <c r="B41" s="66"/>
    </row>
    <row r="42">
      <c r="B42" s="66"/>
    </row>
    <row r="43">
      <c r="B43" s="66"/>
    </row>
    <row r="44">
      <c r="B44" s="66"/>
    </row>
    <row r="45">
      <c r="B45" s="66"/>
    </row>
    <row r="46">
      <c r="B46" s="66"/>
    </row>
    <row r="47">
      <c r="B47" s="66"/>
    </row>
    <row r="48">
      <c r="B48" s="66"/>
    </row>
    <row r="49">
      <c r="B49" s="66"/>
    </row>
    <row r="50">
      <c r="B50" s="66"/>
    </row>
    <row r="51">
      <c r="B51" s="66"/>
    </row>
    <row r="52">
      <c r="B52" s="66"/>
    </row>
    <row r="53">
      <c r="B53" s="66"/>
    </row>
    <row r="54">
      <c r="B54" s="66"/>
    </row>
    <row r="55">
      <c r="B55" s="66"/>
    </row>
    <row r="56">
      <c r="B56" s="66"/>
    </row>
    <row r="57">
      <c r="B57" s="66"/>
    </row>
    <row r="58">
      <c r="B58" s="66"/>
    </row>
    <row r="59">
      <c r="B59" s="66"/>
    </row>
    <row r="60">
      <c r="B60" s="66"/>
    </row>
    <row r="61">
      <c r="B61" s="66"/>
    </row>
    <row r="62">
      <c r="B62" s="66"/>
    </row>
    <row r="63">
      <c r="B63" s="66"/>
    </row>
    <row r="64">
      <c r="B64" s="66"/>
    </row>
    <row r="65">
      <c r="B65" s="66"/>
    </row>
    <row r="66">
      <c r="B66" s="66"/>
    </row>
    <row r="67">
      <c r="B67" s="66"/>
    </row>
    <row r="68">
      <c r="B68" s="66"/>
    </row>
    <row r="69">
      <c r="B69" s="66"/>
    </row>
    <row r="70">
      <c r="B70" s="66"/>
    </row>
    <row r="71">
      <c r="B71" s="66"/>
    </row>
    <row r="72">
      <c r="B72" s="66"/>
    </row>
    <row r="73">
      <c r="B73" s="66"/>
    </row>
    <row r="74">
      <c r="B74" s="66"/>
    </row>
    <row r="75">
      <c r="B75" s="66"/>
    </row>
    <row r="76">
      <c r="B76" s="66"/>
    </row>
    <row r="77">
      <c r="B77" s="66"/>
    </row>
    <row r="78">
      <c r="B78" s="66"/>
    </row>
    <row r="79">
      <c r="B79" s="66"/>
    </row>
    <row r="80">
      <c r="B80" s="66"/>
    </row>
    <row r="81">
      <c r="B81" s="66"/>
    </row>
    <row r="82">
      <c r="B82" s="66"/>
    </row>
    <row r="83">
      <c r="B83" s="66"/>
    </row>
    <row r="84">
      <c r="B84" s="66"/>
    </row>
    <row r="85">
      <c r="B85" s="66"/>
    </row>
    <row r="86">
      <c r="B86" s="66"/>
    </row>
    <row r="87">
      <c r="B87" s="66"/>
    </row>
    <row r="88">
      <c r="B88" s="66"/>
    </row>
    <row r="89">
      <c r="B89" s="66"/>
    </row>
    <row r="90">
      <c r="B90" s="66"/>
    </row>
    <row r="91">
      <c r="B91" s="66"/>
    </row>
    <row r="92">
      <c r="B92" s="66"/>
    </row>
    <row r="93">
      <c r="B93" s="66"/>
    </row>
    <row r="94">
      <c r="B94" s="66"/>
    </row>
    <row r="95">
      <c r="B95" s="66"/>
    </row>
    <row r="96">
      <c r="B96" s="66"/>
    </row>
    <row r="97">
      <c r="B97" s="66"/>
    </row>
    <row r="98">
      <c r="B98" s="66"/>
    </row>
    <row r="99">
      <c r="B99" s="66"/>
    </row>
    <row r="100">
      <c r="B100" s="66"/>
    </row>
    <row r="101">
      <c r="B101" s="66"/>
    </row>
    <row r="102">
      <c r="B102" s="66"/>
    </row>
    <row r="103">
      <c r="B103" s="66"/>
    </row>
    <row r="104">
      <c r="B104" s="66"/>
    </row>
    <row r="105">
      <c r="B105" s="66"/>
    </row>
    <row r="106">
      <c r="B106" s="66"/>
    </row>
    <row r="107">
      <c r="B107" s="66"/>
    </row>
    <row r="108">
      <c r="B108" s="66"/>
    </row>
    <row r="109">
      <c r="B109" s="66"/>
    </row>
    <row r="110">
      <c r="B110" s="66"/>
    </row>
    <row r="111">
      <c r="B111" s="66"/>
    </row>
    <row r="112">
      <c r="B112" s="66"/>
    </row>
    <row r="113">
      <c r="B113" s="66"/>
    </row>
    <row r="114">
      <c r="B114" s="66"/>
    </row>
    <row r="115">
      <c r="B115" s="66"/>
    </row>
    <row r="116">
      <c r="B116" s="66"/>
    </row>
    <row r="117">
      <c r="B117" s="66"/>
    </row>
    <row r="118">
      <c r="B118" s="66"/>
    </row>
    <row r="119">
      <c r="B119" s="66"/>
    </row>
    <row r="120">
      <c r="B120" s="66"/>
    </row>
    <row r="121">
      <c r="B121" s="66"/>
    </row>
    <row r="122">
      <c r="B122" s="66"/>
    </row>
    <row r="123">
      <c r="B123" s="66"/>
    </row>
    <row r="124">
      <c r="B124" s="66"/>
    </row>
    <row r="125">
      <c r="B125" s="66"/>
    </row>
    <row r="126">
      <c r="B126" s="66"/>
    </row>
    <row r="127">
      <c r="B127" s="66"/>
    </row>
    <row r="128">
      <c r="B128" s="66"/>
    </row>
    <row r="129">
      <c r="B129" s="66"/>
    </row>
    <row r="130">
      <c r="B130" s="66"/>
    </row>
    <row r="131">
      <c r="B131" s="66"/>
    </row>
    <row r="132">
      <c r="B132" s="66"/>
    </row>
    <row r="133">
      <c r="B133" s="66"/>
    </row>
    <row r="134">
      <c r="B134" s="66"/>
    </row>
    <row r="135">
      <c r="B135" s="66"/>
    </row>
    <row r="136">
      <c r="B136" s="66"/>
    </row>
    <row r="137">
      <c r="B137" s="66"/>
    </row>
    <row r="138">
      <c r="B138" s="66"/>
    </row>
    <row r="139">
      <c r="B139" s="66"/>
    </row>
    <row r="140">
      <c r="B140" s="66"/>
    </row>
    <row r="141">
      <c r="B141" s="66"/>
    </row>
    <row r="142">
      <c r="B142" s="66"/>
    </row>
    <row r="143">
      <c r="B143" s="66"/>
    </row>
    <row r="144">
      <c r="B144" s="66"/>
    </row>
    <row r="145">
      <c r="B145" s="66"/>
    </row>
    <row r="146">
      <c r="B146" s="66"/>
    </row>
    <row r="147">
      <c r="B147" s="66"/>
    </row>
    <row r="148">
      <c r="B148" s="66"/>
    </row>
    <row r="149">
      <c r="B149" s="66"/>
    </row>
    <row r="150">
      <c r="B150" s="66"/>
    </row>
    <row r="151">
      <c r="B151" s="66"/>
    </row>
    <row r="152">
      <c r="B152" s="66"/>
    </row>
    <row r="153">
      <c r="B153" s="66"/>
    </row>
    <row r="154">
      <c r="B154" s="66"/>
    </row>
    <row r="155">
      <c r="B155" s="66"/>
    </row>
    <row r="156">
      <c r="B156" s="66"/>
    </row>
    <row r="157">
      <c r="B157" s="66"/>
    </row>
    <row r="158">
      <c r="B158" s="66"/>
    </row>
    <row r="159">
      <c r="B159" s="66"/>
    </row>
    <row r="160">
      <c r="B160" s="66"/>
    </row>
    <row r="161">
      <c r="B161" s="66"/>
    </row>
    <row r="162">
      <c r="B162" s="66"/>
    </row>
    <row r="163">
      <c r="B163" s="66"/>
    </row>
    <row r="164">
      <c r="B164" s="66"/>
    </row>
    <row r="165">
      <c r="B165" s="66"/>
    </row>
    <row r="166">
      <c r="B166" s="66"/>
    </row>
    <row r="167">
      <c r="B167" s="66"/>
    </row>
    <row r="168">
      <c r="B168" s="66"/>
    </row>
    <row r="169">
      <c r="B169" s="66"/>
    </row>
    <row r="170">
      <c r="B170" s="66"/>
    </row>
    <row r="171">
      <c r="B171" s="66"/>
    </row>
    <row r="172">
      <c r="B172" s="66"/>
    </row>
    <row r="173">
      <c r="B173" s="66"/>
    </row>
    <row r="174">
      <c r="B174" s="66"/>
    </row>
    <row r="175">
      <c r="B175" s="66"/>
    </row>
    <row r="176">
      <c r="B176" s="66"/>
    </row>
    <row r="177">
      <c r="B177" s="66"/>
    </row>
    <row r="178">
      <c r="B178" s="66"/>
    </row>
    <row r="179">
      <c r="B179" s="66"/>
    </row>
    <row r="180">
      <c r="B180" s="66"/>
    </row>
    <row r="181">
      <c r="B181" s="66"/>
    </row>
    <row r="182">
      <c r="B182" s="66"/>
    </row>
    <row r="183">
      <c r="B183" s="66"/>
    </row>
    <row r="184">
      <c r="B184" s="66"/>
    </row>
    <row r="185">
      <c r="B185" s="66"/>
    </row>
    <row r="186">
      <c r="B186" s="66"/>
    </row>
    <row r="187">
      <c r="B187" s="66"/>
    </row>
    <row r="188">
      <c r="B188" s="66"/>
    </row>
    <row r="189">
      <c r="B189" s="66"/>
    </row>
    <row r="190">
      <c r="B190" s="66"/>
    </row>
    <row r="191">
      <c r="B191" s="66"/>
    </row>
    <row r="192">
      <c r="B192" s="66"/>
    </row>
    <row r="193">
      <c r="B193" s="66"/>
    </row>
    <row r="194">
      <c r="B194" s="66"/>
    </row>
    <row r="195">
      <c r="B195" s="66"/>
    </row>
    <row r="196">
      <c r="B196" s="66"/>
    </row>
    <row r="197">
      <c r="B197" s="66"/>
    </row>
    <row r="198">
      <c r="B198" s="66"/>
    </row>
    <row r="199">
      <c r="B199" s="66"/>
    </row>
    <row r="200">
      <c r="B200" s="66"/>
    </row>
    <row r="201">
      <c r="B201" s="66"/>
    </row>
    <row r="202">
      <c r="B202" s="66"/>
    </row>
    <row r="203">
      <c r="B203" s="66"/>
    </row>
    <row r="204">
      <c r="B204" s="66"/>
    </row>
    <row r="205">
      <c r="B205" s="66"/>
    </row>
    <row r="206">
      <c r="B206" s="66"/>
    </row>
    <row r="207">
      <c r="B207" s="66"/>
    </row>
    <row r="208">
      <c r="B208" s="66"/>
    </row>
    <row r="209">
      <c r="B209" s="66"/>
    </row>
    <row r="210">
      <c r="B210" s="66"/>
    </row>
    <row r="211">
      <c r="B211" s="66"/>
    </row>
    <row r="212">
      <c r="B212" s="66"/>
    </row>
    <row r="213">
      <c r="B213" s="66"/>
    </row>
    <row r="214">
      <c r="B214" s="66"/>
    </row>
    <row r="215">
      <c r="B215" s="66"/>
    </row>
    <row r="216">
      <c r="B216" s="66"/>
    </row>
    <row r="217">
      <c r="B217" s="66"/>
    </row>
    <row r="218">
      <c r="B218" s="66"/>
    </row>
    <row r="219">
      <c r="B219" s="66"/>
    </row>
    <row r="220">
      <c r="B220" s="66"/>
    </row>
    <row r="221">
      <c r="B221" s="66"/>
    </row>
    <row r="222">
      <c r="B222" s="66"/>
    </row>
    <row r="223">
      <c r="B223" s="66"/>
    </row>
    <row r="224">
      <c r="B224" s="66"/>
    </row>
    <row r="225">
      <c r="B225" s="66"/>
    </row>
    <row r="226">
      <c r="B226" s="66"/>
    </row>
    <row r="227">
      <c r="B227" s="66"/>
    </row>
    <row r="228">
      <c r="B228" s="66"/>
    </row>
    <row r="229">
      <c r="B229" s="66"/>
    </row>
    <row r="230">
      <c r="B230" s="66"/>
    </row>
    <row r="231">
      <c r="B231" s="66"/>
    </row>
    <row r="232">
      <c r="B232" s="66"/>
    </row>
    <row r="233">
      <c r="B233" s="66"/>
    </row>
    <row r="234">
      <c r="B234" s="66"/>
    </row>
    <row r="235">
      <c r="B235" s="66"/>
    </row>
    <row r="236">
      <c r="B236" s="66"/>
    </row>
    <row r="237">
      <c r="B237" s="66"/>
    </row>
    <row r="238">
      <c r="B238" s="66"/>
    </row>
    <row r="239">
      <c r="B239" s="66"/>
    </row>
    <row r="240">
      <c r="B240" s="66"/>
    </row>
    <row r="241">
      <c r="B241" s="66"/>
    </row>
    <row r="242">
      <c r="B242" s="66"/>
    </row>
    <row r="243">
      <c r="B243" s="66"/>
    </row>
    <row r="244">
      <c r="B244" s="66"/>
    </row>
    <row r="245">
      <c r="B245" s="66"/>
    </row>
    <row r="246">
      <c r="B246" s="66"/>
    </row>
    <row r="247">
      <c r="B247" s="66"/>
    </row>
    <row r="248">
      <c r="B248" s="66"/>
    </row>
    <row r="249">
      <c r="B249" s="66"/>
    </row>
    <row r="250">
      <c r="B250" s="66"/>
    </row>
    <row r="251">
      <c r="B251" s="66"/>
    </row>
    <row r="252">
      <c r="B252" s="66"/>
    </row>
    <row r="253">
      <c r="B253" s="66"/>
    </row>
    <row r="254">
      <c r="B254" s="66"/>
    </row>
    <row r="255">
      <c r="B255" s="66"/>
    </row>
    <row r="256">
      <c r="B256" s="66"/>
    </row>
    <row r="257">
      <c r="B257" s="66"/>
    </row>
    <row r="258">
      <c r="B258" s="66"/>
    </row>
    <row r="259">
      <c r="B259" s="66"/>
    </row>
    <row r="260">
      <c r="B260" s="66"/>
    </row>
    <row r="261">
      <c r="B261" s="66"/>
    </row>
    <row r="262">
      <c r="B262" s="66"/>
    </row>
    <row r="263">
      <c r="B263" s="66"/>
    </row>
    <row r="264">
      <c r="B264" s="66"/>
    </row>
    <row r="265">
      <c r="B265" s="66"/>
    </row>
    <row r="266">
      <c r="B266" s="66"/>
    </row>
    <row r="267">
      <c r="B267" s="66"/>
    </row>
    <row r="268">
      <c r="B268" s="66"/>
    </row>
    <row r="269">
      <c r="B269" s="66"/>
    </row>
    <row r="270">
      <c r="B270" s="66"/>
    </row>
    <row r="271">
      <c r="B271" s="66"/>
    </row>
    <row r="272">
      <c r="B272" s="66"/>
    </row>
    <row r="273">
      <c r="B273" s="66"/>
    </row>
    <row r="274">
      <c r="B274" s="66"/>
    </row>
    <row r="275">
      <c r="B275" s="66"/>
    </row>
    <row r="276">
      <c r="B276" s="66"/>
    </row>
    <row r="277">
      <c r="B277" s="66"/>
    </row>
    <row r="278">
      <c r="B278" s="66"/>
    </row>
    <row r="279">
      <c r="B279" s="66"/>
    </row>
    <row r="280">
      <c r="B280" s="66"/>
    </row>
    <row r="281">
      <c r="B281" s="66"/>
    </row>
    <row r="282">
      <c r="B282" s="66"/>
    </row>
    <row r="283">
      <c r="B283" s="66"/>
    </row>
    <row r="284">
      <c r="B284" s="66"/>
    </row>
    <row r="285">
      <c r="B285" s="66"/>
    </row>
    <row r="286">
      <c r="B286" s="66"/>
    </row>
    <row r="287">
      <c r="B287" s="66"/>
    </row>
    <row r="288">
      <c r="B288" s="66"/>
    </row>
    <row r="289">
      <c r="B289" s="66"/>
    </row>
    <row r="290">
      <c r="B290" s="66"/>
    </row>
    <row r="291">
      <c r="B291" s="66"/>
    </row>
    <row r="292">
      <c r="B292" s="66"/>
    </row>
    <row r="293">
      <c r="B293" s="66"/>
    </row>
    <row r="294">
      <c r="B294" s="66"/>
    </row>
    <row r="295">
      <c r="B295" s="66"/>
    </row>
    <row r="296">
      <c r="B296" s="66"/>
    </row>
    <row r="297">
      <c r="B297" s="66"/>
    </row>
    <row r="298">
      <c r="B298" s="66"/>
    </row>
    <row r="299">
      <c r="B299" s="66"/>
    </row>
    <row r="300">
      <c r="B300" s="66"/>
    </row>
    <row r="301">
      <c r="B301" s="66"/>
    </row>
    <row r="302">
      <c r="B302" s="66"/>
    </row>
    <row r="303">
      <c r="B303" s="66"/>
    </row>
    <row r="304">
      <c r="B304" s="66"/>
    </row>
    <row r="305">
      <c r="B305" s="66"/>
    </row>
    <row r="306">
      <c r="B306" s="66"/>
    </row>
    <row r="307">
      <c r="B307" s="66"/>
    </row>
    <row r="308">
      <c r="B308" s="66"/>
    </row>
    <row r="309">
      <c r="B309" s="66"/>
    </row>
    <row r="310">
      <c r="B310" s="66"/>
    </row>
    <row r="311">
      <c r="B311" s="66"/>
    </row>
    <row r="312">
      <c r="B312" s="66"/>
    </row>
    <row r="313">
      <c r="B313" s="66"/>
    </row>
    <row r="314">
      <c r="B314" s="66"/>
    </row>
    <row r="315">
      <c r="B315" s="66"/>
    </row>
    <row r="316">
      <c r="B316" s="66"/>
    </row>
    <row r="317">
      <c r="B317" s="66"/>
    </row>
    <row r="318">
      <c r="B318" s="66"/>
    </row>
    <row r="319">
      <c r="B319" s="66"/>
    </row>
    <row r="320">
      <c r="B320" s="66"/>
    </row>
    <row r="321">
      <c r="B321" s="66"/>
    </row>
    <row r="322">
      <c r="B322" s="66"/>
    </row>
    <row r="323">
      <c r="B323" s="66"/>
    </row>
    <row r="324">
      <c r="B324" s="66"/>
    </row>
    <row r="325">
      <c r="B325" s="66"/>
    </row>
    <row r="326">
      <c r="B326" s="66"/>
    </row>
    <row r="327">
      <c r="B327" s="66"/>
    </row>
    <row r="328">
      <c r="B328" s="66"/>
    </row>
    <row r="329">
      <c r="B329" s="66"/>
    </row>
    <row r="330">
      <c r="B330" s="66"/>
    </row>
    <row r="331">
      <c r="B331" s="66"/>
    </row>
    <row r="332">
      <c r="B332" s="66"/>
    </row>
    <row r="333">
      <c r="B333" s="66"/>
    </row>
    <row r="334">
      <c r="B334" s="66"/>
    </row>
    <row r="335">
      <c r="B335" s="66"/>
    </row>
    <row r="336">
      <c r="B336" s="66"/>
    </row>
    <row r="337">
      <c r="B337" s="66"/>
    </row>
    <row r="338">
      <c r="B338" s="66"/>
    </row>
    <row r="339">
      <c r="B339" s="66"/>
    </row>
    <row r="340">
      <c r="B340" s="66"/>
    </row>
    <row r="341">
      <c r="B341" s="66"/>
    </row>
    <row r="342">
      <c r="B342" s="66"/>
    </row>
    <row r="343">
      <c r="B343" s="66"/>
    </row>
    <row r="344">
      <c r="B344" s="66"/>
    </row>
    <row r="345">
      <c r="B345" s="66"/>
    </row>
    <row r="346">
      <c r="B346" s="66"/>
    </row>
    <row r="347">
      <c r="B347" s="66"/>
    </row>
    <row r="348">
      <c r="B348" s="66"/>
    </row>
    <row r="349">
      <c r="B349" s="66"/>
    </row>
    <row r="350">
      <c r="B350" s="66"/>
    </row>
    <row r="351">
      <c r="B351" s="66"/>
    </row>
    <row r="352">
      <c r="B352" s="66"/>
    </row>
    <row r="353">
      <c r="B353" s="66"/>
    </row>
    <row r="354">
      <c r="B354" s="66"/>
    </row>
    <row r="355">
      <c r="B355" s="66"/>
    </row>
    <row r="356">
      <c r="B356" s="66"/>
    </row>
    <row r="357">
      <c r="B357" s="66"/>
    </row>
    <row r="358">
      <c r="B358" s="66"/>
    </row>
    <row r="359">
      <c r="B359" s="66"/>
    </row>
    <row r="360">
      <c r="B360" s="66"/>
    </row>
    <row r="361">
      <c r="B361" s="66"/>
    </row>
    <row r="362">
      <c r="B362" s="66"/>
    </row>
    <row r="363">
      <c r="B363" s="66"/>
    </row>
    <row r="364">
      <c r="B364" s="66"/>
    </row>
    <row r="365">
      <c r="B365" s="66"/>
    </row>
    <row r="366">
      <c r="B366" s="66"/>
    </row>
    <row r="367">
      <c r="B367" s="66"/>
    </row>
    <row r="368">
      <c r="B368" s="66"/>
    </row>
    <row r="369">
      <c r="B369" s="66"/>
    </row>
    <row r="370">
      <c r="B370" s="66"/>
    </row>
    <row r="371">
      <c r="B371" s="66"/>
    </row>
    <row r="372">
      <c r="B372" s="66"/>
    </row>
    <row r="373">
      <c r="B373" s="66"/>
    </row>
    <row r="374">
      <c r="B374" s="66"/>
    </row>
    <row r="375">
      <c r="B375" s="66"/>
    </row>
    <row r="376">
      <c r="B376" s="66"/>
    </row>
    <row r="377">
      <c r="B377" s="66"/>
    </row>
    <row r="378">
      <c r="B378" s="66"/>
    </row>
    <row r="379">
      <c r="B379" s="66"/>
    </row>
    <row r="380">
      <c r="B380" s="66"/>
    </row>
    <row r="381">
      <c r="B381" s="66"/>
    </row>
    <row r="382">
      <c r="B382" s="66"/>
    </row>
    <row r="383">
      <c r="B383" s="66"/>
    </row>
    <row r="384">
      <c r="B384" s="66"/>
    </row>
    <row r="385">
      <c r="B385" s="66"/>
    </row>
    <row r="386">
      <c r="B386" s="66"/>
    </row>
    <row r="387">
      <c r="B387" s="66"/>
    </row>
    <row r="388">
      <c r="B388" s="66"/>
    </row>
    <row r="389">
      <c r="B389" s="66"/>
    </row>
    <row r="390">
      <c r="B390" s="66"/>
    </row>
    <row r="391">
      <c r="B391" s="66"/>
    </row>
    <row r="392">
      <c r="B392" s="66"/>
    </row>
    <row r="393">
      <c r="B393" s="66"/>
    </row>
    <row r="394">
      <c r="B394" s="66"/>
    </row>
    <row r="395">
      <c r="B395" s="66"/>
    </row>
    <row r="396">
      <c r="B396" s="66"/>
    </row>
    <row r="397">
      <c r="B397" s="66"/>
    </row>
    <row r="398">
      <c r="B398" s="66"/>
    </row>
    <row r="399">
      <c r="B399" s="66"/>
    </row>
    <row r="400">
      <c r="B400" s="66"/>
    </row>
    <row r="401">
      <c r="B401" s="66"/>
    </row>
    <row r="402">
      <c r="B402" s="66"/>
    </row>
    <row r="403">
      <c r="B403" s="66"/>
    </row>
    <row r="404">
      <c r="B404" s="66"/>
    </row>
    <row r="405">
      <c r="B405" s="66"/>
    </row>
    <row r="406">
      <c r="B406" s="66"/>
    </row>
    <row r="407">
      <c r="B407" s="66"/>
    </row>
    <row r="408">
      <c r="B408" s="66"/>
    </row>
    <row r="409">
      <c r="B409" s="66"/>
    </row>
    <row r="410">
      <c r="B410" s="66"/>
    </row>
    <row r="411">
      <c r="B411" s="66"/>
    </row>
    <row r="412">
      <c r="B412" s="66"/>
    </row>
    <row r="413">
      <c r="B413" s="66"/>
    </row>
    <row r="414">
      <c r="B414" s="66"/>
    </row>
    <row r="415">
      <c r="B415" s="66"/>
    </row>
    <row r="416">
      <c r="B416" s="66"/>
    </row>
    <row r="417">
      <c r="B417" s="66"/>
    </row>
    <row r="418">
      <c r="B418" s="66"/>
    </row>
    <row r="419">
      <c r="B419" s="66"/>
    </row>
    <row r="420">
      <c r="B420" s="66"/>
    </row>
    <row r="421">
      <c r="B421" s="66"/>
    </row>
    <row r="422">
      <c r="B422" s="66"/>
    </row>
    <row r="423">
      <c r="B423" s="66"/>
    </row>
    <row r="424">
      <c r="B424" s="66"/>
    </row>
    <row r="425">
      <c r="B425" s="66"/>
    </row>
    <row r="426">
      <c r="B426" s="66"/>
    </row>
    <row r="427">
      <c r="B427" s="66"/>
    </row>
    <row r="428">
      <c r="B428" s="66"/>
    </row>
    <row r="429">
      <c r="B429" s="66"/>
    </row>
    <row r="430">
      <c r="B430" s="66"/>
    </row>
    <row r="431">
      <c r="B431" s="66"/>
    </row>
    <row r="432">
      <c r="B432" s="66"/>
    </row>
    <row r="433">
      <c r="B433" s="66"/>
    </row>
    <row r="434">
      <c r="B434" s="66"/>
    </row>
    <row r="435">
      <c r="B435" s="66"/>
    </row>
    <row r="436">
      <c r="B436" s="66"/>
    </row>
    <row r="437">
      <c r="B437" s="66"/>
    </row>
    <row r="438">
      <c r="B438" s="66"/>
    </row>
    <row r="439">
      <c r="B439" s="66"/>
    </row>
    <row r="440">
      <c r="B440" s="66"/>
    </row>
    <row r="441">
      <c r="B441" s="66"/>
    </row>
    <row r="442">
      <c r="B442" s="66"/>
    </row>
    <row r="443">
      <c r="B443" s="66"/>
    </row>
    <row r="444">
      <c r="B444" s="66"/>
    </row>
    <row r="445">
      <c r="B445" s="66"/>
    </row>
    <row r="446">
      <c r="B446" s="66"/>
    </row>
    <row r="447">
      <c r="B447" s="66"/>
    </row>
    <row r="448">
      <c r="B448" s="66"/>
    </row>
    <row r="449">
      <c r="B449" s="66"/>
    </row>
    <row r="450">
      <c r="B450" s="66"/>
    </row>
    <row r="451">
      <c r="B451" s="66"/>
    </row>
    <row r="452">
      <c r="B452" s="66"/>
    </row>
    <row r="453">
      <c r="B453" s="66"/>
    </row>
    <row r="454">
      <c r="B454" s="66"/>
    </row>
    <row r="455">
      <c r="B455" s="66"/>
    </row>
    <row r="456">
      <c r="B456" s="66"/>
    </row>
    <row r="457">
      <c r="B457" s="66"/>
    </row>
    <row r="458">
      <c r="B458" s="66"/>
    </row>
    <row r="459">
      <c r="B459" s="66"/>
    </row>
    <row r="460">
      <c r="B460" s="66"/>
    </row>
    <row r="461">
      <c r="B461" s="66"/>
    </row>
    <row r="462">
      <c r="B462" s="66"/>
    </row>
    <row r="463">
      <c r="B463" s="66"/>
    </row>
    <row r="464">
      <c r="B464" s="66"/>
    </row>
    <row r="465">
      <c r="B465" s="66"/>
    </row>
    <row r="466">
      <c r="B466" s="66"/>
    </row>
    <row r="467">
      <c r="B467" s="66"/>
    </row>
    <row r="468">
      <c r="B468" s="66"/>
    </row>
    <row r="469">
      <c r="B469" s="66"/>
    </row>
    <row r="470">
      <c r="B470" s="66"/>
    </row>
    <row r="471">
      <c r="B471" s="66"/>
    </row>
    <row r="472">
      <c r="B472" s="66"/>
    </row>
    <row r="473">
      <c r="B473" s="66"/>
    </row>
    <row r="474">
      <c r="B474" s="66"/>
    </row>
    <row r="475">
      <c r="B475" s="66"/>
    </row>
    <row r="476">
      <c r="B476" s="66"/>
    </row>
    <row r="477">
      <c r="B477" s="66"/>
    </row>
    <row r="478">
      <c r="B478" s="66"/>
    </row>
    <row r="479">
      <c r="B479" s="66"/>
    </row>
    <row r="480">
      <c r="B480" s="66"/>
    </row>
    <row r="481">
      <c r="B481" s="66"/>
    </row>
    <row r="482">
      <c r="B482" s="66"/>
    </row>
    <row r="483">
      <c r="B483" s="66"/>
    </row>
    <row r="484">
      <c r="B484" s="66"/>
    </row>
    <row r="485">
      <c r="B485" s="66"/>
    </row>
    <row r="486">
      <c r="B486" s="66"/>
    </row>
    <row r="487">
      <c r="B487" s="66"/>
    </row>
    <row r="488">
      <c r="B488" s="66"/>
    </row>
    <row r="489">
      <c r="B489" s="66"/>
    </row>
    <row r="490">
      <c r="B490" s="66"/>
    </row>
    <row r="491">
      <c r="B491" s="66"/>
    </row>
    <row r="492">
      <c r="B492" s="66"/>
    </row>
    <row r="493">
      <c r="B493" s="66"/>
    </row>
    <row r="494">
      <c r="B494" s="66"/>
    </row>
    <row r="495">
      <c r="B495" s="66"/>
    </row>
    <row r="496">
      <c r="B496" s="66"/>
    </row>
    <row r="497">
      <c r="B497" s="66"/>
    </row>
    <row r="498">
      <c r="B498" s="66"/>
    </row>
    <row r="499">
      <c r="B499" s="66"/>
    </row>
    <row r="500">
      <c r="B500" s="66"/>
    </row>
    <row r="501">
      <c r="B501" s="66"/>
    </row>
    <row r="502">
      <c r="B502" s="66"/>
    </row>
    <row r="503">
      <c r="B503" s="66"/>
    </row>
    <row r="504">
      <c r="B504" s="66"/>
    </row>
    <row r="505">
      <c r="B505" s="66"/>
    </row>
    <row r="506">
      <c r="B506" s="66"/>
    </row>
    <row r="507">
      <c r="B507" s="66"/>
    </row>
    <row r="508">
      <c r="B508" s="66"/>
    </row>
    <row r="509">
      <c r="B509" s="66"/>
    </row>
    <row r="510">
      <c r="B510" s="66"/>
    </row>
    <row r="511">
      <c r="B511" s="66"/>
    </row>
    <row r="512">
      <c r="B512" s="66"/>
    </row>
    <row r="513">
      <c r="B513" s="66"/>
    </row>
    <row r="514">
      <c r="B514" s="66"/>
    </row>
    <row r="515">
      <c r="B515" s="66"/>
    </row>
    <row r="516">
      <c r="B516" s="66"/>
    </row>
    <row r="517">
      <c r="B517" s="66"/>
    </row>
    <row r="518">
      <c r="B518" s="66"/>
    </row>
    <row r="519">
      <c r="B519" s="66"/>
    </row>
    <row r="520">
      <c r="B520" s="66"/>
    </row>
    <row r="521">
      <c r="B521" s="66"/>
    </row>
    <row r="522">
      <c r="B522" s="66"/>
    </row>
    <row r="523">
      <c r="B523" s="66"/>
    </row>
    <row r="524">
      <c r="B524" s="66"/>
    </row>
    <row r="525">
      <c r="B525" s="66"/>
    </row>
    <row r="526">
      <c r="B526" s="66"/>
    </row>
    <row r="527">
      <c r="B527" s="66"/>
    </row>
    <row r="528">
      <c r="B528" s="66"/>
    </row>
    <row r="529">
      <c r="B529" s="66"/>
    </row>
    <row r="530">
      <c r="B530" s="66"/>
    </row>
    <row r="531">
      <c r="B531" s="66"/>
    </row>
    <row r="532">
      <c r="B532" s="66"/>
    </row>
    <row r="533">
      <c r="B533" s="66"/>
    </row>
    <row r="534">
      <c r="B534" s="66"/>
    </row>
    <row r="535">
      <c r="B535" s="66"/>
    </row>
    <row r="536">
      <c r="B536" s="66"/>
    </row>
    <row r="537">
      <c r="B537" s="66"/>
    </row>
    <row r="538">
      <c r="B538" s="66"/>
    </row>
    <row r="539">
      <c r="B539" s="66"/>
    </row>
    <row r="540">
      <c r="B540" s="66"/>
    </row>
    <row r="541">
      <c r="B541" s="66"/>
    </row>
    <row r="542">
      <c r="B542" s="66"/>
    </row>
    <row r="543">
      <c r="B543" s="66"/>
    </row>
    <row r="544">
      <c r="B544" s="66"/>
    </row>
    <row r="545">
      <c r="B545" s="66"/>
    </row>
    <row r="546">
      <c r="B546" s="66"/>
    </row>
    <row r="547">
      <c r="B547" s="66"/>
    </row>
    <row r="548">
      <c r="B548" s="66"/>
    </row>
    <row r="549">
      <c r="B549" s="66"/>
    </row>
    <row r="550">
      <c r="B550" s="66"/>
    </row>
    <row r="551">
      <c r="B551" s="66"/>
    </row>
    <row r="552">
      <c r="B552" s="66"/>
    </row>
    <row r="553">
      <c r="B553" s="66"/>
    </row>
    <row r="554">
      <c r="B554" s="66"/>
    </row>
    <row r="555">
      <c r="B555" s="66"/>
    </row>
    <row r="556">
      <c r="B556" s="66"/>
    </row>
    <row r="557">
      <c r="B557" s="66"/>
    </row>
    <row r="558">
      <c r="B558" s="66"/>
    </row>
    <row r="559">
      <c r="B559" s="66"/>
    </row>
    <row r="560">
      <c r="B560" s="66"/>
    </row>
    <row r="561">
      <c r="B561" s="66"/>
    </row>
    <row r="562">
      <c r="B562" s="66"/>
    </row>
    <row r="563">
      <c r="B563" s="66"/>
    </row>
    <row r="564">
      <c r="B564" s="66"/>
    </row>
    <row r="565">
      <c r="B565" s="66"/>
    </row>
    <row r="566">
      <c r="B566" s="66"/>
    </row>
    <row r="567">
      <c r="B567" s="66"/>
    </row>
    <row r="568">
      <c r="B568" s="66"/>
    </row>
    <row r="569">
      <c r="B569" s="66"/>
    </row>
    <row r="570">
      <c r="B570" s="66"/>
    </row>
    <row r="571">
      <c r="B571" s="66"/>
    </row>
    <row r="572">
      <c r="B572" s="66"/>
    </row>
    <row r="573">
      <c r="B573" s="66"/>
    </row>
    <row r="574">
      <c r="B574" s="66"/>
    </row>
    <row r="575">
      <c r="B575" s="66"/>
    </row>
    <row r="576">
      <c r="B576" s="66"/>
    </row>
    <row r="577">
      <c r="B577" s="66"/>
    </row>
    <row r="578">
      <c r="B578" s="66"/>
    </row>
    <row r="579">
      <c r="B579" s="66"/>
    </row>
    <row r="580">
      <c r="B580" s="66"/>
    </row>
    <row r="581">
      <c r="B581" s="66"/>
    </row>
    <row r="582">
      <c r="B582" s="66"/>
    </row>
    <row r="583">
      <c r="B583" s="66"/>
    </row>
    <row r="584">
      <c r="B584" s="66"/>
    </row>
    <row r="585">
      <c r="B585" s="66"/>
    </row>
    <row r="586">
      <c r="B586" s="66"/>
    </row>
    <row r="587">
      <c r="B587" s="66"/>
    </row>
    <row r="588">
      <c r="B588" s="66"/>
    </row>
    <row r="589">
      <c r="B589" s="66"/>
    </row>
    <row r="590">
      <c r="B590" s="66"/>
    </row>
    <row r="591">
      <c r="B591" s="66"/>
    </row>
    <row r="592">
      <c r="B592" s="66"/>
    </row>
    <row r="593">
      <c r="B593" s="66"/>
    </row>
    <row r="594">
      <c r="B594" s="66"/>
    </row>
    <row r="595">
      <c r="B595" s="66"/>
    </row>
    <row r="596">
      <c r="B596" s="66"/>
    </row>
    <row r="597">
      <c r="B597" s="66"/>
    </row>
    <row r="598">
      <c r="B598" s="66"/>
    </row>
    <row r="599">
      <c r="B599" s="66"/>
    </row>
    <row r="600">
      <c r="B600" s="66"/>
    </row>
    <row r="601">
      <c r="B601" s="66"/>
    </row>
    <row r="602">
      <c r="B602" s="66"/>
    </row>
    <row r="603">
      <c r="B603" s="66"/>
    </row>
    <row r="604">
      <c r="B604" s="66"/>
    </row>
    <row r="605">
      <c r="B605" s="66"/>
    </row>
    <row r="606">
      <c r="B606" s="66"/>
    </row>
    <row r="607">
      <c r="B607" s="66"/>
    </row>
    <row r="608">
      <c r="B608" s="66"/>
    </row>
    <row r="609">
      <c r="B609" s="66"/>
    </row>
    <row r="610">
      <c r="B610" s="66"/>
    </row>
    <row r="611">
      <c r="B611" s="66"/>
    </row>
    <row r="612">
      <c r="B612" s="66"/>
    </row>
    <row r="613">
      <c r="B613" s="66"/>
    </row>
    <row r="614">
      <c r="B614" s="66"/>
    </row>
    <row r="615">
      <c r="B615" s="66"/>
    </row>
    <row r="616">
      <c r="B616" s="66"/>
    </row>
    <row r="617">
      <c r="B617" s="66"/>
    </row>
    <row r="618">
      <c r="B618" s="66"/>
    </row>
    <row r="619">
      <c r="B619" s="66"/>
    </row>
    <row r="620">
      <c r="B620" s="66"/>
    </row>
    <row r="621">
      <c r="B621" s="66"/>
    </row>
    <row r="622">
      <c r="B622" s="66"/>
    </row>
    <row r="623">
      <c r="B623" s="66"/>
    </row>
    <row r="624">
      <c r="B624" s="66"/>
    </row>
    <row r="625">
      <c r="B625" s="66"/>
    </row>
    <row r="626">
      <c r="B626" s="66"/>
    </row>
    <row r="627">
      <c r="B627" s="66"/>
    </row>
    <row r="628">
      <c r="B628" s="66"/>
    </row>
    <row r="629">
      <c r="B629" s="66"/>
    </row>
    <row r="630">
      <c r="B630" s="66"/>
    </row>
    <row r="631">
      <c r="B631" s="66"/>
    </row>
    <row r="632">
      <c r="B632" s="66"/>
    </row>
    <row r="633">
      <c r="B633" s="66"/>
    </row>
    <row r="634">
      <c r="B634" s="66"/>
    </row>
    <row r="635">
      <c r="B635" s="66"/>
    </row>
    <row r="636">
      <c r="B636" s="66"/>
    </row>
    <row r="637">
      <c r="B637" s="66"/>
    </row>
    <row r="638">
      <c r="B638" s="66"/>
    </row>
    <row r="639">
      <c r="B639" s="66"/>
    </row>
    <row r="640">
      <c r="B640" s="66"/>
    </row>
    <row r="641">
      <c r="B641" s="66"/>
    </row>
    <row r="642">
      <c r="B642" s="66"/>
    </row>
    <row r="643">
      <c r="B643" s="66"/>
    </row>
    <row r="644">
      <c r="B644" s="66"/>
    </row>
    <row r="645">
      <c r="B645" s="66"/>
    </row>
    <row r="646">
      <c r="B646" s="66"/>
    </row>
    <row r="647">
      <c r="B647" s="66"/>
    </row>
    <row r="648">
      <c r="B648" s="66"/>
    </row>
    <row r="649">
      <c r="B649" s="66"/>
    </row>
    <row r="650">
      <c r="B650" s="66"/>
    </row>
    <row r="651">
      <c r="B651" s="66"/>
    </row>
    <row r="652">
      <c r="B652" s="66"/>
    </row>
    <row r="653">
      <c r="B653" s="66"/>
    </row>
    <row r="654">
      <c r="B654" s="66"/>
    </row>
    <row r="655">
      <c r="B655" s="66"/>
    </row>
    <row r="656">
      <c r="B656" s="66"/>
    </row>
    <row r="657">
      <c r="B657" s="66"/>
    </row>
    <row r="658">
      <c r="B658" s="66"/>
    </row>
    <row r="659">
      <c r="B659" s="66"/>
    </row>
    <row r="660">
      <c r="B660" s="66"/>
    </row>
    <row r="661">
      <c r="B661" s="66"/>
    </row>
    <row r="662">
      <c r="B662" s="66"/>
    </row>
    <row r="663">
      <c r="B663" s="66"/>
    </row>
    <row r="664">
      <c r="B664" s="66"/>
    </row>
    <row r="665">
      <c r="B665" s="66"/>
    </row>
    <row r="666">
      <c r="B666" s="66"/>
    </row>
    <row r="667">
      <c r="B667" s="66"/>
    </row>
    <row r="668">
      <c r="B668" s="66"/>
    </row>
    <row r="669">
      <c r="B669" s="66"/>
    </row>
    <row r="670">
      <c r="B670" s="66"/>
    </row>
    <row r="671">
      <c r="B671" s="66"/>
    </row>
    <row r="672">
      <c r="B672" s="66"/>
    </row>
    <row r="673">
      <c r="B673" s="66"/>
    </row>
    <row r="674">
      <c r="B674" s="66"/>
    </row>
    <row r="675">
      <c r="B675" s="66"/>
    </row>
    <row r="676">
      <c r="B676" s="66"/>
    </row>
    <row r="677">
      <c r="B677" s="66"/>
    </row>
    <row r="678">
      <c r="B678" s="66"/>
    </row>
    <row r="679">
      <c r="B679" s="66"/>
    </row>
    <row r="680">
      <c r="B680" s="66"/>
    </row>
    <row r="681">
      <c r="B681" s="66"/>
    </row>
    <row r="682">
      <c r="B682" s="66"/>
    </row>
    <row r="683">
      <c r="B683" s="66"/>
    </row>
    <row r="684">
      <c r="B684" s="66"/>
    </row>
    <row r="685">
      <c r="B685" s="66"/>
    </row>
    <row r="686">
      <c r="B686" s="66"/>
    </row>
    <row r="687">
      <c r="B687" s="66"/>
    </row>
    <row r="688">
      <c r="B688" s="66"/>
    </row>
    <row r="689">
      <c r="B689" s="66"/>
    </row>
    <row r="690">
      <c r="B690" s="66"/>
    </row>
    <row r="691">
      <c r="B691" s="66"/>
    </row>
    <row r="692">
      <c r="B692" s="66"/>
    </row>
    <row r="693">
      <c r="B693" s="66"/>
    </row>
    <row r="694">
      <c r="B694" s="66"/>
    </row>
    <row r="695">
      <c r="B695" s="66"/>
    </row>
    <row r="696">
      <c r="B696" s="66"/>
    </row>
    <row r="697">
      <c r="B697" s="66"/>
    </row>
    <row r="698">
      <c r="B698" s="66"/>
    </row>
    <row r="699">
      <c r="B699" s="66"/>
    </row>
    <row r="700">
      <c r="B700" s="66"/>
    </row>
    <row r="701">
      <c r="B701" s="66"/>
    </row>
    <row r="702">
      <c r="B702" s="66"/>
    </row>
    <row r="703">
      <c r="B703" s="66"/>
    </row>
    <row r="704">
      <c r="B704" s="66"/>
    </row>
    <row r="705">
      <c r="B705" s="66"/>
    </row>
    <row r="706">
      <c r="B706" s="66"/>
    </row>
    <row r="707">
      <c r="B707" s="66"/>
    </row>
    <row r="708">
      <c r="B708" s="66"/>
    </row>
    <row r="709">
      <c r="B709" s="66"/>
    </row>
    <row r="710">
      <c r="B710" s="66"/>
    </row>
    <row r="711">
      <c r="B711" s="66"/>
    </row>
    <row r="712">
      <c r="B712" s="66"/>
    </row>
    <row r="713">
      <c r="B713" s="66"/>
    </row>
    <row r="714">
      <c r="B714" s="66"/>
    </row>
    <row r="715">
      <c r="B715" s="66"/>
    </row>
    <row r="716">
      <c r="B716" s="66"/>
    </row>
    <row r="717">
      <c r="B717" s="66"/>
    </row>
    <row r="718">
      <c r="B718" s="66"/>
    </row>
    <row r="719">
      <c r="B719" s="66"/>
    </row>
    <row r="720">
      <c r="B720" s="66"/>
    </row>
    <row r="721">
      <c r="B721" s="66"/>
    </row>
    <row r="722">
      <c r="B722" s="66"/>
    </row>
    <row r="723">
      <c r="B723" s="66"/>
    </row>
    <row r="724">
      <c r="B724" s="66"/>
    </row>
    <row r="725">
      <c r="B725" s="66"/>
    </row>
    <row r="726">
      <c r="B726" s="66"/>
    </row>
    <row r="727">
      <c r="B727" s="66"/>
    </row>
    <row r="728">
      <c r="B728" s="66"/>
    </row>
    <row r="729">
      <c r="B729" s="66"/>
    </row>
    <row r="730">
      <c r="B730" s="66"/>
    </row>
    <row r="731">
      <c r="B731" s="66"/>
    </row>
    <row r="732">
      <c r="B732" s="66"/>
    </row>
    <row r="733">
      <c r="B733" s="66"/>
    </row>
    <row r="734">
      <c r="B734" s="66"/>
    </row>
    <row r="735">
      <c r="B735" s="66"/>
    </row>
    <row r="736">
      <c r="B736" s="66"/>
    </row>
    <row r="737">
      <c r="B737" s="66"/>
    </row>
    <row r="738">
      <c r="B738" s="66"/>
    </row>
    <row r="739">
      <c r="B739" s="66"/>
    </row>
    <row r="740">
      <c r="B740" s="66"/>
    </row>
    <row r="741">
      <c r="B741" s="66"/>
    </row>
    <row r="742">
      <c r="B742" s="66"/>
    </row>
    <row r="743">
      <c r="B743" s="66"/>
    </row>
    <row r="744">
      <c r="B744" s="66"/>
    </row>
    <row r="745">
      <c r="B745" s="66"/>
    </row>
    <row r="746">
      <c r="B746" s="66"/>
    </row>
    <row r="747">
      <c r="B747" s="66"/>
    </row>
    <row r="748">
      <c r="B748" s="66"/>
    </row>
    <row r="749">
      <c r="B749" s="66"/>
    </row>
    <row r="750">
      <c r="B750" s="66"/>
    </row>
    <row r="751">
      <c r="B751" s="66"/>
    </row>
    <row r="752">
      <c r="B752" s="66"/>
    </row>
    <row r="753">
      <c r="B753" s="66"/>
    </row>
    <row r="754">
      <c r="B754" s="66"/>
    </row>
    <row r="755">
      <c r="B755" s="66"/>
    </row>
    <row r="756">
      <c r="B756" s="66"/>
    </row>
    <row r="757">
      <c r="B757" s="66"/>
    </row>
    <row r="758">
      <c r="B758" s="66"/>
    </row>
    <row r="759">
      <c r="B759" s="66"/>
    </row>
    <row r="760">
      <c r="B760" s="66"/>
    </row>
    <row r="761">
      <c r="B761" s="66"/>
    </row>
    <row r="762">
      <c r="B762" s="66"/>
    </row>
    <row r="763">
      <c r="B763" s="66"/>
    </row>
    <row r="764">
      <c r="B764" s="66"/>
    </row>
    <row r="765">
      <c r="B765" s="66"/>
    </row>
    <row r="766">
      <c r="B766" s="66"/>
    </row>
    <row r="767">
      <c r="B767" s="66"/>
    </row>
    <row r="768">
      <c r="B768" s="66"/>
    </row>
    <row r="769">
      <c r="B769" s="66"/>
    </row>
    <row r="770">
      <c r="B770" s="66"/>
    </row>
    <row r="771">
      <c r="B771" s="66"/>
    </row>
    <row r="772">
      <c r="B772" s="66"/>
    </row>
    <row r="773">
      <c r="B773" s="66"/>
    </row>
    <row r="774">
      <c r="B774" s="66"/>
    </row>
    <row r="775">
      <c r="B775" s="66"/>
    </row>
    <row r="776">
      <c r="B776" s="66"/>
    </row>
    <row r="777">
      <c r="B777" s="66"/>
    </row>
    <row r="778">
      <c r="B778" s="66"/>
    </row>
    <row r="779">
      <c r="B779" s="66"/>
    </row>
    <row r="780">
      <c r="B780" s="66"/>
    </row>
    <row r="781">
      <c r="B781" s="66"/>
    </row>
    <row r="782">
      <c r="B782" s="66"/>
    </row>
    <row r="783">
      <c r="B783" s="66"/>
    </row>
    <row r="784">
      <c r="B784" s="66"/>
    </row>
    <row r="785">
      <c r="B785" s="66"/>
    </row>
    <row r="786">
      <c r="B786" s="66"/>
    </row>
    <row r="787">
      <c r="B787" s="66"/>
    </row>
    <row r="788">
      <c r="B788" s="66"/>
    </row>
    <row r="789">
      <c r="B789" s="66"/>
    </row>
    <row r="790">
      <c r="B790" s="66"/>
    </row>
    <row r="791">
      <c r="B791" s="66"/>
    </row>
    <row r="792">
      <c r="B792" s="66"/>
    </row>
    <row r="793">
      <c r="B793" s="66"/>
    </row>
    <row r="794">
      <c r="B794" s="66"/>
    </row>
    <row r="795">
      <c r="B795" s="66"/>
    </row>
    <row r="796">
      <c r="B796" s="66"/>
    </row>
    <row r="797">
      <c r="B797" s="66"/>
    </row>
    <row r="798">
      <c r="B798" s="66"/>
    </row>
    <row r="799">
      <c r="B799" s="66"/>
    </row>
    <row r="800">
      <c r="B800" s="66"/>
    </row>
    <row r="801">
      <c r="B801" s="66"/>
    </row>
    <row r="802">
      <c r="B802" s="66"/>
    </row>
    <row r="803">
      <c r="B803" s="66"/>
    </row>
    <row r="804">
      <c r="B804" s="66"/>
    </row>
    <row r="805">
      <c r="B805" s="66"/>
    </row>
    <row r="806">
      <c r="B806" s="66"/>
    </row>
    <row r="807">
      <c r="B807" s="66"/>
    </row>
    <row r="808">
      <c r="B808" s="66"/>
    </row>
    <row r="809">
      <c r="B809" s="66"/>
    </row>
    <row r="810">
      <c r="B810" s="66"/>
    </row>
    <row r="811">
      <c r="B811" s="66"/>
    </row>
    <row r="812">
      <c r="B812" s="66"/>
    </row>
    <row r="813">
      <c r="B813" s="66"/>
    </row>
    <row r="814">
      <c r="B814" s="66"/>
    </row>
    <row r="815">
      <c r="B815" s="66"/>
    </row>
    <row r="816">
      <c r="B816" s="66"/>
    </row>
    <row r="817">
      <c r="B817" s="66"/>
    </row>
    <row r="818">
      <c r="B818" s="66"/>
    </row>
    <row r="819">
      <c r="B819" s="66"/>
    </row>
    <row r="820">
      <c r="B820" s="66"/>
    </row>
    <row r="821">
      <c r="B821" s="66"/>
    </row>
    <row r="822">
      <c r="B822" s="66"/>
    </row>
    <row r="823">
      <c r="B823" s="66"/>
    </row>
    <row r="824">
      <c r="B824" s="66"/>
    </row>
    <row r="825">
      <c r="B825" s="66"/>
    </row>
    <row r="826">
      <c r="B826" s="66"/>
    </row>
    <row r="827">
      <c r="B827" s="66"/>
    </row>
    <row r="828">
      <c r="B828" s="66"/>
    </row>
    <row r="829">
      <c r="B829" s="66"/>
    </row>
    <row r="830">
      <c r="B830" s="66"/>
    </row>
    <row r="831">
      <c r="B831" s="66"/>
    </row>
    <row r="832">
      <c r="B832" s="66"/>
    </row>
    <row r="833">
      <c r="B833" s="66"/>
    </row>
    <row r="834">
      <c r="B834" s="66"/>
    </row>
    <row r="835">
      <c r="B835" s="66"/>
    </row>
    <row r="836">
      <c r="B836" s="66"/>
    </row>
    <row r="837">
      <c r="B837" s="66"/>
    </row>
    <row r="838">
      <c r="B838" s="66"/>
    </row>
    <row r="839">
      <c r="B839" s="66"/>
    </row>
    <row r="840">
      <c r="B840" s="66"/>
    </row>
    <row r="841">
      <c r="B841" s="66"/>
    </row>
    <row r="842">
      <c r="B842" s="66"/>
    </row>
    <row r="843">
      <c r="B843" s="66"/>
    </row>
    <row r="844">
      <c r="B844" s="66"/>
    </row>
    <row r="845">
      <c r="B845" s="66"/>
    </row>
    <row r="846">
      <c r="B846" s="66"/>
    </row>
    <row r="847">
      <c r="B847" s="66"/>
    </row>
    <row r="848">
      <c r="B848" s="66"/>
    </row>
    <row r="849">
      <c r="B849" s="66"/>
    </row>
    <row r="850">
      <c r="B850" s="66"/>
    </row>
    <row r="851">
      <c r="B851" s="66"/>
    </row>
    <row r="852">
      <c r="B852" s="66"/>
    </row>
    <row r="853">
      <c r="B853" s="66"/>
    </row>
    <row r="854">
      <c r="B854" s="66"/>
    </row>
    <row r="855">
      <c r="B855" s="66"/>
    </row>
    <row r="856">
      <c r="B856" s="66"/>
    </row>
    <row r="857">
      <c r="B857" s="66"/>
    </row>
    <row r="858">
      <c r="B858" s="66"/>
    </row>
    <row r="859">
      <c r="B859" s="66"/>
    </row>
    <row r="860">
      <c r="B860" s="66"/>
    </row>
    <row r="861">
      <c r="B861" s="66"/>
    </row>
    <row r="862">
      <c r="B862" s="66"/>
    </row>
    <row r="863">
      <c r="B863" s="66"/>
    </row>
    <row r="864">
      <c r="B864" s="66"/>
    </row>
    <row r="865">
      <c r="B865" s="66"/>
    </row>
    <row r="866">
      <c r="B866" s="66"/>
    </row>
    <row r="867">
      <c r="B867" s="66"/>
    </row>
    <row r="868">
      <c r="B868" s="66"/>
    </row>
    <row r="869">
      <c r="B869" s="66"/>
    </row>
    <row r="870">
      <c r="B870" s="66"/>
    </row>
    <row r="871">
      <c r="B871" s="66"/>
    </row>
    <row r="872">
      <c r="B872" s="66"/>
    </row>
    <row r="873">
      <c r="B873" s="66"/>
    </row>
    <row r="874">
      <c r="B874" s="66"/>
    </row>
    <row r="875">
      <c r="B875" s="66"/>
    </row>
    <row r="876">
      <c r="B876" s="66"/>
    </row>
    <row r="877">
      <c r="B877" s="66"/>
    </row>
    <row r="878">
      <c r="B878" s="66"/>
    </row>
    <row r="879">
      <c r="B879" s="66"/>
    </row>
    <row r="880">
      <c r="B880" s="66"/>
    </row>
    <row r="881">
      <c r="B881" s="66"/>
    </row>
    <row r="882">
      <c r="B882" s="66"/>
    </row>
    <row r="883">
      <c r="B883" s="66"/>
    </row>
    <row r="884">
      <c r="B884" s="66"/>
    </row>
    <row r="885">
      <c r="B885" s="66"/>
    </row>
    <row r="886">
      <c r="B886" s="66"/>
    </row>
    <row r="887">
      <c r="B887" s="66"/>
    </row>
    <row r="888">
      <c r="B888" s="66"/>
    </row>
    <row r="889">
      <c r="B889" s="66"/>
    </row>
    <row r="890">
      <c r="B890" s="66"/>
    </row>
    <row r="891">
      <c r="B891" s="66"/>
    </row>
    <row r="892">
      <c r="B892" s="66"/>
    </row>
    <row r="893">
      <c r="B893" s="66"/>
    </row>
    <row r="894">
      <c r="B894" s="66"/>
    </row>
    <row r="895">
      <c r="B895" s="66"/>
    </row>
    <row r="896">
      <c r="B896" s="66"/>
    </row>
    <row r="897">
      <c r="B897" s="66"/>
    </row>
    <row r="898">
      <c r="B898" s="66"/>
    </row>
    <row r="899">
      <c r="B899" s="66"/>
    </row>
    <row r="900">
      <c r="B900" s="66"/>
    </row>
    <row r="901">
      <c r="B901" s="66"/>
    </row>
    <row r="902">
      <c r="B902" s="66"/>
    </row>
    <row r="903">
      <c r="B903" s="66"/>
    </row>
    <row r="904">
      <c r="B904" s="66"/>
    </row>
    <row r="905">
      <c r="B905" s="66"/>
    </row>
    <row r="906">
      <c r="B906" s="66"/>
    </row>
    <row r="907">
      <c r="B907" s="66"/>
    </row>
    <row r="908">
      <c r="B908" s="66"/>
    </row>
    <row r="909">
      <c r="B909" s="66"/>
    </row>
    <row r="910">
      <c r="B910" s="66"/>
    </row>
    <row r="911">
      <c r="B911" s="66"/>
    </row>
    <row r="912">
      <c r="B912" s="66"/>
    </row>
    <row r="913">
      <c r="B913" s="66"/>
    </row>
    <row r="914">
      <c r="B914" s="66"/>
    </row>
    <row r="915">
      <c r="B915" s="66"/>
    </row>
    <row r="916">
      <c r="B916" s="66"/>
    </row>
    <row r="917">
      <c r="B917" s="66"/>
    </row>
    <row r="918">
      <c r="B918" s="66"/>
    </row>
    <row r="919">
      <c r="B919" s="66"/>
    </row>
    <row r="920">
      <c r="B920" s="66"/>
    </row>
    <row r="921">
      <c r="B921" s="66"/>
    </row>
    <row r="922">
      <c r="B922" s="66"/>
    </row>
    <row r="923">
      <c r="B923" s="66"/>
    </row>
    <row r="924">
      <c r="B924" s="66"/>
    </row>
    <row r="925">
      <c r="B925" s="66"/>
    </row>
    <row r="926">
      <c r="B926" s="66"/>
    </row>
    <row r="927">
      <c r="B927" s="66"/>
    </row>
    <row r="928">
      <c r="B928" s="66"/>
    </row>
    <row r="929">
      <c r="B929" s="66"/>
    </row>
    <row r="930">
      <c r="B930" s="66"/>
    </row>
    <row r="931">
      <c r="B931" s="66"/>
    </row>
    <row r="932">
      <c r="B932" s="66"/>
    </row>
    <row r="933">
      <c r="B933" s="66"/>
    </row>
    <row r="934">
      <c r="B934" s="66"/>
    </row>
    <row r="935">
      <c r="B935" s="66"/>
    </row>
    <row r="936">
      <c r="B936" s="66"/>
    </row>
    <row r="937">
      <c r="B937" s="66"/>
    </row>
    <row r="938">
      <c r="B938" s="66"/>
    </row>
    <row r="939">
      <c r="B939" s="66"/>
    </row>
    <row r="940">
      <c r="B940" s="66"/>
    </row>
    <row r="941">
      <c r="B941" s="66"/>
    </row>
    <row r="942">
      <c r="B942" s="66"/>
    </row>
    <row r="943">
      <c r="B943" s="66"/>
    </row>
    <row r="944">
      <c r="B944" s="66"/>
    </row>
    <row r="945">
      <c r="B945" s="66"/>
    </row>
    <row r="946">
      <c r="B946" s="66"/>
    </row>
    <row r="947">
      <c r="B947" s="66"/>
    </row>
    <row r="948">
      <c r="B948" s="66"/>
    </row>
    <row r="949">
      <c r="B949" s="66"/>
    </row>
    <row r="950">
      <c r="B950" s="66"/>
    </row>
    <row r="951">
      <c r="B951" s="66"/>
    </row>
    <row r="952">
      <c r="B952" s="66"/>
    </row>
    <row r="953">
      <c r="B953" s="66"/>
    </row>
    <row r="954">
      <c r="B954" s="66"/>
    </row>
    <row r="955">
      <c r="B955" s="66"/>
    </row>
    <row r="956">
      <c r="B956" s="66"/>
    </row>
    <row r="957">
      <c r="B957" s="66"/>
    </row>
    <row r="958">
      <c r="B958" s="66"/>
    </row>
    <row r="959">
      <c r="B959" s="66"/>
    </row>
    <row r="960">
      <c r="B960" s="66"/>
    </row>
    <row r="961">
      <c r="B961" s="66"/>
    </row>
    <row r="962">
      <c r="B962" s="66"/>
    </row>
    <row r="963">
      <c r="B963" s="66"/>
    </row>
    <row r="964">
      <c r="B964" s="66"/>
    </row>
    <row r="965">
      <c r="B965" s="66"/>
    </row>
    <row r="966">
      <c r="B966" s="66"/>
    </row>
    <row r="967">
      <c r="B967" s="66"/>
    </row>
    <row r="968">
      <c r="B968" s="66"/>
    </row>
    <row r="969">
      <c r="B969" s="66"/>
    </row>
    <row r="970">
      <c r="B970" s="66"/>
    </row>
    <row r="971">
      <c r="B971" s="66"/>
    </row>
    <row r="972">
      <c r="B972" s="66"/>
    </row>
    <row r="973">
      <c r="B973" s="66"/>
    </row>
    <row r="974">
      <c r="B974" s="66"/>
    </row>
    <row r="975">
      <c r="B975" s="66"/>
    </row>
    <row r="976">
      <c r="B976" s="66"/>
    </row>
    <row r="977">
      <c r="B977" s="66"/>
    </row>
    <row r="978">
      <c r="B978" s="66"/>
    </row>
    <row r="979">
      <c r="B979" s="66"/>
    </row>
    <row r="980">
      <c r="B980" s="66"/>
    </row>
    <row r="981">
      <c r="B981" s="66"/>
    </row>
    <row r="982">
      <c r="B982" s="66"/>
    </row>
    <row r="983">
      <c r="B983" s="66"/>
    </row>
    <row r="984">
      <c r="B984" s="66"/>
    </row>
    <row r="985">
      <c r="B985" s="66"/>
    </row>
    <row r="986">
      <c r="B986" s="66"/>
    </row>
    <row r="987">
      <c r="B987" s="66"/>
    </row>
    <row r="988">
      <c r="B988" s="66"/>
    </row>
    <row r="989">
      <c r="B989" s="66"/>
    </row>
    <row r="990">
      <c r="B990" s="66"/>
    </row>
    <row r="991">
      <c r="B991" s="66"/>
    </row>
    <row r="992">
      <c r="B992" s="66"/>
    </row>
    <row r="993">
      <c r="B993" s="66"/>
    </row>
    <row r="994">
      <c r="B994" s="66"/>
    </row>
    <row r="995">
      <c r="B995" s="66"/>
    </row>
    <row r="996">
      <c r="B996" s="66"/>
    </row>
    <row r="997">
      <c r="B997" s="66"/>
    </row>
    <row r="998">
      <c r="B998" s="66"/>
    </row>
    <row r="999">
      <c r="B999" s="66"/>
    </row>
    <row r="1000">
      <c r="B1000" s="66"/>
    </row>
  </sheetData>
  <mergeCells count="18">
    <mergeCell ref="J2:K2"/>
    <mergeCell ref="J3:K3"/>
    <mergeCell ref="J4:K4"/>
    <mergeCell ref="J5:K5"/>
    <mergeCell ref="J6:K6"/>
    <mergeCell ref="J7:K7"/>
    <mergeCell ref="J8:K8"/>
    <mergeCell ref="J16:K16"/>
    <mergeCell ref="J17:K17"/>
    <mergeCell ref="J18:K18"/>
    <mergeCell ref="J19:K19"/>
    <mergeCell ref="J9:K9"/>
    <mergeCell ref="J10:K10"/>
    <mergeCell ref="J11:K11"/>
    <mergeCell ref="J12:K12"/>
    <mergeCell ref="J13:K13"/>
    <mergeCell ref="J14:K14"/>
    <mergeCell ref="J15:K15"/>
  </mergeCells>
  <conditionalFormatting sqref="D3:I25">
    <cfRule type="beginsWith" dxfId="0" priority="1" operator="beginsWith" text="a">
      <formula>LEFT((D3),LEN("a"))=("a")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2">
      <c r="A2" s="16" t="s">
        <v>0</v>
      </c>
      <c r="B2" s="16" t="s">
        <v>3</v>
      </c>
      <c r="C2" s="37" t="s">
        <v>4</v>
      </c>
      <c r="D2" s="40" t="s">
        <v>59</v>
      </c>
      <c r="E2" s="40" t="s">
        <v>62</v>
      </c>
    </row>
    <row r="3">
      <c r="A3" s="38">
        <v>1.0</v>
      </c>
      <c r="B3" s="41" t="s">
        <v>60</v>
      </c>
      <c r="C3" s="41" t="s">
        <v>63</v>
      </c>
      <c r="D3" s="36"/>
      <c r="E3" s="36"/>
    </row>
    <row r="4">
      <c r="A4" s="38">
        <v>2.0</v>
      </c>
      <c r="B4" s="41" t="s">
        <v>55</v>
      </c>
      <c r="C4" s="43" t="s">
        <v>56</v>
      </c>
      <c r="D4" s="36"/>
      <c r="E4" s="36"/>
    </row>
    <row r="5">
      <c r="A5" s="38">
        <v>3.0</v>
      </c>
      <c r="B5" s="41" t="s">
        <v>67</v>
      </c>
      <c r="C5" s="41" t="s">
        <v>68</v>
      </c>
      <c r="D5" s="36"/>
      <c r="E5" s="36"/>
    </row>
    <row r="6">
      <c r="A6" s="38">
        <v>4.0</v>
      </c>
      <c r="B6" s="45" t="s">
        <v>72</v>
      </c>
      <c r="C6" s="45" t="s">
        <v>74</v>
      </c>
      <c r="D6" s="36"/>
      <c r="E6" s="36"/>
    </row>
    <row r="7">
      <c r="A7" s="38">
        <v>5.0</v>
      </c>
      <c r="B7" s="41" t="s">
        <v>76</v>
      </c>
      <c r="C7" s="41" t="s">
        <v>77</v>
      </c>
      <c r="D7" s="36"/>
      <c r="E7" s="36"/>
    </row>
    <row r="8">
      <c r="A8" s="38">
        <v>6.0</v>
      </c>
      <c r="B8" s="41" t="s">
        <v>83</v>
      </c>
      <c r="C8" s="41" t="s">
        <v>84</v>
      </c>
      <c r="D8" s="36"/>
      <c r="E8" s="36"/>
    </row>
    <row r="9">
      <c r="A9" s="38">
        <v>7.0</v>
      </c>
      <c r="B9" s="41" t="s">
        <v>89</v>
      </c>
      <c r="C9" s="41" t="s">
        <v>91</v>
      </c>
      <c r="D9" s="36"/>
      <c r="E9" s="36"/>
    </row>
    <row r="10">
      <c r="A10" s="38">
        <v>8.0</v>
      </c>
      <c r="B10" s="41" t="s">
        <v>92</v>
      </c>
      <c r="C10" s="41" t="s">
        <v>94</v>
      </c>
      <c r="D10" s="36"/>
      <c r="E10" s="36"/>
    </row>
    <row r="11">
      <c r="A11" s="38">
        <v>9.0</v>
      </c>
      <c r="B11" s="49" t="s">
        <v>97</v>
      </c>
      <c r="C11" s="49" t="s">
        <v>98</v>
      </c>
      <c r="D11" s="36"/>
      <c r="E11" s="36"/>
    </row>
    <row r="12">
      <c r="A12" s="38">
        <v>10.0</v>
      </c>
      <c r="B12" s="41" t="s">
        <v>101</v>
      </c>
      <c r="C12" s="41" t="s">
        <v>102</v>
      </c>
      <c r="D12" s="36"/>
      <c r="E12" s="36"/>
    </row>
    <row r="13">
      <c r="A13" s="38">
        <v>11.0</v>
      </c>
      <c r="B13" s="41" t="s">
        <v>103</v>
      </c>
      <c r="C13" s="41" t="s">
        <v>104</v>
      </c>
      <c r="D13" s="36"/>
      <c r="E13" s="36"/>
    </row>
    <row r="14">
      <c r="A14" s="38">
        <v>12.0</v>
      </c>
      <c r="B14" s="41" t="s">
        <v>105</v>
      </c>
      <c r="C14" s="41" t="s">
        <v>106</v>
      </c>
      <c r="D14" s="36"/>
      <c r="E14" s="36"/>
    </row>
    <row r="15">
      <c r="A15" s="38">
        <v>13.0</v>
      </c>
      <c r="B15" s="41" t="s">
        <v>108</v>
      </c>
      <c r="C15" s="41" t="s">
        <v>109</v>
      </c>
      <c r="D15" s="36"/>
      <c r="E15" s="36"/>
    </row>
    <row r="16">
      <c r="A16" s="38">
        <v>14.0</v>
      </c>
      <c r="B16" s="41" t="s">
        <v>111</v>
      </c>
      <c r="C16" s="41" t="s">
        <v>112</v>
      </c>
      <c r="D16" s="36"/>
      <c r="E16" s="36"/>
    </row>
    <row r="17">
      <c r="A17" s="38">
        <v>15.0</v>
      </c>
      <c r="B17" s="41" t="s">
        <v>70</v>
      </c>
      <c r="C17" s="41" t="s">
        <v>71</v>
      </c>
      <c r="D17" s="36"/>
      <c r="E17" s="36"/>
    </row>
    <row r="18">
      <c r="A18" s="38">
        <v>16.0</v>
      </c>
      <c r="B18" s="41" t="s">
        <v>87</v>
      </c>
      <c r="C18" s="41" t="s">
        <v>88</v>
      </c>
      <c r="D18" s="36"/>
      <c r="E18" s="36"/>
    </row>
    <row r="19">
      <c r="A19" s="38">
        <v>17.0</v>
      </c>
      <c r="B19" s="41" t="s">
        <v>116</v>
      </c>
      <c r="C19" s="41" t="s">
        <v>118</v>
      </c>
      <c r="D19" s="36"/>
      <c r="E19" s="36"/>
    </row>
  </sheetData>
  <drawing r:id="rId1"/>
</worksheet>
</file>