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Assessment" sheetId="3" r:id="rId7"/>
    <sheet state="visible" name="Course Time 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<sst xmlns="http://schemas.openxmlformats.org/spreadsheetml/2006/main" count="3059" uniqueCount="572">
  <si>
    <t>S NO</t>
  </si>
  <si>
    <t>SNO</t>
  </si>
  <si>
    <t>Student Name</t>
  </si>
  <si>
    <t>RTU Roll No.</t>
  </si>
  <si>
    <t xml:space="preserve">Total Present </t>
  </si>
  <si>
    <t xml:space="preserve">Total Absent </t>
  </si>
  <si>
    <t>Date</t>
  </si>
  <si>
    <t>Topic Cover</t>
  </si>
  <si>
    <t xml:space="preserve">Total Class </t>
  </si>
  <si>
    <t>Student Count Online Offline</t>
  </si>
  <si>
    <t>Attendance Percent</t>
  </si>
  <si>
    <t xml:space="preserve">Trainer Name </t>
  </si>
  <si>
    <t>25-05-2026</t>
  </si>
  <si>
    <t>Fundamentals of Artificial Intelligence</t>
  </si>
  <si>
    <t>Vidyansh</t>
  </si>
  <si>
    <t>26-05-2026</t>
  </si>
  <si>
    <t>Generative AI vs Agentic AI</t>
  </si>
  <si>
    <t>21 Online, 5 Offline</t>
  </si>
  <si>
    <t>27-05-2026</t>
  </si>
  <si>
    <t>Real-world Applications of AI Agents</t>
  </si>
  <si>
    <t>28-05-2026</t>
  </si>
  <si>
    <t>AI Agent Ecosystem Overview</t>
  </si>
  <si>
    <t>23 Online, 8 Offline</t>
  </si>
  <si>
    <t>29-05-2026</t>
  </si>
  <si>
    <t>Python Fundamentals for AI</t>
  </si>
  <si>
    <t>29 Online, 7 Offline</t>
  </si>
  <si>
    <t>30-05-2026</t>
  </si>
  <si>
    <t>Assessment, Hands on with python</t>
  </si>
  <si>
    <t>25 Online, 7 Offline</t>
  </si>
  <si>
    <t>Sunday</t>
  </si>
  <si>
    <t>0 Online, 0 Offline</t>
  </si>
  <si>
    <t>File Handling, exception handling in python</t>
  </si>
  <si>
    <t>29 Online, 8 Offline</t>
  </si>
  <si>
    <t>Api, Restapi, fastapi, and basic project</t>
  </si>
  <si>
    <t>30 Online, 6 Offline</t>
  </si>
  <si>
    <t>Application of agentic ai in real world</t>
  </si>
  <si>
    <t>34 Online, 4 Offline</t>
  </si>
  <si>
    <t>Details About prompt engineering</t>
  </si>
  <si>
    <t>34 Online, 3 Offline</t>
  </si>
  <si>
    <t>ARYA COLLEGE OF ENGINEERING</t>
  </si>
  <si>
    <t>Techinque of Prompt Engineering</t>
  </si>
  <si>
    <t>BLOWN UP SYLLABUS</t>
  </si>
  <si>
    <t>Test, and prompt contexting with code</t>
  </si>
  <si>
    <t xml:space="preserve">II YEAR AGENTIC AI INDUSTRIAL TRAINING </t>
  </si>
  <si>
    <t>32 Online, 4 Offline</t>
  </si>
  <si>
    <t>Lecturer Name:</t>
  </si>
  <si>
    <t>No. of Lectures Required: 45</t>
  </si>
  <si>
    <t>Prompt Template, And context reasoning</t>
  </si>
  <si>
    <t>30 Online, 5 Offline</t>
  </si>
  <si>
    <t>Lecture No.</t>
  </si>
  <si>
    <t>Prompt Engineering completed</t>
  </si>
  <si>
    <t>vidyansh</t>
  </si>
  <si>
    <t>BLOWN UP TOPICS</t>
  </si>
  <si>
    <t>StatuS</t>
  </si>
  <si>
    <t>LLM, and it's Basics</t>
  </si>
  <si>
    <t>36 Online, 5 Offline</t>
  </si>
  <si>
    <t>LLm, and Their Architech And TESt</t>
  </si>
  <si>
    <t>35 Online, 5 Offline</t>
  </si>
  <si>
    <t>Assesment 1 (Topics Name ) Out of 50</t>
  </si>
  <si>
    <t>Assesment 2 (Topics Name ) Out of 50</t>
  </si>
  <si>
    <t>Assesment 3 (Topics Name ) Out of 50</t>
  </si>
  <si>
    <t>Openai, and it's architechture</t>
  </si>
  <si>
    <t>Assesment 4 (Topics Name ) Out of 50</t>
  </si>
  <si>
    <t>32 Online, 5 Offline</t>
  </si>
  <si>
    <t xml:space="preserve">Assesment 5 (Topics Name ) Out of </t>
  </si>
  <si>
    <t>MODULE 1: INTRODUCTION TO ARTIFICIAL INTELLIGENCE &amp; AGENTIC AI</t>
  </si>
  <si>
    <t>Assesment 6 (Topics Name ) Out of 40</t>
  </si>
  <si>
    <t>Assesment 7 (Topic Name ) Out of 80</t>
  </si>
  <si>
    <t>13-07-26</t>
  </si>
  <si>
    <t>Assesment 8 (Topic Name ) Out of 50</t>
  </si>
  <si>
    <t>Test and with llm as openai usecase</t>
  </si>
  <si>
    <t>Assesment 9 (Topic Name ) Out of 60</t>
  </si>
  <si>
    <t>Done</t>
  </si>
  <si>
    <t>31 Online, 5 Offline</t>
  </si>
  <si>
    <t>Assesment 10 (Topic Name ) Out of 50</t>
  </si>
  <si>
    <t>Assessment 11 (Topic Name ) Out of  50</t>
  </si>
  <si>
    <t>1. Fundamentals of Artificial Intelligence</t>
  </si>
  <si>
    <t>Assessment 12 (Topic Name ) Out of  50</t>
  </si>
  <si>
    <t>Assessment 13 (Topic Name ) Out of  40</t>
  </si>
  <si>
    <t>1.1 What is Artificial Intelligence</t>
  </si>
  <si>
    <t>Total Assessments Missed</t>
  </si>
  <si>
    <t>15-7-26</t>
  </si>
  <si>
    <t>Controlling LLM Responses
&amp; Token Optimization</t>
  </si>
  <si>
    <t>35 Online, 3 Offline</t>
  </si>
  <si>
    <t>1.2 History &amp; Evolution of AI</t>
  </si>
  <si>
    <t>16-7-2026</t>
  </si>
  <si>
    <t>Practical of LLMS, with parameter</t>
  </si>
  <si>
    <t>1.3 Types of AI: Narrow, General, Super AI</t>
  </si>
  <si>
    <t>Mohit Sharma</t>
  </si>
  <si>
    <t>17-7-2026</t>
  </si>
  <si>
    <t>1.4 AI vs ML vs Deep Learning vs Generative AI</t>
  </si>
  <si>
    <t>24EACCA062</t>
  </si>
  <si>
    <t>Test, And basics of llm architechture</t>
  </si>
  <si>
    <t>1.5 Real-world Applications of AI</t>
  </si>
  <si>
    <t>18-7-2026</t>
  </si>
  <si>
    <t>Agentic Ai, and it's archtechture</t>
  </si>
  <si>
    <t>2. Generative AI vs Agentic AI</t>
  </si>
  <si>
    <t>19-7-2026</t>
  </si>
  <si>
    <t>tools and functions with their usecase</t>
  </si>
  <si>
    <t>31 Online, 4 Offline</t>
  </si>
  <si>
    <t>2.1 What is Generative AI</t>
  </si>
  <si>
    <t>20-06-2026</t>
  </si>
  <si>
    <t>Test of all topics</t>
  </si>
  <si>
    <t>2.1.1 Text, Image &amp; Code Generation</t>
  </si>
  <si>
    <t>2.2 What is Agentic AI</t>
  </si>
  <si>
    <t>2.2.1 Autonomous Planning &amp; Reasoning</t>
  </si>
  <si>
    <t>22-06-2026</t>
  </si>
  <si>
    <t>Prompting in agentic ai</t>
  </si>
  <si>
    <t>2.2.2 Multi-step Task Execution</t>
  </si>
  <si>
    <t>33 Online, 3 Offline</t>
  </si>
  <si>
    <t>2.3 Key Differences: Generative AI vs Agentic AI</t>
  </si>
  <si>
    <t>23-06-2026</t>
  </si>
  <si>
    <t>29 Online, 4 Offline</t>
  </si>
  <si>
    <t>2.4 Evolution: Rule-based → ML → Agent-based Systems</t>
  </si>
  <si>
    <t>24-06-2026</t>
  </si>
  <si>
    <t>Test, prompt engineering LMMs, and Project</t>
  </si>
  <si>
    <t>34 Online, 5 Offline</t>
  </si>
  <si>
    <t>3. Real-world Applications of AI Agents</t>
  </si>
  <si>
    <t>3.1 AI Agents in Healthcare, Finance &amp; Education</t>
  </si>
  <si>
    <t>25-06-2026</t>
  </si>
  <si>
    <t>3.2 AI Agents in E-Commerce &amp; Customer Service</t>
  </si>
  <si>
    <t>MODULE 6: LANGCHAIN &amp; AI FRAMEWORKS</t>
  </si>
  <si>
    <t>3.3 Research Automation &amp; Business Process Automation</t>
  </si>
  <si>
    <t>3.4 Future of Agentic AI</t>
  </si>
  <si>
    <t>Details about Langchain with prompts</t>
  </si>
  <si>
    <t>29 Online, 5 Offline</t>
  </si>
  <si>
    <t>Akshit Trivedi</t>
  </si>
  <si>
    <t>24EACCA007</t>
  </si>
  <si>
    <t>4. AI Agent Ecosystem Overview</t>
  </si>
  <si>
    <t>Test, of langchain</t>
  </si>
  <si>
    <t>4.1 Components of an AI Agent</t>
  </si>
  <si>
    <t>4.1.1 Perception, Reasoning, Action</t>
  </si>
  <si>
    <t>A</t>
  </si>
  <si>
    <t>29-05-26</t>
  </si>
  <si>
    <t>langgraph and it connection with langchain</t>
  </si>
  <si>
    <t>33 Online, 5 Offline</t>
  </si>
  <si>
    <t>4.2 Technologies Used: Python, LLMs, LangChain, APIs</t>
  </si>
  <si>
    <t>4.3 Course Roadmap &amp; Project Overview</t>
  </si>
  <si>
    <t>30-05-26</t>
  </si>
  <si>
    <t>Project on Langchain and Langgraph</t>
  </si>
  <si>
    <t>MODULE 2: PYTHON FOR AI DEVELOPMENT</t>
  </si>
  <si>
    <t>1. Python Fundamentals for AI</t>
  </si>
  <si>
    <t>TEST, STARTING OF CROW AI</t>
  </si>
  <si>
    <t>1.1 Variables, Data Types &amp; Type Conversion</t>
  </si>
  <si>
    <t>Tanisha sharma</t>
  </si>
  <si>
    <t>1.2 Conditional Statements &amp; Loops</t>
  </si>
  <si>
    <t>24EACCS714</t>
  </si>
  <si>
    <t>Project on fastapi react and deployement</t>
  </si>
  <si>
    <t>26 Online, 6 Offline</t>
  </si>
  <si>
    <t>1.3 Functions &amp; Lambda Functions</t>
  </si>
  <si>
    <t>1.4 OOP Basics: Classes, Objects, Inheritance</t>
  </si>
  <si>
    <t>Code review project</t>
  </si>
  <si>
    <t>28 Online, 6 Offline</t>
  </si>
  <si>
    <t>2. Working with Libraries &amp; APIs</t>
  </si>
  <si>
    <t>Test</t>
  </si>
  <si>
    <t>2.1 Installing &amp; Managing Libraries (pip)</t>
  </si>
  <si>
    <t>34 Online, 6 Offline</t>
  </si>
  <si>
    <t>2.2 Requests Library — Making HTTP Requests</t>
  </si>
  <si>
    <t>2.3 Handling API Responses (JSON)</t>
  </si>
  <si>
    <t>2.4 dotenv for API Key Management</t>
  </si>
  <si>
    <t>Rag and revision</t>
  </si>
  <si>
    <t>28 Online, 5 Offline</t>
  </si>
  <si>
    <t>Amogh Vijay</t>
  </si>
  <si>
    <t>24EACCA008</t>
  </si>
  <si>
    <t>Revision of project</t>
  </si>
  <si>
    <t>3. Data Handling &amp; Automation Scripts</t>
  </si>
  <si>
    <t>27 Online, 5 Offline</t>
  </si>
  <si>
    <t>3.1 Reading &amp; Writing Files (txt, csv, json)</t>
  </si>
  <si>
    <t>Test Revision and Project</t>
  </si>
  <si>
    <t>27 Online, 6 Offline</t>
  </si>
  <si>
    <t>3.2 Pandas Basics for Data Handling</t>
  </si>
  <si>
    <t>Capston project</t>
  </si>
  <si>
    <t>3.3 Exception Handling in AI Scripts</t>
  </si>
  <si>
    <t>31 Online, 3 Offline</t>
  </si>
  <si>
    <t>3.4 Logging &amp; Debugging AI Applications</t>
  </si>
  <si>
    <t>Capston project day-2</t>
  </si>
  <si>
    <t>Adarsh sharma</t>
  </si>
  <si>
    <t>24EACCS016</t>
  </si>
  <si>
    <t>4. API Integration &amp; Small AI Utilities</t>
  </si>
  <si>
    <t>Capston project day-3</t>
  </si>
  <si>
    <t>32 Online, 3 Offline</t>
  </si>
  <si>
    <t>4.1 Connecting to OpenAI API</t>
  </si>
  <si>
    <t>Anamika Shah</t>
  </si>
  <si>
    <t>24EACCA009</t>
  </si>
  <si>
    <t>4.1.1 API Key Setup &amp; Authentication</t>
  </si>
  <si>
    <t>4.1.2 Making First API Call</t>
  </si>
  <si>
    <t>13-07-2026</t>
  </si>
  <si>
    <t>Capstorn with revision</t>
  </si>
  <si>
    <t>25 Online, 3 Offline</t>
  </si>
  <si>
    <t>4.2 Handling API Rate Limits &amp; Errors</t>
  </si>
  <si>
    <t>14-07-2026</t>
  </si>
  <si>
    <t>Completion of  Project</t>
  </si>
  <si>
    <t>29 Online, 3 Offline</t>
  </si>
  <si>
    <t>4.3 Building a Simple Chatbot in Python</t>
  </si>
  <si>
    <t>15-07-2026</t>
  </si>
  <si>
    <t>Rivision and works for future</t>
  </si>
  <si>
    <t>31 Online, 2 Offline</t>
  </si>
  <si>
    <t>Ankush Poonia</t>
  </si>
  <si>
    <t>🔴 TEST 1: AI Fundamentals + Python for AI (Half Day)</t>
  </si>
  <si>
    <t>24EACCA011</t>
  </si>
  <si>
    <t>MCQ (15 Marks) + Practical Coding Task (35 Marks)</t>
  </si>
  <si>
    <t>Duration: 1 to 1.5 Hours</t>
  </si>
  <si>
    <t>🏭 INDUSTRY LECTURE 1 (1 Hour)</t>
  </si>
  <si>
    <t>P</t>
  </si>
  <si>
    <t>SUNDAY</t>
  </si>
  <si>
    <t>Topic: How Agentic AI is Transforming Industries</t>
  </si>
  <si>
    <t>Himanshi Chouhan</t>
  </si>
  <si>
    <t>24EACCAO33</t>
  </si>
  <si>
    <t>Format: Guest Lecture + Q&amp;A Session</t>
  </si>
  <si>
    <t>MODULE 3: PROMPT ENGINEERING</t>
  </si>
  <si>
    <t>1. Introduction to Prompt Engineering</t>
  </si>
  <si>
    <t>1.1 What is a Prompt &amp; Its Role in AI Systems</t>
  </si>
  <si>
    <t>1.2 Components of an Effective Prompt</t>
  </si>
  <si>
    <t>1.2.1 Instruction, Context, Input, Output Format</t>
  </si>
  <si>
    <t>Tripti</t>
  </si>
  <si>
    <t>24EACCS720</t>
  </si>
  <si>
    <t>1.3 Common Prompt Mistakes to Avoid</t>
  </si>
  <si>
    <t>2. Prompting Techniques</t>
  </si>
  <si>
    <t>2.1 Zero-Shot Prompting</t>
  </si>
  <si>
    <t>2.2 Few-Shot Prompting &amp; Templates</t>
  </si>
  <si>
    <t>2.3 Chain of Thought (CoT) Prompting</t>
  </si>
  <si>
    <t>2.4 Role-Based Prompting</t>
  </si>
  <si>
    <t>Dharmraj verma</t>
  </si>
  <si>
    <t>2.5 ReAct Prompting — Reasoning + Acting Pattern</t>
  </si>
  <si>
    <t>24EACCA024</t>
  </si>
  <si>
    <t>3. Prompt Templates &amp; Structured Prompting</t>
  </si>
  <si>
    <t>3.1 Designing Reusable Prompt Templates</t>
  </si>
  <si>
    <t>3.2 Dynamic Prompt Generation in Python</t>
  </si>
  <si>
    <t>3.3 Structured Output Prompting (JSON, Table, List)</t>
  </si>
  <si>
    <t>3.4 System Prompts vs User Prompts</t>
  </si>
  <si>
    <t>4. Context Management &amp; Optimization</t>
  </si>
  <si>
    <t>4.1 Context Window Management</t>
  </si>
  <si>
    <t>4.2 Token Usage &amp; Cost Optimization</t>
  </si>
  <si>
    <t>4.3 Prompt Chaining for Complex Tasks</t>
  </si>
  <si>
    <t>4.4 Iterative Prompt Refinement</t>
  </si>
  <si>
    <t>MODULE 4: LARGE LANGUAGE MODELS (LLMs)</t>
  </si>
  <si>
    <t>1. Understanding LLM Architecture</t>
  </si>
  <si>
    <t>1.1 What are Large Language Models</t>
  </si>
  <si>
    <t>muskan kumari</t>
  </si>
  <si>
    <t>24EACCS601</t>
  </si>
  <si>
    <t>1.2 Transformer Architecture Basics</t>
  </si>
  <si>
    <t>Aditya Raj Singh Shekhawat</t>
  </si>
  <si>
    <t>1.2.1 Attention Mechanism</t>
  </si>
  <si>
    <t>24EACCA002</t>
  </si>
  <si>
    <t>1.2.2 Encoders &amp; Decoders</t>
  </si>
  <si>
    <t>1.3 Pre-training &amp; Fine-tuning</t>
  </si>
  <si>
    <t>1.4 Popular LLMs: GPT-4, Claude, Gemini, LLaMA</t>
  </si>
  <si>
    <t>OP</t>
  </si>
  <si>
    <t>2. Working with OpenAI &amp; Other AI APIs</t>
  </si>
  <si>
    <t>2.1 OpenAI API — Chat Completions</t>
  </si>
  <si>
    <t>Saksham kumawat</t>
  </si>
  <si>
    <t>24EACAD086</t>
  </si>
  <si>
    <t>2.2 Embeddings API</t>
  </si>
  <si>
    <t>2.3 Function Calling in OpenAI</t>
  </si>
  <si>
    <t>2.4 Google Gemini API &amp; Hugging Face Models</t>
  </si>
  <si>
    <t>3. Controlling LLM Responses</t>
  </si>
  <si>
    <t>3.1 Temperature &amp; Top-p Sampling</t>
  </si>
  <si>
    <t>Shorya kumawat</t>
  </si>
  <si>
    <t>24EACAD089</t>
  </si>
  <si>
    <t>3.2 Max Tokens &amp; Stop Sequences</t>
  </si>
  <si>
    <t>3.3 System Message Customization</t>
  </si>
  <si>
    <t>Op</t>
  </si>
  <si>
    <t>3.4 Streaming Responses</t>
  </si>
  <si>
    <t>4. Token Usage &amp; Optimization</t>
  </si>
  <si>
    <t>4.1 What are Tokens &amp; How to Count</t>
  </si>
  <si>
    <t>4.2 Reducing Token Usage</t>
  </si>
  <si>
    <t>4.2.1 Summarization &amp; Chunking Techniques</t>
  </si>
  <si>
    <t>4.3 Cost Estimation &amp; Budget Management</t>
  </si>
  <si>
    <t>4.4 Caching for LLM Optimization</t>
  </si>
  <si>
    <t>🔴 TEST 2: Prompt Engineering + LLMs (Half Day)</t>
  </si>
  <si>
    <t>MCQ (15 Marks) + Prompt Design Task (35 Marks)</t>
  </si>
  <si>
    <t>🏭 INDUSTRY LECTURE 2 (1 Hour)</t>
  </si>
  <si>
    <t>Akanksha shukla</t>
  </si>
  <si>
    <t>24EACCA005</t>
  </si>
  <si>
    <t>Topic: LLMs &amp; Prompt Engineering in Production Systems</t>
  </si>
  <si>
    <t>MODULE 5: AI AGENT ARCHITECTURE</t>
  </si>
  <si>
    <t>1. Understanding AI Agent Design</t>
  </si>
  <si>
    <t>1.1 What is an AI Agent</t>
  </si>
  <si>
    <t>1.2 Agent vs Chatbot vs Traditional Program</t>
  </si>
  <si>
    <t>1.3 Components: Perception, Reasoning, Action Layer</t>
  </si>
  <si>
    <t>1.4 Types: Reactive, Deliberative, Hybrid Agents</t>
  </si>
  <si>
    <t>2. Task Planning &amp; Execution Flow</t>
  </si>
  <si>
    <t>2.1 Task Decomposition into Subtasks</t>
  </si>
  <si>
    <t>2.2 ReAct Framework</t>
  </si>
  <si>
    <t>2.3 Plan-and-Execute Pattern</t>
  </si>
  <si>
    <t>2.4 Thought → Action → Observation Loop</t>
  </si>
  <si>
    <t>2.5 Handling Task Failures &amp; Retries</t>
  </si>
  <si>
    <t>3. Using Tools &amp; External APIs in Agents</t>
  </si>
  <si>
    <t>3.1 What are Agent Tools</t>
  </si>
  <si>
    <t>3.2 Tool Calling / Function Calling</t>
  </si>
  <si>
    <t>3.2.1 Defining &amp; Executing Tools</t>
  </si>
  <si>
    <t>3.3 Connecting Agents to Web Search, Calculator, Code Tools</t>
  </si>
  <si>
    <t>4. Agent Memory &amp; Context Management</t>
  </si>
  <si>
    <t>4.1 Short-term Memory (In-context)</t>
  </si>
  <si>
    <t>Ashish Pal</t>
  </si>
  <si>
    <t>24EACCA016</t>
  </si>
  <si>
    <t>4.2 Long-term Memory (External Storage)</t>
  </si>
  <si>
    <t>4.3 Vector Databases for Agent Memory</t>
  </si>
  <si>
    <t>4.3.1 Embeddings &amp; Vector Store Basics</t>
  </si>
  <si>
    <t>4.4 Memory Summarization Strategies</t>
  </si>
  <si>
    <t>5. RAG — Retrieval Augmented Generation</t>
  </si>
  <si>
    <t>5.1 What is RAG &amp; Why it Matters</t>
  </si>
  <si>
    <t>Nishika Sahu</t>
  </si>
  <si>
    <t>5.2 RAG Pipeline</t>
  </si>
  <si>
    <t>24EACCS616</t>
  </si>
  <si>
    <t>5.2.1 Document Loading &amp; Chunking</t>
  </si>
  <si>
    <t>45/50</t>
  </si>
  <si>
    <t>5.2.2 Embeddings &amp; Vector Store</t>
  </si>
  <si>
    <t>5.2.3 Retrieval &amp; Response Generation</t>
  </si>
  <si>
    <t>5.3 RAG vs Fine-tuning — When to Use What</t>
  </si>
  <si>
    <t>1. Introduction to LangChain</t>
  </si>
  <si>
    <t>Puneet Bohra</t>
  </si>
  <si>
    <t>1.1 What is LangChain &amp; Why Use It</t>
  </si>
  <si>
    <t>24EACCS651</t>
  </si>
  <si>
    <t>1.2 LangChain Architecture</t>
  </si>
  <si>
    <t>1.2.1 Models, Prompts, Chains, Memory</t>
  </si>
  <si>
    <t>1.3 LangChain vs Direct API Calls</t>
  </si>
  <si>
    <t>2. Core LangChain Components</t>
  </si>
  <si>
    <t>2.1 LLM &amp; Chat Models in LangChain</t>
  </si>
  <si>
    <t>2.2 Prompt Templates: PromptTemplate, ChatPromptTemplate</t>
  </si>
  <si>
    <t>2.3 Output Parsers: String &amp; JSON</t>
  </si>
  <si>
    <t>Priyanshi Sharma</t>
  </si>
  <si>
    <t>24EACCA078</t>
  </si>
  <si>
    <t>2.4 Chains: LLMChain, Sequential, Router Chain</t>
  </si>
  <si>
    <t>3. Creating AI Agents using LangChain</t>
  </si>
  <si>
    <t>3.1 LangChain Agents Overview</t>
  </si>
  <si>
    <t>3.2 Zero-shot ReAct Agent</t>
  </si>
  <si>
    <t>3.3 OpenAI Functions Agent</t>
  </si>
  <si>
    <t>3.4 Agent Executor — Running &amp; Monitoring</t>
  </si>
  <si>
    <t>4. Integrating Tools with AI Agents</t>
  </si>
  <si>
    <t>4.1 LangChain Built-in Tools</t>
  </si>
  <si>
    <t>4.1.1 Google Search, Wikipedia, Python REPL</t>
  </si>
  <si>
    <t>4.2 Building Custom Tools (@tool Decorator)</t>
  </si>
  <si>
    <t>4.3 Tool Validation &amp; Error Handling</t>
  </si>
  <si>
    <t>5. Memory &amp; Intelligent Workflows in LangChain</t>
  </si>
  <si>
    <t>Gaurav Banjara</t>
  </si>
  <si>
    <t>24EACCA028</t>
  </si>
  <si>
    <t>5.1 ConversationBufferMemory</t>
  </si>
  <si>
    <t>5.2 ConversationSummaryMemory</t>
  </si>
  <si>
    <t>5.3 LangChain Expression Language (LCEL)</t>
  </si>
  <si>
    <t>5.4 LangSmith for Agent Monitoring &amp; Tracing</t>
  </si>
  <si>
    <t>🔴 TEST 3: AI Agent Architecture + LangChain (Half Day)</t>
  </si>
  <si>
    <t>MCQ (15 Marks) + Practical LangChain Task (35 Marks)</t>
  </si>
  <si>
    <t>🏭 INDUSTRY LECTURE 3 (1 Hour)</t>
  </si>
  <si>
    <t>Ronit Raj</t>
  </si>
  <si>
    <t>24EACCS665</t>
  </si>
  <si>
    <t>Topic: AI Agents &amp; LangChain in Enterprise Applications</t>
  </si>
  <si>
    <t>MODULE 7: MULTI-AGENT SYSTEMS</t>
  </si>
  <si>
    <t>1. Introduction to Multi-Agent Systems</t>
  </si>
  <si>
    <t>1.1 Single Agent vs Multi-Agent Architecture</t>
  </si>
  <si>
    <t>Ankit Saini</t>
  </si>
  <si>
    <t>1.2 Benefits of Multi-Agent Collaboration</t>
  </si>
  <si>
    <t>24EACCS043</t>
  </si>
  <si>
    <t>1.3 Use Cases: Research, Code Generation, Automation</t>
  </si>
  <si>
    <t>2. Collaborative AI Agents</t>
  </si>
  <si>
    <t>2.1 Agent Roles: Orchestrator, Specialist, Critic</t>
  </si>
  <si>
    <t>2.2 Task Delegation: Hierarchical &amp; Peer-to-Peer</t>
  </si>
  <si>
    <t>2.3 Agent Communication &amp; Shared Memory</t>
  </si>
  <si>
    <t>3. Multi-Agent Frameworks</t>
  </si>
  <si>
    <t>Sumit kumar</t>
  </si>
  <si>
    <t>24EACCA101</t>
  </si>
  <si>
    <t>3.1 CrewAI Framework</t>
  </si>
  <si>
    <t>3.1.1 Defining Crew, Agents &amp; Tasks</t>
  </si>
  <si>
    <t>3.1.2 Sequential vs Hierarchical Process</t>
  </si>
  <si>
    <t>3.2 AutoGen Framework Basics</t>
  </si>
  <si>
    <t>3.2.1 Conversable Agents &amp; Group Chat</t>
  </si>
  <si>
    <t>Ishita Bhatt</t>
  </si>
  <si>
    <t>24EACAD039</t>
  </si>
  <si>
    <t>4. Building Multi-Agent Applications</t>
  </si>
  <si>
    <t>4.1 Research Team Agent System</t>
  </si>
  <si>
    <t>4.1.1 Researcher + Writer + Editor Agents</t>
  </si>
  <si>
    <t>4.2 Code Review Multi-Agent System</t>
  </si>
  <si>
    <t>4.3 Debugging &amp; Optimizing Multi-Agent Workflows</t>
  </si>
  <si>
    <t>Aniket kumar Mandal</t>
  </si>
  <si>
    <t>MODULE 8: AI AUTOMATION SYSTEMS</t>
  </si>
  <si>
    <t>Hritika choudhary</t>
  </si>
  <si>
    <t>24EACCS038</t>
  </si>
  <si>
    <t>24EACADO38</t>
  </si>
  <si>
    <t>1. Automating Workflows with AI Agents</t>
  </si>
  <si>
    <t>1.1 What is AI Workflow Automation</t>
  </si>
  <si>
    <t>a</t>
  </si>
  <si>
    <t>1.2 Workflow Design Patterns</t>
  </si>
  <si>
    <t>1.2.1 Sequential, Parallel, Conditional Workflow</t>
  </si>
  <si>
    <t>1.3 Triggering Agents Automatically</t>
  </si>
  <si>
    <t>Nikhil Kumar</t>
  </si>
  <si>
    <t>2. Building Intelligent Automation Systems</t>
  </si>
  <si>
    <t>24EACCS610</t>
  </si>
  <si>
    <t>2.1 Email Automation with AI</t>
  </si>
  <si>
    <t>Ronak Tailor</t>
  </si>
  <si>
    <t>24EACIT028</t>
  </si>
  <si>
    <t>2.1.1 Reading, Classifying &amp; Responding to Emails</t>
  </si>
  <si>
    <t>2.2 Document Processing Automation</t>
  </si>
  <si>
    <t>2.2.1 Extracting Info from PDFs</t>
  </si>
  <si>
    <t>2.2.2 Auto-generating Reports</t>
  </si>
  <si>
    <t>3. AI-driven Decision Making</t>
  </si>
  <si>
    <t>3.1 Rule-based vs AI-based Decision Making</t>
  </si>
  <si>
    <t>3.2 Conditional Logic in Agent Workflows</t>
  </si>
  <si>
    <t>3.3 Human-in-the-loop Systems</t>
  </si>
  <si>
    <t>3.3.1 When to Escalate to Human</t>
  </si>
  <si>
    <t>Anshul Singh</t>
  </si>
  <si>
    <t>24EACCA013</t>
  </si>
  <si>
    <t>Ashok Prajapat</t>
  </si>
  <si>
    <t>24EACCA018</t>
  </si>
  <si>
    <t>4. Integration with Real-world Applications</t>
  </si>
  <si>
    <t>4.1 Connecting AI Agents to Databases</t>
  </si>
  <si>
    <t>Avinash kumawat</t>
  </si>
  <si>
    <t>24EACCS065</t>
  </si>
  <si>
    <t>4.2 Integration with REST APIs &amp; Webhooks</t>
  </si>
  <si>
    <t>4.3 Deploying AI Agents as REST API (FastAPI)</t>
  </si>
  <si>
    <t>4.4 Security &amp; API Key Management</t>
  </si>
  <si>
    <t>5. Responsible AI &amp; Ethics</t>
  </si>
  <si>
    <t>5.1 Risks of Autonomous AI Systems</t>
  </si>
  <si>
    <t>Yash Soni</t>
  </si>
  <si>
    <t>24EACCA112</t>
  </si>
  <si>
    <t>5.2 AI Hallucinations &amp; Mitigation Strategies</t>
  </si>
  <si>
    <t>5.3 Data Privacy &amp; Security in AI Systems</t>
  </si>
  <si>
    <t>5.4 Responsible AI Design Principles</t>
  </si>
  <si>
    <t>🔴 TEST 4: Multi-Agent Systems + AI Automation (Half Day)</t>
  </si>
  <si>
    <t>Somya Sharma</t>
  </si>
  <si>
    <t>24EACCA098</t>
  </si>
  <si>
    <t>Parmod Kumar saini</t>
  </si>
  <si>
    <t>24EACCA071</t>
  </si>
  <si>
    <t>Project Links</t>
  </si>
  <si>
    <t>PROJECT 1 (Project Title)</t>
  </si>
  <si>
    <t>PROJECT 2 (Project Title)</t>
  </si>
  <si>
    <t>Adarsh Sharma</t>
  </si>
  <si>
    <r>
      <rPr>
        <color rgb="FF1155CC"/>
        <u/>
      </rPr>
      <t>https://spam-detector-pro-1.preview.emergentagent.com/</t>
    </r>
  </si>
  <si>
    <t>Spam Detector</t>
  </si>
  <si>
    <t>Resume Analyser</t>
  </si>
  <si>
    <r>
      <rPr>
        <color rgb="FF1155CC"/>
        <u/>
      </rPr>
      <t>https://github.com/Aditya2007raj/AI-Resume-Analyzer</t>
    </r>
  </si>
  <si>
    <t>Akanksha Shukla</t>
  </si>
  <si>
    <r>
      <rPr>
        <color rgb="FF1155CC"/>
        <u/>
      </rPr>
      <t>https://github.com/akShit0017/-career-resume-helper</t>
    </r>
  </si>
  <si>
    <t>Career and Resume Helper</t>
  </si>
  <si>
    <r>
      <rPr>
        <color rgb="FF1155CC"/>
        <u/>
      </rPr>
      <t>https://github.com/akShit0017/Resume-Analyzer</t>
    </r>
  </si>
  <si>
    <r>
      <t xml:space="preserve">amoghvijay/Nutrimate-ai </t>
    </r>
    <r>
      <rPr>
        <color rgb="FF1155CC"/>
        <u/>
      </rPr>
      <t>https://share.google/YObOTcjrSVwEHV6R7</t>
    </r>
  </si>
  <si>
    <t>Nutrimate-AI</t>
  </si>
  <si>
    <t>Resume-Forge-AI</t>
  </si>
  <si>
    <r>
      <t xml:space="preserve">amoghvijay/Resume-Forge-AI </t>
    </r>
    <r>
      <rPr>
        <color rgb="FF1155CC"/>
        <u/>
      </rPr>
      <t>https://share.google/qSLugNKCBrQctzrDd</t>
    </r>
  </si>
  <si>
    <t>MCQ (15 Marks) + Agent System Design Task (35 Marks)</t>
  </si>
  <si>
    <t>🏭 INDUSTRY LECTURE 4 (1 Hour)</t>
  </si>
  <si>
    <t>Topic: AI Automation &amp; Multi-Agent Systems in Production</t>
  </si>
  <si>
    <r>
      <rPr>
        <color rgb="FF1155CC"/>
        <u/>
      </rPr>
      <t>https://github.com/AnamikaShah95/dsa-mentor-agent</t>
    </r>
  </si>
  <si>
    <t>REVISION &amp; PRACTICE — Module 1 to 4</t>
  </si>
  <si>
    <t>DSA Mentor Agent</t>
  </si>
  <si>
    <t>Resume Analyzer</t>
  </si>
  <si>
    <r>
      <rPr>
        <color rgb="FF1155CC"/>
        <u/>
      </rPr>
      <t>https://github.com/AnamikaShah95/Resume_Analyzer</t>
    </r>
  </si>
  <si>
    <t>Revisit: AI Fundamentals, Python, Prompt Engineering, LLMs</t>
  </si>
  <si>
    <t>Hands-on Practice: API Calls + Prompt Optimization</t>
  </si>
  <si>
    <t>REVISION &amp; PRACTICE — Module 5 to 6</t>
  </si>
  <si>
    <t>Aniket Kumar Mandal</t>
  </si>
  <si>
    <t>Revisit: AI Agent Architecture, RAG, LangChain</t>
  </si>
  <si>
    <r>
      <rPr>
        <color rgb="FF1155CC"/>
        <u/>
      </rPr>
      <t>https://github.com/ankush-poonia007/CoFoundr</t>
    </r>
  </si>
  <si>
    <t>Hands-on Practice: Build a LangChain Agent with Tools</t>
  </si>
  <si>
    <t>REVISION &amp; PRACTICE — Module 7 to 8</t>
  </si>
  <si>
    <t>CoFoundr (Startup Analyzer AI Agent)</t>
  </si>
  <si>
    <t>AI Resume Analyzer</t>
  </si>
  <si>
    <t>Revisit: Multi-Agent Systems, AI Automation</t>
  </si>
  <si>
    <r>
      <rPr>
        <color rgb="FF1155CC"/>
        <u/>
      </rPr>
      <t>https://github.com/ankush-poonia007/RESUME-ANALYZER</t>
    </r>
  </si>
  <si>
    <t>Hands-on Practice: CrewAI / AutoGen Mini Task</t>
  </si>
  <si>
    <t>🔴 TEST 5: Comprehensive — All Modules (Half Day)</t>
  </si>
  <si>
    <t>MCQ (20 Marks) + End-to-End Agent Building Task (30 Marks)</t>
  </si>
  <si>
    <r>
      <rPr>
        <color rgb="FF1155CC"/>
        <u/>
      </rPr>
      <t>https://github.com/anshulsingh6884-collab/Fitness-Planner-Assistant</t>
    </r>
  </si>
  <si>
    <t>🏭 INDUSTRY LECTURE 5 (1 Hour)</t>
  </si>
  <si>
    <t>Fitness Planner Assistant</t>
  </si>
  <si>
    <t>No</t>
  </si>
  <si>
    <t>Topic: Future of Agentic AI — Autonomous Systems &amp; Careers</t>
  </si>
  <si>
    <t>Aryan Sharma</t>
  </si>
  <si>
    <t>24EACCA015</t>
  </si>
  <si>
    <r>
      <rPr>
        <color rgb="FF1155CC"/>
        <u/>
      </rPr>
      <t>https://github.com/aryansharma2r/AI-Quiz-Generator</t>
    </r>
  </si>
  <si>
    <t>AI Quiz Generator</t>
  </si>
  <si>
    <t>AI Resume Analyser</t>
  </si>
  <si>
    <r>
      <rPr>
        <color rgb="FF1155CC"/>
        <u/>
      </rPr>
      <t>https://github.com/aryansharma2r/AI-Resume-Analyzer</t>
    </r>
  </si>
  <si>
    <r>
      <rPr>
        <color rgb="FF1155CC"/>
        <u/>
      </rPr>
      <t>https://github.com/Ashishpal019/Structured-AI-App.git</t>
    </r>
  </si>
  <si>
    <t>Structured AI App</t>
  </si>
  <si>
    <t>Resume Analyser AI</t>
  </si>
  <si>
    <r>
      <rPr>
        <color rgb="FF1155CC"/>
        <u/>
      </rPr>
      <t>https://github.com/Ashishpal019/RESUME-AI</t>
    </r>
  </si>
  <si>
    <t>CAPSTONE PROJECT — Briefing &amp; Planning</t>
  </si>
  <si>
    <t>Problem Statement Distribution</t>
  </si>
  <si>
    <t>Avinash Kumawat</t>
  </si>
  <si>
    <r>
      <rPr>
        <color rgb="FF1155CC"/>
        <u/>
      </rPr>
      <t>https://github.com/avi-source-dev/resume-analyzer-ai</t>
    </r>
  </si>
  <si>
    <r>
      <rPr>
        <color rgb="FF1155CC"/>
        <u/>
      </rPr>
      <t>https://github.com/avi-source-dev/resume-analyzer-ai</t>
    </r>
  </si>
  <si>
    <t>Dharmraj Verma</t>
  </si>
  <si>
    <r>
      <rPr>
        <color rgb="FF1155CC"/>
        <u/>
      </rPr>
      <t>https://github.com/hiitsgaurav/Guided-AI-Chatbot.git</t>
    </r>
  </si>
  <si>
    <t>Domain: Research / Automation / Multi-Agent / RAG</t>
  </si>
  <si>
    <t>Tool Selection: LangChain / CrewAI / AutoGen / OpenAI API</t>
  </si>
  <si>
    <t>Guided AI Chatbot</t>
  </si>
  <si>
    <r>
      <rPr>
        <color rgb="FF1155CC"/>
        <u/>
      </rPr>
      <t>https://github.com/hiitsgaurav/AI-Resume-Analyzer.git</t>
    </r>
  </si>
  <si>
    <t>Team Formation &amp; Architecture Design</t>
  </si>
  <si>
    <t>CAPSTONE PROJECT — Development Day 1</t>
  </si>
  <si>
    <t>Agent Architecture Setup &amp; Tool Integration</t>
  </si>
  <si>
    <t>Jaswant Singh Shekhawat</t>
  </si>
  <si>
    <t>24EACCA033</t>
  </si>
  <si>
    <r>
      <rPr>
        <color rgb="FF1155CC"/>
        <u/>
      </rPr>
      <t>https://github.com/himanshichouhan25/AI-Travel-Planner</t>
    </r>
  </si>
  <si>
    <t>24EACCA037</t>
  </si>
  <si>
    <t>API Connections &amp; Memory Implementation</t>
  </si>
  <si>
    <t>CAPSTONE PROJECT — Development Day 2</t>
  </si>
  <si>
    <t>AI Travel Planner</t>
  </si>
  <si>
    <t>Multi-Agent Workflow Building</t>
  </si>
  <si>
    <r>
      <rPr>
        <color rgb="FF1155CC"/>
        <u/>
      </rPr>
      <t>https://github.com/himanshichouhan25/AI-Resume-Analyzer</t>
    </r>
  </si>
  <si>
    <t>Testing, Debugging &amp; Optimization</t>
  </si>
  <si>
    <t>CAPSTONE PROJECT — Finalization</t>
  </si>
  <si>
    <t>Report &amp; PPT Preparation</t>
  </si>
  <si>
    <t>Project Demo Testing</t>
  </si>
  <si>
    <t>Hritika Choudhary</t>
  </si>
  <si>
    <t>24EACAD038</t>
  </si>
  <si>
    <t>VIVA &amp; FINAL PRESENTATIONS</t>
  </si>
  <si>
    <r>
      <rPr>
        <color rgb="FF1155CC"/>
        <u/>
      </rPr>
      <t>https://github.com/Jaswant0008/BHARAT_ASTRA</t>
    </r>
  </si>
  <si>
    <t>Live Demo of Autonomous AI Agent System</t>
  </si>
  <si>
    <t>Faculty Evaluation &amp; Q&amp;A</t>
  </si>
  <si>
    <t>BHARAT_ASTRA</t>
  </si>
  <si>
    <t>Final Feedback &amp; Performance Review</t>
  </si>
  <si>
    <r>
      <rPr>
        <color rgb="FF1155CC"/>
        <u/>
      </rPr>
      <t>https://github.com/Jaswant0008/Resume-Analyzer</t>
    </r>
  </si>
  <si>
    <t>Mahipal Singh Rajawat</t>
  </si>
  <si>
    <t>24EACIT020</t>
  </si>
  <si>
    <t>Manjeet Dhanka</t>
  </si>
  <si>
    <t>24EACIT021</t>
  </si>
  <si>
    <r>
      <rPr>
        <color rgb="FF1155CC"/>
        <u/>
      </rPr>
      <t>https://github.com/5mohit0sharma9-pixel/finance-budgeter</t>
    </r>
  </si>
  <si>
    <t>Finance Budgeter</t>
  </si>
  <si>
    <t>Resume Analysis</t>
  </si>
  <si>
    <r>
      <rPr>
        <color rgb="FF1155CC"/>
        <u/>
      </rPr>
      <t>https://github.com/5mohit0sharma9-pixel/Resume-</t>
    </r>
  </si>
  <si>
    <t>Muskan Kumari</t>
  </si>
  <si>
    <r>
      <rPr>
        <color rgb="FF1155CC"/>
        <u/>
      </rPr>
      <t>https://github.com/nishika931/Green_IQ.git</t>
    </r>
    <r>
      <rPr/>
      <t xml:space="preserve"> (</t>
    </r>
    <r>
      <rPr>
        <color rgb="FF1155CC"/>
        <u/>
      </rPr>
      <t>https://green-iq-bice.vercel.app/</t>
    </r>
    <r>
      <rPr/>
      <t>)</t>
    </r>
  </si>
  <si>
    <t>Smart Plant AI Assistant</t>
  </si>
  <si>
    <r>
      <rPr>
        <color rgb="FF1155CC"/>
        <u/>
      </rPr>
      <t>https://github.com/nishika931/Resume-Analyzer.git</t>
    </r>
  </si>
  <si>
    <t>Parmod Kumar Saini</t>
  </si>
  <si>
    <r>
      <rPr>
        <color rgb="FF1155CC"/>
        <u/>
      </rPr>
      <t>https://github.com/parmod-001/career-chatbot.git</t>
    </r>
  </si>
  <si>
    <t>Career AI Chatbot</t>
  </si>
  <si>
    <r>
      <rPr>
        <color rgb="FF1155CC"/>
        <u/>
      </rPr>
      <t>https://github.com/parmod-001/RESUME-ANALYZER.git</t>
    </r>
  </si>
  <si>
    <t>Pravesh Saini</t>
  </si>
  <si>
    <t>24EACCS643</t>
  </si>
  <si>
    <r>
      <rPr>
        <color rgb="FF1155CC"/>
        <u/>
      </rPr>
      <t>https://github.com/praveshsaini8563/study-tutor-app1</t>
    </r>
  </si>
  <si>
    <t>Study Tutor Bot</t>
  </si>
  <si>
    <r>
      <rPr>
        <color rgb="FF1155CC"/>
        <u/>
      </rPr>
      <t>https://github.com/praveshsaini8563/project1/blob/main/README.md</t>
    </r>
  </si>
  <si>
    <t>Rehan Khan</t>
  </si>
  <si>
    <t>24EACCA060</t>
  </si>
  <si>
    <r>
      <rPr>
        <color rgb="FF1155CC"/>
        <u/>
      </rPr>
      <t>https://github.com/Ronak-star/legal-qa-agent</t>
    </r>
  </si>
  <si>
    <t>Legal / Policy Q&amp;A Agent</t>
  </si>
  <si>
    <r>
      <rPr>
        <color rgb="FF1155CC"/>
        <u/>
      </rPr>
      <t>https://github.com/Ronak-star/resume-analyzer</t>
    </r>
  </si>
  <si>
    <r>
      <rPr>
        <color rgb="FF1155CC"/>
        <u/>
      </rPr>
      <t>https://github.com/Ronit049/Resume-Analyzer</t>
    </r>
    <r>
      <rPr/>
      <t xml:space="preserve"> (</t>
    </r>
    <r>
      <rPr>
        <color rgb="FF1155CC"/>
        <u/>
      </rPr>
      <t>https://resume-analyzer-r4cukrllsftzgd8hmtgyfe.streamlit.app/</t>
    </r>
    <r>
      <rPr/>
      <t>)</t>
    </r>
  </si>
  <si>
    <r>
      <rPr>
        <color rgb="FF1155CC"/>
        <u/>
      </rPr>
      <t>https://github.com/Ronit049/Guided-AI-Chatbot</t>
    </r>
  </si>
  <si>
    <t>Saksham Kumawat</t>
  </si>
  <si>
    <r>
      <rPr>
        <color rgb="FF1155CC"/>
        <u/>
      </rPr>
      <t>https://github.com/sakshamkumawat7023-ui/smart-tech-gadget-advisor-</t>
    </r>
  </si>
  <si>
    <t>Tech Gadget Advisor</t>
  </si>
  <si>
    <r>
      <rPr>
        <color rgb="FF1155CC"/>
        <u/>
      </rPr>
      <t>https://github.com/sakshamkumawat7023-ui/resume-analyzer.git</t>
    </r>
  </si>
  <si>
    <t>Shorya Kumawat</t>
  </si>
  <si>
    <r>
      <rPr>
        <color rgb="FF1155CC"/>
        <u/>
      </rPr>
      <t>https://github.com/shoryakumawat7023-netizen/AI-Code-Reviewer-Pro</t>
    </r>
  </si>
  <si>
    <t>AI Code Reviewer Pro</t>
  </si>
  <si>
    <r>
      <rPr>
        <color rgb="FF1155CC"/>
        <u/>
      </rPr>
      <t>https://github.com/shoryakumawat7023-netizen/resume-analyzer-</t>
    </r>
  </si>
  <si>
    <r>
      <rPr>
        <color rgb="FF1155CC"/>
        <u/>
      </rPr>
      <t>https://github.com/somya2007-bit/Structured_output_AI_App/tree/main</t>
    </r>
  </si>
  <si>
    <t>Structured Output AI App</t>
  </si>
  <si>
    <t>None</t>
  </si>
  <si>
    <t>Sumit K Kumawat</t>
  </si>
  <si>
    <t>24EACAD093</t>
  </si>
  <si>
    <t>Sumit Kumar</t>
  </si>
  <si>
    <r>
      <rPr>
        <color rgb="FF1155CC"/>
        <u/>
      </rPr>
      <t>https://github.com/sumitrohila/movie-recommender-ai</t>
    </r>
  </si>
  <si>
    <t>Movie Recommender</t>
  </si>
  <si>
    <r>
      <rPr>
        <color rgb="FF1155CC"/>
        <u/>
      </rPr>
      <t>https://github.com/sumitrohila/resume_analyser</t>
    </r>
  </si>
  <si>
    <t>Tanisha Sharma</t>
  </si>
  <si>
    <r>
      <rPr>
        <color rgb="FF1155CC"/>
        <u/>
      </rPr>
      <t>https://github.com/Tripti727/researchguard-ai</t>
    </r>
    <r>
      <rPr/>
      <t xml:space="preserve"> (</t>
    </r>
    <r>
      <rPr>
        <color rgb="FF1155CC"/>
        <u/>
      </rPr>
      <t>https://frontend-n6ih.onrender.com</t>
    </r>
    <r>
      <rPr/>
      <t>)</t>
    </r>
  </si>
  <si>
    <t>ResearchGuard AI</t>
  </si>
  <si>
    <r>
      <rPr>
        <color rgb="FF1155CC"/>
        <u/>
      </rPr>
      <t>https://github.com/Tripti727/resume-analyser</t>
    </r>
  </si>
  <si>
    <t>Vinit Saini</t>
  </si>
  <si>
    <t>24EACCS742</t>
  </si>
  <si>
    <r>
      <rPr>
        <color rgb="FF1155CC"/>
        <u/>
      </rPr>
      <t>https://github.com/vinitsaini0031/college-FAQ-assistant</t>
    </r>
  </si>
  <si>
    <t>Sumit k Kumawat</t>
  </si>
  <si>
    <t>College FAQ Assistant</t>
  </si>
  <si>
    <t>AgentResumeAI</t>
  </si>
  <si>
    <r>
      <rPr>
        <color rgb="FF1155CC"/>
        <u/>
      </rPr>
      <t>https://github.com/vinitsaini0031/AgentResumeAI</t>
    </r>
  </si>
  <si>
    <r>
      <rPr>
        <color rgb="FF1155CC"/>
        <u/>
      </rPr>
      <t>https://github.com/Yashsoni123an/To-do-Planner</t>
    </r>
  </si>
  <si>
    <t>To-Do Planner</t>
  </si>
  <si>
    <r>
      <rPr>
        <color rgb="FF1155CC"/>
        <u/>
      </rPr>
      <t>https://github.com/Yashsoni123an/resume_analyzer</t>
    </r>
  </si>
  <si>
    <t>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</si>
</sst>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DD-MMM-YYYY"/>
    <numFmt numFmtId="166" formatCode="d"/>
    <numFmt numFmtId="167" formatCode="mm-dd"/>
    <numFmt numFmtId="168" formatCode="mm-dd-yyyy"/>
    <numFmt numFmtId="169" formatCode="mm-dd-yy"/>
    <numFmt numFmtId="170" formatCode="0&quot; / 50&quot;"/>
  </numFmts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/>
    <font>
      <color theme="1"/>
      <name val="Arial"/>
      <scheme val="minor"/>
    </font>
    <font>
      <b/>
      <sz val="14.0"/>
      <color theme="1"/>
      <name val="Garamond"/>
    </font>
    <font>
      <b/>
      <sz val="11.0"/>
      <color theme="1"/>
      <name val="Garamond"/>
    </font>
    <font>
      <b/>
      <sz val="11.0"/>
      <color theme="1"/>
      <name val="Cambria"/>
    </font>
    <font>
      <sz val="11.0"/>
      <color rgb="FF000000"/>
      <name val="Calibri"/>
    </font>
    <font>
      <b/>
      <color rgb="FF000000"/>
      <name val="&quot;Calibri Light&quot;"/>
    </font>
    <font>
      <b/>
      <color rgb="FF000000"/>
      <name val="Arial"/>
    </font>
    <font>
      <b/>
      <color rgb="FF000000"/>
      <name val="Arial"/>
      <scheme val="minor"/>
    </font>
    <font>
      <b/>
      <sz val="11.0"/>
      <color theme="1"/>
      <name val="Times New Roman"/>
    </font>
    <font>
      <b/>
      <sz val="12.0"/>
      <color theme="1"/>
      <name val="&quot;Calibri Light&quot;"/>
    </font>
    <font>
      <b/>
      <sz val="11.0"/>
      <color rgb="FF1F3864"/>
      <name val="&quot;Calibri Light&quot;"/>
    </font>
    <font>
      <b/>
      <sz val="11.0"/>
      <color theme="1"/>
      <name val="&quot;Calibri Light&quot;"/>
    </font>
    <font>
      <color rgb="FF434343"/>
      <name val="Roboto"/>
    </font>
    <font>
      <b/>
      <sz val="11.0"/>
      <color theme="1"/>
      <name val="Arial"/>
    </font>
    <font>
      <color theme="1"/>
      <name val="Calibri"/>
    </font>
    <font>
      <b/>
      <sz val="11.0"/>
      <color rgb="FFC00000"/>
      <name val="&quot;Calibri Light&quot;"/>
    </font>
    <font>
      <b/>
      <sz val="11.0"/>
      <color rgb="FF1F497D"/>
      <name val="&quot;Calibri Light&quot;"/>
    </font>
    <font>
      <b/>
      <color theme="1"/>
      <name val="Calibri"/>
    </font>
    <font>
      <b/>
      <sz val="12.0"/>
      <color theme="1"/>
      <name val="Arial"/>
    </font>
    <font>
      <sz val="11.0"/>
      <color theme="1"/>
      <name val="Aptos Narrow"/>
    </font>
    <font>
      <b/>
      <sz val="11.0"/>
      <color rgb="FF1F3864"/>
      <name val="Arial"/>
    </font>
    <font>
      <sz val="11.0"/>
      <color theme="1"/>
      <name val="Arial"/>
    </font>
    <font>
      <u/>
      <color rgb="FF0000FF"/>
    </font>
    <font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2" fontId="1" numFmtId="164" xfId="0" applyAlignment="1" applyBorder="1" applyFont="1" applyNumberFormat="1">
      <alignment horizontal="center" readingOrder="0"/>
    </xf>
    <xf borderId="2" fillId="2" fontId="4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2" fillId="0" fontId="3" numFmtId="0" xfId="0" applyAlignment="1" applyBorder="1" applyFont="1">
      <alignment readingOrder="0" vertical="bottom"/>
    </xf>
    <xf borderId="5" fillId="0" fontId="5" numFmtId="0" xfId="0" applyBorder="1" applyFont="1"/>
    <xf borderId="3" fillId="2" fontId="2" numFmtId="164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center" shrinkToFit="0" vertical="bottom" wrapText="1"/>
    </xf>
    <xf borderId="6" fillId="0" fontId="5" numFmtId="0" xfId="0" applyBorder="1" applyFont="1"/>
    <xf borderId="2" fillId="2" fontId="4" numFmtId="165" xfId="0" applyAlignment="1" applyBorder="1" applyFont="1" applyNumberFormat="1">
      <alignment horizontal="center" shrinkToFit="0" vertical="bottom" wrapText="1"/>
    </xf>
    <xf borderId="2" fillId="2" fontId="2" numFmtId="166" xfId="0" applyAlignment="1" applyBorder="1" applyFont="1" applyNumberFormat="1">
      <alignment horizontal="center" vertical="bottom"/>
    </xf>
    <xf borderId="2" fillId="0" fontId="3" numFmtId="167" xfId="0" applyAlignment="1" applyBorder="1" applyFont="1" applyNumberFormat="1">
      <alignment horizontal="center" readingOrder="0" vertical="bottom"/>
    </xf>
    <xf borderId="2" fillId="4" fontId="3" numFmtId="0" xfId="0" applyAlignment="1" applyBorder="1" applyFill="1" applyFont="1">
      <alignment horizontal="center" readingOrder="0" vertical="bottom"/>
    </xf>
    <xf borderId="2" fillId="0" fontId="3" numFmtId="168" xfId="0" applyAlignment="1" applyBorder="1" applyFont="1" applyNumberFormat="1">
      <alignment horizontal="center" readingOrder="0" vertical="bottom"/>
    </xf>
    <xf borderId="0" fillId="2" fontId="7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right" vertical="bottom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2" fillId="2" fontId="11" numFmtId="0" xfId="0" applyAlignment="1" applyBorder="1" applyFont="1">
      <alignment horizontal="center" readingOrder="0" vertical="center"/>
    </xf>
    <xf borderId="5" fillId="2" fontId="12" numFmtId="0" xfId="0" applyAlignment="1" applyBorder="1" applyFont="1">
      <alignment horizontal="center" readingOrder="0" vertical="center"/>
    </xf>
    <xf borderId="0" fillId="2" fontId="13" numFmtId="0" xfId="0" applyFont="1"/>
    <xf borderId="2" fillId="2" fontId="1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wrapText="1"/>
    </xf>
    <xf borderId="2" fillId="0" fontId="3" numFmtId="169" xfId="0" applyAlignment="1" applyBorder="1" applyFont="1" applyNumberFormat="1">
      <alignment horizontal="center" readingOrder="0" vertical="bottom"/>
    </xf>
    <xf borderId="6" fillId="2" fontId="15" numFmtId="0" xfId="0" applyAlignment="1" applyBorder="1" applyFont="1">
      <alignment horizontal="center" readingOrder="0" vertical="center"/>
    </xf>
    <xf borderId="2" fillId="2" fontId="16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shrinkToFit="0" vertical="bottom" wrapText="1"/>
    </xf>
    <xf borderId="2" fillId="2" fontId="17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vertical="bottom"/>
    </xf>
    <xf borderId="7" fillId="0" fontId="5" numFmtId="0" xfId="0" applyBorder="1" applyFont="1"/>
    <xf borderId="2" fillId="0" fontId="6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bottom"/>
    </xf>
    <xf borderId="2" fillId="2" fontId="18" numFmtId="170" xfId="0" applyAlignment="1" applyBorder="1" applyFont="1" applyNumberFormat="1">
      <alignment horizontal="center" readingOrder="0" shrinkToFit="0" wrapText="0"/>
    </xf>
    <xf borderId="1" fillId="2" fontId="15" numFmtId="0" xfId="0" applyAlignment="1" applyBorder="1" applyFont="1">
      <alignment horizontal="center" readingOrder="0" vertical="center"/>
    </xf>
    <xf borderId="2" fillId="2" fontId="18" numFmtId="170" xfId="0" applyAlignment="1" applyBorder="1" applyFont="1" applyNumberFormat="1">
      <alignment horizontal="center" shrinkToFit="0" wrapText="0"/>
    </xf>
    <xf borderId="2" fillId="2" fontId="2" numFmtId="164" xfId="0" applyAlignment="1" applyBorder="1" applyFont="1" applyNumberFormat="1">
      <alignment horizontal="center" vertical="bottom"/>
    </xf>
    <xf borderId="2" fillId="2" fontId="18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2" fillId="2" fontId="18" numFmtId="0" xfId="0" applyAlignment="1" applyBorder="1" applyFont="1">
      <alignment horizontal="right" shrinkToFit="0" vertical="bottom" wrapText="0"/>
    </xf>
    <xf borderId="2" fillId="2" fontId="18" numFmtId="0" xfId="0" applyAlignment="1" applyBorder="1" applyFont="1">
      <alignment horizontal="right" readingOrder="0" shrinkToFit="0" wrapText="0"/>
    </xf>
    <xf borderId="2" fillId="0" fontId="6" numFmtId="0" xfId="0" applyAlignment="1" applyBorder="1" applyFont="1">
      <alignment readingOrder="0"/>
    </xf>
    <xf borderId="3" fillId="0" fontId="6" numFmtId="0" xfId="0" applyBorder="1" applyFont="1"/>
    <xf borderId="0" fillId="0" fontId="6" numFmtId="0" xfId="0" applyFont="1"/>
    <xf borderId="2" fillId="2" fontId="4" numFmtId="0" xfId="0" applyAlignment="1" applyBorder="1" applyFont="1">
      <alignment horizontal="center" vertical="bottom"/>
    </xf>
    <xf borderId="2" fillId="3" fontId="18" numFmtId="170" xfId="0" applyAlignment="1" applyBorder="1" applyFont="1" applyNumberFormat="1">
      <alignment horizontal="center" readingOrder="0" shrinkToFit="0" wrapText="0"/>
    </xf>
    <xf borderId="2" fillId="3" fontId="18" numFmtId="0" xfId="0" applyAlignment="1" applyBorder="1" applyFont="1">
      <alignment horizontal="center" readingOrder="0" shrinkToFit="0" wrapText="0"/>
    </xf>
    <xf borderId="2" fillId="2" fontId="19" numFmtId="0" xfId="0" applyAlignment="1" applyBorder="1" applyFont="1">
      <alignment horizontal="left" readingOrder="0" vertical="center"/>
    </xf>
    <xf borderId="2" fillId="5" fontId="18" numFmtId="0" xfId="0" applyAlignment="1" applyBorder="1" applyFill="1" applyFont="1">
      <alignment horizontal="right" readingOrder="0" shrinkToFit="0" vertical="bottom" wrapText="0"/>
    </xf>
    <xf borderId="2" fillId="3" fontId="18" numFmtId="0" xfId="0" applyAlignment="1" applyBorder="1" applyFont="1">
      <alignment horizontal="right" readingOrder="0" shrinkToFit="0" wrapText="0"/>
    </xf>
    <xf borderId="2" fillId="2" fontId="16" numFmtId="0" xfId="0" applyAlignment="1" applyBorder="1" applyFont="1">
      <alignment horizontal="left" readingOrder="0" vertical="center"/>
    </xf>
    <xf borderId="2" fillId="0" fontId="6" numFmtId="168" xfId="0" applyAlignment="1" applyBorder="1" applyFont="1" applyNumberFormat="1">
      <alignment horizontal="center" readingOrder="0"/>
    </xf>
    <xf borderId="2" fillId="3" fontId="18" numFmtId="0" xfId="0" applyAlignment="1" applyBorder="1" applyFont="1">
      <alignment horizontal="right" shrinkToFit="0" vertical="bottom" wrapText="0"/>
    </xf>
    <xf borderId="2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" fillId="2" fontId="21" numFmtId="0" xfId="0" applyAlignment="1" applyBorder="1" applyFont="1">
      <alignment horizontal="left" readingOrder="0" vertical="center"/>
    </xf>
    <xf borderId="2" fillId="0" fontId="20" numFmtId="2" xfId="0" applyAlignment="1" applyBorder="1" applyFont="1" applyNumberFormat="1">
      <alignment horizontal="center" readingOrder="0"/>
    </xf>
    <xf borderId="2" fillId="0" fontId="20" numFmtId="0" xfId="0" applyAlignment="1" applyBorder="1" applyFont="1">
      <alignment horizontal="center" readingOrder="0"/>
    </xf>
    <xf borderId="2" fillId="2" fontId="22" numFmtId="0" xfId="0" applyAlignment="1" applyBorder="1" applyFont="1">
      <alignment horizontal="left" readingOrder="0" vertical="center"/>
    </xf>
    <xf borderId="6" fillId="6" fontId="23" numFmtId="0" xfId="0" applyAlignment="1" applyBorder="1" applyFill="1" applyFont="1">
      <alignment horizontal="center" readingOrder="0" textRotation="255" vertical="center"/>
    </xf>
    <xf borderId="1" fillId="2" fontId="15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/>
    </xf>
    <xf borderId="1" fillId="2" fontId="24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center" vertical="bottom"/>
    </xf>
    <xf borderId="2" fillId="2" fontId="26" numFmtId="0" xfId="0" applyAlignment="1" applyBorder="1" applyFont="1">
      <alignment horizontal="left" readingOrder="0" vertical="center"/>
    </xf>
    <xf borderId="2" fillId="0" fontId="27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2" fillId="3" fontId="3" numFmtId="0" xfId="0" applyAlignment="1" applyBorder="1" applyFont="1">
      <alignment horizontal="right" vertical="bottom"/>
    </xf>
    <xf borderId="2" fillId="0" fontId="6" numFmtId="0" xfId="0" applyAlignment="1" applyBorder="1" applyFont="1">
      <alignment readingOrder="0"/>
    </xf>
    <xf borderId="2" fillId="5" fontId="18" numFmtId="0" xfId="0" applyAlignment="1" applyBorder="1" applyFont="1">
      <alignment horizontal="right" shrinkToFit="0" vertical="bottom" wrapText="0"/>
    </xf>
    <xf borderId="2" fillId="2" fontId="4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 shrinkToFit="0" vertical="bottom" wrapText="0"/>
    </xf>
    <xf borderId="2" fillId="3" fontId="18" numFmtId="170" xfId="0" applyAlignment="1" applyBorder="1" applyFont="1" applyNumberFormat="1">
      <alignment horizontal="center" shrinkToFit="0" wrapText="0"/>
    </xf>
    <xf borderId="2" fillId="2" fontId="18" numFmtId="170" xfId="0" applyAlignment="1" applyBorder="1" applyFont="1" applyNumberFormat="1">
      <alignment horizontal="center" readingOrder="0" shrinkToFit="0" vertical="bottom" wrapText="0"/>
    </xf>
    <xf borderId="2" fillId="3" fontId="18" numFmtId="170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6" numFmtId="0" xfId="0" applyFont="1"/>
    <xf borderId="0" fillId="0" fontId="28" numFmtId="0" xfId="0" applyAlignment="1" applyFont="1">
      <alignment readingOrder="0"/>
    </xf>
    <xf borderId="2" fillId="2" fontId="18" numFmtId="0" xfId="0" applyAlignment="1" applyBorder="1" applyFont="1">
      <alignment horizontal="center" readingOrder="0" shrinkToFit="0" vertical="bottom" wrapText="0"/>
    </xf>
    <xf borderId="2" fillId="2" fontId="18" numFmtId="0" xfId="0" applyAlignment="1" applyBorder="1" applyFont="1">
      <alignment horizontal="right" readingOrder="0" shrinkToFit="0" vertical="bottom" wrapText="0"/>
    </xf>
    <xf borderId="0" fillId="2" fontId="6" numFmtId="0" xfId="0" applyAlignment="1" applyFont="1">
      <alignment vertical="center"/>
    </xf>
    <xf borderId="2" fillId="3" fontId="18" numFmtId="0" xfId="0" applyAlignment="1" applyBorder="1" applyFont="1">
      <alignment horizontal="center" readingOrder="0" shrinkToFit="0" vertical="bottom" wrapText="0"/>
    </xf>
    <xf borderId="2" fillId="3" fontId="18" numFmtId="0" xfId="0" applyAlignment="1" applyBorder="1" applyFont="1">
      <alignment horizontal="right" readingOrder="0" shrinkToFit="0" vertical="bottom" wrapText="0"/>
    </xf>
    <xf borderId="2" fillId="2" fontId="18" numFmtId="170" xfId="0" applyAlignment="1" applyBorder="1" applyFont="1" applyNumberFormat="1">
      <alignment horizontal="center" shrinkToFit="0" vertical="bottom" wrapText="0"/>
    </xf>
    <xf borderId="2" fillId="0" fontId="6" numFmtId="0" xfId="0" applyBorder="1" applyFont="1"/>
    <xf borderId="2" fillId="0" fontId="10" numFmtId="0" xfId="0" applyAlignment="1" applyBorder="1" applyFont="1">
      <alignment horizontal="center" readingOrder="0" shrinkToFit="0" vertical="bottom" wrapText="0"/>
    </xf>
    <xf borderId="2" fillId="0" fontId="29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2" fillId="0" fontId="20" numFmtId="0" xfId="0" applyAlignment="1" applyBorder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2" pivot="0" name="Assessm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:P44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ssess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somya2007-bit/Structured_output_AI_App/tree/main" TargetMode="External"/><Relationship Id="rId42" Type="http://schemas.openxmlformats.org/officeDocument/2006/relationships/hyperlink" Target="https://github.com/sumitrohila/resume_analyser" TargetMode="External"/><Relationship Id="rId41" Type="http://schemas.openxmlformats.org/officeDocument/2006/relationships/hyperlink" Target="https://github.com/sumitrohila/movie-recommender-ai" TargetMode="External"/><Relationship Id="rId44" Type="http://schemas.openxmlformats.org/officeDocument/2006/relationships/hyperlink" Target="https://github.com/Tripti727/resume-analyser" TargetMode="External"/><Relationship Id="rId43" Type="http://schemas.openxmlformats.org/officeDocument/2006/relationships/hyperlink" Target="https://github.com/Tripti727/researchguard-ai" TargetMode="External"/><Relationship Id="rId46" Type="http://schemas.openxmlformats.org/officeDocument/2006/relationships/hyperlink" Target="https://github.com/vinitsaini0031/AgentResumeAI" TargetMode="External"/><Relationship Id="rId45" Type="http://schemas.openxmlformats.org/officeDocument/2006/relationships/hyperlink" Target="https://github.com/vinitsaini0031/college-FAQ-assistant" TargetMode="External"/><Relationship Id="rId1" Type="http://schemas.openxmlformats.org/officeDocument/2006/relationships/hyperlink" Target="https://spam-detector-pro-1.preview.emergentagent.com/" TargetMode="External"/><Relationship Id="rId2" Type="http://schemas.openxmlformats.org/officeDocument/2006/relationships/hyperlink" Target="https://github.com/Aditya2007raj/AI-Resume-Analyzer" TargetMode="External"/><Relationship Id="rId3" Type="http://schemas.openxmlformats.org/officeDocument/2006/relationships/hyperlink" Target="https://github.com/akShit0017/-career-resume-helper" TargetMode="External"/><Relationship Id="rId4" Type="http://schemas.openxmlformats.org/officeDocument/2006/relationships/hyperlink" Target="https://github.com/akShit0017/Resume-Analyzer" TargetMode="External"/><Relationship Id="rId9" Type="http://schemas.openxmlformats.org/officeDocument/2006/relationships/hyperlink" Target="https://github.com/ankush-poonia007/CoFoundr" TargetMode="External"/><Relationship Id="rId48" Type="http://schemas.openxmlformats.org/officeDocument/2006/relationships/hyperlink" Target="https://github.com/Yashsoni123an/resume_analyzer" TargetMode="External"/><Relationship Id="rId47" Type="http://schemas.openxmlformats.org/officeDocument/2006/relationships/hyperlink" Target="https://github.com/Yashsoni123an/To-do-Planner" TargetMode="External"/><Relationship Id="rId49" Type="http://schemas.openxmlformats.org/officeDocument/2006/relationships/drawing" Target="../drawings/drawing5.xml"/><Relationship Id="rId5" Type="http://schemas.openxmlformats.org/officeDocument/2006/relationships/hyperlink" Target="https://share.google/YObOTcjrSVwEHV6R7" TargetMode="External"/><Relationship Id="rId6" Type="http://schemas.openxmlformats.org/officeDocument/2006/relationships/hyperlink" Target="https://share.google/qSLugNKCBrQctzrDd" TargetMode="External"/><Relationship Id="rId7" Type="http://schemas.openxmlformats.org/officeDocument/2006/relationships/hyperlink" Target="https://github.com/AnamikaShah95/dsa-mentor-agent" TargetMode="External"/><Relationship Id="rId8" Type="http://schemas.openxmlformats.org/officeDocument/2006/relationships/hyperlink" Target="https://github.com/AnamikaShah95/Resume_Analyzer" TargetMode="External"/><Relationship Id="rId31" Type="http://schemas.openxmlformats.org/officeDocument/2006/relationships/hyperlink" Target="https://github.com/praveshsaini8563/project1/blob/main/README.md" TargetMode="External"/><Relationship Id="rId30" Type="http://schemas.openxmlformats.org/officeDocument/2006/relationships/hyperlink" Target="https://github.com/praveshsaini8563/study-tutor-app1" TargetMode="External"/><Relationship Id="rId33" Type="http://schemas.openxmlformats.org/officeDocument/2006/relationships/hyperlink" Target="https://github.com/Ronak-star/resume-analyzer" TargetMode="External"/><Relationship Id="rId32" Type="http://schemas.openxmlformats.org/officeDocument/2006/relationships/hyperlink" Target="https://github.com/Ronak-star/legal-qa-agent" TargetMode="External"/><Relationship Id="rId35" Type="http://schemas.openxmlformats.org/officeDocument/2006/relationships/hyperlink" Target="https://github.com/Ronit049/Guided-AI-Chatbot" TargetMode="External"/><Relationship Id="rId34" Type="http://schemas.openxmlformats.org/officeDocument/2006/relationships/hyperlink" Target="https://github.com/Ronit049/Resume-Analyzer" TargetMode="External"/><Relationship Id="rId37" Type="http://schemas.openxmlformats.org/officeDocument/2006/relationships/hyperlink" Target="https://github.com/sakshamkumawat7023-ui/resume-analyzer.git" TargetMode="External"/><Relationship Id="rId36" Type="http://schemas.openxmlformats.org/officeDocument/2006/relationships/hyperlink" Target="https://github.com/sakshamkumawat7023-ui/smart-tech-gadget-advisor-" TargetMode="External"/><Relationship Id="rId39" Type="http://schemas.openxmlformats.org/officeDocument/2006/relationships/hyperlink" Target="https://github.com/shoryakumawat7023-netizen/resume-analyzer-" TargetMode="External"/><Relationship Id="rId38" Type="http://schemas.openxmlformats.org/officeDocument/2006/relationships/hyperlink" Target="https://github.com/shoryakumawat7023-netizen/AI-Code-Reviewer-Pro" TargetMode="External"/><Relationship Id="rId20" Type="http://schemas.openxmlformats.org/officeDocument/2006/relationships/hyperlink" Target="https://github.com/himanshichouhan25/AI-Travel-Planner" TargetMode="External"/><Relationship Id="rId22" Type="http://schemas.openxmlformats.org/officeDocument/2006/relationships/hyperlink" Target="https://github.com/Jaswant0008/BHARAT_ASTRA" TargetMode="External"/><Relationship Id="rId21" Type="http://schemas.openxmlformats.org/officeDocument/2006/relationships/hyperlink" Target="https://github.com/himanshichouhan25/AI-Resume-Analyzer" TargetMode="External"/><Relationship Id="rId24" Type="http://schemas.openxmlformats.org/officeDocument/2006/relationships/hyperlink" Target="https://github.com/5mohit0sharma9-pixel/finance-budgeter" TargetMode="External"/><Relationship Id="rId23" Type="http://schemas.openxmlformats.org/officeDocument/2006/relationships/hyperlink" Target="https://github.com/Jaswant0008/Resume-Analyzer" TargetMode="External"/><Relationship Id="rId26" Type="http://schemas.openxmlformats.org/officeDocument/2006/relationships/hyperlink" Target="https://github.com/nishika931/Green_IQ.git" TargetMode="External"/><Relationship Id="rId25" Type="http://schemas.openxmlformats.org/officeDocument/2006/relationships/hyperlink" Target="https://github.com/5mohit0sharma9-pixel/Resume-" TargetMode="External"/><Relationship Id="rId28" Type="http://schemas.openxmlformats.org/officeDocument/2006/relationships/hyperlink" Target="https://github.com/parmod-001/career-chatbot.git" TargetMode="External"/><Relationship Id="rId27" Type="http://schemas.openxmlformats.org/officeDocument/2006/relationships/hyperlink" Target="https://github.com/nishika931/Resume-Analyzer.git" TargetMode="External"/><Relationship Id="rId29" Type="http://schemas.openxmlformats.org/officeDocument/2006/relationships/hyperlink" Target="https://github.com/parmod-001/RESUME-ANALYZER.git" TargetMode="External"/><Relationship Id="rId11" Type="http://schemas.openxmlformats.org/officeDocument/2006/relationships/hyperlink" Target="https://github.com/anshulsingh6884-collab/Fitness-Planner-Assistant" TargetMode="External"/><Relationship Id="rId10" Type="http://schemas.openxmlformats.org/officeDocument/2006/relationships/hyperlink" Target="https://github.com/ankush-poonia007/RESUME-ANALYZER" TargetMode="External"/><Relationship Id="rId13" Type="http://schemas.openxmlformats.org/officeDocument/2006/relationships/hyperlink" Target="https://github.com/aryansharma2r/AI-Resume-Analyzer" TargetMode="External"/><Relationship Id="rId12" Type="http://schemas.openxmlformats.org/officeDocument/2006/relationships/hyperlink" Target="https://github.com/aryansharma2r/AI-Quiz-Generator" TargetMode="External"/><Relationship Id="rId15" Type="http://schemas.openxmlformats.org/officeDocument/2006/relationships/hyperlink" Target="https://github.com/Ashishpal019/RESUME-AI" TargetMode="External"/><Relationship Id="rId14" Type="http://schemas.openxmlformats.org/officeDocument/2006/relationships/hyperlink" Target="https://github.com/Ashishpal019/Structured-AI-App.git" TargetMode="External"/><Relationship Id="rId17" Type="http://schemas.openxmlformats.org/officeDocument/2006/relationships/hyperlink" Target="https://github.com/avi-source-dev/resume-analyzer-ai" TargetMode="External"/><Relationship Id="rId16" Type="http://schemas.openxmlformats.org/officeDocument/2006/relationships/hyperlink" Target="https://github.com/avi-source-dev/resume-analyzer-ai" TargetMode="External"/><Relationship Id="rId19" Type="http://schemas.openxmlformats.org/officeDocument/2006/relationships/hyperlink" Target="https://github.com/hiitsgaurav/AI-Resume-Analyzer.git" TargetMode="External"/><Relationship Id="rId18" Type="http://schemas.openxmlformats.org/officeDocument/2006/relationships/hyperlink" Target="https://github.com/hiitsgaurav/Guided-AI-Chatbo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63"/>
    <col customWidth="1" min="7" max="7" width="16.63"/>
    <col customWidth="1" min="8" max="44" width="4.13"/>
    <col customWidth="1" min="45" max="74" width="4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10</v>
      </c>
      <c r="H1" s="4">
        <v>46143.0</v>
      </c>
      <c r="I1" s="6"/>
      <c r="J1" s="6"/>
      <c r="K1" s="6"/>
      <c r="L1" s="6"/>
      <c r="M1" s="6"/>
      <c r="N1" s="8"/>
      <c r="O1" s="9">
        <v>46174.0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9">
        <v>46204.0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>
      <c r="A2" s="12"/>
      <c r="B2" s="12"/>
      <c r="C2" s="12"/>
      <c r="D2" s="12"/>
      <c r="E2" s="12"/>
      <c r="F2" s="12"/>
      <c r="G2" s="12"/>
      <c r="H2" s="14">
        <v>46167.0</v>
      </c>
      <c r="I2" s="14">
        <v>46168.0</v>
      </c>
      <c r="J2" s="14">
        <v>46169.0</v>
      </c>
      <c r="K2" s="14">
        <v>46170.0</v>
      </c>
      <c r="L2" s="14">
        <v>46171.0</v>
      </c>
      <c r="M2" s="14">
        <v>46172.0</v>
      </c>
      <c r="N2" s="14">
        <v>46173.0</v>
      </c>
      <c r="O2" s="14">
        <v>46174.0</v>
      </c>
      <c r="P2" s="14">
        <v>46175.0</v>
      </c>
      <c r="Q2" s="14">
        <v>46176.0</v>
      </c>
      <c r="R2" s="14">
        <v>46177.0</v>
      </c>
      <c r="S2" s="14">
        <v>46178.0</v>
      </c>
      <c r="T2" s="14">
        <v>46179.0</v>
      </c>
      <c r="U2" s="14">
        <v>46180.0</v>
      </c>
      <c r="V2" s="14">
        <v>46181.0</v>
      </c>
      <c r="W2" s="14">
        <v>46182.0</v>
      </c>
      <c r="X2" s="14">
        <v>46183.0</v>
      </c>
      <c r="Y2" s="14">
        <v>46184.0</v>
      </c>
      <c r="Z2" s="14">
        <v>46185.0</v>
      </c>
      <c r="AA2" s="14">
        <v>46186.0</v>
      </c>
      <c r="AB2" s="14">
        <v>46187.0</v>
      </c>
      <c r="AC2" s="14">
        <v>46188.0</v>
      </c>
      <c r="AD2" s="14">
        <v>46189.0</v>
      </c>
      <c r="AE2" s="14">
        <v>46190.0</v>
      </c>
      <c r="AF2" s="14">
        <v>46191.0</v>
      </c>
      <c r="AG2" s="14">
        <v>46192.0</v>
      </c>
      <c r="AH2" s="14">
        <v>46193.0</v>
      </c>
      <c r="AI2" s="14">
        <v>46194.0</v>
      </c>
      <c r="AJ2" s="14">
        <v>46195.0</v>
      </c>
      <c r="AK2" s="14">
        <v>46196.0</v>
      </c>
      <c r="AL2" s="14">
        <v>46197.0</v>
      </c>
      <c r="AM2" s="14">
        <v>46198.0</v>
      </c>
      <c r="AN2" s="14">
        <v>46199.0</v>
      </c>
      <c r="AO2" s="14">
        <v>46200.0</v>
      </c>
      <c r="AP2" s="14">
        <v>46201.0</v>
      </c>
      <c r="AQ2" s="14">
        <v>46202.0</v>
      </c>
      <c r="AR2" s="14">
        <v>46203.0</v>
      </c>
      <c r="AS2" s="14">
        <v>46204.0</v>
      </c>
      <c r="AT2" s="14">
        <v>46205.0</v>
      </c>
      <c r="AU2" s="14">
        <v>46206.0</v>
      </c>
      <c r="AV2" s="14">
        <v>46207.0</v>
      </c>
      <c r="AW2" s="14">
        <v>46208.0</v>
      </c>
      <c r="AX2" s="14">
        <v>46209.0</v>
      </c>
      <c r="AY2" s="14">
        <v>46210.0</v>
      </c>
      <c r="AZ2" s="14">
        <v>46211.0</v>
      </c>
      <c r="BA2" s="14">
        <v>46212.0</v>
      </c>
      <c r="BB2" s="14">
        <v>46213.0</v>
      </c>
      <c r="BC2" s="14">
        <v>46214.0</v>
      </c>
      <c r="BD2" s="14">
        <v>46215.0</v>
      </c>
      <c r="BE2" s="14">
        <v>46216.0</v>
      </c>
      <c r="BF2" s="14">
        <v>46217.0</v>
      </c>
      <c r="BG2" s="14">
        <v>46218.0</v>
      </c>
      <c r="BH2" s="14">
        <v>46219.0</v>
      </c>
      <c r="BI2" s="14">
        <v>46220.0</v>
      </c>
      <c r="BJ2" s="14">
        <v>46221.0</v>
      </c>
      <c r="BK2" s="14">
        <v>46222.0</v>
      </c>
      <c r="BL2" s="14">
        <v>46223.0</v>
      </c>
      <c r="BM2" s="14">
        <v>46224.0</v>
      </c>
      <c r="BN2" s="14">
        <v>46225.0</v>
      </c>
      <c r="BO2" s="14">
        <v>46226.0</v>
      </c>
      <c r="BP2" s="14">
        <v>46227.0</v>
      </c>
      <c r="BQ2" s="14">
        <v>46228.0</v>
      </c>
      <c r="BR2" s="14">
        <v>46229.0</v>
      </c>
      <c r="BS2" s="14">
        <v>46230.0</v>
      </c>
      <c r="BT2" s="14">
        <v>46231.0</v>
      </c>
      <c r="BU2" s="14">
        <v>46232.0</v>
      </c>
      <c r="BV2" s="14">
        <v>46233.0</v>
      </c>
    </row>
    <row r="3">
      <c r="A3" s="41"/>
      <c r="B3" s="41"/>
      <c r="C3" s="41"/>
      <c r="D3" s="41"/>
      <c r="E3" s="41"/>
      <c r="F3" s="41"/>
      <c r="G3" s="41"/>
      <c r="H3" s="47" t="str">
        <f t="shared" ref="H3:BV3" si="1">TEXT(H2,"ddd")</f>
        <v>Mon</v>
      </c>
      <c r="I3" s="47" t="str">
        <f t="shared" si="1"/>
        <v>Tue</v>
      </c>
      <c r="J3" s="47" t="str">
        <f t="shared" si="1"/>
        <v>Wed</v>
      </c>
      <c r="K3" s="47" t="str">
        <f t="shared" si="1"/>
        <v>Thu</v>
      </c>
      <c r="L3" s="47" t="str">
        <f t="shared" si="1"/>
        <v>Fri</v>
      </c>
      <c r="M3" s="47" t="str">
        <f t="shared" si="1"/>
        <v>Sat</v>
      </c>
      <c r="N3" s="47" t="str">
        <f t="shared" si="1"/>
        <v>Sun</v>
      </c>
      <c r="O3" s="47" t="str">
        <f t="shared" si="1"/>
        <v>Mon</v>
      </c>
      <c r="P3" s="47" t="str">
        <f t="shared" si="1"/>
        <v>Tue</v>
      </c>
      <c r="Q3" s="47" t="str">
        <f t="shared" si="1"/>
        <v>Wed</v>
      </c>
      <c r="R3" s="47" t="str">
        <f t="shared" si="1"/>
        <v>Thu</v>
      </c>
      <c r="S3" s="47" t="str">
        <f t="shared" si="1"/>
        <v>Fri</v>
      </c>
      <c r="T3" s="47" t="str">
        <f t="shared" si="1"/>
        <v>Sat</v>
      </c>
      <c r="U3" s="47" t="str">
        <f t="shared" si="1"/>
        <v>Sun</v>
      </c>
      <c r="V3" s="47" t="str">
        <f t="shared" si="1"/>
        <v>Mon</v>
      </c>
      <c r="W3" s="47" t="str">
        <f t="shared" si="1"/>
        <v>Tue</v>
      </c>
      <c r="X3" s="47" t="str">
        <f t="shared" si="1"/>
        <v>Wed</v>
      </c>
      <c r="Y3" s="47" t="str">
        <f t="shared" si="1"/>
        <v>Thu</v>
      </c>
      <c r="Z3" s="47" t="str">
        <f t="shared" si="1"/>
        <v>Fri</v>
      </c>
      <c r="AA3" s="47" t="str">
        <f t="shared" si="1"/>
        <v>Sat</v>
      </c>
      <c r="AB3" s="47" t="str">
        <f t="shared" si="1"/>
        <v>Sun</v>
      </c>
      <c r="AC3" s="47" t="str">
        <f t="shared" si="1"/>
        <v>Mon</v>
      </c>
      <c r="AD3" s="47" t="str">
        <f t="shared" si="1"/>
        <v>Tue</v>
      </c>
      <c r="AE3" s="47" t="str">
        <f t="shared" si="1"/>
        <v>Wed</v>
      </c>
      <c r="AF3" s="47" t="str">
        <f t="shared" si="1"/>
        <v>Thu</v>
      </c>
      <c r="AG3" s="47" t="str">
        <f t="shared" si="1"/>
        <v>Fri</v>
      </c>
      <c r="AH3" s="47" t="str">
        <f t="shared" si="1"/>
        <v>Sat</v>
      </c>
      <c r="AI3" s="47" t="str">
        <f t="shared" si="1"/>
        <v>Sun</v>
      </c>
      <c r="AJ3" s="47" t="str">
        <f t="shared" si="1"/>
        <v>Mon</v>
      </c>
      <c r="AK3" s="47" t="str">
        <f t="shared" si="1"/>
        <v>Tue</v>
      </c>
      <c r="AL3" s="47" t="str">
        <f t="shared" si="1"/>
        <v>Wed</v>
      </c>
      <c r="AM3" s="47" t="str">
        <f t="shared" si="1"/>
        <v>Thu</v>
      </c>
      <c r="AN3" s="47" t="str">
        <f t="shared" si="1"/>
        <v>Fri</v>
      </c>
      <c r="AO3" s="47" t="str">
        <f t="shared" si="1"/>
        <v>Sat</v>
      </c>
      <c r="AP3" s="47" t="str">
        <f t="shared" si="1"/>
        <v>Sun</v>
      </c>
      <c r="AQ3" s="47" t="str">
        <f t="shared" si="1"/>
        <v>Mon</v>
      </c>
      <c r="AR3" s="47" t="str">
        <f t="shared" si="1"/>
        <v>Tue</v>
      </c>
      <c r="AS3" s="47" t="str">
        <f t="shared" si="1"/>
        <v>Wed</v>
      </c>
      <c r="AT3" s="47" t="str">
        <f t="shared" si="1"/>
        <v>Thu</v>
      </c>
      <c r="AU3" s="47" t="str">
        <f t="shared" si="1"/>
        <v>Fri</v>
      </c>
      <c r="AV3" s="47" t="str">
        <f t="shared" si="1"/>
        <v>Sat</v>
      </c>
      <c r="AW3" s="47" t="str">
        <f t="shared" si="1"/>
        <v>Sun</v>
      </c>
      <c r="AX3" s="47" t="str">
        <f t="shared" si="1"/>
        <v>Mon</v>
      </c>
      <c r="AY3" s="47" t="str">
        <f t="shared" si="1"/>
        <v>Tue</v>
      </c>
      <c r="AZ3" s="47" t="str">
        <f t="shared" si="1"/>
        <v>Wed</v>
      </c>
      <c r="BA3" s="47" t="str">
        <f t="shared" si="1"/>
        <v>Thu</v>
      </c>
      <c r="BB3" s="47" t="str">
        <f t="shared" si="1"/>
        <v>Fri</v>
      </c>
      <c r="BC3" s="47" t="str">
        <f t="shared" si="1"/>
        <v>Sat</v>
      </c>
      <c r="BD3" s="47" t="str">
        <f t="shared" si="1"/>
        <v>Sun</v>
      </c>
      <c r="BE3" s="47" t="str">
        <f t="shared" si="1"/>
        <v>Mon</v>
      </c>
      <c r="BF3" s="47" t="str">
        <f t="shared" si="1"/>
        <v>Tue</v>
      </c>
      <c r="BG3" s="47" t="str">
        <f t="shared" si="1"/>
        <v>Wed</v>
      </c>
      <c r="BH3" s="47" t="str">
        <f t="shared" si="1"/>
        <v>Thu</v>
      </c>
      <c r="BI3" s="47" t="str">
        <f t="shared" si="1"/>
        <v>Fri</v>
      </c>
      <c r="BJ3" s="47" t="str">
        <f t="shared" si="1"/>
        <v>Sat</v>
      </c>
      <c r="BK3" s="47" t="str">
        <f t="shared" si="1"/>
        <v>Sun</v>
      </c>
      <c r="BL3" s="47" t="str">
        <f t="shared" si="1"/>
        <v>Mon</v>
      </c>
      <c r="BM3" s="47" t="str">
        <f t="shared" si="1"/>
        <v>Tue</v>
      </c>
      <c r="BN3" s="47" t="str">
        <f t="shared" si="1"/>
        <v>Wed</v>
      </c>
      <c r="BO3" s="47" t="str">
        <f t="shared" si="1"/>
        <v>Thu</v>
      </c>
      <c r="BP3" s="47" t="str">
        <f t="shared" si="1"/>
        <v>Fri</v>
      </c>
      <c r="BQ3" s="47" t="str">
        <f t="shared" si="1"/>
        <v>Sat</v>
      </c>
      <c r="BR3" s="47" t="str">
        <f t="shared" si="1"/>
        <v>Sun</v>
      </c>
      <c r="BS3" s="47" t="str">
        <f t="shared" si="1"/>
        <v>Mon</v>
      </c>
      <c r="BT3" s="47" t="str">
        <f t="shared" si="1"/>
        <v>Tue</v>
      </c>
      <c r="BU3" s="47" t="str">
        <f t="shared" si="1"/>
        <v>Wed</v>
      </c>
      <c r="BV3" s="47" t="str">
        <f t="shared" si="1"/>
        <v>Thu</v>
      </c>
    </row>
    <row r="4">
      <c r="A4" s="65">
        <v>1.0</v>
      </c>
      <c r="B4" s="43" t="s">
        <v>176</v>
      </c>
      <c r="C4" s="43" t="s">
        <v>177</v>
      </c>
      <c r="D4" s="66">
        <f t="shared" ref="D4:D45" si="2">COUNTIF(H4:BV4,"p") + COUNTIF(H4:BV4,"op")</f>
        <v>39</v>
      </c>
      <c r="E4" s="66">
        <f t="shared" ref="E4:E45" si="3">COUNTIF(H4:BV4,"A") + COUNTIF(H4:BV4,"oA")</f>
        <v>6</v>
      </c>
      <c r="F4" s="66">
        <f t="shared" ref="F4:F45" si="4">E4+D4</f>
        <v>45</v>
      </c>
      <c r="G4" s="69">
        <f t="shared" ref="G4:G45" si="5">(D4/F4)*100</f>
        <v>86.66666667</v>
      </c>
      <c r="H4" s="70" t="s">
        <v>132</v>
      </c>
      <c r="I4" s="70" t="s">
        <v>132</v>
      </c>
      <c r="J4" s="70" t="s">
        <v>132</v>
      </c>
      <c r="K4" s="70" t="s">
        <v>132</v>
      </c>
      <c r="L4" s="70" t="s">
        <v>203</v>
      </c>
      <c r="M4" s="70" t="s">
        <v>203</v>
      </c>
      <c r="N4" s="72" t="s">
        <v>204</v>
      </c>
      <c r="O4" s="70" t="s">
        <v>203</v>
      </c>
      <c r="P4" s="70" t="s">
        <v>203</v>
      </c>
      <c r="Q4" s="70" t="s">
        <v>203</v>
      </c>
      <c r="R4" s="70" t="s">
        <v>203</v>
      </c>
      <c r="S4" s="70" t="s">
        <v>203</v>
      </c>
      <c r="T4" s="70" t="s">
        <v>203</v>
      </c>
      <c r="U4" s="72" t="s">
        <v>204</v>
      </c>
      <c r="V4" s="70" t="s">
        <v>203</v>
      </c>
      <c r="W4" s="70" t="s">
        <v>203</v>
      </c>
      <c r="X4" s="70" t="s">
        <v>203</v>
      </c>
      <c r="Y4" s="70" t="s">
        <v>203</v>
      </c>
      <c r="Z4" s="70" t="s">
        <v>203</v>
      </c>
      <c r="AA4" s="70" t="s">
        <v>203</v>
      </c>
      <c r="AB4" s="72" t="s">
        <v>204</v>
      </c>
      <c r="AC4" s="70" t="s">
        <v>132</v>
      </c>
      <c r="AD4" s="70" t="s">
        <v>203</v>
      </c>
      <c r="AE4" s="70" t="s">
        <v>203</v>
      </c>
      <c r="AF4" s="70" t="s">
        <v>203</v>
      </c>
      <c r="AG4" s="70" t="s">
        <v>203</v>
      </c>
      <c r="AH4" s="70" t="s">
        <v>203</v>
      </c>
      <c r="AI4" s="72" t="s">
        <v>204</v>
      </c>
      <c r="AJ4" s="70" t="s">
        <v>203</v>
      </c>
      <c r="AK4" s="70" t="s">
        <v>203</v>
      </c>
      <c r="AL4" s="70" t="s">
        <v>203</v>
      </c>
      <c r="AM4" s="70" t="s">
        <v>203</v>
      </c>
      <c r="AN4" s="70" t="s">
        <v>203</v>
      </c>
      <c r="AO4" s="70" t="s">
        <v>203</v>
      </c>
      <c r="AP4" s="72" t="s">
        <v>204</v>
      </c>
      <c r="AQ4" s="70" t="s">
        <v>203</v>
      </c>
      <c r="AR4" s="70" t="s">
        <v>203</v>
      </c>
      <c r="AS4" s="70" t="s">
        <v>203</v>
      </c>
      <c r="AT4" s="70" t="s">
        <v>203</v>
      </c>
      <c r="AU4" s="70" t="s">
        <v>132</v>
      </c>
      <c r="AV4" s="70" t="s">
        <v>203</v>
      </c>
      <c r="AW4" s="72" t="s">
        <v>204</v>
      </c>
      <c r="AX4" s="70" t="s">
        <v>203</v>
      </c>
      <c r="AY4" s="70" t="s">
        <v>203</v>
      </c>
      <c r="AZ4" s="70" t="s">
        <v>203</v>
      </c>
      <c r="BA4" s="70" t="s">
        <v>203</v>
      </c>
      <c r="BB4" s="70" t="s">
        <v>203</v>
      </c>
      <c r="BC4" s="70" t="s">
        <v>203</v>
      </c>
      <c r="BD4" s="72" t="s">
        <v>204</v>
      </c>
      <c r="BE4" s="70" t="s">
        <v>203</v>
      </c>
      <c r="BF4" s="70" t="s">
        <v>203</v>
      </c>
      <c r="BG4" s="70" t="s">
        <v>203</v>
      </c>
      <c r="BH4" s="74"/>
      <c r="BI4" s="74"/>
      <c r="BJ4" s="74"/>
      <c r="BK4" s="72" t="s">
        <v>204</v>
      </c>
      <c r="BL4" s="74"/>
      <c r="BM4" s="74"/>
      <c r="BN4" s="74"/>
      <c r="BO4" s="74"/>
      <c r="BP4" s="74"/>
      <c r="BQ4" s="74"/>
      <c r="BR4" s="72" t="s">
        <v>204</v>
      </c>
      <c r="BS4" s="74"/>
      <c r="BT4" s="74"/>
      <c r="BU4" s="74"/>
      <c r="BV4" s="74"/>
    </row>
    <row r="5">
      <c r="A5" s="65">
        <v>2.0</v>
      </c>
      <c r="B5" s="43" t="s">
        <v>241</v>
      </c>
      <c r="C5" s="43" t="s">
        <v>243</v>
      </c>
      <c r="D5" s="66">
        <f t="shared" si="2"/>
        <v>45</v>
      </c>
      <c r="E5" s="66">
        <f t="shared" si="3"/>
        <v>0</v>
      </c>
      <c r="F5" s="66">
        <f t="shared" si="4"/>
        <v>45</v>
      </c>
      <c r="G5" s="69">
        <f t="shared" si="5"/>
        <v>100</v>
      </c>
      <c r="H5" s="70" t="s">
        <v>247</v>
      </c>
      <c r="I5" s="70" t="s">
        <v>247</v>
      </c>
      <c r="J5" s="70" t="s">
        <v>247</v>
      </c>
      <c r="K5" s="70" t="s">
        <v>247</v>
      </c>
      <c r="L5" s="70" t="s">
        <v>247</v>
      </c>
      <c r="M5" s="70" t="s">
        <v>247</v>
      </c>
      <c r="N5" s="12"/>
      <c r="O5" s="70" t="s">
        <v>247</v>
      </c>
      <c r="P5" s="70" t="s">
        <v>247</v>
      </c>
      <c r="Q5" s="70" t="s">
        <v>247</v>
      </c>
      <c r="R5" s="70" t="s">
        <v>247</v>
      </c>
      <c r="S5" s="70" t="s">
        <v>247</v>
      </c>
      <c r="T5" s="70" t="s">
        <v>247</v>
      </c>
      <c r="U5" s="12"/>
      <c r="V5" s="70" t="s">
        <v>247</v>
      </c>
      <c r="W5" s="70" t="s">
        <v>247</v>
      </c>
      <c r="X5" s="70" t="s">
        <v>247</v>
      </c>
      <c r="Y5" s="70" t="s">
        <v>247</v>
      </c>
      <c r="Z5" s="70" t="s">
        <v>247</v>
      </c>
      <c r="AA5" s="70" t="s">
        <v>247</v>
      </c>
      <c r="AB5" s="12"/>
      <c r="AC5" s="70" t="s">
        <v>247</v>
      </c>
      <c r="AD5" s="70" t="s">
        <v>247</v>
      </c>
      <c r="AE5" s="70" t="s">
        <v>247</v>
      </c>
      <c r="AF5" s="70" t="s">
        <v>247</v>
      </c>
      <c r="AG5" s="70" t="s">
        <v>247</v>
      </c>
      <c r="AH5" s="70" t="s">
        <v>247</v>
      </c>
      <c r="AI5" s="12"/>
      <c r="AJ5" s="70" t="s">
        <v>247</v>
      </c>
      <c r="AK5" s="70" t="s">
        <v>247</v>
      </c>
      <c r="AL5" s="70" t="s">
        <v>247</v>
      </c>
      <c r="AM5" s="70" t="s">
        <v>247</v>
      </c>
      <c r="AN5" s="70" t="s">
        <v>247</v>
      </c>
      <c r="AO5" s="70" t="s">
        <v>247</v>
      </c>
      <c r="AP5" s="12"/>
      <c r="AQ5" s="70" t="s">
        <v>261</v>
      </c>
      <c r="AR5" s="70" t="s">
        <v>261</v>
      </c>
      <c r="AS5" s="70" t="s">
        <v>261</v>
      </c>
      <c r="AT5" s="70" t="s">
        <v>261</v>
      </c>
      <c r="AU5" s="70" t="s">
        <v>261</v>
      </c>
      <c r="AV5" s="70" t="s">
        <v>261</v>
      </c>
      <c r="AW5" s="12"/>
      <c r="AX5" s="70" t="s">
        <v>261</v>
      </c>
      <c r="AY5" s="70" t="s">
        <v>261</v>
      </c>
      <c r="AZ5" s="70" t="s">
        <v>261</v>
      </c>
      <c r="BA5" s="70" t="s">
        <v>203</v>
      </c>
      <c r="BB5" s="70" t="s">
        <v>203</v>
      </c>
      <c r="BC5" s="70" t="s">
        <v>203</v>
      </c>
      <c r="BD5" s="12"/>
      <c r="BE5" s="70" t="s">
        <v>203</v>
      </c>
      <c r="BF5" s="70" t="s">
        <v>203</v>
      </c>
      <c r="BG5" s="70" t="s">
        <v>203</v>
      </c>
      <c r="BH5" s="74"/>
      <c r="BI5" s="74"/>
      <c r="BJ5" s="74"/>
      <c r="BK5" s="12"/>
      <c r="BL5" s="74"/>
      <c r="BM5" s="74"/>
      <c r="BN5" s="74"/>
      <c r="BO5" s="74"/>
      <c r="BP5" s="74"/>
      <c r="BQ5" s="74"/>
      <c r="BR5" s="12"/>
      <c r="BS5" s="74"/>
      <c r="BT5" s="74"/>
      <c r="BU5" s="74"/>
      <c r="BV5" s="74"/>
    </row>
    <row r="6">
      <c r="A6" s="65">
        <v>3.0</v>
      </c>
      <c r="B6" s="43" t="s">
        <v>272</v>
      </c>
      <c r="C6" s="43" t="s">
        <v>273</v>
      </c>
      <c r="D6" s="66">
        <f t="shared" si="2"/>
        <v>38</v>
      </c>
      <c r="E6" s="66">
        <f t="shared" si="3"/>
        <v>7</v>
      </c>
      <c r="F6" s="66">
        <f t="shared" si="4"/>
        <v>45</v>
      </c>
      <c r="G6" s="69">
        <f t="shared" si="5"/>
        <v>84.44444444</v>
      </c>
      <c r="H6" s="70" t="s">
        <v>203</v>
      </c>
      <c r="I6" s="70" t="s">
        <v>203</v>
      </c>
      <c r="J6" s="70" t="s">
        <v>203</v>
      </c>
      <c r="K6" s="70" t="s">
        <v>203</v>
      </c>
      <c r="L6" s="70" t="s">
        <v>203</v>
      </c>
      <c r="M6" s="70" t="s">
        <v>203</v>
      </c>
      <c r="N6" s="12"/>
      <c r="O6" s="70" t="s">
        <v>203</v>
      </c>
      <c r="P6" s="70" t="s">
        <v>203</v>
      </c>
      <c r="Q6" s="70" t="s">
        <v>203</v>
      </c>
      <c r="R6" s="70" t="s">
        <v>203</v>
      </c>
      <c r="S6" s="70" t="s">
        <v>203</v>
      </c>
      <c r="T6" s="70" t="s">
        <v>203</v>
      </c>
      <c r="U6" s="12"/>
      <c r="V6" s="70" t="s">
        <v>203</v>
      </c>
      <c r="W6" s="70" t="s">
        <v>203</v>
      </c>
      <c r="X6" s="70" t="s">
        <v>203</v>
      </c>
      <c r="Y6" s="70" t="s">
        <v>203</v>
      </c>
      <c r="Z6" s="70" t="s">
        <v>203</v>
      </c>
      <c r="AA6" s="70" t="s">
        <v>203</v>
      </c>
      <c r="AB6" s="12"/>
      <c r="AC6" s="70" t="s">
        <v>203</v>
      </c>
      <c r="AD6" s="70" t="s">
        <v>203</v>
      </c>
      <c r="AE6" s="70" t="s">
        <v>203</v>
      </c>
      <c r="AF6" s="70" t="s">
        <v>203</v>
      </c>
      <c r="AG6" s="70" t="s">
        <v>203</v>
      </c>
      <c r="AH6" s="70" t="s">
        <v>203</v>
      </c>
      <c r="AI6" s="12"/>
      <c r="AJ6" s="70" t="s">
        <v>203</v>
      </c>
      <c r="AK6" s="70" t="s">
        <v>203</v>
      </c>
      <c r="AL6" s="70" t="s">
        <v>203</v>
      </c>
      <c r="AM6" s="70" t="s">
        <v>203</v>
      </c>
      <c r="AN6" s="70" t="s">
        <v>203</v>
      </c>
      <c r="AO6" s="70" t="s">
        <v>203</v>
      </c>
      <c r="AP6" s="12"/>
      <c r="AQ6" s="70" t="s">
        <v>203</v>
      </c>
      <c r="AR6" s="70" t="s">
        <v>203</v>
      </c>
      <c r="AS6" s="70" t="s">
        <v>203</v>
      </c>
      <c r="AT6" s="70" t="s">
        <v>203</v>
      </c>
      <c r="AU6" s="70" t="s">
        <v>203</v>
      </c>
      <c r="AV6" s="70" t="s">
        <v>203</v>
      </c>
      <c r="AW6" s="12"/>
      <c r="AX6" s="70" t="s">
        <v>203</v>
      </c>
      <c r="AY6" s="70" t="s">
        <v>203</v>
      </c>
      <c r="AZ6" s="70" t="s">
        <v>132</v>
      </c>
      <c r="BA6" s="70" t="s">
        <v>132</v>
      </c>
      <c r="BB6" s="70" t="s">
        <v>132</v>
      </c>
      <c r="BC6" s="70" t="s">
        <v>132</v>
      </c>
      <c r="BD6" s="12"/>
      <c r="BE6" s="70" t="s">
        <v>132</v>
      </c>
      <c r="BF6" s="70" t="s">
        <v>132</v>
      </c>
      <c r="BG6" s="70" t="s">
        <v>132</v>
      </c>
      <c r="BH6" s="74"/>
      <c r="BI6" s="74"/>
      <c r="BJ6" s="74"/>
      <c r="BK6" s="12"/>
      <c r="BL6" s="74"/>
      <c r="BM6" s="74"/>
      <c r="BN6" s="74"/>
      <c r="BO6" s="74"/>
      <c r="BP6" s="74"/>
      <c r="BQ6" s="74"/>
      <c r="BR6" s="12"/>
      <c r="BS6" s="74"/>
      <c r="BT6" s="74"/>
      <c r="BU6" s="74"/>
      <c r="BV6" s="74"/>
    </row>
    <row r="7">
      <c r="A7" s="65">
        <v>4.0</v>
      </c>
      <c r="B7" s="56" t="s">
        <v>126</v>
      </c>
      <c r="C7" s="56" t="s">
        <v>127</v>
      </c>
      <c r="D7" s="66">
        <f t="shared" si="2"/>
        <v>42</v>
      </c>
      <c r="E7" s="66">
        <f t="shared" si="3"/>
        <v>3</v>
      </c>
      <c r="F7" s="66">
        <f t="shared" si="4"/>
        <v>45</v>
      </c>
      <c r="G7" s="69">
        <f t="shared" si="5"/>
        <v>93.33333333</v>
      </c>
      <c r="H7" s="70" t="s">
        <v>203</v>
      </c>
      <c r="I7" s="70" t="s">
        <v>203</v>
      </c>
      <c r="J7" s="70" t="s">
        <v>203</v>
      </c>
      <c r="K7" s="70" t="s">
        <v>203</v>
      </c>
      <c r="L7" s="70" t="s">
        <v>203</v>
      </c>
      <c r="M7" s="70" t="s">
        <v>203</v>
      </c>
      <c r="N7" s="12"/>
      <c r="O7" s="70" t="s">
        <v>203</v>
      </c>
      <c r="P7" s="70" t="s">
        <v>203</v>
      </c>
      <c r="Q7" s="70" t="s">
        <v>203</v>
      </c>
      <c r="R7" s="70" t="s">
        <v>203</v>
      </c>
      <c r="S7" s="70" t="s">
        <v>203</v>
      </c>
      <c r="T7" s="70" t="s">
        <v>203</v>
      </c>
      <c r="U7" s="12"/>
      <c r="V7" s="70" t="s">
        <v>203</v>
      </c>
      <c r="W7" s="70" t="s">
        <v>203</v>
      </c>
      <c r="X7" s="70" t="s">
        <v>203</v>
      </c>
      <c r="Y7" s="70" t="s">
        <v>203</v>
      </c>
      <c r="Z7" s="70" t="s">
        <v>203</v>
      </c>
      <c r="AA7" s="70" t="s">
        <v>132</v>
      </c>
      <c r="AB7" s="12"/>
      <c r="AC7" s="70" t="s">
        <v>203</v>
      </c>
      <c r="AD7" s="70" t="s">
        <v>203</v>
      </c>
      <c r="AE7" s="70" t="s">
        <v>203</v>
      </c>
      <c r="AF7" s="70" t="s">
        <v>203</v>
      </c>
      <c r="AG7" s="70" t="s">
        <v>132</v>
      </c>
      <c r="AH7" s="70" t="s">
        <v>203</v>
      </c>
      <c r="AI7" s="12"/>
      <c r="AJ7" s="70" t="s">
        <v>203</v>
      </c>
      <c r="AK7" s="70" t="s">
        <v>203</v>
      </c>
      <c r="AL7" s="70" t="s">
        <v>203</v>
      </c>
      <c r="AM7" s="70" t="s">
        <v>203</v>
      </c>
      <c r="AN7" s="70" t="s">
        <v>203</v>
      </c>
      <c r="AO7" s="70" t="s">
        <v>203</v>
      </c>
      <c r="AP7" s="12"/>
      <c r="AQ7" s="70" t="s">
        <v>203</v>
      </c>
      <c r="AR7" s="70" t="s">
        <v>203</v>
      </c>
      <c r="AS7" s="70" t="s">
        <v>203</v>
      </c>
      <c r="AT7" s="70" t="s">
        <v>132</v>
      </c>
      <c r="AU7" s="70" t="s">
        <v>203</v>
      </c>
      <c r="AV7" s="70" t="s">
        <v>203</v>
      </c>
      <c r="AW7" s="12"/>
      <c r="AX7" s="70" t="s">
        <v>203</v>
      </c>
      <c r="AY7" s="70" t="s">
        <v>203</v>
      </c>
      <c r="AZ7" s="70" t="s">
        <v>203</v>
      </c>
      <c r="BA7" s="70" t="s">
        <v>203</v>
      </c>
      <c r="BB7" s="70" t="s">
        <v>203</v>
      </c>
      <c r="BC7" s="70" t="s">
        <v>203</v>
      </c>
      <c r="BD7" s="12"/>
      <c r="BE7" s="70" t="s">
        <v>203</v>
      </c>
      <c r="BF7" s="70" t="s">
        <v>203</v>
      </c>
      <c r="BG7" s="70" t="s">
        <v>203</v>
      </c>
      <c r="BH7" s="74"/>
      <c r="BI7" s="74"/>
      <c r="BJ7" s="74"/>
      <c r="BK7" s="12"/>
      <c r="BL7" s="74"/>
      <c r="BM7" s="74"/>
      <c r="BN7" s="74"/>
      <c r="BO7" s="74"/>
      <c r="BP7" s="74"/>
      <c r="BQ7" s="74"/>
      <c r="BR7" s="12"/>
      <c r="BS7" s="74"/>
      <c r="BT7" s="74"/>
      <c r="BU7" s="74"/>
      <c r="BV7" s="74"/>
    </row>
    <row r="8">
      <c r="A8" s="65">
        <v>5.0</v>
      </c>
      <c r="B8" s="43" t="s">
        <v>162</v>
      </c>
      <c r="C8" s="43" t="s">
        <v>163</v>
      </c>
      <c r="D8" s="66">
        <f t="shared" si="2"/>
        <v>45</v>
      </c>
      <c r="E8" s="66">
        <f t="shared" si="3"/>
        <v>0</v>
      </c>
      <c r="F8" s="66">
        <f t="shared" si="4"/>
        <v>45</v>
      </c>
      <c r="G8" s="69">
        <f t="shared" si="5"/>
        <v>100</v>
      </c>
      <c r="H8" s="70" t="s">
        <v>247</v>
      </c>
      <c r="I8" s="70" t="s">
        <v>247</v>
      </c>
      <c r="J8" s="70" t="s">
        <v>247</v>
      </c>
      <c r="K8" s="70" t="s">
        <v>247</v>
      </c>
      <c r="L8" s="70" t="s">
        <v>247</v>
      </c>
      <c r="M8" s="70" t="s">
        <v>247</v>
      </c>
      <c r="N8" s="12"/>
      <c r="O8" s="70" t="s">
        <v>247</v>
      </c>
      <c r="P8" s="70" t="s">
        <v>203</v>
      </c>
      <c r="Q8" s="70" t="s">
        <v>203</v>
      </c>
      <c r="R8" s="70" t="s">
        <v>203</v>
      </c>
      <c r="S8" s="70" t="s">
        <v>203</v>
      </c>
      <c r="T8" s="70" t="s">
        <v>203</v>
      </c>
      <c r="U8" s="12"/>
      <c r="V8" s="82" t="s">
        <v>203</v>
      </c>
      <c r="W8" s="82" t="s">
        <v>203</v>
      </c>
      <c r="X8" s="82" t="s">
        <v>203</v>
      </c>
      <c r="Y8" s="82" t="s">
        <v>203</v>
      </c>
      <c r="Z8" s="82" t="s">
        <v>203</v>
      </c>
      <c r="AA8" s="82" t="s">
        <v>203</v>
      </c>
      <c r="AB8" s="12"/>
      <c r="AC8" s="82" t="s">
        <v>203</v>
      </c>
      <c r="AD8" s="82" t="s">
        <v>203</v>
      </c>
      <c r="AE8" s="82" t="s">
        <v>203</v>
      </c>
      <c r="AF8" s="82" t="s">
        <v>203</v>
      </c>
      <c r="AG8" s="82" t="s">
        <v>203</v>
      </c>
      <c r="AH8" s="82" t="s">
        <v>203</v>
      </c>
      <c r="AI8" s="12"/>
      <c r="AJ8" s="82" t="s">
        <v>203</v>
      </c>
      <c r="AK8" s="82" t="s">
        <v>203</v>
      </c>
      <c r="AL8" s="82" t="s">
        <v>203</v>
      </c>
      <c r="AM8" s="82" t="s">
        <v>203</v>
      </c>
      <c r="AN8" s="82" t="s">
        <v>203</v>
      </c>
      <c r="AO8" s="82" t="s">
        <v>203</v>
      </c>
      <c r="AP8" s="12"/>
      <c r="AQ8" s="82" t="s">
        <v>203</v>
      </c>
      <c r="AR8" s="82" t="s">
        <v>203</v>
      </c>
      <c r="AS8" s="82" t="s">
        <v>203</v>
      </c>
      <c r="AT8" s="82" t="s">
        <v>203</v>
      </c>
      <c r="AU8" s="82" t="s">
        <v>203</v>
      </c>
      <c r="AV8" s="82" t="s">
        <v>203</v>
      </c>
      <c r="AW8" s="12"/>
      <c r="AX8" s="82" t="s">
        <v>203</v>
      </c>
      <c r="AY8" s="82" t="s">
        <v>203</v>
      </c>
      <c r="AZ8" s="82" t="s">
        <v>203</v>
      </c>
      <c r="BA8" s="82" t="s">
        <v>203</v>
      </c>
      <c r="BB8" s="82" t="s">
        <v>203</v>
      </c>
      <c r="BC8" s="70" t="s">
        <v>203</v>
      </c>
      <c r="BD8" s="12"/>
      <c r="BE8" s="70" t="s">
        <v>203</v>
      </c>
      <c r="BF8" s="70" t="s">
        <v>203</v>
      </c>
      <c r="BG8" s="70" t="s">
        <v>203</v>
      </c>
      <c r="BH8" s="74"/>
      <c r="BI8" s="74"/>
      <c r="BJ8" s="74"/>
      <c r="BK8" s="12"/>
      <c r="BL8" s="74"/>
      <c r="BM8" s="74"/>
      <c r="BN8" s="74"/>
      <c r="BO8" s="74"/>
      <c r="BP8" s="74"/>
      <c r="BQ8" s="74"/>
      <c r="BR8" s="12"/>
      <c r="BS8" s="74"/>
      <c r="BT8" s="74"/>
      <c r="BU8" s="74"/>
      <c r="BV8" s="74"/>
    </row>
    <row r="9">
      <c r="A9" s="65">
        <v>6.0</v>
      </c>
      <c r="B9" s="43" t="s">
        <v>182</v>
      </c>
      <c r="C9" s="43" t="s">
        <v>183</v>
      </c>
      <c r="D9" s="66">
        <f t="shared" si="2"/>
        <v>45</v>
      </c>
      <c r="E9" s="66">
        <f t="shared" si="3"/>
        <v>0</v>
      </c>
      <c r="F9" s="66">
        <f t="shared" si="4"/>
        <v>45</v>
      </c>
      <c r="G9" s="69">
        <f t="shared" si="5"/>
        <v>100</v>
      </c>
      <c r="H9" s="70" t="s">
        <v>203</v>
      </c>
      <c r="I9" s="70" t="s">
        <v>203</v>
      </c>
      <c r="J9" s="70" t="s">
        <v>203</v>
      </c>
      <c r="K9" s="70" t="s">
        <v>203</v>
      </c>
      <c r="L9" s="70" t="s">
        <v>203</v>
      </c>
      <c r="M9" s="70" t="s">
        <v>203</v>
      </c>
      <c r="N9" s="12"/>
      <c r="O9" s="70" t="s">
        <v>203</v>
      </c>
      <c r="P9" s="70" t="s">
        <v>203</v>
      </c>
      <c r="Q9" s="70" t="s">
        <v>203</v>
      </c>
      <c r="R9" s="70" t="s">
        <v>203</v>
      </c>
      <c r="S9" s="70" t="s">
        <v>203</v>
      </c>
      <c r="T9" s="70" t="s">
        <v>203</v>
      </c>
      <c r="U9" s="12"/>
      <c r="V9" s="70" t="s">
        <v>203</v>
      </c>
      <c r="W9" s="70" t="s">
        <v>203</v>
      </c>
      <c r="X9" s="70" t="s">
        <v>203</v>
      </c>
      <c r="Y9" s="70" t="s">
        <v>203</v>
      </c>
      <c r="Z9" s="70" t="s">
        <v>203</v>
      </c>
      <c r="AA9" s="70" t="s">
        <v>203</v>
      </c>
      <c r="AB9" s="12"/>
      <c r="AC9" s="70" t="s">
        <v>203</v>
      </c>
      <c r="AD9" s="70" t="s">
        <v>203</v>
      </c>
      <c r="AE9" s="70" t="s">
        <v>203</v>
      </c>
      <c r="AF9" s="70" t="s">
        <v>203</v>
      </c>
      <c r="AG9" s="70" t="s">
        <v>203</v>
      </c>
      <c r="AH9" s="70" t="s">
        <v>203</v>
      </c>
      <c r="AI9" s="12"/>
      <c r="AJ9" s="70" t="s">
        <v>203</v>
      </c>
      <c r="AK9" s="70" t="s">
        <v>203</v>
      </c>
      <c r="AL9" s="70" t="s">
        <v>203</v>
      </c>
      <c r="AM9" s="70" t="s">
        <v>203</v>
      </c>
      <c r="AN9" s="70" t="s">
        <v>203</v>
      </c>
      <c r="AO9" s="70" t="s">
        <v>203</v>
      </c>
      <c r="AP9" s="12"/>
      <c r="AQ9" s="70" t="s">
        <v>203</v>
      </c>
      <c r="AR9" s="70" t="s">
        <v>203</v>
      </c>
      <c r="AS9" s="70" t="s">
        <v>203</v>
      </c>
      <c r="AT9" s="70" t="s">
        <v>203</v>
      </c>
      <c r="AU9" s="70" t="s">
        <v>203</v>
      </c>
      <c r="AV9" s="70" t="s">
        <v>203</v>
      </c>
      <c r="AW9" s="12"/>
      <c r="AX9" s="70" t="s">
        <v>203</v>
      </c>
      <c r="AY9" s="70" t="s">
        <v>203</v>
      </c>
      <c r="AZ9" s="70" t="s">
        <v>203</v>
      </c>
      <c r="BA9" s="70" t="s">
        <v>203</v>
      </c>
      <c r="BB9" s="70" t="s">
        <v>203</v>
      </c>
      <c r="BC9" s="70" t="s">
        <v>203</v>
      </c>
      <c r="BD9" s="12"/>
      <c r="BE9" s="70" t="s">
        <v>203</v>
      </c>
      <c r="BF9" s="70" t="s">
        <v>203</v>
      </c>
      <c r="BG9" s="70" t="s">
        <v>203</v>
      </c>
      <c r="BH9" s="74"/>
      <c r="BI9" s="74"/>
      <c r="BJ9" s="74"/>
      <c r="BK9" s="12"/>
      <c r="BL9" s="74"/>
      <c r="BM9" s="74"/>
      <c r="BN9" s="74"/>
      <c r="BO9" s="74"/>
      <c r="BP9" s="74"/>
      <c r="BQ9" s="74"/>
      <c r="BR9" s="12"/>
      <c r="BS9" s="74"/>
      <c r="BT9" s="74"/>
      <c r="BU9" s="74"/>
      <c r="BV9" s="74"/>
    </row>
    <row r="10">
      <c r="A10" s="65">
        <v>7.0</v>
      </c>
      <c r="B10" s="87" t="s">
        <v>373</v>
      </c>
      <c r="C10" s="87" t="s">
        <v>376</v>
      </c>
      <c r="D10" s="66">
        <f t="shared" si="2"/>
        <v>0</v>
      </c>
      <c r="E10" s="66">
        <f t="shared" si="3"/>
        <v>45</v>
      </c>
      <c r="F10" s="66">
        <f t="shared" si="4"/>
        <v>45</v>
      </c>
      <c r="G10" s="69">
        <f t="shared" si="5"/>
        <v>0</v>
      </c>
      <c r="H10" s="70" t="s">
        <v>380</v>
      </c>
      <c r="I10" s="70" t="s">
        <v>380</v>
      </c>
      <c r="J10" s="70" t="s">
        <v>380</v>
      </c>
      <c r="K10" s="70" t="s">
        <v>380</v>
      </c>
      <c r="L10" s="70" t="s">
        <v>380</v>
      </c>
      <c r="M10" s="70" t="s">
        <v>380</v>
      </c>
      <c r="N10" s="12"/>
      <c r="O10" s="70" t="s">
        <v>380</v>
      </c>
      <c r="P10" s="70" t="s">
        <v>380</v>
      </c>
      <c r="Q10" s="70" t="s">
        <v>380</v>
      </c>
      <c r="R10" s="70" t="s">
        <v>380</v>
      </c>
      <c r="S10" s="70" t="s">
        <v>380</v>
      </c>
      <c r="T10" s="70" t="s">
        <v>380</v>
      </c>
      <c r="U10" s="12"/>
      <c r="V10" s="70" t="s">
        <v>380</v>
      </c>
      <c r="W10" s="70" t="s">
        <v>380</v>
      </c>
      <c r="X10" s="70" t="s">
        <v>380</v>
      </c>
      <c r="Y10" s="70" t="s">
        <v>380</v>
      </c>
      <c r="Z10" s="70" t="s">
        <v>380</v>
      </c>
      <c r="AA10" s="70" t="s">
        <v>132</v>
      </c>
      <c r="AB10" s="12"/>
      <c r="AC10" s="70" t="s">
        <v>132</v>
      </c>
      <c r="AD10" s="70" t="s">
        <v>132</v>
      </c>
      <c r="AE10" s="70" t="s">
        <v>132</v>
      </c>
      <c r="AF10" s="70" t="s">
        <v>132</v>
      </c>
      <c r="AG10" s="70" t="s">
        <v>132</v>
      </c>
      <c r="AH10" s="70" t="s">
        <v>132</v>
      </c>
      <c r="AI10" s="12"/>
      <c r="AJ10" s="70" t="s">
        <v>132</v>
      </c>
      <c r="AK10" s="70" t="s">
        <v>132</v>
      </c>
      <c r="AL10" s="70" t="s">
        <v>132</v>
      </c>
      <c r="AM10" s="70" t="s">
        <v>132</v>
      </c>
      <c r="AN10" s="70" t="s">
        <v>132</v>
      </c>
      <c r="AO10" s="70" t="s">
        <v>132</v>
      </c>
      <c r="AP10" s="12"/>
      <c r="AQ10" s="70" t="s">
        <v>132</v>
      </c>
      <c r="AR10" s="70" t="s">
        <v>132</v>
      </c>
      <c r="AS10" s="70" t="s">
        <v>132</v>
      </c>
      <c r="AT10" s="70" t="s">
        <v>132</v>
      </c>
      <c r="AU10" s="70" t="s">
        <v>132</v>
      </c>
      <c r="AV10" s="70" t="s">
        <v>132</v>
      </c>
      <c r="AW10" s="12"/>
      <c r="AX10" s="70" t="s">
        <v>132</v>
      </c>
      <c r="AY10" s="70" t="s">
        <v>132</v>
      </c>
      <c r="AZ10" s="70" t="s">
        <v>132</v>
      </c>
      <c r="BA10" s="70" t="s">
        <v>132</v>
      </c>
      <c r="BB10" s="70" t="s">
        <v>132</v>
      </c>
      <c r="BC10" s="70" t="s">
        <v>132</v>
      </c>
      <c r="BD10" s="12"/>
      <c r="BE10" s="70" t="s">
        <v>132</v>
      </c>
      <c r="BF10" s="70" t="s">
        <v>132</v>
      </c>
      <c r="BG10" s="70" t="s">
        <v>132</v>
      </c>
      <c r="BH10" s="74"/>
      <c r="BI10" s="74"/>
      <c r="BJ10" s="74"/>
      <c r="BK10" s="12"/>
      <c r="BL10" s="74"/>
      <c r="BM10" s="74"/>
      <c r="BN10" s="74"/>
      <c r="BO10" s="74"/>
      <c r="BP10" s="74"/>
      <c r="BQ10" s="74"/>
      <c r="BR10" s="12"/>
      <c r="BS10" s="74"/>
      <c r="BT10" s="74"/>
      <c r="BU10" s="74"/>
      <c r="BV10" s="74"/>
    </row>
    <row r="11">
      <c r="A11" s="65">
        <v>8.0</v>
      </c>
      <c r="B11" s="43" t="s">
        <v>350</v>
      </c>
      <c r="C11" s="43" t="s">
        <v>352</v>
      </c>
      <c r="D11" s="66">
        <f t="shared" si="2"/>
        <v>43</v>
      </c>
      <c r="E11" s="66">
        <f t="shared" si="3"/>
        <v>2</v>
      </c>
      <c r="F11" s="66">
        <f t="shared" si="4"/>
        <v>45</v>
      </c>
      <c r="G11" s="69">
        <f t="shared" si="5"/>
        <v>95.55555556</v>
      </c>
      <c r="H11" s="70" t="s">
        <v>203</v>
      </c>
      <c r="I11" s="70" t="s">
        <v>203</v>
      </c>
      <c r="J11" s="70" t="s">
        <v>203</v>
      </c>
      <c r="K11" s="70" t="s">
        <v>203</v>
      </c>
      <c r="L11" s="70" t="s">
        <v>203</v>
      </c>
      <c r="M11" s="70" t="s">
        <v>132</v>
      </c>
      <c r="N11" s="12"/>
      <c r="O11" s="70" t="s">
        <v>203</v>
      </c>
      <c r="P11" s="70" t="s">
        <v>203</v>
      </c>
      <c r="Q11" s="70" t="s">
        <v>203</v>
      </c>
      <c r="R11" s="70" t="s">
        <v>203</v>
      </c>
      <c r="S11" s="70" t="s">
        <v>203</v>
      </c>
      <c r="T11" s="70" t="s">
        <v>203</v>
      </c>
      <c r="U11" s="12"/>
      <c r="V11" s="70" t="s">
        <v>203</v>
      </c>
      <c r="W11" s="70" t="s">
        <v>203</v>
      </c>
      <c r="X11" s="70" t="s">
        <v>203</v>
      </c>
      <c r="Y11" s="70" t="s">
        <v>203</v>
      </c>
      <c r="Z11" s="70" t="s">
        <v>203</v>
      </c>
      <c r="AA11" s="70" t="s">
        <v>203</v>
      </c>
      <c r="AB11" s="12"/>
      <c r="AC11" s="70" t="s">
        <v>203</v>
      </c>
      <c r="AD11" s="70" t="s">
        <v>203</v>
      </c>
      <c r="AE11" s="70" t="s">
        <v>203</v>
      </c>
      <c r="AF11" s="70" t="s">
        <v>203</v>
      </c>
      <c r="AG11" s="70" t="s">
        <v>203</v>
      </c>
      <c r="AH11" s="70" t="s">
        <v>203</v>
      </c>
      <c r="AI11" s="12"/>
      <c r="AJ11" s="70" t="s">
        <v>203</v>
      </c>
      <c r="AK11" s="70" t="s">
        <v>203</v>
      </c>
      <c r="AL11" s="70" t="s">
        <v>203</v>
      </c>
      <c r="AM11" s="70" t="s">
        <v>203</v>
      </c>
      <c r="AN11" s="70" t="s">
        <v>203</v>
      </c>
      <c r="AO11" s="70" t="s">
        <v>203</v>
      </c>
      <c r="AP11" s="12"/>
      <c r="AQ11" s="70" t="s">
        <v>203</v>
      </c>
      <c r="AR11" s="70" t="s">
        <v>203</v>
      </c>
      <c r="AS11" s="70" t="s">
        <v>203</v>
      </c>
      <c r="AT11" s="70" t="s">
        <v>203</v>
      </c>
      <c r="AU11" s="70" t="s">
        <v>132</v>
      </c>
      <c r="AV11" s="70" t="s">
        <v>203</v>
      </c>
      <c r="AW11" s="12"/>
      <c r="AX11" s="70" t="s">
        <v>203</v>
      </c>
      <c r="AY11" s="70" t="s">
        <v>203</v>
      </c>
      <c r="AZ11" s="70" t="s">
        <v>203</v>
      </c>
      <c r="BA11" s="70" t="s">
        <v>203</v>
      </c>
      <c r="BB11" s="70" t="s">
        <v>203</v>
      </c>
      <c r="BC11" s="70" t="s">
        <v>203</v>
      </c>
      <c r="BD11" s="12"/>
      <c r="BE11" s="70" t="s">
        <v>203</v>
      </c>
      <c r="BF11" s="70" t="s">
        <v>203</v>
      </c>
      <c r="BG11" s="70" t="s">
        <v>203</v>
      </c>
      <c r="BH11" s="74"/>
      <c r="BI11" s="74"/>
      <c r="BJ11" s="74"/>
      <c r="BK11" s="12"/>
      <c r="BL11" s="74"/>
      <c r="BM11" s="74"/>
      <c r="BN11" s="74"/>
      <c r="BO11" s="74"/>
      <c r="BP11" s="74"/>
      <c r="BQ11" s="74"/>
      <c r="BR11" s="12"/>
      <c r="BS11" s="74"/>
      <c r="BT11" s="74"/>
      <c r="BU11" s="74"/>
      <c r="BV11" s="74"/>
    </row>
    <row r="12">
      <c r="A12" s="65">
        <v>9.0</v>
      </c>
      <c r="B12" s="43" t="s">
        <v>197</v>
      </c>
      <c r="C12" s="43" t="s">
        <v>199</v>
      </c>
      <c r="D12" s="66">
        <f t="shared" si="2"/>
        <v>45</v>
      </c>
      <c r="E12" s="66">
        <f t="shared" si="3"/>
        <v>0</v>
      </c>
      <c r="F12" s="66">
        <f t="shared" si="4"/>
        <v>45</v>
      </c>
      <c r="G12" s="69">
        <f t="shared" si="5"/>
        <v>100</v>
      </c>
      <c r="H12" s="70" t="s">
        <v>247</v>
      </c>
      <c r="I12" s="70" t="s">
        <v>247</v>
      </c>
      <c r="J12" s="70" t="s">
        <v>247</v>
      </c>
      <c r="K12" s="70" t="s">
        <v>247</v>
      </c>
      <c r="L12" s="70" t="s">
        <v>247</v>
      </c>
      <c r="M12" s="70" t="s">
        <v>247</v>
      </c>
      <c r="N12" s="12"/>
      <c r="O12" s="70" t="s">
        <v>247</v>
      </c>
      <c r="P12" s="70" t="s">
        <v>203</v>
      </c>
      <c r="Q12" s="70" t="s">
        <v>203</v>
      </c>
      <c r="R12" s="70" t="s">
        <v>203</v>
      </c>
      <c r="S12" s="70" t="s">
        <v>203</v>
      </c>
      <c r="T12" s="70" t="s">
        <v>203</v>
      </c>
      <c r="U12" s="12"/>
      <c r="V12" s="70" t="s">
        <v>203</v>
      </c>
      <c r="W12" s="70" t="s">
        <v>203</v>
      </c>
      <c r="X12" s="70" t="s">
        <v>203</v>
      </c>
      <c r="Y12" s="70" t="s">
        <v>203</v>
      </c>
      <c r="Z12" s="70" t="s">
        <v>203</v>
      </c>
      <c r="AA12" s="70" t="s">
        <v>203</v>
      </c>
      <c r="AB12" s="12"/>
      <c r="AC12" s="70" t="s">
        <v>203</v>
      </c>
      <c r="AD12" s="70" t="s">
        <v>203</v>
      </c>
      <c r="AE12" s="70" t="s">
        <v>203</v>
      </c>
      <c r="AF12" s="70" t="s">
        <v>203</v>
      </c>
      <c r="AG12" s="70" t="s">
        <v>203</v>
      </c>
      <c r="AH12" s="70" t="s">
        <v>203</v>
      </c>
      <c r="AI12" s="12"/>
      <c r="AJ12" s="70" t="s">
        <v>203</v>
      </c>
      <c r="AK12" s="70" t="s">
        <v>203</v>
      </c>
      <c r="AL12" s="70" t="s">
        <v>203</v>
      </c>
      <c r="AM12" s="70" t="s">
        <v>203</v>
      </c>
      <c r="AN12" s="70" t="s">
        <v>247</v>
      </c>
      <c r="AO12" s="70" t="s">
        <v>247</v>
      </c>
      <c r="AP12" s="12"/>
      <c r="AQ12" s="70" t="s">
        <v>247</v>
      </c>
      <c r="AR12" s="70" t="s">
        <v>247</v>
      </c>
      <c r="AS12" s="70" t="s">
        <v>247</v>
      </c>
      <c r="AT12" s="70" t="s">
        <v>247</v>
      </c>
      <c r="AU12" s="70" t="s">
        <v>247</v>
      </c>
      <c r="AV12" s="70" t="s">
        <v>247</v>
      </c>
      <c r="AW12" s="12"/>
      <c r="AX12" s="70" t="s">
        <v>247</v>
      </c>
      <c r="AY12" s="70" t="s">
        <v>247</v>
      </c>
      <c r="AZ12" s="70" t="s">
        <v>247</v>
      </c>
      <c r="BA12" s="70" t="s">
        <v>247</v>
      </c>
      <c r="BB12" s="70" t="s">
        <v>247</v>
      </c>
      <c r="BC12" s="70" t="s">
        <v>247</v>
      </c>
      <c r="BD12" s="12"/>
      <c r="BE12" s="70" t="s">
        <v>247</v>
      </c>
      <c r="BF12" s="70" t="s">
        <v>247</v>
      </c>
      <c r="BG12" s="70" t="s">
        <v>247</v>
      </c>
      <c r="BH12" s="74"/>
      <c r="BI12" s="74"/>
      <c r="BJ12" s="74"/>
      <c r="BK12" s="12"/>
      <c r="BL12" s="74"/>
      <c r="BM12" s="74"/>
      <c r="BN12" s="74"/>
      <c r="BO12" s="74"/>
      <c r="BP12" s="74"/>
      <c r="BQ12" s="74"/>
      <c r="BR12" s="12"/>
      <c r="BS12" s="74"/>
      <c r="BT12" s="74"/>
      <c r="BU12" s="74"/>
      <c r="BV12" s="74"/>
    </row>
    <row r="13">
      <c r="A13" s="65">
        <v>10.0</v>
      </c>
      <c r="B13" s="43" t="s">
        <v>399</v>
      </c>
      <c r="C13" s="43" t="s">
        <v>400</v>
      </c>
      <c r="D13" s="66">
        <f t="shared" si="2"/>
        <v>45</v>
      </c>
      <c r="E13" s="66">
        <f t="shared" si="3"/>
        <v>0</v>
      </c>
      <c r="F13" s="66">
        <f t="shared" si="4"/>
        <v>45</v>
      </c>
      <c r="G13" s="69">
        <f t="shared" si="5"/>
        <v>100</v>
      </c>
      <c r="H13" s="70" t="s">
        <v>203</v>
      </c>
      <c r="I13" s="70" t="s">
        <v>203</v>
      </c>
      <c r="J13" s="70" t="s">
        <v>203</v>
      </c>
      <c r="K13" s="70" t="s">
        <v>203</v>
      </c>
      <c r="L13" s="70" t="s">
        <v>203</v>
      </c>
      <c r="M13" s="70" t="s">
        <v>203</v>
      </c>
      <c r="N13" s="12"/>
      <c r="O13" s="70" t="s">
        <v>203</v>
      </c>
      <c r="P13" s="70" t="s">
        <v>203</v>
      </c>
      <c r="Q13" s="70" t="s">
        <v>203</v>
      </c>
      <c r="R13" s="70" t="s">
        <v>203</v>
      </c>
      <c r="S13" s="70" t="s">
        <v>203</v>
      </c>
      <c r="T13" s="70" t="s">
        <v>203</v>
      </c>
      <c r="U13" s="12"/>
      <c r="V13" s="70" t="s">
        <v>203</v>
      </c>
      <c r="W13" s="70" t="s">
        <v>203</v>
      </c>
      <c r="X13" s="70" t="s">
        <v>203</v>
      </c>
      <c r="Y13" s="70" t="s">
        <v>203</v>
      </c>
      <c r="Z13" s="70" t="s">
        <v>203</v>
      </c>
      <c r="AA13" s="70" t="s">
        <v>203</v>
      </c>
      <c r="AB13" s="12"/>
      <c r="AC13" s="70" t="s">
        <v>203</v>
      </c>
      <c r="AD13" s="70" t="s">
        <v>203</v>
      </c>
      <c r="AE13" s="70" t="s">
        <v>203</v>
      </c>
      <c r="AF13" s="70" t="s">
        <v>203</v>
      </c>
      <c r="AG13" s="70" t="s">
        <v>203</v>
      </c>
      <c r="AH13" s="70" t="s">
        <v>203</v>
      </c>
      <c r="AI13" s="12"/>
      <c r="AJ13" s="70" t="s">
        <v>203</v>
      </c>
      <c r="AK13" s="70" t="s">
        <v>203</v>
      </c>
      <c r="AL13" s="70" t="s">
        <v>203</v>
      </c>
      <c r="AM13" s="70" t="s">
        <v>203</v>
      </c>
      <c r="AN13" s="70" t="s">
        <v>203</v>
      </c>
      <c r="AO13" s="70" t="s">
        <v>203</v>
      </c>
      <c r="AP13" s="12"/>
      <c r="AQ13" s="70" t="s">
        <v>203</v>
      </c>
      <c r="AR13" s="70" t="s">
        <v>203</v>
      </c>
      <c r="AS13" s="70" t="s">
        <v>203</v>
      </c>
      <c r="AT13" s="70" t="s">
        <v>203</v>
      </c>
      <c r="AU13" s="70" t="s">
        <v>203</v>
      </c>
      <c r="AV13" s="70" t="s">
        <v>203</v>
      </c>
      <c r="AW13" s="12"/>
      <c r="AX13" s="70" t="s">
        <v>203</v>
      </c>
      <c r="AY13" s="70" t="s">
        <v>203</v>
      </c>
      <c r="AZ13" s="70" t="s">
        <v>203</v>
      </c>
      <c r="BA13" s="70" t="s">
        <v>203</v>
      </c>
      <c r="BB13" s="70" t="s">
        <v>203</v>
      </c>
      <c r="BC13" s="70" t="s">
        <v>203</v>
      </c>
      <c r="BD13" s="12"/>
      <c r="BE13" s="70" t="s">
        <v>203</v>
      </c>
      <c r="BF13" s="70" t="s">
        <v>203</v>
      </c>
      <c r="BG13" s="70" t="s">
        <v>203</v>
      </c>
      <c r="BH13" s="74"/>
      <c r="BI13" s="74"/>
      <c r="BJ13" s="74"/>
      <c r="BK13" s="12"/>
      <c r="BL13" s="74"/>
      <c r="BM13" s="74"/>
      <c r="BN13" s="74"/>
      <c r="BO13" s="74"/>
      <c r="BP13" s="74"/>
      <c r="BQ13" s="74"/>
      <c r="BR13" s="12"/>
      <c r="BS13" s="74"/>
      <c r="BT13" s="74"/>
      <c r="BU13" s="74"/>
      <c r="BV13" s="74"/>
    </row>
    <row r="14">
      <c r="A14" s="65">
        <v>11.0</v>
      </c>
      <c r="B14" s="43" t="s">
        <v>466</v>
      </c>
      <c r="C14" s="43" t="s">
        <v>467</v>
      </c>
      <c r="D14" s="66">
        <f t="shared" si="2"/>
        <v>45</v>
      </c>
      <c r="E14" s="66">
        <f t="shared" si="3"/>
        <v>0</v>
      </c>
      <c r="F14" s="66">
        <f t="shared" si="4"/>
        <v>45</v>
      </c>
      <c r="G14" s="69">
        <f t="shared" si="5"/>
        <v>100</v>
      </c>
      <c r="H14" s="70" t="s">
        <v>203</v>
      </c>
      <c r="I14" s="70" t="s">
        <v>203</v>
      </c>
      <c r="J14" s="70" t="s">
        <v>203</v>
      </c>
      <c r="K14" s="70" t="s">
        <v>203</v>
      </c>
      <c r="L14" s="70" t="s">
        <v>203</v>
      </c>
      <c r="M14" s="70" t="s">
        <v>203</v>
      </c>
      <c r="N14" s="12"/>
      <c r="O14" s="70" t="s">
        <v>203</v>
      </c>
      <c r="P14" s="70" t="s">
        <v>203</v>
      </c>
      <c r="Q14" s="70" t="s">
        <v>203</v>
      </c>
      <c r="R14" s="70" t="s">
        <v>203</v>
      </c>
      <c r="S14" s="70" t="s">
        <v>247</v>
      </c>
      <c r="T14" s="70" t="s">
        <v>247</v>
      </c>
      <c r="U14" s="12"/>
      <c r="V14" s="70" t="s">
        <v>247</v>
      </c>
      <c r="W14" s="70" t="s">
        <v>247</v>
      </c>
      <c r="X14" s="70" t="s">
        <v>247</v>
      </c>
      <c r="Y14" s="70" t="s">
        <v>247</v>
      </c>
      <c r="Z14" s="70" t="s">
        <v>247</v>
      </c>
      <c r="AA14" s="70" t="s">
        <v>247</v>
      </c>
      <c r="AB14" s="12"/>
      <c r="AC14" s="70" t="s">
        <v>247</v>
      </c>
      <c r="AD14" s="70" t="s">
        <v>247</v>
      </c>
      <c r="AE14" s="70" t="s">
        <v>247</v>
      </c>
      <c r="AF14" s="70" t="s">
        <v>247</v>
      </c>
      <c r="AG14" s="70" t="s">
        <v>247</v>
      </c>
      <c r="AH14" s="70" t="s">
        <v>247</v>
      </c>
      <c r="AI14" s="12"/>
      <c r="AJ14" s="70" t="s">
        <v>203</v>
      </c>
      <c r="AK14" s="70" t="s">
        <v>247</v>
      </c>
      <c r="AL14" s="70" t="s">
        <v>247</v>
      </c>
      <c r="AM14" s="70" t="s">
        <v>203</v>
      </c>
      <c r="AN14" s="70" t="s">
        <v>203</v>
      </c>
      <c r="AO14" s="70" t="s">
        <v>203</v>
      </c>
      <c r="AP14" s="12"/>
      <c r="AQ14" s="70" t="s">
        <v>203</v>
      </c>
      <c r="AR14" s="70" t="s">
        <v>203</v>
      </c>
      <c r="AS14" s="70" t="s">
        <v>203</v>
      </c>
      <c r="AT14" s="70" t="s">
        <v>261</v>
      </c>
      <c r="AU14" s="70" t="s">
        <v>261</v>
      </c>
      <c r="AV14" s="70" t="s">
        <v>261</v>
      </c>
      <c r="AW14" s="12"/>
      <c r="AX14" s="70" t="s">
        <v>247</v>
      </c>
      <c r="AY14" s="70" t="s">
        <v>247</v>
      </c>
      <c r="AZ14" s="70" t="s">
        <v>247</v>
      </c>
      <c r="BA14" s="70" t="s">
        <v>247</v>
      </c>
      <c r="BB14" s="70" t="s">
        <v>247</v>
      </c>
      <c r="BC14" s="70" t="s">
        <v>247</v>
      </c>
      <c r="BD14" s="12"/>
      <c r="BE14" s="70" t="s">
        <v>247</v>
      </c>
      <c r="BF14" s="70" t="s">
        <v>247</v>
      </c>
      <c r="BG14" s="70" t="s">
        <v>247</v>
      </c>
      <c r="BH14" s="74"/>
      <c r="BI14" s="74"/>
      <c r="BJ14" s="74"/>
      <c r="BK14" s="12"/>
      <c r="BL14" s="74"/>
      <c r="BM14" s="74"/>
      <c r="BN14" s="74"/>
      <c r="BO14" s="74"/>
      <c r="BP14" s="74"/>
      <c r="BQ14" s="74"/>
      <c r="BR14" s="12"/>
      <c r="BS14" s="74"/>
      <c r="BT14" s="74"/>
      <c r="BU14" s="74"/>
      <c r="BV14" s="74"/>
    </row>
    <row r="15">
      <c r="A15" s="65">
        <v>12.0</v>
      </c>
      <c r="B15" s="43" t="s">
        <v>294</v>
      </c>
      <c r="C15" s="43" t="s">
        <v>295</v>
      </c>
      <c r="D15" s="66">
        <f t="shared" si="2"/>
        <v>44</v>
      </c>
      <c r="E15" s="66">
        <f t="shared" si="3"/>
        <v>1</v>
      </c>
      <c r="F15" s="66">
        <f t="shared" si="4"/>
        <v>45</v>
      </c>
      <c r="G15" s="69">
        <f t="shared" si="5"/>
        <v>97.77777778</v>
      </c>
      <c r="H15" s="70" t="s">
        <v>203</v>
      </c>
      <c r="I15" s="70" t="s">
        <v>203</v>
      </c>
      <c r="J15" s="70" t="s">
        <v>203</v>
      </c>
      <c r="K15" s="70" t="s">
        <v>247</v>
      </c>
      <c r="L15" s="70" t="s">
        <v>247</v>
      </c>
      <c r="M15" s="70" t="s">
        <v>247</v>
      </c>
      <c r="N15" s="12"/>
      <c r="O15" s="70" t="s">
        <v>203</v>
      </c>
      <c r="P15" s="70" t="s">
        <v>203</v>
      </c>
      <c r="Q15" s="70" t="s">
        <v>203</v>
      </c>
      <c r="R15" s="70" t="s">
        <v>203</v>
      </c>
      <c r="S15" s="70" t="s">
        <v>203</v>
      </c>
      <c r="T15" s="70" t="s">
        <v>203</v>
      </c>
      <c r="U15" s="12"/>
      <c r="V15" s="70" t="s">
        <v>203</v>
      </c>
      <c r="W15" s="70" t="s">
        <v>203</v>
      </c>
      <c r="X15" s="70" t="s">
        <v>203</v>
      </c>
      <c r="Y15" s="70" t="s">
        <v>203</v>
      </c>
      <c r="Z15" s="70" t="s">
        <v>132</v>
      </c>
      <c r="AA15" s="70" t="s">
        <v>203</v>
      </c>
      <c r="AB15" s="12"/>
      <c r="AC15" s="70" t="s">
        <v>203</v>
      </c>
      <c r="AD15" s="70" t="s">
        <v>203</v>
      </c>
      <c r="AE15" s="70" t="s">
        <v>203</v>
      </c>
      <c r="AF15" s="70" t="s">
        <v>203</v>
      </c>
      <c r="AG15" s="70" t="s">
        <v>203</v>
      </c>
      <c r="AH15" s="70" t="s">
        <v>203</v>
      </c>
      <c r="AI15" s="12"/>
      <c r="AJ15" s="70" t="s">
        <v>203</v>
      </c>
      <c r="AK15" s="70" t="s">
        <v>203</v>
      </c>
      <c r="AL15" s="70" t="s">
        <v>203</v>
      </c>
      <c r="AM15" s="70" t="s">
        <v>203</v>
      </c>
      <c r="AN15" s="70" t="s">
        <v>203</v>
      </c>
      <c r="AO15" s="70" t="s">
        <v>203</v>
      </c>
      <c r="AP15" s="12"/>
      <c r="AQ15" s="70" t="s">
        <v>203</v>
      </c>
      <c r="AR15" s="70" t="s">
        <v>203</v>
      </c>
      <c r="AS15" s="70" t="s">
        <v>203</v>
      </c>
      <c r="AT15" s="70" t="s">
        <v>203</v>
      </c>
      <c r="AU15" s="70" t="s">
        <v>203</v>
      </c>
      <c r="AV15" s="70" t="s">
        <v>203</v>
      </c>
      <c r="AW15" s="12"/>
      <c r="AX15" s="70" t="s">
        <v>203</v>
      </c>
      <c r="AY15" s="70" t="s">
        <v>203</v>
      </c>
      <c r="AZ15" s="70" t="s">
        <v>203</v>
      </c>
      <c r="BA15" s="70" t="s">
        <v>203</v>
      </c>
      <c r="BB15" s="70" t="s">
        <v>203</v>
      </c>
      <c r="BC15" s="70" t="s">
        <v>203</v>
      </c>
      <c r="BD15" s="12"/>
      <c r="BE15" s="70" t="s">
        <v>203</v>
      </c>
      <c r="BF15" s="70" t="s">
        <v>203</v>
      </c>
      <c r="BG15" s="70" t="s">
        <v>203</v>
      </c>
      <c r="BH15" s="74"/>
      <c r="BI15" s="74"/>
      <c r="BJ15" s="74"/>
      <c r="BK15" s="12"/>
      <c r="BL15" s="74"/>
      <c r="BM15" s="74"/>
      <c r="BN15" s="74"/>
      <c r="BO15" s="74"/>
      <c r="BP15" s="74"/>
      <c r="BQ15" s="74"/>
      <c r="BR15" s="12"/>
      <c r="BS15" s="74"/>
      <c r="BT15" s="74"/>
      <c r="BU15" s="74"/>
      <c r="BV15" s="74"/>
    </row>
    <row r="16">
      <c r="A16" s="65">
        <v>13.0</v>
      </c>
      <c r="B16" s="43" t="s">
        <v>401</v>
      </c>
      <c r="C16" s="43" t="s">
        <v>402</v>
      </c>
      <c r="D16" s="66">
        <f t="shared" si="2"/>
        <v>23</v>
      </c>
      <c r="E16" s="66">
        <f t="shared" si="3"/>
        <v>22</v>
      </c>
      <c r="F16" s="66">
        <f t="shared" si="4"/>
        <v>45</v>
      </c>
      <c r="G16" s="69">
        <f t="shared" si="5"/>
        <v>51.11111111</v>
      </c>
      <c r="H16" s="70" t="s">
        <v>132</v>
      </c>
      <c r="I16" s="70" t="s">
        <v>132</v>
      </c>
      <c r="J16" s="70" t="s">
        <v>132</v>
      </c>
      <c r="K16" s="70" t="s">
        <v>132</v>
      </c>
      <c r="L16" s="70" t="s">
        <v>132</v>
      </c>
      <c r="M16" s="70" t="s">
        <v>203</v>
      </c>
      <c r="N16" s="12"/>
      <c r="O16" s="70" t="s">
        <v>203</v>
      </c>
      <c r="P16" s="70" t="s">
        <v>132</v>
      </c>
      <c r="Q16" s="70" t="s">
        <v>203</v>
      </c>
      <c r="R16" s="70" t="s">
        <v>203</v>
      </c>
      <c r="S16" s="70" t="s">
        <v>203</v>
      </c>
      <c r="T16" s="70" t="s">
        <v>203</v>
      </c>
      <c r="U16" s="12"/>
      <c r="V16" s="70" t="s">
        <v>203</v>
      </c>
      <c r="W16" s="70" t="s">
        <v>203</v>
      </c>
      <c r="X16" s="70" t="s">
        <v>203</v>
      </c>
      <c r="Y16" s="70" t="s">
        <v>203</v>
      </c>
      <c r="Z16" s="70" t="s">
        <v>203</v>
      </c>
      <c r="AA16" s="70" t="s">
        <v>132</v>
      </c>
      <c r="AB16" s="12"/>
      <c r="AC16" s="70" t="s">
        <v>203</v>
      </c>
      <c r="AD16" s="70" t="s">
        <v>132</v>
      </c>
      <c r="AE16" s="70" t="s">
        <v>203</v>
      </c>
      <c r="AF16" s="70" t="s">
        <v>132</v>
      </c>
      <c r="AG16" s="70" t="s">
        <v>132</v>
      </c>
      <c r="AH16" s="70" t="s">
        <v>132</v>
      </c>
      <c r="AI16" s="12"/>
      <c r="AJ16" s="70" t="s">
        <v>203</v>
      </c>
      <c r="AK16" s="70" t="s">
        <v>203</v>
      </c>
      <c r="AL16" s="70" t="s">
        <v>203</v>
      </c>
      <c r="AM16" s="70" t="s">
        <v>132</v>
      </c>
      <c r="AN16" s="70" t="s">
        <v>203</v>
      </c>
      <c r="AO16" s="70" t="s">
        <v>132</v>
      </c>
      <c r="AP16" s="12"/>
      <c r="AQ16" s="70" t="s">
        <v>132</v>
      </c>
      <c r="AR16" s="70" t="s">
        <v>132</v>
      </c>
      <c r="AS16" s="70" t="s">
        <v>132</v>
      </c>
      <c r="AT16" s="70" t="s">
        <v>132</v>
      </c>
      <c r="AU16" s="70" t="s">
        <v>132</v>
      </c>
      <c r="AV16" s="70" t="s">
        <v>203</v>
      </c>
      <c r="AW16" s="12"/>
      <c r="AX16" s="70" t="s">
        <v>203</v>
      </c>
      <c r="AY16" s="70" t="s">
        <v>132</v>
      </c>
      <c r="AZ16" s="70" t="s">
        <v>203</v>
      </c>
      <c r="BA16" s="70" t="s">
        <v>203</v>
      </c>
      <c r="BB16" s="70" t="s">
        <v>203</v>
      </c>
      <c r="BC16" s="70" t="s">
        <v>203</v>
      </c>
      <c r="BD16" s="12"/>
      <c r="BE16" s="70" t="s">
        <v>132</v>
      </c>
      <c r="BF16" s="70" t="s">
        <v>132</v>
      </c>
      <c r="BG16" s="70" t="s">
        <v>132</v>
      </c>
      <c r="BH16" s="74"/>
      <c r="BI16" s="74"/>
      <c r="BJ16" s="74"/>
      <c r="BK16" s="12"/>
      <c r="BL16" s="74"/>
      <c r="BM16" s="74"/>
      <c r="BN16" s="74"/>
      <c r="BO16" s="74"/>
      <c r="BP16" s="74"/>
      <c r="BQ16" s="74"/>
      <c r="BR16" s="12"/>
      <c r="BS16" s="74"/>
      <c r="BT16" s="74"/>
      <c r="BU16" s="74"/>
      <c r="BV16" s="74"/>
    </row>
    <row r="17">
      <c r="A17" s="65">
        <v>14.0</v>
      </c>
      <c r="B17" s="43" t="s">
        <v>405</v>
      </c>
      <c r="C17" s="43" t="s">
        <v>406</v>
      </c>
      <c r="D17" s="66">
        <f t="shared" si="2"/>
        <v>34</v>
      </c>
      <c r="E17" s="66">
        <f t="shared" si="3"/>
        <v>11</v>
      </c>
      <c r="F17" s="66">
        <f t="shared" si="4"/>
        <v>45</v>
      </c>
      <c r="G17" s="69">
        <f t="shared" si="5"/>
        <v>75.55555556</v>
      </c>
      <c r="H17" s="70" t="s">
        <v>203</v>
      </c>
      <c r="I17" s="70" t="s">
        <v>203</v>
      </c>
      <c r="J17" s="70" t="s">
        <v>203</v>
      </c>
      <c r="K17" s="70" t="s">
        <v>203</v>
      </c>
      <c r="L17" s="70" t="s">
        <v>203</v>
      </c>
      <c r="M17" s="70" t="s">
        <v>203</v>
      </c>
      <c r="N17" s="12"/>
      <c r="O17" s="70" t="s">
        <v>203</v>
      </c>
      <c r="P17" s="70" t="s">
        <v>203</v>
      </c>
      <c r="Q17" s="70" t="s">
        <v>203</v>
      </c>
      <c r="R17" s="70" t="s">
        <v>203</v>
      </c>
      <c r="S17" s="70" t="s">
        <v>203</v>
      </c>
      <c r="T17" s="70" t="s">
        <v>203</v>
      </c>
      <c r="U17" s="12"/>
      <c r="V17" s="70" t="s">
        <v>132</v>
      </c>
      <c r="W17" s="70" t="s">
        <v>132</v>
      </c>
      <c r="X17" s="70" t="s">
        <v>203</v>
      </c>
      <c r="Y17" s="70" t="s">
        <v>203</v>
      </c>
      <c r="Z17" s="70" t="s">
        <v>203</v>
      </c>
      <c r="AA17" s="70" t="s">
        <v>203</v>
      </c>
      <c r="AB17" s="12"/>
      <c r="AC17" s="70" t="s">
        <v>203</v>
      </c>
      <c r="AD17" s="70" t="s">
        <v>203</v>
      </c>
      <c r="AE17" s="70" t="s">
        <v>132</v>
      </c>
      <c r="AF17" s="70" t="s">
        <v>203</v>
      </c>
      <c r="AG17" s="70" t="s">
        <v>203</v>
      </c>
      <c r="AH17" s="70" t="s">
        <v>132</v>
      </c>
      <c r="AI17" s="12"/>
      <c r="AJ17" s="70" t="s">
        <v>203</v>
      </c>
      <c r="AK17" s="70" t="s">
        <v>203</v>
      </c>
      <c r="AL17" s="70" t="s">
        <v>203</v>
      </c>
      <c r="AM17" s="70" t="s">
        <v>203</v>
      </c>
      <c r="AN17" s="70" t="s">
        <v>203</v>
      </c>
      <c r="AO17" s="70" t="s">
        <v>203</v>
      </c>
      <c r="AP17" s="12"/>
      <c r="AQ17" s="70" t="s">
        <v>203</v>
      </c>
      <c r="AR17" s="70" t="s">
        <v>203</v>
      </c>
      <c r="AS17" s="70" t="s">
        <v>203</v>
      </c>
      <c r="AT17" s="70" t="s">
        <v>132</v>
      </c>
      <c r="AU17" s="70" t="s">
        <v>132</v>
      </c>
      <c r="AV17" s="70" t="s">
        <v>203</v>
      </c>
      <c r="AW17" s="12"/>
      <c r="AX17" s="70" t="s">
        <v>203</v>
      </c>
      <c r="AY17" s="70" t="s">
        <v>132</v>
      </c>
      <c r="AZ17" s="70" t="s">
        <v>132</v>
      </c>
      <c r="BA17" s="70" t="s">
        <v>132</v>
      </c>
      <c r="BB17" s="70" t="s">
        <v>203</v>
      </c>
      <c r="BC17" s="70" t="s">
        <v>203</v>
      </c>
      <c r="BD17" s="12"/>
      <c r="BE17" s="70" t="s">
        <v>132</v>
      </c>
      <c r="BF17" s="70" t="s">
        <v>132</v>
      </c>
      <c r="BG17" s="70" t="s">
        <v>203</v>
      </c>
      <c r="BH17" s="74"/>
      <c r="BI17" s="74"/>
      <c r="BJ17" s="74"/>
      <c r="BK17" s="12"/>
      <c r="BL17" s="74"/>
      <c r="BM17" s="74"/>
      <c r="BN17" s="74"/>
      <c r="BO17" s="74"/>
      <c r="BP17" s="74"/>
      <c r="BQ17" s="74"/>
      <c r="BR17" s="12"/>
      <c r="BS17" s="74"/>
      <c r="BT17" s="74"/>
      <c r="BU17" s="74"/>
      <c r="BV17" s="74"/>
    </row>
    <row r="18">
      <c r="A18" s="65">
        <v>15.0</v>
      </c>
      <c r="B18" s="43" t="s">
        <v>222</v>
      </c>
      <c r="C18" s="43" t="s">
        <v>224</v>
      </c>
      <c r="D18" s="66">
        <f t="shared" si="2"/>
        <v>45</v>
      </c>
      <c r="E18" s="66">
        <f t="shared" si="3"/>
        <v>0</v>
      </c>
      <c r="F18" s="66">
        <f t="shared" si="4"/>
        <v>45</v>
      </c>
      <c r="G18" s="69">
        <f t="shared" si="5"/>
        <v>100</v>
      </c>
      <c r="H18" s="70" t="s">
        <v>247</v>
      </c>
      <c r="I18" s="70" t="s">
        <v>247</v>
      </c>
      <c r="J18" s="70" t="s">
        <v>247</v>
      </c>
      <c r="K18" s="70" t="s">
        <v>247</v>
      </c>
      <c r="L18" s="70" t="s">
        <v>247</v>
      </c>
      <c r="M18" s="70" t="s">
        <v>247</v>
      </c>
      <c r="N18" s="12"/>
      <c r="O18" s="70" t="s">
        <v>247</v>
      </c>
      <c r="P18" s="70" t="s">
        <v>247</v>
      </c>
      <c r="Q18" s="70" t="s">
        <v>247</v>
      </c>
      <c r="R18" s="70" t="s">
        <v>247</v>
      </c>
      <c r="S18" s="70" t="s">
        <v>247</v>
      </c>
      <c r="T18" s="70" t="s">
        <v>247</v>
      </c>
      <c r="U18" s="12"/>
      <c r="V18" s="70" t="s">
        <v>247</v>
      </c>
      <c r="W18" s="70" t="s">
        <v>247</v>
      </c>
      <c r="X18" s="70" t="s">
        <v>247</v>
      </c>
      <c r="Y18" s="70" t="s">
        <v>247</v>
      </c>
      <c r="Z18" s="70" t="s">
        <v>247</v>
      </c>
      <c r="AA18" s="70" t="s">
        <v>247</v>
      </c>
      <c r="AB18" s="12"/>
      <c r="AC18" s="70" t="s">
        <v>203</v>
      </c>
      <c r="AD18" s="70" t="s">
        <v>247</v>
      </c>
      <c r="AE18" s="70" t="s">
        <v>247</v>
      </c>
      <c r="AF18" s="70" t="s">
        <v>247</v>
      </c>
      <c r="AG18" s="70" t="s">
        <v>247</v>
      </c>
      <c r="AH18" s="70" t="s">
        <v>247</v>
      </c>
      <c r="AI18" s="12"/>
      <c r="AJ18" s="70" t="s">
        <v>247</v>
      </c>
      <c r="AK18" s="70" t="s">
        <v>247</v>
      </c>
      <c r="AL18" s="70" t="s">
        <v>247</v>
      </c>
      <c r="AM18" s="70" t="s">
        <v>247</v>
      </c>
      <c r="AN18" s="70" t="s">
        <v>247</v>
      </c>
      <c r="AO18" s="70" t="s">
        <v>247</v>
      </c>
      <c r="AP18" s="12"/>
      <c r="AQ18" s="70" t="s">
        <v>247</v>
      </c>
      <c r="AR18" s="70" t="s">
        <v>247</v>
      </c>
      <c r="AS18" s="70" t="s">
        <v>247</v>
      </c>
      <c r="AT18" s="70" t="s">
        <v>247</v>
      </c>
      <c r="AU18" s="70" t="s">
        <v>247</v>
      </c>
      <c r="AV18" s="70" t="s">
        <v>247</v>
      </c>
      <c r="AW18" s="12"/>
      <c r="AX18" s="70" t="s">
        <v>247</v>
      </c>
      <c r="AY18" s="70" t="s">
        <v>247</v>
      </c>
      <c r="AZ18" s="70" t="s">
        <v>247</v>
      </c>
      <c r="BA18" s="70" t="s">
        <v>203</v>
      </c>
      <c r="BB18" s="70" t="s">
        <v>203</v>
      </c>
      <c r="BC18" s="70" t="s">
        <v>203</v>
      </c>
      <c r="BD18" s="12"/>
      <c r="BE18" s="70" t="s">
        <v>203</v>
      </c>
      <c r="BF18" s="70" t="s">
        <v>203</v>
      </c>
      <c r="BG18" s="70" t="s">
        <v>203</v>
      </c>
      <c r="BH18" s="74"/>
      <c r="BI18" s="74"/>
      <c r="BJ18" s="74"/>
      <c r="BK18" s="12"/>
      <c r="BL18" s="74"/>
      <c r="BM18" s="74"/>
      <c r="BN18" s="74"/>
      <c r="BO18" s="74"/>
      <c r="BP18" s="74"/>
      <c r="BQ18" s="74"/>
      <c r="BR18" s="12"/>
      <c r="BS18" s="74"/>
      <c r="BT18" s="74"/>
      <c r="BU18" s="74"/>
      <c r="BV18" s="74"/>
    </row>
    <row r="19">
      <c r="A19" s="65">
        <v>16.0</v>
      </c>
      <c r="B19" s="43" t="s">
        <v>335</v>
      </c>
      <c r="C19" s="43" t="s">
        <v>336</v>
      </c>
      <c r="D19" s="66">
        <f t="shared" si="2"/>
        <v>33</v>
      </c>
      <c r="E19" s="66">
        <f t="shared" si="3"/>
        <v>12</v>
      </c>
      <c r="F19" s="66">
        <f t="shared" si="4"/>
        <v>45</v>
      </c>
      <c r="G19" s="69">
        <f t="shared" si="5"/>
        <v>73.33333333</v>
      </c>
      <c r="H19" s="70" t="s">
        <v>132</v>
      </c>
      <c r="I19" s="70" t="s">
        <v>132</v>
      </c>
      <c r="J19" s="70" t="s">
        <v>132</v>
      </c>
      <c r="K19" s="70" t="s">
        <v>203</v>
      </c>
      <c r="L19" s="70" t="s">
        <v>203</v>
      </c>
      <c r="M19" s="70" t="s">
        <v>203</v>
      </c>
      <c r="N19" s="12"/>
      <c r="O19" s="70" t="s">
        <v>203</v>
      </c>
      <c r="P19" s="70" t="s">
        <v>203</v>
      </c>
      <c r="Q19" s="70" t="s">
        <v>203</v>
      </c>
      <c r="R19" s="70" t="s">
        <v>203</v>
      </c>
      <c r="S19" s="70" t="s">
        <v>203</v>
      </c>
      <c r="T19" s="70" t="s">
        <v>203</v>
      </c>
      <c r="U19" s="12"/>
      <c r="V19" s="70" t="s">
        <v>203</v>
      </c>
      <c r="W19" s="70" t="s">
        <v>203</v>
      </c>
      <c r="X19" s="70" t="s">
        <v>203</v>
      </c>
      <c r="Y19" s="70" t="s">
        <v>203</v>
      </c>
      <c r="Z19" s="70" t="s">
        <v>132</v>
      </c>
      <c r="AA19" s="70" t="s">
        <v>132</v>
      </c>
      <c r="AB19" s="12"/>
      <c r="AC19" s="70" t="s">
        <v>203</v>
      </c>
      <c r="AD19" s="70" t="s">
        <v>203</v>
      </c>
      <c r="AE19" s="70" t="s">
        <v>203</v>
      </c>
      <c r="AF19" s="70" t="s">
        <v>203</v>
      </c>
      <c r="AG19" s="70" t="s">
        <v>203</v>
      </c>
      <c r="AH19" s="70" t="s">
        <v>203</v>
      </c>
      <c r="AI19" s="12"/>
      <c r="AJ19" s="70" t="s">
        <v>203</v>
      </c>
      <c r="AK19" s="70" t="s">
        <v>203</v>
      </c>
      <c r="AL19" s="70" t="s">
        <v>203</v>
      </c>
      <c r="AM19" s="70" t="s">
        <v>203</v>
      </c>
      <c r="AN19" s="70" t="s">
        <v>203</v>
      </c>
      <c r="AO19" s="70" t="s">
        <v>132</v>
      </c>
      <c r="AP19" s="12"/>
      <c r="AQ19" s="70" t="s">
        <v>203</v>
      </c>
      <c r="AR19" s="70" t="s">
        <v>203</v>
      </c>
      <c r="AS19" s="70" t="s">
        <v>203</v>
      </c>
      <c r="AT19" s="70" t="s">
        <v>203</v>
      </c>
      <c r="AU19" s="70" t="s">
        <v>203</v>
      </c>
      <c r="AV19" s="70" t="s">
        <v>203</v>
      </c>
      <c r="AW19" s="12"/>
      <c r="AX19" s="70" t="s">
        <v>203</v>
      </c>
      <c r="AY19" s="70" t="s">
        <v>132</v>
      </c>
      <c r="AZ19" s="70" t="s">
        <v>203</v>
      </c>
      <c r="BA19" s="70" t="s">
        <v>203</v>
      </c>
      <c r="BB19" s="70" t="s">
        <v>132</v>
      </c>
      <c r="BC19" s="70" t="s">
        <v>132</v>
      </c>
      <c r="BD19" s="12"/>
      <c r="BE19" s="70" t="s">
        <v>132</v>
      </c>
      <c r="BF19" s="70" t="s">
        <v>132</v>
      </c>
      <c r="BG19" s="70" t="s">
        <v>132</v>
      </c>
      <c r="BH19" s="74"/>
      <c r="BI19" s="74"/>
      <c r="BJ19" s="74"/>
      <c r="BK19" s="12"/>
      <c r="BL19" s="74"/>
      <c r="BM19" s="74"/>
      <c r="BN19" s="74"/>
      <c r="BO19" s="74"/>
      <c r="BP19" s="74"/>
      <c r="BQ19" s="74"/>
      <c r="BR19" s="12"/>
      <c r="BS19" s="74"/>
      <c r="BT19" s="74"/>
      <c r="BU19" s="74"/>
      <c r="BV19" s="74"/>
    </row>
    <row r="20">
      <c r="A20" s="65">
        <v>17.0</v>
      </c>
      <c r="B20" s="43" t="s">
        <v>206</v>
      </c>
      <c r="C20" s="43" t="s">
        <v>207</v>
      </c>
      <c r="D20" s="66">
        <f t="shared" si="2"/>
        <v>45</v>
      </c>
      <c r="E20" s="66">
        <f t="shared" si="3"/>
        <v>0</v>
      </c>
      <c r="F20" s="66">
        <f t="shared" si="4"/>
        <v>45</v>
      </c>
      <c r="G20" s="69">
        <f t="shared" si="5"/>
        <v>100</v>
      </c>
      <c r="H20" s="70" t="s">
        <v>247</v>
      </c>
      <c r="I20" s="70" t="s">
        <v>247</v>
      </c>
      <c r="J20" s="70" t="s">
        <v>247</v>
      </c>
      <c r="K20" s="70" t="s">
        <v>247</v>
      </c>
      <c r="L20" s="70" t="s">
        <v>247</v>
      </c>
      <c r="M20" s="70" t="s">
        <v>247</v>
      </c>
      <c r="N20" s="12"/>
      <c r="O20" s="70" t="s">
        <v>247</v>
      </c>
      <c r="P20" s="70" t="s">
        <v>247</v>
      </c>
      <c r="Q20" s="70" t="s">
        <v>247</v>
      </c>
      <c r="R20" s="70" t="s">
        <v>247</v>
      </c>
      <c r="S20" s="70" t="s">
        <v>247</v>
      </c>
      <c r="T20" s="70" t="s">
        <v>247</v>
      </c>
      <c r="U20" s="12"/>
      <c r="V20" s="70" t="s">
        <v>247</v>
      </c>
      <c r="W20" s="70" t="s">
        <v>203</v>
      </c>
      <c r="X20" s="70" t="s">
        <v>203</v>
      </c>
      <c r="Y20" s="70" t="s">
        <v>203</v>
      </c>
      <c r="Z20" s="70" t="s">
        <v>203</v>
      </c>
      <c r="AA20" s="70" t="s">
        <v>247</v>
      </c>
      <c r="AB20" s="12"/>
      <c r="AC20" s="70" t="s">
        <v>247</v>
      </c>
      <c r="AD20" s="70" t="s">
        <v>247</v>
      </c>
      <c r="AE20" s="70" t="s">
        <v>247</v>
      </c>
      <c r="AF20" s="70" t="s">
        <v>247</v>
      </c>
      <c r="AG20" s="70" t="s">
        <v>247</v>
      </c>
      <c r="AH20" s="70" t="s">
        <v>247</v>
      </c>
      <c r="AI20" s="12"/>
      <c r="AJ20" s="70" t="s">
        <v>247</v>
      </c>
      <c r="AK20" s="70" t="s">
        <v>247</v>
      </c>
      <c r="AL20" s="70" t="s">
        <v>247</v>
      </c>
      <c r="AM20" s="70" t="s">
        <v>247</v>
      </c>
      <c r="AN20" s="70" t="s">
        <v>247</v>
      </c>
      <c r="AO20" s="70" t="s">
        <v>247</v>
      </c>
      <c r="AP20" s="12"/>
      <c r="AQ20" s="70" t="s">
        <v>247</v>
      </c>
      <c r="AR20" s="70" t="s">
        <v>247</v>
      </c>
      <c r="AS20" s="70" t="s">
        <v>247</v>
      </c>
      <c r="AT20" s="70" t="s">
        <v>247</v>
      </c>
      <c r="AU20" s="70" t="s">
        <v>247</v>
      </c>
      <c r="AV20" s="70" t="s">
        <v>247</v>
      </c>
      <c r="AW20" s="12"/>
      <c r="AX20" s="70" t="s">
        <v>247</v>
      </c>
      <c r="AY20" s="70" t="s">
        <v>247</v>
      </c>
      <c r="AZ20" s="70" t="s">
        <v>247</v>
      </c>
      <c r="BA20" s="70" t="s">
        <v>203</v>
      </c>
      <c r="BB20" s="70" t="s">
        <v>203</v>
      </c>
      <c r="BC20" s="70" t="s">
        <v>203</v>
      </c>
      <c r="BD20" s="12"/>
      <c r="BE20" s="70" t="s">
        <v>203</v>
      </c>
      <c r="BF20" s="70" t="s">
        <v>203</v>
      </c>
      <c r="BG20" s="70" t="s">
        <v>203</v>
      </c>
      <c r="BH20" s="74"/>
      <c r="BI20" s="74"/>
      <c r="BJ20" s="74"/>
      <c r="BK20" s="12"/>
      <c r="BL20" s="74"/>
      <c r="BM20" s="74"/>
      <c r="BN20" s="74"/>
      <c r="BO20" s="74"/>
      <c r="BP20" s="74"/>
      <c r="BQ20" s="74"/>
      <c r="BR20" s="12"/>
      <c r="BS20" s="74"/>
      <c r="BT20" s="74"/>
      <c r="BU20" s="74"/>
      <c r="BV20" s="74"/>
    </row>
    <row r="21">
      <c r="A21" s="65">
        <v>18.0</v>
      </c>
      <c r="B21" s="43" t="s">
        <v>375</v>
      </c>
      <c r="C21" s="43" t="s">
        <v>377</v>
      </c>
      <c r="D21" s="66">
        <f t="shared" si="2"/>
        <v>29</v>
      </c>
      <c r="E21" s="66">
        <f t="shared" si="3"/>
        <v>16</v>
      </c>
      <c r="F21" s="66">
        <f t="shared" si="4"/>
        <v>45</v>
      </c>
      <c r="G21" s="69">
        <f t="shared" si="5"/>
        <v>64.44444444</v>
      </c>
      <c r="H21" s="70" t="s">
        <v>132</v>
      </c>
      <c r="I21" s="70" t="s">
        <v>132</v>
      </c>
      <c r="J21" s="70" t="s">
        <v>132</v>
      </c>
      <c r="K21" s="70" t="s">
        <v>203</v>
      </c>
      <c r="L21" s="70" t="s">
        <v>203</v>
      </c>
      <c r="M21" s="70" t="s">
        <v>132</v>
      </c>
      <c r="N21" s="12"/>
      <c r="O21" s="70" t="s">
        <v>203</v>
      </c>
      <c r="P21" s="70" t="s">
        <v>203</v>
      </c>
      <c r="Q21" s="70" t="s">
        <v>132</v>
      </c>
      <c r="R21" s="70" t="s">
        <v>132</v>
      </c>
      <c r="S21" s="70" t="s">
        <v>132</v>
      </c>
      <c r="T21" s="70" t="s">
        <v>132</v>
      </c>
      <c r="U21" s="12"/>
      <c r="V21" s="70" t="s">
        <v>203</v>
      </c>
      <c r="W21" s="70" t="s">
        <v>203</v>
      </c>
      <c r="X21" s="70" t="s">
        <v>203</v>
      </c>
      <c r="Y21" s="70" t="s">
        <v>203</v>
      </c>
      <c r="Z21" s="70" t="s">
        <v>203</v>
      </c>
      <c r="AA21" s="70" t="s">
        <v>203</v>
      </c>
      <c r="AB21" s="12"/>
      <c r="AC21" s="70" t="s">
        <v>203</v>
      </c>
      <c r="AD21" s="70" t="s">
        <v>203</v>
      </c>
      <c r="AE21" s="70" t="s">
        <v>203</v>
      </c>
      <c r="AF21" s="70" t="s">
        <v>203</v>
      </c>
      <c r="AG21" s="70" t="s">
        <v>203</v>
      </c>
      <c r="AH21" s="70" t="s">
        <v>203</v>
      </c>
      <c r="AI21" s="12"/>
      <c r="AJ21" s="70" t="s">
        <v>203</v>
      </c>
      <c r="AK21" s="70" t="s">
        <v>203</v>
      </c>
      <c r="AL21" s="70" t="s">
        <v>203</v>
      </c>
      <c r="AM21" s="70" t="s">
        <v>203</v>
      </c>
      <c r="AN21" s="70" t="s">
        <v>203</v>
      </c>
      <c r="AO21" s="70" t="s">
        <v>203</v>
      </c>
      <c r="AP21" s="12"/>
      <c r="AQ21" s="70" t="s">
        <v>203</v>
      </c>
      <c r="AR21" s="70" t="s">
        <v>132</v>
      </c>
      <c r="AS21" s="70" t="s">
        <v>203</v>
      </c>
      <c r="AT21" s="70" t="s">
        <v>203</v>
      </c>
      <c r="AU21" s="70" t="s">
        <v>203</v>
      </c>
      <c r="AV21" s="70" t="s">
        <v>203</v>
      </c>
      <c r="AW21" s="12"/>
      <c r="AX21" s="70" t="s">
        <v>203</v>
      </c>
      <c r="AY21" s="70" t="s">
        <v>203</v>
      </c>
      <c r="AZ21" s="70" t="s">
        <v>132</v>
      </c>
      <c r="BA21" s="70" t="s">
        <v>132</v>
      </c>
      <c r="BB21" s="70" t="s">
        <v>132</v>
      </c>
      <c r="BC21" s="70" t="s">
        <v>132</v>
      </c>
      <c r="BD21" s="12"/>
      <c r="BE21" s="70" t="s">
        <v>132</v>
      </c>
      <c r="BF21" s="70" t="s">
        <v>132</v>
      </c>
      <c r="BG21" s="70" t="s">
        <v>132</v>
      </c>
      <c r="BH21" s="74"/>
      <c r="BI21" s="74"/>
      <c r="BJ21" s="74"/>
      <c r="BK21" s="12"/>
      <c r="BL21" s="74"/>
      <c r="BM21" s="74"/>
      <c r="BN21" s="74"/>
      <c r="BO21" s="74"/>
      <c r="BP21" s="74"/>
      <c r="BQ21" s="74"/>
      <c r="BR21" s="12"/>
      <c r="BS21" s="74"/>
      <c r="BT21" s="74"/>
      <c r="BU21" s="74"/>
      <c r="BV21" s="74"/>
    </row>
    <row r="22">
      <c r="A22" s="65">
        <v>19.0</v>
      </c>
      <c r="B22" s="43" t="s">
        <v>366</v>
      </c>
      <c r="C22" s="43" t="s">
        <v>367</v>
      </c>
      <c r="D22" s="66">
        <f t="shared" si="2"/>
        <v>31</v>
      </c>
      <c r="E22" s="66">
        <f t="shared" si="3"/>
        <v>14</v>
      </c>
      <c r="F22" s="66">
        <f t="shared" si="4"/>
        <v>45</v>
      </c>
      <c r="G22" s="69">
        <f t="shared" si="5"/>
        <v>68.88888889</v>
      </c>
      <c r="H22" s="70" t="s">
        <v>203</v>
      </c>
      <c r="I22" s="70" t="s">
        <v>203</v>
      </c>
      <c r="J22" s="70" t="s">
        <v>203</v>
      </c>
      <c r="K22" s="70" t="s">
        <v>203</v>
      </c>
      <c r="L22" s="70" t="s">
        <v>203</v>
      </c>
      <c r="M22" s="70" t="s">
        <v>203</v>
      </c>
      <c r="N22" s="12"/>
      <c r="O22" s="70" t="s">
        <v>203</v>
      </c>
      <c r="P22" s="70" t="s">
        <v>203</v>
      </c>
      <c r="Q22" s="70" t="s">
        <v>132</v>
      </c>
      <c r="R22" s="70" t="s">
        <v>132</v>
      </c>
      <c r="S22" s="70" t="s">
        <v>132</v>
      </c>
      <c r="T22" s="70" t="s">
        <v>132</v>
      </c>
      <c r="U22" s="12"/>
      <c r="V22" s="70" t="s">
        <v>203</v>
      </c>
      <c r="W22" s="70" t="s">
        <v>203</v>
      </c>
      <c r="X22" s="70" t="s">
        <v>203</v>
      </c>
      <c r="Y22" s="70" t="s">
        <v>203</v>
      </c>
      <c r="Z22" s="70" t="s">
        <v>203</v>
      </c>
      <c r="AA22" s="70" t="s">
        <v>203</v>
      </c>
      <c r="AB22" s="12"/>
      <c r="AC22" s="70" t="s">
        <v>203</v>
      </c>
      <c r="AD22" s="70" t="s">
        <v>132</v>
      </c>
      <c r="AE22" s="70" t="s">
        <v>203</v>
      </c>
      <c r="AF22" s="70" t="s">
        <v>203</v>
      </c>
      <c r="AG22" s="70" t="s">
        <v>132</v>
      </c>
      <c r="AH22" s="70" t="s">
        <v>203</v>
      </c>
      <c r="AI22" s="12"/>
      <c r="AJ22" s="70" t="s">
        <v>203</v>
      </c>
      <c r="AK22" s="70" t="s">
        <v>203</v>
      </c>
      <c r="AL22" s="70" t="s">
        <v>203</v>
      </c>
      <c r="AM22" s="70" t="s">
        <v>203</v>
      </c>
      <c r="AN22" s="70" t="s">
        <v>203</v>
      </c>
      <c r="AO22" s="70" t="s">
        <v>203</v>
      </c>
      <c r="AP22" s="12"/>
      <c r="AQ22" s="70" t="s">
        <v>203</v>
      </c>
      <c r="AR22" s="70" t="s">
        <v>203</v>
      </c>
      <c r="AS22" s="70" t="s">
        <v>203</v>
      </c>
      <c r="AT22" s="70" t="s">
        <v>203</v>
      </c>
      <c r="AU22" s="70" t="s">
        <v>203</v>
      </c>
      <c r="AV22" s="70" t="s">
        <v>203</v>
      </c>
      <c r="AW22" s="12"/>
      <c r="AX22" s="70" t="s">
        <v>132</v>
      </c>
      <c r="AY22" s="70" t="s">
        <v>203</v>
      </c>
      <c r="AZ22" s="70" t="s">
        <v>132</v>
      </c>
      <c r="BA22" s="70" t="s">
        <v>132</v>
      </c>
      <c r="BB22" s="70" t="s">
        <v>132</v>
      </c>
      <c r="BC22" s="70" t="s">
        <v>132</v>
      </c>
      <c r="BD22" s="12"/>
      <c r="BE22" s="70" t="s">
        <v>132</v>
      </c>
      <c r="BF22" s="70" t="s">
        <v>132</v>
      </c>
      <c r="BG22" s="70" t="s">
        <v>132</v>
      </c>
      <c r="BH22" s="74"/>
      <c r="BI22" s="74"/>
      <c r="BJ22" s="74"/>
      <c r="BK22" s="12"/>
      <c r="BL22" s="74"/>
      <c r="BM22" s="74"/>
      <c r="BN22" s="74"/>
      <c r="BO22" s="74"/>
      <c r="BP22" s="74"/>
      <c r="BQ22" s="74"/>
      <c r="BR22" s="12"/>
      <c r="BS22" s="74"/>
      <c r="BT22" s="74"/>
      <c r="BU22" s="74"/>
      <c r="BV22" s="74"/>
    </row>
    <row r="23">
      <c r="A23" s="65">
        <v>20.0</v>
      </c>
      <c r="B23" s="43" t="s">
        <v>490</v>
      </c>
      <c r="C23" s="43" t="s">
        <v>493</v>
      </c>
      <c r="D23" s="66">
        <f t="shared" si="2"/>
        <v>38</v>
      </c>
      <c r="E23" s="66">
        <f t="shared" si="3"/>
        <v>7</v>
      </c>
      <c r="F23" s="66">
        <f t="shared" si="4"/>
        <v>45</v>
      </c>
      <c r="G23" s="69">
        <f t="shared" si="5"/>
        <v>84.44444444</v>
      </c>
      <c r="H23" s="70" t="s">
        <v>203</v>
      </c>
      <c r="I23" s="70" t="s">
        <v>203</v>
      </c>
      <c r="J23" s="70" t="s">
        <v>203</v>
      </c>
      <c r="K23" s="70" t="s">
        <v>247</v>
      </c>
      <c r="L23" s="70" t="s">
        <v>247</v>
      </c>
      <c r="M23" s="70" t="s">
        <v>247</v>
      </c>
      <c r="N23" s="12"/>
      <c r="O23" s="70" t="s">
        <v>132</v>
      </c>
      <c r="P23" s="70" t="s">
        <v>132</v>
      </c>
      <c r="Q23" s="70" t="s">
        <v>247</v>
      </c>
      <c r="R23" s="70" t="s">
        <v>203</v>
      </c>
      <c r="S23" s="70" t="s">
        <v>203</v>
      </c>
      <c r="T23" s="70" t="s">
        <v>203</v>
      </c>
      <c r="U23" s="12"/>
      <c r="V23" s="70" t="s">
        <v>247</v>
      </c>
      <c r="W23" s="70" t="s">
        <v>247</v>
      </c>
      <c r="X23" s="70" t="s">
        <v>247</v>
      </c>
      <c r="Y23" s="70" t="s">
        <v>247</v>
      </c>
      <c r="Z23" s="70" t="s">
        <v>247</v>
      </c>
      <c r="AA23" s="70" t="s">
        <v>247</v>
      </c>
      <c r="AB23" s="12"/>
      <c r="AC23" s="70" t="s">
        <v>203</v>
      </c>
      <c r="AD23" s="70" t="s">
        <v>203</v>
      </c>
      <c r="AE23" s="70" t="s">
        <v>132</v>
      </c>
      <c r="AF23" s="70" t="s">
        <v>132</v>
      </c>
      <c r="AG23" s="70" t="s">
        <v>132</v>
      </c>
      <c r="AH23" s="70" t="s">
        <v>132</v>
      </c>
      <c r="AI23" s="12"/>
      <c r="AJ23" s="70" t="s">
        <v>132</v>
      </c>
      <c r="AK23" s="70" t="s">
        <v>203</v>
      </c>
      <c r="AL23" s="70" t="s">
        <v>247</v>
      </c>
      <c r="AM23" s="70" t="s">
        <v>247</v>
      </c>
      <c r="AN23" s="70" t="s">
        <v>247</v>
      </c>
      <c r="AO23" s="70" t="s">
        <v>247</v>
      </c>
      <c r="AP23" s="12"/>
      <c r="AQ23" s="70" t="s">
        <v>247</v>
      </c>
      <c r="AR23" s="70" t="s">
        <v>247</v>
      </c>
      <c r="AS23" s="70" t="s">
        <v>247</v>
      </c>
      <c r="AT23" s="70" t="s">
        <v>247</v>
      </c>
      <c r="AU23" s="70" t="s">
        <v>247</v>
      </c>
      <c r="AV23" s="70" t="s">
        <v>247</v>
      </c>
      <c r="AW23" s="12"/>
      <c r="AX23" s="70" t="s">
        <v>203</v>
      </c>
      <c r="AY23" s="70" t="s">
        <v>203</v>
      </c>
      <c r="AZ23" s="70" t="s">
        <v>571</v>
      </c>
      <c r="BA23" s="70" t="s">
        <v>571</v>
      </c>
      <c r="BB23" s="70" t="s">
        <v>571</v>
      </c>
      <c r="BC23" s="70" t="s">
        <v>571</v>
      </c>
      <c r="BD23" s="12"/>
      <c r="BE23" s="70" t="s">
        <v>571</v>
      </c>
      <c r="BF23" s="70" t="s">
        <v>571</v>
      </c>
      <c r="BG23" s="70" t="s">
        <v>203</v>
      </c>
      <c r="BH23" s="74"/>
      <c r="BI23" s="74"/>
      <c r="BJ23" s="74"/>
      <c r="BK23" s="12"/>
      <c r="BL23" s="74"/>
      <c r="BM23" s="74"/>
      <c r="BN23" s="74"/>
      <c r="BO23" s="74"/>
      <c r="BP23" s="74"/>
      <c r="BQ23" s="74"/>
      <c r="BR23" s="12"/>
      <c r="BS23" s="74"/>
      <c r="BT23" s="74"/>
      <c r="BU23" s="74"/>
      <c r="BV23" s="74"/>
    </row>
    <row r="24">
      <c r="A24" s="65">
        <v>21.0</v>
      </c>
      <c r="B24" s="43" t="s">
        <v>512</v>
      </c>
      <c r="C24" s="43" t="s">
        <v>513</v>
      </c>
      <c r="D24" s="66">
        <f t="shared" si="2"/>
        <v>35</v>
      </c>
      <c r="E24" s="66">
        <f t="shared" si="3"/>
        <v>10</v>
      </c>
      <c r="F24" s="66">
        <f t="shared" si="4"/>
        <v>45</v>
      </c>
      <c r="G24" s="69">
        <f t="shared" si="5"/>
        <v>77.77777778</v>
      </c>
      <c r="H24" s="70" t="s">
        <v>132</v>
      </c>
      <c r="I24" s="70" t="s">
        <v>132</v>
      </c>
      <c r="J24" s="70" t="s">
        <v>132</v>
      </c>
      <c r="K24" s="70" t="s">
        <v>132</v>
      </c>
      <c r="L24" s="70" t="s">
        <v>132</v>
      </c>
      <c r="M24" s="70" t="s">
        <v>132</v>
      </c>
      <c r="N24" s="12"/>
      <c r="O24" s="70" t="s">
        <v>203</v>
      </c>
      <c r="P24" s="70" t="s">
        <v>203</v>
      </c>
      <c r="Q24" s="70" t="s">
        <v>203</v>
      </c>
      <c r="R24" s="70" t="s">
        <v>203</v>
      </c>
      <c r="S24" s="70" t="s">
        <v>203</v>
      </c>
      <c r="T24" s="70" t="s">
        <v>132</v>
      </c>
      <c r="U24" s="12"/>
      <c r="V24" s="70" t="s">
        <v>203</v>
      </c>
      <c r="W24" s="70" t="s">
        <v>203</v>
      </c>
      <c r="X24" s="70" t="s">
        <v>203</v>
      </c>
      <c r="Y24" s="70" t="s">
        <v>203</v>
      </c>
      <c r="Z24" s="70" t="s">
        <v>132</v>
      </c>
      <c r="AA24" s="70" t="s">
        <v>203</v>
      </c>
      <c r="AB24" s="12"/>
      <c r="AC24" s="70" t="s">
        <v>203</v>
      </c>
      <c r="AD24" s="70" t="s">
        <v>203</v>
      </c>
      <c r="AE24" s="70" t="s">
        <v>203</v>
      </c>
      <c r="AF24" s="70" t="s">
        <v>203</v>
      </c>
      <c r="AG24" s="70" t="s">
        <v>203</v>
      </c>
      <c r="AH24" s="70" t="s">
        <v>203</v>
      </c>
      <c r="AI24" s="12"/>
      <c r="AJ24" s="70" t="s">
        <v>203</v>
      </c>
      <c r="AK24" s="70" t="s">
        <v>203</v>
      </c>
      <c r="AL24" s="70" t="s">
        <v>203</v>
      </c>
      <c r="AM24" s="70" t="s">
        <v>203</v>
      </c>
      <c r="AN24" s="70" t="s">
        <v>203</v>
      </c>
      <c r="AO24" s="70" t="s">
        <v>203</v>
      </c>
      <c r="AP24" s="12"/>
      <c r="AQ24" s="70" t="s">
        <v>203</v>
      </c>
      <c r="AR24" s="70" t="s">
        <v>203</v>
      </c>
      <c r="AS24" s="70" t="s">
        <v>203</v>
      </c>
      <c r="AT24" s="70" t="s">
        <v>132</v>
      </c>
      <c r="AU24" s="70" t="s">
        <v>203</v>
      </c>
      <c r="AV24" s="70" t="s">
        <v>203</v>
      </c>
      <c r="AW24" s="12"/>
      <c r="AX24" s="70" t="s">
        <v>203</v>
      </c>
      <c r="AY24" s="70" t="s">
        <v>203</v>
      </c>
      <c r="AZ24" s="70" t="s">
        <v>203</v>
      </c>
      <c r="BA24" s="70" t="s">
        <v>203</v>
      </c>
      <c r="BB24" s="70" t="s">
        <v>203</v>
      </c>
      <c r="BC24" s="70" t="s">
        <v>203</v>
      </c>
      <c r="BD24" s="12"/>
      <c r="BE24" s="70" t="s">
        <v>132</v>
      </c>
      <c r="BF24" s="70" t="s">
        <v>203</v>
      </c>
      <c r="BG24" s="70" t="s">
        <v>203</v>
      </c>
      <c r="BH24" s="74"/>
      <c r="BI24" s="74"/>
      <c r="BJ24" s="74"/>
      <c r="BK24" s="12"/>
      <c r="BL24" s="74"/>
      <c r="BM24" s="74"/>
      <c r="BN24" s="74"/>
      <c r="BO24" s="74"/>
      <c r="BP24" s="74"/>
      <c r="BQ24" s="74"/>
      <c r="BR24" s="12"/>
      <c r="BS24" s="74"/>
      <c r="BT24" s="74"/>
      <c r="BU24" s="74"/>
      <c r="BV24" s="74"/>
    </row>
    <row r="25">
      <c r="A25" s="65">
        <v>22.0</v>
      </c>
      <c r="B25" s="108" t="s">
        <v>514</v>
      </c>
      <c r="C25" s="70" t="s">
        <v>515</v>
      </c>
      <c r="D25" s="66">
        <f t="shared" si="2"/>
        <v>35</v>
      </c>
      <c r="E25" s="66">
        <f t="shared" si="3"/>
        <v>10</v>
      </c>
      <c r="F25" s="66">
        <f t="shared" si="4"/>
        <v>45</v>
      </c>
      <c r="G25" s="69">
        <f t="shared" si="5"/>
        <v>77.77777778</v>
      </c>
      <c r="H25" s="70" t="s">
        <v>132</v>
      </c>
      <c r="I25" s="70" t="s">
        <v>203</v>
      </c>
      <c r="J25" s="70" t="s">
        <v>203</v>
      </c>
      <c r="K25" s="70" t="s">
        <v>203</v>
      </c>
      <c r="L25" s="70" t="s">
        <v>203</v>
      </c>
      <c r="M25" s="70" t="s">
        <v>132</v>
      </c>
      <c r="N25" s="12"/>
      <c r="O25" s="70" t="s">
        <v>203</v>
      </c>
      <c r="P25" s="70" t="s">
        <v>203</v>
      </c>
      <c r="Q25" s="70" t="s">
        <v>203</v>
      </c>
      <c r="R25" s="70" t="s">
        <v>203</v>
      </c>
      <c r="S25" s="70" t="s">
        <v>203</v>
      </c>
      <c r="T25" s="70" t="s">
        <v>132</v>
      </c>
      <c r="U25" s="12"/>
      <c r="V25" s="70" t="s">
        <v>203</v>
      </c>
      <c r="W25" s="70" t="s">
        <v>203</v>
      </c>
      <c r="X25" s="70" t="s">
        <v>203</v>
      </c>
      <c r="Y25" s="70" t="s">
        <v>203</v>
      </c>
      <c r="Z25" s="70" t="s">
        <v>203</v>
      </c>
      <c r="AA25" s="70" t="s">
        <v>203</v>
      </c>
      <c r="AB25" s="12"/>
      <c r="AC25" s="70" t="s">
        <v>203</v>
      </c>
      <c r="AD25" s="70" t="s">
        <v>203</v>
      </c>
      <c r="AE25" s="70" t="s">
        <v>203</v>
      </c>
      <c r="AF25" s="70" t="s">
        <v>203</v>
      </c>
      <c r="AG25" s="70" t="s">
        <v>203</v>
      </c>
      <c r="AH25" s="70" t="s">
        <v>132</v>
      </c>
      <c r="AI25" s="12"/>
      <c r="AJ25" s="70" t="s">
        <v>203</v>
      </c>
      <c r="AK25" s="70" t="s">
        <v>203</v>
      </c>
      <c r="AL25" s="70" t="s">
        <v>203</v>
      </c>
      <c r="AM25" s="70" t="s">
        <v>203</v>
      </c>
      <c r="AN25" s="70" t="s">
        <v>203</v>
      </c>
      <c r="AO25" s="70" t="s">
        <v>203</v>
      </c>
      <c r="AP25" s="12"/>
      <c r="AQ25" s="70" t="s">
        <v>203</v>
      </c>
      <c r="AR25" s="70" t="s">
        <v>203</v>
      </c>
      <c r="AS25" s="70" t="s">
        <v>203</v>
      </c>
      <c r="AT25" s="70" t="s">
        <v>203</v>
      </c>
      <c r="AU25" s="70" t="s">
        <v>132</v>
      </c>
      <c r="AV25" s="70" t="s">
        <v>203</v>
      </c>
      <c r="AW25" s="12"/>
      <c r="AX25" s="70" t="s">
        <v>203</v>
      </c>
      <c r="AY25" s="70" t="s">
        <v>132</v>
      </c>
      <c r="AZ25" s="70" t="s">
        <v>132</v>
      </c>
      <c r="BA25" s="70" t="s">
        <v>203</v>
      </c>
      <c r="BB25" s="70" t="s">
        <v>203</v>
      </c>
      <c r="BC25" s="70" t="s">
        <v>203</v>
      </c>
      <c r="BD25" s="12"/>
      <c r="BE25" s="70" t="s">
        <v>132</v>
      </c>
      <c r="BF25" s="70" t="s">
        <v>132</v>
      </c>
      <c r="BG25" s="70" t="s">
        <v>132</v>
      </c>
      <c r="BH25" s="74"/>
      <c r="BI25" s="74"/>
      <c r="BJ25" s="74"/>
      <c r="BK25" s="12"/>
      <c r="BL25" s="74"/>
      <c r="BM25" s="74"/>
      <c r="BN25" s="74"/>
      <c r="BO25" s="74"/>
      <c r="BP25" s="74"/>
      <c r="BQ25" s="74"/>
      <c r="BR25" s="12"/>
      <c r="BS25" s="74"/>
      <c r="BT25" s="74"/>
      <c r="BU25" s="74"/>
      <c r="BV25" s="74"/>
    </row>
    <row r="26">
      <c r="A26" s="65">
        <v>23.0</v>
      </c>
      <c r="B26" s="43" t="s">
        <v>88</v>
      </c>
      <c r="C26" s="43" t="s">
        <v>91</v>
      </c>
      <c r="D26" s="66">
        <f t="shared" si="2"/>
        <v>41</v>
      </c>
      <c r="E26" s="66">
        <f t="shared" si="3"/>
        <v>4</v>
      </c>
      <c r="F26" s="66">
        <f t="shared" si="4"/>
        <v>45</v>
      </c>
      <c r="G26" s="69">
        <f t="shared" si="5"/>
        <v>91.11111111</v>
      </c>
      <c r="H26" s="70" t="s">
        <v>132</v>
      </c>
      <c r="I26" s="70" t="s">
        <v>132</v>
      </c>
      <c r="J26" s="70" t="s">
        <v>132</v>
      </c>
      <c r="K26" s="70" t="s">
        <v>203</v>
      </c>
      <c r="L26" s="70" t="s">
        <v>203</v>
      </c>
      <c r="M26" s="70" t="s">
        <v>203</v>
      </c>
      <c r="N26" s="12"/>
      <c r="O26" s="70" t="s">
        <v>247</v>
      </c>
      <c r="P26" s="70" t="s">
        <v>247</v>
      </c>
      <c r="Q26" s="70" t="s">
        <v>203</v>
      </c>
      <c r="R26" s="70" t="s">
        <v>203</v>
      </c>
      <c r="S26" s="70" t="s">
        <v>203</v>
      </c>
      <c r="T26" s="70" t="s">
        <v>203</v>
      </c>
      <c r="U26" s="12"/>
      <c r="V26" s="70" t="s">
        <v>203</v>
      </c>
      <c r="W26" s="70" t="s">
        <v>203</v>
      </c>
      <c r="X26" s="70" t="s">
        <v>203</v>
      </c>
      <c r="Y26" s="70" t="s">
        <v>203</v>
      </c>
      <c r="Z26" s="70" t="s">
        <v>247</v>
      </c>
      <c r="AA26" s="70" t="s">
        <v>203</v>
      </c>
      <c r="AB26" s="12"/>
      <c r="AC26" s="70" t="s">
        <v>203</v>
      </c>
      <c r="AD26" s="70" t="s">
        <v>203</v>
      </c>
      <c r="AE26" s="70" t="s">
        <v>203</v>
      </c>
      <c r="AF26" s="70" t="s">
        <v>203</v>
      </c>
      <c r="AG26" s="70" t="s">
        <v>203</v>
      </c>
      <c r="AH26" s="70" t="s">
        <v>203</v>
      </c>
      <c r="AI26" s="12"/>
      <c r="AJ26" s="70" t="s">
        <v>203</v>
      </c>
      <c r="AK26" s="70" t="s">
        <v>203</v>
      </c>
      <c r="AL26" s="70" t="s">
        <v>203</v>
      </c>
      <c r="AM26" s="70" t="s">
        <v>203</v>
      </c>
      <c r="AN26" s="70" t="s">
        <v>203</v>
      </c>
      <c r="AO26" s="70" t="s">
        <v>203</v>
      </c>
      <c r="AP26" s="12"/>
      <c r="AQ26" s="70" t="s">
        <v>203</v>
      </c>
      <c r="AR26" s="70" t="s">
        <v>203</v>
      </c>
      <c r="AS26" s="70" t="s">
        <v>203</v>
      </c>
      <c r="AT26" s="70" t="s">
        <v>203</v>
      </c>
      <c r="AU26" s="70" t="s">
        <v>203</v>
      </c>
      <c r="AV26" s="70" t="s">
        <v>203</v>
      </c>
      <c r="AW26" s="12"/>
      <c r="AX26" s="70" t="s">
        <v>203</v>
      </c>
      <c r="AY26" s="70" t="s">
        <v>203</v>
      </c>
      <c r="AZ26" s="70" t="s">
        <v>203</v>
      </c>
      <c r="BA26" s="70" t="s">
        <v>203</v>
      </c>
      <c r="BB26" s="70" t="s">
        <v>203</v>
      </c>
      <c r="BC26" s="70" t="s">
        <v>203</v>
      </c>
      <c r="BD26" s="12"/>
      <c r="BE26" s="70" t="s">
        <v>132</v>
      </c>
      <c r="BF26" s="70" t="s">
        <v>203</v>
      </c>
      <c r="BG26" s="70" t="s">
        <v>203</v>
      </c>
      <c r="BH26" s="70"/>
      <c r="BI26" s="70"/>
      <c r="BJ26" s="70"/>
      <c r="BK26" s="12"/>
      <c r="BL26" s="70"/>
      <c r="BM26" s="70"/>
      <c r="BN26" s="70"/>
      <c r="BO26" s="70"/>
      <c r="BP26" s="70"/>
      <c r="BQ26" s="70"/>
      <c r="BR26" s="12"/>
      <c r="BS26" s="70"/>
      <c r="BT26" s="70"/>
      <c r="BU26" s="70"/>
      <c r="BV26" s="70"/>
    </row>
    <row r="27">
      <c r="A27" s="65">
        <v>24.0</v>
      </c>
      <c r="B27" s="43" t="s">
        <v>238</v>
      </c>
      <c r="C27" s="43" t="s">
        <v>239</v>
      </c>
      <c r="D27" s="66">
        <f t="shared" si="2"/>
        <v>41</v>
      </c>
      <c r="E27" s="66">
        <f t="shared" si="3"/>
        <v>4</v>
      </c>
      <c r="F27" s="66">
        <f t="shared" si="4"/>
        <v>45</v>
      </c>
      <c r="G27" s="69">
        <f t="shared" si="5"/>
        <v>91.11111111</v>
      </c>
      <c r="H27" s="70" t="s">
        <v>132</v>
      </c>
      <c r="I27" s="70" t="s">
        <v>132</v>
      </c>
      <c r="J27" s="70" t="s">
        <v>132</v>
      </c>
      <c r="K27" s="70" t="s">
        <v>132</v>
      </c>
      <c r="L27" s="70" t="s">
        <v>203</v>
      </c>
      <c r="M27" s="70" t="s">
        <v>203</v>
      </c>
      <c r="N27" s="12"/>
      <c r="O27" s="70" t="s">
        <v>203</v>
      </c>
      <c r="P27" s="70" t="s">
        <v>203</v>
      </c>
      <c r="Q27" s="70" t="s">
        <v>203</v>
      </c>
      <c r="R27" s="70" t="s">
        <v>203</v>
      </c>
      <c r="S27" s="70" t="s">
        <v>203</v>
      </c>
      <c r="T27" s="70" t="s">
        <v>203</v>
      </c>
      <c r="U27" s="12"/>
      <c r="V27" s="70" t="s">
        <v>203</v>
      </c>
      <c r="W27" s="70" t="s">
        <v>203</v>
      </c>
      <c r="X27" s="70" t="s">
        <v>203</v>
      </c>
      <c r="Y27" s="70" t="s">
        <v>203</v>
      </c>
      <c r="Z27" s="70" t="s">
        <v>203</v>
      </c>
      <c r="AA27" s="70" t="s">
        <v>203</v>
      </c>
      <c r="AB27" s="12"/>
      <c r="AC27" s="70" t="s">
        <v>203</v>
      </c>
      <c r="AD27" s="70" t="s">
        <v>203</v>
      </c>
      <c r="AE27" s="70" t="s">
        <v>203</v>
      </c>
      <c r="AF27" s="70" t="s">
        <v>203</v>
      </c>
      <c r="AG27" s="70" t="s">
        <v>203</v>
      </c>
      <c r="AH27" s="70" t="s">
        <v>203</v>
      </c>
      <c r="AI27" s="12"/>
      <c r="AJ27" s="70" t="s">
        <v>203</v>
      </c>
      <c r="AK27" s="70" t="s">
        <v>203</v>
      </c>
      <c r="AL27" s="70" t="s">
        <v>203</v>
      </c>
      <c r="AM27" s="70" t="s">
        <v>203</v>
      </c>
      <c r="AN27" s="70" t="s">
        <v>203</v>
      </c>
      <c r="AO27" s="70" t="s">
        <v>203</v>
      </c>
      <c r="AP27" s="12"/>
      <c r="AQ27" s="70" t="s">
        <v>203</v>
      </c>
      <c r="AR27" s="70" t="s">
        <v>203</v>
      </c>
      <c r="AS27" s="70" t="s">
        <v>203</v>
      </c>
      <c r="AT27" s="70" t="s">
        <v>203</v>
      </c>
      <c r="AU27" s="70" t="s">
        <v>203</v>
      </c>
      <c r="AV27" s="70" t="s">
        <v>203</v>
      </c>
      <c r="AW27" s="12"/>
      <c r="AX27" s="70" t="s">
        <v>203</v>
      </c>
      <c r="AY27" s="70" t="s">
        <v>203</v>
      </c>
      <c r="AZ27" s="70" t="s">
        <v>203</v>
      </c>
      <c r="BA27" s="70" t="s">
        <v>203</v>
      </c>
      <c r="BB27" s="70" t="s">
        <v>203</v>
      </c>
      <c r="BC27" s="70" t="s">
        <v>203</v>
      </c>
      <c r="BD27" s="12"/>
      <c r="BE27" s="70" t="s">
        <v>203</v>
      </c>
      <c r="BF27" s="70" t="s">
        <v>203</v>
      </c>
      <c r="BG27" s="70" t="s">
        <v>203</v>
      </c>
      <c r="BH27" s="74"/>
      <c r="BI27" s="74"/>
      <c r="BJ27" s="74"/>
      <c r="BK27" s="12"/>
      <c r="BL27" s="74"/>
      <c r="BM27" s="74"/>
      <c r="BN27" s="74"/>
      <c r="BO27" s="74"/>
      <c r="BP27" s="74"/>
      <c r="BQ27" s="74"/>
      <c r="BR27" s="12"/>
      <c r="BS27" s="74"/>
      <c r="BT27" s="74"/>
      <c r="BU27" s="74"/>
      <c r="BV27" s="74"/>
    </row>
    <row r="28">
      <c r="A28" s="65">
        <v>25.0</v>
      </c>
      <c r="B28" s="43" t="s">
        <v>384</v>
      </c>
      <c r="C28" s="43" t="s">
        <v>386</v>
      </c>
      <c r="D28" s="66">
        <f t="shared" si="2"/>
        <v>35</v>
      </c>
      <c r="E28" s="66">
        <f t="shared" si="3"/>
        <v>10</v>
      </c>
      <c r="F28" s="66">
        <f t="shared" si="4"/>
        <v>45</v>
      </c>
      <c r="G28" s="69">
        <f t="shared" si="5"/>
        <v>77.77777778</v>
      </c>
      <c r="H28" s="70" t="s">
        <v>203</v>
      </c>
      <c r="I28" s="70" t="s">
        <v>203</v>
      </c>
      <c r="J28" s="70" t="s">
        <v>203</v>
      </c>
      <c r="K28" s="70" t="s">
        <v>203</v>
      </c>
      <c r="L28" s="70" t="s">
        <v>203</v>
      </c>
      <c r="M28" s="70" t="s">
        <v>203</v>
      </c>
      <c r="N28" s="12"/>
      <c r="O28" s="70" t="s">
        <v>132</v>
      </c>
      <c r="P28" s="70" t="s">
        <v>203</v>
      </c>
      <c r="Q28" s="70" t="s">
        <v>203</v>
      </c>
      <c r="R28" s="70" t="s">
        <v>203</v>
      </c>
      <c r="S28" s="70" t="s">
        <v>203</v>
      </c>
      <c r="T28" s="70" t="s">
        <v>203</v>
      </c>
      <c r="U28" s="12"/>
      <c r="V28" s="70" t="s">
        <v>203</v>
      </c>
      <c r="W28" s="70" t="s">
        <v>203</v>
      </c>
      <c r="X28" s="70" t="s">
        <v>203</v>
      </c>
      <c r="Y28" s="70" t="s">
        <v>203</v>
      </c>
      <c r="Z28" s="70" t="s">
        <v>203</v>
      </c>
      <c r="AA28" s="70" t="s">
        <v>203</v>
      </c>
      <c r="AB28" s="12"/>
      <c r="AC28" s="70" t="s">
        <v>132</v>
      </c>
      <c r="AD28" s="70" t="s">
        <v>132</v>
      </c>
      <c r="AE28" s="70" t="s">
        <v>132</v>
      </c>
      <c r="AF28" s="70" t="s">
        <v>203</v>
      </c>
      <c r="AG28" s="70" t="s">
        <v>203</v>
      </c>
      <c r="AH28" s="70" t="s">
        <v>203</v>
      </c>
      <c r="AI28" s="12"/>
      <c r="AJ28" s="70" t="s">
        <v>132</v>
      </c>
      <c r="AK28" s="70" t="s">
        <v>132</v>
      </c>
      <c r="AL28" s="70" t="s">
        <v>203</v>
      </c>
      <c r="AM28" s="70" t="s">
        <v>203</v>
      </c>
      <c r="AN28" s="70" t="s">
        <v>203</v>
      </c>
      <c r="AO28" s="70" t="s">
        <v>203</v>
      </c>
      <c r="AP28" s="12"/>
      <c r="AQ28" s="70" t="s">
        <v>203</v>
      </c>
      <c r="AR28" s="70" t="s">
        <v>132</v>
      </c>
      <c r="AS28" s="70" t="s">
        <v>203</v>
      </c>
      <c r="AT28" s="70" t="s">
        <v>203</v>
      </c>
      <c r="AU28" s="70" t="s">
        <v>203</v>
      </c>
      <c r="AV28" s="70" t="s">
        <v>203</v>
      </c>
      <c r="AW28" s="12"/>
      <c r="AX28" s="70" t="s">
        <v>132</v>
      </c>
      <c r="AY28" s="70" t="s">
        <v>132</v>
      </c>
      <c r="AZ28" s="70" t="s">
        <v>203</v>
      </c>
      <c r="BA28" s="70" t="s">
        <v>132</v>
      </c>
      <c r="BB28" s="70" t="s">
        <v>203</v>
      </c>
      <c r="BC28" s="70" t="s">
        <v>203</v>
      </c>
      <c r="BD28" s="12"/>
      <c r="BE28" s="70" t="s">
        <v>203</v>
      </c>
      <c r="BF28" s="70" t="s">
        <v>203</v>
      </c>
      <c r="BG28" s="70" t="s">
        <v>203</v>
      </c>
      <c r="BH28" s="74"/>
      <c r="BI28" s="74"/>
      <c r="BJ28" s="74"/>
      <c r="BK28" s="12"/>
      <c r="BL28" s="74"/>
      <c r="BM28" s="74"/>
      <c r="BN28" s="74"/>
      <c r="BO28" s="74"/>
      <c r="BP28" s="74"/>
      <c r="BQ28" s="74"/>
      <c r="BR28" s="12"/>
      <c r="BS28" s="74"/>
      <c r="BT28" s="74"/>
      <c r="BU28" s="74"/>
      <c r="BV28" s="74"/>
    </row>
    <row r="29">
      <c r="A29" s="65">
        <v>26.0</v>
      </c>
      <c r="B29" s="43" t="s">
        <v>302</v>
      </c>
      <c r="C29" s="43" t="s">
        <v>304</v>
      </c>
      <c r="D29" s="66">
        <f t="shared" si="2"/>
        <v>41</v>
      </c>
      <c r="E29" s="66">
        <f t="shared" si="3"/>
        <v>4</v>
      </c>
      <c r="F29" s="66">
        <f t="shared" si="4"/>
        <v>45</v>
      </c>
      <c r="G29" s="69">
        <f t="shared" si="5"/>
        <v>91.11111111</v>
      </c>
      <c r="H29" s="70" t="s">
        <v>203</v>
      </c>
      <c r="I29" s="70" t="s">
        <v>203</v>
      </c>
      <c r="J29" s="70" t="s">
        <v>203</v>
      </c>
      <c r="K29" s="70" t="s">
        <v>203</v>
      </c>
      <c r="L29" s="70" t="s">
        <v>203</v>
      </c>
      <c r="M29" s="70" t="s">
        <v>203</v>
      </c>
      <c r="N29" s="12"/>
      <c r="O29" s="70" t="s">
        <v>203</v>
      </c>
      <c r="P29" s="70" t="s">
        <v>203</v>
      </c>
      <c r="Q29" s="70" t="s">
        <v>203</v>
      </c>
      <c r="R29" s="70" t="s">
        <v>203</v>
      </c>
      <c r="S29" s="70" t="s">
        <v>203</v>
      </c>
      <c r="T29" s="70" t="s">
        <v>203</v>
      </c>
      <c r="U29" s="12"/>
      <c r="V29" s="70" t="s">
        <v>203</v>
      </c>
      <c r="W29" s="70" t="s">
        <v>203</v>
      </c>
      <c r="X29" s="70" t="s">
        <v>203</v>
      </c>
      <c r="Y29" s="70" t="s">
        <v>203</v>
      </c>
      <c r="Z29" s="70" t="s">
        <v>203</v>
      </c>
      <c r="AA29" s="70" t="s">
        <v>203</v>
      </c>
      <c r="AB29" s="12"/>
      <c r="AC29" s="70" t="s">
        <v>203</v>
      </c>
      <c r="AD29" s="70" t="s">
        <v>203</v>
      </c>
      <c r="AE29" s="70" t="s">
        <v>203</v>
      </c>
      <c r="AF29" s="70" t="s">
        <v>203</v>
      </c>
      <c r="AG29" s="70" t="s">
        <v>203</v>
      </c>
      <c r="AH29" s="70" t="s">
        <v>203</v>
      </c>
      <c r="AI29" s="12"/>
      <c r="AJ29" s="70" t="s">
        <v>132</v>
      </c>
      <c r="AK29" s="70" t="s">
        <v>132</v>
      </c>
      <c r="AL29" s="70" t="s">
        <v>132</v>
      </c>
      <c r="AM29" s="70" t="s">
        <v>203</v>
      </c>
      <c r="AN29" s="70" t="s">
        <v>132</v>
      </c>
      <c r="AO29" s="70" t="s">
        <v>203</v>
      </c>
      <c r="AP29" s="12"/>
      <c r="AQ29" s="70" t="s">
        <v>203</v>
      </c>
      <c r="AR29" s="70" t="s">
        <v>203</v>
      </c>
      <c r="AS29" s="70" t="s">
        <v>203</v>
      </c>
      <c r="AT29" s="70" t="s">
        <v>203</v>
      </c>
      <c r="AU29" s="70" t="s">
        <v>203</v>
      </c>
      <c r="AV29" s="70" t="s">
        <v>203</v>
      </c>
      <c r="AW29" s="12"/>
      <c r="AX29" s="70" t="s">
        <v>203</v>
      </c>
      <c r="AY29" s="70" t="s">
        <v>203</v>
      </c>
      <c r="AZ29" s="70" t="s">
        <v>203</v>
      </c>
      <c r="BA29" s="70" t="s">
        <v>203</v>
      </c>
      <c r="BB29" s="70" t="s">
        <v>203</v>
      </c>
      <c r="BC29" s="70" t="s">
        <v>203</v>
      </c>
      <c r="BD29" s="12"/>
      <c r="BE29" s="70" t="s">
        <v>203</v>
      </c>
      <c r="BF29" s="70" t="s">
        <v>203</v>
      </c>
      <c r="BG29" s="70" t="s">
        <v>203</v>
      </c>
      <c r="BH29" s="74"/>
      <c r="BI29" s="74"/>
      <c r="BJ29" s="74"/>
      <c r="BK29" s="12"/>
      <c r="BL29" s="74"/>
      <c r="BM29" s="74"/>
      <c r="BN29" s="74"/>
      <c r="BO29" s="74"/>
      <c r="BP29" s="74"/>
      <c r="BQ29" s="74"/>
      <c r="BR29" s="12"/>
      <c r="BS29" s="74"/>
      <c r="BT29" s="74"/>
      <c r="BU29" s="74"/>
      <c r="BV29" s="74"/>
    </row>
    <row r="30">
      <c r="A30" s="65">
        <v>27.0</v>
      </c>
      <c r="B30" s="43" t="s">
        <v>420</v>
      </c>
      <c r="C30" s="43" t="s">
        <v>421</v>
      </c>
      <c r="D30" s="66">
        <f t="shared" si="2"/>
        <v>38</v>
      </c>
      <c r="E30" s="66">
        <f t="shared" si="3"/>
        <v>7</v>
      </c>
      <c r="F30" s="66">
        <f t="shared" si="4"/>
        <v>45</v>
      </c>
      <c r="G30" s="69">
        <f t="shared" si="5"/>
        <v>84.44444444</v>
      </c>
      <c r="H30" s="70" t="s">
        <v>203</v>
      </c>
      <c r="I30" s="70" t="s">
        <v>203</v>
      </c>
      <c r="J30" s="70" t="s">
        <v>203</v>
      </c>
      <c r="K30" s="70" t="s">
        <v>203</v>
      </c>
      <c r="L30" s="70" t="s">
        <v>203</v>
      </c>
      <c r="M30" s="70" t="s">
        <v>203</v>
      </c>
      <c r="N30" s="12"/>
      <c r="O30" s="70" t="s">
        <v>132</v>
      </c>
      <c r="P30" s="70" t="s">
        <v>203</v>
      </c>
      <c r="Q30" s="70" t="s">
        <v>203</v>
      </c>
      <c r="R30" s="70" t="s">
        <v>203</v>
      </c>
      <c r="S30" s="70" t="s">
        <v>203</v>
      </c>
      <c r="T30" s="70" t="s">
        <v>203</v>
      </c>
      <c r="U30" s="12"/>
      <c r="V30" s="70" t="s">
        <v>203</v>
      </c>
      <c r="W30" s="70" t="s">
        <v>132</v>
      </c>
      <c r="X30" s="70" t="s">
        <v>203</v>
      </c>
      <c r="Y30" s="70" t="s">
        <v>203</v>
      </c>
      <c r="Z30" s="70" t="s">
        <v>203</v>
      </c>
      <c r="AA30" s="70" t="s">
        <v>203</v>
      </c>
      <c r="AB30" s="12"/>
      <c r="AC30" s="70" t="s">
        <v>203</v>
      </c>
      <c r="AD30" s="70" t="s">
        <v>203</v>
      </c>
      <c r="AE30" s="70" t="s">
        <v>203</v>
      </c>
      <c r="AF30" s="70" t="s">
        <v>203</v>
      </c>
      <c r="AG30" s="70" t="s">
        <v>203</v>
      </c>
      <c r="AH30" s="70" t="s">
        <v>203</v>
      </c>
      <c r="AI30" s="12"/>
      <c r="AJ30" s="70" t="s">
        <v>203</v>
      </c>
      <c r="AK30" s="70" t="s">
        <v>132</v>
      </c>
      <c r="AL30" s="70" t="s">
        <v>203</v>
      </c>
      <c r="AM30" s="70" t="s">
        <v>203</v>
      </c>
      <c r="AN30" s="70" t="s">
        <v>132</v>
      </c>
      <c r="AO30" s="70" t="s">
        <v>203</v>
      </c>
      <c r="AP30" s="12"/>
      <c r="AQ30" s="70" t="s">
        <v>203</v>
      </c>
      <c r="AR30" s="70" t="s">
        <v>203</v>
      </c>
      <c r="AS30" s="70" t="s">
        <v>203</v>
      </c>
      <c r="AT30" s="70" t="s">
        <v>132</v>
      </c>
      <c r="AU30" s="70" t="s">
        <v>203</v>
      </c>
      <c r="AV30" s="70" t="s">
        <v>203</v>
      </c>
      <c r="AW30" s="12"/>
      <c r="AX30" s="70" t="s">
        <v>132</v>
      </c>
      <c r="AY30" s="70" t="s">
        <v>203</v>
      </c>
      <c r="AZ30" s="70" t="s">
        <v>132</v>
      </c>
      <c r="BA30" s="70" t="s">
        <v>203</v>
      </c>
      <c r="BB30" s="70" t="s">
        <v>203</v>
      </c>
      <c r="BC30" s="70" t="s">
        <v>203</v>
      </c>
      <c r="BD30" s="12"/>
      <c r="BE30" s="70" t="s">
        <v>203</v>
      </c>
      <c r="BF30" s="70" t="s">
        <v>203</v>
      </c>
      <c r="BG30" s="70" t="s">
        <v>203</v>
      </c>
      <c r="BH30" s="74"/>
      <c r="BI30" s="74"/>
      <c r="BJ30" s="74"/>
      <c r="BK30" s="12"/>
      <c r="BL30" s="74"/>
      <c r="BM30" s="74"/>
      <c r="BN30" s="74"/>
      <c r="BO30" s="74"/>
      <c r="BP30" s="74"/>
      <c r="BQ30" s="74"/>
      <c r="BR30" s="12"/>
      <c r="BS30" s="74"/>
      <c r="BT30" s="74"/>
      <c r="BU30" s="74"/>
      <c r="BV30" s="74"/>
    </row>
    <row r="31">
      <c r="A31" s="65">
        <v>28.0</v>
      </c>
      <c r="B31" s="108" t="s">
        <v>528</v>
      </c>
      <c r="C31" s="74"/>
      <c r="D31" s="66">
        <f t="shared" si="2"/>
        <v>29</v>
      </c>
      <c r="E31" s="66">
        <f t="shared" si="3"/>
        <v>16</v>
      </c>
      <c r="F31" s="66">
        <f t="shared" si="4"/>
        <v>45</v>
      </c>
      <c r="G31" s="69">
        <f t="shared" si="5"/>
        <v>64.44444444</v>
      </c>
      <c r="H31" s="70" t="s">
        <v>380</v>
      </c>
      <c r="I31" s="70" t="s">
        <v>380</v>
      </c>
      <c r="J31" s="70" t="s">
        <v>380</v>
      </c>
      <c r="K31" s="70" t="s">
        <v>380</v>
      </c>
      <c r="L31" s="70" t="s">
        <v>203</v>
      </c>
      <c r="M31" s="70" t="s">
        <v>203</v>
      </c>
      <c r="N31" s="12"/>
      <c r="O31" s="70" t="s">
        <v>203</v>
      </c>
      <c r="P31" s="70" t="s">
        <v>132</v>
      </c>
      <c r="Q31" s="70" t="s">
        <v>203</v>
      </c>
      <c r="R31" s="70" t="s">
        <v>203</v>
      </c>
      <c r="S31" s="70" t="s">
        <v>203</v>
      </c>
      <c r="T31" s="70" t="s">
        <v>203</v>
      </c>
      <c r="U31" s="12"/>
      <c r="V31" s="70" t="s">
        <v>132</v>
      </c>
      <c r="W31" s="70" t="s">
        <v>203</v>
      </c>
      <c r="X31" s="70" t="s">
        <v>203</v>
      </c>
      <c r="Y31" s="70" t="s">
        <v>203</v>
      </c>
      <c r="Z31" s="70" t="s">
        <v>203</v>
      </c>
      <c r="AA31" s="70" t="s">
        <v>132</v>
      </c>
      <c r="AB31" s="12"/>
      <c r="AC31" s="70" t="s">
        <v>203</v>
      </c>
      <c r="AD31" s="70" t="s">
        <v>203</v>
      </c>
      <c r="AE31" s="70" t="s">
        <v>203</v>
      </c>
      <c r="AF31" s="70" t="s">
        <v>203</v>
      </c>
      <c r="AG31" s="70" t="s">
        <v>203</v>
      </c>
      <c r="AH31" s="70" t="s">
        <v>203</v>
      </c>
      <c r="AI31" s="12"/>
      <c r="AJ31" s="70" t="s">
        <v>132</v>
      </c>
      <c r="AK31" s="70" t="s">
        <v>132</v>
      </c>
      <c r="AL31" s="70" t="s">
        <v>132</v>
      </c>
      <c r="AM31" s="70" t="s">
        <v>132</v>
      </c>
      <c r="AN31" s="70" t="s">
        <v>132</v>
      </c>
      <c r="AO31" s="70" t="s">
        <v>132</v>
      </c>
      <c r="AP31" s="12"/>
      <c r="AQ31" s="70" t="s">
        <v>132</v>
      </c>
      <c r="AR31" s="70" t="s">
        <v>203</v>
      </c>
      <c r="AS31" s="70" t="s">
        <v>203</v>
      </c>
      <c r="AT31" s="70" t="s">
        <v>203</v>
      </c>
      <c r="AU31" s="70" t="s">
        <v>203</v>
      </c>
      <c r="AV31" s="70" t="s">
        <v>203</v>
      </c>
      <c r="AW31" s="12"/>
      <c r="AX31" s="70" t="s">
        <v>132</v>
      </c>
      <c r="AY31" s="70" t="s">
        <v>203</v>
      </c>
      <c r="AZ31" s="70" t="s">
        <v>132</v>
      </c>
      <c r="BA31" s="70" t="s">
        <v>203</v>
      </c>
      <c r="BB31" s="70" t="s">
        <v>203</v>
      </c>
      <c r="BC31" s="70" t="s">
        <v>203</v>
      </c>
      <c r="BD31" s="12"/>
      <c r="BE31" s="70" t="s">
        <v>203</v>
      </c>
      <c r="BF31" s="70" t="s">
        <v>203</v>
      </c>
      <c r="BG31" s="70" t="s">
        <v>203</v>
      </c>
      <c r="BH31" s="74"/>
      <c r="BI31" s="74"/>
      <c r="BJ31" s="74"/>
      <c r="BK31" s="12"/>
      <c r="BL31" s="74"/>
      <c r="BM31" s="74"/>
      <c r="BN31" s="74"/>
      <c r="BO31" s="74"/>
      <c r="BP31" s="74"/>
      <c r="BQ31" s="74"/>
      <c r="BR31" s="12"/>
      <c r="BS31" s="74"/>
      <c r="BT31" s="74"/>
      <c r="BU31" s="74"/>
      <c r="BV31" s="74"/>
    </row>
    <row r="32">
      <c r="A32" s="65">
        <v>29.0</v>
      </c>
      <c r="B32" s="43" t="s">
        <v>321</v>
      </c>
      <c r="C32" s="43" t="s">
        <v>322</v>
      </c>
      <c r="D32" s="66">
        <f t="shared" si="2"/>
        <v>45</v>
      </c>
      <c r="E32" s="66">
        <f t="shared" si="3"/>
        <v>0</v>
      </c>
      <c r="F32" s="66">
        <f t="shared" si="4"/>
        <v>45</v>
      </c>
      <c r="G32" s="69">
        <f t="shared" si="5"/>
        <v>100</v>
      </c>
      <c r="H32" s="82" t="s">
        <v>203</v>
      </c>
      <c r="I32" s="82" t="s">
        <v>203</v>
      </c>
      <c r="J32" s="82" t="s">
        <v>203</v>
      </c>
      <c r="K32" s="82" t="s">
        <v>203</v>
      </c>
      <c r="L32" s="82" t="s">
        <v>203</v>
      </c>
      <c r="M32" s="82" t="s">
        <v>203</v>
      </c>
      <c r="N32" s="12"/>
      <c r="O32" s="82" t="s">
        <v>203</v>
      </c>
      <c r="P32" s="82" t="s">
        <v>203</v>
      </c>
      <c r="Q32" s="82" t="s">
        <v>203</v>
      </c>
      <c r="R32" s="82" t="s">
        <v>203</v>
      </c>
      <c r="S32" s="82" t="s">
        <v>203</v>
      </c>
      <c r="T32" s="82" t="s">
        <v>203</v>
      </c>
      <c r="U32" s="12"/>
      <c r="V32" s="82" t="s">
        <v>203</v>
      </c>
      <c r="W32" s="82" t="s">
        <v>203</v>
      </c>
      <c r="X32" s="82" t="s">
        <v>203</v>
      </c>
      <c r="Y32" s="82" t="s">
        <v>203</v>
      </c>
      <c r="Z32" s="82" t="s">
        <v>203</v>
      </c>
      <c r="AA32" s="82" t="s">
        <v>203</v>
      </c>
      <c r="AB32" s="12"/>
      <c r="AC32" s="82" t="s">
        <v>203</v>
      </c>
      <c r="AD32" s="82" t="s">
        <v>203</v>
      </c>
      <c r="AE32" s="82" t="s">
        <v>203</v>
      </c>
      <c r="AF32" s="82" t="s">
        <v>203</v>
      </c>
      <c r="AG32" s="82" t="s">
        <v>203</v>
      </c>
      <c r="AH32" s="82" t="s">
        <v>203</v>
      </c>
      <c r="AI32" s="12"/>
      <c r="AJ32" s="82" t="s">
        <v>203</v>
      </c>
      <c r="AK32" s="82" t="s">
        <v>203</v>
      </c>
      <c r="AL32" s="82" t="s">
        <v>203</v>
      </c>
      <c r="AM32" s="82" t="s">
        <v>203</v>
      </c>
      <c r="AN32" s="82" t="s">
        <v>203</v>
      </c>
      <c r="AO32" s="82" t="s">
        <v>203</v>
      </c>
      <c r="AP32" s="12"/>
      <c r="AQ32" s="82" t="s">
        <v>203</v>
      </c>
      <c r="AR32" s="82" t="s">
        <v>203</v>
      </c>
      <c r="AS32" s="82" t="s">
        <v>203</v>
      </c>
      <c r="AT32" s="82" t="s">
        <v>203</v>
      </c>
      <c r="AU32" s="82" t="s">
        <v>203</v>
      </c>
      <c r="AV32" s="82" t="s">
        <v>203</v>
      </c>
      <c r="AW32" s="12"/>
      <c r="AX32" s="82" t="s">
        <v>203</v>
      </c>
      <c r="AY32" s="82" t="s">
        <v>203</v>
      </c>
      <c r="AZ32" s="82" t="s">
        <v>203</v>
      </c>
      <c r="BA32" s="82" t="s">
        <v>203</v>
      </c>
      <c r="BB32" s="82" t="s">
        <v>203</v>
      </c>
      <c r="BC32" s="70" t="s">
        <v>203</v>
      </c>
      <c r="BD32" s="12"/>
      <c r="BE32" s="70" t="s">
        <v>203</v>
      </c>
      <c r="BF32" s="70" t="s">
        <v>203</v>
      </c>
      <c r="BG32" s="70" t="s">
        <v>203</v>
      </c>
      <c r="BH32" s="74"/>
      <c r="BI32" s="74"/>
      <c r="BJ32" s="74"/>
      <c r="BK32" s="12"/>
      <c r="BL32" s="74"/>
      <c r="BM32" s="74"/>
      <c r="BN32" s="74"/>
      <c r="BO32" s="74"/>
      <c r="BP32" s="74"/>
      <c r="BQ32" s="74"/>
      <c r="BR32" s="12"/>
      <c r="BS32" s="74"/>
      <c r="BT32" s="74"/>
      <c r="BU32" s="74"/>
      <c r="BV32" s="74"/>
    </row>
    <row r="33">
      <c r="A33" s="65">
        <v>30.0</v>
      </c>
      <c r="B33" s="43" t="s">
        <v>311</v>
      </c>
      <c r="C33" s="43" t="s">
        <v>313</v>
      </c>
      <c r="D33" s="66">
        <f t="shared" si="2"/>
        <v>45</v>
      </c>
      <c r="E33" s="66">
        <f t="shared" si="3"/>
        <v>0</v>
      </c>
      <c r="F33" s="66">
        <f t="shared" si="4"/>
        <v>45</v>
      </c>
      <c r="G33" s="69">
        <f t="shared" si="5"/>
        <v>100</v>
      </c>
      <c r="H33" s="70" t="s">
        <v>203</v>
      </c>
      <c r="I33" s="70" t="s">
        <v>203</v>
      </c>
      <c r="J33" s="70" t="s">
        <v>203</v>
      </c>
      <c r="K33" s="70" t="s">
        <v>203</v>
      </c>
      <c r="L33" s="70" t="s">
        <v>203</v>
      </c>
      <c r="M33" s="70" t="s">
        <v>203</v>
      </c>
      <c r="N33" s="12"/>
      <c r="O33" s="70" t="s">
        <v>247</v>
      </c>
      <c r="P33" s="70" t="s">
        <v>247</v>
      </c>
      <c r="Q33" s="70" t="s">
        <v>203</v>
      </c>
      <c r="R33" s="70" t="s">
        <v>203</v>
      </c>
      <c r="S33" s="70" t="s">
        <v>203</v>
      </c>
      <c r="T33" s="70" t="s">
        <v>203</v>
      </c>
      <c r="U33" s="12"/>
      <c r="V33" s="70" t="s">
        <v>203</v>
      </c>
      <c r="W33" s="70" t="s">
        <v>203</v>
      </c>
      <c r="X33" s="70" t="s">
        <v>203</v>
      </c>
      <c r="Y33" s="70" t="s">
        <v>203</v>
      </c>
      <c r="Z33" s="70" t="s">
        <v>203</v>
      </c>
      <c r="AA33" s="70" t="s">
        <v>203</v>
      </c>
      <c r="AB33" s="12"/>
      <c r="AC33" s="70" t="s">
        <v>203</v>
      </c>
      <c r="AD33" s="70" t="s">
        <v>203</v>
      </c>
      <c r="AE33" s="70" t="s">
        <v>203</v>
      </c>
      <c r="AF33" s="70" t="s">
        <v>203</v>
      </c>
      <c r="AG33" s="70" t="s">
        <v>203</v>
      </c>
      <c r="AH33" s="70" t="s">
        <v>203</v>
      </c>
      <c r="AI33" s="12"/>
      <c r="AJ33" s="70" t="s">
        <v>203</v>
      </c>
      <c r="AK33" s="70" t="s">
        <v>203</v>
      </c>
      <c r="AL33" s="70" t="s">
        <v>203</v>
      </c>
      <c r="AM33" s="70" t="s">
        <v>203</v>
      </c>
      <c r="AN33" s="70" t="s">
        <v>203</v>
      </c>
      <c r="AO33" s="70" t="s">
        <v>203</v>
      </c>
      <c r="AP33" s="12"/>
      <c r="AQ33" s="70" t="s">
        <v>203</v>
      </c>
      <c r="AR33" s="70" t="s">
        <v>203</v>
      </c>
      <c r="AS33" s="70" t="s">
        <v>203</v>
      </c>
      <c r="AT33" s="70" t="s">
        <v>203</v>
      </c>
      <c r="AU33" s="70" t="s">
        <v>203</v>
      </c>
      <c r="AV33" s="70" t="s">
        <v>203</v>
      </c>
      <c r="AW33" s="12"/>
      <c r="AX33" s="70" t="s">
        <v>203</v>
      </c>
      <c r="AY33" s="70" t="s">
        <v>203</v>
      </c>
      <c r="AZ33" s="70" t="s">
        <v>203</v>
      </c>
      <c r="BA33" s="70" t="s">
        <v>203</v>
      </c>
      <c r="BB33" s="70" t="s">
        <v>203</v>
      </c>
      <c r="BC33" s="70" t="s">
        <v>203</v>
      </c>
      <c r="BD33" s="12"/>
      <c r="BE33" s="70" t="s">
        <v>203</v>
      </c>
      <c r="BF33" s="70" t="s">
        <v>203</v>
      </c>
      <c r="BG33" s="70" t="s">
        <v>203</v>
      </c>
      <c r="BH33" s="74"/>
      <c r="BI33" s="74"/>
      <c r="BJ33" s="74"/>
      <c r="BK33" s="12"/>
      <c r="BL33" s="74"/>
      <c r="BM33" s="74"/>
      <c r="BN33" s="74"/>
      <c r="BO33" s="74"/>
      <c r="BP33" s="74"/>
      <c r="BQ33" s="74"/>
      <c r="BR33" s="12"/>
      <c r="BS33" s="74"/>
      <c r="BT33" s="74"/>
      <c r="BU33" s="74"/>
      <c r="BV33" s="74"/>
    </row>
    <row r="34">
      <c r="A34" s="65">
        <v>31.0</v>
      </c>
      <c r="B34" s="43" t="s">
        <v>533</v>
      </c>
      <c r="C34" s="43" t="s">
        <v>534</v>
      </c>
      <c r="D34" s="66">
        <f t="shared" si="2"/>
        <v>19</v>
      </c>
      <c r="E34" s="66">
        <f t="shared" si="3"/>
        <v>26</v>
      </c>
      <c r="F34" s="66">
        <f t="shared" si="4"/>
        <v>45</v>
      </c>
      <c r="G34" s="69">
        <f t="shared" si="5"/>
        <v>42.22222222</v>
      </c>
      <c r="H34" s="70" t="s">
        <v>132</v>
      </c>
      <c r="I34" s="70" t="s">
        <v>132</v>
      </c>
      <c r="J34" s="70" t="s">
        <v>132</v>
      </c>
      <c r="K34" s="70" t="s">
        <v>132</v>
      </c>
      <c r="L34" s="70" t="s">
        <v>132</v>
      </c>
      <c r="M34" s="70" t="s">
        <v>132</v>
      </c>
      <c r="N34" s="12"/>
      <c r="O34" s="70" t="s">
        <v>203</v>
      </c>
      <c r="P34" s="70" t="s">
        <v>203</v>
      </c>
      <c r="Q34" s="70" t="s">
        <v>132</v>
      </c>
      <c r="R34" s="70" t="s">
        <v>203</v>
      </c>
      <c r="S34" s="70" t="s">
        <v>203</v>
      </c>
      <c r="T34" s="70" t="s">
        <v>203</v>
      </c>
      <c r="U34" s="12"/>
      <c r="V34" s="70" t="s">
        <v>132</v>
      </c>
      <c r="W34" s="70" t="s">
        <v>203</v>
      </c>
      <c r="X34" s="70" t="s">
        <v>203</v>
      </c>
      <c r="Y34" s="70" t="s">
        <v>132</v>
      </c>
      <c r="Z34" s="70" t="s">
        <v>203</v>
      </c>
      <c r="AA34" s="70" t="s">
        <v>203</v>
      </c>
      <c r="AB34" s="12"/>
      <c r="AC34" s="70" t="s">
        <v>203</v>
      </c>
      <c r="AD34" s="70" t="s">
        <v>203</v>
      </c>
      <c r="AE34" s="70" t="s">
        <v>203</v>
      </c>
      <c r="AF34" s="70" t="s">
        <v>203</v>
      </c>
      <c r="AG34" s="70" t="s">
        <v>132</v>
      </c>
      <c r="AH34" s="70" t="s">
        <v>132</v>
      </c>
      <c r="AI34" s="12"/>
      <c r="AJ34" s="70" t="s">
        <v>203</v>
      </c>
      <c r="AK34" s="70" t="s">
        <v>132</v>
      </c>
      <c r="AL34" s="82" t="s">
        <v>203</v>
      </c>
      <c r="AM34" s="82" t="s">
        <v>203</v>
      </c>
      <c r="AN34" s="82" t="s">
        <v>132</v>
      </c>
      <c r="AO34" s="82" t="s">
        <v>132</v>
      </c>
      <c r="AP34" s="12"/>
      <c r="AQ34" s="82" t="s">
        <v>203</v>
      </c>
      <c r="AR34" s="82" t="s">
        <v>203</v>
      </c>
      <c r="AS34" s="82" t="s">
        <v>203</v>
      </c>
      <c r="AT34" s="82" t="s">
        <v>132</v>
      </c>
      <c r="AU34" s="82" t="s">
        <v>132</v>
      </c>
      <c r="AV34" s="82" t="s">
        <v>132</v>
      </c>
      <c r="AW34" s="12"/>
      <c r="AX34" s="82" t="s">
        <v>132</v>
      </c>
      <c r="AY34" s="82" t="s">
        <v>132</v>
      </c>
      <c r="AZ34" s="82" t="s">
        <v>132</v>
      </c>
      <c r="BA34" s="82" t="s">
        <v>132</v>
      </c>
      <c r="BB34" s="82" t="s">
        <v>132</v>
      </c>
      <c r="BC34" s="70" t="s">
        <v>132</v>
      </c>
      <c r="BD34" s="12"/>
      <c r="BE34" s="70" t="s">
        <v>132</v>
      </c>
      <c r="BF34" s="70" t="s">
        <v>132</v>
      </c>
      <c r="BG34" s="70" t="s">
        <v>132</v>
      </c>
      <c r="BH34" s="74"/>
      <c r="BI34" s="74"/>
      <c r="BJ34" s="74"/>
      <c r="BK34" s="12"/>
      <c r="BL34" s="74"/>
      <c r="BM34" s="74"/>
      <c r="BN34" s="74"/>
      <c r="BO34" s="74"/>
      <c r="BP34" s="74"/>
      <c r="BQ34" s="74"/>
      <c r="BR34" s="12"/>
      <c r="BS34" s="74"/>
      <c r="BT34" s="74"/>
      <c r="BU34" s="74"/>
      <c r="BV34" s="74"/>
    </row>
    <row r="35">
      <c r="A35" s="65">
        <v>32.0</v>
      </c>
      <c r="B35" s="43" t="s">
        <v>388</v>
      </c>
      <c r="C35" s="43" t="s">
        <v>389</v>
      </c>
      <c r="D35" s="66">
        <f t="shared" si="2"/>
        <v>42</v>
      </c>
      <c r="E35" s="66">
        <f t="shared" si="3"/>
        <v>3</v>
      </c>
      <c r="F35" s="66">
        <f t="shared" si="4"/>
        <v>45</v>
      </c>
      <c r="G35" s="69">
        <f t="shared" si="5"/>
        <v>93.33333333</v>
      </c>
      <c r="H35" s="70" t="s">
        <v>132</v>
      </c>
      <c r="I35" s="70" t="s">
        <v>132</v>
      </c>
      <c r="J35" s="70" t="s">
        <v>132</v>
      </c>
      <c r="K35" s="70" t="s">
        <v>203</v>
      </c>
      <c r="L35" s="70" t="s">
        <v>203</v>
      </c>
      <c r="M35" s="70" t="s">
        <v>203</v>
      </c>
      <c r="N35" s="12"/>
      <c r="O35" s="70" t="s">
        <v>203</v>
      </c>
      <c r="P35" s="70" t="s">
        <v>203</v>
      </c>
      <c r="Q35" s="70" t="s">
        <v>203</v>
      </c>
      <c r="R35" s="70" t="s">
        <v>203</v>
      </c>
      <c r="S35" s="70" t="s">
        <v>203</v>
      </c>
      <c r="T35" s="70" t="s">
        <v>203</v>
      </c>
      <c r="U35" s="12"/>
      <c r="V35" s="70" t="s">
        <v>203</v>
      </c>
      <c r="W35" s="70" t="s">
        <v>203</v>
      </c>
      <c r="X35" s="70" t="s">
        <v>203</v>
      </c>
      <c r="Y35" s="70" t="s">
        <v>203</v>
      </c>
      <c r="Z35" s="70" t="s">
        <v>203</v>
      </c>
      <c r="AA35" s="70" t="s">
        <v>203</v>
      </c>
      <c r="AB35" s="12"/>
      <c r="AC35" s="70" t="s">
        <v>203</v>
      </c>
      <c r="AD35" s="70" t="s">
        <v>203</v>
      </c>
      <c r="AE35" s="70" t="s">
        <v>203</v>
      </c>
      <c r="AF35" s="70" t="s">
        <v>203</v>
      </c>
      <c r="AG35" s="70" t="s">
        <v>203</v>
      </c>
      <c r="AH35" s="70" t="s">
        <v>203</v>
      </c>
      <c r="AI35" s="12"/>
      <c r="AJ35" s="70" t="s">
        <v>203</v>
      </c>
      <c r="AK35" s="70" t="s">
        <v>203</v>
      </c>
      <c r="AL35" s="70" t="s">
        <v>203</v>
      </c>
      <c r="AM35" s="70" t="s">
        <v>203</v>
      </c>
      <c r="AN35" s="70" t="s">
        <v>203</v>
      </c>
      <c r="AO35" s="70" t="s">
        <v>203</v>
      </c>
      <c r="AP35" s="12"/>
      <c r="AQ35" s="70" t="s">
        <v>203</v>
      </c>
      <c r="AR35" s="70" t="s">
        <v>203</v>
      </c>
      <c r="AS35" s="70" t="s">
        <v>203</v>
      </c>
      <c r="AT35" s="70" t="s">
        <v>203</v>
      </c>
      <c r="AU35" s="70" t="s">
        <v>203</v>
      </c>
      <c r="AV35" s="70" t="s">
        <v>203</v>
      </c>
      <c r="AW35" s="12"/>
      <c r="AX35" s="70" t="s">
        <v>203</v>
      </c>
      <c r="AY35" s="70" t="s">
        <v>203</v>
      </c>
      <c r="AZ35" s="70" t="s">
        <v>203</v>
      </c>
      <c r="BA35" s="70" t="s">
        <v>203</v>
      </c>
      <c r="BB35" s="70" t="s">
        <v>203</v>
      </c>
      <c r="BC35" s="70" t="s">
        <v>203</v>
      </c>
      <c r="BD35" s="12"/>
      <c r="BE35" s="70" t="s">
        <v>203</v>
      </c>
      <c r="BF35" s="70" t="s">
        <v>203</v>
      </c>
      <c r="BG35" s="70" t="s">
        <v>203</v>
      </c>
      <c r="BH35" s="74"/>
      <c r="BI35" s="74"/>
      <c r="BJ35" s="74"/>
      <c r="BK35" s="12"/>
      <c r="BL35" s="74"/>
      <c r="BM35" s="74"/>
      <c r="BN35" s="74"/>
      <c r="BO35" s="74"/>
      <c r="BP35" s="74"/>
      <c r="BQ35" s="74"/>
      <c r="BR35" s="12"/>
      <c r="BS35" s="74"/>
      <c r="BT35" s="74"/>
      <c r="BU35" s="74"/>
      <c r="BV35" s="74"/>
    </row>
    <row r="36">
      <c r="A36" s="65">
        <v>33.0</v>
      </c>
      <c r="B36" s="43" t="s">
        <v>344</v>
      </c>
      <c r="C36" s="43" t="s">
        <v>345</v>
      </c>
      <c r="D36" s="66">
        <f t="shared" si="2"/>
        <v>38</v>
      </c>
      <c r="E36" s="66">
        <f t="shared" si="3"/>
        <v>7</v>
      </c>
      <c r="F36" s="66">
        <f t="shared" si="4"/>
        <v>45</v>
      </c>
      <c r="G36" s="69">
        <f t="shared" si="5"/>
        <v>84.44444444</v>
      </c>
      <c r="H36" s="70" t="s">
        <v>132</v>
      </c>
      <c r="I36" s="70" t="s">
        <v>132</v>
      </c>
      <c r="J36" s="70" t="s">
        <v>132</v>
      </c>
      <c r="K36" s="70" t="s">
        <v>132</v>
      </c>
      <c r="L36" s="70" t="s">
        <v>132</v>
      </c>
      <c r="M36" s="70" t="s">
        <v>132</v>
      </c>
      <c r="N36" s="12"/>
      <c r="O36" s="70" t="s">
        <v>203</v>
      </c>
      <c r="P36" s="70" t="s">
        <v>203</v>
      </c>
      <c r="Q36" s="70" t="s">
        <v>203</v>
      </c>
      <c r="R36" s="70" t="s">
        <v>203</v>
      </c>
      <c r="S36" s="70" t="s">
        <v>203</v>
      </c>
      <c r="T36" s="70" t="s">
        <v>203</v>
      </c>
      <c r="U36" s="12"/>
      <c r="V36" s="70" t="s">
        <v>203</v>
      </c>
      <c r="W36" s="70" t="s">
        <v>203</v>
      </c>
      <c r="X36" s="70" t="s">
        <v>203</v>
      </c>
      <c r="Y36" s="70" t="s">
        <v>203</v>
      </c>
      <c r="Z36" s="70" t="s">
        <v>203</v>
      </c>
      <c r="AA36" s="70" t="s">
        <v>203</v>
      </c>
      <c r="AB36" s="12"/>
      <c r="AC36" s="70" t="s">
        <v>203</v>
      </c>
      <c r="AD36" s="70" t="s">
        <v>203</v>
      </c>
      <c r="AE36" s="70" t="s">
        <v>203</v>
      </c>
      <c r="AF36" s="70" t="s">
        <v>203</v>
      </c>
      <c r="AG36" s="70" t="s">
        <v>203</v>
      </c>
      <c r="AH36" s="70" t="s">
        <v>203</v>
      </c>
      <c r="AI36" s="12"/>
      <c r="AJ36" s="70" t="s">
        <v>203</v>
      </c>
      <c r="AK36" s="70" t="s">
        <v>203</v>
      </c>
      <c r="AL36" s="70" t="s">
        <v>203</v>
      </c>
      <c r="AM36" s="70" t="s">
        <v>203</v>
      </c>
      <c r="AN36" s="70" t="s">
        <v>203</v>
      </c>
      <c r="AO36" s="70" t="s">
        <v>203</v>
      </c>
      <c r="AP36" s="12"/>
      <c r="AQ36" s="70" t="s">
        <v>203</v>
      </c>
      <c r="AR36" s="70" t="s">
        <v>203</v>
      </c>
      <c r="AS36" s="70" t="s">
        <v>203</v>
      </c>
      <c r="AT36" s="70" t="s">
        <v>203</v>
      </c>
      <c r="AU36" s="70" t="s">
        <v>203</v>
      </c>
      <c r="AV36" s="70" t="s">
        <v>203</v>
      </c>
      <c r="AW36" s="12"/>
      <c r="AX36" s="70" t="s">
        <v>132</v>
      </c>
      <c r="AY36" s="70" t="s">
        <v>203</v>
      </c>
      <c r="AZ36" s="70" t="s">
        <v>203</v>
      </c>
      <c r="BA36" s="70" t="s">
        <v>203</v>
      </c>
      <c r="BB36" s="70" t="s">
        <v>203</v>
      </c>
      <c r="BC36" s="70" t="s">
        <v>203</v>
      </c>
      <c r="BD36" s="12"/>
      <c r="BE36" s="70" t="s">
        <v>203</v>
      </c>
      <c r="BF36" s="70" t="s">
        <v>203</v>
      </c>
      <c r="BG36" s="70" t="s">
        <v>203</v>
      </c>
      <c r="BH36" s="74"/>
      <c r="BI36" s="74"/>
      <c r="BJ36" s="74"/>
      <c r="BK36" s="12"/>
      <c r="BL36" s="74"/>
      <c r="BM36" s="74"/>
      <c r="BN36" s="74"/>
      <c r="BO36" s="74"/>
      <c r="BP36" s="74"/>
      <c r="BQ36" s="74"/>
      <c r="BR36" s="12"/>
      <c r="BS36" s="74"/>
      <c r="BT36" s="74"/>
      <c r="BU36" s="74"/>
      <c r="BV36" s="74"/>
    </row>
    <row r="37">
      <c r="A37" s="65">
        <v>34.0</v>
      </c>
      <c r="B37" s="43" t="s">
        <v>250</v>
      </c>
      <c r="C37" s="43" t="s">
        <v>251</v>
      </c>
      <c r="D37" s="66">
        <f t="shared" si="2"/>
        <v>36</v>
      </c>
      <c r="E37" s="66">
        <f t="shared" si="3"/>
        <v>9</v>
      </c>
      <c r="F37" s="66">
        <f t="shared" si="4"/>
        <v>45</v>
      </c>
      <c r="G37" s="69">
        <f t="shared" si="5"/>
        <v>80</v>
      </c>
      <c r="H37" s="70" t="s">
        <v>132</v>
      </c>
      <c r="I37" s="70" t="s">
        <v>132</v>
      </c>
      <c r="J37" s="70" t="s">
        <v>132</v>
      </c>
      <c r="K37" s="70" t="s">
        <v>203</v>
      </c>
      <c r="L37" s="70" t="s">
        <v>203</v>
      </c>
      <c r="M37" s="70" t="s">
        <v>203</v>
      </c>
      <c r="N37" s="12"/>
      <c r="O37" s="70" t="s">
        <v>203</v>
      </c>
      <c r="P37" s="70" t="s">
        <v>132</v>
      </c>
      <c r="Q37" s="70" t="s">
        <v>203</v>
      </c>
      <c r="R37" s="70" t="s">
        <v>203</v>
      </c>
      <c r="S37" s="70" t="s">
        <v>203</v>
      </c>
      <c r="T37" s="70" t="s">
        <v>203</v>
      </c>
      <c r="U37" s="12"/>
      <c r="V37" s="70" t="s">
        <v>132</v>
      </c>
      <c r="W37" s="70" t="s">
        <v>203</v>
      </c>
      <c r="X37" s="70" t="s">
        <v>203</v>
      </c>
      <c r="Y37" s="70" t="s">
        <v>203</v>
      </c>
      <c r="Z37" s="70" t="s">
        <v>203</v>
      </c>
      <c r="AA37" s="70" t="s">
        <v>203</v>
      </c>
      <c r="AB37" s="12"/>
      <c r="AC37" s="70" t="s">
        <v>203</v>
      </c>
      <c r="AD37" s="70" t="s">
        <v>203</v>
      </c>
      <c r="AE37" s="70" t="s">
        <v>203</v>
      </c>
      <c r="AF37" s="70" t="s">
        <v>203</v>
      </c>
      <c r="AG37" s="70" t="s">
        <v>203</v>
      </c>
      <c r="AH37" s="70" t="s">
        <v>203</v>
      </c>
      <c r="AI37" s="12"/>
      <c r="AJ37" s="70" t="s">
        <v>203</v>
      </c>
      <c r="AK37" s="70" t="s">
        <v>203</v>
      </c>
      <c r="AL37" s="70" t="s">
        <v>203</v>
      </c>
      <c r="AM37" s="70" t="s">
        <v>203</v>
      </c>
      <c r="AN37" s="70" t="s">
        <v>132</v>
      </c>
      <c r="AO37" s="70" t="s">
        <v>203</v>
      </c>
      <c r="AP37" s="12"/>
      <c r="AQ37" s="70" t="s">
        <v>203</v>
      </c>
      <c r="AR37" s="70" t="s">
        <v>203</v>
      </c>
      <c r="AS37" s="70" t="s">
        <v>203</v>
      </c>
      <c r="AT37" s="70" t="s">
        <v>132</v>
      </c>
      <c r="AU37" s="70" t="s">
        <v>203</v>
      </c>
      <c r="AV37" s="70" t="s">
        <v>203</v>
      </c>
      <c r="AW37" s="12"/>
      <c r="AX37" s="70" t="s">
        <v>203</v>
      </c>
      <c r="AY37" s="70" t="s">
        <v>132</v>
      </c>
      <c r="AZ37" s="70" t="s">
        <v>203</v>
      </c>
      <c r="BA37" s="70" t="s">
        <v>203</v>
      </c>
      <c r="BB37" s="70" t="s">
        <v>203</v>
      </c>
      <c r="BC37" s="70" t="s">
        <v>203</v>
      </c>
      <c r="BD37" s="12"/>
      <c r="BE37" s="70" t="s">
        <v>132</v>
      </c>
      <c r="BF37" s="70" t="s">
        <v>203</v>
      </c>
      <c r="BG37" s="70" t="s">
        <v>203</v>
      </c>
      <c r="BH37" s="74"/>
      <c r="BI37" s="74"/>
      <c r="BJ37" s="74"/>
      <c r="BK37" s="12"/>
      <c r="BL37" s="74"/>
      <c r="BM37" s="74"/>
      <c r="BN37" s="74"/>
      <c r="BO37" s="74"/>
      <c r="BP37" s="74"/>
      <c r="BQ37" s="74"/>
      <c r="BR37" s="12"/>
      <c r="BS37" s="74"/>
      <c r="BT37" s="74"/>
      <c r="BU37" s="74"/>
      <c r="BV37" s="74"/>
    </row>
    <row r="38">
      <c r="A38" s="65">
        <v>35.0</v>
      </c>
      <c r="B38" s="43" t="s">
        <v>257</v>
      </c>
      <c r="C38" s="43" t="s">
        <v>258</v>
      </c>
      <c r="D38" s="66">
        <f t="shared" si="2"/>
        <v>36</v>
      </c>
      <c r="E38" s="66">
        <f t="shared" si="3"/>
        <v>9</v>
      </c>
      <c r="F38" s="66">
        <f t="shared" si="4"/>
        <v>45</v>
      </c>
      <c r="G38" s="69">
        <f t="shared" si="5"/>
        <v>80</v>
      </c>
      <c r="H38" s="70" t="s">
        <v>132</v>
      </c>
      <c r="I38" s="70" t="s">
        <v>132</v>
      </c>
      <c r="J38" s="70" t="s">
        <v>132</v>
      </c>
      <c r="K38" s="70" t="s">
        <v>203</v>
      </c>
      <c r="L38" s="70" t="s">
        <v>203</v>
      </c>
      <c r="M38" s="70" t="s">
        <v>203</v>
      </c>
      <c r="N38" s="12"/>
      <c r="O38" s="70" t="s">
        <v>203</v>
      </c>
      <c r="P38" s="70" t="s">
        <v>132</v>
      </c>
      <c r="Q38" s="70" t="s">
        <v>203</v>
      </c>
      <c r="R38" s="70" t="s">
        <v>203</v>
      </c>
      <c r="S38" s="70" t="s">
        <v>203</v>
      </c>
      <c r="T38" s="70" t="s">
        <v>203</v>
      </c>
      <c r="U38" s="12"/>
      <c r="V38" s="70" t="s">
        <v>132</v>
      </c>
      <c r="W38" s="70" t="s">
        <v>203</v>
      </c>
      <c r="X38" s="70" t="s">
        <v>203</v>
      </c>
      <c r="Y38" s="70" t="s">
        <v>203</v>
      </c>
      <c r="Z38" s="70" t="s">
        <v>203</v>
      </c>
      <c r="AA38" s="70" t="s">
        <v>203</v>
      </c>
      <c r="AB38" s="12"/>
      <c r="AC38" s="70" t="s">
        <v>203</v>
      </c>
      <c r="AD38" s="70" t="s">
        <v>203</v>
      </c>
      <c r="AE38" s="70" t="s">
        <v>203</v>
      </c>
      <c r="AF38" s="70" t="s">
        <v>203</v>
      </c>
      <c r="AG38" s="70" t="s">
        <v>203</v>
      </c>
      <c r="AH38" s="70" t="s">
        <v>203</v>
      </c>
      <c r="AI38" s="12"/>
      <c r="AJ38" s="70" t="s">
        <v>203</v>
      </c>
      <c r="AK38" s="70" t="s">
        <v>203</v>
      </c>
      <c r="AL38" s="70" t="s">
        <v>203</v>
      </c>
      <c r="AM38" s="70" t="s">
        <v>203</v>
      </c>
      <c r="AN38" s="70" t="s">
        <v>132</v>
      </c>
      <c r="AO38" s="70" t="s">
        <v>203</v>
      </c>
      <c r="AP38" s="12"/>
      <c r="AQ38" s="70" t="s">
        <v>203</v>
      </c>
      <c r="AR38" s="70" t="s">
        <v>203</v>
      </c>
      <c r="AS38" s="70" t="s">
        <v>203</v>
      </c>
      <c r="AT38" s="70" t="s">
        <v>132</v>
      </c>
      <c r="AU38" s="70" t="s">
        <v>203</v>
      </c>
      <c r="AV38" s="70" t="s">
        <v>203</v>
      </c>
      <c r="AW38" s="12"/>
      <c r="AX38" s="70" t="s">
        <v>203</v>
      </c>
      <c r="AY38" s="70" t="s">
        <v>132</v>
      </c>
      <c r="AZ38" s="70" t="s">
        <v>203</v>
      </c>
      <c r="BA38" s="70" t="s">
        <v>203</v>
      </c>
      <c r="BB38" s="70" t="s">
        <v>203</v>
      </c>
      <c r="BC38" s="70" t="s">
        <v>203</v>
      </c>
      <c r="BD38" s="12"/>
      <c r="BE38" s="70" t="s">
        <v>132</v>
      </c>
      <c r="BF38" s="70" t="s">
        <v>203</v>
      </c>
      <c r="BG38" s="70" t="s">
        <v>203</v>
      </c>
      <c r="BH38" s="74"/>
      <c r="BI38" s="74"/>
      <c r="BJ38" s="74"/>
      <c r="BK38" s="12"/>
      <c r="BL38" s="74"/>
      <c r="BM38" s="74"/>
      <c r="BN38" s="74"/>
      <c r="BO38" s="74"/>
      <c r="BP38" s="74"/>
      <c r="BQ38" s="74"/>
      <c r="BR38" s="12"/>
      <c r="BS38" s="74"/>
      <c r="BT38" s="74"/>
      <c r="BU38" s="74"/>
      <c r="BV38" s="74"/>
    </row>
    <row r="39">
      <c r="A39" s="65">
        <v>36.0</v>
      </c>
      <c r="B39" s="43" t="s">
        <v>418</v>
      </c>
      <c r="C39" s="43" t="s">
        <v>419</v>
      </c>
      <c r="D39" s="66">
        <f t="shared" si="2"/>
        <v>41</v>
      </c>
      <c r="E39" s="66">
        <f t="shared" si="3"/>
        <v>4</v>
      </c>
      <c r="F39" s="66">
        <f t="shared" si="4"/>
        <v>45</v>
      </c>
      <c r="G39" s="69">
        <f t="shared" si="5"/>
        <v>91.11111111</v>
      </c>
      <c r="H39" s="70" t="s">
        <v>203</v>
      </c>
      <c r="I39" s="70" t="s">
        <v>203</v>
      </c>
      <c r="J39" s="70" t="s">
        <v>203</v>
      </c>
      <c r="K39" s="70" t="s">
        <v>203</v>
      </c>
      <c r="L39" s="70" t="s">
        <v>203</v>
      </c>
      <c r="M39" s="70" t="s">
        <v>203</v>
      </c>
      <c r="N39" s="12"/>
      <c r="O39" s="70" t="s">
        <v>203</v>
      </c>
      <c r="P39" s="70" t="s">
        <v>203</v>
      </c>
      <c r="Q39" s="70" t="s">
        <v>203</v>
      </c>
      <c r="R39" s="70" t="s">
        <v>203</v>
      </c>
      <c r="S39" s="70" t="s">
        <v>203</v>
      </c>
      <c r="T39" s="70" t="s">
        <v>203</v>
      </c>
      <c r="U39" s="12"/>
      <c r="V39" s="70" t="s">
        <v>203</v>
      </c>
      <c r="W39" s="70" t="s">
        <v>203</v>
      </c>
      <c r="X39" s="70" t="s">
        <v>203</v>
      </c>
      <c r="Y39" s="70" t="s">
        <v>203</v>
      </c>
      <c r="Z39" s="70" t="s">
        <v>203</v>
      </c>
      <c r="AA39" s="70" t="s">
        <v>203</v>
      </c>
      <c r="AB39" s="12"/>
      <c r="AC39" s="70" t="s">
        <v>203</v>
      </c>
      <c r="AD39" s="70" t="s">
        <v>203</v>
      </c>
      <c r="AE39" s="70" t="s">
        <v>203</v>
      </c>
      <c r="AF39" s="70" t="s">
        <v>203</v>
      </c>
      <c r="AG39" s="70" t="s">
        <v>203</v>
      </c>
      <c r="AH39" s="70" t="s">
        <v>203</v>
      </c>
      <c r="AI39" s="12"/>
      <c r="AJ39" s="70" t="s">
        <v>203</v>
      </c>
      <c r="AK39" s="70" t="s">
        <v>203</v>
      </c>
      <c r="AL39" s="70" t="s">
        <v>203</v>
      </c>
      <c r="AM39" s="70" t="s">
        <v>203</v>
      </c>
      <c r="AN39" s="70" t="s">
        <v>203</v>
      </c>
      <c r="AO39" s="70" t="s">
        <v>203</v>
      </c>
      <c r="AP39" s="12"/>
      <c r="AQ39" s="70" t="s">
        <v>203</v>
      </c>
      <c r="AR39" s="70" t="s">
        <v>132</v>
      </c>
      <c r="AS39" s="70" t="s">
        <v>132</v>
      </c>
      <c r="AT39" s="70" t="s">
        <v>132</v>
      </c>
      <c r="AU39" s="82" t="s">
        <v>203</v>
      </c>
      <c r="AV39" s="82" t="s">
        <v>203</v>
      </c>
      <c r="AW39" s="12"/>
      <c r="AX39" s="82" t="s">
        <v>203</v>
      </c>
      <c r="AY39" s="82" t="s">
        <v>203</v>
      </c>
      <c r="AZ39" s="82" t="s">
        <v>203</v>
      </c>
      <c r="BA39" s="82" t="s">
        <v>203</v>
      </c>
      <c r="BB39" s="82" t="s">
        <v>132</v>
      </c>
      <c r="BC39" s="70" t="s">
        <v>203</v>
      </c>
      <c r="BD39" s="12"/>
      <c r="BE39" s="70" t="s">
        <v>203</v>
      </c>
      <c r="BF39" s="70" t="s">
        <v>203</v>
      </c>
      <c r="BG39" s="70" t="s">
        <v>203</v>
      </c>
      <c r="BH39" s="74"/>
      <c r="BI39" s="74"/>
      <c r="BJ39" s="74"/>
      <c r="BK39" s="12"/>
      <c r="BL39" s="74"/>
      <c r="BM39" s="74"/>
      <c r="BN39" s="74"/>
      <c r="BO39" s="74"/>
      <c r="BP39" s="74"/>
      <c r="BQ39" s="74"/>
      <c r="BR39" s="12"/>
      <c r="BS39" s="74"/>
      <c r="BT39" s="74"/>
      <c r="BU39" s="74"/>
      <c r="BV39" s="74"/>
    </row>
    <row r="40">
      <c r="A40" s="65">
        <v>37.0</v>
      </c>
      <c r="B40" s="43" t="s">
        <v>564</v>
      </c>
      <c r="C40" s="43" t="s">
        <v>552</v>
      </c>
      <c r="D40" s="66">
        <f t="shared" si="2"/>
        <v>32</v>
      </c>
      <c r="E40" s="66">
        <f t="shared" si="3"/>
        <v>13</v>
      </c>
      <c r="F40" s="66">
        <f t="shared" si="4"/>
        <v>45</v>
      </c>
      <c r="G40" s="69">
        <f t="shared" si="5"/>
        <v>71.11111111</v>
      </c>
      <c r="H40" s="70" t="s">
        <v>132</v>
      </c>
      <c r="I40" s="70" t="s">
        <v>132</v>
      </c>
      <c r="J40" s="70" t="s">
        <v>132</v>
      </c>
      <c r="K40" s="70" t="s">
        <v>132</v>
      </c>
      <c r="L40" s="70" t="s">
        <v>132</v>
      </c>
      <c r="M40" s="70" t="s">
        <v>132</v>
      </c>
      <c r="N40" s="12"/>
      <c r="O40" s="70" t="s">
        <v>132</v>
      </c>
      <c r="P40" s="82" t="s">
        <v>203</v>
      </c>
      <c r="Q40" s="82" t="s">
        <v>203</v>
      </c>
      <c r="R40" s="82" t="s">
        <v>203</v>
      </c>
      <c r="S40" s="82" t="s">
        <v>203</v>
      </c>
      <c r="T40" s="82" t="s">
        <v>203</v>
      </c>
      <c r="U40" s="12"/>
      <c r="V40" s="82" t="s">
        <v>203</v>
      </c>
      <c r="W40" s="82" t="s">
        <v>203</v>
      </c>
      <c r="X40" s="82" t="s">
        <v>203</v>
      </c>
      <c r="Y40" s="82" t="s">
        <v>203</v>
      </c>
      <c r="Z40" s="82" t="s">
        <v>203</v>
      </c>
      <c r="AA40" s="82" t="s">
        <v>203</v>
      </c>
      <c r="AB40" s="12"/>
      <c r="AC40" s="82" t="s">
        <v>203</v>
      </c>
      <c r="AD40" s="82" t="s">
        <v>203</v>
      </c>
      <c r="AE40" s="82" t="s">
        <v>203</v>
      </c>
      <c r="AF40" s="82" t="s">
        <v>203</v>
      </c>
      <c r="AG40" s="82" t="s">
        <v>203</v>
      </c>
      <c r="AH40" s="82" t="s">
        <v>203</v>
      </c>
      <c r="AI40" s="12"/>
      <c r="AJ40" s="82" t="s">
        <v>132</v>
      </c>
      <c r="AK40" s="82" t="s">
        <v>132</v>
      </c>
      <c r="AL40" s="82" t="s">
        <v>203</v>
      </c>
      <c r="AM40" s="82" t="s">
        <v>203</v>
      </c>
      <c r="AN40" s="82" t="s">
        <v>203</v>
      </c>
      <c r="AO40" s="82" t="s">
        <v>203</v>
      </c>
      <c r="AP40" s="12"/>
      <c r="AQ40" s="82" t="s">
        <v>203</v>
      </c>
      <c r="AR40" s="82" t="s">
        <v>203</v>
      </c>
      <c r="AS40" s="82" t="s">
        <v>203</v>
      </c>
      <c r="AT40" s="82" t="s">
        <v>203</v>
      </c>
      <c r="AU40" s="50" t="s">
        <v>203</v>
      </c>
      <c r="AV40" s="50" t="s">
        <v>203</v>
      </c>
      <c r="AW40" s="12"/>
      <c r="AX40" s="50" t="s">
        <v>132</v>
      </c>
      <c r="AY40" s="50" t="s">
        <v>132</v>
      </c>
      <c r="AZ40" s="50" t="s">
        <v>203</v>
      </c>
      <c r="BA40" s="50" t="s">
        <v>132</v>
      </c>
      <c r="BB40" s="50" t="s">
        <v>132</v>
      </c>
      <c r="BC40" s="70" t="s">
        <v>203</v>
      </c>
      <c r="BD40" s="12"/>
      <c r="BE40" s="70" t="s">
        <v>203</v>
      </c>
      <c r="BF40" s="70" t="s">
        <v>203</v>
      </c>
      <c r="BG40" s="70" t="s">
        <v>203</v>
      </c>
      <c r="BH40" s="74"/>
      <c r="BI40" s="74"/>
      <c r="BJ40" s="74"/>
      <c r="BK40" s="12"/>
      <c r="BL40" s="74"/>
      <c r="BM40" s="74"/>
      <c r="BN40" s="74"/>
      <c r="BO40" s="74"/>
      <c r="BP40" s="74"/>
      <c r="BQ40" s="74"/>
      <c r="BR40" s="12"/>
      <c r="BS40" s="74"/>
      <c r="BT40" s="74"/>
      <c r="BU40" s="74"/>
      <c r="BV40" s="74"/>
    </row>
    <row r="41">
      <c r="A41" s="65">
        <v>38.0</v>
      </c>
      <c r="B41" s="43" t="s">
        <v>359</v>
      </c>
      <c r="C41" s="43" t="s">
        <v>360</v>
      </c>
      <c r="D41" s="66">
        <f t="shared" si="2"/>
        <v>40</v>
      </c>
      <c r="E41" s="66">
        <f t="shared" si="3"/>
        <v>5</v>
      </c>
      <c r="F41" s="66">
        <f t="shared" si="4"/>
        <v>45</v>
      </c>
      <c r="G41" s="69">
        <f t="shared" si="5"/>
        <v>88.88888889</v>
      </c>
      <c r="H41" s="70" t="s">
        <v>203</v>
      </c>
      <c r="I41" s="70" t="s">
        <v>203</v>
      </c>
      <c r="J41" s="70" t="s">
        <v>203</v>
      </c>
      <c r="K41" s="70" t="s">
        <v>203</v>
      </c>
      <c r="L41" s="70" t="s">
        <v>203</v>
      </c>
      <c r="M41" s="70" t="s">
        <v>132</v>
      </c>
      <c r="N41" s="12"/>
      <c r="O41" s="70" t="s">
        <v>203</v>
      </c>
      <c r="P41" s="70" t="s">
        <v>203</v>
      </c>
      <c r="Q41" s="70" t="s">
        <v>203</v>
      </c>
      <c r="R41" s="70" t="s">
        <v>132</v>
      </c>
      <c r="S41" s="70" t="s">
        <v>203</v>
      </c>
      <c r="T41" s="70" t="s">
        <v>203</v>
      </c>
      <c r="U41" s="12"/>
      <c r="V41" s="70" t="s">
        <v>203</v>
      </c>
      <c r="W41" s="70" t="s">
        <v>203</v>
      </c>
      <c r="X41" s="70" t="s">
        <v>203</v>
      </c>
      <c r="Y41" s="70" t="s">
        <v>203</v>
      </c>
      <c r="Z41" s="70" t="s">
        <v>203</v>
      </c>
      <c r="AA41" s="70" t="s">
        <v>203</v>
      </c>
      <c r="AB41" s="12"/>
      <c r="AC41" s="70" t="s">
        <v>132</v>
      </c>
      <c r="AD41" s="70" t="s">
        <v>203</v>
      </c>
      <c r="AE41" s="70" t="s">
        <v>203</v>
      </c>
      <c r="AF41" s="70" t="s">
        <v>203</v>
      </c>
      <c r="AG41" s="70" t="s">
        <v>203</v>
      </c>
      <c r="AH41" s="70" t="s">
        <v>203</v>
      </c>
      <c r="AI41" s="12"/>
      <c r="AJ41" s="70" t="s">
        <v>203</v>
      </c>
      <c r="AK41" s="70" t="s">
        <v>132</v>
      </c>
      <c r="AL41" s="70" t="s">
        <v>203</v>
      </c>
      <c r="AM41" s="70" t="s">
        <v>203</v>
      </c>
      <c r="AN41" s="70" t="s">
        <v>203</v>
      </c>
      <c r="AO41" s="70" t="s">
        <v>203</v>
      </c>
      <c r="AP41" s="12"/>
      <c r="AQ41" s="70" t="s">
        <v>203</v>
      </c>
      <c r="AR41" s="70" t="s">
        <v>203</v>
      </c>
      <c r="AS41" s="70" t="s">
        <v>203</v>
      </c>
      <c r="AT41" s="70" t="s">
        <v>203</v>
      </c>
      <c r="AU41" s="70" t="s">
        <v>203</v>
      </c>
      <c r="AV41" s="70" t="s">
        <v>203</v>
      </c>
      <c r="AW41" s="12"/>
      <c r="AX41" s="70" t="s">
        <v>132</v>
      </c>
      <c r="AY41" s="70" t="s">
        <v>203</v>
      </c>
      <c r="AZ41" s="70" t="s">
        <v>203</v>
      </c>
      <c r="BA41" s="70" t="s">
        <v>203</v>
      </c>
      <c r="BB41" s="70" t="s">
        <v>203</v>
      </c>
      <c r="BC41" s="70" t="s">
        <v>203</v>
      </c>
      <c r="BD41" s="12"/>
      <c r="BE41" s="70" t="s">
        <v>203</v>
      </c>
      <c r="BF41" s="70" t="s">
        <v>203</v>
      </c>
      <c r="BG41" s="70" t="s">
        <v>203</v>
      </c>
      <c r="BH41" s="74"/>
      <c r="BI41" s="74"/>
      <c r="BJ41" s="74"/>
      <c r="BK41" s="12"/>
      <c r="BL41" s="74"/>
      <c r="BM41" s="74"/>
      <c r="BN41" s="74"/>
      <c r="BO41" s="74"/>
      <c r="BP41" s="74"/>
      <c r="BQ41" s="74"/>
      <c r="BR41" s="12"/>
      <c r="BS41" s="74"/>
      <c r="BT41" s="74"/>
      <c r="BU41" s="74"/>
      <c r="BV41" s="74"/>
    </row>
    <row r="42">
      <c r="A42" s="65">
        <v>39.0</v>
      </c>
      <c r="B42" s="43" t="s">
        <v>144</v>
      </c>
      <c r="C42" s="43" t="s">
        <v>146</v>
      </c>
      <c r="D42" s="66">
        <f t="shared" si="2"/>
        <v>32</v>
      </c>
      <c r="E42" s="66">
        <f t="shared" si="3"/>
        <v>13</v>
      </c>
      <c r="F42" s="66">
        <f t="shared" si="4"/>
        <v>45</v>
      </c>
      <c r="G42" s="69">
        <f t="shared" si="5"/>
        <v>71.11111111</v>
      </c>
      <c r="H42" s="70" t="s">
        <v>203</v>
      </c>
      <c r="I42" s="70" t="s">
        <v>203</v>
      </c>
      <c r="J42" s="70" t="s">
        <v>203</v>
      </c>
      <c r="K42" s="70" t="s">
        <v>203</v>
      </c>
      <c r="L42" s="70" t="s">
        <v>203</v>
      </c>
      <c r="M42" s="70" t="s">
        <v>132</v>
      </c>
      <c r="N42" s="12"/>
      <c r="O42" s="70" t="s">
        <v>203</v>
      </c>
      <c r="P42" s="70" t="s">
        <v>203</v>
      </c>
      <c r="Q42" s="70" t="s">
        <v>203</v>
      </c>
      <c r="R42" s="70" t="s">
        <v>132</v>
      </c>
      <c r="S42" s="70" t="s">
        <v>132</v>
      </c>
      <c r="T42" s="70" t="s">
        <v>203</v>
      </c>
      <c r="U42" s="12"/>
      <c r="V42" s="70" t="s">
        <v>132</v>
      </c>
      <c r="W42" s="70" t="s">
        <v>132</v>
      </c>
      <c r="X42" s="70" t="s">
        <v>203</v>
      </c>
      <c r="Y42" s="70" t="s">
        <v>203</v>
      </c>
      <c r="Z42" s="70" t="s">
        <v>203</v>
      </c>
      <c r="AA42" s="70" t="s">
        <v>203</v>
      </c>
      <c r="AB42" s="12"/>
      <c r="AC42" s="70" t="s">
        <v>203</v>
      </c>
      <c r="AD42" s="70" t="s">
        <v>203</v>
      </c>
      <c r="AE42" s="70" t="s">
        <v>203</v>
      </c>
      <c r="AF42" s="70" t="s">
        <v>132</v>
      </c>
      <c r="AG42" s="70" t="s">
        <v>132</v>
      </c>
      <c r="AH42" s="70" t="s">
        <v>132</v>
      </c>
      <c r="AI42" s="12"/>
      <c r="AJ42" s="70" t="s">
        <v>203</v>
      </c>
      <c r="AK42" s="70" t="s">
        <v>203</v>
      </c>
      <c r="AL42" s="70" t="s">
        <v>203</v>
      </c>
      <c r="AM42" s="70" t="s">
        <v>203</v>
      </c>
      <c r="AN42" s="70" t="s">
        <v>203</v>
      </c>
      <c r="AO42" s="70" t="s">
        <v>203</v>
      </c>
      <c r="AP42" s="12"/>
      <c r="AQ42" s="70" t="s">
        <v>132</v>
      </c>
      <c r="AR42" s="70" t="s">
        <v>203</v>
      </c>
      <c r="AS42" s="70" t="s">
        <v>203</v>
      </c>
      <c r="AT42" s="70" t="s">
        <v>203</v>
      </c>
      <c r="AU42" s="70" t="s">
        <v>203</v>
      </c>
      <c r="AV42" s="70" t="s">
        <v>203</v>
      </c>
      <c r="AW42" s="12"/>
      <c r="AX42" s="70" t="s">
        <v>203</v>
      </c>
      <c r="AY42" s="70" t="s">
        <v>203</v>
      </c>
      <c r="AZ42" s="70" t="s">
        <v>203</v>
      </c>
      <c r="BA42" s="70" t="s">
        <v>203</v>
      </c>
      <c r="BB42" s="70" t="s">
        <v>203</v>
      </c>
      <c r="BC42" s="70" t="s">
        <v>132</v>
      </c>
      <c r="BD42" s="12"/>
      <c r="BE42" s="70" t="s">
        <v>132</v>
      </c>
      <c r="BF42" s="70" t="s">
        <v>132</v>
      </c>
      <c r="BG42" s="70" t="s">
        <v>132</v>
      </c>
      <c r="BH42" s="74"/>
      <c r="BI42" s="74"/>
      <c r="BJ42" s="74"/>
      <c r="BK42" s="12"/>
      <c r="BL42" s="74"/>
      <c r="BM42" s="74"/>
      <c r="BN42" s="74"/>
      <c r="BO42" s="74"/>
      <c r="BP42" s="74"/>
      <c r="BQ42" s="74"/>
      <c r="BR42" s="12"/>
      <c r="BS42" s="74"/>
      <c r="BT42" s="74"/>
      <c r="BU42" s="74"/>
      <c r="BV42" s="74"/>
    </row>
    <row r="43">
      <c r="A43" s="65">
        <v>40.0</v>
      </c>
      <c r="B43" s="43" t="s">
        <v>214</v>
      </c>
      <c r="C43" s="43" t="s">
        <v>215</v>
      </c>
      <c r="D43" s="66">
        <f t="shared" si="2"/>
        <v>45</v>
      </c>
      <c r="E43" s="66">
        <f t="shared" si="3"/>
        <v>0</v>
      </c>
      <c r="F43" s="66">
        <f t="shared" si="4"/>
        <v>45</v>
      </c>
      <c r="G43" s="69">
        <f t="shared" si="5"/>
        <v>100</v>
      </c>
      <c r="H43" s="70" t="s">
        <v>203</v>
      </c>
      <c r="I43" s="70" t="s">
        <v>203</v>
      </c>
      <c r="J43" s="70" t="s">
        <v>203</v>
      </c>
      <c r="K43" s="70" t="s">
        <v>247</v>
      </c>
      <c r="L43" s="70" t="s">
        <v>203</v>
      </c>
      <c r="M43" s="70" t="s">
        <v>203</v>
      </c>
      <c r="N43" s="12"/>
      <c r="O43" s="70" t="s">
        <v>247</v>
      </c>
      <c r="P43" s="70" t="s">
        <v>247</v>
      </c>
      <c r="Q43" s="70" t="s">
        <v>203</v>
      </c>
      <c r="R43" s="70" t="s">
        <v>203</v>
      </c>
      <c r="S43" s="70" t="s">
        <v>203</v>
      </c>
      <c r="T43" s="70" t="s">
        <v>203</v>
      </c>
      <c r="U43" s="12"/>
      <c r="V43" s="70" t="s">
        <v>203</v>
      </c>
      <c r="W43" s="70" t="s">
        <v>203</v>
      </c>
      <c r="X43" s="70" t="s">
        <v>247</v>
      </c>
      <c r="Y43" s="70" t="s">
        <v>247</v>
      </c>
      <c r="Z43" s="70" t="s">
        <v>203</v>
      </c>
      <c r="AA43" s="70" t="s">
        <v>203</v>
      </c>
      <c r="AB43" s="12"/>
      <c r="AC43" s="70" t="s">
        <v>203</v>
      </c>
      <c r="AD43" s="70" t="s">
        <v>203</v>
      </c>
      <c r="AE43" s="70" t="s">
        <v>203</v>
      </c>
      <c r="AF43" s="70" t="s">
        <v>203</v>
      </c>
      <c r="AG43" s="70" t="s">
        <v>203</v>
      </c>
      <c r="AH43" s="70" t="s">
        <v>203</v>
      </c>
      <c r="AI43" s="12"/>
      <c r="AJ43" s="70" t="s">
        <v>203</v>
      </c>
      <c r="AK43" s="70" t="s">
        <v>203</v>
      </c>
      <c r="AL43" s="70" t="s">
        <v>203</v>
      </c>
      <c r="AM43" s="70" t="s">
        <v>247</v>
      </c>
      <c r="AN43" s="70" t="s">
        <v>203</v>
      </c>
      <c r="AO43" s="70" t="s">
        <v>203</v>
      </c>
      <c r="AP43" s="12"/>
      <c r="AQ43" s="70" t="s">
        <v>203</v>
      </c>
      <c r="AR43" s="70" t="s">
        <v>203</v>
      </c>
      <c r="AS43" s="70" t="s">
        <v>203</v>
      </c>
      <c r="AT43" s="70" t="s">
        <v>203</v>
      </c>
      <c r="AU43" s="70" t="s">
        <v>203</v>
      </c>
      <c r="AV43" s="70" t="s">
        <v>203</v>
      </c>
      <c r="AW43" s="12"/>
      <c r="AX43" s="70" t="s">
        <v>203</v>
      </c>
      <c r="AY43" s="70" t="s">
        <v>203</v>
      </c>
      <c r="AZ43" s="70" t="s">
        <v>203</v>
      </c>
      <c r="BA43" s="70" t="s">
        <v>203</v>
      </c>
      <c r="BB43" s="70" t="s">
        <v>203</v>
      </c>
      <c r="BC43" s="70" t="s">
        <v>203</v>
      </c>
      <c r="BD43" s="12"/>
      <c r="BE43" s="70" t="s">
        <v>203</v>
      </c>
      <c r="BF43" s="70" t="s">
        <v>203</v>
      </c>
      <c r="BG43" s="70" t="s">
        <v>203</v>
      </c>
      <c r="BH43" s="74"/>
      <c r="BI43" s="74"/>
      <c r="BJ43" s="74"/>
      <c r="BK43" s="12"/>
      <c r="BL43" s="74"/>
      <c r="BM43" s="74"/>
      <c r="BN43" s="74"/>
      <c r="BO43" s="74"/>
      <c r="BP43" s="74"/>
      <c r="BQ43" s="74"/>
      <c r="BR43" s="12"/>
      <c r="BS43" s="74"/>
      <c r="BT43" s="74"/>
      <c r="BU43" s="74"/>
      <c r="BV43" s="74"/>
    </row>
    <row r="44">
      <c r="A44" s="65">
        <v>41.0</v>
      </c>
      <c r="B44" s="70" t="s">
        <v>561</v>
      </c>
      <c r="C44" s="70" t="s">
        <v>562</v>
      </c>
      <c r="D44" s="66">
        <f t="shared" si="2"/>
        <v>40</v>
      </c>
      <c r="E44" s="66">
        <f t="shared" si="3"/>
        <v>5</v>
      </c>
      <c r="F44" s="66">
        <f t="shared" si="4"/>
        <v>45</v>
      </c>
      <c r="G44" s="69">
        <f t="shared" si="5"/>
        <v>88.88888889</v>
      </c>
      <c r="H44" s="70" t="s">
        <v>380</v>
      </c>
      <c r="I44" s="70" t="s">
        <v>380</v>
      </c>
      <c r="J44" s="70" t="s">
        <v>380</v>
      </c>
      <c r="K44" s="70" t="s">
        <v>380</v>
      </c>
      <c r="L44" s="70" t="s">
        <v>203</v>
      </c>
      <c r="M44" s="70" t="s">
        <v>203</v>
      </c>
      <c r="N44" s="12"/>
      <c r="O44" s="70" t="s">
        <v>203</v>
      </c>
      <c r="P44" s="70" t="s">
        <v>203</v>
      </c>
      <c r="Q44" s="70" t="s">
        <v>203</v>
      </c>
      <c r="R44" s="70" t="s">
        <v>203</v>
      </c>
      <c r="S44" s="70" t="s">
        <v>203</v>
      </c>
      <c r="T44" s="70" t="s">
        <v>203</v>
      </c>
      <c r="U44" s="12"/>
      <c r="V44" s="70" t="s">
        <v>203</v>
      </c>
      <c r="W44" s="70" t="s">
        <v>203</v>
      </c>
      <c r="X44" s="70" t="s">
        <v>203</v>
      </c>
      <c r="Y44" s="70" t="s">
        <v>203</v>
      </c>
      <c r="Z44" s="70" t="s">
        <v>132</v>
      </c>
      <c r="AA44" s="70" t="s">
        <v>203</v>
      </c>
      <c r="AB44" s="12"/>
      <c r="AC44" s="70" t="s">
        <v>203</v>
      </c>
      <c r="AD44" s="70" t="s">
        <v>203</v>
      </c>
      <c r="AE44" s="70" t="s">
        <v>203</v>
      </c>
      <c r="AF44" s="70" t="s">
        <v>203</v>
      </c>
      <c r="AG44" s="70" t="s">
        <v>203</v>
      </c>
      <c r="AH44" s="70" t="s">
        <v>203</v>
      </c>
      <c r="AI44" s="12"/>
      <c r="AJ44" s="70" t="s">
        <v>203</v>
      </c>
      <c r="AK44" s="70" t="s">
        <v>203</v>
      </c>
      <c r="AL44" s="70" t="s">
        <v>203</v>
      </c>
      <c r="AM44" s="70" t="s">
        <v>203</v>
      </c>
      <c r="AN44" s="70" t="s">
        <v>203</v>
      </c>
      <c r="AO44" s="70" t="s">
        <v>203</v>
      </c>
      <c r="AP44" s="12"/>
      <c r="AQ44" s="70" t="s">
        <v>203</v>
      </c>
      <c r="AR44" s="70" t="s">
        <v>203</v>
      </c>
      <c r="AS44" s="70" t="s">
        <v>203</v>
      </c>
      <c r="AT44" s="70" t="s">
        <v>203</v>
      </c>
      <c r="AU44" s="70" t="s">
        <v>203</v>
      </c>
      <c r="AV44" s="70" t="s">
        <v>203</v>
      </c>
      <c r="AW44" s="12"/>
      <c r="AX44" s="70" t="s">
        <v>203</v>
      </c>
      <c r="AY44" s="70" t="s">
        <v>203</v>
      </c>
      <c r="AZ44" s="70" t="s">
        <v>203</v>
      </c>
      <c r="BA44" s="70" t="s">
        <v>203</v>
      </c>
      <c r="BB44" s="70" t="s">
        <v>203</v>
      </c>
      <c r="BC44" s="70" t="s">
        <v>203</v>
      </c>
      <c r="BD44" s="12"/>
      <c r="BE44" s="70" t="s">
        <v>203</v>
      </c>
      <c r="BF44" s="70" t="s">
        <v>203</v>
      </c>
      <c r="BG44" s="70" t="s">
        <v>203</v>
      </c>
      <c r="BH44" s="74"/>
      <c r="BI44" s="74"/>
      <c r="BJ44" s="74"/>
      <c r="BK44" s="12"/>
      <c r="BL44" s="74"/>
      <c r="BM44" s="74"/>
      <c r="BN44" s="74"/>
      <c r="BO44" s="74"/>
      <c r="BP44" s="74"/>
      <c r="BQ44" s="74"/>
      <c r="BR44" s="12"/>
      <c r="BS44" s="74"/>
      <c r="BT44" s="74"/>
      <c r="BU44" s="74"/>
      <c r="BV44" s="74"/>
    </row>
    <row r="45">
      <c r="A45" s="65">
        <v>42.0</v>
      </c>
      <c r="B45" s="43" t="s">
        <v>412</v>
      </c>
      <c r="C45" s="43" t="s">
        <v>413</v>
      </c>
      <c r="D45" s="66">
        <f t="shared" si="2"/>
        <v>39</v>
      </c>
      <c r="E45" s="66">
        <f t="shared" si="3"/>
        <v>6</v>
      </c>
      <c r="F45" s="66">
        <f t="shared" si="4"/>
        <v>45</v>
      </c>
      <c r="G45" s="69">
        <f t="shared" si="5"/>
        <v>86.66666667</v>
      </c>
      <c r="H45" s="70" t="s">
        <v>203</v>
      </c>
      <c r="I45" s="70" t="s">
        <v>203</v>
      </c>
      <c r="J45" s="70" t="s">
        <v>203</v>
      </c>
      <c r="K45" s="70" t="s">
        <v>132</v>
      </c>
      <c r="L45" s="70" t="s">
        <v>203</v>
      </c>
      <c r="M45" s="70" t="s">
        <v>203</v>
      </c>
      <c r="N45" s="41"/>
      <c r="O45" s="70" t="s">
        <v>203</v>
      </c>
      <c r="P45" s="70" t="s">
        <v>203</v>
      </c>
      <c r="Q45" s="70" t="s">
        <v>203</v>
      </c>
      <c r="R45" s="70" t="s">
        <v>203</v>
      </c>
      <c r="S45" s="70" t="s">
        <v>203</v>
      </c>
      <c r="T45" s="70" t="s">
        <v>132</v>
      </c>
      <c r="U45" s="41"/>
      <c r="V45" s="70" t="s">
        <v>203</v>
      </c>
      <c r="W45" s="70" t="s">
        <v>203</v>
      </c>
      <c r="X45" s="70" t="s">
        <v>203</v>
      </c>
      <c r="Y45" s="70" t="s">
        <v>203</v>
      </c>
      <c r="Z45" s="70" t="s">
        <v>203</v>
      </c>
      <c r="AA45" s="70" t="s">
        <v>132</v>
      </c>
      <c r="AB45" s="41"/>
      <c r="AC45" s="70" t="s">
        <v>203</v>
      </c>
      <c r="AD45" s="70" t="s">
        <v>203</v>
      </c>
      <c r="AE45" s="70" t="s">
        <v>203</v>
      </c>
      <c r="AF45" s="70" t="s">
        <v>203</v>
      </c>
      <c r="AG45" s="70" t="s">
        <v>203</v>
      </c>
      <c r="AH45" s="70" t="s">
        <v>203</v>
      </c>
      <c r="AI45" s="41"/>
      <c r="AJ45" s="70" t="s">
        <v>203</v>
      </c>
      <c r="AK45" s="70" t="s">
        <v>132</v>
      </c>
      <c r="AL45" s="70" t="s">
        <v>203</v>
      </c>
      <c r="AM45" s="70" t="s">
        <v>203</v>
      </c>
      <c r="AN45" s="70" t="s">
        <v>132</v>
      </c>
      <c r="AO45" s="70" t="s">
        <v>203</v>
      </c>
      <c r="AP45" s="41"/>
      <c r="AQ45" s="70" t="s">
        <v>203</v>
      </c>
      <c r="AR45" s="70" t="s">
        <v>203</v>
      </c>
      <c r="AS45" s="70" t="s">
        <v>203</v>
      </c>
      <c r="AT45" s="70" t="s">
        <v>203</v>
      </c>
      <c r="AU45" s="70" t="s">
        <v>132</v>
      </c>
      <c r="AV45" s="70" t="s">
        <v>203</v>
      </c>
      <c r="AW45" s="41"/>
      <c r="AX45" s="70" t="s">
        <v>203</v>
      </c>
      <c r="AY45" s="70" t="s">
        <v>203</v>
      </c>
      <c r="AZ45" s="70" t="s">
        <v>203</v>
      </c>
      <c r="BA45" s="70" t="s">
        <v>203</v>
      </c>
      <c r="BB45" s="70" t="s">
        <v>203</v>
      </c>
      <c r="BC45" s="70" t="s">
        <v>203</v>
      </c>
      <c r="BD45" s="41"/>
      <c r="BE45" s="70" t="s">
        <v>203</v>
      </c>
      <c r="BF45" s="70" t="s">
        <v>203</v>
      </c>
      <c r="BG45" s="70" t="s">
        <v>203</v>
      </c>
      <c r="BH45" s="74"/>
      <c r="BI45" s="74"/>
      <c r="BJ45" s="74"/>
      <c r="BK45" s="41"/>
      <c r="BL45" s="74"/>
      <c r="BM45" s="74"/>
      <c r="BN45" s="74"/>
      <c r="BO45" s="74"/>
      <c r="BP45" s="74"/>
      <c r="BQ45" s="74"/>
      <c r="BR45" s="41"/>
      <c r="BS45" s="74"/>
      <c r="BT45" s="74"/>
      <c r="BU45" s="74"/>
      <c r="BV45" s="74"/>
    </row>
    <row r="46">
      <c r="AJ46" s="49"/>
      <c r="AK46" s="49"/>
    </row>
    <row r="48">
      <c r="AJ48" s="49"/>
    </row>
    <row r="49">
      <c r="AJ49" s="49"/>
    </row>
    <row r="50">
      <c r="H50" s="55" t="str">
        <f t="shared" ref="H50:BG50" si="6">COUNTIF(H4:H45,"P")&amp;" Online, "&amp;COUNTIF(H4:H45,"OP")&amp;" Offline"</f>
        <v>20 Online, 5 Offline</v>
      </c>
      <c r="I50" s="55" t="str">
        <f t="shared" si="6"/>
        <v>21 Online, 5 Offline</v>
      </c>
      <c r="J50" s="55" t="str">
        <f t="shared" si="6"/>
        <v>21 Online, 5 Offline</v>
      </c>
      <c r="K50" s="55" t="str">
        <f t="shared" si="6"/>
        <v>23 Online, 8 Offline</v>
      </c>
      <c r="L50" s="55" t="str">
        <f t="shared" si="6"/>
        <v>29 Online, 7 Offline</v>
      </c>
      <c r="M50" s="55" t="str">
        <f t="shared" si="6"/>
        <v>25 Online, 7 Offline</v>
      </c>
      <c r="N50" s="55" t="str">
        <f t="shared" si="6"/>
        <v>0 Online, 0 Offline</v>
      </c>
      <c r="O50" s="55" t="str">
        <f t="shared" si="6"/>
        <v>29 Online, 8 Offline</v>
      </c>
      <c r="P50" s="55" t="str">
        <f t="shared" si="6"/>
        <v>30 Online, 6 Offline</v>
      </c>
      <c r="Q50" s="55" t="str">
        <f t="shared" si="6"/>
        <v>34 Online, 4 Offline</v>
      </c>
      <c r="R50" s="55" t="str">
        <f t="shared" si="6"/>
        <v>34 Online, 3 Offline</v>
      </c>
      <c r="S50" s="55" t="str">
        <f t="shared" si="6"/>
        <v>34 Online, 4 Offline</v>
      </c>
      <c r="T50" s="55" t="str">
        <f t="shared" si="6"/>
        <v>32 Online, 4 Offline</v>
      </c>
      <c r="U50" s="55" t="str">
        <f t="shared" si="6"/>
        <v>0 Online, 0 Offline</v>
      </c>
      <c r="V50" s="55" t="str">
        <f t="shared" si="6"/>
        <v>30 Online, 5 Offline</v>
      </c>
      <c r="W50" s="55" t="str">
        <f t="shared" si="6"/>
        <v>34 Online, 4 Offline</v>
      </c>
      <c r="X50" s="55" t="str">
        <f t="shared" si="6"/>
        <v>36 Online, 5 Offline</v>
      </c>
      <c r="Y50" s="55" t="str">
        <f t="shared" si="6"/>
        <v>35 Online, 5 Offline</v>
      </c>
      <c r="Z50" s="55" t="str">
        <f t="shared" si="6"/>
        <v>32 Online, 5 Offline</v>
      </c>
      <c r="AA50" s="55" t="str">
        <f t="shared" si="6"/>
        <v>31 Online, 5 Offline</v>
      </c>
      <c r="AB50" s="55" t="str">
        <f t="shared" si="6"/>
        <v>0 Online, 0 Offline</v>
      </c>
      <c r="AC50" s="55" t="str">
        <f t="shared" si="6"/>
        <v>35 Online, 3 Offline</v>
      </c>
      <c r="AD50" s="55" t="str">
        <f t="shared" si="6"/>
        <v>34 Online, 4 Offline</v>
      </c>
      <c r="AE50" s="55" t="str">
        <f t="shared" si="6"/>
        <v>34 Online, 4 Offline</v>
      </c>
      <c r="AF50" s="55" t="str">
        <f t="shared" si="6"/>
        <v>34 Online, 4 Offline</v>
      </c>
      <c r="AG50" s="55" t="str">
        <f t="shared" si="6"/>
        <v>31 Online, 4 Offline</v>
      </c>
      <c r="AH50" s="55" t="str">
        <f t="shared" si="6"/>
        <v>31 Online, 4 Offline</v>
      </c>
      <c r="AI50" s="55" t="str">
        <f t="shared" si="6"/>
        <v>0 Online, 0 Offline</v>
      </c>
      <c r="AJ50" s="55" t="str">
        <f t="shared" si="6"/>
        <v>33 Online, 3 Offline</v>
      </c>
      <c r="AK50" s="55" t="str">
        <f t="shared" si="6"/>
        <v>29 Online, 4 Offline</v>
      </c>
      <c r="AL50" s="55" t="str">
        <f t="shared" si="6"/>
        <v>34 Online, 5 Offline</v>
      </c>
      <c r="AM50" s="55" t="str">
        <f t="shared" si="6"/>
        <v>34 Online, 5 Offline</v>
      </c>
      <c r="AN50" s="55" t="str">
        <f t="shared" si="6"/>
        <v>29 Online, 5 Offline</v>
      </c>
      <c r="AO50" s="55" t="str">
        <f t="shared" si="6"/>
        <v>32 Online, 5 Offline</v>
      </c>
      <c r="AP50" s="55" t="str">
        <f t="shared" si="6"/>
        <v>0 Online, 0 Offline</v>
      </c>
      <c r="AQ50" s="55" t="str">
        <f t="shared" si="6"/>
        <v>33 Online, 5 Offline</v>
      </c>
      <c r="AR50" s="55" t="str">
        <f t="shared" si="6"/>
        <v>32 Online, 5 Offline</v>
      </c>
      <c r="AS50" s="55" t="str">
        <f t="shared" si="6"/>
        <v>34 Online, 5 Offline</v>
      </c>
      <c r="AT50" s="55" t="str">
        <f t="shared" si="6"/>
        <v>26 Online, 6 Offline</v>
      </c>
      <c r="AU50" s="55" t="str">
        <f t="shared" si="6"/>
        <v>28 Online, 6 Offline</v>
      </c>
      <c r="AV50" s="55" t="str">
        <f t="shared" si="6"/>
        <v>34 Online, 6 Offline</v>
      </c>
      <c r="AW50" s="55" t="str">
        <f t="shared" si="6"/>
        <v>0 Online, 0 Offline</v>
      </c>
      <c r="AX50" s="55" t="str">
        <f t="shared" si="6"/>
        <v>28 Online, 5 Offline</v>
      </c>
      <c r="AY50" s="55" t="str">
        <f t="shared" si="6"/>
        <v>27 Online, 5 Offline</v>
      </c>
      <c r="AZ50" s="55" t="str">
        <f t="shared" si="6"/>
        <v>27 Online, 6 Offline</v>
      </c>
      <c r="BA50" s="55" t="str">
        <f t="shared" si="6"/>
        <v>31 Online, 3 Offline</v>
      </c>
      <c r="BB50" s="55" t="str">
        <f t="shared" si="6"/>
        <v>31 Online, 3 Offline</v>
      </c>
      <c r="BC50" s="55" t="str">
        <f t="shared" si="6"/>
        <v>32 Online, 3 Offline</v>
      </c>
      <c r="BD50" s="55" t="str">
        <f t="shared" si="6"/>
        <v>0 Online, 0 Offline</v>
      </c>
      <c r="BE50" s="55" t="str">
        <f t="shared" si="6"/>
        <v>25 Online, 3 Offline</v>
      </c>
      <c r="BF50" s="55" t="str">
        <f t="shared" si="6"/>
        <v>29 Online, 3 Offline</v>
      </c>
      <c r="BG50" s="55" t="str">
        <f t="shared" si="6"/>
        <v>31 Online, 2 Offline</v>
      </c>
    </row>
    <row r="52">
      <c r="AJ52" s="49"/>
    </row>
    <row r="53">
      <c r="AJ53" s="53"/>
    </row>
    <row r="54">
      <c r="AJ54" s="53"/>
    </row>
    <row r="55">
      <c r="AJ55" s="53"/>
    </row>
    <row r="56">
      <c r="AJ56" s="53"/>
    </row>
  </sheetData>
  <mergeCells count="19">
    <mergeCell ref="H1:N1"/>
    <mergeCell ref="O1:AR1"/>
    <mergeCell ref="AS1:BV1"/>
    <mergeCell ref="A1:A3"/>
    <mergeCell ref="B1:B3"/>
    <mergeCell ref="C1:C3"/>
    <mergeCell ref="D1:D3"/>
    <mergeCell ref="E1:E3"/>
    <mergeCell ref="F1:F3"/>
    <mergeCell ref="G1:G3"/>
    <mergeCell ref="BK4:BK45"/>
    <mergeCell ref="BR4:BR45"/>
    <mergeCell ref="N4:N45"/>
    <mergeCell ref="U4:U45"/>
    <mergeCell ref="AB4:AB45"/>
    <mergeCell ref="AI4:AI45"/>
    <mergeCell ref="AP4:AP45"/>
    <mergeCell ref="AW4:AW45"/>
    <mergeCell ref="BD4:BD45"/>
  </mergeCells>
  <conditionalFormatting sqref="H4:BV49">
    <cfRule type="beginsWith" dxfId="4" priority="1" operator="beginsWith" text="op">
      <formula>LEFT((H4),LEN("op"))=("op")</formula>
    </cfRule>
  </conditionalFormatting>
  <conditionalFormatting sqref="H4:BV49">
    <cfRule type="beginsWith" dxfId="5" priority="2" operator="beginsWith" text="p">
      <formula>LEFT((H4),LEN("p"))=("p")</formula>
    </cfRule>
  </conditionalFormatting>
  <conditionalFormatting sqref="H4:BV49">
    <cfRule type="beginsWith" dxfId="3" priority="3" operator="beginsWith" text="A">
      <formula>LEFT((H4),LEN("A"))=("A")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  <col customWidth="1" min="4" max="4" width="30.88"/>
  </cols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11</v>
      </c>
    </row>
    <row r="2">
      <c r="A2" s="3">
        <v>1.0</v>
      </c>
      <c r="B2" s="5" t="s">
        <v>12</v>
      </c>
      <c r="C2" s="7" t="s">
        <v>13</v>
      </c>
      <c r="D2" s="10" t="str">
        <f t="array" ref="D2:D53">TRANSPOSE(Attendence!H50:BG50)</f>
        <v>20 Online, 5 Offline</v>
      </c>
      <c r="E2" s="7" t="s">
        <v>14</v>
      </c>
    </row>
    <row r="3">
      <c r="A3" s="3">
        <v>2.0</v>
      </c>
      <c r="B3" s="11" t="s">
        <v>15</v>
      </c>
      <c r="C3" s="7" t="s">
        <v>16</v>
      </c>
      <c r="D3" s="10" t="s">
        <v>17</v>
      </c>
      <c r="E3" s="7" t="s">
        <v>14</v>
      </c>
    </row>
    <row r="4">
      <c r="A4" s="3">
        <v>3.0</v>
      </c>
      <c r="B4" s="5" t="s">
        <v>18</v>
      </c>
      <c r="C4" s="7" t="s">
        <v>19</v>
      </c>
      <c r="D4" s="10" t="s">
        <v>17</v>
      </c>
      <c r="E4" s="7" t="s">
        <v>14</v>
      </c>
    </row>
    <row r="5">
      <c r="A5" s="3">
        <v>4.0</v>
      </c>
      <c r="B5" s="11" t="s">
        <v>20</v>
      </c>
      <c r="C5" s="7" t="s">
        <v>21</v>
      </c>
      <c r="D5" s="10" t="s">
        <v>22</v>
      </c>
      <c r="E5" s="7" t="s">
        <v>14</v>
      </c>
    </row>
    <row r="6">
      <c r="A6" s="3">
        <v>5.0</v>
      </c>
      <c r="B6" s="13" t="s">
        <v>23</v>
      </c>
      <c r="C6" s="7" t="s">
        <v>24</v>
      </c>
      <c r="D6" s="10" t="s">
        <v>25</v>
      </c>
      <c r="E6" s="7" t="s">
        <v>14</v>
      </c>
    </row>
    <row r="7">
      <c r="A7" s="3">
        <v>6.0</v>
      </c>
      <c r="B7" s="5" t="s">
        <v>26</v>
      </c>
      <c r="C7" s="7" t="s">
        <v>27</v>
      </c>
      <c r="D7" s="10" t="s">
        <v>28</v>
      </c>
      <c r="E7" s="7" t="s">
        <v>14</v>
      </c>
    </row>
    <row r="8">
      <c r="A8" s="3"/>
      <c r="B8" s="15"/>
      <c r="C8" s="16" t="s">
        <v>29</v>
      </c>
      <c r="D8" s="10" t="s">
        <v>30</v>
      </c>
      <c r="E8" s="7"/>
    </row>
    <row r="9">
      <c r="A9" s="3">
        <v>7.0</v>
      </c>
      <c r="B9" s="15">
        <v>46028.0</v>
      </c>
      <c r="C9" s="7" t="s">
        <v>31</v>
      </c>
      <c r="D9" s="10" t="s">
        <v>32</v>
      </c>
      <c r="E9" s="7" t="s">
        <v>14</v>
      </c>
    </row>
    <row r="10">
      <c r="A10" s="3">
        <v>8.0</v>
      </c>
      <c r="B10" s="17">
        <v>46059.0</v>
      </c>
      <c r="C10" s="7" t="s">
        <v>33</v>
      </c>
      <c r="D10" s="10" t="s">
        <v>34</v>
      </c>
      <c r="E10" s="7" t="s">
        <v>14</v>
      </c>
    </row>
    <row r="11">
      <c r="A11" s="3">
        <v>9.0</v>
      </c>
      <c r="B11" s="17">
        <v>46087.0</v>
      </c>
      <c r="C11" s="7" t="s">
        <v>35</v>
      </c>
      <c r="D11" s="10" t="s">
        <v>36</v>
      </c>
      <c r="E11" s="7" t="s">
        <v>14</v>
      </c>
    </row>
    <row r="12">
      <c r="A12" s="3">
        <v>10.0</v>
      </c>
      <c r="B12" s="17">
        <v>46118.0</v>
      </c>
      <c r="C12" s="7" t="s">
        <v>37</v>
      </c>
      <c r="D12" s="10" t="s">
        <v>38</v>
      </c>
      <c r="E12" s="7" t="s">
        <v>14</v>
      </c>
    </row>
    <row r="13">
      <c r="A13" s="3">
        <v>11.0</v>
      </c>
      <c r="B13" s="15">
        <v>46148.0</v>
      </c>
      <c r="C13" s="7" t="s">
        <v>40</v>
      </c>
      <c r="D13" s="10" t="s">
        <v>36</v>
      </c>
      <c r="E13" s="7" t="s">
        <v>14</v>
      </c>
    </row>
    <row r="14">
      <c r="A14" s="3">
        <v>12.0</v>
      </c>
      <c r="B14" s="17">
        <v>46179.0</v>
      </c>
      <c r="C14" s="7" t="s">
        <v>42</v>
      </c>
      <c r="D14" s="10" t="s">
        <v>44</v>
      </c>
      <c r="E14" s="7" t="s">
        <v>14</v>
      </c>
    </row>
    <row r="15">
      <c r="A15" s="3"/>
      <c r="B15" s="17"/>
      <c r="C15" s="16" t="s">
        <v>29</v>
      </c>
      <c r="D15" s="10" t="s">
        <v>30</v>
      </c>
      <c r="E15" s="7"/>
    </row>
    <row r="16">
      <c r="A16" s="3">
        <v>13.0</v>
      </c>
      <c r="B16" s="17">
        <v>46209.0</v>
      </c>
      <c r="C16" s="7" t="s">
        <v>47</v>
      </c>
      <c r="D16" s="10" t="s">
        <v>48</v>
      </c>
      <c r="E16" s="7" t="s">
        <v>14</v>
      </c>
    </row>
    <row r="17">
      <c r="A17" s="3">
        <v>14.0</v>
      </c>
      <c r="B17" s="17">
        <v>46272.0</v>
      </c>
      <c r="C17" s="7" t="s">
        <v>50</v>
      </c>
      <c r="D17" s="10" t="s">
        <v>36</v>
      </c>
      <c r="E17" s="7" t="s">
        <v>51</v>
      </c>
    </row>
    <row r="18">
      <c r="A18" s="3">
        <v>15.0</v>
      </c>
      <c r="B18" s="17">
        <v>46302.0</v>
      </c>
      <c r="C18" s="7" t="s">
        <v>54</v>
      </c>
      <c r="D18" s="10" t="s">
        <v>55</v>
      </c>
      <c r="E18" s="7" t="s">
        <v>14</v>
      </c>
    </row>
    <row r="19">
      <c r="A19" s="3">
        <v>16.0</v>
      </c>
      <c r="B19" s="17">
        <v>46333.0</v>
      </c>
      <c r="C19" s="7" t="s">
        <v>56</v>
      </c>
      <c r="D19" s="10" t="s">
        <v>57</v>
      </c>
      <c r="E19" s="7" t="s">
        <v>14</v>
      </c>
    </row>
    <row r="20">
      <c r="A20" s="3">
        <v>17.0</v>
      </c>
      <c r="B20" s="32">
        <v>46363.0</v>
      </c>
      <c r="C20" s="7" t="s">
        <v>61</v>
      </c>
      <c r="D20" s="10" t="s">
        <v>63</v>
      </c>
      <c r="E20" s="7" t="s">
        <v>51</v>
      </c>
    </row>
    <row r="21">
      <c r="A21" s="3">
        <v>18.0</v>
      </c>
      <c r="B21" s="35" t="s">
        <v>68</v>
      </c>
      <c r="C21" s="7" t="s">
        <v>70</v>
      </c>
      <c r="D21" s="10" t="s">
        <v>73</v>
      </c>
      <c r="E21" s="7" t="s">
        <v>14</v>
      </c>
    </row>
    <row r="22">
      <c r="A22" s="3"/>
      <c r="B22" s="35"/>
      <c r="C22" s="16" t="s">
        <v>29</v>
      </c>
      <c r="D22" s="10" t="s">
        <v>30</v>
      </c>
      <c r="E22" s="7"/>
    </row>
    <row r="23">
      <c r="A23" s="3">
        <v>19.0</v>
      </c>
      <c r="B23" s="35" t="s">
        <v>81</v>
      </c>
      <c r="C23" s="7" t="s">
        <v>82</v>
      </c>
      <c r="D23" s="10" t="s">
        <v>83</v>
      </c>
      <c r="E23" s="7" t="s">
        <v>51</v>
      </c>
    </row>
    <row r="24">
      <c r="A24" s="3">
        <v>20.0</v>
      </c>
      <c r="B24" s="35" t="s">
        <v>85</v>
      </c>
      <c r="C24" s="7" t="s">
        <v>86</v>
      </c>
      <c r="D24" s="10" t="s">
        <v>36</v>
      </c>
      <c r="E24" s="7" t="s">
        <v>51</v>
      </c>
    </row>
    <row r="25">
      <c r="A25" s="3">
        <v>21.0</v>
      </c>
      <c r="B25" s="35" t="s">
        <v>89</v>
      </c>
      <c r="C25" s="7" t="s">
        <v>92</v>
      </c>
      <c r="D25" s="10" t="s">
        <v>36</v>
      </c>
      <c r="E25" s="7" t="s">
        <v>51</v>
      </c>
    </row>
    <row r="26">
      <c r="A26" s="3">
        <v>22.0</v>
      </c>
      <c r="B26" s="35" t="s">
        <v>94</v>
      </c>
      <c r="C26" s="7" t="s">
        <v>95</v>
      </c>
      <c r="D26" s="10" t="s">
        <v>36</v>
      </c>
      <c r="E26" s="7" t="s">
        <v>51</v>
      </c>
    </row>
    <row r="27">
      <c r="A27" s="3">
        <v>23.0</v>
      </c>
      <c r="B27" s="35" t="s">
        <v>97</v>
      </c>
      <c r="C27" s="7" t="s">
        <v>98</v>
      </c>
      <c r="D27" s="10" t="s">
        <v>99</v>
      </c>
      <c r="E27" s="7" t="s">
        <v>51</v>
      </c>
    </row>
    <row r="28">
      <c r="A28" s="3">
        <v>24.0</v>
      </c>
      <c r="B28" s="35" t="s">
        <v>101</v>
      </c>
      <c r="C28" s="7" t="s">
        <v>102</v>
      </c>
      <c r="D28" s="10" t="s">
        <v>99</v>
      </c>
      <c r="E28" s="7" t="s">
        <v>51</v>
      </c>
    </row>
    <row r="29">
      <c r="A29" s="3"/>
      <c r="B29" s="35"/>
      <c r="C29" s="16" t="s">
        <v>29</v>
      </c>
      <c r="D29" s="10" t="s">
        <v>30</v>
      </c>
      <c r="E29" s="7"/>
    </row>
    <row r="30">
      <c r="A30" s="3">
        <v>25.0</v>
      </c>
      <c r="B30" s="35" t="s">
        <v>106</v>
      </c>
      <c r="C30" s="7" t="s">
        <v>107</v>
      </c>
      <c r="D30" s="10" t="s">
        <v>109</v>
      </c>
      <c r="E30" s="7" t="s">
        <v>51</v>
      </c>
    </row>
    <row r="31">
      <c r="A31" s="3">
        <v>26.0</v>
      </c>
      <c r="B31" s="35" t="s">
        <v>111</v>
      </c>
      <c r="C31" s="7" t="s">
        <v>95</v>
      </c>
      <c r="D31" s="10" t="s">
        <v>112</v>
      </c>
      <c r="E31" s="7" t="s">
        <v>51</v>
      </c>
    </row>
    <row r="32">
      <c r="A32" s="53">
        <v>27.0</v>
      </c>
      <c r="B32" s="49" t="s">
        <v>114</v>
      </c>
      <c r="C32" s="53" t="s">
        <v>115</v>
      </c>
      <c r="D32" s="10" t="s">
        <v>116</v>
      </c>
      <c r="E32" s="53" t="s">
        <v>51</v>
      </c>
    </row>
    <row r="33">
      <c r="A33" s="53">
        <v>28.0</v>
      </c>
      <c r="B33" s="49" t="s">
        <v>119</v>
      </c>
      <c r="C33" s="53" t="s">
        <v>121</v>
      </c>
      <c r="D33" s="10" t="s">
        <v>116</v>
      </c>
      <c r="E33" s="53" t="s">
        <v>51</v>
      </c>
    </row>
    <row r="34">
      <c r="A34" s="53">
        <v>29.0</v>
      </c>
      <c r="B34" s="49" t="s">
        <v>15</v>
      </c>
      <c r="C34" s="53" t="s">
        <v>124</v>
      </c>
      <c r="D34" s="10" t="s">
        <v>125</v>
      </c>
      <c r="E34" s="53" t="s">
        <v>51</v>
      </c>
    </row>
    <row r="35">
      <c r="A35" s="53">
        <v>30.0</v>
      </c>
      <c r="B35" s="49" t="s">
        <v>18</v>
      </c>
      <c r="C35" s="53" t="s">
        <v>129</v>
      </c>
      <c r="D35" s="10" t="s">
        <v>63</v>
      </c>
      <c r="E35" s="53" t="s">
        <v>51</v>
      </c>
    </row>
    <row r="36">
      <c r="A36" s="53"/>
      <c r="B36" s="49"/>
      <c r="C36" s="16" t="s">
        <v>29</v>
      </c>
      <c r="D36" s="10" t="s">
        <v>30</v>
      </c>
      <c r="E36" s="53"/>
    </row>
    <row r="37">
      <c r="A37" s="53">
        <v>31.0</v>
      </c>
      <c r="B37" s="49" t="s">
        <v>133</v>
      </c>
      <c r="C37" s="53" t="s">
        <v>134</v>
      </c>
      <c r="D37" s="10" t="s">
        <v>135</v>
      </c>
      <c r="E37" s="53" t="s">
        <v>51</v>
      </c>
    </row>
    <row r="38">
      <c r="A38" s="53">
        <v>32.0</v>
      </c>
      <c r="B38" s="49" t="s">
        <v>138</v>
      </c>
      <c r="C38" s="53" t="s">
        <v>139</v>
      </c>
      <c r="D38" s="10" t="s">
        <v>63</v>
      </c>
      <c r="E38" s="53" t="s">
        <v>51</v>
      </c>
    </row>
    <row r="39">
      <c r="A39" s="53">
        <v>33.0</v>
      </c>
      <c r="B39" s="63">
        <v>46029.0</v>
      </c>
      <c r="C39" s="53" t="s">
        <v>142</v>
      </c>
      <c r="D39" s="10" t="s">
        <v>116</v>
      </c>
      <c r="E39" s="53" t="s">
        <v>51</v>
      </c>
    </row>
    <row r="40">
      <c r="A40" s="53">
        <v>34.0</v>
      </c>
      <c r="B40" s="63">
        <v>46060.0</v>
      </c>
      <c r="C40" s="53" t="s">
        <v>147</v>
      </c>
      <c r="D40" s="10" t="s">
        <v>148</v>
      </c>
      <c r="E40" s="53" t="s">
        <v>51</v>
      </c>
    </row>
    <row r="41">
      <c r="A41" s="53">
        <v>35.0</v>
      </c>
      <c r="B41" s="63">
        <v>46088.0</v>
      </c>
      <c r="C41" s="53" t="s">
        <v>151</v>
      </c>
      <c r="D41" s="10" t="s">
        <v>152</v>
      </c>
      <c r="E41" s="53" t="s">
        <v>51</v>
      </c>
    </row>
    <row r="42">
      <c r="A42" s="53">
        <v>36.0</v>
      </c>
      <c r="B42" s="63">
        <v>46119.0</v>
      </c>
      <c r="C42" s="53" t="s">
        <v>154</v>
      </c>
      <c r="D42" s="10" t="s">
        <v>156</v>
      </c>
      <c r="E42" s="53" t="s">
        <v>51</v>
      </c>
    </row>
    <row r="43">
      <c r="A43" s="53"/>
      <c r="B43" s="63"/>
      <c r="C43" s="16" t="s">
        <v>29</v>
      </c>
      <c r="D43" s="10" t="s">
        <v>30</v>
      </c>
      <c r="E43" s="53"/>
    </row>
    <row r="44">
      <c r="A44" s="53">
        <v>37.0</v>
      </c>
      <c r="B44" s="63">
        <v>46180.0</v>
      </c>
      <c r="C44" s="53" t="s">
        <v>160</v>
      </c>
      <c r="D44" s="10" t="s">
        <v>161</v>
      </c>
      <c r="E44" s="53" t="s">
        <v>51</v>
      </c>
    </row>
    <row r="45">
      <c r="A45" s="53">
        <v>38.0</v>
      </c>
      <c r="B45" s="63">
        <v>46210.0</v>
      </c>
      <c r="C45" s="53" t="s">
        <v>164</v>
      </c>
      <c r="D45" s="10" t="s">
        <v>166</v>
      </c>
      <c r="E45" s="53" t="s">
        <v>51</v>
      </c>
    </row>
    <row r="46">
      <c r="A46" s="53">
        <v>39.0</v>
      </c>
      <c r="B46" s="63">
        <v>46241.0</v>
      </c>
      <c r="C46" s="53" t="s">
        <v>168</v>
      </c>
      <c r="D46" s="10" t="s">
        <v>169</v>
      </c>
      <c r="E46" s="53" t="s">
        <v>51</v>
      </c>
    </row>
    <row r="47">
      <c r="A47" s="53">
        <v>40.0</v>
      </c>
      <c r="B47" s="63">
        <v>46272.0</v>
      </c>
      <c r="C47" s="53" t="s">
        <v>171</v>
      </c>
      <c r="D47" s="10" t="s">
        <v>173</v>
      </c>
      <c r="E47" s="53" t="s">
        <v>51</v>
      </c>
    </row>
    <row r="48">
      <c r="A48" s="53">
        <v>41.0</v>
      </c>
      <c r="B48" s="63">
        <v>46302.0</v>
      </c>
      <c r="C48" s="53" t="s">
        <v>175</v>
      </c>
      <c r="D48" s="10" t="s">
        <v>173</v>
      </c>
      <c r="E48" s="53" t="s">
        <v>51</v>
      </c>
    </row>
    <row r="49">
      <c r="A49" s="53">
        <v>42.0</v>
      </c>
      <c r="B49" s="63">
        <v>6693746.0</v>
      </c>
      <c r="C49" s="53" t="s">
        <v>179</v>
      </c>
      <c r="D49" s="10" t="s">
        <v>180</v>
      </c>
      <c r="E49" s="53" t="s">
        <v>51</v>
      </c>
    </row>
    <row r="50">
      <c r="A50" s="53"/>
      <c r="B50" s="49"/>
      <c r="C50" s="16" t="s">
        <v>29</v>
      </c>
      <c r="D50" s="10" t="s">
        <v>30</v>
      </c>
      <c r="E50" s="53"/>
    </row>
    <row r="51">
      <c r="A51" s="53">
        <v>43.0</v>
      </c>
      <c r="B51" s="49" t="s">
        <v>186</v>
      </c>
      <c r="C51" s="53" t="s">
        <v>187</v>
      </c>
      <c r="D51" s="10" t="s">
        <v>188</v>
      </c>
      <c r="E51" s="53" t="s">
        <v>51</v>
      </c>
    </row>
    <row r="52">
      <c r="A52" s="53">
        <v>44.0</v>
      </c>
      <c r="B52" s="49" t="s">
        <v>190</v>
      </c>
      <c r="C52" s="53" t="s">
        <v>191</v>
      </c>
      <c r="D52" s="10" t="s">
        <v>192</v>
      </c>
      <c r="E52" s="53" t="s">
        <v>51</v>
      </c>
    </row>
    <row r="53">
      <c r="A53" s="53">
        <v>45.0</v>
      </c>
      <c r="B53" s="49" t="s">
        <v>194</v>
      </c>
      <c r="C53" s="53" t="s">
        <v>195</v>
      </c>
      <c r="D53" s="10" t="s">
        <v>196</v>
      </c>
      <c r="E53" s="53" t="s">
        <v>51</v>
      </c>
    </row>
    <row r="54">
      <c r="B54" s="67"/>
    </row>
    <row r="55">
      <c r="B55" s="67"/>
    </row>
    <row r="56">
      <c r="B56" s="67"/>
    </row>
    <row r="57">
      <c r="B57" s="67"/>
    </row>
    <row r="58">
      <c r="B58" s="67"/>
    </row>
    <row r="59">
      <c r="B59" s="67"/>
    </row>
    <row r="60">
      <c r="B60" s="67"/>
    </row>
    <row r="61">
      <c r="B61" s="67"/>
    </row>
    <row r="62">
      <c r="B62" s="67"/>
    </row>
    <row r="63">
      <c r="B63" s="67"/>
    </row>
    <row r="64">
      <c r="B64" s="67"/>
    </row>
    <row r="65">
      <c r="B65" s="67"/>
    </row>
    <row r="66">
      <c r="B66" s="67"/>
    </row>
    <row r="67">
      <c r="B67" s="67"/>
    </row>
    <row r="68">
      <c r="B68" s="67"/>
    </row>
    <row r="69">
      <c r="B69" s="67"/>
    </row>
    <row r="70">
      <c r="B70" s="67"/>
    </row>
    <row r="71">
      <c r="B71" s="67"/>
    </row>
    <row r="72">
      <c r="B72" s="67"/>
    </row>
    <row r="73">
      <c r="B73" s="67"/>
    </row>
    <row r="74">
      <c r="B74" s="67"/>
    </row>
    <row r="75">
      <c r="B75" s="67"/>
    </row>
    <row r="76">
      <c r="B76" s="67"/>
    </row>
    <row r="77">
      <c r="B77" s="67"/>
    </row>
    <row r="78">
      <c r="B78" s="67"/>
    </row>
    <row r="79">
      <c r="B79" s="67"/>
    </row>
    <row r="80">
      <c r="B80" s="67"/>
    </row>
    <row r="81">
      <c r="B81" s="67"/>
    </row>
    <row r="82">
      <c r="B82" s="67"/>
    </row>
    <row r="83">
      <c r="B83" s="67"/>
    </row>
    <row r="84">
      <c r="B84" s="67"/>
    </row>
    <row r="85">
      <c r="B85" s="67"/>
    </row>
    <row r="86">
      <c r="B86" s="67"/>
    </row>
    <row r="87">
      <c r="B87" s="67"/>
    </row>
    <row r="88">
      <c r="B88" s="67"/>
    </row>
    <row r="89">
      <c r="B89" s="67"/>
    </row>
    <row r="90">
      <c r="B90" s="67"/>
    </row>
    <row r="91">
      <c r="B91" s="67"/>
    </row>
    <row r="92">
      <c r="B92" s="67"/>
    </row>
    <row r="93">
      <c r="B93" s="67"/>
    </row>
    <row r="94">
      <c r="B94" s="67"/>
    </row>
    <row r="95">
      <c r="B95" s="67"/>
    </row>
    <row r="96">
      <c r="B96" s="67"/>
    </row>
    <row r="97">
      <c r="B97" s="67"/>
    </row>
    <row r="98">
      <c r="B98" s="67"/>
    </row>
    <row r="99">
      <c r="B99" s="67"/>
    </row>
    <row r="100">
      <c r="B100" s="67"/>
    </row>
    <row r="101">
      <c r="B101" s="67"/>
    </row>
    <row r="102">
      <c r="B102" s="67"/>
    </row>
    <row r="103">
      <c r="B103" s="67"/>
    </row>
    <row r="104">
      <c r="B104" s="67"/>
    </row>
    <row r="105">
      <c r="B105" s="67"/>
    </row>
    <row r="106">
      <c r="B106" s="67"/>
    </row>
    <row r="107">
      <c r="B107" s="67"/>
    </row>
    <row r="108">
      <c r="B108" s="67"/>
    </row>
    <row r="109">
      <c r="B109" s="67"/>
    </row>
    <row r="110">
      <c r="B110" s="67"/>
    </row>
    <row r="111">
      <c r="B111" s="67"/>
    </row>
    <row r="112">
      <c r="B112" s="67"/>
    </row>
    <row r="113">
      <c r="B113" s="67"/>
    </row>
    <row r="114">
      <c r="B114" s="67"/>
    </row>
    <row r="115">
      <c r="B115" s="67"/>
    </row>
    <row r="116">
      <c r="B116" s="67"/>
    </row>
    <row r="117">
      <c r="B117" s="67"/>
    </row>
    <row r="118">
      <c r="B118" s="67"/>
    </row>
    <row r="119">
      <c r="B119" s="67"/>
    </row>
    <row r="120">
      <c r="B120" s="67"/>
    </row>
    <row r="121">
      <c r="B121" s="67"/>
    </row>
    <row r="122">
      <c r="B122" s="67"/>
    </row>
    <row r="123">
      <c r="B123" s="67"/>
    </row>
    <row r="124">
      <c r="B124" s="67"/>
    </row>
    <row r="125">
      <c r="B125" s="67"/>
    </row>
    <row r="126">
      <c r="B126" s="67"/>
    </row>
    <row r="127">
      <c r="B127" s="67"/>
    </row>
    <row r="128">
      <c r="B128" s="67"/>
    </row>
    <row r="129">
      <c r="B129" s="67"/>
    </row>
    <row r="130">
      <c r="B130" s="67"/>
    </row>
    <row r="131">
      <c r="B131" s="67"/>
    </row>
    <row r="132">
      <c r="B132" s="67"/>
    </row>
    <row r="133">
      <c r="B133" s="67"/>
    </row>
    <row r="134">
      <c r="B134" s="67"/>
    </row>
    <row r="135">
      <c r="B135" s="67"/>
    </row>
    <row r="136">
      <c r="B136" s="67"/>
    </row>
    <row r="137">
      <c r="B137" s="67"/>
    </row>
    <row r="138">
      <c r="B138" s="67"/>
    </row>
    <row r="139">
      <c r="B139" s="67"/>
    </row>
    <row r="140">
      <c r="B140" s="67"/>
    </row>
    <row r="141">
      <c r="B141" s="67"/>
    </row>
    <row r="142">
      <c r="B142" s="67"/>
    </row>
    <row r="143">
      <c r="B143" s="67"/>
    </row>
    <row r="144">
      <c r="B144" s="67"/>
    </row>
    <row r="145">
      <c r="B145" s="67"/>
    </row>
    <row r="146">
      <c r="B146" s="67"/>
    </row>
    <row r="147">
      <c r="B147" s="67"/>
    </row>
    <row r="148">
      <c r="B148" s="67"/>
    </row>
    <row r="149">
      <c r="B149" s="67"/>
    </row>
    <row r="150">
      <c r="B150" s="67"/>
    </row>
    <row r="151">
      <c r="B151" s="67"/>
    </row>
    <row r="152">
      <c r="B152" s="67"/>
    </row>
    <row r="153">
      <c r="B153" s="67"/>
    </row>
    <row r="154">
      <c r="B154" s="67"/>
    </row>
    <row r="155">
      <c r="B155" s="67"/>
    </row>
    <row r="156">
      <c r="B156" s="67"/>
    </row>
    <row r="157">
      <c r="B157" s="67"/>
    </row>
    <row r="158">
      <c r="B158" s="67"/>
    </row>
    <row r="159">
      <c r="B159" s="67"/>
    </row>
    <row r="160">
      <c r="B160" s="67"/>
    </row>
    <row r="161">
      <c r="B161" s="67"/>
    </row>
    <row r="162">
      <c r="B162" s="67"/>
    </row>
    <row r="163">
      <c r="B163" s="67"/>
    </row>
    <row r="164">
      <c r="B164" s="67"/>
    </row>
    <row r="165">
      <c r="B165" s="67"/>
    </row>
    <row r="166">
      <c r="B166" s="67"/>
    </row>
    <row r="167">
      <c r="B167" s="67"/>
    </row>
    <row r="168">
      <c r="B168" s="67"/>
    </row>
    <row r="169">
      <c r="B169" s="67"/>
    </row>
    <row r="170">
      <c r="B170" s="67"/>
    </row>
    <row r="171">
      <c r="B171" s="67"/>
    </row>
    <row r="172">
      <c r="B172" s="67"/>
    </row>
    <row r="173">
      <c r="B173" s="67"/>
    </row>
    <row r="174">
      <c r="B174" s="67"/>
    </row>
    <row r="175">
      <c r="B175" s="67"/>
    </row>
    <row r="176">
      <c r="B176" s="67"/>
    </row>
    <row r="177">
      <c r="B177" s="67"/>
    </row>
    <row r="178">
      <c r="B178" s="67"/>
    </row>
    <row r="179">
      <c r="B179" s="67"/>
    </row>
    <row r="180">
      <c r="B180" s="67"/>
    </row>
    <row r="181">
      <c r="B181" s="67"/>
    </row>
    <row r="182">
      <c r="B182" s="67"/>
    </row>
    <row r="183">
      <c r="B183" s="67"/>
    </row>
    <row r="184">
      <c r="B184" s="67"/>
    </row>
    <row r="185">
      <c r="B185" s="67"/>
    </row>
    <row r="186">
      <c r="B186" s="67"/>
    </row>
    <row r="187">
      <c r="B187" s="67"/>
    </row>
    <row r="188">
      <c r="B188" s="67"/>
    </row>
    <row r="189">
      <c r="B189" s="67"/>
    </row>
    <row r="190">
      <c r="B190" s="67"/>
    </row>
    <row r="191">
      <c r="B191" s="67"/>
    </row>
    <row r="192">
      <c r="B192" s="67"/>
    </row>
    <row r="193">
      <c r="B193" s="67"/>
    </row>
    <row r="194">
      <c r="B194" s="67"/>
    </row>
    <row r="195">
      <c r="B195" s="67"/>
    </row>
    <row r="196">
      <c r="B196" s="67"/>
    </row>
    <row r="197">
      <c r="B197" s="67"/>
    </row>
    <row r="198">
      <c r="B198" s="67"/>
    </row>
    <row r="199">
      <c r="B199" s="67"/>
    </row>
    <row r="200">
      <c r="B200" s="67"/>
    </row>
    <row r="201">
      <c r="B201" s="67"/>
    </row>
    <row r="202">
      <c r="B202" s="67"/>
    </row>
    <row r="203">
      <c r="B203" s="67"/>
    </row>
    <row r="204">
      <c r="B204" s="67"/>
    </row>
    <row r="205">
      <c r="B205" s="67"/>
    </row>
    <row r="206">
      <c r="B206" s="67"/>
    </row>
    <row r="207">
      <c r="B207" s="67"/>
    </row>
    <row r="208">
      <c r="B208" s="67"/>
    </row>
    <row r="209">
      <c r="B209" s="67"/>
    </row>
    <row r="210">
      <c r="B210" s="67"/>
    </row>
    <row r="211">
      <c r="B211" s="67"/>
    </row>
    <row r="212">
      <c r="B212" s="67"/>
    </row>
    <row r="213">
      <c r="B213" s="67"/>
    </row>
    <row r="214">
      <c r="B214" s="67"/>
    </row>
    <row r="215">
      <c r="B215" s="67"/>
    </row>
    <row r="216">
      <c r="B216" s="67"/>
    </row>
    <row r="217">
      <c r="B217" s="67"/>
    </row>
    <row r="218">
      <c r="B218" s="67"/>
    </row>
    <row r="219">
      <c r="B219" s="67"/>
    </row>
    <row r="220">
      <c r="B220" s="67"/>
    </row>
    <row r="221">
      <c r="B221" s="67"/>
    </row>
    <row r="222">
      <c r="B222" s="67"/>
    </row>
    <row r="223">
      <c r="B223" s="67"/>
    </row>
    <row r="224">
      <c r="B224" s="67"/>
    </row>
    <row r="225">
      <c r="B225" s="67"/>
    </row>
    <row r="226">
      <c r="B226" s="67"/>
    </row>
    <row r="227">
      <c r="B227" s="67"/>
    </row>
    <row r="228">
      <c r="B228" s="67"/>
    </row>
    <row r="229">
      <c r="B229" s="67"/>
    </row>
    <row r="230">
      <c r="B230" s="67"/>
    </row>
    <row r="231">
      <c r="B231" s="67"/>
    </row>
    <row r="232">
      <c r="B232" s="67"/>
    </row>
    <row r="233">
      <c r="B233" s="67"/>
    </row>
    <row r="234">
      <c r="B234" s="67"/>
    </row>
    <row r="235">
      <c r="B235" s="67"/>
    </row>
    <row r="236">
      <c r="B236" s="67"/>
    </row>
    <row r="237">
      <c r="B237" s="67"/>
    </row>
    <row r="238">
      <c r="B238" s="67"/>
    </row>
    <row r="239">
      <c r="B239" s="67"/>
    </row>
    <row r="240">
      <c r="B240" s="67"/>
    </row>
    <row r="241">
      <c r="B241" s="67"/>
    </row>
    <row r="242">
      <c r="B242" s="67"/>
    </row>
    <row r="243">
      <c r="B243" s="67"/>
    </row>
    <row r="244">
      <c r="B244" s="67"/>
    </row>
    <row r="245">
      <c r="B245" s="67"/>
    </row>
    <row r="246">
      <c r="B246" s="67"/>
    </row>
    <row r="247">
      <c r="B247" s="67"/>
    </row>
    <row r="248">
      <c r="B248" s="67"/>
    </row>
    <row r="249">
      <c r="B249" s="67"/>
    </row>
    <row r="250">
      <c r="B250" s="67"/>
    </row>
    <row r="251">
      <c r="B251" s="67"/>
    </row>
    <row r="252">
      <c r="B252" s="67"/>
    </row>
    <row r="253">
      <c r="B253" s="67"/>
    </row>
    <row r="254">
      <c r="B254" s="67"/>
    </row>
    <row r="255">
      <c r="B255" s="67"/>
    </row>
    <row r="256">
      <c r="B256" s="67"/>
    </row>
    <row r="257">
      <c r="B257" s="67"/>
    </row>
    <row r="258">
      <c r="B258" s="67"/>
    </row>
    <row r="259">
      <c r="B259" s="67"/>
    </row>
    <row r="260">
      <c r="B260" s="67"/>
    </row>
    <row r="261">
      <c r="B261" s="67"/>
    </row>
    <row r="262">
      <c r="B262" s="67"/>
    </row>
    <row r="263">
      <c r="B263" s="67"/>
    </row>
    <row r="264">
      <c r="B264" s="67"/>
    </row>
    <row r="265">
      <c r="B265" s="67"/>
    </row>
    <row r="266">
      <c r="B266" s="67"/>
    </row>
    <row r="267">
      <c r="B267" s="67"/>
    </row>
    <row r="268">
      <c r="B268" s="67"/>
    </row>
    <row r="269">
      <c r="B269" s="67"/>
    </row>
    <row r="270">
      <c r="B270" s="67"/>
    </row>
    <row r="271">
      <c r="B271" s="67"/>
    </row>
    <row r="272">
      <c r="B272" s="67"/>
    </row>
    <row r="273">
      <c r="B273" s="67"/>
    </row>
    <row r="274">
      <c r="B274" s="67"/>
    </row>
    <row r="275">
      <c r="B275" s="67"/>
    </row>
    <row r="276">
      <c r="B276" s="67"/>
    </row>
    <row r="277">
      <c r="B277" s="67"/>
    </row>
    <row r="278">
      <c r="B278" s="67"/>
    </row>
    <row r="279">
      <c r="B279" s="67"/>
    </row>
    <row r="280">
      <c r="B280" s="67"/>
    </row>
    <row r="281">
      <c r="B281" s="67"/>
    </row>
    <row r="282">
      <c r="B282" s="67"/>
    </row>
    <row r="283">
      <c r="B283" s="67"/>
    </row>
    <row r="284">
      <c r="B284" s="67"/>
    </row>
    <row r="285">
      <c r="B285" s="67"/>
    </row>
    <row r="286">
      <c r="B286" s="67"/>
    </row>
    <row r="287">
      <c r="B287" s="67"/>
    </row>
    <row r="288">
      <c r="B288" s="67"/>
    </row>
    <row r="289">
      <c r="B289" s="67"/>
    </row>
    <row r="290">
      <c r="B290" s="67"/>
    </row>
    <row r="291">
      <c r="B291" s="67"/>
    </row>
    <row r="292">
      <c r="B292" s="67"/>
    </row>
    <row r="293">
      <c r="B293" s="67"/>
    </row>
    <row r="294">
      <c r="B294" s="67"/>
    </row>
    <row r="295">
      <c r="B295" s="67"/>
    </row>
    <row r="296">
      <c r="B296" s="67"/>
    </row>
    <row r="297">
      <c r="B297" s="67"/>
    </row>
    <row r="298">
      <c r="B298" s="67"/>
    </row>
    <row r="299">
      <c r="B299" s="67"/>
    </row>
    <row r="300">
      <c r="B300" s="67"/>
    </row>
    <row r="301">
      <c r="B301" s="67"/>
    </row>
    <row r="302">
      <c r="B302" s="67"/>
    </row>
    <row r="303">
      <c r="B303" s="67"/>
    </row>
    <row r="304">
      <c r="B304" s="67"/>
    </row>
    <row r="305">
      <c r="B305" s="67"/>
    </row>
    <row r="306">
      <c r="B306" s="67"/>
    </row>
    <row r="307">
      <c r="B307" s="67"/>
    </row>
    <row r="308">
      <c r="B308" s="67"/>
    </row>
    <row r="309">
      <c r="B309" s="67"/>
    </row>
    <row r="310">
      <c r="B310" s="67"/>
    </row>
    <row r="311">
      <c r="B311" s="67"/>
    </row>
    <row r="312">
      <c r="B312" s="67"/>
    </row>
    <row r="313">
      <c r="B313" s="67"/>
    </row>
    <row r="314">
      <c r="B314" s="67"/>
    </row>
    <row r="315">
      <c r="B315" s="67"/>
    </row>
    <row r="316">
      <c r="B316" s="67"/>
    </row>
    <row r="317">
      <c r="B317" s="67"/>
    </row>
    <row r="318">
      <c r="B318" s="67"/>
    </row>
    <row r="319">
      <c r="B319" s="67"/>
    </row>
    <row r="320">
      <c r="B320" s="67"/>
    </row>
    <row r="321">
      <c r="B321" s="67"/>
    </row>
    <row r="322">
      <c r="B322" s="67"/>
    </row>
    <row r="323">
      <c r="B323" s="67"/>
    </row>
    <row r="324">
      <c r="B324" s="67"/>
    </row>
    <row r="325">
      <c r="B325" s="67"/>
    </row>
    <row r="326">
      <c r="B326" s="67"/>
    </row>
    <row r="327">
      <c r="B327" s="67"/>
    </row>
    <row r="328">
      <c r="B328" s="67"/>
    </row>
    <row r="329">
      <c r="B329" s="67"/>
    </row>
    <row r="330">
      <c r="B330" s="67"/>
    </row>
    <row r="331">
      <c r="B331" s="67"/>
    </row>
    <row r="332">
      <c r="B332" s="67"/>
    </row>
    <row r="333">
      <c r="B333" s="67"/>
    </row>
    <row r="334">
      <c r="B334" s="67"/>
    </row>
    <row r="335">
      <c r="B335" s="67"/>
    </row>
    <row r="336">
      <c r="B336" s="67"/>
    </row>
    <row r="337">
      <c r="B337" s="67"/>
    </row>
    <row r="338">
      <c r="B338" s="67"/>
    </row>
    <row r="339">
      <c r="B339" s="67"/>
    </row>
    <row r="340">
      <c r="B340" s="67"/>
    </row>
    <row r="341">
      <c r="B341" s="67"/>
    </row>
    <row r="342">
      <c r="B342" s="67"/>
    </row>
    <row r="343">
      <c r="B343" s="67"/>
    </row>
    <row r="344">
      <c r="B344" s="67"/>
    </row>
    <row r="345">
      <c r="B345" s="67"/>
    </row>
    <row r="346">
      <c r="B346" s="67"/>
    </row>
    <row r="347">
      <c r="B347" s="67"/>
    </row>
    <row r="348">
      <c r="B348" s="67"/>
    </row>
    <row r="349">
      <c r="B349" s="67"/>
    </row>
    <row r="350">
      <c r="B350" s="67"/>
    </row>
    <row r="351">
      <c r="B351" s="67"/>
    </row>
    <row r="352">
      <c r="B352" s="67"/>
    </row>
    <row r="353">
      <c r="B353" s="67"/>
    </row>
    <row r="354">
      <c r="B354" s="67"/>
    </row>
    <row r="355">
      <c r="B355" s="67"/>
    </row>
    <row r="356">
      <c r="B356" s="67"/>
    </row>
    <row r="357">
      <c r="B357" s="67"/>
    </row>
    <row r="358">
      <c r="B358" s="67"/>
    </row>
    <row r="359">
      <c r="B359" s="67"/>
    </row>
    <row r="360">
      <c r="B360" s="67"/>
    </row>
    <row r="361">
      <c r="B361" s="67"/>
    </row>
    <row r="362">
      <c r="B362" s="67"/>
    </row>
    <row r="363">
      <c r="B363" s="67"/>
    </row>
    <row r="364">
      <c r="B364" s="67"/>
    </row>
    <row r="365">
      <c r="B365" s="67"/>
    </row>
    <row r="366">
      <c r="B366" s="67"/>
    </row>
    <row r="367">
      <c r="B367" s="67"/>
    </row>
    <row r="368">
      <c r="B368" s="67"/>
    </row>
    <row r="369">
      <c r="B369" s="67"/>
    </row>
    <row r="370">
      <c r="B370" s="67"/>
    </row>
    <row r="371">
      <c r="B371" s="67"/>
    </row>
    <row r="372">
      <c r="B372" s="67"/>
    </row>
    <row r="373">
      <c r="B373" s="67"/>
    </row>
    <row r="374">
      <c r="B374" s="67"/>
    </row>
    <row r="375">
      <c r="B375" s="67"/>
    </row>
    <row r="376">
      <c r="B376" s="67"/>
    </row>
    <row r="377">
      <c r="B377" s="67"/>
    </row>
    <row r="378">
      <c r="B378" s="67"/>
    </row>
    <row r="379">
      <c r="B379" s="67"/>
    </row>
    <row r="380">
      <c r="B380" s="67"/>
    </row>
    <row r="381">
      <c r="B381" s="67"/>
    </row>
    <row r="382">
      <c r="B382" s="67"/>
    </row>
    <row r="383">
      <c r="B383" s="67"/>
    </row>
    <row r="384">
      <c r="B384" s="67"/>
    </row>
    <row r="385">
      <c r="B385" s="67"/>
    </row>
    <row r="386">
      <c r="B386" s="67"/>
    </row>
    <row r="387">
      <c r="B387" s="67"/>
    </row>
    <row r="388">
      <c r="B388" s="67"/>
    </row>
    <row r="389">
      <c r="B389" s="67"/>
    </row>
    <row r="390">
      <c r="B390" s="67"/>
    </row>
    <row r="391">
      <c r="B391" s="67"/>
    </row>
    <row r="392">
      <c r="B392" s="67"/>
    </row>
    <row r="393">
      <c r="B393" s="67"/>
    </row>
    <row r="394">
      <c r="B394" s="67"/>
    </row>
    <row r="395">
      <c r="B395" s="67"/>
    </row>
    <row r="396">
      <c r="B396" s="67"/>
    </row>
    <row r="397">
      <c r="B397" s="67"/>
    </row>
    <row r="398">
      <c r="B398" s="67"/>
    </row>
    <row r="399">
      <c r="B399" s="67"/>
    </row>
    <row r="400">
      <c r="B400" s="67"/>
    </row>
    <row r="401">
      <c r="B401" s="67"/>
    </row>
    <row r="402">
      <c r="B402" s="67"/>
    </row>
    <row r="403">
      <c r="B403" s="67"/>
    </row>
    <row r="404">
      <c r="B404" s="67"/>
    </row>
    <row r="405">
      <c r="B405" s="67"/>
    </row>
    <row r="406">
      <c r="B406" s="67"/>
    </row>
    <row r="407">
      <c r="B407" s="67"/>
    </row>
    <row r="408">
      <c r="B408" s="67"/>
    </row>
    <row r="409">
      <c r="B409" s="67"/>
    </row>
    <row r="410">
      <c r="B410" s="67"/>
    </row>
    <row r="411">
      <c r="B411" s="67"/>
    </row>
    <row r="412">
      <c r="B412" s="67"/>
    </row>
    <row r="413">
      <c r="B413" s="67"/>
    </row>
    <row r="414">
      <c r="B414" s="67"/>
    </row>
    <row r="415">
      <c r="B415" s="67"/>
    </row>
    <row r="416">
      <c r="B416" s="67"/>
    </row>
    <row r="417">
      <c r="B417" s="67"/>
    </row>
    <row r="418">
      <c r="B418" s="67"/>
    </row>
    <row r="419">
      <c r="B419" s="67"/>
    </row>
    <row r="420">
      <c r="B420" s="67"/>
    </row>
    <row r="421">
      <c r="B421" s="67"/>
    </row>
    <row r="422">
      <c r="B422" s="67"/>
    </row>
    <row r="423">
      <c r="B423" s="67"/>
    </row>
    <row r="424">
      <c r="B424" s="67"/>
    </row>
    <row r="425">
      <c r="B425" s="67"/>
    </row>
    <row r="426">
      <c r="B426" s="67"/>
    </row>
    <row r="427">
      <c r="B427" s="67"/>
    </row>
    <row r="428">
      <c r="B428" s="67"/>
    </row>
    <row r="429">
      <c r="B429" s="67"/>
    </row>
    <row r="430">
      <c r="B430" s="67"/>
    </row>
    <row r="431">
      <c r="B431" s="67"/>
    </row>
    <row r="432">
      <c r="B432" s="67"/>
    </row>
    <row r="433">
      <c r="B433" s="67"/>
    </row>
    <row r="434">
      <c r="B434" s="67"/>
    </row>
    <row r="435">
      <c r="B435" s="67"/>
    </row>
    <row r="436">
      <c r="B436" s="67"/>
    </row>
    <row r="437">
      <c r="B437" s="67"/>
    </row>
    <row r="438">
      <c r="B438" s="67"/>
    </row>
    <row r="439">
      <c r="B439" s="67"/>
    </row>
    <row r="440">
      <c r="B440" s="67"/>
    </row>
    <row r="441">
      <c r="B441" s="67"/>
    </row>
    <row r="442">
      <c r="B442" s="67"/>
    </row>
    <row r="443">
      <c r="B443" s="67"/>
    </row>
    <row r="444">
      <c r="B444" s="67"/>
    </row>
    <row r="445">
      <c r="B445" s="67"/>
    </row>
    <row r="446">
      <c r="B446" s="67"/>
    </row>
    <row r="447">
      <c r="B447" s="67"/>
    </row>
    <row r="448">
      <c r="B448" s="67"/>
    </row>
    <row r="449">
      <c r="B449" s="67"/>
    </row>
    <row r="450">
      <c r="B450" s="67"/>
    </row>
    <row r="451">
      <c r="B451" s="67"/>
    </row>
    <row r="452">
      <c r="B452" s="67"/>
    </row>
    <row r="453">
      <c r="B453" s="67"/>
    </row>
    <row r="454">
      <c r="B454" s="67"/>
    </row>
    <row r="455">
      <c r="B455" s="67"/>
    </row>
    <row r="456">
      <c r="B456" s="67"/>
    </row>
    <row r="457">
      <c r="B457" s="67"/>
    </row>
    <row r="458">
      <c r="B458" s="67"/>
    </row>
    <row r="459">
      <c r="B459" s="67"/>
    </row>
    <row r="460">
      <c r="B460" s="67"/>
    </row>
    <row r="461">
      <c r="B461" s="67"/>
    </row>
    <row r="462">
      <c r="B462" s="67"/>
    </row>
    <row r="463">
      <c r="B463" s="67"/>
    </row>
    <row r="464">
      <c r="B464" s="67"/>
    </row>
    <row r="465">
      <c r="B465" s="67"/>
    </row>
    <row r="466">
      <c r="B466" s="67"/>
    </row>
    <row r="467">
      <c r="B467" s="67"/>
    </row>
    <row r="468">
      <c r="B468" s="67"/>
    </row>
    <row r="469">
      <c r="B469" s="67"/>
    </row>
    <row r="470">
      <c r="B470" s="67"/>
    </row>
    <row r="471">
      <c r="B471" s="67"/>
    </row>
    <row r="472">
      <c r="B472" s="67"/>
    </row>
    <row r="473">
      <c r="B473" s="67"/>
    </row>
    <row r="474">
      <c r="B474" s="67"/>
    </row>
    <row r="475">
      <c r="B475" s="67"/>
    </row>
    <row r="476">
      <c r="B476" s="67"/>
    </row>
    <row r="477">
      <c r="B477" s="67"/>
    </row>
    <row r="478">
      <c r="B478" s="67"/>
    </row>
    <row r="479">
      <c r="B479" s="67"/>
    </row>
    <row r="480">
      <c r="B480" s="67"/>
    </row>
    <row r="481">
      <c r="B481" s="67"/>
    </row>
    <row r="482">
      <c r="B482" s="67"/>
    </row>
    <row r="483">
      <c r="B483" s="67"/>
    </row>
    <row r="484">
      <c r="B484" s="67"/>
    </row>
    <row r="485">
      <c r="B485" s="67"/>
    </row>
    <row r="486">
      <c r="B486" s="67"/>
    </row>
    <row r="487">
      <c r="B487" s="67"/>
    </row>
    <row r="488">
      <c r="B488" s="67"/>
    </row>
    <row r="489">
      <c r="B489" s="67"/>
    </row>
    <row r="490">
      <c r="B490" s="67"/>
    </row>
    <row r="491">
      <c r="B491" s="67"/>
    </row>
    <row r="492">
      <c r="B492" s="67"/>
    </row>
    <row r="493">
      <c r="B493" s="67"/>
    </row>
    <row r="494">
      <c r="B494" s="67"/>
    </row>
    <row r="495">
      <c r="B495" s="67"/>
    </row>
    <row r="496">
      <c r="B496" s="67"/>
    </row>
    <row r="497">
      <c r="B497" s="67"/>
    </row>
    <row r="498">
      <c r="B498" s="67"/>
    </row>
    <row r="499">
      <c r="B499" s="67"/>
    </row>
    <row r="500">
      <c r="B500" s="67"/>
    </row>
    <row r="501">
      <c r="B501" s="67"/>
    </row>
    <row r="502">
      <c r="B502" s="67"/>
    </row>
    <row r="503">
      <c r="B503" s="67"/>
    </row>
    <row r="504">
      <c r="B504" s="67"/>
    </row>
    <row r="505">
      <c r="B505" s="67"/>
    </row>
    <row r="506">
      <c r="B506" s="67"/>
    </row>
    <row r="507">
      <c r="B507" s="67"/>
    </row>
    <row r="508">
      <c r="B508" s="67"/>
    </row>
    <row r="509">
      <c r="B509" s="67"/>
    </row>
    <row r="510">
      <c r="B510" s="67"/>
    </row>
    <row r="511">
      <c r="B511" s="67"/>
    </row>
    <row r="512">
      <c r="B512" s="67"/>
    </row>
    <row r="513">
      <c r="B513" s="67"/>
    </row>
    <row r="514">
      <c r="B514" s="67"/>
    </row>
    <row r="515">
      <c r="B515" s="67"/>
    </row>
    <row r="516">
      <c r="B516" s="67"/>
    </row>
    <row r="517">
      <c r="B517" s="67"/>
    </row>
    <row r="518">
      <c r="B518" s="67"/>
    </row>
    <row r="519">
      <c r="B519" s="67"/>
    </row>
    <row r="520">
      <c r="B520" s="67"/>
    </row>
    <row r="521">
      <c r="B521" s="67"/>
    </row>
    <row r="522">
      <c r="B522" s="67"/>
    </row>
    <row r="523">
      <c r="B523" s="67"/>
    </row>
    <row r="524">
      <c r="B524" s="67"/>
    </row>
    <row r="525">
      <c r="B525" s="67"/>
    </row>
    <row r="526">
      <c r="B526" s="67"/>
    </row>
    <row r="527">
      <c r="B527" s="67"/>
    </row>
    <row r="528">
      <c r="B528" s="67"/>
    </row>
    <row r="529">
      <c r="B529" s="67"/>
    </row>
    <row r="530">
      <c r="B530" s="67"/>
    </row>
    <row r="531">
      <c r="B531" s="67"/>
    </row>
    <row r="532">
      <c r="B532" s="67"/>
    </row>
    <row r="533">
      <c r="B533" s="67"/>
    </row>
    <row r="534">
      <c r="B534" s="67"/>
    </row>
    <row r="535">
      <c r="B535" s="67"/>
    </row>
    <row r="536">
      <c r="B536" s="67"/>
    </row>
    <row r="537">
      <c r="B537" s="67"/>
    </row>
    <row r="538">
      <c r="B538" s="67"/>
    </row>
    <row r="539">
      <c r="B539" s="67"/>
    </row>
    <row r="540">
      <c r="B540" s="67"/>
    </row>
    <row r="541">
      <c r="B541" s="67"/>
    </row>
    <row r="542">
      <c r="B542" s="67"/>
    </row>
    <row r="543">
      <c r="B543" s="67"/>
    </row>
    <row r="544">
      <c r="B544" s="67"/>
    </row>
    <row r="545">
      <c r="B545" s="67"/>
    </row>
    <row r="546">
      <c r="B546" s="67"/>
    </row>
    <row r="547">
      <c r="B547" s="67"/>
    </row>
    <row r="548">
      <c r="B548" s="67"/>
    </row>
    <row r="549">
      <c r="B549" s="67"/>
    </row>
    <row r="550">
      <c r="B550" s="67"/>
    </row>
    <row r="551">
      <c r="B551" s="67"/>
    </row>
    <row r="552">
      <c r="B552" s="67"/>
    </row>
    <row r="553">
      <c r="B553" s="67"/>
    </row>
    <row r="554">
      <c r="B554" s="67"/>
    </row>
    <row r="555">
      <c r="B555" s="67"/>
    </row>
    <row r="556">
      <c r="B556" s="67"/>
    </row>
    <row r="557">
      <c r="B557" s="67"/>
    </row>
    <row r="558">
      <c r="B558" s="67"/>
    </row>
    <row r="559">
      <c r="B559" s="67"/>
    </row>
    <row r="560">
      <c r="B560" s="67"/>
    </row>
    <row r="561">
      <c r="B561" s="67"/>
    </row>
    <row r="562">
      <c r="B562" s="67"/>
    </row>
    <row r="563">
      <c r="B563" s="67"/>
    </row>
    <row r="564">
      <c r="B564" s="67"/>
    </row>
    <row r="565">
      <c r="B565" s="67"/>
    </row>
    <row r="566">
      <c r="B566" s="67"/>
    </row>
    <row r="567">
      <c r="B567" s="67"/>
    </row>
    <row r="568">
      <c r="B568" s="67"/>
    </row>
    <row r="569">
      <c r="B569" s="67"/>
    </row>
    <row r="570">
      <c r="B570" s="67"/>
    </row>
    <row r="571">
      <c r="B571" s="67"/>
    </row>
    <row r="572">
      <c r="B572" s="67"/>
    </row>
    <row r="573">
      <c r="B573" s="67"/>
    </row>
    <row r="574">
      <c r="B574" s="67"/>
    </row>
    <row r="575">
      <c r="B575" s="67"/>
    </row>
    <row r="576">
      <c r="B576" s="67"/>
    </row>
    <row r="577">
      <c r="B577" s="67"/>
    </row>
    <row r="578">
      <c r="B578" s="67"/>
    </row>
    <row r="579">
      <c r="B579" s="67"/>
    </row>
    <row r="580">
      <c r="B580" s="67"/>
    </row>
    <row r="581">
      <c r="B581" s="67"/>
    </row>
    <row r="582">
      <c r="B582" s="67"/>
    </row>
    <row r="583">
      <c r="B583" s="67"/>
    </row>
    <row r="584">
      <c r="B584" s="67"/>
    </row>
    <row r="585">
      <c r="B585" s="67"/>
    </row>
    <row r="586">
      <c r="B586" s="67"/>
    </row>
    <row r="587">
      <c r="B587" s="67"/>
    </row>
    <row r="588">
      <c r="B588" s="67"/>
    </row>
    <row r="589">
      <c r="B589" s="67"/>
    </row>
    <row r="590">
      <c r="B590" s="67"/>
    </row>
    <row r="591">
      <c r="B591" s="67"/>
    </row>
    <row r="592">
      <c r="B592" s="67"/>
    </row>
    <row r="593">
      <c r="B593" s="67"/>
    </row>
    <row r="594">
      <c r="B594" s="67"/>
    </row>
    <row r="595">
      <c r="B595" s="67"/>
    </row>
    <row r="596">
      <c r="B596" s="67"/>
    </row>
    <row r="597">
      <c r="B597" s="67"/>
    </row>
    <row r="598">
      <c r="B598" s="67"/>
    </row>
    <row r="599">
      <c r="B599" s="67"/>
    </row>
    <row r="600">
      <c r="B600" s="67"/>
    </row>
    <row r="601">
      <c r="B601" s="67"/>
    </row>
    <row r="602">
      <c r="B602" s="67"/>
    </row>
    <row r="603">
      <c r="B603" s="67"/>
    </row>
    <row r="604">
      <c r="B604" s="67"/>
    </row>
    <row r="605">
      <c r="B605" s="67"/>
    </row>
    <row r="606">
      <c r="B606" s="67"/>
    </row>
    <row r="607">
      <c r="B607" s="67"/>
    </row>
    <row r="608">
      <c r="B608" s="67"/>
    </row>
    <row r="609">
      <c r="B609" s="67"/>
    </row>
    <row r="610">
      <c r="B610" s="67"/>
    </row>
    <row r="611">
      <c r="B611" s="67"/>
    </row>
    <row r="612">
      <c r="B612" s="67"/>
    </row>
    <row r="613">
      <c r="B613" s="67"/>
    </row>
    <row r="614">
      <c r="B614" s="67"/>
    </row>
    <row r="615">
      <c r="B615" s="67"/>
    </row>
    <row r="616">
      <c r="B616" s="67"/>
    </row>
    <row r="617">
      <c r="B617" s="67"/>
    </row>
    <row r="618">
      <c r="B618" s="67"/>
    </row>
    <row r="619">
      <c r="B619" s="67"/>
    </row>
    <row r="620">
      <c r="B620" s="67"/>
    </row>
    <row r="621">
      <c r="B621" s="67"/>
    </row>
    <row r="622">
      <c r="B622" s="67"/>
    </row>
    <row r="623">
      <c r="B623" s="67"/>
    </row>
    <row r="624">
      <c r="B624" s="67"/>
    </row>
    <row r="625">
      <c r="B625" s="67"/>
    </row>
    <row r="626">
      <c r="B626" s="67"/>
    </row>
    <row r="627">
      <c r="B627" s="67"/>
    </row>
    <row r="628">
      <c r="B628" s="67"/>
    </row>
    <row r="629">
      <c r="B629" s="67"/>
    </row>
    <row r="630">
      <c r="B630" s="67"/>
    </row>
    <row r="631">
      <c r="B631" s="67"/>
    </row>
    <row r="632">
      <c r="B632" s="67"/>
    </row>
    <row r="633">
      <c r="B633" s="67"/>
    </row>
    <row r="634">
      <c r="B634" s="67"/>
    </row>
    <row r="635">
      <c r="B635" s="67"/>
    </row>
    <row r="636">
      <c r="B636" s="67"/>
    </row>
    <row r="637">
      <c r="B637" s="67"/>
    </row>
    <row r="638">
      <c r="B638" s="67"/>
    </row>
    <row r="639">
      <c r="B639" s="67"/>
    </row>
    <row r="640">
      <c r="B640" s="67"/>
    </row>
    <row r="641">
      <c r="B641" s="67"/>
    </row>
    <row r="642">
      <c r="B642" s="67"/>
    </row>
    <row r="643">
      <c r="B643" s="67"/>
    </row>
    <row r="644">
      <c r="B644" s="67"/>
    </row>
    <row r="645">
      <c r="B645" s="67"/>
    </row>
    <row r="646">
      <c r="B646" s="67"/>
    </row>
    <row r="647">
      <c r="B647" s="67"/>
    </row>
    <row r="648">
      <c r="B648" s="67"/>
    </row>
    <row r="649">
      <c r="B649" s="67"/>
    </row>
    <row r="650">
      <c r="B650" s="67"/>
    </row>
    <row r="651">
      <c r="B651" s="67"/>
    </row>
    <row r="652">
      <c r="B652" s="67"/>
    </row>
    <row r="653">
      <c r="B653" s="67"/>
    </row>
    <row r="654">
      <c r="B654" s="67"/>
    </row>
    <row r="655">
      <c r="B655" s="67"/>
    </row>
    <row r="656">
      <c r="B656" s="67"/>
    </row>
    <row r="657">
      <c r="B657" s="67"/>
    </row>
    <row r="658">
      <c r="B658" s="67"/>
    </row>
    <row r="659">
      <c r="B659" s="67"/>
    </row>
    <row r="660">
      <c r="B660" s="67"/>
    </row>
    <row r="661">
      <c r="B661" s="67"/>
    </row>
    <row r="662">
      <c r="B662" s="67"/>
    </row>
    <row r="663">
      <c r="B663" s="67"/>
    </row>
    <row r="664">
      <c r="B664" s="67"/>
    </row>
    <row r="665">
      <c r="B665" s="67"/>
    </row>
    <row r="666">
      <c r="B666" s="67"/>
    </row>
    <row r="667">
      <c r="B667" s="67"/>
    </row>
    <row r="668">
      <c r="B668" s="67"/>
    </row>
    <row r="669">
      <c r="B669" s="67"/>
    </row>
    <row r="670">
      <c r="B670" s="67"/>
    </row>
    <row r="671">
      <c r="B671" s="67"/>
    </row>
    <row r="672">
      <c r="B672" s="67"/>
    </row>
    <row r="673">
      <c r="B673" s="67"/>
    </row>
    <row r="674">
      <c r="B674" s="67"/>
    </row>
    <row r="675">
      <c r="B675" s="67"/>
    </row>
    <row r="676">
      <c r="B676" s="67"/>
    </row>
    <row r="677">
      <c r="B677" s="67"/>
    </row>
    <row r="678">
      <c r="B678" s="67"/>
    </row>
    <row r="679">
      <c r="B679" s="67"/>
    </row>
    <row r="680">
      <c r="B680" s="67"/>
    </row>
    <row r="681">
      <c r="B681" s="67"/>
    </row>
    <row r="682">
      <c r="B682" s="67"/>
    </row>
    <row r="683">
      <c r="B683" s="67"/>
    </row>
    <row r="684">
      <c r="B684" s="67"/>
    </row>
    <row r="685">
      <c r="B685" s="67"/>
    </row>
    <row r="686">
      <c r="B686" s="67"/>
    </row>
    <row r="687">
      <c r="B687" s="67"/>
    </row>
    <row r="688">
      <c r="B688" s="67"/>
    </row>
    <row r="689">
      <c r="B689" s="67"/>
    </row>
    <row r="690">
      <c r="B690" s="67"/>
    </row>
    <row r="691">
      <c r="B691" s="67"/>
    </row>
    <row r="692">
      <c r="B692" s="67"/>
    </row>
    <row r="693">
      <c r="B693" s="67"/>
    </row>
    <row r="694">
      <c r="B694" s="67"/>
    </row>
    <row r="695">
      <c r="B695" s="67"/>
    </row>
    <row r="696">
      <c r="B696" s="67"/>
    </row>
    <row r="697">
      <c r="B697" s="67"/>
    </row>
    <row r="698">
      <c r="B698" s="67"/>
    </row>
    <row r="699">
      <c r="B699" s="67"/>
    </row>
    <row r="700">
      <c r="B700" s="67"/>
    </row>
    <row r="701">
      <c r="B701" s="67"/>
    </row>
    <row r="702">
      <c r="B702" s="67"/>
    </row>
    <row r="703">
      <c r="B703" s="67"/>
    </row>
    <row r="704">
      <c r="B704" s="67"/>
    </row>
    <row r="705">
      <c r="B705" s="67"/>
    </row>
    <row r="706">
      <c r="B706" s="67"/>
    </row>
    <row r="707">
      <c r="B707" s="67"/>
    </row>
    <row r="708">
      <c r="B708" s="67"/>
    </row>
    <row r="709">
      <c r="B709" s="67"/>
    </row>
    <row r="710">
      <c r="B710" s="67"/>
    </row>
    <row r="711">
      <c r="B711" s="67"/>
    </row>
    <row r="712">
      <c r="B712" s="67"/>
    </row>
    <row r="713">
      <c r="B713" s="67"/>
    </row>
    <row r="714">
      <c r="B714" s="67"/>
    </row>
    <row r="715">
      <c r="B715" s="67"/>
    </row>
    <row r="716">
      <c r="B716" s="67"/>
    </row>
    <row r="717">
      <c r="B717" s="67"/>
    </row>
    <row r="718">
      <c r="B718" s="67"/>
    </row>
    <row r="719">
      <c r="B719" s="67"/>
    </row>
    <row r="720">
      <c r="B720" s="67"/>
    </row>
    <row r="721">
      <c r="B721" s="67"/>
    </row>
    <row r="722">
      <c r="B722" s="67"/>
    </row>
    <row r="723">
      <c r="B723" s="67"/>
    </row>
    <row r="724">
      <c r="B724" s="67"/>
    </row>
    <row r="725">
      <c r="B725" s="67"/>
    </row>
    <row r="726">
      <c r="B726" s="67"/>
    </row>
    <row r="727">
      <c r="B727" s="67"/>
    </row>
    <row r="728">
      <c r="B728" s="67"/>
    </row>
    <row r="729">
      <c r="B729" s="67"/>
    </row>
    <row r="730">
      <c r="B730" s="67"/>
    </row>
    <row r="731">
      <c r="B731" s="67"/>
    </row>
    <row r="732">
      <c r="B732" s="67"/>
    </row>
    <row r="733">
      <c r="B733" s="67"/>
    </row>
    <row r="734">
      <c r="B734" s="67"/>
    </row>
    <row r="735">
      <c r="B735" s="67"/>
    </row>
    <row r="736">
      <c r="B736" s="67"/>
    </row>
    <row r="737">
      <c r="B737" s="67"/>
    </row>
    <row r="738">
      <c r="B738" s="67"/>
    </row>
    <row r="739">
      <c r="B739" s="67"/>
    </row>
    <row r="740">
      <c r="B740" s="67"/>
    </row>
    <row r="741">
      <c r="B741" s="67"/>
    </row>
    <row r="742">
      <c r="B742" s="67"/>
    </row>
    <row r="743">
      <c r="B743" s="67"/>
    </row>
    <row r="744">
      <c r="B744" s="67"/>
    </row>
    <row r="745">
      <c r="B745" s="67"/>
    </row>
    <row r="746">
      <c r="B746" s="67"/>
    </row>
    <row r="747">
      <c r="B747" s="67"/>
    </row>
    <row r="748">
      <c r="B748" s="67"/>
    </row>
    <row r="749">
      <c r="B749" s="67"/>
    </row>
    <row r="750">
      <c r="B750" s="67"/>
    </row>
    <row r="751">
      <c r="B751" s="67"/>
    </row>
    <row r="752">
      <c r="B752" s="67"/>
    </row>
    <row r="753">
      <c r="B753" s="67"/>
    </row>
    <row r="754">
      <c r="B754" s="67"/>
    </row>
    <row r="755">
      <c r="B755" s="67"/>
    </row>
    <row r="756">
      <c r="B756" s="67"/>
    </row>
    <row r="757">
      <c r="B757" s="67"/>
    </row>
    <row r="758">
      <c r="B758" s="67"/>
    </row>
    <row r="759">
      <c r="B759" s="67"/>
    </row>
    <row r="760">
      <c r="B760" s="67"/>
    </row>
    <row r="761">
      <c r="B761" s="67"/>
    </row>
    <row r="762">
      <c r="B762" s="67"/>
    </row>
    <row r="763">
      <c r="B763" s="67"/>
    </row>
    <row r="764">
      <c r="B764" s="67"/>
    </row>
    <row r="765">
      <c r="B765" s="67"/>
    </row>
    <row r="766">
      <c r="B766" s="67"/>
    </row>
    <row r="767">
      <c r="B767" s="67"/>
    </row>
    <row r="768">
      <c r="B768" s="67"/>
    </row>
    <row r="769">
      <c r="B769" s="67"/>
    </row>
    <row r="770">
      <c r="B770" s="67"/>
    </row>
    <row r="771">
      <c r="B771" s="67"/>
    </row>
    <row r="772">
      <c r="B772" s="67"/>
    </row>
    <row r="773">
      <c r="B773" s="67"/>
    </row>
    <row r="774">
      <c r="B774" s="67"/>
    </row>
    <row r="775">
      <c r="B775" s="67"/>
    </row>
    <row r="776">
      <c r="B776" s="67"/>
    </row>
    <row r="777">
      <c r="B777" s="67"/>
    </row>
    <row r="778">
      <c r="B778" s="67"/>
    </row>
    <row r="779">
      <c r="B779" s="67"/>
    </row>
    <row r="780">
      <c r="B780" s="67"/>
    </row>
    <row r="781">
      <c r="B781" s="67"/>
    </row>
    <row r="782">
      <c r="B782" s="67"/>
    </row>
    <row r="783">
      <c r="B783" s="67"/>
    </row>
    <row r="784">
      <c r="B784" s="67"/>
    </row>
    <row r="785">
      <c r="B785" s="67"/>
    </row>
    <row r="786">
      <c r="B786" s="67"/>
    </row>
    <row r="787">
      <c r="B787" s="67"/>
    </row>
    <row r="788">
      <c r="B788" s="67"/>
    </row>
    <row r="789">
      <c r="B789" s="67"/>
    </row>
    <row r="790">
      <c r="B790" s="67"/>
    </row>
    <row r="791">
      <c r="B791" s="67"/>
    </row>
    <row r="792">
      <c r="B792" s="67"/>
    </row>
    <row r="793">
      <c r="B793" s="67"/>
    </row>
    <row r="794">
      <c r="B794" s="67"/>
    </row>
    <row r="795">
      <c r="B795" s="67"/>
    </row>
    <row r="796">
      <c r="B796" s="67"/>
    </row>
    <row r="797">
      <c r="B797" s="67"/>
    </row>
    <row r="798">
      <c r="B798" s="67"/>
    </row>
    <row r="799">
      <c r="B799" s="67"/>
    </row>
    <row r="800">
      <c r="B800" s="67"/>
    </row>
    <row r="801">
      <c r="B801" s="67"/>
    </row>
    <row r="802">
      <c r="B802" s="67"/>
    </row>
    <row r="803">
      <c r="B803" s="67"/>
    </row>
    <row r="804">
      <c r="B804" s="67"/>
    </row>
    <row r="805">
      <c r="B805" s="67"/>
    </row>
    <row r="806">
      <c r="B806" s="67"/>
    </row>
    <row r="807">
      <c r="B807" s="67"/>
    </row>
    <row r="808">
      <c r="B808" s="67"/>
    </row>
    <row r="809">
      <c r="B809" s="67"/>
    </row>
    <row r="810">
      <c r="B810" s="67"/>
    </row>
    <row r="811">
      <c r="B811" s="67"/>
    </row>
    <row r="812">
      <c r="B812" s="67"/>
    </row>
    <row r="813">
      <c r="B813" s="67"/>
    </row>
    <row r="814">
      <c r="B814" s="67"/>
    </row>
    <row r="815">
      <c r="B815" s="67"/>
    </row>
    <row r="816">
      <c r="B816" s="67"/>
    </row>
    <row r="817">
      <c r="B817" s="67"/>
    </row>
    <row r="818">
      <c r="B818" s="67"/>
    </row>
    <row r="819">
      <c r="B819" s="67"/>
    </row>
    <row r="820">
      <c r="B820" s="67"/>
    </row>
    <row r="821">
      <c r="B821" s="67"/>
    </row>
    <row r="822">
      <c r="B822" s="67"/>
    </row>
    <row r="823">
      <c r="B823" s="67"/>
    </row>
    <row r="824">
      <c r="B824" s="67"/>
    </row>
    <row r="825">
      <c r="B825" s="67"/>
    </row>
    <row r="826">
      <c r="B826" s="67"/>
    </row>
    <row r="827">
      <c r="B827" s="67"/>
    </row>
    <row r="828">
      <c r="B828" s="67"/>
    </row>
    <row r="829">
      <c r="B829" s="67"/>
    </row>
    <row r="830">
      <c r="B830" s="67"/>
    </row>
    <row r="831">
      <c r="B831" s="67"/>
    </row>
    <row r="832">
      <c r="B832" s="67"/>
    </row>
    <row r="833">
      <c r="B833" s="67"/>
    </row>
    <row r="834">
      <c r="B834" s="67"/>
    </row>
    <row r="835">
      <c r="B835" s="67"/>
    </row>
    <row r="836">
      <c r="B836" s="67"/>
    </row>
    <row r="837">
      <c r="B837" s="67"/>
    </row>
    <row r="838">
      <c r="B838" s="67"/>
    </row>
    <row r="839">
      <c r="B839" s="67"/>
    </row>
    <row r="840">
      <c r="B840" s="67"/>
    </row>
    <row r="841">
      <c r="B841" s="67"/>
    </row>
    <row r="842">
      <c r="B842" s="67"/>
    </row>
    <row r="843">
      <c r="B843" s="67"/>
    </row>
    <row r="844">
      <c r="B844" s="67"/>
    </row>
    <row r="845">
      <c r="B845" s="67"/>
    </row>
    <row r="846">
      <c r="B846" s="67"/>
    </row>
    <row r="847">
      <c r="B847" s="67"/>
    </row>
    <row r="848">
      <c r="B848" s="67"/>
    </row>
    <row r="849">
      <c r="B849" s="67"/>
    </row>
    <row r="850">
      <c r="B850" s="67"/>
    </row>
    <row r="851">
      <c r="B851" s="67"/>
    </row>
    <row r="852">
      <c r="B852" s="67"/>
    </row>
    <row r="853">
      <c r="B853" s="67"/>
    </row>
    <row r="854">
      <c r="B854" s="67"/>
    </row>
    <row r="855">
      <c r="B855" s="67"/>
    </row>
    <row r="856">
      <c r="B856" s="67"/>
    </row>
    <row r="857">
      <c r="B857" s="67"/>
    </row>
    <row r="858">
      <c r="B858" s="67"/>
    </row>
    <row r="859">
      <c r="B859" s="67"/>
    </row>
    <row r="860">
      <c r="B860" s="67"/>
    </row>
    <row r="861">
      <c r="B861" s="67"/>
    </row>
    <row r="862">
      <c r="B862" s="67"/>
    </row>
    <row r="863">
      <c r="B863" s="67"/>
    </row>
    <row r="864">
      <c r="B864" s="67"/>
    </row>
    <row r="865">
      <c r="B865" s="67"/>
    </row>
    <row r="866">
      <c r="B866" s="67"/>
    </row>
    <row r="867">
      <c r="B867" s="67"/>
    </row>
    <row r="868">
      <c r="B868" s="67"/>
    </row>
    <row r="869">
      <c r="B869" s="67"/>
    </row>
    <row r="870">
      <c r="B870" s="67"/>
    </row>
    <row r="871">
      <c r="B871" s="67"/>
    </row>
    <row r="872">
      <c r="B872" s="67"/>
    </row>
    <row r="873">
      <c r="B873" s="67"/>
    </row>
    <row r="874">
      <c r="B874" s="67"/>
    </row>
    <row r="875">
      <c r="B875" s="67"/>
    </row>
    <row r="876">
      <c r="B876" s="67"/>
    </row>
    <row r="877">
      <c r="B877" s="67"/>
    </row>
    <row r="878">
      <c r="B878" s="67"/>
    </row>
    <row r="879">
      <c r="B879" s="67"/>
    </row>
    <row r="880">
      <c r="B880" s="67"/>
    </row>
    <row r="881">
      <c r="B881" s="67"/>
    </row>
    <row r="882">
      <c r="B882" s="67"/>
    </row>
    <row r="883">
      <c r="B883" s="67"/>
    </row>
    <row r="884">
      <c r="B884" s="67"/>
    </row>
    <row r="885">
      <c r="B885" s="67"/>
    </row>
    <row r="886">
      <c r="B886" s="67"/>
    </row>
    <row r="887">
      <c r="B887" s="67"/>
    </row>
    <row r="888">
      <c r="B888" s="67"/>
    </row>
    <row r="889">
      <c r="B889" s="67"/>
    </row>
    <row r="890">
      <c r="B890" s="67"/>
    </row>
    <row r="891">
      <c r="B891" s="67"/>
    </row>
    <row r="892">
      <c r="B892" s="67"/>
    </row>
    <row r="893">
      <c r="B893" s="67"/>
    </row>
    <row r="894">
      <c r="B894" s="67"/>
    </row>
    <row r="895">
      <c r="B895" s="67"/>
    </row>
    <row r="896">
      <c r="B896" s="67"/>
    </row>
    <row r="897">
      <c r="B897" s="67"/>
    </row>
    <row r="898">
      <c r="B898" s="67"/>
    </row>
    <row r="899">
      <c r="B899" s="67"/>
    </row>
    <row r="900">
      <c r="B900" s="67"/>
    </row>
    <row r="901">
      <c r="B901" s="67"/>
    </row>
    <row r="902">
      <c r="B902" s="67"/>
    </row>
    <row r="903">
      <c r="B903" s="67"/>
    </row>
    <row r="904">
      <c r="B904" s="67"/>
    </row>
    <row r="905">
      <c r="B905" s="67"/>
    </row>
    <row r="906">
      <c r="B906" s="67"/>
    </row>
    <row r="907">
      <c r="B907" s="67"/>
    </row>
    <row r="908">
      <c r="B908" s="67"/>
    </row>
    <row r="909">
      <c r="B909" s="67"/>
    </row>
    <row r="910">
      <c r="B910" s="67"/>
    </row>
    <row r="911">
      <c r="B911" s="67"/>
    </row>
    <row r="912">
      <c r="B912" s="67"/>
    </row>
    <row r="913">
      <c r="B913" s="67"/>
    </row>
    <row r="914">
      <c r="B914" s="67"/>
    </row>
    <row r="915">
      <c r="B915" s="67"/>
    </row>
    <row r="916">
      <c r="B916" s="67"/>
    </row>
    <row r="917">
      <c r="B917" s="67"/>
    </row>
    <row r="918">
      <c r="B918" s="67"/>
    </row>
    <row r="919">
      <c r="B919" s="67"/>
    </row>
    <row r="920">
      <c r="B920" s="67"/>
    </row>
    <row r="921">
      <c r="B921" s="67"/>
    </row>
    <row r="922">
      <c r="B922" s="67"/>
    </row>
    <row r="923">
      <c r="B923" s="67"/>
    </row>
    <row r="924">
      <c r="B924" s="67"/>
    </row>
    <row r="925">
      <c r="B925" s="67"/>
    </row>
    <row r="926">
      <c r="B926" s="67"/>
    </row>
    <row r="927">
      <c r="B927" s="67"/>
    </row>
    <row r="928">
      <c r="B928" s="67"/>
    </row>
    <row r="929">
      <c r="B929" s="67"/>
    </row>
    <row r="930">
      <c r="B930" s="67"/>
    </row>
    <row r="931">
      <c r="B931" s="67"/>
    </row>
    <row r="932">
      <c r="B932" s="67"/>
    </row>
    <row r="933">
      <c r="B933" s="67"/>
    </row>
    <row r="934">
      <c r="B934" s="67"/>
    </row>
    <row r="935">
      <c r="B935" s="67"/>
    </row>
    <row r="936">
      <c r="B936" s="67"/>
    </row>
    <row r="937">
      <c r="B937" s="67"/>
    </row>
    <row r="938">
      <c r="B938" s="67"/>
    </row>
    <row r="939">
      <c r="B939" s="67"/>
    </row>
    <row r="940">
      <c r="B940" s="67"/>
    </row>
    <row r="941">
      <c r="B941" s="67"/>
    </row>
    <row r="942">
      <c r="B942" s="67"/>
    </row>
    <row r="943">
      <c r="B943" s="67"/>
    </row>
    <row r="944">
      <c r="B944" s="67"/>
    </row>
    <row r="945">
      <c r="B945" s="67"/>
    </row>
    <row r="946">
      <c r="B946" s="67"/>
    </row>
    <row r="947">
      <c r="B947" s="67"/>
    </row>
    <row r="948">
      <c r="B948" s="67"/>
    </row>
    <row r="949">
      <c r="B949" s="67"/>
    </row>
    <row r="950">
      <c r="B950" s="67"/>
    </row>
    <row r="951">
      <c r="B951" s="67"/>
    </row>
    <row r="952">
      <c r="B952" s="67"/>
    </row>
    <row r="953">
      <c r="B953" s="67"/>
    </row>
    <row r="954">
      <c r="B954" s="67"/>
    </row>
    <row r="955">
      <c r="B955" s="67"/>
    </row>
    <row r="956">
      <c r="B956" s="67"/>
    </row>
    <row r="957">
      <c r="B957" s="67"/>
    </row>
    <row r="958">
      <c r="B958" s="67"/>
    </row>
    <row r="959">
      <c r="B959" s="67"/>
    </row>
    <row r="960">
      <c r="B960" s="67"/>
    </row>
    <row r="961">
      <c r="B961" s="67"/>
    </row>
    <row r="962">
      <c r="B962" s="67"/>
    </row>
    <row r="963">
      <c r="B963" s="67"/>
    </row>
    <row r="964">
      <c r="B964" s="67"/>
    </row>
    <row r="965">
      <c r="B965" s="67"/>
    </row>
    <row r="966">
      <c r="B966" s="67"/>
    </row>
    <row r="967">
      <c r="B967" s="67"/>
    </row>
    <row r="968">
      <c r="B968" s="67"/>
    </row>
    <row r="969">
      <c r="B969" s="67"/>
    </row>
    <row r="970">
      <c r="B970" s="67"/>
    </row>
    <row r="971">
      <c r="B971" s="67"/>
    </row>
    <row r="972">
      <c r="B972" s="67"/>
    </row>
    <row r="973">
      <c r="B973" s="67"/>
    </row>
    <row r="974">
      <c r="B974" s="67"/>
    </row>
    <row r="975">
      <c r="B975" s="67"/>
    </row>
    <row r="976">
      <c r="B976" s="67"/>
    </row>
    <row r="977">
      <c r="B977" s="67"/>
    </row>
    <row r="978">
      <c r="B978" s="67"/>
    </row>
    <row r="979">
      <c r="B979" s="67"/>
    </row>
    <row r="980">
      <c r="B980" s="67"/>
    </row>
    <row r="981">
      <c r="B981" s="67"/>
    </row>
    <row r="982">
      <c r="B982" s="67"/>
    </row>
    <row r="983">
      <c r="B983" s="67"/>
    </row>
    <row r="984">
      <c r="B984" s="67"/>
    </row>
    <row r="985">
      <c r="B985" s="67"/>
    </row>
    <row r="986">
      <c r="B986" s="67"/>
    </row>
    <row r="987">
      <c r="B987" s="67"/>
    </row>
    <row r="988">
      <c r="B988" s="67"/>
    </row>
    <row r="989">
      <c r="B989" s="67"/>
    </row>
    <row r="990">
      <c r="B990" s="67"/>
    </row>
    <row r="991">
      <c r="B991" s="67"/>
    </row>
    <row r="992">
      <c r="B992" s="67"/>
    </row>
    <row r="993">
      <c r="B993" s="67"/>
    </row>
    <row r="994">
      <c r="B994" s="67"/>
    </row>
    <row r="995">
      <c r="B995" s="67"/>
    </row>
    <row r="996">
      <c r="B996" s="67"/>
    </row>
    <row r="997">
      <c r="B997" s="67"/>
    </row>
    <row r="998">
      <c r="B998" s="67"/>
    </row>
    <row r="999">
      <c r="B999" s="67"/>
    </row>
    <row r="1000">
      <c r="B1000" s="67"/>
    </row>
    <row r="1001">
      <c r="B1001" s="67"/>
    </row>
    <row r="1002">
      <c r="B1002" s="67"/>
    </row>
    <row r="1003">
      <c r="B1003" s="67"/>
    </row>
    <row r="1004">
      <c r="B1004" s="67"/>
    </row>
    <row r="1005">
      <c r="B1005" s="67"/>
    </row>
    <row r="1006">
      <c r="B1006" s="67"/>
    </row>
    <row r="1007">
      <c r="B1007" s="6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9"/>
      <c r="B1" s="19"/>
      <c r="C1" s="19"/>
      <c r="D1" s="21">
        <v>1.0</v>
      </c>
      <c r="E1" s="21">
        <v>2.0</v>
      </c>
      <c r="F1" s="21">
        <v>3.0</v>
      </c>
      <c r="G1" s="21">
        <v>4.0</v>
      </c>
      <c r="H1" s="21">
        <v>5.0</v>
      </c>
      <c r="I1" s="21">
        <v>6.0</v>
      </c>
      <c r="J1" s="21">
        <v>7.0</v>
      </c>
      <c r="K1" s="21"/>
      <c r="L1" s="21"/>
      <c r="M1" s="21"/>
      <c r="N1" s="21"/>
      <c r="O1" s="21"/>
      <c r="P1" s="21">
        <v>8.0</v>
      </c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>
      <c r="A2" s="29" t="s">
        <v>0</v>
      </c>
      <c r="B2" s="30" t="s">
        <v>2</v>
      </c>
      <c r="C2" s="29" t="s">
        <v>3</v>
      </c>
      <c r="D2" s="31" t="s">
        <v>58</v>
      </c>
      <c r="E2" s="31" t="s">
        <v>59</v>
      </c>
      <c r="F2" s="31" t="s">
        <v>60</v>
      </c>
      <c r="G2" s="31" t="s">
        <v>62</v>
      </c>
      <c r="H2" s="31" t="s">
        <v>64</v>
      </c>
      <c r="I2" s="31" t="s">
        <v>66</v>
      </c>
      <c r="J2" s="31" t="s">
        <v>67</v>
      </c>
      <c r="K2" s="31" t="s">
        <v>69</v>
      </c>
      <c r="L2" s="31" t="s">
        <v>71</v>
      </c>
      <c r="M2" s="31" t="s">
        <v>74</v>
      </c>
      <c r="N2" s="37" t="s">
        <v>75</v>
      </c>
      <c r="O2" s="39" t="s">
        <v>77</v>
      </c>
      <c r="P2" s="39" t="s">
        <v>78</v>
      </c>
      <c r="Q2" s="40" t="s">
        <v>80</v>
      </c>
      <c r="R2" s="8"/>
    </row>
    <row r="3">
      <c r="A3" s="42">
        <v>1.0</v>
      </c>
      <c r="B3" s="43" t="s">
        <v>88</v>
      </c>
      <c r="C3" s="43" t="s">
        <v>91</v>
      </c>
      <c r="D3" s="44">
        <v>40.0</v>
      </c>
      <c r="E3" s="44">
        <v>42.0</v>
      </c>
      <c r="F3" s="46">
        <v>37.0</v>
      </c>
      <c r="G3" s="48">
        <v>44.0</v>
      </c>
      <c r="H3" s="48">
        <v>38.0</v>
      </c>
      <c r="I3" s="48">
        <v>37.0</v>
      </c>
      <c r="J3" s="48">
        <v>52.0</v>
      </c>
      <c r="K3" s="48">
        <v>39.0</v>
      </c>
      <c r="L3" s="48">
        <v>51.0</v>
      </c>
      <c r="M3" s="49">
        <v>40.0</v>
      </c>
      <c r="N3" s="51">
        <v>45.0</v>
      </c>
      <c r="O3" s="52">
        <v>39.0</v>
      </c>
      <c r="P3" s="52">
        <v>33.0</v>
      </c>
      <c r="Q3" s="54">
        <f t="shared" ref="Q3:Q44" si="1">Countif(D3:P3,"A")</f>
        <v>0</v>
      </c>
      <c r="R3" s="8"/>
      <c r="S3" s="55" t="str">
        <f>IFERROR(__xludf.DUMMYFUNCTION("TEXTJOIN("", "",TRUE,FILTER(D$1:P$1, D3:P3=""A""))"),"#N/A")</f>
        <v>#N/A</v>
      </c>
      <c r="U3" s="55">
        <f t="shared" ref="U3:U44" si="2">countif(D3:P3,"A")</f>
        <v>0</v>
      </c>
    </row>
    <row r="4">
      <c r="A4" s="42">
        <v>2.0</v>
      </c>
      <c r="B4" s="56" t="s">
        <v>126</v>
      </c>
      <c r="C4" s="56" t="s">
        <v>127</v>
      </c>
      <c r="D4" s="57">
        <v>40.0</v>
      </c>
      <c r="E4" s="57">
        <v>42.0</v>
      </c>
      <c r="F4" s="57">
        <v>46.0</v>
      </c>
      <c r="G4" s="58">
        <v>43.0</v>
      </c>
      <c r="H4" s="58" t="s">
        <v>132</v>
      </c>
      <c r="I4" s="58">
        <v>37.0</v>
      </c>
      <c r="J4" s="58">
        <v>59.0</v>
      </c>
      <c r="K4" s="58">
        <v>44.0</v>
      </c>
      <c r="L4" s="58">
        <v>46.0</v>
      </c>
      <c r="M4" s="49">
        <v>34.0</v>
      </c>
      <c r="N4" s="60">
        <v>44.0</v>
      </c>
      <c r="O4" s="61">
        <v>45.0</v>
      </c>
      <c r="P4" s="61">
        <v>35.0</v>
      </c>
      <c r="Q4" s="54">
        <f t="shared" si="1"/>
        <v>1</v>
      </c>
      <c r="R4" s="8"/>
      <c r="S4" s="55" t="str">
        <f>IFERROR(__xludf.DUMMYFUNCTION("TEXTJOIN("", "",TRUE,FILTER(D$1:P$1, D4:P4=""A""))"),"5")</f>
        <v>5</v>
      </c>
      <c r="U4" s="55">
        <f t="shared" si="2"/>
        <v>1</v>
      </c>
    </row>
    <row r="5">
      <c r="A5" s="42">
        <v>3.0</v>
      </c>
      <c r="B5" s="43" t="s">
        <v>144</v>
      </c>
      <c r="C5" s="43" t="s">
        <v>146</v>
      </c>
      <c r="D5" s="44" t="s">
        <v>132</v>
      </c>
      <c r="E5" s="44" t="s">
        <v>132</v>
      </c>
      <c r="F5" s="46">
        <v>46.0</v>
      </c>
      <c r="G5" s="48">
        <v>48.0</v>
      </c>
      <c r="H5" s="48">
        <v>36.0</v>
      </c>
      <c r="I5" s="48">
        <v>26.0</v>
      </c>
      <c r="J5" s="48" t="s">
        <v>132</v>
      </c>
      <c r="K5" s="48">
        <v>22.0</v>
      </c>
      <c r="L5" s="48">
        <v>40.0</v>
      </c>
      <c r="M5" s="49">
        <v>40.0</v>
      </c>
      <c r="N5" s="60">
        <v>40.0</v>
      </c>
      <c r="O5" s="52">
        <v>42.0</v>
      </c>
      <c r="P5" s="52">
        <v>32.0</v>
      </c>
      <c r="Q5" s="54">
        <f t="shared" si="1"/>
        <v>3</v>
      </c>
      <c r="R5" s="8"/>
      <c r="S5" s="55" t="str">
        <f>IFERROR(__xludf.DUMMYFUNCTION("TEXTJOIN("", "",TRUE,FILTER(D$1:P$1, D5:P5=""A""))"),"1, 2, 7")</f>
        <v>1, 2, 7</v>
      </c>
      <c r="U5" s="55">
        <f t="shared" si="2"/>
        <v>3</v>
      </c>
    </row>
    <row r="6">
      <c r="A6" s="42">
        <v>4.0</v>
      </c>
      <c r="B6" s="43" t="s">
        <v>162</v>
      </c>
      <c r="C6" s="43" t="s">
        <v>163</v>
      </c>
      <c r="D6" s="57">
        <v>46.0</v>
      </c>
      <c r="E6" s="57">
        <v>38.0</v>
      </c>
      <c r="F6" s="57">
        <v>44.0</v>
      </c>
      <c r="G6" s="58">
        <v>48.0</v>
      </c>
      <c r="H6" s="58">
        <v>38.0</v>
      </c>
      <c r="I6" s="58">
        <v>36.0</v>
      </c>
      <c r="J6" s="58">
        <v>63.0</v>
      </c>
      <c r="K6" s="58">
        <v>47.0</v>
      </c>
      <c r="L6" s="58">
        <v>56.0</v>
      </c>
      <c r="M6" s="49">
        <v>47.0</v>
      </c>
      <c r="N6" s="64">
        <v>47.0</v>
      </c>
      <c r="O6" s="61">
        <v>47.0</v>
      </c>
      <c r="P6" s="61">
        <v>39.0</v>
      </c>
      <c r="Q6" s="54">
        <f t="shared" si="1"/>
        <v>0</v>
      </c>
      <c r="R6" s="8"/>
      <c r="S6" s="55" t="str">
        <f>IFERROR(__xludf.DUMMYFUNCTION("TEXTJOIN("", "",TRUE,FILTER(D$1:P$1, D6:P6=""A""))"),"#N/A")</f>
        <v>#N/A</v>
      </c>
      <c r="U6" s="55">
        <f t="shared" si="2"/>
        <v>0</v>
      </c>
    </row>
    <row r="7">
      <c r="A7" s="42">
        <v>5.0</v>
      </c>
      <c r="B7" s="43" t="s">
        <v>182</v>
      </c>
      <c r="C7" s="43" t="s">
        <v>183</v>
      </c>
      <c r="D7" s="44">
        <v>48.0</v>
      </c>
      <c r="E7" s="44">
        <v>48.0</v>
      </c>
      <c r="F7" s="44">
        <v>48.0</v>
      </c>
      <c r="G7" s="48">
        <v>49.0</v>
      </c>
      <c r="H7" s="48">
        <v>44.0</v>
      </c>
      <c r="I7" s="48">
        <v>38.0</v>
      </c>
      <c r="J7" s="48">
        <v>69.0</v>
      </c>
      <c r="K7" s="48">
        <v>43.0</v>
      </c>
      <c r="L7" s="48">
        <v>54.0</v>
      </c>
      <c r="M7" s="49">
        <v>45.0</v>
      </c>
      <c r="N7" s="51">
        <v>45.0</v>
      </c>
      <c r="O7" s="52">
        <v>47.0</v>
      </c>
      <c r="P7" s="52">
        <v>38.0</v>
      </c>
      <c r="Q7" s="54">
        <f t="shared" si="1"/>
        <v>0</v>
      </c>
      <c r="R7" s="8"/>
      <c r="S7" s="55" t="str">
        <f>IFERROR(__xludf.DUMMYFUNCTION("TEXTJOIN("", "",TRUE,FILTER(D$1:P$1, D7:P7=""A""))"),"#N/A")</f>
        <v>#N/A</v>
      </c>
      <c r="U7" s="55">
        <f t="shared" si="2"/>
        <v>0</v>
      </c>
    </row>
    <row r="8">
      <c r="A8" s="42">
        <v>6.0</v>
      </c>
      <c r="B8" s="43" t="s">
        <v>197</v>
      </c>
      <c r="C8" s="43" t="s">
        <v>199</v>
      </c>
      <c r="D8" s="57">
        <v>46.0</v>
      </c>
      <c r="E8" s="57">
        <v>44.0</v>
      </c>
      <c r="F8" s="57">
        <v>48.0</v>
      </c>
      <c r="G8" s="58">
        <v>49.0</v>
      </c>
      <c r="H8" s="58">
        <v>46.0</v>
      </c>
      <c r="I8" s="58">
        <v>39.0</v>
      </c>
      <c r="J8" s="58">
        <v>76.0</v>
      </c>
      <c r="K8" s="58">
        <v>44.0</v>
      </c>
      <c r="L8" s="58">
        <v>55.0</v>
      </c>
      <c r="M8" s="49">
        <v>46.0</v>
      </c>
      <c r="N8" s="64">
        <v>44.0</v>
      </c>
      <c r="O8" s="61">
        <v>50.0</v>
      </c>
      <c r="P8" s="61">
        <v>37.0</v>
      </c>
      <c r="Q8" s="54">
        <f t="shared" si="1"/>
        <v>0</v>
      </c>
      <c r="R8" s="8"/>
      <c r="S8" s="55" t="str">
        <f>IFERROR(__xludf.DUMMYFUNCTION("TEXTJOIN("", "",TRUE,FILTER(D$1:P$1, D8:P8=""A""))"),"#N/A")</f>
        <v>#N/A</v>
      </c>
      <c r="U8" s="55">
        <f t="shared" si="2"/>
        <v>0</v>
      </c>
    </row>
    <row r="9">
      <c r="A9" s="42">
        <v>7.0</v>
      </c>
      <c r="B9" s="43" t="s">
        <v>206</v>
      </c>
      <c r="C9" s="43" t="s">
        <v>207</v>
      </c>
      <c r="D9" s="44">
        <v>42.0</v>
      </c>
      <c r="E9" s="44">
        <v>44.0</v>
      </c>
      <c r="F9" s="44">
        <v>46.0</v>
      </c>
      <c r="G9" s="48">
        <v>46.0</v>
      </c>
      <c r="H9" s="48">
        <v>45.0</v>
      </c>
      <c r="I9" s="48">
        <v>36.0</v>
      </c>
      <c r="J9" s="48">
        <v>70.0</v>
      </c>
      <c r="K9" s="48">
        <v>46.0</v>
      </c>
      <c r="L9" s="48">
        <v>55.0</v>
      </c>
      <c r="M9" s="49">
        <v>47.0</v>
      </c>
      <c r="N9" s="51">
        <v>47.0</v>
      </c>
      <c r="O9" s="52">
        <v>48.0</v>
      </c>
      <c r="P9" s="52">
        <v>35.0</v>
      </c>
      <c r="Q9" s="54">
        <f t="shared" si="1"/>
        <v>0</v>
      </c>
      <c r="R9" s="8"/>
      <c r="S9" s="55" t="str">
        <f>IFERROR(__xludf.DUMMYFUNCTION("TEXTJOIN("", "",TRUE,FILTER(D$1:P$1, D9:P9=""A""))"),"#N/A")</f>
        <v>#N/A</v>
      </c>
      <c r="U9" s="55">
        <f t="shared" si="2"/>
        <v>0</v>
      </c>
    </row>
    <row r="10">
      <c r="A10" s="42">
        <v>8.0</v>
      </c>
      <c r="B10" s="43" t="s">
        <v>214</v>
      </c>
      <c r="C10" s="43" t="s">
        <v>215</v>
      </c>
      <c r="D10" s="57">
        <v>36.0</v>
      </c>
      <c r="E10" s="57">
        <v>40.0</v>
      </c>
      <c r="F10" s="57">
        <v>42.0</v>
      </c>
      <c r="G10" s="58">
        <v>49.0</v>
      </c>
      <c r="H10" s="58">
        <v>45.0</v>
      </c>
      <c r="I10" s="58">
        <v>35.0</v>
      </c>
      <c r="J10" s="58">
        <v>63.0</v>
      </c>
      <c r="K10" s="58">
        <v>44.0</v>
      </c>
      <c r="L10" s="58">
        <v>54.0</v>
      </c>
      <c r="M10" s="49">
        <v>45.0</v>
      </c>
      <c r="N10" s="64">
        <v>39.0</v>
      </c>
      <c r="O10" s="61">
        <v>46.0</v>
      </c>
      <c r="P10" s="61">
        <v>37.0</v>
      </c>
      <c r="Q10" s="54">
        <f t="shared" si="1"/>
        <v>0</v>
      </c>
      <c r="R10" s="8"/>
      <c r="S10" s="55" t="str">
        <f>IFERROR(__xludf.DUMMYFUNCTION("TEXTJOIN("", "",TRUE,FILTER(D$1:P$1, D10:P10=""A""))"),"#N/A")</f>
        <v>#N/A</v>
      </c>
      <c r="U10" s="55">
        <f t="shared" si="2"/>
        <v>0</v>
      </c>
    </row>
    <row r="11">
      <c r="A11" s="42">
        <v>9.0</v>
      </c>
      <c r="B11" s="43" t="s">
        <v>222</v>
      </c>
      <c r="C11" s="43" t="s">
        <v>224</v>
      </c>
      <c r="D11" s="44">
        <v>49.0</v>
      </c>
      <c r="E11" s="46">
        <v>44.0</v>
      </c>
      <c r="F11" s="44">
        <v>46.0</v>
      </c>
      <c r="G11" s="48">
        <v>40.0</v>
      </c>
      <c r="H11" s="48">
        <v>46.0</v>
      </c>
      <c r="I11" s="48">
        <v>38.0</v>
      </c>
      <c r="J11" s="48">
        <v>76.0</v>
      </c>
      <c r="K11" s="48">
        <v>44.0</v>
      </c>
      <c r="L11" s="48">
        <v>57.0</v>
      </c>
      <c r="M11" s="49">
        <v>46.0</v>
      </c>
      <c r="N11" s="51">
        <v>40.0</v>
      </c>
      <c r="O11" s="52">
        <v>47.0</v>
      </c>
      <c r="P11" s="52">
        <v>40.0</v>
      </c>
      <c r="Q11" s="54">
        <f t="shared" si="1"/>
        <v>0</v>
      </c>
      <c r="R11" s="8"/>
      <c r="S11" s="55" t="str">
        <f>IFERROR(__xludf.DUMMYFUNCTION("TEXTJOIN("", "",TRUE,FILTER(D$1:P$1, D11:P11=""A""))"),"#N/A")</f>
        <v>#N/A</v>
      </c>
      <c r="U11" s="55">
        <f t="shared" si="2"/>
        <v>0</v>
      </c>
    </row>
    <row r="12">
      <c r="A12" s="42">
        <v>10.0</v>
      </c>
      <c r="B12" s="43" t="s">
        <v>238</v>
      </c>
      <c r="C12" s="43" t="s">
        <v>239</v>
      </c>
      <c r="D12" s="57">
        <v>35.0</v>
      </c>
      <c r="E12" s="57">
        <v>43.0</v>
      </c>
      <c r="F12" s="57">
        <v>40.0</v>
      </c>
      <c r="G12" s="58">
        <v>42.0</v>
      </c>
      <c r="H12" s="58">
        <v>35.0</v>
      </c>
      <c r="I12" s="58">
        <v>34.0</v>
      </c>
      <c r="J12" s="58">
        <v>54.0</v>
      </c>
      <c r="K12" s="58">
        <v>39.0</v>
      </c>
      <c r="L12" s="58">
        <v>41.0</v>
      </c>
      <c r="M12" s="49">
        <v>40.0</v>
      </c>
      <c r="N12" s="64">
        <v>38.0</v>
      </c>
      <c r="O12" s="61">
        <v>47.0</v>
      </c>
      <c r="P12" s="61">
        <v>37.0</v>
      </c>
      <c r="Q12" s="54">
        <f t="shared" si="1"/>
        <v>0</v>
      </c>
      <c r="R12" s="8"/>
      <c r="S12" s="55" t="str">
        <f>IFERROR(__xludf.DUMMYFUNCTION("TEXTJOIN("", "",TRUE,FILTER(D$1:P$1, D12:P12=""A""))"),"#N/A")</f>
        <v>#N/A</v>
      </c>
      <c r="U12" s="55">
        <f t="shared" si="2"/>
        <v>0</v>
      </c>
    </row>
    <row r="13">
      <c r="A13" s="42">
        <v>11.0</v>
      </c>
      <c r="B13" s="43" t="s">
        <v>250</v>
      </c>
      <c r="C13" s="43" t="s">
        <v>251</v>
      </c>
      <c r="D13" s="44">
        <v>40.0</v>
      </c>
      <c r="E13" s="44">
        <v>32.0</v>
      </c>
      <c r="F13" s="44">
        <v>35.0</v>
      </c>
      <c r="G13" s="48">
        <v>38.0</v>
      </c>
      <c r="H13" s="48">
        <v>41.0</v>
      </c>
      <c r="I13" s="48">
        <v>35.0</v>
      </c>
      <c r="J13" s="48">
        <v>57.0</v>
      </c>
      <c r="K13" s="48">
        <v>44.0</v>
      </c>
      <c r="L13" s="48">
        <v>41.0</v>
      </c>
      <c r="M13" s="49">
        <v>44.0</v>
      </c>
      <c r="N13" s="51">
        <v>40.0</v>
      </c>
      <c r="O13" s="52">
        <v>44.0</v>
      </c>
      <c r="P13" s="52">
        <v>33.0</v>
      </c>
      <c r="Q13" s="54">
        <f t="shared" si="1"/>
        <v>0</v>
      </c>
      <c r="R13" s="8"/>
      <c r="S13" s="55" t="str">
        <f>IFERROR(__xludf.DUMMYFUNCTION("TEXTJOIN("", "",TRUE,FILTER(D$1:P$1, D13:P13=""A""))"),"#N/A")</f>
        <v>#N/A</v>
      </c>
      <c r="U13" s="55">
        <f t="shared" si="2"/>
        <v>0</v>
      </c>
    </row>
    <row r="14">
      <c r="A14" s="42">
        <v>12.0</v>
      </c>
      <c r="B14" s="43" t="s">
        <v>257</v>
      </c>
      <c r="C14" s="43" t="s">
        <v>258</v>
      </c>
      <c r="D14" s="57">
        <v>40.0</v>
      </c>
      <c r="E14" s="57">
        <v>32.0</v>
      </c>
      <c r="F14" s="57">
        <v>43.0</v>
      </c>
      <c r="G14" s="58">
        <v>38.0</v>
      </c>
      <c r="H14" s="58">
        <v>40.0</v>
      </c>
      <c r="I14" s="58">
        <v>34.0</v>
      </c>
      <c r="J14" s="58">
        <v>58.0</v>
      </c>
      <c r="K14" s="58">
        <v>44.0</v>
      </c>
      <c r="L14" s="58">
        <v>44.0</v>
      </c>
      <c r="M14" s="49">
        <v>43.0</v>
      </c>
      <c r="N14" s="64">
        <v>44.0</v>
      </c>
      <c r="O14" s="61">
        <v>45.0</v>
      </c>
      <c r="P14" s="61">
        <v>36.0</v>
      </c>
      <c r="Q14" s="54">
        <f t="shared" si="1"/>
        <v>0</v>
      </c>
      <c r="R14" s="8"/>
      <c r="S14" s="55" t="str">
        <f>IFERROR(__xludf.DUMMYFUNCTION("TEXTJOIN("", "",TRUE,FILTER(D$1:P$1, D14:P14=""A""))"),"#N/A")</f>
        <v>#N/A</v>
      </c>
      <c r="U14" s="55">
        <f t="shared" si="2"/>
        <v>0</v>
      </c>
    </row>
    <row r="15">
      <c r="A15" s="42">
        <v>13.0</v>
      </c>
      <c r="B15" s="43" t="s">
        <v>241</v>
      </c>
      <c r="C15" s="43" t="s">
        <v>243</v>
      </c>
      <c r="D15" s="46">
        <v>42.0</v>
      </c>
      <c r="E15" s="46">
        <v>42.0</v>
      </c>
      <c r="F15" s="46">
        <v>42.0</v>
      </c>
      <c r="G15" s="48">
        <v>49.0</v>
      </c>
      <c r="H15" s="48">
        <v>42.0</v>
      </c>
      <c r="I15" s="48">
        <v>39.0</v>
      </c>
      <c r="J15" s="48">
        <v>71.0</v>
      </c>
      <c r="K15" s="48">
        <v>47.0</v>
      </c>
      <c r="L15" s="48">
        <v>55.0</v>
      </c>
      <c r="M15" s="49">
        <v>41.0</v>
      </c>
      <c r="N15" s="51">
        <v>44.0</v>
      </c>
      <c r="O15" s="52">
        <v>46.0</v>
      </c>
      <c r="P15" s="52">
        <v>35.0</v>
      </c>
      <c r="Q15" s="54">
        <f t="shared" si="1"/>
        <v>0</v>
      </c>
      <c r="R15" s="8"/>
      <c r="S15" s="55" t="str">
        <f>IFERROR(__xludf.DUMMYFUNCTION("TEXTJOIN("", "",TRUE,FILTER(D$1:P$1, D15:P15=""A""))"),"#N/A")</f>
        <v>#N/A</v>
      </c>
      <c r="U15" s="55">
        <f t="shared" si="2"/>
        <v>0</v>
      </c>
    </row>
    <row r="16">
      <c r="A16" s="42">
        <v>14.0</v>
      </c>
      <c r="B16" s="43" t="s">
        <v>294</v>
      </c>
      <c r="C16" s="43" t="s">
        <v>295</v>
      </c>
      <c r="D16" s="57">
        <v>30.0</v>
      </c>
      <c r="E16" s="57">
        <v>37.0</v>
      </c>
      <c r="F16" s="57">
        <v>36.0</v>
      </c>
      <c r="G16" s="58">
        <v>30.0</v>
      </c>
      <c r="H16" s="58">
        <v>39.0</v>
      </c>
      <c r="I16" s="58">
        <v>27.0</v>
      </c>
      <c r="J16" s="58">
        <v>36.0</v>
      </c>
      <c r="K16" s="58">
        <v>40.0</v>
      </c>
      <c r="L16" s="58">
        <v>52.0</v>
      </c>
      <c r="M16" s="49">
        <v>37.0</v>
      </c>
      <c r="N16" s="64">
        <v>32.0</v>
      </c>
      <c r="O16" s="61">
        <v>36.0</v>
      </c>
      <c r="P16" s="61">
        <v>33.0</v>
      </c>
      <c r="Q16" s="54">
        <f t="shared" si="1"/>
        <v>0</v>
      </c>
      <c r="R16" s="8"/>
      <c r="S16" s="55" t="str">
        <f>IFERROR(__xludf.DUMMYFUNCTION("TEXTJOIN("", "",TRUE,FILTER(D$1:P$1, D16:P16=""A""))"),"#N/A")</f>
        <v>#N/A</v>
      </c>
      <c r="U16" s="55">
        <f t="shared" si="2"/>
        <v>0</v>
      </c>
    </row>
    <row r="17">
      <c r="A17" s="42">
        <v>15.0</v>
      </c>
      <c r="B17" s="76" t="s">
        <v>302</v>
      </c>
      <c r="C17" s="76" t="s">
        <v>304</v>
      </c>
      <c r="D17" s="44">
        <v>32.0</v>
      </c>
      <c r="E17" s="44">
        <v>36.0</v>
      </c>
      <c r="F17" s="44" t="s">
        <v>306</v>
      </c>
      <c r="G17" s="48">
        <v>47.0</v>
      </c>
      <c r="H17" s="48">
        <v>46.0</v>
      </c>
      <c r="I17" s="48">
        <v>36.0</v>
      </c>
      <c r="J17" s="48">
        <v>67.0</v>
      </c>
      <c r="K17" s="48" t="s">
        <v>132</v>
      </c>
      <c r="L17" s="48">
        <v>50.0</v>
      </c>
      <c r="M17" s="49">
        <v>42.0</v>
      </c>
      <c r="N17" s="51">
        <v>39.0</v>
      </c>
      <c r="O17" s="52">
        <v>45.0</v>
      </c>
      <c r="P17" s="52">
        <v>36.0</v>
      </c>
      <c r="Q17" s="54">
        <f t="shared" si="1"/>
        <v>1</v>
      </c>
      <c r="R17" s="8"/>
      <c r="S17" s="55" t="str">
        <f>IFERROR(__xludf.DUMMYFUNCTION("TEXTJOIN("", "",TRUE,FILTER(D$1:P$1, D17:P17=""A""))"),"")</f>
        <v/>
      </c>
      <c r="U17" s="55">
        <f t="shared" si="2"/>
        <v>1</v>
      </c>
    </row>
    <row r="18">
      <c r="A18" s="42">
        <v>16.0</v>
      </c>
      <c r="B18" s="78" t="s">
        <v>311</v>
      </c>
      <c r="C18" s="76" t="s">
        <v>313</v>
      </c>
      <c r="D18" s="57">
        <v>34.0</v>
      </c>
      <c r="E18" s="57">
        <v>36.0</v>
      </c>
      <c r="F18" s="57">
        <v>40.0</v>
      </c>
      <c r="G18" s="58">
        <v>43.0</v>
      </c>
      <c r="H18" s="58">
        <v>42.0</v>
      </c>
      <c r="I18" s="58">
        <v>36.0</v>
      </c>
      <c r="J18" s="58">
        <v>56.0</v>
      </c>
      <c r="K18" s="58">
        <v>39.0</v>
      </c>
      <c r="L18" s="58">
        <v>46.0</v>
      </c>
      <c r="M18" s="49">
        <v>41.0</v>
      </c>
      <c r="N18" s="64">
        <v>46.0</v>
      </c>
      <c r="O18" s="61">
        <v>46.0</v>
      </c>
      <c r="P18" s="61">
        <v>38.0</v>
      </c>
      <c r="Q18" s="54">
        <f t="shared" si="1"/>
        <v>0</v>
      </c>
      <c r="R18" s="8"/>
      <c r="S18" s="55" t="str">
        <f>IFERROR(__xludf.DUMMYFUNCTION("TEXTJOIN("", "",TRUE,FILTER(D$1:P$1, D18:P18=""A""))"),"#N/A")</f>
        <v>#N/A</v>
      </c>
      <c r="U18" s="55">
        <f t="shared" si="2"/>
        <v>0</v>
      </c>
    </row>
    <row r="19">
      <c r="A19" s="42">
        <v>17.0</v>
      </c>
      <c r="B19" s="76" t="s">
        <v>321</v>
      </c>
      <c r="C19" s="76" t="s">
        <v>322</v>
      </c>
      <c r="D19" s="44">
        <v>40.0</v>
      </c>
      <c r="E19" s="44">
        <v>42.0</v>
      </c>
      <c r="F19" s="44">
        <v>46.0</v>
      </c>
      <c r="G19" s="48">
        <v>47.0</v>
      </c>
      <c r="H19" s="48">
        <v>47.0</v>
      </c>
      <c r="I19" s="48">
        <v>36.0</v>
      </c>
      <c r="J19" s="48">
        <v>59.0</v>
      </c>
      <c r="K19" s="48">
        <v>45.0</v>
      </c>
      <c r="L19" s="48" t="s">
        <v>132</v>
      </c>
      <c r="M19" s="49">
        <v>40.0</v>
      </c>
      <c r="N19" s="51">
        <v>39.0</v>
      </c>
      <c r="O19" s="52">
        <v>46.0</v>
      </c>
      <c r="P19" s="52">
        <v>37.0</v>
      </c>
      <c r="Q19" s="54">
        <f t="shared" si="1"/>
        <v>1</v>
      </c>
      <c r="R19" s="8"/>
      <c r="S19" s="55" t="str">
        <f>IFERROR(__xludf.DUMMYFUNCTION("TEXTJOIN("", "",TRUE,FILTER(D$1:P$1, D19:P19=""A""))"),"")</f>
        <v/>
      </c>
      <c r="U19" s="55">
        <f t="shared" si="2"/>
        <v>1</v>
      </c>
    </row>
    <row r="20">
      <c r="A20" s="42">
        <v>18.0</v>
      </c>
      <c r="B20" s="43" t="s">
        <v>335</v>
      </c>
      <c r="C20" s="43" t="s">
        <v>336</v>
      </c>
      <c r="D20" s="57" t="s">
        <v>132</v>
      </c>
      <c r="E20" s="57">
        <v>40.0</v>
      </c>
      <c r="F20" s="57">
        <v>44.0</v>
      </c>
      <c r="G20" s="58">
        <v>40.0</v>
      </c>
      <c r="H20" s="80" t="s">
        <v>132</v>
      </c>
      <c r="I20" s="81">
        <v>32.0</v>
      </c>
      <c r="J20" s="81">
        <v>49.0</v>
      </c>
      <c r="K20" s="81">
        <v>43.0</v>
      </c>
      <c r="L20" s="81" t="s">
        <v>132</v>
      </c>
      <c r="M20" s="49">
        <v>37.0</v>
      </c>
      <c r="N20" s="83">
        <v>41.0</v>
      </c>
      <c r="O20" s="84" t="s">
        <v>132</v>
      </c>
      <c r="P20" s="84" t="s">
        <v>132</v>
      </c>
      <c r="Q20" s="54">
        <f t="shared" si="1"/>
        <v>5</v>
      </c>
      <c r="R20" s="8"/>
      <c r="S20" s="55" t="str">
        <f>IFERROR(__xludf.DUMMYFUNCTION("TEXTJOIN("", "",TRUE,FILTER(D$1:P$1, D20:P20=""A""))"),"1, 5, 8")</f>
        <v>1, 5, 8</v>
      </c>
      <c r="U20" s="55">
        <f t="shared" si="2"/>
        <v>5</v>
      </c>
    </row>
    <row r="21">
      <c r="A21" s="42">
        <v>19.0</v>
      </c>
      <c r="B21" s="43" t="s">
        <v>344</v>
      </c>
      <c r="C21" s="43" t="s">
        <v>345</v>
      </c>
      <c r="D21" s="44" t="s">
        <v>132</v>
      </c>
      <c r="E21" s="44" t="s">
        <v>132</v>
      </c>
      <c r="F21" s="44">
        <v>31.0</v>
      </c>
      <c r="G21" s="48">
        <v>38.0</v>
      </c>
      <c r="H21" s="58">
        <v>37.0</v>
      </c>
      <c r="I21" s="58">
        <v>29.0</v>
      </c>
      <c r="J21" s="58">
        <v>64.0</v>
      </c>
      <c r="K21" s="58">
        <v>39.0</v>
      </c>
      <c r="L21" s="58">
        <v>47.0</v>
      </c>
      <c r="M21" s="49">
        <v>36.0</v>
      </c>
      <c r="N21" s="85" t="s">
        <v>132</v>
      </c>
      <c r="O21" s="61">
        <v>44.0</v>
      </c>
      <c r="P21" s="61">
        <v>36.0</v>
      </c>
      <c r="Q21" s="54">
        <f t="shared" si="1"/>
        <v>3</v>
      </c>
      <c r="R21" s="8"/>
      <c r="S21" s="55" t="str">
        <f>IFERROR(__xludf.DUMMYFUNCTION("TEXTJOIN("", "",TRUE,FILTER(D$1:P$1, D21:P21=""A""))"),"1, 2")</f>
        <v>1, 2</v>
      </c>
      <c r="U21" s="55">
        <f t="shared" si="2"/>
        <v>3</v>
      </c>
    </row>
    <row r="22">
      <c r="A22" s="42">
        <v>21.0</v>
      </c>
      <c r="B22" s="43" t="s">
        <v>350</v>
      </c>
      <c r="C22" s="43" t="s">
        <v>352</v>
      </c>
      <c r="D22" s="44">
        <v>36.0</v>
      </c>
      <c r="E22" s="44">
        <v>38.0</v>
      </c>
      <c r="F22" s="44">
        <v>47.0</v>
      </c>
      <c r="G22" s="48">
        <v>43.0</v>
      </c>
      <c r="H22" s="48">
        <v>43.0</v>
      </c>
      <c r="I22" s="48">
        <v>36.0</v>
      </c>
      <c r="J22" s="48">
        <v>68.0</v>
      </c>
      <c r="K22" s="48">
        <v>44.0</v>
      </c>
      <c r="L22" s="48">
        <v>51.0</v>
      </c>
      <c r="M22" s="49">
        <v>45.0</v>
      </c>
      <c r="N22" s="64">
        <v>43.0</v>
      </c>
      <c r="O22" s="52">
        <v>46.0</v>
      </c>
      <c r="P22" s="52">
        <v>34.0</v>
      </c>
      <c r="Q22" s="54">
        <f t="shared" si="1"/>
        <v>0</v>
      </c>
      <c r="R22" s="8"/>
      <c r="S22" s="55" t="str">
        <f>IFERROR(__xludf.DUMMYFUNCTION("TEXTJOIN("", "",TRUE,FILTER(D$1:P$1, D22:P22=""A""))"),"#N/A")</f>
        <v>#N/A</v>
      </c>
      <c r="U22" s="55">
        <f t="shared" si="2"/>
        <v>0</v>
      </c>
    </row>
    <row r="23">
      <c r="A23" s="42">
        <v>22.0</v>
      </c>
      <c r="B23" s="43" t="s">
        <v>359</v>
      </c>
      <c r="C23" s="43" t="s">
        <v>360</v>
      </c>
      <c r="D23" s="57">
        <v>34.0</v>
      </c>
      <c r="E23" s="57">
        <v>36.0</v>
      </c>
      <c r="F23" s="57">
        <v>46.0</v>
      </c>
      <c r="G23" s="58">
        <v>47.0</v>
      </c>
      <c r="H23" s="58">
        <v>44.0</v>
      </c>
      <c r="I23" s="58">
        <v>35.0</v>
      </c>
      <c r="J23" s="58">
        <v>57.0</v>
      </c>
      <c r="K23" s="58">
        <v>36.0</v>
      </c>
      <c r="L23" s="58">
        <v>46.0</v>
      </c>
      <c r="M23" s="49">
        <v>37.0</v>
      </c>
      <c r="N23" s="85" t="s">
        <v>132</v>
      </c>
      <c r="O23" s="61">
        <v>41.0</v>
      </c>
      <c r="P23" s="61">
        <v>35.0</v>
      </c>
      <c r="Q23" s="54">
        <f t="shared" si="1"/>
        <v>1</v>
      </c>
      <c r="R23" s="8"/>
      <c r="S23" s="55" t="str">
        <f>IFERROR(__xludf.DUMMYFUNCTION("TEXTJOIN("", "",TRUE,FILTER(D$1:P$1, D23:P23=""A""))"),"")</f>
        <v/>
      </c>
      <c r="U23" s="55">
        <f t="shared" si="2"/>
        <v>1</v>
      </c>
    </row>
    <row r="24">
      <c r="A24" s="42">
        <v>23.0</v>
      </c>
      <c r="B24" s="43" t="s">
        <v>366</v>
      </c>
      <c r="C24" s="43" t="s">
        <v>367</v>
      </c>
      <c r="D24" s="44">
        <v>34.0</v>
      </c>
      <c r="E24" s="44" t="s">
        <v>132</v>
      </c>
      <c r="F24" s="44">
        <v>40.0</v>
      </c>
      <c r="G24" s="48">
        <v>47.0</v>
      </c>
      <c r="H24" s="48">
        <v>40.0</v>
      </c>
      <c r="I24" s="48">
        <v>30.0</v>
      </c>
      <c r="J24" s="48">
        <v>67.0</v>
      </c>
      <c r="K24" s="48">
        <v>43.0</v>
      </c>
      <c r="L24" s="48">
        <v>50.0</v>
      </c>
      <c r="M24" s="49">
        <v>45.0</v>
      </c>
      <c r="N24" s="64">
        <v>45.0</v>
      </c>
      <c r="O24" s="52" t="s">
        <v>132</v>
      </c>
      <c r="P24" s="52" t="s">
        <v>132</v>
      </c>
      <c r="Q24" s="54">
        <f t="shared" si="1"/>
        <v>3</v>
      </c>
      <c r="R24" s="8"/>
      <c r="S24" s="55" t="str">
        <f>IFERROR(__xludf.DUMMYFUNCTION("TEXTJOIN("", "",TRUE,FILTER(D$1:P$1, D24:P24=""A""))"),"2, 8")</f>
        <v>2, 8</v>
      </c>
      <c r="U24" s="55">
        <f t="shared" si="2"/>
        <v>3</v>
      </c>
    </row>
    <row r="25">
      <c r="A25" s="42">
        <v>24.0</v>
      </c>
      <c r="B25" s="43" t="s">
        <v>375</v>
      </c>
      <c r="C25" s="43" t="s">
        <v>377</v>
      </c>
      <c r="D25" s="57" t="s">
        <v>132</v>
      </c>
      <c r="E25" s="57" t="s">
        <v>132</v>
      </c>
      <c r="F25" s="57" t="s">
        <v>132</v>
      </c>
      <c r="G25" s="58" t="s">
        <v>132</v>
      </c>
      <c r="H25" s="58">
        <v>40.0</v>
      </c>
      <c r="I25" s="58">
        <v>33.0</v>
      </c>
      <c r="J25" s="58">
        <v>67.0</v>
      </c>
      <c r="K25" s="58">
        <v>42.0</v>
      </c>
      <c r="L25" s="58">
        <v>52.0</v>
      </c>
      <c r="M25" s="49">
        <v>41.0</v>
      </c>
      <c r="N25" s="51">
        <v>45.0</v>
      </c>
      <c r="O25" s="61" t="s">
        <v>132</v>
      </c>
      <c r="P25" s="61" t="s">
        <v>132</v>
      </c>
      <c r="Q25" s="54">
        <f t="shared" si="1"/>
        <v>6</v>
      </c>
      <c r="R25" s="8"/>
      <c r="S25" s="55" t="str">
        <f>IFERROR(__xludf.DUMMYFUNCTION("TEXTJOIN("", "",TRUE,FILTER(D$1:P$1, D25:P25=""A""))"),"1, 2, 3, 4, 8")</f>
        <v>1, 2, 3, 4, 8</v>
      </c>
      <c r="U25" s="55">
        <f t="shared" si="2"/>
        <v>6</v>
      </c>
    </row>
    <row r="26">
      <c r="A26" s="42">
        <v>25.0</v>
      </c>
      <c r="B26" s="43" t="s">
        <v>384</v>
      </c>
      <c r="C26" s="43" t="s">
        <v>386</v>
      </c>
      <c r="D26" s="44" t="s">
        <v>132</v>
      </c>
      <c r="E26" s="44">
        <v>37.0</v>
      </c>
      <c r="F26" s="44">
        <v>42.0</v>
      </c>
      <c r="G26" s="48">
        <v>46.0</v>
      </c>
      <c r="H26" s="48">
        <v>43.0</v>
      </c>
      <c r="I26" s="48" t="s">
        <v>132</v>
      </c>
      <c r="J26" s="48">
        <v>65.0</v>
      </c>
      <c r="K26" s="48">
        <v>43.0</v>
      </c>
      <c r="L26" s="48">
        <v>48.0</v>
      </c>
      <c r="M26" s="49">
        <v>45.0</v>
      </c>
      <c r="N26" s="64">
        <v>42.0</v>
      </c>
      <c r="O26" s="52">
        <v>43.0</v>
      </c>
      <c r="P26" s="52">
        <v>32.0</v>
      </c>
      <c r="Q26" s="54">
        <f t="shared" si="1"/>
        <v>2</v>
      </c>
      <c r="R26" s="8"/>
      <c r="S26" s="55" t="str">
        <f>IFERROR(__xludf.DUMMYFUNCTION("TEXTJOIN("", "",TRUE,FILTER(D$1:P$1, D26:P26=""A""))"),"1, 6")</f>
        <v>1, 6</v>
      </c>
      <c r="U26" s="55">
        <f t="shared" si="2"/>
        <v>2</v>
      </c>
    </row>
    <row r="27">
      <c r="A27" s="42">
        <v>26.0</v>
      </c>
      <c r="B27" s="43" t="s">
        <v>388</v>
      </c>
      <c r="C27" s="43" t="s">
        <v>389</v>
      </c>
      <c r="D27" s="88">
        <v>42.0</v>
      </c>
      <c r="E27" s="88">
        <v>42.0</v>
      </c>
      <c r="F27" s="88">
        <v>42.0</v>
      </c>
      <c r="G27" s="58">
        <v>40.0</v>
      </c>
      <c r="H27" s="58">
        <v>42.0</v>
      </c>
      <c r="I27" s="58">
        <v>35.0</v>
      </c>
      <c r="J27" s="58">
        <v>69.0</v>
      </c>
      <c r="K27" s="58">
        <v>47.0</v>
      </c>
      <c r="L27" s="58">
        <v>55.0</v>
      </c>
      <c r="M27" s="49">
        <v>46.0</v>
      </c>
      <c r="N27" s="51">
        <v>45.0</v>
      </c>
      <c r="O27" s="61">
        <v>46.0</v>
      </c>
      <c r="P27" s="61">
        <v>38.0</v>
      </c>
      <c r="Q27" s="54">
        <f t="shared" si="1"/>
        <v>0</v>
      </c>
      <c r="R27" s="8"/>
      <c r="S27" s="55" t="str">
        <f>IFERROR(__xludf.DUMMYFUNCTION("TEXTJOIN("", "",TRUE,FILTER(D$1:P$1, D27:P27=""A""))"),"#N/A")</f>
        <v>#N/A</v>
      </c>
      <c r="U27" s="55">
        <f t="shared" si="2"/>
        <v>0</v>
      </c>
    </row>
    <row r="28">
      <c r="A28" s="42">
        <v>27.0</v>
      </c>
      <c r="B28" s="43" t="s">
        <v>399</v>
      </c>
      <c r="C28" s="43" t="s">
        <v>400</v>
      </c>
      <c r="D28" s="44">
        <v>34.0</v>
      </c>
      <c r="E28" s="44">
        <v>40.0</v>
      </c>
      <c r="F28" s="44">
        <v>44.0</v>
      </c>
      <c r="G28" s="48">
        <v>40.0</v>
      </c>
      <c r="H28" s="48">
        <v>33.0</v>
      </c>
      <c r="I28" s="48">
        <v>34.0</v>
      </c>
      <c r="J28" s="48">
        <v>65.0</v>
      </c>
      <c r="K28" s="48">
        <v>41.0</v>
      </c>
      <c r="L28" s="48">
        <v>51.0</v>
      </c>
      <c r="M28" s="49">
        <v>43.0</v>
      </c>
      <c r="N28" s="64">
        <v>43.0</v>
      </c>
      <c r="O28" s="52">
        <v>44.0</v>
      </c>
      <c r="P28" s="52">
        <v>37.0</v>
      </c>
      <c r="Q28" s="54">
        <f t="shared" si="1"/>
        <v>0</v>
      </c>
      <c r="R28" s="8"/>
      <c r="S28" s="55" t="str">
        <f>IFERROR(__xludf.DUMMYFUNCTION("TEXTJOIN("", "",TRUE,FILTER(D$1:P$1, D28:P28=""A""))"),"#N/A")</f>
        <v>#N/A</v>
      </c>
      <c r="U28" s="55">
        <f t="shared" si="2"/>
        <v>0</v>
      </c>
    </row>
    <row r="29">
      <c r="A29" s="42">
        <v>28.0</v>
      </c>
      <c r="B29" s="43" t="s">
        <v>272</v>
      </c>
      <c r="C29" s="43" t="s">
        <v>273</v>
      </c>
      <c r="D29" s="57">
        <v>36.0</v>
      </c>
      <c r="E29" s="57">
        <v>38.0</v>
      </c>
      <c r="F29" s="57">
        <v>45.0</v>
      </c>
      <c r="G29" s="58">
        <v>46.0</v>
      </c>
      <c r="H29" s="58">
        <v>33.0</v>
      </c>
      <c r="I29" s="58">
        <v>34.0</v>
      </c>
      <c r="J29" s="58">
        <v>66.0</v>
      </c>
      <c r="K29" s="58">
        <v>45.0</v>
      </c>
      <c r="L29" s="58">
        <v>50.0</v>
      </c>
      <c r="M29" s="49">
        <v>45.0</v>
      </c>
      <c r="N29" s="51">
        <v>44.0</v>
      </c>
      <c r="O29" s="61" t="s">
        <v>132</v>
      </c>
      <c r="P29" s="61" t="s">
        <v>132</v>
      </c>
      <c r="Q29" s="54">
        <f t="shared" si="1"/>
        <v>2</v>
      </c>
      <c r="R29" s="8"/>
      <c r="S29" s="55" t="str">
        <f>IFERROR(__xludf.DUMMYFUNCTION("TEXTJOIN("", "",TRUE,FILTER(D$1:P$1, D29:P29=""A""))"),"8")</f>
        <v>8</v>
      </c>
      <c r="U29" s="55">
        <f t="shared" si="2"/>
        <v>2</v>
      </c>
    </row>
    <row r="30">
      <c r="A30" s="42">
        <v>29.0</v>
      </c>
      <c r="B30" s="43" t="s">
        <v>401</v>
      </c>
      <c r="C30" s="43" t="s">
        <v>402</v>
      </c>
      <c r="D30" s="46">
        <v>44.0</v>
      </c>
      <c r="E30" s="46">
        <v>44.0</v>
      </c>
      <c r="F30" s="46">
        <v>44.0</v>
      </c>
      <c r="G30" s="48">
        <v>27.0</v>
      </c>
      <c r="H30" s="48" t="s">
        <v>132</v>
      </c>
      <c r="I30" s="48" t="s">
        <v>132</v>
      </c>
      <c r="J30" s="48" t="s">
        <v>132</v>
      </c>
      <c r="K30" s="48" t="s">
        <v>132</v>
      </c>
      <c r="L30" s="48" t="s">
        <v>132</v>
      </c>
      <c r="M30" s="49" t="s">
        <v>132</v>
      </c>
      <c r="N30" s="85" t="s">
        <v>132</v>
      </c>
      <c r="O30" s="52" t="s">
        <v>132</v>
      </c>
      <c r="P30" s="52" t="s">
        <v>132</v>
      </c>
      <c r="Q30" s="54">
        <f t="shared" si="1"/>
        <v>9</v>
      </c>
      <c r="R30" s="8"/>
      <c r="S30" s="55" t="str">
        <f>IFERROR(__xludf.DUMMYFUNCTION("TEXTJOIN("", "",TRUE,FILTER(D$1:P$1, D30:P30=""A""))"),"5, 6, 7, 8")</f>
        <v>5, 6, 7, 8</v>
      </c>
      <c r="U30" s="55">
        <f t="shared" si="2"/>
        <v>9</v>
      </c>
    </row>
    <row r="31">
      <c r="A31" s="42">
        <v>30.0</v>
      </c>
      <c r="B31" s="43" t="s">
        <v>405</v>
      </c>
      <c r="C31" s="43" t="s">
        <v>406</v>
      </c>
      <c r="D31" s="57">
        <v>34.0</v>
      </c>
      <c r="E31" s="88">
        <v>36.0</v>
      </c>
      <c r="F31" s="57">
        <v>42.0</v>
      </c>
      <c r="G31" s="58">
        <v>42.0</v>
      </c>
      <c r="H31" s="58">
        <v>41.0</v>
      </c>
      <c r="I31" s="58" t="s">
        <v>132</v>
      </c>
      <c r="J31" s="58" t="s">
        <v>132</v>
      </c>
      <c r="K31" s="58">
        <v>29.0</v>
      </c>
      <c r="L31" s="58" t="s">
        <v>132</v>
      </c>
      <c r="M31" s="49">
        <v>39.0</v>
      </c>
      <c r="N31" s="51">
        <v>34.0</v>
      </c>
      <c r="O31" s="61" t="s">
        <v>132</v>
      </c>
      <c r="P31" s="61">
        <v>35.0</v>
      </c>
      <c r="Q31" s="54">
        <f t="shared" si="1"/>
        <v>4</v>
      </c>
      <c r="R31" s="8"/>
      <c r="S31" s="55" t="str">
        <f>IFERROR(__xludf.DUMMYFUNCTION("TEXTJOIN("", "",TRUE,FILTER(D$1:P$1, D31:P31=""A""))"),"6, 7")</f>
        <v>6, 7</v>
      </c>
      <c r="U31" s="55">
        <f t="shared" si="2"/>
        <v>4</v>
      </c>
    </row>
    <row r="32">
      <c r="A32" s="42">
        <v>31.0</v>
      </c>
      <c r="B32" s="43" t="s">
        <v>412</v>
      </c>
      <c r="C32" s="43" t="s">
        <v>413</v>
      </c>
      <c r="D32" s="44" t="s">
        <v>132</v>
      </c>
      <c r="E32" s="44" t="s">
        <v>132</v>
      </c>
      <c r="F32" s="44" t="s">
        <v>132</v>
      </c>
      <c r="G32" s="48" t="s">
        <v>132</v>
      </c>
      <c r="H32" s="48" t="s">
        <v>132</v>
      </c>
      <c r="I32" s="48">
        <v>35.0</v>
      </c>
      <c r="J32" s="48">
        <v>57.0</v>
      </c>
      <c r="K32" s="48">
        <v>40.0</v>
      </c>
      <c r="L32" s="48">
        <v>46.0</v>
      </c>
      <c r="M32" s="49">
        <v>45.0</v>
      </c>
      <c r="N32" s="64">
        <v>44.0</v>
      </c>
      <c r="O32" s="52">
        <v>46.0</v>
      </c>
      <c r="P32" s="52">
        <v>34.0</v>
      </c>
      <c r="Q32" s="54">
        <f t="shared" si="1"/>
        <v>5</v>
      </c>
      <c r="R32" s="8"/>
      <c r="S32" s="55" t="str">
        <f>IFERROR(__xludf.DUMMYFUNCTION("TEXTJOIN("", "",TRUE,FILTER(D$1:P$1, D32:P32=""A""))"),"1, 2, 3, 4, 5")</f>
        <v>1, 2, 3, 4, 5</v>
      </c>
      <c r="U32" s="55">
        <f t="shared" si="2"/>
        <v>5</v>
      </c>
    </row>
    <row r="33">
      <c r="A33" s="42">
        <v>32.0</v>
      </c>
      <c r="B33" s="43" t="s">
        <v>418</v>
      </c>
      <c r="C33" s="43" t="s">
        <v>419</v>
      </c>
      <c r="D33" s="89">
        <v>32.0</v>
      </c>
      <c r="E33" s="57">
        <v>36.0</v>
      </c>
      <c r="F33" s="57">
        <v>38.0</v>
      </c>
      <c r="G33" s="58">
        <v>36.0</v>
      </c>
      <c r="H33" s="58">
        <v>41.0</v>
      </c>
      <c r="I33" s="58">
        <v>31.0</v>
      </c>
      <c r="J33" s="58">
        <v>49.0</v>
      </c>
      <c r="K33" s="58">
        <v>33.0</v>
      </c>
      <c r="L33" s="58">
        <v>49.0</v>
      </c>
      <c r="M33" s="49" t="s">
        <v>132</v>
      </c>
      <c r="N33" s="51">
        <v>40.0</v>
      </c>
      <c r="O33" s="61">
        <v>44.0</v>
      </c>
      <c r="P33" s="61" t="s">
        <v>132</v>
      </c>
      <c r="Q33" s="54">
        <f t="shared" si="1"/>
        <v>2</v>
      </c>
      <c r="R33" s="8"/>
      <c r="S33" s="55" t="str">
        <f>IFERROR(__xludf.DUMMYFUNCTION("TEXTJOIN("", "",TRUE,FILTER(D$1:P$1, D33:P33=""A""))"),"8")</f>
        <v>8</v>
      </c>
      <c r="U33" s="55">
        <f t="shared" si="2"/>
        <v>2</v>
      </c>
    </row>
    <row r="34">
      <c r="A34" s="42">
        <v>33.0</v>
      </c>
      <c r="B34" s="43" t="s">
        <v>420</v>
      </c>
      <c r="C34" s="43" t="s">
        <v>421</v>
      </c>
      <c r="D34" s="90" t="s">
        <v>132</v>
      </c>
      <c r="E34" s="44">
        <v>31.0</v>
      </c>
      <c r="F34" s="44" t="s">
        <v>132</v>
      </c>
      <c r="G34" s="48" t="s">
        <v>132</v>
      </c>
      <c r="H34" s="48">
        <v>37.0</v>
      </c>
      <c r="I34" s="48">
        <v>31.0</v>
      </c>
      <c r="J34" s="48">
        <v>56.0</v>
      </c>
      <c r="K34" s="48">
        <v>38.0</v>
      </c>
      <c r="L34" s="48">
        <v>47.0</v>
      </c>
      <c r="M34" s="49">
        <v>39.0</v>
      </c>
      <c r="N34" s="85" t="s">
        <v>132</v>
      </c>
      <c r="O34" s="52" t="s">
        <v>132</v>
      </c>
      <c r="P34" s="52">
        <v>32.0</v>
      </c>
      <c r="Q34" s="54">
        <f t="shared" si="1"/>
        <v>5</v>
      </c>
      <c r="R34" s="8"/>
      <c r="S34" s="55" t="str">
        <f>IFERROR(__xludf.DUMMYFUNCTION("TEXTJOIN("", "",TRUE,FILTER(D$1:P$1, D34:P34=""A""))"),"1, 3, 4")</f>
        <v>1, 3, 4</v>
      </c>
      <c r="U34" s="55">
        <f t="shared" si="2"/>
        <v>5</v>
      </c>
    </row>
    <row r="35">
      <c r="A35" s="42">
        <v>34.0</v>
      </c>
      <c r="B35" s="43" t="s">
        <v>490</v>
      </c>
      <c r="C35" s="43" t="s">
        <v>493</v>
      </c>
      <c r="D35" s="89">
        <v>36.0</v>
      </c>
      <c r="E35" s="89" t="s">
        <v>132</v>
      </c>
      <c r="F35" s="89">
        <v>44.0</v>
      </c>
      <c r="G35" s="94">
        <v>47.0</v>
      </c>
      <c r="H35" s="94">
        <v>27.0</v>
      </c>
      <c r="I35" s="94" t="s">
        <v>132</v>
      </c>
      <c r="J35" s="94" t="s">
        <v>132</v>
      </c>
      <c r="K35" s="94">
        <v>35.0</v>
      </c>
      <c r="L35" s="94">
        <v>50.0</v>
      </c>
      <c r="M35" s="49">
        <v>42.0</v>
      </c>
      <c r="N35" s="51">
        <v>43.0</v>
      </c>
      <c r="O35" s="95">
        <v>44.0</v>
      </c>
      <c r="P35" s="95">
        <v>34.0</v>
      </c>
      <c r="Q35" s="54">
        <f t="shared" si="1"/>
        <v>3</v>
      </c>
      <c r="R35" s="8"/>
      <c r="S35" s="55" t="str">
        <f>IFERROR(__xludf.DUMMYFUNCTION("TEXTJOIN("", "",TRUE,FILTER(D$1:P$1, D35:P35=""A""))"),"2, 6, 7")</f>
        <v>2, 6, 7</v>
      </c>
      <c r="U35" s="55">
        <f t="shared" si="2"/>
        <v>3</v>
      </c>
    </row>
    <row r="36">
      <c r="A36" s="42">
        <v>35.0</v>
      </c>
      <c r="B36" s="43" t="s">
        <v>466</v>
      </c>
      <c r="C36" s="43" t="s">
        <v>467</v>
      </c>
      <c r="D36" s="90">
        <v>36.0</v>
      </c>
      <c r="E36" s="90">
        <v>40.0</v>
      </c>
      <c r="F36" s="90">
        <v>44.0</v>
      </c>
      <c r="G36" s="97">
        <v>43.0</v>
      </c>
      <c r="H36" s="97">
        <v>22.0</v>
      </c>
      <c r="I36" s="97">
        <v>22.0</v>
      </c>
      <c r="J36" s="97">
        <v>57.0</v>
      </c>
      <c r="K36" s="97">
        <v>37.0</v>
      </c>
      <c r="L36" s="97">
        <v>41.0</v>
      </c>
      <c r="M36" s="49">
        <v>37.0</v>
      </c>
      <c r="N36" s="64">
        <v>37.0</v>
      </c>
      <c r="O36" s="98">
        <v>35.0</v>
      </c>
      <c r="P36" s="98">
        <v>35.0</v>
      </c>
      <c r="Q36" s="54">
        <f t="shared" si="1"/>
        <v>0</v>
      </c>
      <c r="R36" s="8"/>
      <c r="S36" s="55" t="str">
        <f>IFERROR(__xludf.DUMMYFUNCTION("TEXTJOIN("", "",TRUE,FILTER(D$1:P$1, D36:P36=""A""))"),"#N/A")</f>
        <v>#N/A</v>
      </c>
      <c r="U36" s="55">
        <f t="shared" si="2"/>
        <v>0</v>
      </c>
    </row>
    <row r="37">
      <c r="A37" s="42">
        <v>36.0</v>
      </c>
      <c r="B37" s="43" t="s">
        <v>176</v>
      </c>
      <c r="C37" s="43" t="s">
        <v>177</v>
      </c>
      <c r="D37" s="89" t="s">
        <v>132</v>
      </c>
      <c r="E37" s="89">
        <v>35.0</v>
      </c>
      <c r="F37" s="89">
        <v>40.0</v>
      </c>
      <c r="G37" s="94">
        <v>30.0</v>
      </c>
      <c r="H37" s="94">
        <v>36.0</v>
      </c>
      <c r="I37" s="94">
        <v>37.0</v>
      </c>
      <c r="J37" s="94">
        <v>57.0</v>
      </c>
      <c r="K37" s="94">
        <v>32.0</v>
      </c>
      <c r="L37" s="94">
        <v>42.0</v>
      </c>
      <c r="M37" s="49">
        <v>33.0</v>
      </c>
      <c r="N37" s="51">
        <v>37.0</v>
      </c>
      <c r="O37" s="95">
        <v>42.0</v>
      </c>
      <c r="P37" s="95">
        <v>34.0</v>
      </c>
      <c r="Q37" s="54">
        <f t="shared" si="1"/>
        <v>1</v>
      </c>
      <c r="R37" s="8"/>
      <c r="S37" s="55" t="str">
        <f>IFERROR(__xludf.DUMMYFUNCTION("TEXTJOIN("", "",TRUE,FILTER(D$1:P$1, D37:P37=""A""))"),"1")</f>
        <v>1</v>
      </c>
      <c r="U37" s="55">
        <f t="shared" si="2"/>
        <v>1</v>
      </c>
    </row>
    <row r="38">
      <c r="A38" s="42">
        <v>37.0</v>
      </c>
      <c r="B38" s="43" t="s">
        <v>533</v>
      </c>
      <c r="C38" s="43" t="s">
        <v>534</v>
      </c>
      <c r="D38" s="90" t="s">
        <v>132</v>
      </c>
      <c r="E38" s="90" t="s">
        <v>132</v>
      </c>
      <c r="F38" s="90" t="s">
        <v>132</v>
      </c>
      <c r="G38" s="97" t="s">
        <v>132</v>
      </c>
      <c r="H38" s="97" t="s">
        <v>132</v>
      </c>
      <c r="I38" s="97" t="s">
        <v>132</v>
      </c>
      <c r="J38" s="97" t="s">
        <v>132</v>
      </c>
      <c r="K38" s="97" t="s">
        <v>132</v>
      </c>
      <c r="L38" s="97" t="s">
        <v>132</v>
      </c>
      <c r="M38" s="49" t="s">
        <v>132</v>
      </c>
      <c r="N38" s="64">
        <v>25.0</v>
      </c>
      <c r="O38" s="98" t="s">
        <v>132</v>
      </c>
      <c r="P38" s="98" t="s">
        <v>132</v>
      </c>
      <c r="Q38" s="54">
        <f t="shared" si="1"/>
        <v>12</v>
      </c>
      <c r="R38" s="8"/>
      <c r="S38" s="55" t="str">
        <f>IFERROR(__xludf.DUMMYFUNCTION("TEXTJOIN("", "",TRUE,FILTER(D$1:P$1, D38:P38=""A""))"),"1, 2, 3, 4, 5, 6, 7, 8")</f>
        <v>1, 2, 3, 4, 5, 6, 7, 8</v>
      </c>
      <c r="U38" s="55">
        <f t="shared" si="2"/>
        <v>12</v>
      </c>
    </row>
    <row r="39">
      <c r="A39" s="42">
        <v>38.0</v>
      </c>
      <c r="B39" s="43" t="s">
        <v>512</v>
      </c>
      <c r="C39" s="43" t="s">
        <v>513</v>
      </c>
      <c r="D39" s="89" t="s">
        <v>132</v>
      </c>
      <c r="E39" s="89">
        <v>34.0</v>
      </c>
      <c r="F39" s="89" t="s">
        <v>132</v>
      </c>
      <c r="G39" s="94">
        <v>44.0</v>
      </c>
      <c r="H39" s="94">
        <v>39.0</v>
      </c>
      <c r="I39" s="94">
        <v>34.0</v>
      </c>
      <c r="J39" s="94">
        <v>61.0</v>
      </c>
      <c r="K39" s="94">
        <v>43.0</v>
      </c>
      <c r="L39" s="94">
        <v>51.0</v>
      </c>
      <c r="M39" s="49">
        <v>43.0</v>
      </c>
      <c r="N39" s="51">
        <v>44.0</v>
      </c>
      <c r="O39" s="95">
        <v>44.0</v>
      </c>
      <c r="P39" s="95">
        <v>33.0</v>
      </c>
      <c r="Q39" s="54">
        <f t="shared" si="1"/>
        <v>2</v>
      </c>
      <c r="R39" s="8"/>
      <c r="S39" s="55" t="str">
        <f>IFERROR(__xludf.DUMMYFUNCTION("TEXTJOIN("", "",TRUE,FILTER(D$1:P$1, D39:P39=""A""))"),"1, 3")</f>
        <v>1, 3</v>
      </c>
      <c r="U39" s="55">
        <f t="shared" si="2"/>
        <v>2</v>
      </c>
    </row>
    <row r="40">
      <c r="A40" s="42">
        <v>39.0</v>
      </c>
      <c r="B40" s="43" t="s">
        <v>564</v>
      </c>
      <c r="C40" s="43" t="s">
        <v>552</v>
      </c>
      <c r="D40" s="49">
        <v>38.0</v>
      </c>
      <c r="E40" s="90">
        <v>35.0</v>
      </c>
      <c r="F40" s="90">
        <v>40.0</v>
      </c>
      <c r="G40" s="97">
        <v>35.0</v>
      </c>
      <c r="H40" s="97">
        <v>40.0</v>
      </c>
      <c r="I40" s="97">
        <v>32.0</v>
      </c>
      <c r="J40" s="97">
        <v>61.0</v>
      </c>
      <c r="K40" s="97" t="s">
        <v>132</v>
      </c>
      <c r="L40" s="97">
        <v>45.0</v>
      </c>
      <c r="M40" s="49">
        <v>41.0</v>
      </c>
      <c r="N40" s="64">
        <v>42.0</v>
      </c>
      <c r="O40" s="98">
        <v>44.0</v>
      </c>
      <c r="P40" s="98">
        <v>38.0</v>
      </c>
      <c r="Q40" s="54">
        <f t="shared" si="1"/>
        <v>1</v>
      </c>
      <c r="R40" s="8"/>
      <c r="S40" s="55" t="str">
        <f>IFERROR(__xludf.DUMMYFUNCTION("TEXTJOIN("", "",TRUE,FILTER(D$1:P$1, D40:P40=""A""))"),"")</f>
        <v/>
      </c>
      <c r="U40" s="55">
        <f t="shared" si="2"/>
        <v>1</v>
      </c>
    </row>
    <row r="41">
      <c r="A41" s="42">
        <v>40.0</v>
      </c>
      <c r="B41" s="3" t="s">
        <v>514</v>
      </c>
      <c r="C41" s="49" t="s">
        <v>515</v>
      </c>
      <c r="D41" s="88">
        <v>39.0</v>
      </c>
      <c r="E41" s="99">
        <v>46.0</v>
      </c>
      <c r="F41" s="99">
        <v>46.0</v>
      </c>
      <c r="G41" s="94">
        <v>41.0</v>
      </c>
      <c r="H41" s="94">
        <v>41.0</v>
      </c>
      <c r="I41" s="94">
        <v>36.0</v>
      </c>
      <c r="J41" s="94" t="s">
        <v>132</v>
      </c>
      <c r="K41" s="94">
        <v>40.0</v>
      </c>
      <c r="L41" s="94">
        <v>38.0</v>
      </c>
      <c r="M41" s="49" t="s">
        <v>132</v>
      </c>
      <c r="N41" s="51">
        <v>36.0</v>
      </c>
      <c r="O41" s="95" t="s">
        <v>132</v>
      </c>
      <c r="P41" s="95">
        <v>31.0</v>
      </c>
      <c r="Q41" s="54">
        <f t="shared" si="1"/>
        <v>3</v>
      </c>
      <c r="R41" s="8"/>
      <c r="S41" s="55" t="str">
        <f>IFERROR(__xludf.DUMMYFUNCTION("TEXTJOIN("", "",TRUE,FILTER(D$1:P$1, D41:P41=""A""))"),"7")</f>
        <v>7</v>
      </c>
      <c r="U41" s="55">
        <f t="shared" si="2"/>
        <v>3</v>
      </c>
    </row>
    <row r="42">
      <c r="A42" s="42">
        <v>41.0</v>
      </c>
      <c r="B42" s="3" t="s">
        <v>528</v>
      </c>
      <c r="C42" s="10"/>
      <c r="D42" s="89" t="s">
        <v>132</v>
      </c>
      <c r="E42" s="90">
        <v>39.0</v>
      </c>
      <c r="F42" s="90">
        <v>40.0</v>
      </c>
      <c r="G42" s="97">
        <v>44.0</v>
      </c>
      <c r="H42" s="97" t="s">
        <v>132</v>
      </c>
      <c r="I42" s="97">
        <v>30.0</v>
      </c>
      <c r="J42" s="97">
        <v>67.0</v>
      </c>
      <c r="K42" s="97">
        <v>40.0</v>
      </c>
      <c r="L42" s="97" t="s">
        <v>132</v>
      </c>
      <c r="M42" s="49">
        <v>41.0</v>
      </c>
      <c r="N42" s="64">
        <v>40.0</v>
      </c>
      <c r="O42" s="98">
        <v>37.0</v>
      </c>
      <c r="P42" s="98">
        <v>34.0</v>
      </c>
      <c r="Q42" s="54">
        <f t="shared" si="1"/>
        <v>3</v>
      </c>
      <c r="R42" s="8"/>
      <c r="S42" s="55" t="str">
        <f>IFERROR(__xludf.DUMMYFUNCTION("TEXTJOIN("", "",TRUE,FILTER(D$1:P$1, D42:P42=""A""))"),"1, 5")</f>
        <v>1, 5</v>
      </c>
      <c r="U42" s="55">
        <f t="shared" si="2"/>
        <v>3</v>
      </c>
    </row>
    <row r="43">
      <c r="A43" s="42">
        <v>42.0</v>
      </c>
      <c r="B43" s="49" t="s">
        <v>561</v>
      </c>
      <c r="C43" s="49" t="s">
        <v>562</v>
      </c>
      <c r="D43" s="57">
        <v>34.0</v>
      </c>
      <c r="E43" s="89">
        <v>37.0</v>
      </c>
      <c r="F43" s="89">
        <v>47.0</v>
      </c>
      <c r="G43" s="94">
        <v>41.0</v>
      </c>
      <c r="H43" s="94">
        <v>37.0</v>
      </c>
      <c r="I43" s="94">
        <v>38.0</v>
      </c>
      <c r="J43" s="94">
        <v>69.0</v>
      </c>
      <c r="K43" s="94">
        <v>41.0</v>
      </c>
      <c r="L43" s="94">
        <v>50.0</v>
      </c>
      <c r="M43" s="49">
        <v>35.0</v>
      </c>
      <c r="N43" s="51">
        <v>43.0</v>
      </c>
      <c r="O43" s="95">
        <v>46.0</v>
      </c>
      <c r="P43" s="95">
        <v>37.0</v>
      </c>
      <c r="Q43" s="54">
        <f t="shared" si="1"/>
        <v>0</v>
      </c>
      <c r="R43" s="8"/>
      <c r="S43" s="55" t="str">
        <f>IFERROR(__xludf.DUMMYFUNCTION("TEXTJOIN("", "",TRUE,FILTER(D$1:P$1, D43:P43=""A""))"),"#N/A")</f>
        <v>#N/A</v>
      </c>
      <c r="U43" s="55">
        <f t="shared" si="2"/>
        <v>0</v>
      </c>
    </row>
    <row r="44">
      <c r="A44" s="42">
        <v>43.0</v>
      </c>
      <c r="B44" s="101" t="s">
        <v>373</v>
      </c>
      <c r="C44" s="101" t="s">
        <v>376</v>
      </c>
      <c r="D44" s="44" t="s">
        <v>132</v>
      </c>
      <c r="E44" s="90" t="s">
        <v>132</v>
      </c>
      <c r="F44" s="90" t="s">
        <v>132</v>
      </c>
      <c r="G44" s="97" t="s">
        <v>132</v>
      </c>
      <c r="H44" s="97" t="s">
        <v>132</v>
      </c>
      <c r="I44" s="97" t="s">
        <v>132</v>
      </c>
      <c r="J44" s="97" t="s">
        <v>132</v>
      </c>
      <c r="K44" s="97" t="s">
        <v>132</v>
      </c>
      <c r="L44" s="97" t="s">
        <v>132</v>
      </c>
      <c r="M44" s="49" t="s">
        <v>132</v>
      </c>
      <c r="N44" s="85" t="s">
        <v>132</v>
      </c>
      <c r="O44" s="98" t="s">
        <v>132</v>
      </c>
      <c r="P44" s="98" t="s">
        <v>132</v>
      </c>
      <c r="Q44" s="54">
        <f t="shared" si="1"/>
        <v>13</v>
      </c>
      <c r="R44" s="8"/>
      <c r="S44" s="55" t="str">
        <f>IFERROR(__xludf.DUMMYFUNCTION("TEXTJOIN("", "",TRUE,FILTER(D$1:P$1, D44:P44=""A""))"),"1, 2, 3, 4, 5, 6, 7, 8")</f>
        <v>1, 2, 3, 4, 5, 6, 7, 8</v>
      </c>
      <c r="U44" s="55">
        <f t="shared" si="2"/>
        <v>13</v>
      </c>
    </row>
    <row r="45">
      <c r="A45" s="42"/>
      <c r="B45" s="102"/>
      <c r="C45" s="103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</row>
    <row r="46">
      <c r="A46" s="42"/>
      <c r="B46" s="102"/>
      <c r="C46" s="42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</row>
    <row r="47">
      <c r="A47" s="42"/>
      <c r="B47" s="102"/>
      <c r="C47" s="104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</row>
    <row r="48">
      <c r="A48" s="42"/>
      <c r="B48" s="105"/>
      <c r="C48" s="42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</row>
    <row r="49">
      <c r="B49" s="106"/>
      <c r="C49" s="107"/>
    </row>
    <row r="50">
      <c r="B50" s="106"/>
      <c r="C50" s="107"/>
    </row>
    <row r="51">
      <c r="B51" s="106"/>
      <c r="C51" s="107"/>
    </row>
    <row r="52">
      <c r="B52" s="106"/>
      <c r="C52" s="107"/>
    </row>
    <row r="53">
      <c r="B53" s="106"/>
      <c r="C53" s="107"/>
    </row>
    <row r="54">
      <c r="B54" s="106"/>
      <c r="C54" s="107"/>
    </row>
    <row r="55">
      <c r="B55" s="106"/>
      <c r="C55" s="107"/>
    </row>
    <row r="56">
      <c r="B56" s="106"/>
      <c r="C56" s="107"/>
    </row>
    <row r="57">
      <c r="B57" s="106"/>
      <c r="C57" s="107"/>
    </row>
    <row r="58">
      <c r="B58" s="106"/>
      <c r="C58" s="107"/>
    </row>
    <row r="59">
      <c r="B59" s="106"/>
      <c r="C59" s="107"/>
    </row>
    <row r="60">
      <c r="B60" s="106"/>
      <c r="C60" s="107"/>
    </row>
    <row r="61">
      <c r="B61" s="106"/>
      <c r="C61" s="107"/>
    </row>
    <row r="62">
      <c r="B62" s="106"/>
      <c r="C62" s="107"/>
    </row>
    <row r="63">
      <c r="B63" s="106"/>
      <c r="C63" s="107"/>
    </row>
    <row r="64">
      <c r="B64" s="106"/>
      <c r="C64" s="107"/>
    </row>
    <row r="65">
      <c r="B65" s="106"/>
      <c r="C65" s="107"/>
    </row>
    <row r="66">
      <c r="B66" s="106"/>
      <c r="C66" s="107"/>
    </row>
    <row r="67">
      <c r="B67" s="106"/>
      <c r="C67" s="107"/>
    </row>
    <row r="68">
      <c r="B68" s="106"/>
      <c r="C68" s="107"/>
    </row>
    <row r="69">
      <c r="B69" s="106"/>
      <c r="C69" s="107"/>
    </row>
    <row r="70">
      <c r="B70" s="106"/>
      <c r="C70" s="107"/>
    </row>
    <row r="71">
      <c r="B71" s="106"/>
      <c r="C71" s="107"/>
    </row>
    <row r="72">
      <c r="B72" s="106"/>
      <c r="C72" s="107"/>
    </row>
    <row r="73">
      <c r="B73" s="106"/>
      <c r="C73" s="107"/>
    </row>
    <row r="74">
      <c r="B74" s="106"/>
      <c r="C74" s="107"/>
    </row>
    <row r="75">
      <c r="B75" s="106"/>
      <c r="C75" s="107"/>
    </row>
    <row r="76">
      <c r="B76" s="106"/>
      <c r="C76" s="107"/>
    </row>
    <row r="77">
      <c r="B77" s="106"/>
      <c r="C77" s="107"/>
    </row>
    <row r="78">
      <c r="B78" s="106"/>
      <c r="C78" s="107"/>
    </row>
    <row r="79">
      <c r="B79" s="106"/>
      <c r="C79" s="107"/>
    </row>
    <row r="80">
      <c r="B80" s="106"/>
      <c r="C80" s="107"/>
    </row>
    <row r="81">
      <c r="B81" s="106"/>
      <c r="C81" s="107"/>
    </row>
    <row r="82">
      <c r="B82" s="106"/>
      <c r="C82" s="107"/>
    </row>
    <row r="83">
      <c r="B83" s="106"/>
      <c r="C83" s="107"/>
    </row>
    <row r="84">
      <c r="B84" s="106"/>
      <c r="C84" s="107"/>
    </row>
    <row r="85">
      <c r="B85" s="106"/>
      <c r="C85" s="107"/>
    </row>
    <row r="86">
      <c r="B86" s="106"/>
      <c r="C86" s="107"/>
    </row>
    <row r="87">
      <c r="B87" s="106"/>
      <c r="C87" s="107"/>
    </row>
    <row r="88">
      <c r="B88" s="106"/>
      <c r="C88" s="107"/>
    </row>
    <row r="89">
      <c r="B89" s="106"/>
      <c r="C89" s="107"/>
    </row>
    <row r="90">
      <c r="B90" s="106"/>
      <c r="C90" s="107"/>
    </row>
    <row r="91">
      <c r="B91" s="106"/>
      <c r="C91" s="107"/>
    </row>
    <row r="92">
      <c r="B92" s="106"/>
      <c r="C92" s="107"/>
    </row>
    <row r="93">
      <c r="B93" s="106"/>
      <c r="C93" s="107"/>
    </row>
    <row r="94">
      <c r="B94" s="106"/>
      <c r="C94" s="107"/>
    </row>
    <row r="95">
      <c r="B95" s="106"/>
      <c r="C95" s="107"/>
    </row>
    <row r="96">
      <c r="B96" s="106"/>
      <c r="C96" s="107"/>
    </row>
    <row r="97">
      <c r="B97" s="106"/>
      <c r="C97" s="107"/>
    </row>
    <row r="98">
      <c r="B98" s="106"/>
      <c r="C98" s="107"/>
    </row>
    <row r="99">
      <c r="B99" s="106"/>
      <c r="C99" s="107"/>
    </row>
    <row r="100">
      <c r="B100" s="106"/>
      <c r="C100" s="107"/>
    </row>
    <row r="101">
      <c r="B101" s="106"/>
      <c r="C101" s="107"/>
    </row>
    <row r="102">
      <c r="B102" s="106"/>
      <c r="C102" s="107"/>
    </row>
    <row r="103">
      <c r="B103" s="106"/>
      <c r="C103" s="107"/>
    </row>
    <row r="104">
      <c r="B104" s="106"/>
      <c r="C104" s="107"/>
    </row>
    <row r="105">
      <c r="B105" s="106"/>
      <c r="C105" s="107"/>
    </row>
    <row r="106">
      <c r="B106" s="106"/>
      <c r="C106" s="107"/>
    </row>
    <row r="107">
      <c r="B107" s="106"/>
      <c r="C107" s="107"/>
    </row>
    <row r="108">
      <c r="B108" s="106"/>
      <c r="C108" s="107"/>
    </row>
    <row r="109">
      <c r="B109" s="106"/>
      <c r="C109" s="107"/>
    </row>
    <row r="110">
      <c r="B110" s="106"/>
      <c r="C110" s="107"/>
    </row>
    <row r="111">
      <c r="B111" s="106"/>
      <c r="C111" s="107"/>
    </row>
    <row r="112">
      <c r="B112" s="106"/>
      <c r="C112" s="107"/>
    </row>
    <row r="113">
      <c r="B113" s="106"/>
      <c r="C113" s="107"/>
    </row>
    <row r="114">
      <c r="B114" s="106"/>
      <c r="C114" s="107"/>
    </row>
    <row r="115">
      <c r="B115" s="106"/>
      <c r="C115" s="107"/>
    </row>
    <row r="116">
      <c r="B116" s="106"/>
      <c r="C116" s="107"/>
    </row>
    <row r="117">
      <c r="B117" s="106"/>
      <c r="C117" s="107"/>
    </row>
    <row r="118">
      <c r="B118" s="106"/>
      <c r="C118" s="107"/>
    </row>
    <row r="119">
      <c r="B119" s="106"/>
      <c r="C119" s="107"/>
    </row>
    <row r="120">
      <c r="B120" s="106"/>
      <c r="C120" s="107"/>
    </row>
    <row r="121">
      <c r="B121" s="106"/>
      <c r="C121" s="107"/>
    </row>
    <row r="122">
      <c r="B122" s="106"/>
      <c r="C122" s="107"/>
    </row>
    <row r="123">
      <c r="B123" s="106"/>
      <c r="C123" s="107"/>
    </row>
    <row r="124">
      <c r="B124" s="106"/>
      <c r="C124" s="107"/>
    </row>
    <row r="125">
      <c r="B125" s="106"/>
      <c r="C125" s="107"/>
    </row>
    <row r="126">
      <c r="B126" s="106"/>
      <c r="C126" s="107"/>
    </row>
    <row r="127">
      <c r="B127" s="106"/>
      <c r="C127" s="107"/>
    </row>
    <row r="128">
      <c r="B128" s="106"/>
      <c r="C128" s="107"/>
    </row>
    <row r="129">
      <c r="B129" s="106"/>
      <c r="C129" s="107"/>
    </row>
    <row r="130">
      <c r="B130" s="106"/>
      <c r="C130" s="107"/>
    </row>
    <row r="131">
      <c r="B131" s="106"/>
      <c r="C131" s="107"/>
    </row>
    <row r="132">
      <c r="B132" s="106"/>
      <c r="C132" s="107"/>
    </row>
    <row r="133">
      <c r="B133" s="106"/>
      <c r="C133" s="107"/>
    </row>
    <row r="134">
      <c r="B134" s="106"/>
      <c r="C134" s="107"/>
    </row>
    <row r="135">
      <c r="B135" s="106"/>
      <c r="C135" s="107"/>
    </row>
    <row r="136">
      <c r="B136" s="106"/>
      <c r="C136" s="107"/>
    </row>
    <row r="137">
      <c r="B137" s="106"/>
      <c r="C137" s="107"/>
    </row>
    <row r="138">
      <c r="B138" s="106"/>
      <c r="C138" s="107"/>
    </row>
    <row r="139">
      <c r="B139" s="106"/>
      <c r="C139" s="107"/>
    </row>
    <row r="140">
      <c r="B140" s="106"/>
      <c r="C140" s="107"/>
    </row>
    <row r="141">
      <c r="B141" s="106"/>
      <c r="C141" s="107"/>
    </row>
    <row r="142">
      <c r="B142" s="106"/>
      <c r="C142" s="107"/>
    </row>
    <row r="143">
      <c r="B143" s="106"/>
      <c r="C143" s="107"/>
    </row>
    <row r="144">
      <c r="B144" s="106"/>
      <c r="C144" s="107"/>
    </row>
    <row r="145">
      <c r="B145" s="106"/>
      <c r="C145" s="107"/>
    </row>
    <row r="146">
      <c r="B146" s="106"/>
      <c r="C146" s="107"/>
    </row>
    <row r="147">
      <c r="B147" s="106"/>
      <c r="C147" s="107"/>
    </row>
    <row r="148">
      <c r="B148" s="106"/>
      <c r="C148" s="107"/>
    </row>
    <row r="149">
      <c r="B149" s="106"/>
      <c r="C149" s="107"/>
    </row>
    <row r="150">
      <c r="B150" s="106"/>
      <c r="C150" s="107"/>
    </row>
    <row r="151">
      <c r="B151" s="106"/>
      <c r="C151" s="107"/>
    </row>
    <row r="152">
      <c r="B152" s="106"/>
      <c r="C152" s="107"/>
    </row>
    <row r="153">
      <c r="B153" s="106"/>
      <c r="C153" s="107"/>
    </row>
    <row r="154">
      <c r="B154" s="106"/>
      <c r="C154" s="107"/>
    </row>
    <row r="155">
      <c r="B155" s="106"/>
      <c r="C155" s="107"/>
    </row>
    <row r="156">
      <c r="B156" s="106"/>
      <c r="C156" s="107"/>
    </row>
    <row r="157">
      <c r="B157" s="106"/>
      <c r="C157" s="107"/>
    </row>
    <row r="158">
      <c r="B158" s="106"/>
      <c r="C158" s="107"/>
    </row>
    <row r="159">
      <c r="B159" s="106"/>
      <c r="C159" s="107"/>
    </row>
    <row r="160">
      <c r="B160" s="106"/>
      <c r="C160" s="107"/>
    </row>
    <row r="161">
      <c r="B161" s="106"/>
      <c r="C161" s="107"/>
    </row>
    <row r="162">
      <c r="B162" s="106"/>
      <c r="C162" s="107"/>
    </row>
    <row r="163">
      <c r="B163" s="106"/>
      <c r="C163" s="107"/>
    </row>
    <row r="164">
      <c r="B164" s="106"/>
      <c r="C164" s="107"/>
    </row>
    <row r="165">
      <c r="B165" s="106"/>
      <c r="C165" s="107"/>
    </row>
    <row r="166">
      <c r="B166" s="106"/>
      <c r="C166" s="107"/>
    </row>
    <row r="167">
      <c r="B167" s="106"/>
      <c r="C167" s="107"/>
    </row>
    <row r="168">
      <c r="B168" s="106"/>
      <c r="C168" s="107"/>
    </row>
    <row r="169">
      <c r="B169" s="106"/>
      <c r="C169" s="107"/>
    </row>
    <row r="170">
      <c r="B170" s="106"/>
      <c r="C170" s="107"/>
    </row>
    <row r="171">
      <c r="B171" s="106"/>
      <c r="C171" s="107"/>
    </row>
    <row r="172">
      <c r="B172" s="106"/>
      <c r="C172" s="107"/>
    </row>
    <row r="173">
      <c r="B173" s="106"/>
      <c r="C173" s="107"/>
    </row>
    <row r="174">
      <c r="B174" s="106"/>
      <c r="C174" s="107"/>
    </row>
    <row r="175">
      <c r="B175" s="106"/>
      <c r="C175" s="107"/>
    </row>
    <row r="176">
      <c r="B176" s="106"/>
      <c r="C176" s="107"/>
    </row>
    <row r="177">
      <c r="B177" s="106"/>
      <c r="C177" s="107"/>
    </row>
    <row r="178">
      <c r="B178" s="106"/>
      <c r="C178" s="107"/>
    </row>
    <row r="179">
      <c r="B179" s="106"/>
      <c r="C179" s="107"/>
    </row>
    <row r="180">
      <c r="B180" s="106"/>
      <c r="C180" s="107"/>
    </row>
    <row r="181">
      <c r="B181" s="106"/>
      <c r="C181" s="107"/>
    </row>
    <row r="182">
      <c r="B182" s="106"/>
      <c r="C182" s="107"/>
    </row>
    <row r="183">
      <c r="B183" s="106"/>
      <c r="C183" s="107"/>
    </row>
    <row r="184">
      <c r="B184" s="106"/>
      <c r="C184" s="107"/>
    </row>
    <row r="185">
      <c r="B185" s="106"/>
      <c r="C185" s="107"/>
    </row>
    <row r="186">
      <c r="B186" s="106"/>
      <c r="C186" s="107"/>
    </row>
    <row r="187">
      <c r="B187" s="106"/>
      <c r="C187" s="107"/>
    </row>
    <row r="188">
      <c r="B188" s="106"/>
      <c r="C188" s="107"/>
    </row>
    <row r="189">
      <c r="B189" s="106"/>
      <c r="C189" s="107"/>
    </row>
    <row r="190">
      <c r="B190" s="106"/>
      <c r="C190" s="107"/>
    </row>
    <row r="191">
      <c r="B191" s="106"/>
      <c r="C191" s="107"/>
    </row>
    <row r="192">
      <c r="B192" s="106"/>
      <c r="C192" s="107"/>
    </row>
    <row r="193">
      <c r="B193" s="106"/>
      <c r="C193" s="107"/>
    </row>
    <row r="194">
      <c r="B194" s="106"/>
      <c r="C194" s="107"/>
    </row>
    <row r="195">
      <c r="B195" s="106"/>
      <c r="C195" s="107"/>
    </row>
    <row r="196">
      <c r="B196" s="106"/>
      <c r="C196" s="107"/>
    </row>
    <row r="197">
      <c r="B197" s="106"/>
      <c r="C197" s="107"/>
    </row>
    <row r="198">
      <c r="B198" s="106"/>
      <c r="C198" s="107"/>
    </row>
    <row r="199">
      <c r="B199" s="106"/>
      <c r="C199" s="107"/>
    </row>
    <row r="200">
      <c r="B200" s="106"/>
      <c r="C200" s="107"/>
    </row>
    <row r="201">
      <c r="B201" s="106"/>
      <c r="C201" s="107"/>
    </row>
    <row r="202">
      <c r="B202" s="106"/>
      <c r="C202" s="107"/>
    </row>
    <row r="203">
      <c r="B203" s="106"/>
      <c r="C203" s="107"/>
    </row>
    <row r="204">
      <c r="B204" s="106"/>
      <c r="C204" s="107"/>
    </row>
    <row r="205">
      <c r="B205" s="106"/>
      <c r="C205" s="107"/>
    </row>
    <row r="206">
      <c r="B206" s="106"/>
      <c r="C206" s="107"/>
    </row>
    <row r="207">
      <c r="B207" s="106"/>
      <c r="C207" s="107"/>
    </row>
    <row r="208">
      <c r="B208" s="106"/>
      <c r="C208" s="107"/>
    </row>
    <row r="209">
      <c r="B209" s="106"/>
      <c r="C209" s="107"/>
    </row>
    <row r="210">
      <c r="B210" s="106"/>
      <c r="C210" s="107"/>
    </row>
    <row r="211">
      <c r="B211" s="106"/>
      <c r="C211" s="107"/>
    </row>
    <row r="212">
      <c r="B212" s="106"/>
      <c r="C212" s="107"/>
    </row>
    <row r="213">
      <c r="B213" s="106"/>
      <c r="C213" s="107"/>
    </row>
    <row r="214">
      <c r="B214" s="106"/>
      <c r="C214" s="107"/>
    </row>
    <row r="215">
      <c r="B215" s="106"/>
      <c r="C215" s="107"/>
    </row>
    <row r="216">
      <c r="B216" s="106"/>
      <c r="C216" s="107"/>
    </row>
    <row r="217">
      <c r="B217" s="106"/>
      <c r="C217" s="107"/>
    </row>
    <row r="218">
      <c r="B218" s="106"/>
      <c r="C218" s="107"/>
    </row>
    <row r="219">
      <c r="B219" s="106"/>
      <c r="C219" s="107"/>
    </row>
    <row r="220">
      <c r="B220" s="106"/>
      <c r="C220" s="107"/>
    </row>
    <row r="221">
      <c r="B221" s="106"/>
      <c r="C221" s="107"/>
    </row>
    <row r="222">
      <c r="B222" s="106"/>
      <c r="C222" s="107"/>
    </row>
    <row r="223">
      <c r="B223" s="106"/>
      <c r="C223" s="107"/>
    </row>
    <row r="224">
      <c r="B224" s="106"/>
      <c r="C224" s="107"/>
    </row>
    <row r="225">
      <c r="B225" s="106"/>
      <c r="C225" s="107"/>
    </row>
    <row r="226">
      <c r="B226" s="106"/>
      <c r="C226" s="107"/>
    </row>
    <row r="227">
      <c r="B227" s="106"/>
      <c r="C227" s="107"/>
    </row>
    <row r="228">
      <c r="B228" s="106"/>
      <c r="C228" s="107"/>
    </row>
    <row r="229">
      <c r="B229" s="106"/>
      <c r="C229" s="107"/>
    </row>
    <row r="230">
      <c r="B230" s="106"/>
      <c r="C230" s="107"/>
    </row>
    <row r="231">
      <c r="B231" s="106"/>
      <c r="C231" s="107"/>
    </row>
    <row r="232">
      <c r="B232" s="106"/>
      <c r="C232" s="107"/>
    </row>
    <row r="233">
      <c r="B233" s="106"/>
      <c r="C233" s="107"/>
    </row>
    <row r="234">
      <c r="B234" s="106"/>
      <c r="C234" s="107"/>
    </row>
    <row r="235">
      <c r="B235" s="106"/>
      <c r="C235" s="107"/>
    </row>
    <row r="236">
      <c r="B236" s="106"/>
      <c r="C236" s="107"/>
    </row>
    <row r="237">
      <c r="B237" s="106"/>
      <c r="C237" s="107"/>
    </row>
    <row r="238">
      <c r="B238" s="106"/>
      <c r="C238" s="107"/>
    </row>
    <row r="239">
      <c r="B239" s="106"/>
      <c r="C239" s="107"/>
    </row>
    <row r="240">
      <c r="B240" s="106"/>
      <c r="C240" s="107"/>
    </row>
    <row r="241">
      <c r="B241" s="106"/>
      <c r="C241" s="107"/>
    </row>
    <row r="242">
      <c r="B242" s="106"/>
      <c r="C242" s="107"/>
    </row>
    <row r="243">
      <c r="B243" s="106"/>
      <c r="C243" s="107"/>
    </row>
    <row r="244">
      <c r="B244" s="106"/>
      <c r="C244" s="107"/>
    </row>
    <row r="245">
      <c r="B245" s="106"/>
      <c r="C245" s="107"/>
    </row>
    <row r="246">
      <c r="B246" s="106"/>
      <c r="C246" s="107"/>
    </row>
    <row r="247">
      <c r="B247" s="106"/>
      <c r="C247" s="107"/>
    </row>
    <row r="248">
      <c r="B248" s="106"/>
      <c r="C248" s="107"/>
    </row>
    <row r="249">
      <c r="B249" s="106"/>
      <c r="C249" s="107"/>
    </row>
    <row r="250">
      <c r="B250" s="106"/>
      <c r="C250" s="107"/>
    </row>
    <row r="251">
      <c r="B251" s="106"/>
      <c r="C251" s="107"/>
    </row>
    <row r="252">
      <c r="B252" s="106"/>
      <c r="C252" s="107"/>
    </row>
    <row r="253">
      <c r="B253" s="106"/>
      <c r="C253" s="107"/>
    </row>
    <row r="254">
      <c r="B254" s="106"/>
      <c r="C254" s="107"/>
    </row>
    <row r="255">
      <c r="B255" s="106"/>
      <c r="C255" s="107"/>
    </row>
    <row r="256">
      <c r="B256" s="106"/>
      <c r="C256" s="107"/>
    </row>
    <row r="257">
      <c r="B257" s="106"/>
      <c r="C257" s="107"/>
    </row>
    <row r="258">
      <c r="B258" s="106"/>
      <c r="C258" s="107"/>
    </row>
    <row r="259">
      <c r="B259" s="106"/>
      <c r="C259" s="107"/>
    </row>
    <row r="260">
      <c r="B260" s="106"/>
      <c r="C260" s="107"/>
    </row>
    <row r="261">
      <c r="B261" s="106"/>
      <c r="C261" s="107"/>
    </row>
    <row r="262">
      <c r="B262" s="106"/>
      <c r="C262" s="107"/>
    </row>
    <row r="263">
      <c r="B263" s="106"/>
      <c r="C263" s="107"/>
    </row>
    <row r="264">
      <c r="B264" s="106"/>
      <c r="C264" s="107"/>
    </row>
    <row r="265">
      <c r="B265" s="106"/>
      <c r="C265" s="107"/>
    </row>
    <row r="266">
      <c r="B266" s="106"/>
      <c r="C266" s="107"/>
    </row>
    <row r="267">
      <c r="B267" s="106"/>
      <c r="C267" s="107"/>
    </row>
    <row r="268">
      <c r="B268" s="106"/>
      <c r="C268" s="107"/>
    </row>
    <row r="269">
      <c r="B269" s="106"/>
      <c r="C269" s="107"/>
    </row>
    <row r="270">
      <c r="B270" s="106"/>
      <c r="C270" s="107"/>
    </row>
    <row r="271">
      <c r="B271" s="106"/>
      <c r="C271" s="107"/>
    </row>
    <row r="272">
      <c r="B272" s="106"/>
      <c r="C272" s="107"/>
    </row>
    <row r="273">
      <c r="B273" s="106"/>
      <c r="C273" s="107"/>
    </row>
    <row r="274">
      <c r="B274" s="106"/>
      <c r="C274" s="107"/>
    </row>
    <row r="275">
      <c r="B275" s="106"/>
      <c r="C275" s="107"/>
    </row>
    <row r="276">
      <c r="B276" s="106"/>
      <c r="C276" s="107"/>
    </row>
    <row r="277">
      <c r="B277" s="106"/>
      <c r="C277" s="107"/>
    </row>
    <row r="278">
      <c r="B278" s="106"/>
      <c r="C278" s="107"/>
    </row>
    <row r="279">
      <c r="B279" s="106"/>
      <c r="C279" s="107"/>
    </row>
    <row r="280">
      <c r="B280" s="106"/>
      <c r="C280" s="107"/>
    </row>
    <row r="281">
      <c r="B281" s="106"/>
      <c r="C281" s="107"/>
    </row>
    <row r="282">
      <c r="B282" s="106"/>
      <c r="C282" s="107"/>
    </row>
    <row r="283">
      <c r="B283" s="106"/>
      <c r="C283" s="107"/>
    </row>
    <row r="284">
      <c r="B284" s="106"/>
      <c r="C284" s="107"/>
    </row>
    <row r="285">
      <c r="B285" s="106"/>
      <c r="C285" s="107"/>
    </row>
    <row r="286">
      <c r="B286" s="106"/>
      <c r="C286" s="107"/>
    </row>
    <row r="287">
      <c r="B287" s="106"/>
      <c r="C287" s="107"/>
    </row>
    <row r="288">
      <c r="B288" s="106"/>
      <c r="C288" s="107"/>
    </row>
    <row r="289">
      <c r="B289" s="106"/>
      <c r="C289" s="107"/>
    </row>
    <row r="290">
      <c r="B290" s="106"/>
      <c r="C290" s="107"/>
    </row>
    <row r="291">
      <c r="B291" s="106"/>
      <c r="C291" s="107"/>
    </row>
    <row r="292">
      <c r="B292" s="106"/>
      <c r="C292" s="107"/>
    </row>
    <row r="293">
      <c r="B293" s="106"/>
      <c r="C293" s="107"/>
    </row>
    <row r="294">
      <c r="B294" s="106"/>
      <c r="C294" s="107"/>
    </row>
    <row r="295">
      <c r="B295" s="106"/>
      <c r="C295" s="107"/>
    </row>
    <row r="296">
      <c r="B296" s="106"/>
      <c r="C296" s="107"/>
    </row>
    <row r="297">
      <c r="B297" s="106"/>
      <c r="C297" s="107"/>
    </row>
    <row r="298">
      <c r="B298" s="106"/>
      <c r="C298" s="107"/>
    </row>
    <row r="299">
      <c r="B299" s="106"/>
      <c r="C299" s="107"/>
    </row>
    <row r="300">
      <c r="B300" s="106"/>
      <c r="C300" s="107"/>
    </row>
    <row r="301">
      <c r="B301" s="106"/>
      <c r="C301" s="107"/>
    </row>
    <row r="302">
      <c r="B302" s="106"/>
      <c r="C302" s="107"/>
    </row>
    <row r="303">
      <c r="B303" s="106"/>
      <c r="C303" s="107"/>
    </row>
    <row r="304">
      <c r="B304" s="106"/>
      <c r="C304" s="107"/>
    </row>
    <row r="305">
      <c r="B305" s="106"/>
      <c r="C305" s="107"/>
    </row>
    <row r="306">
      <c r="B306" s="106"/>
      <c r="C306" s="107"/>
    </row>
    <row r="307">
      <c r="B307" s="106"/>
      <c r="C307" s="107"/>
    </row>
    <row r="308">
      <c r="B308" s="106"/>
      <c r="C308" s="107"/>
    </row>
    <row r="309">
      <c r="B309" s="106"/>
      <c r="C309" s="107"/>
    </row>
    <row r="310">
      <c r="B310" s="106"/>
      <c r="C310" s="107"/>
    </row>
    <row r="311">
      <c r="B311" s="106"/>
      <c r="C311" s="107"/>
    </row>
    <row r="312">
      <c r="B312" s="106"/>
      <c r="C312" s="107"/>
    </row>
    <row r="313">
      <c r="B313" s="106"/>
      <c r="C313" s="107"/>
    </row>
    <row r="314">
      <c r="B314" s="106"/>
      <c r="C314" s="107"/>
    </row>
    <row r="315">
      <c r="B315" s="106"/>
      <c r="C315" s="107"/>
    </row>
    <row r="316">
      <c r="B316" s="106"/>
      <c r="C316" s="107"/>
    </row>
    <row r="317">
      <c r="B317" s="106"/>
      <c r="C317" s="107"/>
    </row>
    <row r="318">
      <c r="B318" s="106"/>
      <c r="C318" s="107"/>
    </row>
    <row r="319">
      <c r="B319" s="106"/>
      <c r="C319" s="107"/>
    </row>
    <row r="320">
      <c r="B320" s="106"/>
      <c r="C320" s="107"/>
    </row>
    <row r="321">
      <c r="B321" s="106"/>
      <c r="C321" s="107"/>
    </row>
    <row r="322">
      <c r="B322" s="106"/>
      <c r="C322" s="107"/>
    </row>
    <row r="323">
      <c r="B323" s="106"/>
      <c r="C323" s="107"/>
    </row>
    <row r="324">
      <c r="B324" s="106"/>
      <c r="C324" s="107"/>
    </row>
    <row r="325">
      <c r="B325" s="106"/>
      <c r="C325" s="107"/>
    </row>
    <row r="326">
      <c r="B326" s="106"/>
      <c r="C326" s="107"/>
    </row>
    <row r="327">
      <c r="B327" s="106"/>
      <c r="C327" s="107"/>
    </row>
    <row r="328">
      <c r="B328" s="106"/>
      <c r="C328" s="107"/>
    </row>
    <row r="329">
      <c r="B329" s="106"/>
      <c r="C329" s="107"/>
    </row>
    <row r="330">
      <c r="B330" s="106"/>
      <c r="C330" s="107"/>
    </row>
    <row r="331">
      <c r="B331" s="106"/>
      <c r="C331" s="107"/>
    </row>
    <row r="332">
      <c r="B332" s="106"/>
      <c r="C332" s="107"/>
    </row>
    <row r="333">
      <c r="B333" s="106"/>
      <c r="C333" s="107"/>
    </row>
    <row r="334">
      <c r="B334" s="106"/>
      <c r="C334" s="107"/>
    </row>
    <row r="335">
      <c r="B335" s="106"/>
      <c r="C335" s="107"/>
    </row>
    <row r="336">
      <c r="B336" s="106"/>
      <c r="C336" s="107"/>
    </row>
    <row r="337">
      <c r="B337" s="106"/>
      <c r="C337" s="107"/>
    </row>
    <row r="338">
      <c r="B338" s="106"/>
      <c r="C338" s="107"/>
    </row>
    <row r="339">
      <c r="B339" s="106"/>
      <c r="C339" s="107"/>
    </row>
    <row r="340">
      <c r="B340" s="106"/>
      <c r="C340" s="107"/>
    </row>
    <row r="341">
      <c r="B341" s="106"/>
      <c r="C341" s="107"/>
    </row>
    <row r="342">
      <c r="B342" s="106"/>
      <c r="C342" s="107"/>
    </row>
    <row r="343">
      <c r="B343" s="106"/>
      <c r="C343" s="107"/>
    </row>
    <row r="344">
      <c r="B344" s="106"/>
      <c r="C344" s="107"/>
    </row>
    <row r="345">
      <c r="B345" s="106"/>
      <c r="C345" s="107"/>
    </row>
    <row r="346">
      <c r="B346" s="106"/>
      <c r="C346" s="107"/>
    </row>
    <row r="347">
      <c r="B347" s="106"/>
      <c r="C347" s="107"/>
    </row>
    <row r="348">
      <c r="B348" s="106"/>
      <c r="C348" s="107"/>
    </row>
    <row r="349">
      <c r="B349" s="106"/>
      <c r="C349" s="107"/>
    </row>
    <row r="350">
      <c r="B350" s="106"/>
      <c r="C350" s="107"/>
    </row>
    <row r="351">
      <c r="B351" s="106"/>
      <c r="C351" s="107"/>
    </row>
    <row r="352">
      <c r="B352" s="106"/>
      <c r="C352" s="107"/>
    </row>
    <row r="353">
      <c r="B353" s="106"/>
      <c r="C353" s="107"/>
    </row>
    <row r="354">
      <c r="B354" s="106"/>
      <c r="C354" s="107"/>
    </row>
    <row r="355">
      <c r="B355" s="106"/>
      <c r="C355" s="107"/>
    </row>
    <row r="356">
      <c r="B356" s="106"/>
      <c r="C356" s="107"/>
    </row>
    <row r="357">
      <c r="B357" s="106"/>
      <c r="C357" s="107"/>
    </row>
    <row r="358">
      <c r="B358" s="106"/>
      <c r="C358" s="107"/>
    </row>
    <row r="359">
      <c r="B359" s="106"/>
      <c r="C359" s="107"/>
    </row>
    <row r="360">
      <c r="B360" s="106"/>
      <c r="C360" s="107"/>
    </row>
    <row r="361">
      <c r="B361" s="106"/>
      <c r="C361" s="107"/>
    </row>
    <row r="362">
      <c r="B362" s="106"/>
      <c r="C362" s="107"/>
    </row>
    <row r="363">
      <c r="B363" s="106"/>
      <c r="C363" s="107"/>
    </row>
    <row r="364">
      <c r="B364" s="106"/>
      <c r="C364" s="107"/>
    </row>
    <row r="365">
      <c r="B365" s="106"/>
      <c r="C365" s="107"/>
    </row>
    <row r="366">
      <c r="B366" s="106"/>
      <c r="C366" s="107"/>
    </row>
    <row r="367">
      <c r="B367" s="106"/>
      <c r="C367" s="107"/>
    </row>
    <row r="368">
      <c r="B368" s="106"/>
      <c r="C368" s="107"/>
    </row>
    <row r="369">
      <c r="B369" s="106"/>
      <c r="C369" s="107"/>
    </row>
    <row r="370">
      <c r="B370" s="106"/>
      <c r="C370" s="107"/>
    </row>
    <row r="371">
      <c r="B371" s="106"/>
      <c r="C371" s="107"/>
    </row>
    <row r="372">
      <c r="B372" s="106"/>
      <c r="C372" s="107"/>
    </row>
    <row r="373">
      <c r="B373" s="106"/>
      <c r="C373" s="107"/>
    </row>
    <row r="374">
      <c r="B374" s="106"/>
      <c r="C374" s="107"/>
    </row>
    <row r="375">
      <c r="B375" s="106"/>
      <c r="C375" s="107"/>
    </row>
    <row r="376">
      <c r="B376" s="106"/>
      <c r="C376" s="107"/>
    </row>
    <row r="377">
      <c r="B377" s="106"/>
      <c r="C377" s="107"/>
    </row>
    <row r="378">
      <c r="B378" s="106"/>
      <c r="C378" s="107"/>
    </row>
    <row r="379">
      <c r="B379" s="106"/>
      <c r="C379" s="107"/>
    </row>
    <row r="380">
      <c r="B380" s="106"/>
      <c r="C380" s="107"/>
    </row>
    <row r="381">
      <c r="B381" s="106"/>
      <c r="C381" s="107"/>
    </row>
    <row r="382">
      <c r="B382" s="106"/>
      <c r="C382" s="107"/>
    </row>
    <row r="383">
      <c r="B383" s="106"/>
      <c r="C383" s="107"/>
    </row>
    <row r="384">
      <c r="B384" s="106"/>
      <c r="C384" s="107"/>
    </row>
    <row r="385">
      <c r="B385" s="106"/>
      <c r="C385" s="107"/>
    </row>
    <row r="386">
      <c r="B386" s="106"/>
      <c r="C386" s="107"/>
    </row>
    <row r="387">
      <c r="B387" s="106"/>
      <c r="C387" s="107"/>
    </row>
    <row r="388">
      <c r="B388" s="106"/>
      <c r="C388" s="107"/>
    </row>
    <row r="389">
      <c r="B389" s="106"/>
      <c r="C389" s="107"/>
    </row>
    <row r="390">
      <c r="B390" s="106"/>
      <c r="C390" s="107"/>
    </row>
    <row r="391">
      <c r="B391" s="106"/>
      <c r="C391" s="107"/>
    </row>
    <row r="392">
      <c r="B392" s="106"/>
      <c r="C392" s="107"/>
    </row>
    <row r="393">
      <c r="B393" s="106"/>
      <c r="C393" s="107"/>
    </row>
    <row r="394">
      <c r="B394" s="106"/>
      <c r="C394" s="107"/>
    </row>
    <row r="395">
      <c r="B395" s="106"/>
      <c r="C395" s="107"/>
    </row>
    <row r="396">
      <c r="B396" s="106"/>
      <c r="C396" s="107"/>
    </row>
    <row r="397">
      <c r="B397" s="106"/>
      <c r="C397" s="107"/>
    </row>
    <row r="398">
      <c r="B398" s="106"/>
      <c r="C398" s="107"/>
    </row>
    <row r="399">
      <c r="B399" s="106"/>
      <c r="C399" s="107"/>
    </row>
    <row r="400">
      <c r="B400" s="106"/>
      <c r="C400" s="107"/>
    </row>
    <row r="401">
      <c r="B401" s="106"/>
      <c r="C401" s="107"/>
    </row>
    <row r="402">
      <c r="B402" s="106"/>
      <c r="C402" s="107"/>
    </row>
    <row r="403">
      <c r="B403" s="106"/>
      <c r="C403" s="107"/>
    </row>
    <row r="404">
      <c r="B404" s="106"/>
      <c r="C404" s="107"/>
    </row>
    <row r="405">
      <c r="B405" s="106"/>
      <c r="C405" s="107"/>
    </row>
    <row r="406">
      <c r="B406" s="106"/>
      <c r="C406" s="107"/>
    </row>
    <row r="407">
      <c r="B407" s="106"/>
      <c r="C407" s="107"/>
    </row>
    <row r="408">
      <c r="B408" s="106"/>
      <c r="C408" s="107"/>
    </row>
    <row r="409">
      <c r="B409" s="106"/>
      <c r="C409" s="107"/>
    </row>
    <row r="410">
      <c r="B410" s="106"/>
      <c r="C410" s="107"/>
    </row>
    <row r="411">
      <c r="B411" s="106"/>
      <c r="C411" s="107"/>
    </row>
    <row r="412">
      <c r="B412" s="106"/>
      <c r="C412" s="107"/>
    </row>
    <row r="413">
      <c r="B413" s="106"/>
      <c r="C413" s="107"/>
    </row>
    <row r="414">
      <c r="B414" s="106"/>
      <c r="C414" s="107"/>
    </row>
    <row r="415">
      <c r="B415" s="106"/>
      <c r="C415" s="107"/>
    </row>
    <row r="416">
      <c r="B416" s="106"/>
      <c r="C416" s="107"/>
    </row>
    <row r="417">
      <c r="B417" s="106"/>
      <c r="C417" s="107"/>
    </row>
    <row r="418">
      <c r="B418" s="106"/>
      <c r="C418" s="107"/>
    </row>
    <row r="419">
      <c r="B419" s="106"/>
      <c r="C419" s="107"/>
    </row>
    <row r="420">
      <c r="B420" s="106"/>
      <c r="C420" s="107"/>
    </row>
    <row r="421">
      <c r="B421" s="106"/>
      <c r="C421" s="107"/>
    </row>
    <row r="422">
      <c r="B422" s="106"/>
      <c r="C422" s="107"/>
    </row>
    <row r="423">
      <c r="B423" s="106"/>
      <c r="C423" s="107"/>
    </row>
    <row r="424">
      <c r="B424" s="106"/>
      <c r="C424" s="107"/>
    </row>
    <row r="425">
      <c r="B425" s="106"/>
      <c r="C425" s="107"/>
    </row>
    <row r="426">
      <c r="B426" s="106"/>
      <c r="C426" s="107"/>
    </row>
    <row r="427">
      <c r="B427" s="106"/>
      <c r="C427" s="107"/>
    </row>
    <row r="428">
      <c r="B428" s="106"/>
      <c r="C428" s="107"/>
    </row>
    <row r="429">
      <c r="B429" s="106"/>
      <c r="C429" s="107"/>
    </row>
    <row r="430">
      <c r="B430" s="106"/>
      <c r="C430" s="107"/>
    </row>
    <row r="431">
      <c r="B431" s="106"/>
      <c r="C431" s="107"/>
    </row>
    <row r="432">
      <c r="B432" s="106"/>
      <c r="C432" s="107"/>
    </row>
    <row r="433">
      <c r="B433" s="106"/>
      <c r="C433" s="107"/>
    </row>
    <row r="434">
      <c r="B434" s="106"/>
      <c r="C434" s="107"/>
    </row>
    <row r="435">
      <c r="B435" s="106"/>
      <c r="C435" s="107"/>
    </row>
    <row r="436">
      <c r="B436" s="106"/>
      <c r="C436" s="107"/>
    </row>
    <row r="437">
      <c r="B437" s="106"/>
      <c r="C437" s="107"/>
    </row>
    <row r="438">
      <c r="B438" s="106"/>
      <c r="C438" s="107"/>
    </row>
    <row r="439">
      <c r="B439" s="106"/>
      <c r="C439" s="107"/>
    </row>
    <row r="440">
      <c r="B440" s="106"/>
      <c r="C440" s="107"/>
    </row>
    <row r="441">
      <c r="B441" s="106"/>
      <c r="C441" s="107"/>
    </row>
    <row r="442">
      <c r="B442" s="106"/>
      <c r="C442" s="107"/>
    </row>
    <row r="443">
      <c r="B443" s="106"/>
      <c r="C443" s="107"/>
    </row>
    <row r="444">
      <c r="B444" s="106"/>
      <c r="C444" s="107"/>
    </row>
    <row r="445">
      <c r="B445" s="106"/>
      <c r="C445" s="107"/>
    </row>
    <row r="446">
      <c r="B446" s="106"/>
      <c r="C446" s="107"/>
    </row>
    <row r="447">
      <c r="B447" s="106"/>
      <c r="C447" s="107"/>
    </row>
    <row r="448">
      <c r="B448" s="106"/>
      <c r="C448" s="107"/>
    </row>
    <row r="449">
      <c r="B449" s="106"/>
      <c r="C449" s="107"/>
    </row>
    <row r="450">
      <c r="B450" s="106"/>
      <c r="C450" s="107"/>
    </row>
    <row r="451">
      <c r="B451" s="106"/>
      <c r="C451" s="107"/>
    </row>
    <row r="452">
      <c r="B452" s="106"/>
      <c r="C452" s="107"/>
    </row>
    <row r="453">
      <c r="B453" s="106"/>
      <c r="C453" s="107"/>
    </row>
    <row r="454">
      <c r="B454" s="106"/>
      <c r="C454" s="107"/>
    </row>
    <row r="455">
      <c r="B455" s="106"/>
      <c r="C455" s="107"/>
    </row>
    <row r="456">
      <c r="B456" s="106"/>
      <c r="C456" s="107"/>
    </row>
    <row r="457">
      <c r="B457" s="106"/>
      <c r="C457" s="107"/>
    </row>
    <row r="458">
      <c r="B458" s="106"/>
      <c r="C458" s="107"/>
    </row>
    <row r="459">
      <c r="B459" s="106"/>
      <c r="C459" s="107"/>
    </row>
    <row r="460">
      <c r="B460" s="106"/>
      <c r="C460" s="107"/>
    </row>
    <row r="461">
      <c r="B461" s="106"/>
      <c r="C461" s="107"/>
    </row>
    <row r="462">
      <c r="B462" s="106"/>
      <c r="C462" s="107"/>
    </row>
    <row r="463">
      <c r="B463" s="106"/>
      <c r="C463" s="107"/>
    </row>
    <row r="464">
      <c r="B464" s="106"/>
      <c r="C464" s="107"/>
    </row>
    <row r="465">
      <c r="B465" s="106"/>
      <c r="C465" s="107"/>
    </row>
    <row r="466">
      <c r="B466" s="106"/>
      <c r="C466" s="107"/>
    </row>
    <row r="467">
      <c r="B467" s="106"/>
      <c r="C467" s="107"/>
    </row>
    <row r="468">
      <c r="B468" s="106"/>
      <c r="C468" s="107"/>
    </row>
    <row r="469">
      <c r="B469" s="106"/>
      <c r="C469" s="107"/>
    </row>
    <row r="470">
      <c r="B470" s="106"/>
      <c r="C470" s="107"/>
    </row>
    <row r="471">
      <c r="B471" s="106"/>
      <c r="C471" s="107"/>
    </row>
    <row r="472">
      <c r="B472" s="106"/>
      <c r="C472" s="107"/>
    </row>
    <row r="473">
      <c r="B473" s="106"/>
      <c r="C473" s="107"/>
    </row>
    <row r="474">
      <c r="B474" s="106"/>
      <c r="C474" s="107"/>
    </row>
    <row r="475">
      <c r="B475" s="106"/>
      <c r="C475" s="107"/>
    </row>
    <row r="476">
      <c r="B476" s="106"/>
      <c r="C476" s="107"/>
    </row>
    <row r="477">
      <c r="B477" s="106"/>
      <c r="C477" s="107"/>
    </row>
    <row r="478">
      <c r="B478" s="106"/>
      <c r="C478" s="107"/>
    </row>
    <row r="479">
      <c r="B479" s="106"/>
      <c r="C479" s="107"/>
    </row>
    <row r="480">
      <c r="B480" s="106"/>
      <c r="C480" s="107"/>
    </row>
    <row r="481">
      <c r="B481" s="106"/>
      <c r="C481" s="107"/>
    </row>
    <row r="482">
      <c r="B482" s="106"/>
      <c r="C482" s="107"/>
    </row>
    <row r="483">
      <c r="B483" s="106"/>
      <c r="C483" s="107"/>
    </row>
    <row r="484">
      <c r="B484" s="106"/>
      <c r="C484" s="107"/>
    </row>
    <row r="485">
      <c r="B485" s="106"/>
      <c r="C485" s="107"/>
    </row>
    <row r="486">
      <c r="B486" s="106"/>
      <c r="C486" s="107"/>
    </row>
    <row r="487">
      <c r="B487" s="106"/>
      <c r="C487" s="107"/>
    </row>
    <row r="488">
      <c r="B488" s="106"/>
      <c r="C488" s="107"/>
    </row>
    <row r="489">
      <c r="B489" s="106"/>
      <c r="C489" s="107"/>
    </row>
    <row r="490">
      <c r="B490" s="106"/>
      <c r="C490" s="107"/>
    </row>
    <row r="491">
      <c r="B491" s="106"/>
      <c r="C491" s="107"/>
    </row>
    <row r="492">
      <c r="B492" s="106"/>
      <c r="C492" s="107"/>
    </row>
    <row r="493">
      <c r="B493" s="106"/>
      <c r="C493" s="107"/>
    </row>
    <row r="494">
      <c r="B494" s="106"/>
      <c r="C494" s="107"/>
    </row>
    <row r="495">
      <c r="B495" s="106"/>
      <c r="C495" s="107"/>
    </row>
    <row r="496">
      <c r="B496" s="106"/>
      <c r="C496" s="107"/>
    </row>
    <row r="497">
      <c r="B497" s="106"/>
      <c r="C497" s="107"/>
    </row>
    <row r="498">
      <c r="B498" s="106"/>
      <c r="C498" s="107"/>
    </row>
    <row r="499">
      <c r="B499" s="106"/>
      <c r="C499" s="107"/>
    </row>
    <row r="500">
      <c r="B500" s="106"/>
      <c r="C500" s="107"/>
    </row>
    <row r="501">
      <c r="B501" s="106"/>
      <c r="C501" s="107"/>
    </row>
    <row r="502">
      <c r="B502" s="106"/>
      <c r="C502" s="107"/>
    </row>
    <row r="503">
      <c r="B503" s="106"/>
      <c r="C503" s="107"/>
    </row>
    <row r="504">
      <c r="B504" s="106"/>
      <c r="C504" s="107"/>
    </row>
    <row r="505">
      <c r="B505" s="106"/>
      <c r="C505" s="107"/>
    </row>
    <row r="506">
      <c r="B506" s="106"/>
      <c r="C506" s="107"/>
    </row>
    <row r="507">
      <c r="B507" s="106"/>
      <c r="C507" s="107"/>
    </row>
    <row r="508">
      <c r="B508" s="106"/>
      <c r="C508" s="107"/>
    </row>
    <row r="509">
      <c r="B509" s="106"/>
      <c r="C509" s="107"/>
    </row>
    <row r="510">
      <c r="B510" s="106"/>
      <c r="C510" s="107"/>
    </row>
    <row r="511">
      <c r="B511" s="106"/>
      <c r="C511" s="107"/>
    </row>
    <row r="512">
      <c r="B512" s="106"/>
      <c r="C512" s="107"/>
    </row>
    <row r="513">
      <c r="B513" s="106"/>
      <c r="C513" s="107"/>
    </row>
    <row r="514">
      <c r="B514" s="106"/>
      <c r="C514" s="107"/>
    </row>
    <row r="515">
      <c r="B515" s="106"/>
      <c r="C515" s="107"/>
    </row>
    <row r="516">
      <c r="B516" s="106"/>
      <c r="C516" s="107"/>
    </row>
    <row r="517">
      <c r="B517" s="106"/>
      <c r="C517" s="107"/>
    </row>
    <row r="518">
      <c r="B518" s="106"/>
      <c r="C518" s="107"/>
    </row>
    <row r="519">
      <c r="B519" s="106"/>
      <c r="C519" s="107"/>
    </row>
    <row r="520">
      <c r="B520" s="106"/>
      <c r="C520" s="107"/>
    </row>
    <row r="521">
      <c r="B521" s="106"/>
      <c r="C521" s="107"/>
    </row>
    <row r="522">
      <c r="B522" s="106"/>
      <c r="C522" s="107"/>
    </row>
    <row r="523">
      <c r="B523" s="106"/>
      <c r="C523" s="107"/>
    </row>
    <row r="524">
      <c r="B524" s="106"/>
      <c r="C524" s="107"/>
    </row>
    <row r="525">
      <c r="B525" s="106"/>
      <c r="C525" s="107"/>
    </row>
    <row r="526">
      <c r="B526" s="106"/>
      <c r="C526" s="107"/>
    </row>
    <row r="527">
      <c r="B527" s="106"/>
      <c r="C527" s="107"/>
    </row>
    <row r="528">
      <c r="B528" s="106"/>
      <c r="C528" s="107"/>
    </row>
    <row r="529">
      <c r="B529" s="106"/>
      <c r="C529" s="107"/>
    </row>
    <row r="530">
      <c r="B530" s="106"/>
      <c r="C530" s="107"/>
    </row>
    <row r="531">
      <c r="B531" s="106"/>
      <c r="C531" s="107"/>
    </row>
    <row r="532">
      <c r="B532" s="106"/>
      <c r="C532" s="107"/>
    </row>
    <row r="533">
      <c r="B533" s="106"/>
      <c r="C533" s="107"/>
    </row>
    <row r="534">
      <c r="B534" s="106"/>
      <c r="C534" s="107"/>
    </row>
    <row r="535">
      <c r="B535" s="106"/>
      <c r="C535" s="107"/>
    </row>
    <row r="536">
      <c r="B536" s="106"/>
      <c r="C536" s="107"/>
    </row>
    <row r="537">
      <c r="B537" s="106"/>
      <c r="C537" s="107"/>
    </row>
    <row r="538">
      <c r="B538" s="106"/>
      <c r="C538" s="107"/>
    </row>
    <row r="539">
      <c r="B539" s="106"/>
      <c r="C539" s="107"/>
    </row>
    <row r="540">
      <c r="B540" s="106"/>
      <c r="C540" s="107"/>
    </row>
    <row r="541">
      <c r="B541" s="106"/>
      <c r="C541" s="107"/>
    </row>
    <row r="542">
      <c r="B542" s="106"/>
      <c r="C542" s="107"/>
    </row>
    <row r="543">
      <c r="B543" s="106"/>
      <c r="C543" s="107"/>
    </row>
    <row r="544">
      <c r="B544" s="106"/>
      <c r="C544" s="107"/>
    </row>
    <row r="545">
      <c r="B545" s="106"/>
      <c r="C545" s="107"/>
    </row>
    <row r="546">
      <c r="B546" s="106"/>
      <c r="C546" s="107"/>
    </row>
    <row r="547">
      <c r="B547" s="106"/>
      <c r="C547" s="107"/>
    </row>
    <row r="548">
      <c r="B548" s="106"/>
      <c r="C548" s="107"/>
    </row>
    <row r="549">
      <c r="B549" s="106"/>
      <c r="C549" s="107"/>
    </row>
    <row r="550">
      <c r="B550" s="106"/>
      <c r="C550" s="107"/>
    </row>
    <row r="551">
      <c r="B551" s="106"/>
      <c r="C551" s="107"/>
    </row>
    <row r="552">
      <c r="B552" s="106"/>
      <c r="C552" s="107"/>
    </row>
    <row r="553">
      <c r="B553" s="106"/>
      <c r="C553" s="107"/>
    </row>
    <row r="554">
      <c r="B554" s="106"/>
      <c r="C554" s="107"/>
    </row>
    <row r="555">
      <c r="B555" s="106"/>
      <c r="C555" s="107"/>
    </row>
    <row r="556">
      <c r="B556" s="106"/>
      <c r="C556" s="107"/>
    </row>
    <row r="557">
      <c r="B557" s="106"/>
      <c r="C557" s="107"/>
    </row>
    <row r="558">
      <c r="B558" s="106"/>
      <c r="C558" s="107"/>
    </row>
    <row r="559">
      <c r="B559" s="106"/>
      <c r="C559" s="107"/>
    </row>
    <row r="560">
      <c r="B560" s="106"/>
      <c r="C560" s="107"/>
    </row>
    <row r="561">
      <c r="B561" s="106"/>
      <c r="C561" s="107"/>
    </row>
    <row r="562">
      <c r="B562" s="106"/>
      <c r="C562" s="107"/>
    </row>
    <row r="563">
      <c r="B563" s="106"/>
      <c r="C563" s="107"/>
    </row>
    <row r="564">
      <c r="B564" s="106"/>
      <c r="C564" s="107"/>
    </row>
    <row r="565">
      <c r="B565" s="106"/>
      <c r="C565" s="107"/>
    </row>
    <row r="566">
      <c r="B566" s="106"/>
      <c r="C566" s="107"/>
    </row>
    <row r="567">
      <c r="B567" s="106"/>
      <c r="C567" s="107"/>
    </row>
    <row r="568">
      <c r="B568" s="106"/>
      <c r="C568" s="107"/>
    </row>
    <row r="569">
      <c r="B569" s="106"/>
      <c r="C569" s="107"/>
    </row>
    <row r="570">
      <c r="B570" s="106"/>
      <c r="C570" s="107"/>
    </row>
    <row r="571">
      <c r="B571" s="106"/>
      <c r="C571" s="107"/>
    </row>
    <row r="572">
      <c r="B572" s="106"/>
      <c r="C572" s="107"/>
    </row>
    <row r="573">
      <c r="B573" s="106"/>
      <c r="C573" s="107"/>
    </row>
    <row r="574">
      <c r="B574" s="106"/>
      <c r="C574" s="107"/>
    </row>
    <row r="575">
      <c r="B575" s="106"/>
      <c r="C575" s="107"/>
    </row>
    <row r="576">
      <c r="B576" s="106"/>
      <c r="C576" s="107"/>
    </row>
    <row r="577">
      <c r="B577" s="106"/>
      <c r="C577" s="107"/>
    </row>
    <row r="578">
      <c r="B578" s="106"/>
      <c r="C578" s="107"/>
    </row>
    <row r="579">
      <c r="B579" s="106"/>
      <c r="C579" s="107"/>
    </row>
    <row r="580">
      <c r="B580" s="106"/>
      <c r="C580" s="107"/>
    </row>
    <row r="581">
      <c r="B581" s="106"/>
      <c r="C581" s="107"/>
    </row>
    <row r="582">
      <c r="B582" s="106"/>
      <c r="C582" s="107"/>
    </row>
    <row r="583">
      <c r="B583" s="106"/>
      <c r="C583" s="107"/>
    </row>
    <row r="584">
      <c r="B584" s="106"/>
      <c r="C584" s="107"/>
    </row>
    <row r="585">
      <c r="B585" s="106"/>
      <c r="C585" s="107"/>
    </row>
    <row r="586">
      <c r="B586" s="106"/>
      <c r="C586" s="107"/>
    </row>
    <row r="587">
      <c r="B587" s="106"/>
      <c r="C587" s="107"/>
    </row>
    <row r="588">
      <c r="B588" s="106"/>
      <c r="C588" s="107"/>
    </row>
    <row r="589">
      <c r="B589" s="106"/>
      <c r="C589" s="107"/>
    </row>
    <row r="590">
      <c r="B590" s="106"/>
      <c r="C590" s="107"/>
    </row>
    <row r="591">
      <c r="B591" s="106"/>
      <c r="C591" s="107"/>
    </row>
    <row r="592">
      <c r="B592" s="106"/>
      <c r="C592" s="107"/>
    </row>
    <row r="593">
      <c r="B593" s="106"/>
      <c r="C593" s="107"/>
    </row>
    <row r="594">
      <c r="B594" s="106"/>
      <c r="C594" s="107"/>
    </row>
    <row r="595">
      <c r="B595" s="106"/>
      <c r="C595" s="107"/>
    </row>
    <row r="596">
      <c r="B596" s="106"/>
      <c r="C596" s="107"/>
    </row>
    <row r="597">
      <c r="B597" s="106"/>
      <c r="C597" s="107"/>
    </row>
    <row r="598">
      <c r="B598" s="106"/>
      <c r="C598" s="107"/>
    </row>
    <row r="599">
      <c r="B599" s="106"/>
      <c r="C599" s="107"/>
    </row>
    <row r="600">
      <c r="B600" s="106"/>
      <c r="C600" s="107"/>
    </row>
    <row r="601">
      <c r="B601" s="106"/>
      <c r="C601" s="107"/>
    </row>
    <row r="602">
      <c r="B602" s="106"/>
      <c r="C602" s="107"/>
    </row>
    <row r="603">
      <c r="B603" s="106"/>
      <c r="C603" s="107"/>
    </row>
    <row r="604">
      <c r="B604" s="106"/>
      <c r="C604" s="107"/>
    </row>
    <row r="605">
      <c r="B605" s="106"/>
      <c r="C605" s="107"/>
    </row>
    <row r="606">
      <c r="B606" s="106"/>
      <c r="C606" s="107"/>
    </row>
    <row r="607">
      <c r="B607" s="106"/>
      <c r="C607" s="107"/>
    </row>
    <row r="608">
      <c r="B608" s="106"/>
      <c r="C608" s="107"/>
    </row>
    <row r="609">
      <c r="B609" s="106"/>
      <c r="C609" s="107"/>
    </row>
    <row r="610">
      <c r="B610" s="106"/>
      <c r="C610" s="107"/>
    </row>
    <row r="611">
      <c r="B611" s="106"/>
      <c r="C611" s="107"/>
    </row>
    <row r="612">
      <c r="B612" s="106"/>
      <c r="C612" s="107"/>
    </row>
    <row r="613">
      <c r="B613" s="106"/>
      <c r="C613" s="107"/>
    </row>
    <row r="614">
      <c r="B614" s="106"/>
      <c r="C614" s="107"/>
    </row>
    <row r="615">
      <c r="B615" s="106"/>
      <c r="C615" s="107"/>
    </row>
    <row r="616">
      <c r="B616" s="106"/>
      <c r="C616" s="107"/>
    </row>
    <row r="617">
      <c r="B617" s="106"/>
      <c r="C617" s="107"/>
    </row>
    <row r="618">
      <c r="B618" s="106"/>
      <c r="C618" s="107"/>
    </row>
    <row r="619">
      <c r="B619" s="106"/>
      <c r="C619" s="107"/>
    </row>
    <row r="620">
      <c r="B620" s="106"/>
      <c r="C620" s="107"/>
    </row>
    <row r="621">
      <c r="B621" s="106"/>
      <c r="C621" s="107"/>
    </row>
    <row r="622">
      <c r="B622" s="106"/>
      <c r="C622" s="107"/>
    </row>
    <row r="623">
      <c r="B623" s="106"/>
      <c r="C623" s="107"/>
    </row>
    <row r="624">
      <c r="B624" s="106"/>
      <c r="C624" s="107"/>
    </row>
    <row r="625">
      <c r="B625" s="106"/>
      <c r="C625" s="107"/>
    </row>
    <row r="626">
      <c r="B626" s="106"/>
      <c r="C626" s="107"/>
    </row>
    <row r="627">
      <c r="B627" s="106"/>
      <c r="C627" s="107"/>
    </row>
    <row r="628">
      <c r="B628" s="106"/>
      <c r="C628" s="107"/>
    </row>
    <row r="629">
      <c r="B629" s="106"/>
      <c r="C629" s="107"/>
    </row>
    <row r="630">
      <c r="B630" s="106"/>
      <c r="C630" s="107"/>
    </row>
    <row r="631">
      <c r="B631" s="106"/>
      <c r="C631" s="107"/>
    </row>
    <row r="632">
      <c r="B632" s="106"/>
      <c r="C632" s="107"/>
    </row>
    <row r="633">
      <c r="B633" s="106"/>
      <c r="C633" s="107"/>
    </row>
    <row r="634">
      <c r="B634" s="106"/>
      <c r="C634" s="107"/>
    </row>
    <row r="635">
      <c r="B635" s="106"/>
      <c r="C635" s="107"/>
    </row>
    <row r="636">
      <c r="B636" s="106"/>
      <c r="C636" s="107"/>
    </row>
    <row r="637">
      <c r="B637" s="106"/>
      <c r="C637" s="107"/>
    </row>
    <row r="638">
      <c r="B638" s="106"/>
      <c r="C638" s="107"/>
    </row>
    <row r="639">
      <c r="B639" s="106"/>
      <c r="C639" s="107"/>
    </row>
    <row r="640">
      <c r="B640" s="106"/>
      <c r="C640" s="107"/>
    </row>
    <row r="641">
      <c r="B641" s="106"/>
      <c r="C641" s="107"/>
    </row>
    <row r="642">
      <c r="B642" s="106"/>
      <c r="C642" s="107"/>
    </row>
    <row r="643">
      <c r="B643" s="106"/>
      <c r="C643" s="107"/>
    </row>
    <row r="644">
      <c r="B644" s="106"/>
      <c r="C644" s="107"/>
    </row>
    <row r="645">
      <c r="B645" s="106"/>
      <c r="C645" s="107"/>
    </row>
    <row r="646">
      <c r="B646" s="106"/>
      <c r="C646" s="107"/>
    </row>
    <row r="647">
      <c r="B647" s="106"/>
      <c r="C647" s="107"/>
    </row>
    <row r="648">
      <c r="B648" s="106"/>
      <c r="C648" s="107"/>
    </row>
    <row r="649">
      <c r="B649" s="106"/>
      <c r="C649" s="107"/>
    </row>
    <row r="650">
      <c r="B650" s="106"/>
      <c r="C650" s="107"/>
    </row>
    <row r="651">
      <c r="B651" s="106"/>
      <c r="C651" s="107"/>
    </row>
    <row r="652">
      <c r="B652" s="106"/>
      <c r="C652" s="107"/>
    </row>
    <row r="653">
      <c r="B653" s="106"/>
      <c r="C653" s="107"/>
    </row>
    <row r="654">
      <c r="B654" s="106"/>
      <c r="C654" s="107"/>
    </row>
    <row r="655">
      <c r="B655" s="106"/>
      <c r="C655" s="107"/>
    </row>
    <row r="656">
      <c r="B656" s="106"/>
      <c r="C656" s="107"/>
    </row>
    <row r="657">
      <c r="B657" s="106"/>
      <c r="C657" s="107"/>
    </row>
    <row r="658">
      <c r="B658" s="106"/>
      <c r="C658" s="107"/>
    </row>
    <row r="659">
      <c r="B659" s="106"/>
      <c r="C659" s="107"/>
    </row>
    <row r="660">
      <c r="B660" s="106"/>
      <c r="C660" s="107"/>
    </row>
    <row r="661">
      <c r="B661" s="106"/>
      <c r="C661" s="107"/>
    </row>
    <row r="662">
      <c r="B662" s="106"/>
      <c r="C662" s="107"/>
    </row>
    <row r="663">
      <c r="B663" s="106"/>
      <c r="C663" s="107"/>
    </row>
    <row r="664">
      <c r="B664" s="106"/>
      <c r="C664" s="107"/>
    </row>
    <row r="665">
      <c r="B665" s="106"/>
      <c r="C665" s="107"/>
    </row>
    <row r="666">
      <c r="B666" s="106"/>
      <c r="C666" s="107"/>
    </row>
    <row r="667">
      <c r="B667" s="106"/>
      <c r="C667" s="107"/>
    </row>
    <row r="668">
      <c r="B668" s="106"/>
      <c r="C668" s="107"/>
    </row>
    <row r="669">
      <c r="B669" s="106"/>
      <c r="C669" s="107"/>
    </row>
    <row r="670">
      <c r="B670" s="106"/>
      <c r="C670" s="107"/>
    </row>
    <row r="671">
      <c r="B671" s="106"/>
      <c r="C671" s="107"/>
    </row>
    <row r="672">
      <c r="B672" s="106"/>
      <c r="C672" s="107"/>
    </row>
    <row r="673">
      <c r="B673" s="106"/>
      <c r="C673" s="107"/>
    </row>
    <row r="674">
      <c r="B674" s="106"/>
      <c r="C674" s="107"/>
    </row>
    <row r="675">
      <c r="B675" s="106"/>
      <c r="C675" s="107"/>
    </row>
    <row r="676">
      <c r="B676" s="106"/>
      <c r="C676" s="107"/>
    </row>
    <row r="677">
      <c r="B677" s="106"/>
      <c r="C677" s="107"/>
    </row>
    <row r="678">
      <c r="B678" s="106"/>
      <c r="C678" s="107"/>
    </row>
    <row r="679">
      <c r="B679" s="106"/>
      <c r="C679" s="107"/>
    </row>
    <row r="680">
      <c r="B680" s="106"/>
      <c r="C680" s="107"/>
    </row>
    <row r="681">
      <c r="B681" s="106"/>
      <c r="C681" s="107"/>
    </row>
    <row r="682">
      <c r="B682" s="106"/>
      <c r="C682" s="107"/>
    </row>
    <row r="683">
      <c r="B683" s="106"/>
      <c r="C683" s="107"/>
    </row>
    <row r="684">
      <c r="B684" s="106"/>
      <c r="C684" s="107"/>
    </row>
    <row r="685">
      <c r="B685" s="106"/>
      <c r="C685" s="107"/>
    </row>
    <row r="686">
      <c r="B686" s="106"/>
      <c r="C686" s="107"/>
    </row>
    <row r="687">
      <c r="B687" s="106"/>
      <c r="C687" s="107"/>
    </row>
    <row r="688">
      <c r="B688" s="106"/>
      <c r="C688" s="107"/>
    </row>
    <row r="689">
      <c r="B689" s="106"/>
      <c r="C689" s="107"/>
    </row>
    <row r="690">
      <c r="B690" s="106"/>
      <c r="C690" s="107"/>
    </row>
    <row r="691">
      <c r="B691" s="106"/>
      <c r="C691" s="107"/>
    </row>
    <row r="692">
      <c r="B692" s="106"/>
      <c r="C692" s="107"/>
    </row>
    <row r="693">
      <c r="B693" s="106"/>
      <c r="C693" s="107"/>
    </row>
    <row r="694">
      <c r="B694" s="106"/>
      <c r="C694" s="107"/>
    </row>
    <row r="695">
      <c r="B695" s="106"/>
      <c r="C695" s="107"/>
    </row>
    <row r="696">
      <c r="B696" s="106"/>
      <c r="C696" s="107"/>
    </row>
    <row r="697">
      <c r="B697" s="106"/>
      <c r="C697" s="107"/>
    </row>
    <row r="698">
      <c r="B698" s="106"/>
      <c r="C698" s="107"/>
    </row>
    <row r="699">
      <c r="B699" s="106"/>
      <c r="C699" s="107"/>
    </row>
    <row r="700">
      <c r="B700" s="106"/>
      <c r="C700" s="107"/>
    </row>
    <row r="701">
      <c r="B701" s="106"/>
      <c r="C701" s="107"/>
    </row>
    <row r="702">
      <c r="B702" s="106"/>
      <c r="C702" s="107"/>
    </row>
    <row r="703">
      <c r="B703" s="106"/>
      <c r="C703" s="107"/>
    </row>
    <row r="704">
      <c r="B704" s="106"/>
      <c r="C704" s="107"/>
    </row>
    <row r="705">
      <c r="B705" s="106"/>
      <c r="C705" s="107"/>
    </row>
    <row r="706">
      <c r="B706" s="106"/>
      <c r="C706" s="107"/>
    </row>
    <row r="707">
      <c r="B707" s="106"/>
      <c r="C707" s="107"/>
    </row>
    <row r="708">
      <c r="B708" s="106"/>
      <c r="C708" s="107"/>
    </row>
    <row r="709">
      <c r="B709" s="106"/>
      <c r="C709" s="107"/>
    </row>
    <row r="710">
      <c r="B710" s="106"/>
      <c r="C710" s="107"/>
    </row>
    <row r="711">
      <c r="B711" s="106"/>
      <c r="C711" s="107"/>
    </row>
    <row r="712">
      <c r="B712" s="106"/>
      <c r="C712" s="107"/>
    </row>
    <row r="713">
      <c r="B713" s="106"/>
      <c r="C713" s="107"/>
    </row>
    <row r="714">
      <c r="B714" s="106"/>
      <c r="C714" s="107"/>
    </row>
    <row r="715">
      <c r="B715" s="106"/>
      <c r="C715" s="107"/>
    </row>
    <row r="716">
      <c r="B716" s="106"/>
      <c r="C716" s="107"/>
    </row>
    <row r="717">
      <c r="B717" s="106"/>
      <c r="C717" s="107"/>
    </row>
    <row r="718">
      <c r="B718" s="106"/>
      <c r="C718" s="107"/>
    </row>
    <row r="719">
      <c r="B719" s="106"/>
      <c r="C719" s="107"/>
    </row>
    <row r="720">
      <c r="B720" s="106"/>
      <c r="C720" s="107"/>
    </row>
    <row r="721">
      <c r="B721" s="106"/>
      <c r="C721" s="107"/>
    </row>
    <row r="722">
      <c r="B722" s="106"/>
      <c r="C722" s="107"/>
    </row>
    <row r="723">
      <c r="B723" s="106"/>
      <c r="C723" s="107"/>
    </row>
    <row r="724">
      <c r="B724" s="106"/>
      <c r="C724" s="107"/>
    </row>
    <row r="725">
      <c r="B725" s="106"/>
      <c r="C725" s="107"/>
    </row>
    <row r="726">
      <c r="B726" s="106"/>
      <c r="C726" s="107"/>
    </row>
    <row r="727">
      <c r="B727" s="106"/>
      <c r="C727" s="107"/>
    </row>
    <row r="728">
      <c r="B728" s="106"/>
      <c r="C728" s="107"/>
    </row>
    <row r="729">
      <c r="B729" s="106"/>
      <c r="C729" s="107"/>
    </row>
    <row r="730">
      <c r="B730" s="106"/>
      <c r="C730" s="107"/>
    </row>
    <row r="731">
      <c r="B731" s="106"/>
      <c r="C731" s="107"/>
    </row>
    <row r="732">
      <c r="B732" s="106"/>
      <c r="C732" s="107"/>
    </row>
    <row r="733">
      <c r="B733" s="106"/>
      <c r="C733" s="107"/>
    </row>
    <row r="734">
      <c r="B734" s="106"/>
      <c r="C734" s="107"/>
    </row>
    <row r="735">
      <c r="B735" s="106"/>
      <c r="C735" s="107"/>
    </row>
    <row r="736">
      <c r="B736" s="106"/>
      <c r="C736" s="107"/>
    </row>
    <row r="737">
      <c r="B737" s="106"/>
      <c r="C737" s="107"/>
    </row>
    <row r="738">
      <c r="B738" s="106"/>
      <c r="C738" s="107"/>
    </row>
    <row r="739">
      <c r="B739" s="106"/>
      <c r="C739" s="107"/>
    </row>
    <row r="740">
      <c r="B740" s="106"/>
      <c r="C740" s="107"/>
    </row>
    <row r="741">
      <c r="B741" s="106"/>
      <c r="C741" s="107"/>
    </row>
    <row r="742">
      <c r="B742" s="106"/>
      <c r="C742" s="107"/>
    </row>
    <row r="743">
      <c r="B743" s="106"/>
      <c r="C743" s="107"/>
    </row>
    <row r="744">
      <c r="B744" s="106"/>
      <c r="C744" s="107"/>
    </row>
    <row r="745">
      <c r="B745" s="106"/>
      <c r="C745" s="107"/>
    </row>
    <row r="746">
      <c r="B746" s="106"/>
      <c r="C746" s="107"/>
    </row>
    <row r="747">
      <c r="B747" s="106"/>
      <c r="C747" s="107"/>
    </row>
    <row r="748">
      <c r="B748" s="106"/>
      <c r="C748" s="107"/>
    </row>
    <row r="749">
      <c r="B749" s="106"/>
      <c r="C749" s="107"/>
    </row>
    <row r="750">
      <c r="B750" s="106"/>
      <c r="C750" s="107"/>
    </row>
    <row r="751">
      <c r="B751" s="106"/>
      <c r="C751" s="107"/>
    </row>
    <row r="752">
      <c r="B752" s="106"/>
      <c r="C752" s="107"/>
    </row>
    <row r="753">
      <c r="B753" s="106"/>
      <c r="C753" s="107"/>
    </row>
    <row r="754">
      <c r="B754" s="106"/>
      <c r="C754" s="107"/>
    </row>
    <row r="755">
      <c r="B755" s="106"/>
      <c r="C755" s="107"/>
    </row>
    <row r="756">
      <c r="B756" s="106"/>
      <c r="C756" s="107"/>
    </row>
    <row r="757">
      <c r="B757" s="106"/>
      <c r="C757" s="107"/>
    </row>
    <row r="758">
      <c r="B758" s="106"/>
      <c r="C758" s="107"/>
    </row>
    <row r="759">
      <c r="B759" s="106"/>
      <c r="C759" s="107"/>
    </row>
    <row r="760">
      <c r="B760" s="106"/>
      <c r="C760" s="107"/>
    </row>
    <row r="761">
      <c r="B761" s="106"/>
      <c r="C761" s="107"/>
    </row>
    <row r="762">
      <c r="B762" s="106"/>
      <c r="C762" s="107"/>
    </row>
    <row r="763">
      <c r="B763" s="106"/>
      <c r="C763" s="107"/>
    </row>
    <row r="764">
      <c r="B764" s="106"/>
      <c r="C764" s="107"/>
    </row>
    <row r="765">
      <c r="B765" s="106"/>
      <c r="C765" s="107"/>
    </row>
    <row r="766">
      <c r="B766" s="106"/>
      <c r="C766" s="107"/>
    </row>
    <row r="767">
      <c r="B767" s="106"/>
      <c r="C767" s="107"/>
    </row>
    <row r="768">
      <c r="B768" s="106"/>
      <c r="C768" s="107"/>
    </row>
    <row r="769">
      <c r="B769" s="106"/>
      <c r="C769" s="107"/>
    </row>
    <row r="770">
      <c r="B770" s="106"/>
      <c r="C770" s="107"/>
    </row>
    <row r="771">
      <c r="B771" s="106"/>
      <c r="C771" s="107"/>
    </row>
    <row r="772">
      <c r="B772" s="106"/>
      <c r="C772" s="107"/>
    </row>
    <row r="773">
      <c r="B773" s="106"/>
      <c r="C773" s="107"/>
    </row>
    <row r="774">
      <c r="B774" s="106"/>
      <c r="C774" s="107"/>
    </row>
    <row r="775">
      <c r="B775" s="106"/>
      <c r="C775" s="107"/>
    </row>
    <row r="776">
      <c r="B776" s="106"/>
      <c r="C776" s="107"/>
    </row>
    <row r="777">
      <c r="B777" s="106"/>
      <c r="C777" s="107"/>
    </row>
    <row r="778">
      <c r="B778" s="106"/>
      <c r="C778" s="107"/>
    </row>
    <row r="779">
      <c r="B779" s="106"/>
      <c r="C779" s="107"/>
    </row>
    <row r="780">
      <c r="B780" s="106"/>
      <c r="C780" s="107"/>
    </row>
    <row r="781">
      <c r="B781" s="106"/>
      <c r="C781" s="107"/>
    </row>
    <row r="782">
      <c r="B782" s="106"/>
      <c r="C782" s="107"/>
    </row>
    <row r="783">
      <c r="B783" s="106"/>
      <c r="C783" s="107"/>
    </row>
    <row r="784">
      <c r="B784" s="106"/>
      <c r="C784" s="107"/>
    </row>
    <row r="785">
      <c r="B785" s="106"/>
      <c r="C785" s="107"/>
    </row>
    <row r="786">
      <c r="B786" s="106"/>
      <c r="C786" s="107"/>
    </row>
    <row r="787">
      <c r="B787" s="106"/>
      <c r="C787" s="107"/>
    </row>
    <row r="788">
      <c r="B788" s="106"/>
      <c r="C788" s="107"/>
    </row>
    <row r="789">
      <c r="B789" s="106"/>
      <c r="C789" s="107"/>
    </row>
    <row r="790">
      <c r="B790" s="106"/>
      <c r="C790" s="107"/>
    </row>
    <row r="791">
      <c r="B791" s="106"/>
      <c r="C791" s="107"/>
    </row>
    <row r="792">
      <c r="B792" s="106"/>
      <c r="C792" s="107"/>
    </row>
    <row r="793">
      <c r="B793" s="106"/>
      <c r="C793" s="107"/>
    </row>
    <row r="794">
      <c r="B794" s="106"/>
      <c r="C794" s="107"/>
    </row>
    <row r="795">
      <c r="B795" s="106"/>
      <c r="C795" s="107"/>
    </row>
    <row r="796">
      <c r="B796" s="106"/>
      <c r="C796" s="107"/>
    </row>
    <row r="797">
      <c r="B797" s="106"/>
      <c r="C797" s="107"/>
    </row>
    <row r="798">
      <c r="B798" s="106"/>
      <c r="C798" s="107"/>
    </row>
    <row r="799">
      <c r="B799" s="106"/>
      <c r="C799" s="107"/>
    </row>
    <row r="800">
      <c r="B800" s="106"/>
      <c r="C800" s="107"/>
    </row>
    <row r="801">
      <c r="B801" s="106"/>
      <c r="C801" s="107"/>
    </row>
    <row r="802">
      <c r="B802" s="106"/>
      <c r="C802" s="107"/>
    </row>
    <row r="803">
      <c r="B803" s="106"/>
      <c r="C803" s="107"/>
    </row>
    <row r="804">
      <c r="B804" s="106"/>
      <c r="C804" s="107"/>
    </row>
    <row r="805">
      <c r="B805" s="106"/>
      <c r="C805" s="107"/>
    </row>
    <row r="806">
      <c r="B806" s="106"/>
      <c r="C806" s="107"/>
    </row>
    <row r="807">
      <c r="B807" s="106"/>
      <c r="C807" s="107"/>
    </row>
    <row r="808">
      <c r="B808" s="106"/>
      <c r="C808" s="107"/>
    </row>
    <row r="809">
      <c r="B809" s="106"/>
      <c r="C809" s="107"/>
    </row>
    <row r="810">
      <c r="B810" s="106"/>
      <c r="C810" s="107"/>
    </row>
    <row r="811">
      <c r="B811" s="106"/>
      <c r="C811" s="107"/>
    </row>
    <row r="812">
      <c r="B812" s="106"/>
      <c r="C812" s="107"/>
    </row>
    <row r="813">
      <c r="B813" s="106"/>
      <c r="C813" s="107"/>
    </row>
    <row r="814">
      <c r="B814" s="106"/>
      <c r="C814" s="107"/>
    </row>
    <row r="815">
      <c r="B815" s="106"/>
      <c r="C815" s="107"/>
    </row>
    <row r="816">
      <c r="B816" s="106"/>
      <c r="C816" s="107"/>
    </row>
    <row r="817">
      <c r="B817" s="106"/>
      <c r="C817" s="107"/>
    </row>
    <row r="818">
      <c r="B818" s="106"/>
      <c r="C818" s="107"/>
    </row>
    <row r="819">
      <c r="B819" s="106"/>
      <c r="C819" s="107"/>
    </row>
    <row r="820">
      <c r="B820" s="106"/>
      <c r="C820" s="107"/>
    </row>
    <row r="821">
      <c r="B821" s="106"/>
      <c r="C821" s="107"/>
    </row>
    <row r="822">
      <c r="B822" s="106"/>
      <c r="C822" s="107"/>
    </row>
    <row r="823">
      <c r="B823" s="106"/>
      <c r="C823" s="107"/>
    </row>
    <row r="824">
      <c r="B824" s="106"/>
      <c r="C824" s="107"/>
    </row>
    <row r="825">
      <c r="B825" s="106"/>
      <c r="C825" s="107"/>
    </row>
    <row r="826">
      <c r="B826" s="106"/>
      <c r="C826" s="107"/>
    </row>
    <row r="827">
      <c r="B827" s="106"/>
      <c r="C827" s="107"/>
    </row>
    <row r="828">
      <c r="B828" s="106"/>
      <c r="C828" s="107"/>
    </row>
    <row r="829">
      <c r="B829" s="106"/>
      <c r="C829" s="107"/>
    </row>
    <row r="830">
      <c r="B830" s="106"/>
      <c r="C830" s="107"/>
    </row>
    <row r="831">
      <c r="B831" s="106"/>
      <c r="C831" s="107"/>
    </row>
    <row r="832">
      <c r="B832" s="106"/>
      <c r="C832" s="107"/>
    </row>
    <row r="833">
      <c r="B833" s="106"/>
      <c r="C833" s="107"/>
    </row>
    <row r="834">
      <c r="B834" s="106"/>
      <c r="C834" s="107"/>
    </row>
    <row r="835">
      <c r="B835" s="106"/>
      <c r="C835" s="107"/>
    </row>
    <row r="836">
      <c r="B836" s="106"/>
      <c r="C836" s="107"/>
    </row>
    <row r="837">
      <c r="B837" s="106"/>
      <c r="C837" s="107"/>
    </row>
    <row r="838">
      <c r="B838" s="106"/>
      <c r="C838" s="107"/>
    </row>
    <row r="839">
      <c r="B839" s="106"/>
      <c r="C839" s="107"/>
    </row>
    <row r="840">
      <c r="B840" s="106"/>
      <c r="C840" s="107"/>
    </row>
    <row r="841">
      <c r="B841" s="106"/>
      <c r="C841" s="107"/>
    </row>
    <row r="842">
      <c r="B842" s="106"/>
      <c r="C842" s="107"/>
    </row>
    <row r="843">
      <c r="B843" s="106"/>
      <c r="C843" s="107"/>
    </row>
    <row r="844">
      <c r="B844" s="106"/>
      <c r="C844" s="107"/>
    </row>
    <row r="845">
      <c r="B845" s="106"/>
      <c r="C845" s="107"/>
    </row>
    <row r="846">
      <c r="B846" s="106"/>
      <c r="C846" s="107"/>
    </row>
    <row r="847">
      <c r="B847" s="106"/>
      <c r="C847" s="107"/>
    </row>
    <row r="848">
      <c r="B848" s="106"/>
      <c r="C848" s="107"/>
    </row>
    <row r="849">
      <c r="B849" s="106"/>
      <c r="C849" s="107"/>
    </row>
    <row r="850">
      <c r="B850" s="106"/>
      <c r="C850" s="107"/>
    </row>
    <row r="851">
      <c r="B851" s="106"/>
      <c r="C851" s="107"/>
    </row>
    <row r="852">
      <c r="B852" s="106"/>
      <c r="C852" s="107"/>
    </row>
    <row r="853">
      <c r="B853" s="106"/>
      <c r="C853" s="107"/>
    </row>
    <row r="854">
      <c r="B854" s="106"/>
      <c r="C854" s="107"/>
    </row>
    <row r="855">
      <c r="B855" s="106"/>
      <c r="C855" s="107"/>
    </row>
    <row r="856">
      <c r="B856" s="106"/>
      <c r="C856" s="107"/>
    </row>
    <row r="857">
      <c r="B857" s="106"/>
      <c r="C857" s="107"/>
    </row>
    <row r="858">
      <c r="B858" s="106"/>
      <c r="C858" s="107"/>
    </row>
    <row r="859">
      <c r="B859" s="106"/>
      <c r="C859" s="107"/>
    </row>
    <row r="860">
      <c r="B860" s="106"/>
      <c r="C860" s="107"/>
    </row>
    <row r="861">
      <c r="B861" s="106"/>
      <c r="C861" s="107"/>
    </row>
    <row r="862">
      <c r="B862" s="106"/>
      <c r="C862" s="107"/>
    </row>
    <row r="863">
      <c r="B863" s="106"/>
      <c r="C863" s="107"/>
    </row>
    <row r="864">
      <c r="B864" s="106"/>
      <c r="C864" s="107"/>
    </row>
    <row r="865">
      <c r="B865" s="106"/>
      <c r="C865" s="107"/>
    </row>
    <row r="866">
      <c r="B866" s="106"/>
      <c r="C866" s="107"/>
    </row>
    <row r="867">
      <c r="B867" s="106"/>
      <c r="C867" s="107"/>
    </row>
    <row r="868">
      <c r="B868" s="106"/>
      <c r="C868" s="107"/>
    </row>
    <row r="869">
      <c r="B869" s="106"/>
      <c r="C869" s="107"/>
    </row>
    <row r="870">
      <c r="B870" s="106"/>
      <c r="C870" s="107"/>
    </row>
    <row r="871">
      <c r="B871" s="106"/>
      <c r="C871" s="107"/>
    </row>
    <row r="872">
      <c r="B872" s="106"/>
      <c r="C872" s="107"/>
    </row>
    <row r="873">
      <c r="B873" s="106"/>
      <c r="C873" s="107"/>
    </row>
    <row r="874">
      <c r="B874" s="106"/>
      <c r="C874" s="107"/>
    </row>
    <row r="875">
      <c r="B875" s="106"/>
      <c r="C875" s="107"/>
    </row>
    <row r="876">
      <c r="B876" s="106"/>
      <c r="C876" s="107"/>
    </row>
    <row r="877">
      <c r="B877" s="106"/>
      <c r="C877" s="107"/>
    </row>
    <row r="878">
      <c r="B878" s="106"/>
      <c r="C878" s="107"/>
    </row>
    <row r="879">
      <c r="B879" s="106"/>
      <c r="C879" s="107"/>
    </row>
    <row r="880">
      <c r="B880" s="106"/>
      <c r="C880" s="107"/>
    </row>
    <row r="881">
      <c r="B881" s="106"/>
      <c r="C881" s="107"/>
    </row>
    <row r="882">
      <c r="B882" s="106"/>
      <c r="C882" s="107"/>
    </row>
    <row r="883">
      <c r="B883" s="106"/>
      <c r="C883" s="107"/>
    </row>
    <row r="884">
      <c r="B884" s="106"/>
      <c r="C884" s="107"/>
    </row>
    <row r="885">
      <c r="B885" s="106"/>
      <c r="C885" s="107"/>
    </row>
    <row r="886">
      <c r="B886" s="106"/>
      <c r="C886" s="107"/>
    </row>
    <row r="887">
      <c r="B887" s="106"/>
      <c r="C887" s="107"/>
    </row>
    <row r="888">
      <c r="B888" s="106"/>
      <c r="C888" s="107"/>
    </row>
    <row r="889">
      <c r="B889" s="106"/>
      <c r="C889" s="107"/>
    </row>
    <row r="890">
      <c r="B890" s="106"/>
      <c r="C890" s="107"/>
    </row>
    <row r="891">
      <c r="B891" s="106"/>
      <c r="C891" s="107"/>
    </row>
    <row r="892">
      <c r="B892" s="106"/>
      <c r="C892" s="107"/>
    </row>
    <row r="893">
      <c r="B893" s="106"/>
      <c r="C893" s="107"/>
    </row>
    <row r="894">
      <c r="B894" s="106"/>
      <c r="C894" s="107"/>
    </row>
    <row r="895">
      <c r="B895" s="106"/>
      <c r="C895" s="107"/>
    </row>
    <row r="896">
      <c r="B896" s="106"/>
      <c r="C896" s="107"/>
    </row>
    <row r="897">
      <c r="B897" s="106"/>
      <c r="C897" s="107"/>
    </row>
    <row r="898">
      <c r="B898" s="106"/>
      <c r="C898" s="107"/>
    </row>
    <row r="899">
      <c r="B899" s="106"/>
      <c r="C899" s="107"/>
    </row>
    <row r="900">
      <c r="B900" s="106"/>
      <c r="C900" s="107"/>
    </row>
    <row r="901">
      <c r="B901" s="106"/>
      <c r="C901" s="107"/>
    </row>
    <row r="902">
      <c r="B902" s="106"/>
      <c r="C902" s="107"/>
    </row>
    <row r="903">
      <c r="B903" s="106"/>
      <c r="C903" s="107"/>
    </row>
    <row r="904">
      <c r="B904" s="106"/>
      <c r="C904" s="107"/>
    </row>
    <row r="905">
      <c r="B905" s="106"/>
      <c r="C905" s="107"/>
    </row>
    <row r="906">
      <c r="B906" s="106"/>
      <c r="C906" s="107"/>
    </row>
    <row r="907">
      <c r="B907" s="106"/>
      <c r="C907" s="107"/>
    </row>
    <row r="908">
      <c r="B908" s="106"/>
      <c r="C908" s="107"/>
    </row>
    <row r="909">
      <c r="B909" s="106"/>
      <c r="C909" s="107"/>
    </row>
    <row r="910">
      <c r="B910" s="106"/>
      <c r="C910" s="107"/>
    </row>
    <row r="911">
      <c r="B911" s="106"/>
      <c r="C911" s="107"/>
    </row>
    <row r="912">
      <c r="B912" s="106"/>
      <c r="C912" s="107"/>
    </row>
    <row r="913">
      <c r="B913" s="106"/>
      <c r="C913" s="107"/>
    </row>
    <row r="914">
      <c r="B914" s="106"/>
      <c r="C914" s="107"/>
    </row>
    <row r="915">
      <c r="B915" s="106"/>
      <c r="C915" s="107"/>
    </row>
    <row r="916">
      <c r="B916" s="106"/>
      <c r="C916" s="107"/>
    </row>
    <row r="917">
      <c r="B917" s="106"/>
      <c r="C917" s="107"/>
    </row>
    <row r="918">
      <c r="B918" s="106"/>
      <c r="C918" s="107"/>
    </row>
    <row r="919">
      <c r="B919" s="106"/>
      <c r="C919" s="107"/>
    </row>
    <row r="920">
      <c r="B920" s="106"/>
      <c r="C920" s="107"/>
    </row>
    <row r="921">
      <c r="B921" s="106"/>
      <c r="C921" s="107"/>
    </row>
    <row r="922">
      <c r="B922" s="106"/>
      <c r="C922" s="107"/>
    </row>
    <row r="923">
      <c r="B923" s="106"/>
      <c r="C923" s="107"/>
    </row>
    <row r="924">
      <c r="B924" s="106"/>
      <c r="C924" s="107"/>
    </row>
    <row r="925">
      <c r="B925" s="106"/>
      <c r="C925" s="107"/>
    </row>
    <row r="926">
      <c r="B926" s="106"/>
      <c r="C926" s="107"/>
    </row>
    <row r="927">
      <c r="B927" s="106"/>
      <c r="C927" s="107"/>
    </row>
    <row r="928">
      <c r="B928" s="106"/>
      <c r="C928" s="107"/>
    </row>
    <row r="929">
      <c r="B929" s="106"/>
      <c r="C929" s="107"/>
    </row>
    <row r="930">
      <c r="B930" s="106"/>
      <c r="C930" s="107"/>
    </row>
    <row r="931">
      <c r="B931" s="106"/>
      <c r="C931" s="107"/>
    </row>
    <row r="932">
      <c r="B932" s="106"/>
      <c r="C932" s="107"/>
    </row>
    <row r="933">
      <c r="B933" s="106"/>
      <c r="C933" s="107"/>
    </row>
    <row r="934">
      <c r="B934" s="106"/>
      <c r="C934" s="107"/>
    </row>
    <row r="935">
      <c r="B935" s="106"/>
      <c r="C935" s="107"/>
    </row>
    <row r="936">
      <c r="B936" s="106"/>
      <c r="C936" s="107"/>
    </row>
    <row r="937">
      <c r="B937" s="106"/>
      <c r="C937" s="107"/>
    </row>
    <row r="938">
      <c r="B938" s="106"/>
      <c r="C938" s="107"/>
    </row>
    <row r="939">
      <c r="B939" s="106"/>
      <c r="C939" s="107"/>
    </row>
    <row r="940">
      <c r="B940" s="106"/>
      <c r="C940" s="107"/>
    </row>
    <row r="941">
      <c r="B941" s="106"/>
      <c r="C941" s="107"/>
    </row>
    <row r="942">
      <c r="B942" s="106"/>
      <c r="C942" s="107"/>
    </row>
    <row r="943">
      <c r="B943" s="106"/>
      <c r="C943" s="107"/>
    </row>
    <row r="944">
      <c r="B944" s="106"/>
      <c r="C944" s="107"/>
    </row>
    <row r="945">
      <c r="B945" s="106"/>
      <c r="C945" s="107"/>
    </row>
    <row r="946">
      <c r="B946" s="106"/>
      <c r="C946" s="107"/>
    </row>
    <row r="947">
      <c r="B947" s="106"/>
      <c r="C947" s="107"/>
    </row>
    <row r="948">
      <c r="B948" s="106"/>
      <c r="C948" s="107"/>
    </row>
    <row r="949">
      <c r="B949" s="106"/>
      <c r="C949" s="107"/>
    </row>
    <row r="950">
      <c r="B950" s="106"/>
      <c r="C950" s="107"/>
    </row>
    <row r="951">
      <c r="B951" s="106"/>
      <c r="C951" s="107"/>
    </row>
    <row r="952">
      <c r="B952" s="106"/>
      <c r="C952" s="107"/>
    </row>
    <row r="953">
      <c r="B953" s="106"/>
      <c r="C953" s="107"/>
    </row>
    <row r="954">
      <c r="B954" s="106"/>
      <c r="C954" s="107"/>
    </row>
    <row r="955">
      <c r="B955" s="106"/>
      <c r="C955" s="107"/>
    </row>
    <row r="956">
      <c r="B956" s="106"/>
      <c r="C956" s="107"/>
    </row>
    <row r="957">
      <c r="B957" s="106"/>
      <c r="C957" s="107"/>
    </row>
    <row r="958">
      <c r="B958" s="106"/>
      <c r="C958" s="107"/>
    </row>
    <row r="959">
      <c r="B959" s="106"/>
      <c r="C959" s="107"/>
    </row>
    <row r="960">
      <c r="B960" s="106"/>
      <c r="C960" s="107"/>
    </row>
    <row r="961">
      <c r="B961" s="106"/>
      <c r="C961" s="107"/>
    </row>
    <row r="962">
      <c r="B962" s="106"/>
      <c r="C962" s="107"/>
    </row>
    <row r="963">
      <c r="B963" s="106"/>
      <c r="C963" s="107"/>
    </row>
    <row r="964">
      <c r="B964" s="106"/>
      <c r="C964" s="107"/>
    </row>
    <row r="965">
      <c r="B965" s="106"/>
      <c r="C965" s="107"/>
    </row>
    <row r="966">
      <c r="B966" s="106"/>
      <c r="C966" s="107"/>
    </row>
    <row r="967">
      <c r="B967" s="106"/>
      <c r="C967" s="107"/>
    </row>
    <row r="968">
      <c r="B968" s="106"/>
      <c r="C968" s="107"/>
    </row>
    <row r="969">
      <c r="B969" s="106"/>
      <c r="C969" s="107"/>
    </row>
    <row r="970">
      <c r="B970" s="106"/>
      <c r="C970" s="107"/>
    </row>
    <row r="971">
      <c r="B971" s="106"/>
      <c r="C971" s="107"/>
    </row>
    <row r="972">
      <c r="B972" s="106"/>
      <c r="C972" s="107"/>
    </row>
    <row r="973">
      <c r="B973" s="106"/>
      <c r="C973" s="107"/>
    </row>
    <row r="974">
      <c r="B974" s="106"/>
      <c r="C974" s="107"/>
    </row>
    <row r="975">
      <c r="B975" s="106"/>
      <c r="C975" s="107"/>
    </row>
    <row r="976">
      <c r="B976" s="106"/>
      <c r="C976" s="107"/>
    </row>
    <row r="977">
      <c r="B977" s="106"/>
      <c r="C977" s="107"/>
    </row>
    <row r="978">
      <c r="B978" s="106"/>
      <c r="C978" s="107"/>
    </row>
    <row r="979">
      <c r="B979" s="106"/>
      <c r="C979" s="107"/>
    </row>
    <row r="980">
      <c r="B980" s="106"/>
      <c r="C980" s="107"/>
    </row>
    <row r="981">
      <c r="B981" s="106"/>
      <c r="C981" s="107"/>
    </row>
    <row r="982">
      <c r="B982" s="106"/>
      <c r="C982" s="107"/>
    </row>
    <row r="983">
      <c r="B983" s="106"/>
      <c r="C983" s="107"/>
    </row>
    <row r="984">
      <c r="B984" s="106"/>
      <c r="C984" s="107"/>
    </row>
    <row r="985">
      <c r="B985" s="106"/>
      <c r="C985" s="107"/>
    </row>
    <row r="986">
      <c r="B986" s="106"/>
      <c r="C986" s="107"/>
    </row>
    <row r="987">
      <c r="B987" s="106"/>
      <c r="C987" s="107"/>
    </row>
    <row r="988">
      <c r="B988" s="106"/>
      <c r="C988" s="107"/>
    </row>
    <row r="989">
      <c r="B989" s="106"/>
      <c r="C989" s="107"/>
    </row>
    <row r="990">
      <c r="B990" s="106"/>
      <c r="C990" s="107"/>
    </row>
    <row r="991">
      <c r="B991" s="106"/>
      <c r="C991" s="107"/>
    </row>
    <row r="992">
      <c r="B992" s="106"/>
      <c r="C992" s="107"/>
    </row>
    <row r="993">
      <c r="B993" s="106"/>
      <c r="C993" s="107"/>
    </row>
    <row r="994">
      <c r="B994" s="106"/>
      <c r="C994" s="107"/>
    </row>
    <row r="995">
      <c r="B995" s="106"/>
      <c r="C995" s="107"/>
    </row>
    <row r="996">
      <c r="B996" s="106"/>
      <c r="C996" s="107"/>
    </row>
    <row r="997">
      <c r="B997" s="106"/>
      <c r="C997" s="107"/>
    </row>
    <row r="998">
      <c r="B998" s="106"/>
      <c r="C998" s="107"/>
    </row>
  </sheetData>
  <mergeCells count="43"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7:R37"/>
    <mergeCell ref="Q38:R38"/>
    <mergeCell ref="Q39:R39"/>
    <mergeCell ref="Q40:R40"/>
    <mergeCell ref="Q41:R41"/>
    <mergeCell ref="Q42:R42"/>
    <mergeCell ref="Q43:R43"/>
    <mergeCell ref="Q44:R44"/>
    <mergeCell ref="Q30:R30"/>
    <mergeCell ref="Q31:R31"/>
    <mergeCell ref="Q32:R32"/>
    <mergeCell ref="Q33:R33"/>
    <mergeCell ref="Q34:R34"/>
    <mergeCell ref="Q35:R35"/>
    <mergeCell ref="Q36:R36"/>
  </mergeCells>
  <conditionalFormatting sqref="D3:P49">
    <cfRule type="beginsWith" dxfId="3" priority="1" operator="beginsWith" text="a">
      <formula>LEFT((D3),LEN("a"))=("a")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</cols>
  <sheetData>
    <row r="1">
      <c r="A1" s="18" t="s">
        <v>39</v>
      </c>
    </row>
    <row r="2">
      <c r="A2" s="20" t="s">
        <v>41</v>
      </c>
    </row>
    <row r="3">
      <c r="A3" s="22" t="s">
        <v>43</v>
      </c>
    </row>
    <row r="4">
      <c r="A4" s="23" t="s">
        <v>45</v>
      </c>
      <c r="C4" s="24"/>
    </row>
    <row r="5">
      <c r="A5" s="23" t="s">
        <v>46</v>
      </c>
      <c r="C5" s="24"/>
    </row>
    <row r="6">
      <c r="A6" s="24"/>
    </row>
    <row r="7">
      <c r="A7" s="26" t="s">
        <v>49</v>
      </c>
      <c r="B7" s="27" t="s">
        <v>52</v>
      </c>
      <c r="C7" s="27" t="s">
        <v>53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33">
        <v>1.0</v>
      </c>
      <c r="B8" s="34" t="s">
        <v>65</v>
      </c>
      <c r="C8" s="36" t="s">
        <v>72</v>
      </c>
    </row>
    <row r="9">
      <c r="A9" s="12"/>
      <c r="B9" s="38" t="s">
        <v>76</v>
      </c>
      <c r="C9" s="36" t="s">
        <v>72</v>
      </c>
    </row>
    <row r="10">
      <c r="A10" s="12"/>
      <c r="B10" s="38" t="s">
        <v>79</v>
      </c>
      <c r="C10" s="36" t="s">
        <v>72</v>
      </c>
    </row>
    <row r="11">
      <c r="A11" s="12"/>
      <c r="B11" s="38" t="s">
        <v>84</v>
      </c>
      <c r="C11" s="36" t="s">
        <v>72</v>
      </c>
    </row>
    <row r="12">
      <c r="A12" s="12"/>
      <c r="B12" s="38" t="s">
        <v>87</v>
      </c>
      <c r="C12" s="36" t="s">
        <v>72</v>
      </c>
    </row>
    <row r="13">
      <c r="A13" s="12"/>
      <c r="B13" s="38" t="s">
        <v>90</v>
      </c>
      <c r="C13" s="36" t="s">
        <v>72</v>
      </c>
    </row>
    <row r="14">
      <c r="A14" s="12"/>
      <c r="B14" s="38" t="s">
        <v>93</v>
      </c>
      <c r="C14" s="36" t="s">
        <v>72</v>
      </c>
    </row>
    <row r="15">
      <c r="A15" s="45">
        <v>2.0</v>
      </c>
      <c r="B15" s="38" t="s">
        <v>96</v>
      </c>
      <c r="C15" s="36" t="s">
        <v>72</v>
      </c>
    </row>
    <row r="16">
      <c r="A16" s="12"/>
      <c r="B16" s="38" t="s">
        <v>100</v>
      </c>
      <c r="C16" s="36" t="s">
        <v>72</v>
      </c>
    </row>
    <row r="17">
      <c r="A17" s="12"/>
      <c r="B17" s="38" t="s">
        <v>103</v>
      </c>
      <c r="C17" s="36" t="s">
        <v>72</v>
      </c>
    </row>
    <row r="18">
      <c r="A18" s="12"/>
      <c r="B18" s="38" t="s">
        <v>104</v>
      </c>
      <c r="C18" s="36" t="s">
        <v>72</v>
      </c>
    </row>
    <row r="19">
      <c r="A19" s="12"/>
      <c r="B19" s="38" t="s">
        <v>105</v>
      </c>
      <c r="C19" s="50" t="s">
        <v>72</v>
      </c>
    </row>
    <row r="20">
      <c r="A20" s="12"/>
      <c r="B20" s="38" t="s">
        <v>108</v>
      </c>
      <c r="C20" s="36" t="s">
        <v>72</v>
      </c>
    </row>
    <row r="21">
      <c r="A21" s="12"/>
      <c r="B21" s="38" t="s">
        <v>110</v>
      </c>
      <c r="C21" s="36" t="s">
        <v>72</v>
      </c>
    </row>
    <row r="22">
      <c r="A22" s="12"/>
      <c r="B22" s="38" t="s">
        <v>113</v>
      </c>
      <c r="C22" s="36" t="s">
        <v>72</v>
      </c>
    </row>
    <row r="23">
      <c r="A23" s="45">
        <v>3.0</v>
      </c>
      <c r="B23" s="38" t="s">
        <v>117</v>
      </c>
      <c r="C23" s="36" t="s">
        <v>72</v>
      </c>
    </row>
    <row r="24">
      <c r="A24" s="12"/>
      <c r="B24" s="38" t="s">
        <v>118</v>
      </c>
      <c r="C24" s="36" t="s">
        <v>72</v>
      </c>
    </row>
    <row r="25">
      <c r="A25" s="12"/>
      <c r="B25" s="38" t="s">
        <v>120</v>
      </c>
      <c r="C25" s="36" t="s">
        <v>72</v>
      </c>
    </row>
    <row r="26">
      <c r="A26" s="12"/>
      <c r="B26" s="38" t="s">
        <v>122</v>
      </c>
      <c r="C26" s="36" t="s">
        <v>72</v>
      </c>
    </row>
    <row r="27">
      <c r="A27" s="12"/>
      <c r="B27" s="38" t="s">
        <v>123</v>
      </c>
      <c r="C27" s="36" t="s">
        <v>72</v>
      </c>
    </row>
    <row r="28">
      <c r="A28" s="45">
        <v>4.0</v>
      </c>
      <c r="B28" s="38" t="s">
        <v>128</v>
      </c>
      <c r="C28" s="36" t="s">
        <v>72</v>
      </c>
    </row>
    <row r="29">
      <c r="A29" s="12"/>
      <c r="B29" s="38" t="s">
        <v>130</v>
      </c>
      <c r="C29" s="36" t="s">
        <v>72</v>
      </c>
    </row>
    <row r="30">
      <c r="A30" s="12"/>
      <c r="B30" s="59" t="s">
        <v>131</v>
      </c>
      <c r="C30" s="36" t="s">
        <v>72</v>
      </c>
    </row>
    <row r="31">
      <c r="A31" s="12"/>
      <c r="B31" s="38" t="s">
        <v>136</v>
      </c>
      <c r="C31" s="36" t="s">
        <v>72</v>
      </c>
    </row>
    <row r="32">
      <c r="A32" s="12"/>
      <c r="B32" s="38" t="s">
        <v>137</v>
      </c>
      <c r="C32" s="36" t="s">
        <v>72</v>
      </c>
    </row>
    <row r="33">
      <c r="A33" s="45">
        <v>5.0</v>
      </c>
      <c r="B33" s="62" t="s">
        <v>140</v>
      </c>
      <c r="C33" s="36" t="s">
        <v>72</v>
      </c>
    </row>
    <row r="34">
      <c r="A34" s="12"/>
      <c r="B34" s="38" t="s">
        <v>141</v>
      </c>
      <c r="C34" s="36" t="s">
        <v>72</v>
      </c>
    </row>
    <row r="35">
      <c r="A35" s="12"/>
      <c r="B35" s="38" t="s">
        <v>143</v>
      </c>
      <c r="C35" s="36" t="s">
        <v>72</v>
      </c>
    </row>
    <row r="36">
      <c r="A36" s="12"/>
      <c r="B36" s="38" t="s">
        <v>145</v>
      </c>
      <c r="C36" s="36" t="s">
        <v>72</v>
      </c>
    </row>
    <row r="37">
      <c r="A37" s="12"/>
      <c r="B37" s="38" t="s">
        <v>149</v>
      </c>
      <c r="C37" s="36" t="s">
        <v>72</v>
      </c>
    </row>
    <row r="38">
      <c r="A38" s="12"/>
      <c r="B38" s="38" t="s">
        <v>150</v>
      </c>
      <c r="C38" s="36" t="s">
        <v>72</v>
      </c>
    </row>
    <row r="39">
      <c r="A39" s="45">
        <v>6.0</v>
      </c>
      <c r="B39" s="38" t="s">
        <v>153</v>
      </c>
      <c r="C39" s="36" t="s">
        <v>72</v>
      </c>
    </row>
    <row r="40">
      <c r="A40" s="12"/>
      <c r="B40" s="38" t="s">
        <v>155</v>
      </c>
      <c r="C40" s="36" t="s">
        <v>72</v>
      </c>
    </row>
    <row r="41">
      <c r="A41" s="12"/>
      <c r="B41" s="38" t="s">
        <v>157</v>
      </c>
      <c r="C41" s="36" t="s">
        <v>72</v>
      </c>
    </row>
    <row r="42">
      <c r="A42" s="12"/>
      <c r="B42" s="38" t="s">
        <v>158</v>
      </c>
      <c r="C42" s="36" t="s">
        <v>72</v>
      </c>
    </row>
    <row r="43">
      <c r="A43" s="12"/>
      <c r="B43" s="38" t="s">
        <v>159</v>
      </c>
      <c r="C43" s="36" t="s">
        <v>72</v>
      </c>
    </row>
    <row r="44">
      <c r="A44" s="45">
        <v>7.0</v>
      </c>
      <c r="B44" s="38" t="s">
        <v>165</v>
      </c>
      <c r="C44" s="36" t="s">
        <v>72</v>
      </c>
    </row>
    <row r="45">
      <c r="A45" s="12"/>
      <c r="B45" s="38" t="s">
        <v>167</v>
      </c>
      <c r="C45" s="36" t="s">
        <v>72</v>
      </c>
    </row>
    <row r="46">
      <c r="A46" s="12"/>
      <c r="B46" s="38" t="s">
        <v>170</v>
      </c>
      <c r="C46" s="36" t="s">
        <v>72</v>
      </c>
    </row>
    <row r="47">
      <c r="A47" s="12"/>
      <c r="B47" s="38" t="s">
        <v>172</v>
      </c>
      <c r="C47" s="36" t="s">
        <v>72</v>
      </c>
    </row>
    <row r="48">
      <c r="A48" s="12"/>
      <c r="B48" s="38" t="s">
        <v>174</v>
      </c>
      <c r="C48" s="36" t="s">
        <v>72</v>
      </c>
    </row>
    <row r="49">
      <c r="A49" s="45">
        <v>8.0</v>
      </c>
      <c r="B49" s="59" t="s">
        <v>178</v>
      </c>
      <c r="C49" s="36" t="s">
        <v>72</v>
      </c>
    </row>
    <row r="50">
      <c r="A50" s="12"/>
      <c r="B50" s="38" t="s">
        <v>181</v>
      </c>
      <c r="C50" s="36" t="s">
        <v>72</v>
      </c>
    </row>
    <row r="51">
      <c r="A51" s="12"/>
      <c r="B51" s="38" t="s">
        <v>184</v>
      </c>
      <c r="C51" s="36" t="s">
        <v>72</v>
      </c>
    </row>
    <row r="52">
      <c r="A52" s="12"/>
      <c r="B52" s="38" t="s">
        <v>185</v>
      </c>
      <c r="C52" s="36" t="s">
        <v>72</v>
      </c>
    </row>
    <row r="53">
      <c r="A53" s="12"/>
      <c r="B53" s="38" t="s">
        <v>189</v>
      </c>
      <c r="C53" s="36" t="s">
        <v>72</v>
      </c>
    </row>
    <row r="54">
      <c r="A54" s="12"/>
      <c r="B54" s="38" t="s">
        <v>193</v>
      </c>
      <c r="C54" s="36" t="s">
        <v>72</v>
      </c>
    </row>
    <row r="55">
      <c r="A55" s="45">
        <v>9.0</v>
      </c>
      <c r="B55" s="68" t="s">
        <v>198</v>
      </c>
      <c r="C55" s="36" t="s">
        <v>72</v>
      </c>
    </row>
    <row r="56">
      <c r="A56" s="12"/>
      <c r="B56" s="38" t="s">
        <v>200</v>
      </c>
      <c r="C56" s="36" t="s">
        <v>72</v>
      </c>
    </row>
    <row r="57">
      <c r="A57" s="12"/>
      <c r="B57" s="38" t="s">
        <v>201</v>
      </c>
      <c r="C57" s="36" t="s">
        <v>72</v>
      </c>
    </row>
    <row r="58">
      <c r="A58" s="12"/>
      <c r="B58" s="71" t="s">
        <v>202</v>
      </c>
      <c r="C58" s="36" t="s">
        <v>72</v>
      </c>
    </row>
    <row r="59">
      <c r="A59" s="12"/>
      <c r="B59" s="38" t="s">
        <v>205</v>
      </c>
      <c r="C59" s="36" t="s">
        <v>72</v>
      </c>
    </row>
    <row r="60">
      <c r="A60" s="12"/>
      <c r="B60" s="38" t="s">
        <v>208</v>
      </c>
      <c r="C60" s="36" t="s">
        <v>72</v>
      </c>
    </row>
    <row r="61">
      <c r="A61" s="73"/>
      <c r="B61" s="62" t="s">
        <v>209</v>
      </c>
      <c r="C61" s="36" t="s">
        <v>72</v>
      </c>
    </row>
    <row r="62">
      <c r="A62" s="12"/>
      <c r="B62" s="38" t="s">
        <v>210</v>
      </c>
      <c r="C62" s="36" t="s">
        <v>72</v>
      </c>
    </row>
    <row r="63">
      <c r="A63" s="12"/>
      <c r="B63" s="38" t="s">
        <v>211</v>
      </c>
      <c r="C63" s="36" t="s">
        <v>72</v>
      </c>
    </row>
    <row r="64">
      <c r="A64" s="12"/>
      <c r="B64" s="38" t="s">
        <v>212</v>
      </c>
      <c r="C64" s="36" t="s">
        <v>72</v>
      </c>
    </row>
    <row r="65">
      <c r="A65" s="12"/>
      <c r="B65" s="38" t="s">
        <v>213</v>
      </c>
      <c r="C65" s="36" t="s">
        <v>72</v>
      </c>
    </row>
    <row r="66">
      <c r="A66" s="12"/>
      <c r="B66" s="38" t="s">
        <v>216</v>
      </c>
      <c r="C66" s="36" t="s">
        <v>72</v>
      </c>
    </row>
    <row r="67">
      <c r="A67" s="45">
        <v>10.0</v>
      </c>
      <c r="B67" s="38" t="s">
        <v>217</v>
      </c>
      <c r="C67" s="36" t="s">
        <v>72</v>
      </c>
    </row>
    <row r="68">
      <c r="A68" s="12"/>
      <c r="B68" s="38" t="s">
        <v>218</v>
      </c>
      <c r="C68" s="36" t="s">
        <v>72</v>
      </c>
    </row>
    <row r="69">
      <c r="A69" s="12"/>
      <c r="B69" s="38" t="s">
        <v>219</v>
      </c>
      <c r="C69" s="36" t="s">
        <v>72</v>
      </c>
    </row>
    <row r="70">
      <c r="A70" s="12"/>
      <c r="B70" s="38" t="s">
        <v>220</v>
      </c>
      <c r="C70" s="36" t="s">
        <v>72</v>
      </c>
    </row>
    <row r="71">
      <c r="A71" s="12"/>
      <c r="B71" s="38" t="s">
        <v>221</v>
      </c>
      <c r="C71" s="36" t="s">
        <v>72</v>
      </c>
    </row>
    <row r="72">
      <c r="A72" s="12"/>
      <c r="B72" s="38" t="s">
        <v>223</v>
      </c>
      <c r="C72" s="36" t="s">
        <v>72</v>
      </c>
    </row>
    <row r="73">
      <c r="A73" s="45">
        <v>11.0</v>
      </c>
      <c r="B73" s="38" t="s">
        <v>225</v>
      </c>
      <c r="C73" s="36" t="s">
        <v>72</v>
      </c>
    </row>
    <row r="74">
      <c r="A74" s="12"/>
      <c r="B74" s="38" t="s">
        <v>226</v>
      </c>
      <c r="C74" s="36" t="s">
        <v>72</v>
      </c>
    </row>
    <row r="75">
      <c r="A75" s="12"/>
      <c r="B75" s="38" t="s">
        <v>227</v>
      </c>
      <c r="C75" s="36" t="s">
        <v>72</v>
      </c>
    </row>
    <row r="76">
      <c r="A76" s="12"/>
      <c r="B76" s="38" t="s">
        <v>228</v>
      </c>
      <c r="C76" s="36" t="s">
        <v>72</v>
      </c>
    </row>
    <row r="77">
      <c r="A77" s="12"/>
      <c r="B77" s="38" t="s">
        <v>229</v>
      </c>
      <c r="C77" s="36" t="s">
        <v>72</v>
      </c>
    </row>
    <row r="78">
      <c r="A78" s="45">
        <v>12.0</v>
      </c>
      <c r="B78" s="38" t="s">
        <v>230</v>
      </c>
      <c r="C78" s="36" t="s">
        <v>72</v>
      </c>
    </row>
    <row r="79">
      <c r="A79" s="12"/>
      <c r="B79" s="38" t="s">
        <v>231</v>
      </c>
      <c r="C79" s="36" t="s">
        <v>72</v>
      </c>
    </row>
    <row r="80">
      <c r="A80" s="12"/>
      <c r="B80" s="38" t="s">
        <v>232</v>
      </c>
      <c r="C80" s="36" t="s">
        <v>72</v>
      </c>
    </row>
    <row r="81">
      <c r="A81" s="12"/>
      <c r="B81" s="38" t="s">
        <v>233</v>
      </c>
      <c r="C81" s="36" t="s">
        <v>72</v>
      </c>
    </row>
    <row r="82">
      <c r="A82" s="12"/>
      <c r="B82" s="38" t="s">
        <v>234</v>
      </c>
      <c r="C82" s="36" t="s">
        <v>72</v>
      </c>
    </row>
    <row r="83">
      <c r="A83" s="45">
        <v>13.0</v>
      </c>
      <c r="B83" s="62" t="s">
        <v>235</v>
      </c>
      <c r="C83" s="36" t="s">
        <v>72</v>
      </c>
    </row>
    <row r="84">
      <c r="A84" s="12"/>
      <c r="B84" s="38" t="s">
        <v>236</v>
      </c>
      <c r="C84" s="36" t="s">
        <v>72</v>
      </c>
    </row>
    <row r="85">
      <c r="A85" s="12"/>
      <c r="B85" s="38" t="s">
        <v>237</v>
      </c>
      <c r="C85" s="36" t="s">
        <v>72</v>
      </c>
    </row>
    <row r="86">
      <c r="A86" s="12"/>
      <c r="B86" s="38" t="s">
        <v>240</v>
      </c>
      <c r="C86" s="36" t="s">
        <v>72</v>
      </c>
    </row>
    <row r="87">
      <c r="A87" s="12"/>
      <c r="B87" s="38" t="s">
        <v>242</v>
      </c>
      <c r="C87" s="36" t="s">
        <v>72</v>
      </c>
    </row>
    <row r="88">
      <c r="A88" s="12"/>
      <c r="B88" s="38" t="s">
        <v>244</v>
      </c>
      <c r="C88" s="36" t="s">
        <v>72</v>
      </c>
    </row>
    <row r="89">
      <c r="A89" s="12"/>
      <c r="B89" s="38" t="s">
        <v>245</v>
      </c>
      <c r="C89" s="36" t="s">
        <v>72</v>
      </c>
    </row>
    <row r="90">
      <c r="A90" s="12"/>
      <c r="B90" s="38" t="s">
        <v>246</v>
      </c>
      <c r="C90" s="36" t="s">
        <v>72</v>
      </c>
    </row>
    <row r="91">
      <c r="A91" s="45">
        <v>14.0</v>
      </c>
      <c r="B91" s="38" t="s">
        <v>248</v>
      </c>
      <c r="C91" s="36" t="s">
        <v>72</v>
      </c>
    </row>
    <row r="92">
      <c r="A92" s="12"/>
      <c r="B92" s="38" t="s">
        <v>249</v>
      </c>
      <c r="C92" s="36" t="s">
        <v>72</v>
      </c>
    </row>
    <row r="93">
      <c r="A93" s="12"/>
      <c r="B93" s="38" t="s">
        <v>252</v>
      </c>
      <c r="C93" s="36" t="s">
        <v>72</v>
      </c>
    </row>
    <row r="94">
      <c r="A94" s="12"/>
      <c r="B94" s="38" t="s">
        <v>253</v>
      </c>
      <c r="C94" s="36" t="s">
        <v>72</v>
      </c>
    </row>
    <row r="95">
      <c r="A95" s="12"/>
      <c r="B95" s="38" t="s">
        <v>254</v>
      </c>
      <c r="C95" s="36" t="s">
        <v>72</v>
      </c>
    </row>
    <row r="96">
      <c r="A96" s="45">
        <v>15.0</v>
      </c>
      <c r="B96" s="38" t="s">
        <v>255</v>
      </c>
      <c r="C96" s="36" t="s">
        <v>72</v>
      </c>
    </row>
    <row r="97">
      <c r="A97" s="12"/>
      <c r="B97" s="38" t="s">
        <v>256</v>
      </c>
      <c r="C97" s="36" t="s">
        <v>72</v>
      </c>
    </row>
    <row r="98">
      <c r="A98" s="12"/>
      <c r="B98" s="38" t="s">
        <v>259</v>
      </c>
      <c r="C98" s="36" t="s">
        <v>72</v>
      </c>
    </row>
    <row r="99">
      <c r="A99" s="12"/>
      <c r="B99" s="38" t="s">
        <v>260</v>
      </c>
      <c r="C99" s="36" t="s">
        <v>72</v>
      </c>
    </row>
    <row r="100">
      <c r="A100" s="12"/>
      <c r="B100" s="38" t="s">
        <v>262</v>
      </c>
      <c r="C100" s="36" t="s">
        <v>72</v>
      </c>
    </row>
    <row r="101">
      <c r="A101" s="45">
        <v>16.0</v>
      </c>
      <c r="B101" s="38" t="s">
        <v>263</v>
      </c>
      <c r="C101" s="36" t="s">
        <v>72</v>
      </c>
    </row>
    <row r="102">
      <c r="A102" s="12"/>
      <c r="B102" s="38" t="s">
        <v>264</v>
      </c>
      <c r="C102" s="36" t="s">
        <v>72</v>
      </c>
    </row>
    <row r="103">
      <c r="A103" s="12"/>
      <c r="B103" s="38" t="s">
        <v>265</v>
      </c>
      <c r="C103" s="36" t="s">
        <v>72</v>
      </c>
    </row>
    <row r="104">
      <c r="A104" s="12"/>
      <c r="B104" s="38" t="s">
        <v>266</v>
      </c>
      <c r="C104" s="36" t="s">
        <v>72</v>
      </c>
    </row>
    <row r="105">
      <c r="A105" s="12"/>
      <c r="B105" s="38" t="s">
        <v>267</v>
      </c>
      <c r="C105" s="36" t="s">
        <v>72</v>
      </c>
    </row>
    <row r="106">
      <c r="A106" s="12"/>
      <c r="B106" s="38" t="s">
        <v>268</v>
      </c>
      <c r="C106" s="36" t="s">
        <v>72</v>
      </c>
    </row>
    <row r="107">
      <c r="A107" s="45">
        <v>17.0</v>
      </c>
      <c r="B107" s="68" t="s">
        <v>269</v>
      </c>
      <c r="C107" s="36" t="s">
        <v>72</v>
      </c>
    </row>
    <row r="108">
      <c r="A108" s="12"/>
      <c r="B108" s="38" t="s">
        <v>270</v>
      </c>
      <c r="C108" s="36" t="s">
        <v>72</v>
      </c>
    </row>
    <row r="109">
      <c r="A109" s="12"/>
      <c r="B109" s="38" t="s">
        <v>201</v>
      </c>
      <c r="C109" s="36" t="s">
        <v>72</v>
      </c>
    </row>
    <row r="110">
      <c r="A110" s="12"/>
      <c r="B110" s="71" t="s">
        <v>271</v>
      </c>
      <c r="C110" s="36" t="s">
        <v>72</v>
      </c>
    </row>
    <row r="111">
      <c r="A111" s="12"/>
      <c r="B111" s="38" t="s">
        <v>274</v>
      </c>
      <c r="C111" s="36" t="s">
        <v>72</v>
      </c>
    </row>
    <row r="112">
      <c r="A112" s="12"/>
      <c r="B112" s="38" t="s">
        <v>208</v>
      </c>
      <c r="C112" s="36" t="s">
        <v>72</v>
      </c>
    </row>
    <row r="113">
      <c r="A113" s="75">
        <v>18.0</v>
      </c>
      <c r="B113" s="62" t="s">
        <v>275</v>
      </c>
      <c r="C113" s="36" t="s">
        <v>72</v>
      </c>
    </row>
    <row r="114">
      <c r="A114" s="12"/>
      <c r="B114" s="38" t="s">
        <v>276</v>
      </c>
      <c r="C114" s="36" t="s">
        <v>72</v>
      </c>
    </row>
    <row r="115">
      <c r="A115" s="12"/>
      <c r="B115" s="38" t="s">
        <v>277</v>
      </c>
      <c r="C115" s="36" t="s">
        <v>72</v>
      </c>
    </row>
    <row r="116">
      <c r="A116" s="12"/>
      <c r="B116" s="38" t="s">
        <v>278</v>
      </c>
      <c r="C116" s="36" t="s">
        <v>72</v>
      </c>
    </row>
    <row r="117">
      <c r="A117" s="12"/>
      <c r="B117" s="38" t="s">
        <v>279</v>
      </c>
      <c r="C117" s="36" t="s">
        <v>72</v>
      </c>
    </row>
    <row r="118">
      <c r="A118" s="12"/>
      <c r="B118" s="38" t="s">
        <v>280</v>
      </c>
      <c r="C118" s="36" t="s">
        <v>72</v>
      </c>
    </row>
    <row r="119">
      <c r="A119" s="45">
        <v>17.0</v>
      </c>
      <c r="B119" s="38" t="s">
        <v>281</v>
      </c>
      <c r="C119" s="36" t="s">
        <v>72</v>
      </c>
    </row>
    <row r="120">
      <c r="A120" s="12"/>
      <c r="B120" s="38" t="s">
        <v>282</v>
      </c>
      <c r="C120" s="36" t="s">
        <v>72</v>
      </c>
    </row>
    <row r="121">
      <c r="A121" s="12"/>
      <c r="B121" s="38" t="s">
        <v>283</v>
      </c>
      <c r="C121" s="36" t="s">
        <v>72</v>
      </c>
    </row>
    <row r="122">
      <c r="A122" s="12"/>
      <c r="B122" s="38" t="s">
        <v>284</v>
      </c>
      <c r="C122" s="36" t="s">
        <v>72</v>
      </c>
    </row>
    <row r="123">
      <c r="A123" s="12"/>
      <c r="B123" s="38" t="s">
        <v>285</v>
      </c>
      <c r="C123" s="36" t="s">
        <v>72</v>
      </c>
    </row>
    <row r="124">
      <c r="A124" s="12"/>
      <c r="B124" s="38" t="s">
        <v>286</v>
      </c>
      <c r="C124" s="36" t="s">
        <v>72</v>
      </c>
    </row>
    <row r="125">
      <c r="A125" s="45">
        <v>18.0</v>
      </c>
      <c r="B125" s="38" t="s">
        <v>287</v>
      </c>
      <c r="C125" s="36" t="s">
        <v>72</v>
      </c>
    </row>
    <row r="126">
      <c r="A126" s="12"/>
      <c r="B126" s="38" t="s">
        <v>288</v>
      </c>
      <c r="C126" s="36" t="s">
        <v>72</v>
      </c>
    </row>
    <row r="127">
      <c r="A127" s="12"/>
      <c r="B127" s="38" t="s">
        <v>289</v>
      </c>
      <c r="C127" s="36" t="s">
        <v>72</v>
      </c>
    </row>
    <row r="128">
      <c r="A128" s="12"/>
      <c r="B128" s="38" t="s">
        <v>290</v>
      </c>
      <c r="C128" s="36" t="s">
        <v>72</v>
      </c>
    </row>
    <row r="129">
      <c r="A129" s="12"/>
      <c r="B129" s="38" t="s">
        <v>291</v>
      </c>
      <c r="C129" s="36" t="s">
        <v>72</v>
      </c>
    </row>
    <row r="130">
      <c r="A130" s="12"/>
      <c r="B130" s="38" t="s">
        <v>292</v>
      </c>
      <c r="C130" s="36" t="s">
        <v>72</v>
      </c>
    </row>
    <row r="131">
      <c r="A131" s="75">
        <v>19.0</v>
      </c>
      <c r="B131" s="38" t="s">
        <v>293</v>
      </c>
      <c r="C131" s="36" t="s">
        <v>72</v>
      </c>
    </row>
    <row r="132">
      <c r="A132" s="12"/>
      <c r="B132" s="38" t="s">
        <v>296</v>
      </c>
      <c r="C132" s="36" t="s">
        <v>72</v>
      </c>
    </row>
    <row r="133">
      <c r="A133" s="12"/>
      <c r="B133" s="38" t="s">
        <v>297</v>
      </c>
      <c r="C133" s="36" t="s">
        <v>72</v>
      </c>
    </row>
    <row r="134">
      <c r="A134" s="12"/>
      <c r="B134" s="38" t="s">
        <v>298</v>
      </c>
      <c r="C134" s="36" t="s">
        <v>72</v>
      </c>
    </row>
    <row r="135">
      <c r="A135" s="12"/>
      <c r="B135" s="38" t="s">
        <v>299</v>
      </c>
      <c r="C135" s="36" t="s">
        <v>72</v>
      </c>
    </row>
    <row r="136">
      <c r="A136" s="12"/>
      <c r="B136" s="38" t="s">
        <v>300</v>
      </c>
      <c r="C136" s="36" t="s">
        <v>72</v>
      </c>
    </row>
    <row r="137">
      <c r="A137" s="45">
        <v>18.0</v>
      </c>
      <c r="B137" s="38" t="s">
        <v>301</v>
      </c>
      <c r="C137" s="36" t="s">
        <v>72</v>
      </c>
    </row>
    <row r="138">
      <c r="A138" s="12"/>
      <c r="B138" s="38" t="s">
        <v>303</v>
      </c>
      <c r="C138" s="36" t="s">
        <v>72</v>
      </c>
    </row>
    <row r="139">
      <c r="A139" s="12"/>
      <c r="B139" s="38" t="s">
        <v>305</v>
      </c>
      <c r="C139" s="36" t="s">
        <v>72</v>
      </c>
    </row>
    <row r="140">
      <c r="A140" s="12"/>
      <c r="B140" s="38" t="s">
        <v>307</v>
      </c>
      <c r="C140" s="36" t="s">
        <v>72</v>
      </c>
    </row>
    <row r="141">
      <c r="A141" s="12"/>
      <c r="B141" s="38" t="s">
        <v>308</v>
      </c>
      <c r="C141" s="36" t="s">
        <v>72</v>
      </c>
    </row>
    <row r="142">
      <c r="A142" s="12"/>
      <c r="B142" s="38" t="s">
        <v>309</v>
      </c>
      <c r="C142" s="36" t="s">
        <v>72</v>
      </c>
    </row>
    <row r="143">
      <c r="A143" s="45">
        <v>19.0</v>
      </c>
      <c r="B143" s="77" t="s">
        <v>121</v>
      </c>
      <c r="C143" s="36" t="s">
        <v>72</v>
      </c>
    </row>
    <row r="144">
      <c r="A144" s="12"/>
      <c r="B144" s="38" t="s">
        <v>310</v>
      </c>
      <c r="C144" s="36" t="s">
        <v>72</v>
      </c>
    </row>
    <row r="145">
      <c r="A145" s="12"/>
      <c r="B145" s="38" t="s">
        <v>312</v>
      </c>
      <c r="C145" s="36" t="s">
        <v>72</v>
      </c>
    </row>
    <row r="146">
      <c r="A146" s="12"/>
      <c r="B146" s="38" t="s">
        <v>314</v>
      </c>
      <c r="C146" s="36" t="s">
        <v>72</v>
      </c>
    </row>
    <row r="147">
      <c r="A147" s="12"/>
      <c r="B147" s="38" t="s">
        <v>315</v>
      </c>
      <c r="C147" s="36" t="s">
        <v>72</v>
      </c>
    </row>
    <row r="148">
      <c r="A148" s="12"/>
      <c r="B148" s="38" t="s">
        <v>316</v>
      </c>
      <c r="C148" s="36" t="s">
        <v>72</v>
      </c>
    </row>
    <row r="149">
      <c r="A149" s="75">
        <v>20.0</v>
      </c>
      <c r="B149" s="38" t="s">
        <v>317</v>
      </c>
      <c r="C149" s="36" t="s">
        <v>72</v>
      </c>
    </row>
    <row r="150">
      <c r="A150" s="12"/>
      <c r="B150" s="38" t="s">
        <v>318</v>
      </c>
      <c r="C150" s="36" t="s">
        <v>72</v>
      </c>
    </row>
    <row r="151">
      <c r="A151" s="12"/>
      <c r="B151" s="38" t="s">
        <v>319</v>
      </c>
      <c r="C151" s="36" t="s">
        <v>72</v>
      </c>
    </row>
    <row r="152">
      <c r="A152" s="12"/>
      <c r="B152" s="38" t="s">
        <v>320</v>
      </c>
      <c r="C152" s="36" t="s">
        <v>72</v>
      </c>
    </row>
    <row r="153">
      <c r="A153" s="12"/>
      <c r="B153" s="38" t="s">
        <v>323</v>
      </c>
      <c r="C153" s="36" t="s">
        <v>72</v>
      </c>
    </row>
    <row r="154">
      <c r="A154" s="12"/>
      <c r="B154" s="38" t="s">
        <v>324</v>
      </c>
      <c r="C154" s="36" t="s">
        <v>72</v>
      </c>
    </row>
    <row r="155">
      <c r="A155" s="45">
        <v>19.0</v>
      </c>
      <c r="B155" s="38" t="s">
        <v>325</v>
      </c>
      <c r="C155" s="36" t="s">
        <v>72</v>
      </c>
    </row>
    <row r="156">
      <c r="A156" s="12"/>
      <c r="B156" s="38" t="s">
        <v>326</v>
      </c>
      <c r="C156" s="36" t="s">
        <v>72</v>
      </c>
    </row>
    <row r="157">
      <c r="A157" s="12"/>
      <c r="B157" s="38" t="s">
        <v>327</v>
      </c>
      <c r="C157" s="36" t="s">
        <v>72</v>
      </c>
    </row>
    <row r="158">
      <c r="A158" s="12"/>
      <c r="B158" s="38" t="s">
        <v>328</v>
      </c>
      <c r="C158" s="36" t="s">
        <v>72</v>
      </c>
    </row>
    <row r="159">
      <c r="A159" s="12"/>
      <c r="B159" s="38" t="s">
        <v>329</v>
      </c>
      <c r="C159" s="36" t="s">
        <v>72</v>
      </c>
    </row>
    <row r="160">
      <c r="A160" s="12"/>
      <c r="B160" s="38" t="s">
        <v>330</v>
      </c>
      <c r="C160" s="36" t="s">
        <v>72</v>
      </c>
    </row>
    <row r="161">
      <c r="A161" s="45">
        <v>20.0</v>
      </c>
      <c r="B161" s="38" t="s">
        <v>331</v>
      </c>
      <c r="C161" s="36" t="s">
        <v>72</v>
      </c>
    </row>
    <row r="162">
      <c r="A162" s="12"/>
      <c r="B162" s="38" t="s">
        <v>332</v>
      </c>
      <c r="C162" s="36" t="s">
        <v>72</v>
      </c>
    </row>
    <row r="163">
      <c r="A163" s="12"/>
      <c r="B163" s="38" t="s">
        <v>333</v>
      </c>
      <c r="C163" s="36" t="s">
        <v>72</v>
      </c>
    </row>
    <row r="164">
      <c r="A164" s="12"/>
      <c r="B164" s="38" t="s">
        <v>334</v>
      </c>
      <c r="C164" s="79" t="s">
        <v>72</v>
      </c>
    </row>
    <row r="165">
      <c r="A165" s="12"/>
      <c r="B165" s="38" t="s">
        <v>337</v>
      </c>
      <c r="C165" s="79" t="s">
        <v>72</v>
      </c>
    </row>
    <row r="166">
      <c r="A166" s="12"/>
      <c r="B166" s="38" t="s">
        <v>338</v>
      </c>
      <c r="C166" s="79" t="s">
        <v>72</v>
      </c>
    </row>
    <row r="167">
      <c r="A167" s="75">
        <v>21.0</v>
      </c>
      <c r="B167" s="38" t="s">
        <v>339</v>
      </c>
      <c r="C167" s="79" t="s">
        <v>72</v>
      </c>
    </row>
    <row r="168">
      <c r="A168" s="12"/>
      <c r="B168" s="38" t="s">
        <v>340</v>
      </c>
      <c r="C168" s="79" t="s">
        <v>72</v>
      </c>
    </row>
    <row r="169">
      <c r="A169" s="12"/>
      <c r="B169" s="68" t="s">
        <v>341</v>
      </c>
      <c r="C169" s="79" t="s">
        <v>72</v>
      </c>
    </row>
    <row r="170">
      <c r="A170" s="12"/>
      <c r="B170" s="38" t="s">
        <v>342</v>
      </c>
      <c r="C170" s="79" t="s">
        <v>72</v>
      </c>
    </row>
    <row r="171">
      <c r="A171" s="12"/>
      <c r="B171" s="38" t="s">
        <v>201</v>
      </c>
      <c r="C171" s="79" t="s">
        <v>72</v>
      </c>
    </row>
    <row r="172">
      <c r="A172" s="12"/>
      <c r="B172" s="71" t="s">
        <v>343</v>
      </c>
      <c r="C172" s="79" t="s">
        <v>72</v>
      </c>
    </row>
    <row r="173">
      <c r="A173" s="45">
        <v>20.0</v>
      </c>
      <c r="B173" s="38" t="s">
        <v>346</v>
      </c>
      <c r="C173" s="79" t="s">
        <v>72</v>
      </c>
    </row>
    <row r="174">
      <c r="A174" s="12"/>
      <c r="B174" s="38" t="s">
        <v>208</v>
      </c>
      <c r="C174" s="79" t="s">
        <v>72</v>
      </c>
    </row>
    <row r="175">
      <c r="A175" s="12"/>
      <c r="B175" s="62" t="s">
        <v>347</v>
      </c>
      <c r="C175" s="79" t="s">
        <v>72</v>
      </c>
    </row>
    <row r="176">
      <c r="A176" s="12"/>
      <c r="B176" s="38" t="s">
        <v>348</v>
      </c>
      <c r="C176" s="79" t="s">
        <v>72</v>
      </c>
    </row>
    <row r="177">
      <c r="A177" s="12"/>
      <c r="B177" s="38" t="s">
        <v>349</v>
      </c>
      <c r="C177" s="79" t="s">
        <v>72</v>
      </c>
    </row>
    <row r="178">
      <c r="A178" s="12"/>
      <c r="B178" s="38" t="s">
        <v>351</v>
      </c>
      <c r="C178" s="79" t="s">
        <v>72</v>
      </c>
    </row>
    <row r="179">
      <c r="A179" s="45">
        <v>21.0</v>
      </c>
      <c r="B179" s="38" t="s">
        <v>353</v>
      </c>
      <c r="C179" s="79" t="s">
        <v>72</v>
      </c>
    </row>
    <row r="180">
      <c r="A180" s="12"/>
      <c r="B180" s="38" t="s">
        <v>354</v>
      </c>
      <c r="C180" s="86" t="s">
        <v>72</v>
      </c>
    </row>
    <row r="181">
      <c r="A181" s="12"/>
      <c r="B181" s="38" t="s">
        <v>355</v>
      </c>
      <c r="C181" s="36" t="s">
        <v>72</v>
      </c>
    </row>
    <row r="182">
      <c r="A182" s="12"/>
      <c r="B182" s="38" t="s">
        <v>356</v>
      </c>
      <c r="C182" s="36" t="s">
        <v>72</v>
      </c>
    </row>
    <row r="183">
      <c r="A183" s="12"/>
      <c r="B183" s="38" t="s">
        <v>357</v>
      </c>
      <c r="C183" s="36" t="s">
        <v>72</v>
      </c>
    </row>
    <row r="184">
      <c r="A184" s="12"/>
      <c r="B184" s="38" t="s">
        <v>358</v>
      </c>
      <c r="C184" s="36" t="s">
        <v>72</v>
      </c>
    </row>
    <row r="185">
      <c r="A185" s="75">
        <v>22.0</v>
      </c>
      <c r="B185" s="38" t="s">
        <v>361</v>
      </c>
      <c r="C185" s="36" t="s">
        <v>72</v>
      </c>
    </row>
    <row r="186">
      <c r="A186" s="12"/>
      <c r="B186" s="38" t="s">
        <v>362</v>
      </c>
      <c r="C186" s="36" t="s">
        <v>72</v>
      </c>
    </row>
    <row r="187">
      <c r="A187" s="12"/>
      <c r="B187" s="38" t="s">
        <v>363</v>
      </c>
      <c r="C187" s="36" t="s">
        <v>72</v>
      </c>
    </row>
    <row r="188">
      <c r="A188" s="12"/>
      <c r="B188" s="38" t="s">
        <v>364</v>
      </c>
      <c r="C188" s="36" t="s">
        <v>72</v>
      </c>
    </row>
    <row r="189">
      <c r="A189" s="12"/>
      <c r="B189" s="38" t="s">
        <v>365</v>
      </c>
      <c r="C189" s="36" t="s">
        <v>72</v>
      </c>
    </row>
    <row r="190">
      <c r="A190" s="12"/>
      <c r="B190" s="38" t="s">
        <v>368</v>
      </c>
      <c r="C190" s="36" t="s">
        <v>72</v>
      </c>
    </row>
    <row r="191">
      <c r="A191" s="45">
        <v>21.0</v>
      </c>
      <c r="B191" s="38" t="s">
        <v>369</v>
      </c>
      <c r="C191" s="36" t="s">
        <v>72</v>
      </c>
    </row>
    <row r="192">
      <c r="A192" s="12"/>
      <c r="B192" s="38" t="s">
        <v>370</v>
      </c>
      <c r="C192" s="36" t="s">
        <v>72</v>
      </c>
    </row>
    <row r="193">
      <c r="A193" s="12"/>
      <c r="B193" s="38" t="s">
        <v>371</v>
      </c>
      <c r="C193" s="36" t="s">
        <v>72</v>
      </c>
    </row>
    <row r="194">
      <c r="A194" s="12"/>
      <c r="B194" s="38" t="s">
        <v>372</v>
      </c>
      <c r="C194" s="36" t="s">
        <v>72</v>
      </c>
    </row>
    <row r="195">
      <c r="A195" s="12"/>
      <c r="B195" s="62" t="s">
        <v>374</v>
      </c>
      <c r="C195" s="36" t="s">
        <v>72</v>
      </c>
    </row>
    <row r="196">
      <c r="A196" s="12"/>
      <c r="B196" s="38" t="s">
        <v>378</v>
      </c>
      <c r="C196" s="36" t="s">
        <v>72</v>
      </c>
    </row>
    <row r="197">
      <c r="A197" s="45">
        <v>22.0</v>
      </c>
      <c r="B197" s="38" t="s">
        <v>379</v>
      </c>
      <c r="C197" s="36" t="s">
        <v>72</v>
      </c>
    </row>
    <row r="198">
      <c r="A198" s="12"/>
      <c r="B198" s="38" t="s">
        <v>381</v>
      </c>
      <c r="C198" s="36" t="s">
        <v>72</v>
      </c>
    </row>
    <row r="199">
      <c r="A199" s="12"/>
      <c r="B199" s="38" t="s">
        <v>382</v>
      </c>
      <c r="C199" s="36" t="s">
        <v>72</v>
      </c>
    </row>
    <row r="200">
      <c r="A200" s="12"/>
      <c r="B200" s="38" t="s">
        <v>383</v>
      </c>
      <c r="C200" s="36" t="s">
        <v>72</v>
      </c>
    </row>
    <row r="201">
      <c r="A201" s="12"/>
      <c r="B201" s="38" t="s">
        <v>385</v>
      </c>
      <c r="C201" s="79" t="s">
        <v>72</v>
      </c>
    </row>
    <row r="202">
      <c r="A202" s="12"/>
      <c r="B202" s="38" t="s">
        <v>387</v>
      </c>
      <c r="C202" s="79" t="s">
        <v>72</v>
      </c>
    </row>
    <row r="203">
      <c r="A203" s="75">
        <v>23.0</v>
      </c>
      <c r="B203" s="38" t="s">
        <v>390</v>
      </c>
      <c r="C203" s="79" t="s">
        <v>72</v>
      </c>
    </row>
    <row r="204">
      <c r="A204" s="12"/>
      <c r="B204" s="38" t="s">
        <v>391</v>
      </c>
      <c r="C204" s="79" t="s">
        <v>72</v>
      </c>
    </row>
    <row r="205">
      <c r="A205" s="12"/>
      <c r="B205" s="38" t="s">
        <v>392</v>
      </c>
      <c r="C205" s="79" t="s">
        <v>72</v>
      </c>
    </row>
    <row r="206">
      <c r="A206" s="12"/>
      <c r="B206" s="38" t="s">
        <v>393</v>
      </c>
      <c r="C206" s="79" t="s">
        <v>72</v>
      </c>
    </row>
    <row r="207">
      <c r="A207" s="12"/>
      <c r="B207" s="38" t="s">
        <v>394</v>
      </c>
      <c r="C207" s="79" t="s">
        <v>72</v>
      </c>
    </row>
    <row r="208">
      <c r="A208" s="12"/>
      <c r="B208" s="38" t="s">
        <v>395</v>
      </c>
      <c r="C208" s="79" t="s">
        <v>72</v>
      </c>
    </row>
    <row r="209">
      <c r="A209" s="45">
        <v>22.0</v>
      </c>
      <c r="B209" s="38" t="s">
        <v>396</v>
      </c>
      <c r="C209" s="79" t="s">
        <v>72</v>
      </c>
    </row>
    <row r="210">
      <c r="A210" s="12"/>
      <c r="B210" s="38" t="s">
        <v>397</v>
      </c>
      <c r="C210" s="79" t="s">
        <v>72</v>
      </c>
    </row>
    <row r="211">
      <c r="A211" s="12"/>
      <c r="B211" s="38" t="s">
        <v>398</v>
      </c>
      <c r="C211" s="79" t="s">
        <v>72</v>
      </c>
    </row>
    <row r="212">
      <c r="A212" s="12"/>
      <c r="B212" s="38" t="s">
        <v>403</v>
      </c>
      <c r="C212" s="79" t="s">
        <v>72</v>
      </c>
    </row>
    <row r="213">
      <c r="A213" s="12"/>
      <c r="B213" s="38" t="s">
        <v>404</v>
      </c>
      <c r="C213" s="79" t="s">
        <v>72</v>
      </c>
    </row>
    <row r="214">
      <c r="A214" s="12"/>
      <c r="B214" s="38" t="s">
        <v>407</v>
      </c>
      <c r="C214" s="79" t="s">
        <v>72</v>
      </c>
    </row>
    <row r="215">
      <c r="A215" s="45">
        <v>23.0</v>
      </c>
      <c r="B215" s="38" t="s">
        <v>408</v>
      </c>
      <c r="C215" s="79" t="s">
        <v>72</v>
      </c>
    </row>
    <row r="216">
      <c r="A216" s="12"/>
      <c r="B216" s="38" t="s">
        <v>409</v>
      </c>
      <c r="C216" s="79" t="s">
        <v>72</v>
      </c>
    </row>
    <row r="217">
      <c r="A217" s="12"/>
      <c r="B217" s="38" t="s">
        <v>410</v>
      </c>
      <c r="C217" s="86" t="s">
        <v>72</v>
      </c>
    </row>
    <row r="218">
      <c r="A218" s="12"/>
      <c r="B218" s="38" t="s">
        <v>411</v>
      </c>
      <c r="C218" s="79" t="s">
        <v>72</v>
      </c>
    </row>
    <row r="219">
      <c r="A219" s="12"/>
      <c r="B219" s="38" t="s">
        <v>414</v>
      </c>
      <c r="C219" s="79" t="s">
        <v>72</v>
      </c>
    </row>
    <row r="220">
      <c r="A220" s="12"/>
      <c r="B220" s="38" t="s">
        <v>415</v>
      </c>
      <c r="C220" s="79" t="s">
        <v>72</v>
      </c>
    </row>
    <row r="221">
      <c r="A221" s="75">
        <v>24.0</v>
      </c>
      <c r="B221" s="38" t="s">
        <v>416</v>
      </c>
      <c r="C221" s="79" t="s">
        <v>72</v>
      </c>
    </row>
    <row r="222">
      <c r="A222" s="12"/>
      <c r="B222" s="68" t="s">
        <v>417</v>
      </c>
      <c r="C222" s="79" t="s">
        <v>72</v>
      </c>
    </row>
    <row r="223">
      <c r="A223" s="12"/>
      <c r="B223" s="38" t="s">
        <v>438</v>
      </c>
      <c r="C223" s="79" t="s">
        <v>72</v>
      </c>
    </row>
    <row r="224">
      <c r="A224" s="12"/>
      <c r="B224" s="38" t="s">
        <v>201</v>
      </c>
      <c r="C224" s="79" t="s">
        <v>72</v>
      </c>
    </row>
    <row r="225">
      <c r="A225" s="12"/>
      <c r="B225" s="71" t="s">
        <v>439</v>
      </c>
      <c r="C225" s="79" t="s">
        <v>72</v>
      </c>
    </row>
    <row r="226">
      <c r="A226" s="12"/>
      <c r="B226" s="38" t="s">
        <v>440</v>
      </c>
      <c r="C226" s="79" t="s">
        <v>72</v>
      </c>
    </row>
    <row r="227">
      <c r="A227" s="45">
        <v>23.0</v>
      </c>
      <c r="B227" s="38" t="s">
        <v>208</v>
      </c>
      <c r="C227" s="79" t="s">
        <v>72</v>
      </c>
    </row>
    <row r="228">
      <c r="A228" s="12"/>
      <c r="B228" s="38" t="s">
        <v>442</v>
      </c>
      <c r="C228" s="79" t="s">
        <v>72</v>
      </c>
    </row>
    <row r="229">
      <c r="A229" s="12"/>
      <c r="B229" s="38" t="s">
        <v>446</v>
      </c>
      <c r="C229" s="79" t="s">
        <v>72</v>
      </c>
    </row>
    <row r="230">
      <c r="A230" s="12"/>
      <c r="B230" s="38" t="s">
        <v>447</v>
      </c>
      <c r="C230" s="86" t="s">
        <v>72</v>
      </c>
    </row>
    <row r="231">
      <c r="A231" s="12"/>
      <c r="B231" s="38" t="s">
        <v>448</v>
      </c>
      <c r="C231" s="36" t="s">
        <v>72</v>
      </c>
    </row>
    <row r="232">
      <c r="A232" s="12"/>
      <c r="B232" s="38" t="s">
        <v>450</v>
      </c>
      <c r="C232" s="36" t="s">
        <v>72</v>
      </c>
    </row>
    <row r="233">
      <c r="A233" s="45">
        <v>24.0</v>
      </c>
      <c r="B233" s="38" t="s">
        <v>452</v>
      </c>
      <c r="C233" s="36" t="s">
        <v>72</v>
      </c>
    </row>
    <row r="234">
      <c r="A234" s="12"/>
      <c r="B234" s="38" t="s">
        <v>453</v>
      </c>
      <c r="C234" s="36" t="s">
        <v>72</v>
      </c>
    </row>
    <row r="235">
      <c r="A235" s="12"/>
      <c r="B235" s="38" t="s">
        <v>456</v>
      </c>
      <c r="C235" s="36" t="s">
        <v>72</v>
      </c>
    </row>
    <row r="236">
      <c r="A236" s="12"/>
      <c r="B236" s="38" t="s">
        <v>458</v>
      </c>
      <c r="C236" s="36" t="s">
        <v>72</v>
      </c>
    </row>
    <row r="237">
      <c r="A237" s="12"/>
      <c r="B237" s="68" t="s">
        <v>459</v>
      </c>
      <c r="C237" s="36" t="s">
        <v>72</v>
      </c>
    </row>
    <row r="238">
      <c r="A238" s="12"/>
      <c r="B238" s="38" t="s">
        <v>460</v>
      </c>
      <c r="C238" s="36" t="s">
        <v>72</v>
      </c>
    </row>
    <row r="239">
      <c r="A239" s="75">
        <v>25.0</v>
      </c>
      <c r="B239" s="38" t="s">
        <v>201</v>
      </c>
      <c r="C239" s="36" t="s">
        <v>72</v>
      </c>
    </row>
    <row r="240">
      <c r="A240" s="12"/>
      <c r="B240" s="71" t="s">
        <v>462</v>
      </c>
      <c r="C240" s="36" t="s">
        <v>72</v>
      </c>
    </row>
    <row r="241">
      <c r="A241" s="12"/>
      <c r="B241" s="38" t="s">
        <v>465</v>
      </c>
      <c r="C241" s="36" t="s">
        <v>72</v>
      </c>
    </row>
    <row r="242">
      <c r="A242" s="12"/>
      <c r="B242" s="38" t="s">
        <v>208</v>
      </c>
      <c r="C242" s="36" t="s">
        <v>72</v>
      </c>
    </row>
    <row r="243">
      <c r="A243" s="12"/>
      <c r="B243" s="62" t="s">
        <v>476</v>
      </c>
      <c r="C243" s="36" t="s">
        <v>72</v>
      </c>
    </row>
    <row r="244">
      <c r="A244" s="12"/>
      <c r="B244" s="38" t="s">
        <v>477</v>
      </c>
      <c r="C244" s="36" t="s">
        <v>72</v>
      </c>
    </row>
    <row r="245">
      <c r="A245" s="45">
        <v>24.0</v>
      </c>
      <c r="B245" s="38" t="s">
        <v>483</v>
      </c>
      <c r="C245" s="36" t="s">
        <v>72</v>
      </c>
    </row>
    <row r="246">
      <c r="A246" s="12"/>
      <c r="B246" s="38" t="s">
        <v>484</v>
      </c>
      <c r="C246" s="36" t="s">
        <v>72</v>
      </c>
    </row>
    <row r="247">
      <c r="A247" s="12"/>
      <c r="B247" s="38" t="s">
        <v>487</v>
      </c>
      <c r="C247" s="36" t="s">
        <v>72</v>
      </c>
    </row>
    <row r="248">
      <c r="A248" s="12"/>
      <c r="B248" s="62" t="s">
        <v>488</v>
      </c>
      <c r="C248" s="36" t="s">
        <v>72</v>
      </c>
    </row>
    <row r="249">
      <c r="A249" s="12"/>
      <c r="B249" s="38" t="s">
        <v>489</v>
      </c>
      <c r="C249" s="36" t="s">
        <v>72</v>
      </c>
    </row>
    <row r="250">
      <c r="A250" s="12"/>
      <c r="B250" s="38" t="s">
        <v>494</v>
      </c>
      <c r="C250" s="36" t="s">
        <v>72</v>
      </c>
    </row>
    <row r="251">
      <c r="A251" s="45">
        <v>25.0</v>
      </c>
      <c r="B251" s="62" t="s">
        <v>495</v>
      </c>
      <c r="C251" s="79" t="s">
        <v>72</v>
      </c>
    </row>
    <row r="252">
      <c r="A252" s="12"/>
      <c r="B252" s="38" t="s">
        <v>497</v>
      </c>
      <c r="C252" s="79" t="s">
        <v>72</v>
      </c>
    </row>
    <row r="253">
      <c r="A253" s="12"/>
      <c r="B253" s="38" t="s">
        <v>499</v>
      </c>
      <c r="C253" s="79" t="s">
        <v>72</v>
      </c>
    </row>
    <row r="254">
      <c r="A254" s="12"/>
      <c r="B254" s="62" t="s">
        <v>500</v>
      </c>
      <c r="C254" s="79" t="s">
        <v>72</v>
      </c>
    </row>
    <row r="255">
      <c r="A255" s="12"/>
      <c r="B255" s="38" t="s">
        <v>501</v>
      </c>
      <c r="C255" s="79" t="s">
        <v>72</v>
      </c>
    </row>
    <row r="256">
      <c r="A256" s="12"/>
      <c r="B256" s="38" t="s">
        <v>502</v>
      </c>
      <c r="C256" s="36" t="s">
        <v>72</v>
      </c>
    </row>
    <row r="257">
      <c r="A257" s="75">
        <v>26.0</v>
      </c>
      <c r="B257" s="62" t="s">
        <v>505</v>
      </c>
      <c r="C257" s="36"/>
    </row>
    <row r="258">
      <c r="A258" s="12"/>
      <c r="B258" s="38" t="s">
        <v>507</v>
      </c>
      <c r="C258" s="36"/>
    </row>
    <row r="259">
      <c r="A259" s="12"/>
      <c r="B259" s="38" t="s">
        <v>508</v>
      </c>
      <c r="C259" s="36"/>
    </row>
    <row r="260">
      <c r="A260" s="12"/>
      <c r="B260" s="38" t="s">
        <v>510</v>
      </c>
      <c r="C260" s="36"/>
    </row>
    <row r="261">
      <c r="A261" s="12"/>
      <c r="B261" s="96"/>
      <c r="C261" s="96"/>
    </row>
    <row r="262">
      <c r="A262" s="12"/>
      <c r="B262" s="96"/>
      <c r="C262" s="96"/>
    </row>
    <row r="263">
      <c r="A263" s="96"/>
      <c r="B263" s="96"/>
      <c r="C263" s="96"/>
    </row>
    <row r="264">
      <c r="A264" s="96"/>
      <c r="B264" s="96"/>
      <c r="C264" s="96"/>
    </row>
    <row r="265">
      <c r="A265" s="96"/>
      <c r="B265" s="96"/>
      <c r="C265" s="96"/>
    </row>
    <row r="266">
      <c r="A266" s="96"/>
      <c r="B266" s="96"/>
      <c r="C266" s="96"/>
    </row>
    <row r="267">
      <c r="A267" s="96"/>
      <c r="B267" s="96"/>
      <c r="C267" s="96"/>
    </row>
    <row r="268">
      <c r="A268" s="96"/>
      <c r="B268" s="96"/>
      <c r="C268" s="96"/>
    </row>
    <row r="269">
      <c r="A269" s="96"/>
      <c r="B269" s="96"/>
      <c r="C269" s="96"/>
    </row>
    <row r="270">
      <c r="A270" s="96"/>
      <c r="B270" s="96"/>
      <c r="C270" s="96"/>
    </row>
    <row r="271">
      <c r="A271" s="96"/>
      <c r="B271" s="96"/>
      <c r="C271" s="96"/>
    </row>
    <row r="272">
      <c r="A272" s="96"/>
      <c r="B272" s="96"/>
      <c r="C272" s="96"/>
    </row>
    <row r="273">
      <c r="A273" s="96"/>
      <c r="B273" s="96"/>
      <c r="C273" s="96"/>
    </row>
    <row r="274">
      <c r="A274" s="96"/>
      <c r="B274" s="96"/>
      <c r="C274" s="96"/>
    </row>
    <row r="275">
      <c r="A275" s="96"/>
      <c r="B275" s="96"/>
      <c r="C275" s="96"/>
    </row>
    <row r="276">
      <c r="A276" s="96"/>
      <c r="B276" s="96"/>
      <c r="C276" s="96"/>
    </row>
    <row r="277">
      <c r="A277" s="96"/>
      <c r="B277" s="96"/>
      <c r="C277" s="96"/>
    </row>
    <row r="278">
      <c r="A278" s="96"/>
      <c r="B278" s="96"/>
      <c r="C278" s="96"/>
    </row>
    <row r="279">
      <c r="A279" s="96"/>
      <c r="B279" s="96"/>
      <c r="C279" s="96"/>
    </row>
    <row r="280">
      <c r="A280" s="96"/>
      <c r="B280" s="96"/>
      <c r="C280" s="96"/>
    </row>
    <row r="281">
      <c r="A281" s="96"/>
      <c r="B281" s="96"/>
      <c r="C281" s="96"/>
    </row>
    <row r="282">
      <c r="A282" s="96"/>
      <c r="B282" s="96"/>
      <c r="C282" s="96"/>
    </row>
    <row r="283">
      <c r="A283" s="96"/>
      <c r="B283" s="96"/>
      <c r="C283" s="96"/>
    </row>
    <row r="284">
      <c r="A284" s="96"/>
      <c r="B284" s="96"/>
      <c r="C284" s="96"/>
    </row>
    <row r="285">
      <c r="A285" s="96"/>
      <c r="B285" s="96"/>
      <c r="C285" s="96"/>
    </row>
    <row r="286">
      <c r="A286" s="96"/>
      <c r="B286" s="96"/>
      <c r="C286" s="96"/>
    </row>
    <row r="287">
      <c r="A287" s="96"/>
      <c r="B287" s="96"/>
      <c r="C287" s="96"/>
    </row>
    <row r="288">
      <c r="A288" s="96"/>
      <c r="B288" s="96"/>
      <c r="C288" s="96"/>
    </row>
    <row r="289">
      <c r="A289" s="96"/>
      <c r="B289" s="96"/>
      <c r="C289" s="96"/>
    </row>
    <row r="290">
      <c r="A290" s="96"/>
      <c r="B290" s="96"/>
      <c r="C290" s="96"/>
    </row>
    <row r="291">
      <c r="A291" s="96"/>
      <c r="B291" s="96"/>
      <c r="C291" s="96"/>
    </row>
    <row r="292">
      <c r="A292" s="96"/>
      <c r="B292" s="96"/>
      <c r="C292" s="96"/>
    </row>
    <row r="293">
      <c r="A293" s="96"/>
      <c r="B293" s="96"/>
      <c r="C293" s="96"/>
    </row>
    <row r="294">
      <c r="A294" s="96"/>
      <c r="B294" s="96"/>
      <c r="C294" s="96"/>
    </row>
    <row r="295">
      <c r="A295" s="96"/>
      <c r="B295" s="96"/>
      <c r="C295" s="96"/>
    </row>
    <row r="296">
      <c r="A296" s="96"/>
      <c r="B296" s="96"/>
      <c r="C296" s="96"/>
    </row>
    <row r="297">
      <c r="A297" s="96"/>
      <c r="B297" s="96"/>
      <c r="C297" s="96"/>
    </row>
    <row r="298">
      <c r="A298" s="96"/>
      <c r="B298" s="96"/>
      <c r="C298" s="96"/>
    </row>
    <row r="299">
      <c r="A299" s="96"/>
      <c r="B299" s="96"/>
      <c r="C299" s="96"/>
    </row>
    <row r="300">
      <c r="A300" s="96"/>
      <c r="B300" s="96"/>
      <c r="C300" s="96"/>
    </row>
    <row r="301">
      <c r="A301" s="96"/>
      <c r="B301" s="96"/>
      <c r="C301" s="96"/>
    </row>
    <row r="302">
      <c r="A302" s="96"/>
      <c r="B302" s="96"/>
      <c r="C302" s="96"/>
    </row>
    <row r="303">
      <c r="A303" s="96"/>
      <c r="B303" s="96"/>
      <c r="C303" s="96"/>
    </row>
    <row r="304">
      <c r="A304" s="96"/>
      <c r="B304" s="96"/>
      <c r="C304" s="96"/>
    </row>
    <row r="305">
      <c r="A305" s="96"/>
      <c r="B305" s="96"/>
      <c r="C305" s="96"/>
    </row>
    <row r="306">
      <c r="A306" s="96"/>
      <c r="B306" s="96"/>
      <c r="C306" s="96"/>
    </row>
    <row r="307">
      <c r="A307" s="96"/>
      <c r="B307" s="96"/>
      <c r="C307" s="96"/>
    </row>
    <row r="308">
      <c r="A308" s="96"/>
      <c r="B308" s="96"/>
      <c r="C308" s="96"/>
    </row>
    <row r="309">
      <c r="A309" s="96"/>
      <c r="B309" s="96"/>
      <c r="C309" s="96"/>
    </row>
    <row r="310">
      <c r="A310" s="96"/>
      <c r="B310" s="96"/>
      <c r="C310" s="96"/>
    </row>
    <row r="311">
      <c r="A311" s="96"/>
      <c r="B311" s="96"/>
      <c r="C311" s="96"/>
    </row>
    <row r="312">
      <c r="A312" s="96"/>
      <c r="B312" s="96"/>
      <c r="C312" s="96"/>
    </row>
    <row r="313">
      <c r="A313" s="96"/>
      <c r="B313" s="96"/>
      <c r="C313" s="96"/>
    </row>
    <row r="314">
      <c r="A314" s="96"/>
      <c r="B314" s="96"/>
      <c r="C314" s="96"/>
    </row>
    <row r="315">
      <c r="A315" s="96"/>
      <c r="B315" s="96"/>
      <c r="C315" s="96"/>
    </row>
    <row r="316">
      <c r="A316" s="96"/>
      <c r="B316" s="96"/>
      <c r="C316" s="96"/>
    </row>
    <row r="317">
      <c r="A317" s="96"/>
      <c r="B317" s="96"/>
      <c r="C317" s="96"/>
    </row>
    <row r="318">
      <c r="A318" s="96"/>
      <c r="B318" s="96"/>
      <c r="C318" s="96"/>
    </row>
    <row r="319">
      <c r="A319" s="96"/>
      <c r="B319" s="96"/>
      <c r="C319" s="96"/>
    </row>
    <row r="320">
      <c r="A320" s="96"/>
      <c r="B320" s="96"/>
      <c r="C320" s="96"/>
    </row>
    <row r="321">
      <c r="A321" s="96"/>
      <c r="B321" s="96"/>
      <c r="C321" s="96"/>
    </row>
    <row r="322">
      <c r="A322" s="96"/>
      <c r="B322" s="96"/>
      <c r="C322" s="96"/>
    </row>
    <row r="323">
      <c r="A323" s="96"/>
      <c r="B323" s="96"/>
      <c r="C323" s="96"/>
    </row>
    <row r="324">
      <c r="A324" s="96"/>
      <c r="B324" s="96"/>
      <c r="C324" s="96"/>
    </row>
    <row r="325">
      <c r="A325" s="96"/>
      <c r="B325" s="96"/>
      <c r="C325" s="96"/>
    </row>
    <row r="326">
      <c r="A326" s="96"/>
      <c r="B326" s="96"/>
      <c r="C326" s="96"/>
    </row>
    <row r="327">
      <c r="A327" s="96"/>
      <c r="B327" s="96"/>
      <c r="C327" s="96"/>
    </row>
    <row r="328">
      <c r="A328" s="96"/>
      <c r="B328" s="96"/>
      <c r="C328" s="96"/>
    </row>
    <row r="329">
      <c r="A329" s="96"/>
      <c r="B329" s="96"/>
      <c r="C329" s="96"/>
    </row>
    <row r="330">
      <c r="A330" s="96"/>
      <c r="B330" s="96"/>
      <c r="C330" s="96"/>
    </row>
    <row r="331">
      <c r="A331" s="96"/>
      <c r="B331" s="96"/>
      <c r="C331" s="96"/>
    </row>
    <row r="332">
      <c r="A332" s="96"/>
      <c r="B332" s="96"/>
      <c r="C332" s="96"/>
    </row>
    <row r="333">
      <c r="A333" s="96"/>
      <c r="B333" s="96"/>
      <c r="C333" s="96"/>
    </row>
    <row r="334">
      <c r="A334" s="96"/>
      <c r="B334" s="96"/>
      <c r="C334" s="96"/>
    </row>
    <row r="335">
      <c r="A335" s="96"/>
      <c r="B335" s="96"/>
      <c r="C335" s="96"/>
    </row>
    <row r="336">
      <c r="A336" s="96"/>
      <c r="B336" s="96"/>
      <c r="C336" s="96"/>
    </row>
    <row r="337">
      <c r="A337" s="96"/>
      <c r="B337" s="96"/>
      <c r="C337" s="96"/>
    </row>
    <row r="338">
      <c r="A338" s="96"/>
      <c r="B338" s="96"/>
      <c r="C338" s="96"/>
    </row>
    <row r="339">
      <c r="A339" s="96"/>
      <c r="B339" s="96"/>
      <c r="C339" s="96"/>
    </row>
    <row r="340">
      <c r="A340" s="96"/>
      <c r="B340" s="96"/>
      <c r="C340" s="96"/>
    </row>
    <row r="341">
      <c r="A341" s="96"/>
      <c r="B341" s="96"/>
      <c r="C341" s="96"/>
    </row>
    <row r="342">
      <c r="A342" s="96"/>
      <c r="B342" s="96"/>
      <c r="C342" s="96"/>
    </row>
    <row r="343">
      <c r="A343" s="96"/>
      <c r="B343" s="96"/>
      <c r="C343" s="96"/>
    </row>
    <row r="344">
      <c r="A344" s="96"/>
      <c r="B344" s="96"/>
      <c r="C344" s="96"/>
    </row>
    <row r="345">
      <c r="A345" s="96"/>
      <c r="B345" s="96"/>
      <c r="C345" s="96"/>
    </row>
    <row r="346">
      <c r="A346" s="96"/>
      <c r="B346" s="96"/>
      <c r="C346" s="96"/>
    </row>
    <row r="347">
      <c r="A347" s="96"/>
      <c r="B347" s="96"/>
      <c r="C347" s="96"/>
    </row>
    <row r="348">
      <c r="A348" s="96"/>
      <c r="B348" s="96"/>
      <c r="C348" s="96"/>
    </row>
    <row r="349">
      <c r="A349" s="96"/>
      <c r="B349" s="96"/>
      <c r="C349" s="96"/>
    </row>
    <row r="350">
      <c r="A350" s="96"/>
      <c r="B350" s="96"/>
      <c r="C350" s="96"/>
    </row>
    <row r="351">
      <c r="A351" s="96"/>
      <c r="B351" s="96"/>
      <c r="C351" s="96"/>
    </row>
    <row r="352">
      <c r="A352" s="96"/>
      <c r="B352" s="96"/>
      <c r="C352" s="96"/>
    </row>
    <row r="353">
      <c r="A353" s="96"/>
      <c r="B353" s="96"/>
      <c r="C353" s="96"/>
    </row>
    <row r="354">
      <c r="A354" s="96"/>
      <c r="B354" s="96"/>
      <c r="C354" s="96"/>
    </row>
    <row r="355">
      <c r="A355" s="96"/>
      <c r="B355" s="96"/>
      <c r="C355" s="96"/>
    </row>
    <row r="356">
      <c r="A356" s="96"/>
      <c r="B356" s="96"/>
      <c r="C356" s="96"/>
    </row>
    <row r="357">
      <c r="A357" s="96"/>
      <c r="B357" s="96"/>
      <c r="C357" s="96"/>
    </row>
    <row r="358">
      <c r="A358" s="96"/>
      <c r="B358" s="96"/>
      <c r="C358" s="96"/>
    </row>
    <row r="359">
      <c r="A359" s="96"/>
      <c r="B359" s="96"/>
      <c r="C359" s="96"/>
    </row>
    <row r="360">
      <c r="A360" s="96"/>
      <c r="B360" s="96"/>
      <c r="C360" s="96"/>
    </row>
    <row r="361">
      <c r="A361" s="96"/>
      <c r="B361" s="96"/>
      <c r="C361" s="96"/>
    </row>
    <row r="362">
      <c r="A362" s="96"/>
      <c r="B362" s="96"/>
      <c r="C362" s="96"/>
    </row>
    <row r="363">
      <c r="A363" s="96"/>
      <c r="B363" s="96"/>
      <c r="C363" s="96"/>
    </row>
    <row r="364">
      <c r="A364" s="96"/>
      <c r="B364" s="96"/>
      <c r="C364" s="96"/>
    </row>
    <row r="365">
      <c r="A365" s="96"/>
      <c r="B365" s="96"/>
      <c r="C365" s="96"/>
    </row>
    <row r="366">
      <c r="A366" s="96"/>
      <c r="B366" s="96"/>
      <c r="C366" s="96"/>
    </row>
    <row r="367">
      <c r="A367" s="96"/>
      <c r="B367" s="96"/>
      <c r="C367" s="96"/>
    </row>
    <row r="368">
      <c r="A368" s="96"/>
      <c r="B368" s="96"/>
      <c r="C368" s="96"/>
    </row>
    <row r="369">
      <c r="A369" s="96"/>
      <c r="B369" s="96"/>
      <c r="C369" s="96"/>
    </row>
    <row r="370">
      <c r="A370" s="96"/>
      <c r="B370" s="96"/>
      <c r="C370" s="96"/>
    </row>
    <row r="371">
      <c r="A371" s="96"/>
      <c r="B371" s="96"/>
      <c r="C371" s="96"/>
    </row>
    <row r="372">
      <c r="A372" s="96"/>
      <c r="B372" s="96"/>
      <c r="C372" s="96"/>
    </row>
    <row r="373">
      <c r="A373" s="96"/>
      <c r="B373" s="96"/>
      <c r="C373" s="96"/>
    </row>
    <row r="374">
      <c r="A374" s="96"/>
      <c r="B374" s="96"/>
      <c r="C374" s="96"/>
    </row>
    <row r="375">
      <c r="A375" s="96"/>
      <c r="B375" s="96"/>
      <c r="C375" s="96"/>
    </row>
    <row r="376">
      <c r="A376" s="96"/>
      <c r="B376" s="96"/>
      <c r="C376" s="96"/>
    </row>
    <row r="377">
      <c r="A377" s="96"/>
      <c r="B377" s="96"/>
      <c r="C377" s="96"/>
    </row>
    <row r="378">
      <c r="A378" s="96"/>
      <c r="B378" s="96"/>
      <c r="C378" s="96"/>
    </row>
    <row r="379">
      <c r="A379" s="96"/>
      <c r="B379" s="96"/>
      <c r="C379" s="96"/>
    </row>
    <row r="380">
      <c r="A380" s="96"/>
      <c r="B380" s="96"/>
      <c r="C380" s="96"/>
    </row>
    <row r="381">
      <c r="A381" s="96"/>
      <c r="B381" s="96"/>
      <c r="C381" s="96"/>
    </row>
    <row r="382">
      <c r="A382" s="96"/>
      <c r="B382" s="96"/>
      <c r="C382" s="96"/>
    </row>
    <row r="383">
      <c r="A383" s="96"/>
      <c r="B383" s="96"/>
      <c r="C383" s="96"/>
    </row>
    <row r="384">
      <c r="A384" s="96"/>
      <c r="B384" s="96"/>
      <c r="C384" s="96"/>
    </row>
    <row r="385">
      <c r="A385" s="96"/>
      <c r="B385" s="96"/>
      <c r="C385" s="96"/>
    </row>
    <row r="386">
      <c r="A386" s="96"/>
      <c r="B386" s="96"/>
      <c r="C386" s="96"/>
    </row>
    <row r="387">
      <c r="A387" s="96"/>
      <c r="B387" s="96"/>
      <c r="C387" s="96"/>
    </row>
    <row r="388">
      <c r="A388" s="96"/>
      <c r="B388" s="96"/>
      <c r="C388" s="96"/>
    </row>
    <row r="389">
      <c r="A389" s="96"/>
      <c r="B389" s="96"/>
      <c r="C389" s="96"/>
    </row>
    <row r="390">
      <c r="A390" s="96"/>
      <c r="B390" s="96"/>
      <c r="C390" s="96"/>
    </row>
    <row r="391">
      <c r="A391" s="96"/>
      <c r="B391" s="96"/>
      <c r="C391" s="96"/>
    </row>
    <row r="392">
      <c r="A392" s="96"/>
      <c r="B392" s="96"/>
      <c r="C392" s="96"/>
    </row>
    <row r="393">
      <c r="A393" s="96"/>
      <c r="B393" s="96"/>
      <c r="C393" s="96"/>
    </row>
    <row r="394">
      <c r="A394" s="96"/>
      <c r="B394" s="96"/>
      <c r="C394" s="96"/>
    </row>
    <row r="395">
      <c r="A395" s="96"/>
      <c r="B395" s="96"/>
      <c r="C395" s="96"/>
    </row>
    <row r="396">
      <c r="A396" s="96"/>
      <c r="B396" s="96"/>
      <c r="C396" s="96"/>
    </row>
    <row r="397">
      <c r="A397" s="96"/>
      <c r="B397" s="96"/>
      <c r="C397" s="96"/>
    </row>
    <row r="398">
      <c r="A398" s="96"/>
      <c r="B398" s="96"/>
      <c r="C398" s="96"/>
    </row>
    <row r="399">
      <c r="A399" s="96"/>
      <c r="B399" s="96"/>
      <c r="C399" s="96"/>
    </row>
    <row r="400">
      <c r="A400" s="96"/>
      <c r="B400" s="96"/>
      <c r="C400" s="96"/>
    </row>
    <row r="401">
      <c r="A401" s="96"/>
      <c r="B401" s="96"/>
      <c r="C401" s="96"/>
    </row>
    <row r="402">
      <c r="A402" s="96"/>
      <c r="B402" s="96"/>
      <c r="C402" s="96"/>
    </row>
    <row r="403">
      <c r="A403" s="96"/>
      <c r="B403" s="96"/>
      <c r="C403" s="96"/>
    </row>
    <row r="404">
      <c r="A404" s="96"/>
      <c r="B404" s="96"/>
      <c r="C404" s="96"/>
    </row>
    <row r="405">
      <c r="A405" s="96"/>
      <c r="B405" s="96"/>
      <c r="C405" s="96"/>
    </row>
    <row r="406">
      <c r="A406" s="96"/>
      <c r="B406" s="96"/>
      <c r="C406" s="96"/>
    </row>
    <row r="407">
      <c r="A407" s="96"/>
      <c r="B407" s="96"/>
      <c r="C407" s="96"/>
    </row>
    <row r="408">
      <c r="A408" s="96"/>
      <c r="B408" s="96"/>
      <c r="C408" s="96"/>
    </row>
    <row r="409">
      <c r="A409" s="96"/>
      <c r="B409" s="96"/>
      <c r="C409" s="96"/>
    </row>
    <row r="410">
      <c r="A410" s="96"/>
      <c r="B410" s="96"/>
      <c r="C410" s="96"/>
    </row>
    <row r="411">
      <c r="A411" s="96"/>
      <c r="B411" s="96"/>
      <c r="C411" s="96"/>
    </row>
    <row r="412">
      <c r="A412" s="96"/>
      <c r="B412" s="96"/>
      <c r="C412" s="96"/>
    </row>
    <row r="413">
      <c r="A413" s="96"/>
      <c r="B413" s="96"/>
      <c r="C413" s="96"/>
    </row>
    <row r="414">
      <c r="A414" s="96"/>
      <c r="B414" s="96"/>
      <c r="C414" s="96"/>
    </row>
    <row r="415">
      <c r="A415" s="96"/>
      <c r="B415" s="96"/>
      <c r="C415" s="96"/>
    </row>
    <row r="416">
      <c r="A416" s="96"/>
      <c r="B416" s="96"/>
      <c r="C416" s="96"/>
    </row>
    <row r="417">
      <c r="A417" s="96"/>
      <c r="B417" s="96"/>
      <c r="C417" s="96"/>
    </row>
    <row r="418">
      <c r="A418" s="96"/>
      <c r="B418" s="96"/>
      <c r="C418" s="96"/>
    </row>
    <row r="419">
      <c r="A419" s="96"/>
      <c r="B419" s="96"/>
      <c r="C419" s="96"/>
    </row>
    <row r="420">
      <c r="A420" s="96"/>
      <c r="B420" s="96"/>
      <c r="C420" s="96"/>
    </row>
    <row r="421">
      <c r="A421" s="96"/>
      <c r="B421" s="96"/>
      <c r="C421" s="96"/>
    </row>
    <row r="422">
      <c r="A422" s="96"/>
      <c r="B422" s="96"/>
      <c r="C422" s="96"/>
    </row>
    <row r="423">
      <c r="A423" s="96"/>
      <c r="B423" s="96"/>
      <c r="C423" s="96"/>
    </row>
    <row r="424">
      <c r="A424" s="96"/>
      <c r="B424" s="96"/>
      <c r="C424" s="96"/>
    </row>
    <row r="425">
      <c r="A425" s="96"/>
      <c r="B425" s="96"/>
      <c r="C425" s="96"/>
    </row>
    <row r="426">
      <c r="A426" s="96"/>
      <c r="B426" s="96"/>
      <c r="C426" s="96"/>
    </row>
    <row r="427">
      <c r="A427" s="96"/>
      <c r="B427" s="96"/>
      <c r="C427" s="96"/>
    </row>
    <row r="428">
      <c r="A428" s="96"/>
      <c r="B428" s="96"/>
      <c r="C428" s="96"/>
    </row>
    <row r="429">
      <c r="A429" s="96"/>
      <c r="B429" s="96"/>
      <c r="C429" s="96"/>
    </row>
    <row r="430">
      <c r="A430" s="96"/>
      <c r="B430" s="96"/>
      <c r="C430" s="96"/>
    </row>
    <row r="431">
      <c r="A431" s="96"/>
      <c r="B431" s="96"/>
      <c r="C431" s="96"/>
    </row>
    <row r="432">
      <c r="A432" s="96"/>
      <c r="B432" s="96"/>
      <c r="C432" s="96"/>
    </row>
    <row r="433">
      <c r="A433" s="96"/>
      <c r="B433" s="96"/>
      <c r="C433" s="96"/>
    </row>
    <row r="434">
      <c r="A434" s="96"/>
      <c r="B434" s="96"/>
      <c r="C434" s="96"/>
    </row>
    <row r="435">
      <c r="A435" s="96"/>
      <c r="B435" s="96"/>
      <c r="C435" s="96"/>
    </row>
    <row r="436">
      <c r="A436" s="96"/>
      <c r="B436" s="96"/>
      <c r="C436" s="96"/>
    </row>
    <row r="437">
      <c r="A437" s="96"/>
      <c r="B437" s="96"/>
      <c r="C437" s="96"/>
    </row>
    <row r="438">
      <c r="A438" s="96"/>
      <c r="B438" s="96"/>
      <c r="C438" s="96"/>
    </row>
    <row r="439">
      <c r="A439" s="96"/>
      <c r="B439" s="96"/>
      <c r="C439" s="96"/>
    </row>
    <row r="440">
      <c r="A440" s="96"/>
      <c r="B440" s="96"/>
      <c r="C440" s="96"/>
    </row>
    <row r="441">
      <c r="A441" s="96"/>
      <c r="B441" s="96"/>
      <c r="C441" s="96"/>
    </row>
    <row r="442">
      <c r="A442" s="96"/>
      <c r="B442" s="96"/>
      <c r="C442" s="96"/>
    </row>
    <row r="443">
      <c r="A443" s="96"/>
      <c r="B443" s="96"/>
      <c r="C443" s="96"/>
    </row>
    <row r="444">
      <c r="A444" s="96"/>
      <c r="B444" s="96"/>
      <c r="C444" s="96"/>
    </row>
    <row r="445">
      <c r="A445" s="96"/>
      <c r="B445" s="96"/>
      <c r="C445" s="96"/>
    </row>
    <row r="446">
      <c r="A446" s="96"/>
      <c r="B446" s="96"/>
      <c r="C446" s="96"/>
    </row>
    <row r="447">
      <c r="A447" s="96"/>
      <c r="B447" s="96"/>
      <c r="C447" s="96"/>
    </row>
    <row r="448">
      <c r="A448" s="96"/>
      <c r="B448" s="96"/>
      <c r="C448" s="96"/>
    </row>
    <row r="449">
      <c r="A449" s="96"/>
      <c r="B449" s="96"/>
      <c r="C449" s="96"/>
    </row>
    <row r="450">
      <c r="A450" s="96"/>
      <c r="B450" s="96"/>
      <c r="C450" s="96"/>
    </row>
    <row r="451">
      <c r="A451" s="96"/>
      <c r="B451" s="96"/>
      <c r="C451" s="96"/>
    </row>
    <row r="452">
      <c r="A452" s="96"/>
      <c r="B452" s="96"/>
      <c r="C452" s="96"/>
    </row>
    <row r="453">
      <c r="A453" s="96"/>
      <c r="B453" s="96"/>
      <c r="C453" s="96"/>
    </row>
    <row r="454">
      <c r="A454" s="96"/>
      <c r="B454" s="96"/>
      <c r="C454" s="96"/>
    </row>
    <row r="455">
      <c r="A455" s="96"/>
      <c r="B455" s="96"/>
      <c r="C455" s="96"/>
    </row>
    <row r="456">
      <c r="A456" s="96"/>
      <c r="B456" s="96"/>
      <c r="C456" s="96"/>
    </row>
    <row r="457">
      <c r="A457" s="96"/>
      <c r="B457" s="96"/>
      <c r="C457" s="96"/>
    </row>
    <row r="458">
      <c r="A458" s="96"/>
      <c r="B458" s="96"/>
      <c r="C458" s="96"/>
    </row>
    <row r="459">
      <c r="A459" s="96"/>
      <c r="B459" s="96"/>
      <c r="C459" s="96"/>
    </row>
    <row r="460">
      <c r="A460" s="96"/>
      <c r="B460" s="96"/>
      <c r="C460" s="96"/>
    </row>
    <row r="461">
      <c r="A461" s="96"/>
      <c r="B461" s="96"/>
      <c r="C461" s="96"/>
    </row>
    <row r="462">
      <c r="A462" s="96"/>
      <c r="B462" s="96"/>
      <c r="C462" s="96"/>
    </row>
    <row r="463">
      <c r="A463" s="96"/>
      <c r="B463" s="96"/>
      <c r="C463" s="96"/>
    </row>
    <row r="464">
      <c r="A464" s="96"/>
      <c r="B464" s="96"/>
      <c r="C464" s="96"/>
    </row>
    <row r="465">
      <c r="A465" s="96"/>
      <c r="B465" s="96"/>
      <c r="C465" s="96"/>
    </row>
    <row r="466">
      <c r="A466" s="96"/>
      <c r="B466" s="96"/>
      <c r="C466" s="96"/>
    </row>
    <row r="467">
      <c r="A467" s="96"/>
      <c r="B467" s="96"/>
      <c r="C467" s="96"/>
    </row>
    <row r="468">
      <c r="A468" s="96"/>
      <c r="B468" s="96"/>
      <c r="C468" s="96"/>
    </row>
    <row r="469">
      <c r="A469" s="96"/>
      <c r="B469" s="96"/>
      <c r="C469" s="96"/>
    </row>
    <row r="470">
      <c r="A470" s="96"/>
      <c r="B470" s="96"/>
      <c r="C470" s="96"/>
    </row>
    <row r="471">
      <c r="A471" s="96"/>
      <c r="B471" s="96"/>
      <c r="C471" s="96"/>
    </row>
    <row r="472">
      <c r="A472" s="96"/>
      <c r="B472" s="96"/>
      <c r="C472" s="96"/>
    </row>
    <row r="473">
      <c r="A473" s="96"/>
      <c r="B473" s="96"/>
      <c r="C473" s="96"/>
    </row>
    <row r="474">
      <c r="A474" s="96"/>
      <c r="B474" s="96"/>
      <c r="C474" s="96"/>
    </row>
    <row r="475">
      <c r="A475" s="96"/>
      <c r="B475" s="96"/>
      <c r="C475" s="96"/>
    </row>
    <row r="476">
      <c r="A476" s="96"/>
      <c r="B476" s="96"/>
      <c r="C476" s="96"/>
    </row>
    <row r="477">
      <c r="A477" s="96"/>
      <c r="B477" s="96"/>
      <c r="C477" s="96"/>
    </row>
    <row r="478">
      <c r="A478" s="96"/>
      <c r="B478" s="96"/>
      <c r="C478" s="96"/>
    </row>
    <row r="479">
      <c r="A479" s="96"/>
      <c r="B479" s="96"/>
      <c r="C479" s="96"/>
    </row>
    <row r="480">
      <c r="A480" s="96"/>
      <c r="B480" s="96"/>
      <c r="C480" s="96"/>
    </row>
    <row r="481">
      <c r="A481" s="96"/>
      <c r="B481" s="96"/>
      <c r="C481" s="96"/>
    </row>
    <row r="482">
      <c r="A482" s="96"/>
      <c r="B482" s="96"/>
      <c r="C482" s="96"/>
    </row>
    <row r="483">
      <c r="A483" s="96"/>
      <c r="B483" s="96"/>
      <c r="C483" s="96"/>
    </row>
    <row r="484">
      <c r="A484" s="96"/>
      <c r="B484" s="96"/>
      <c r="C484" s="96"/>
    </row>
    <row r="485">
      <c r="A485" s="96"/>
      <c r="B485" s="96"/>
      <c r="C485" s="96"/>
    </row>
    <row r="486">
      <c r="A486" s="96"/>
      <c r="B486" s="96"/>
      <c r="C486" s="96"/>
    </row>
    <row r="487">
      <c r="A487" s="96"/>
      <c r="B487" s="96"/>
      <c r="C487" s="96"/>
    </row>
    <row r="488">
      <c r="A488" s="96"/>
      <c r="B488" s="96"/>
      <c r="C488" s="96"/>
    </row>
    <row r="489">
      <c r="A489" s="96"/>
      <c r="B489" s="96"/>
      <c r="C489" s="96"/>
    </row>
    <row r="490">
      <c r="A490" s="96"/>
      <c r="B490" s="96"/>
      <c r="C490" s="96"/>
    </row>
    <row r="491">
      <c r="A491" s="96"/>
      <c r="B491" s="96"/>
      <c r="C491" s="96"/>
    </row>
    <row r="492">
      <c r="A492" s="96"/>
      <c r="B492" s="96"/>
      <c r="C492" s="96"/>
    </row>
    <row r="493">
      <c r="A493" s="96"/>
      <c r="B493" s="96"/>
      <c r="C493" s="96"/>
    </row>
    <row r="494">
      <c r="A494" s="96"/>
      <c r="B494" s="96"/>
      <c r="C494" s="96"/>
    </row>
    <row r="495">
      <c r="A495" s="96"/>
      <c r="B495" s="96"/>
      <c r="C495" s="96"/>
    </row>
    <row r="496">
      <c r="A496" s="96"/>
      <c r="B496" s="96"/>
      <c r="C496" s="96"/>
    </row>
    <row r="497">
      <c r="A497" s="96"/>
      <c r="B497" s="96"/>
      <c r="C497" s="96"/>
    </row>
    <row r="498">
      <c r="A498" s="96"/>
      <c r="B498" s="96"/>
      <c r="C498" s="96"/>
    </row>
    <row r="499">
      <c r="A499" s="96"/>
      <c r="B499" s="96"/>
      <c r="C499" s="96"/>
    </row>
    <row r="500">
      <c r="A500" s="96"/>
      <c r="B500" s="96"/>
      <c r="C500" s="96"/>
    </row>
    <row r="501">
      <c r="A501" s="96"/>
      <c r="B501" s="96"/>
      <c r="C501" s="96"/>
    </row>
    <row r="502">
      <c r="A502" s="96"/>
      <c r="B502" s="96"/>
      <c r="C502" s="96"/>
    </row>
    <row r="503">
      <c r="A503" s="96"/>
      <c r="B503" s="96"/>
      <c r="C503" s="96"/>
    </row>
    <row r="504">
      <c r="A504" s="96"/>
      <c r="B504" s="96"/>
      <c r="C504" s="96"/>
    </row>
    <row r="505">
      <c r="A505" s="96"/>
      <c r="B505" s="96"/>
      <c r="C505" s="96"/>
    </row>
    <row r="506">
      <c r="A506" s="96"/>
      <c r="B506" s="96"/>
      <c r="C506" s="96"/>
    </row>
    <row r="507">
      <c r="A507" s="96"/>
      <c r="B507" s="96"/>
      <c r="C507" s="96"/>
    </row>
    <row r="508">
      <c r="A508" s="96"/>
      <c r="B508" s="96"/>
      <c r="C508" s="96"/>
    </row>
    <row r="509">
      <c r="A509" s="96"/>
      <c r="B509" s="96"/>
      <c r="C509" s="96"/>
    </row>
    <row r="510">
      <c r="A510" s="96"/>
      <c r="B510" s="96"/>
      <c r="C510" s="96"/>
    </row>
    <row r="511">
      <c r="A511" s="96"/>
      <c r="B511" s="96"/>
      <c r="C511" s="96"/>
    </row>
    <row r="512">
      <c r="A512" s="96"/>
      <c r="B512" s="96"/>
      <c r="C512" s="96"/>
    </row>
    <row r="513">
      <c r="A513" s="96"/>
      <c r="B513" s="96"/>
      <c r="C513" s="96"/>
    </row>
    <row r="514">
      <c r="A514" s="96"/>
      <c r="B514" s="96"/>
      <c r="C514" s="96"/>
    </row>
    <row r="515">
      <c r="A515" s="96"/>
      <c r="B515" s="96"/>
      <c r="C515" s="96"/>
    </row>
    <row r="516">
      <c r="A516" s="96"/>
      <c r="B516" s="96"/>
      <c r="C516" s="96"/>
    </row>
    <row r="517">
      <c r="A517" s="96"/>
      <c r="B517" s="96"/>
      <c r="C517" s="96"/>
    </row>
    <row r="518">
      <c r="A518" s="96"/>
      <c r="B518" s="96"/>
      <c r="C518" s="96"/>
    </row>
    <row r="519">
      <c r="A519" s="96"/>
      <c r="B519" s="96"/>
      <c r="C519" s="96"/>
    </row>
    <row r="520">
      <c r="A520" s="96"/>
      <c r="B520" s="96"/>
      <c r="C520" s="96"/>
    </row>
    <row r="521">
      <c r="A521" s="96"/>
      <c r="B521" s="96"/>
      <c r="C521" s="96"/>
    </row>
    <row r="522">
      <c r="A522" s="96"/>
      <c r="B522" s="96"/>
      <c r="C522" s="96"/>
    </row>
    <row r="523">
      <c r="A523" s="96"/>
      <c r="B523" s="96"/>
      <c r="C523" s="96"/>
    </row>
    <row r="524">
      <c r="A524" s="96"/>
      <c r="B524" s="96"/>
      <c r="C524" s="96"/>
    </row>
    <row r="525">
      <c r="A525" s="96"/>
      <c r="B525" s="96"/>
      <c r="C525" s="96"/>
    </row>
    <row r="526">
      <c r="A526" s="96"/>
      <c r="B526" s="96"/>
      <c r="C526" s="96"/>
    </row>
    <row r="527">
      <c r="A527" s="96"/>
      <c r="B527" s="96"/>
      <c r="C527" s="96"/>
    </row>
    <row r="528">
      <c r="A528" s="96"/>
      <c r="B528" s="96"/>
      <c r="C528" s="96"/>
    </row>
    <row r="529">
      <c r="A529" s="96"/>
      <c r="B529" s="96"/>
      <c r="C529" s="96"/>
    </row>
    <row r="530">
      <c r="A530" s="96"/>
      <c r="B530" s="96"/>
      <c r="C530" s="96"/>
    </row>
    <row r="531">
      <c r="A531" s="96"/>
      <c r="B531" s="96"/>
      <c r="C531" s="96"/>
    </row>
    <row r="532">
      <c r="A532" s="96"/>
      <c r="B532" s="96"/>
      <c r="C532" s="96"/>
    </row>
    <row r="533">
      <c r="A533" s="96"/>
      <c r="B533" s="96"/>
      <c r="C533" s="96"/>
    </row>
    <row r="534">
      <c r="A534" s="96"/>
      <c r="B534" s="96"/>
      <c r="C534" s="96"/>
    </row>
    <row r="535">
      <c r="A535" s="96"/>
      <c r="B535" s="96"/>
      <c r="C535" s="96"/>
    </row>
    <row r="536">
      <c r="A536" s="96"/>
      <c r="B536" s="96"/>
      <c r="C536" s="96"/>
    </row>
    <row r="537">
      <c r="A537" s="96"/>
      <c r="B537" s="96"/>
      <c r="C537" s="96"/>
    </row>
    <row r="538">
      <c r="A538" s="96"/>
      <c r="B538" s="96"/>
      <c r="C538" s="96"/>
    </row>
    <row r="539">
      <c r="A539" s="96"/>
      <c r="B539" s="96"/>
      <c r="C539" s="96"/>
    </row>
    <row r="540">
      <c r="A540" s="96"/>
      <c r="B540" s="96"/>
      <c r="C540" s="96"/>
    </row>
    <row r="541">
      <c r="A541" s="96"/>
      <c r="B541" s="96"/>
      <c r="C541" s="96"/>
    </row>
    <row r="542">
      <c r="A542" s="96"/>
      <c r="B542" s="96"/>
      <c r="C542" s="96"/>
    </row>
    <row r="543">
      <c r="A543" s="96"/>
      <c r="B543" s="96"/>
      <c r="C543" s="96"/>
    </row>
    <row r="544">
      <c r="A544" s="96"/>
      <c r="B544" s="96"/>
      <c r="C544" s="96"/>
    </row>
    <row r="545">
      <c r="A545" s="96"/>
      <c r="B545" s="96"/>
      <c r="C545" s="96"/>
    </row>
    <row r="546">
      <c r="A546" s="96"/>
      <c r="B546" s="96"/>
      <c r="C546" s="96"/>
    </row>
    <row r="547">
      <c r="A547" s="96"/>
      <c r="B547" s="96"/>
      <c r="C547" s="96"/>
    </row>
    <row r="548">
      <c r="A548" s="96"/>
      <c r="B548" s="96"/>
      <c r="C548" s="96"/>
    </row>
    <row r="549">
      <c r="A549" s="96"/>
      <c r="B549" s="96"/>
      <c r="C549" s="96"/>
    </row>
    <row r="550">
      <c r="A550" s="96"/>
      <c r="B550" s="96"/>
      <c r="C550" s="96"/>
    </row>
    <row r="551">
      <c r="A551" s="96"/>
      <c r="B551" s="96"/>
      <c r="C551" s="96"/>
    </row>
    <row r="552">
      <c r="A552" s="96"/>
      <c r="B552" s="96"/>
      <c r="C552" s="96"/>
    </row>
    <row r="553">
      <c r="A553" s="96"/>
      <c r="B553" s="96"/>
      <c r="C553" s="96"/>
    </row>
    <row r="554">
      <c r="A554" s="96"/>
      <c r="B554" s="96"/>
      <c r="C554" s="96"/>
    </row>
    <row r="555">
      <c r="A555" s="96"/>
      <c r="B555" s="96"/>
      <c r="C555" s="96"/>
    </row>
    <row r="556">
      <c r="A556" s="96"/>
      <c r="B556" s="96"/>
      <c r="C556" s="96"/>
    </row>
    <row r="557">
      <c r="A557" s="96"/>
      <c r="B557" s="96"/>
      <c r="C557" s="96"/>
    </row>
    <row r="558">
      <c r="A558" s="96"/>
      <c r="B558" s="96"/>
      <c r="C558" s="96"/>
    </row>
    <row r="559">
      <c r="A559" s="96"/>
      <c r="B559" s="96"/>
      <c r="C559" s="96"/>
    </row>
    <row r="560">
      <c r="A560" s="96"/>
      <c r="B560" s="96"/>
      <c r="C560" s="96"/>
    </row>
    <row r="561">
      <c r="A561" s="96"/>
      <c r="B561" s="96"/>
      <c r="C561" s="96"/>
    </row>
    <row r="562">
      <c r="A562" s="96"/>
      <c r="B562" s="96"/>
      <c r="C562" s="96"/>
    </row>
    <row r="563">
      <c r="A563" s="96"/>
      <c r="B563" s="96"/>
      <c r="C563" s="96"/>
    </row>
    <row r="564">
      <c r="A564" s="96"/>
      <c r="B564" s="96"/>
      <c r="C564" s="96"/>
    </row>
    <row r="565">
      <c r="A565" s="96"/>
      <c r="B565" s="96"/>
      <c r="C565" s="96"/>
    </row>
    <row r="566">
      <c r="A566" s="96"/>
      <c r="B566" s="96"/>
      <c r="C566" s="96"/>
    </row>
    <row r="567">
      <c r="A567" s="96"/>
      <c r="B567" s="96"/>
      <c r="C567" s="96"/>
    </row>
    <row r="568">
      <c r="A568" s="96"/>
      <c r="B568" s="96"/>
      <c r="C568" s="96"/>
    </row>
    <row r="569">
      <c r="A569" s="96"/>
      <c r="B569" s="96"/>
      <c r="C569" s="96"/>
    </row>
    <row r="570">
      <c r="A570" s="96"/>
      <c r="B570" s="96"/>
      <c r="C570" s="96"/>
    </row>
    <row r="571">
      <c r="A571" s="96"/>
      <c r="B571" s="96"/>
      <c r="C571" s="96"/>
    </row>
    <row r="572">
      <c r="A572" s="96"/>
      <c r="B572" s="96"/>
      <c r="C572" s="96"/>
    </row>
    <row r="573">
      <c r="A573" s="96"/>
      <c r="B573" s="96"/>
      <c r="C573" s="96"/>
    </row>
    <row r="574">
      <c r="A574" s="96"/>
      <c r="B574" s="96"/>
      <c r="C574" s="96"/>
    </row>
    <row r="575">
      <c r="A575" s="96"/>
      <c r="B575" s="96"/>
      <c r="C575" s="96"/>
    </row>
    <row r="576">
      <c r="A576" s="96"/>
      <c r="B576" s="96"/>
      <c r="C576" s="96"/>
    </row>
    <row r="577">
      <c r="A577" s="96"/>
      <c r="B577" s="96"/>
      <c r="C577" s="96"/>
    </row>
    <row r="578">
      <c r="A578" s="96"/>
      <c r="B578" s="96"/>
      <c r="C578" s="96"/>
    </row>
    <row r="579">
      <c r="A579" s="96"/>
      <c r="B579" s="96"/>
      <c r="C579" s="96"/>
    </row>
    <row r="580">
      <c r="A580" s="96"/>
      <c r="B580" s="96"/>
      <c r="C580" s="96"/>
    </row>
    <row r="581">
      <c r="A581" s="96"/>
      <c r="B581" s="96"/>
      <c r="C581" s="96"/>
    </row>
    <row r="582">
      <c r="A582" s="96"/>
      <c r="B582" s="96"/>
      <c r="C582" s="96"/>
    </row>
    <row r="583">
      <c r="A583" s="96"/>
      <c r="B583" s="96"/>
      <c r="C583" s="96"/>
    </row>
    <row r="584">
      <c r="A584" s="96"/>
      <c r="B584" s="96"/>
      <c r="C584" s="96"/>
    </row>
    <row r="585">
      <c r="A585" s="96"/>
      <c r="B585" s="96"/>
      <c r="C585" s="96"/>
    </row>
    <row r="586">
      <c r="A586" s="96"/>
      <c r="B586" s="96"/>
      <c r="C586" s="96"/>
    </row>
    <row r="587">
      <c r="A587" s="96"/>
      <c r="B587" s="96"/>
      <c r="C587" s="96"/>
    </row>
    <row r="588">
      <c r="A588" s="96"/>
      <c r="B588" s="96"/>
      <c r="C588" s="96"/>
    </row>
    <row r="589">
      <c r="A589" s="96"/>
      <c r="B589" s="96"/>
      <c r="C589" s="96"/>
    </row>
    <row r="590">
      <c r="A590" s="96"/>
      <c r="B590" s="96"/>
      <c r="C590" s="96"/>
    </row>
    <row r="591">
      <c r="A591" s="96"/>
      <c r="B591" s="96"/>
      <c r="C591" s="96"/>
    </row>
    <row r="592">
      <c r="A592" s="96"/>
      <c r="B592" s="96"/>
      <c r="C592" s="96"/>
    </row>
    <row r="593">
      <c r="A593" s="96"/>
      <c r="B593" s="96"/>
      <c r="C593" s="96"/>
    </row>
    <row r="594">
      <c r="A594" s="96"/>
      <c r="B594" s="96"/>
      <c r="C594" s="96"/>
    </row>
    <row r="595">
      <c r="A595" s="96"/>
      <c r="B595" s="96"/>
      <c r="C595" s="96"/>
    </row>
    <row r="596">
      <c r="A596" s="96"/>
      <c r="B596" s="96"/>
      <c r="C596" s="96"/>
    </row>
    <row r="597">
      <c r="A597" s="96"/>
      <c r="B597" s="96"/>
      <c r="C597" s="96"/>
    </row>
    <row r="598">
      <c r="A598" s="96"/>
      <c r="B598" s="96"/>
      <c r="C598" s="96"/>
    </row>
    <row r="599">
      <c r="A599" s="96"/>
      <c r="B599" s="96"/>
      <c r="C599" s="96"/>
    </row>
    <row r="600">
      <c r="A600" s="96"/>
      <c r="B600" s="96"/>
      <c r="C600" s="96"/>
    </row>
    <row r="601">
      <c r="A601" s="96"/>
      <c r="B601" s="96"/>
      <c r="C601" s="96"/>
    </row>
    <row r="602">
      <c r="A602" s="96"/>
      <c r="B602" s="96"/>
      <c r="C602" s="96"/>
    </row>
    <row r="603">
      <c r="A603" s="96"/>
      <c r="B603" s="96"/>
      <c r="C603" s="96"/>
    </row>
    <row r="604">
      <c r="A604" s="96"/>
      <c r="B604" s="96"/>
      <c r="C604" s="96"/>
    </row>
    <row r="605">
      <c r="A605" s="96"/>
      <c r="B605" s="96"/>
      <c r="C605" s="96"/>
    </row>
    <row r="606">
      <c r="A606" s="96"/>
      <c r="B606" s="96"/>
      <c r="C606" s="96"/>
    </row>
    <row r="607">
      <c r="A607" s="96"/>
      <c r="B607" s="96"/>
      <c r="C607" s="96"/>
    </row>
    <row r="608">
      <c r="A608" s="96"/>
      <c r="B608" s="96"/>
      <c r="C608" s="96"/>
    </row>
    <row r="609">
      <c r="A609" s="96"/>
      <c r="B609" s="96"/>
      <c r="C609" s="96"/>
    </row>
    <row r="610">
      <c r="A610" s="96"/>
      <c r="B610" s="96"/>
      <c r="C610" s="96"/>
    </row>
    <row r="611">
      <c r="A611" s="96"/>
      <c r="B611" s="96"/>
      <c r="C611" s="96"/>
    </row>
    <row r="612">
      <c r="A612" s="96"/>
      <c r="B612" s="96"/>
      <c r="C612" s="96"/>
    </row>
    <row r="613">
      <c r="A613" s="96"/>
      <c r="B613" s="96"/>
      <c r="C613" s="96"/>
    </row>
    <row r="614">
      <c r="A614" s="96"/>
      <c r="B614" s="96"/>
      <c r="C614" s="96"/>
    </row>
    <row r="615">
      <c r="A615" s="96"/>
      <c r="B615" s="96"/>
      <c r="C615" s="96"/>
    </row>
    <row r="616">
      <c r="A616" s="96"/>
      <c r="B616" s="96"/>
      <c r="C616" s="96"/>
    </row>
    <row r="617">
      <c r="A617" s="96"/>
      <c r="B617" s="96"/>
      <c r="C617" s="96"/>
    </row>
    <row r="618">
      <c r="A618" s="96"/>
      <c r="B618" s="96"/>
      <c r="C618" s="96"/>
    </row>
    <row r="619">
      <c r="A619" s="96"/>
      <c r="B619" s="96"/>
      <c r="C619" s="96"/>
    </row>
    <row r="620">
      <c r="A620" s="96"/>
      <c r="B620" s="96"/>
      <c r="C620" s="96"/>
    </row>
    <row r="621">
      <c r="A621" s="96"/>
      <c r="B621" s="96"/>
      <c r="C621" s="96"/>
    </row>
    <row r="622">
      <c r="A622" s="96"/>
      <c r="B622" s="96"/>
      <c r="C622" s="96"/>
    </row>
    <row r="623">
      <c r="A623" s="96"/>
      <c r="B623" s="96"/>
      <c r="C623" s="96"/>
    </row>
    <row r="624">
      <c r="A624" s="96"/>
      <c r="B624" s="96"/>
      <c r="C624" s="96"/>
    </row>
    <row r="625">
      <c r="A625" s="96"/>
      <c r="B625" s="96"/>
      <c r="C625" s="96"/>
    </row>
    <row r="626">
      <c r="A626" s="96"/>
      <c r="B626" s="96"/>
      <c r="C626" s="96"/>
    </row>
    <row r="627">
      <c r="A627" s="96"/>
      <c r="B627" s="96"/>
      <c r="C627" s="96"/>
    </row>
    <row r="628">
      <c r="A628" s="96"/>
      <c r="B628" s="96"/>
      <c r="C628" s="96"/>
    </row>
    <row r="629">
      <c r="A629" s="96"/>
      <c r="B629" s="96"/>
      <c r="C629" s="96"/>
    </row>
    <row r="630">
      <c r="A630" s="96"/>
      <c r="B630" s="96"/>
      <c r="C630" s="96"/>
    </row>
    <row r="631">
      <c r="A631" s="96"/>
      <c r="B631" s="96"/>
      <c r="C631" s="96"/>
    </row>
    <row r="632">
      <c r="A632" s="96"/>
      <c r="B632" s="96"/>
      <c r="C632" s="96"/>
    </row>
    <row r="633">
      <c r="A633" s="96"/>
      <c r="B633" s="96"/>
      <c r="C633" s="96"/>
    </row>
    <row r="634">
      <c r="A634" s="96"/>
      <c r="B634" s="96"/>
      <c r="C634" s="96"/>
    </row>
    <row r="635">
      <c r="A635" s="96"/>
      <c r="B635" s="96"/>
      <c r="C635" s="96"/>
    </row>
    <row r="636">
      <c r="A636" s="96"/>
      <c r="B636" s="96"/>
      <c r="C636" s="96"/>
    </row>
    <row r="637">
      <c r="A637" s="96"/>
      <c r="B637" s="96"/>
      <c r="C637" s="96"/>
    </row>
    <row r="638">
      <c r="A638" s="96"/>
      <c r="B638" s="96"/>
      <c r="C638" s="96"/>
    </row>
    <row r="639">
      <c r="A639" s="96"/>
      <c r="B639" s="96"/>
      <c r="C639" s="96"/>
    </row>
    <row r="640">
      <c r="A640" s="96"/>
      <c r="B640" s="96"/>
      <c r="C640" s="96"/>
    </row>
    <row r="641">
      <c r="A641" s="96"/>
      <c r="B641" s="96"/>
      <c r="C641" s="96"/>
    </row>
    <row r="642">
      <c r="A642" s="96"/>
      <c r="B642" s="96"/>
      <c r="C642" s="96"/>
    </row>
    <row r="643">
      <c r="A643" s="96"/>
      <c r="B643" s="96"/>
      <c r="C643" s="96"/>
    </row>
    <row r="644">
      <c r="A644" s="96"/>
      <c r="B644" s="96"/>
      <c r="C644" s="96"/>
    </row>
    <row r="645">
      <c r="A645" s="96"/>
      <c r="B645" s="96"/>
      <c r="C645" s="96"/>
    </row>
    <row r="646">
      <c r="A646" s="96"/>
      <c r="B646" s="96"/>
      <c r="C646" s="96"/>
    </row>
    <row r="647">
      <c r="A647" s="96"/>
      <c r="B647" s="96"/>
      <c r="C647" s="96"/>
    </row>
    <row r="648">
      <c r="A648" s="96"/>
      <c r="B648" s="96"/>
      <c r="C648" s="96"/>
    </row>
    <row r="649">
      <c r="A649" s="96"/>
      <c r="B649" s="96"/>
      <c r="C649" s="96"/>
    </row>
    <row r="650">
      <c r="A650" s="96"/>
      <c r="B650" s="96"/>
      <c r="C650" s="96"/>
    </row>
    <row r="651">
      <c r="A651" s="96"/>
      <c r="B651" s="96"/>
      <c r="C651" s="96"/>
    </row>
    <row r="652">
      <c r="A652" s="96"/>
      <c r="B652" s="96"/>
      <c r="C652" s="96"/>
    </row>
    <row r="653">
      <c r="A653" s="96"/>
      <c r="B653" s="96"/>
      <c r="C653" s="96"/>
    </row>
    <row r="654">
      <c r="A654" s="96"/>
      <c r="B654" s="96"/>
      <c r="C654" s="96"/>
    </row>
    <row r="655">
      <c r="A655" s="96"/>
      <c r="B655" s="96"/>
      <c r="C655" s="96"/>
    </row>
    <row r="656">
      <c r="A656" s="96"/>
      <c r="B656" s="96"/>
      <c r="C656" s="96"/>
    </row>
    <row r="657">
      <c r="A657" s="96"/>
      <c r="B657" s="96"/>
      <c r="C657" s="96"/>
    </row>
    <row r="658">
      <c r="A658" s="96"/>
      <c r="B658" s="96"/>
      <c r="C658" s="96"/>
    </row>
    <row r="659">
      <c r="A659" s="96"/>
      <c r="B659" s="96"/>
      <c r="C659" s="96"/>
    </row>
    <row r="660">
      <c r="A660" s="96"/>
      <c r="B660" s="96"/>
      <c r="C660" s="96"/>
    </row>
    <row r="661">
      <c r="A661" s="96"/>
      <c r="B661" s="96"/>
      <c r="C661" s="96"/>
    </row>
    <row r="662">
      <c r="A662" s="96"/>
      <c r="B662" s="96"/>
      <c r="C662" s="96"/>
    </row>
    <row r="663">
      <c r="A663" s="96"/>
      <c r="B663" s="96"/>
      <c r="C663" s="96"/>
    </row>
    <row r="664">
      <c r="A664" s="96"/>
      <c r="B664" s="96"/>
      <c r="C664" s="96"/>
    </row>
    <row r="665">
      <c r="A665" s="96"/>
      <c r="B665" s="96"/>
      <c r="C665" s="96"/>
    </row>
    <row r="666">
      <c r="A666" s="96"/>
      <c r="B666" s="96"/>
      <c r="C666" s="96"/>
    </row>
    <row r="667">
      <c r="A667" s="96"/>
      <c r="B667" s="96"/>
      <c r="C667" s="96"/>
    </row>
    <row r="668">
      <c r="A668" s="96"/>
      <c r="B668" s="96"/>
      <c r="C668" s="96"/>
    </row>
    <row r="669">
      <c r="A669" s="96"/>
      <c r="B669" s="96"/>
      <c r="C669" s="96"/>
    </row>
    <row r="670">
      <c r="A670" s="96"/>
      <c r="B670" s="96"/>
      <c r="C670" s="96"/>
    </row>
    <row r="671">
      <c r="A671" s="96"/>
      <c r="B671" s="96"/>
      <c r="C671" s="96"/>
    </row>
    <row r="672">
      <c r="A672" s="96"/>
      <c r="B672" s="96"/>
      <c r="C672" s="96"/>
    </row>
    <row r="673">
      <c r="A673" s="96"/>
      <c r="B673" s="96"/>
      <c r="C673" s="96"/>
    </row>
    <row r="674">
      <c r="A674" s="96"/>
      <c r="B674" s="96"/>
      <c r="C674" s="96"/>
    </row>
    <row r="675">
      <c r="A675" s="96"/>
      <c r="B675" s="96"/>
      <c r="C675" s="96"/>
    </row>
    <row r="676">
      <c r="A676" s="96"/>
      <c r="B676" s="96"/>
      <c r="C676" s="96"/>
    </row>
    <row r="677">
      <c r="A677" s="96"/>
      <c r="B677" s="96"/>
      <c r="C677" s="96"/>
    </row>
    <row r="678">
      <c r="A678" s="96"/>
      <c r="B678" s="96"/>
      <c r="C678" s="96"/>
    </row>
    <row r="679">
      <c r="A679" s="96"/>
      <c r="B679" s="96"/>
      <c r="C679" s="96"/>
    </row>
    <row r="680">
      <c r="A680" s="96"/>
      <c r="B680" s="96"/>
      <c r="C680" s="96"/>
    </row>
    <row r="681">
      <c r="A681" s="96"/>
      <c r="B681" s="96"/>
      <c r="C681" s="96"/>
    </row>
    <row r="682">
      <c r="A682" s="96"/>
      <c r="B682" s="96"/>
      <c r="C682" s="96"/>
    </row>
    <row r="683">
      <c r="A683" s="96"/>
      <c r="B683" s="96"/>
      <c r="C683" s="96"/>
    </row>
    <row r="684">
      <c r="A684" s="96"/>
      <c r="B684" s="96"/>
      <c r="C684" s="96"/>
    </row>
    <row r="685">
      <c r="A685" s="96"/>
      <c r="B685" s="96"/>
      <c r="C685" s="96"/>
    </row>
    <row r="686">
      <c r="A686" s="96"/>
      <c r="B686" s="96"/>
      <c r="C686" s="96"/>
    </row>
    <row r="687">
      <c r="A687" s="96"/>
      <c r="B687" s="96"/>
      <c r="C687" s="96"/>
    </row>
    <row r="688">
      <c r="A688" s="96"/>
      <c r="B688" s="96"/>
      <c r="C688" s="96"/>
    </row>
    <row r="689">
      <c r="A689" s="96"/>
      <c r="B689" s="96"/>
      <c r="C689" s="96"/>
    </row>
    <row r="690">
      <c r="A690" s="96"/>
      <c r="B690" s="96"/>
      <c r="C690" s="96"/>
    </row>
    <row r="691">
      <c r="A691" s="96"/>
      <c r="B691" s="96"/>
      <c r="C691" s="96"/>
    </row>
    <row r="692">
      <c r="A692" s="96"/>
      <c r="B692" s="96"/>
      <c r="C692" s="96"/>
    </row>
    <row r="693">
      <c r="A693" s="96"/>
      <c r="B693" s="96"/>
      <c r="C693" s="96"/>
    </row>
    <row r="694">
      <c r="A694" s="96"/>
      <c r="B694" s="96"/>
      <c r="C694" s="96"/>
    </row>
    <row r="695">
      <c r="A695" s="96"/>
      <c r="B695" s="96"/>
      <c r="C695" s="96"/>
    </row>
    <row r="696">
      <c r="A696" s="96"/>
      <c r="B696" s="96"/>
      <c r="C696" s="96"/>
    </row>
    <row r="697">
      <c r="A697" s="96"/>
      <c r="B697" s="96"/>
      <c r="C697" s="96"/>
    </row>
    <row r="698">
      <c r="A698" s="96"/>
      <c r="B698" s="96"/>
      <c r="C698" s="96"/>
    </row>
    <row r="699">
      <c r="A699" s="96"/>
      <c r="B699" s="96"/>
      <c r="C699" s="96"/>
    </row>
    <row r="700">
      <c r="A700" s="96"/>
      <c r="B700" s="96"/>
      <c r="C700" s="96"/>
    </row>
    <row r="701">
      <c r="A701" s="96"/>
      <c r="B701" s="96"/>
      <c r="C701" s="96"/>
    </row>
    <row r="702">
      <c r="A702" s="96"/>
      <c r="B702" s="96"/>
      <c r="C702" s="96"/>
    </row>
    <row r="703">
      <c r="A703" s="96"/>
      <c r="B703" s="96"/>
      <c r="C703" s="96"/>
    </row>
    <row r="704">
      <c r="A704" s="96"/>
      <c r="B704" s="96"/>
      <c r="C704" s="96"/>
    </row>
    <row r="705">
      <c r="A705" s="96"/>
      <c r="B705" s="96"/>
      <c r="C705" s="96"/>
    </row>
    <row r="706">
      <c r="A706" s="96"/>
      <c r="B706" s="96"/>
      <c r="C706" s="96"/>
    </row>
    <row r="707">
      <c r="A707" s="96"/>
      <c r="B707" s="96"/>
      <c r="C707" s="96"/>
    </row>
    <row r="708">
      <c r="A708" s="96"/>
      <c r="B708" s="96"/>
      <c r="C708" s="96"/>
    </row>
    <row r="709">
      <c r="A709" s="96"/>
      <c r="B709" s="96"/>
      <c r="C709" s="96"/>
    </row>
    <row r="710">
      <c r="A710" s="96"/>
      <c r="B710" s="96"/>
      <c r="C710" s="96"/>
    </row>
    <row r="711">
      <c r="A711" s="96"/>
      <c r="B711" s="96"/>
      <c r="C711" s="96"/>
    </row>
    <row r="712">
      <c r="A712" s="96"/>
      <c r="B712" s="96"/>
      <c r="C712" s="96"/>
    </row>
    <row r="713">
      <c r="A713" s="96"/>
      <c r="B713" s="96"/>
      <c r="C713" s="96"/>
    </row>
    <row r="714">
      <c r="A714" s="96"/>
      <c r="B714" s="96"/>
      <c r="C714" s="96"/>
    </row>
    <row r="715">
      <c r="A715" s="96"/>
      <c r="B715" s="96"/>
      <c r="C715" s="96"/>
    </row>
    <row r="716">
      <c r="A716" s="96"/>
      <c r="B716" s="96"/>
      <c r="C716" s="96"/>
    </row>
    <row r="717">
      <c r="A717" s="96"/>
      <c r="B717" s="96"/>
      <c r="C717" s="96"/>
    </row>
    <row r="718">
      <c r="A718" s="96"/>
      <c r="B718" s="96"/>
      <c r="C718" s="96"/>
    </row>
    <row r="719">
      <c r="A719" s="96"/>
      <c r="B719" s="96"/>
      <c r="C719" s="96"/>
    </row>
    <row r="720">
      <c r="A720" s="96"/>
      <c r="B720" s="96"/>
      <c r="C720" s="96"/>
    </row>
    <row r="721">
      <c r="A721" s="96"/>
      <c r="B721" s="96"/>
      <c r="C721" s="96"/>
    </row>
    <row r="722">
      <c r="A722" s="96"/>
      <c r="B722" s="96"/>
      <c r="C722" s="96"/>
    </row>
    <row r="723">
      <c r="A723" s="96"/>
      <c r="B723" s="96"/>
      <c r="C723" s="96"/>
    </row>
    <row r="724">
      <c r="A724" s="96"/>
      <c r="B724" s="96"/>
      <c r="C724" s="96"/>
    </row>
    <row r="725">
      <c r="A725" s="96"/>
      <c r="B725" s="96"/>
      <c r="C725" s="96"/>
    </row>
    <row r="726">
      <c r="A726" s="96"/>
      <c r="B726" s="96"/>
      <c r="C726" s="96"/>
    </row>
    <row r="727">
      <c r="A727" s="96"/>
      <c r="B727" s="96"/>
      <c r="C727" s="96"/>
    </row>
    <row r="728">
      <c r="A728" s="96"/>
      <c r="B728" s="96"/>
      <c r="C728" s="96"/>
    </row>
    <row r="729">
      <c r="A729" s="96"/>
      <c r="B729" s="96"/>
      <c r="C729" s="96"/>
    </row>
    <row r="730">
      <c r="A730" s="96"/>
      <c r="B730" s="96"/>
      <c r="C730" s="96"/>
    </row>
    <row r="731">
      <c r="A731" s="96"/>
      <c r="B731" s="96"/>
      <c r="C731" s="96"/>
    </row>
    <row r="732">
      <c r="A732" s="96"/>
      <c r="B732" s="96"/>
      <c r="C732" s="96"/>
    </row>
    <row r="733">
      <c r="A733" s="96"/>
      <c r="B733" s="96"/>
      <c r="C733" s="96"/>
    </row>
    <row r="734">
      <c r="A734" s="96"/>
      <c r="B734" s="96"/>
      <c r="C734" s="96"/>
    </row>
    <row r="735">
      <c r="A735" s="96"/>
      <c r="B735" s="96"/>
      <c r="C735" s="96"/>
    </row>
    <row r="736">
      <c r="A736" s="96"/>
      <c r="B736" s="96"/>
      <c r="C736" s="96"/>
    </row>
    <row r="737">
      <c r="A737" s="96"/>
      <c r="B737" s="96"/>
      <c r="C737" s="96"/>
    </row>
    <row r="738">
      <c r="A738" s="96"/>
      <c r="B738" s="96"/>
      <c r="C738" s="96"/>
    </row>
    <row r="739">
      <c r="A739" s="96"/>
      <c r="B739" s="96"/>
      <c r="C739" s="96"/>
    </row>
    <row r="740">
      <c r="A740" s="96"/>
      <c r="B740" s="96"/>
      <c r="C740" s="96"/>
    </row>
    <row r="741">
      <c r="A741" s="96"/>
      <c r="B741" s="96"/>
      <c r="C741" s="96"/>
    </row>
    <row r="742">
      <c r="A742" s="96"/>
      <c r="B742" s="96"/>
      <c r="C742" s="96"/>
    </row>
    <row r="743">
      <c r="A743" s="96"/>
      <c r="B743" s="96"/>
      <c r="C743" s="96"/>
    </row>
    <row r="744">
      <c r="A744" s="96"/>
      <c r="B744" s="96"/>
      <c r="C744" s="96"/>
    </row>
    <row r="745">
      <c r="A745" s="96"/>
      <c r="B745" s="96"/>
      <c r="C745" s="96"/>
    </row>
    <row r="746">
      <c r="A746" s="96"/>
      <c r="B746" s="96"/>
      <c r="C746" s="96"/>
    </row>
    <row r="747">
      <c r="A747" s="96"/>
      <c r="B747" s="96"/>
      <c r="C747" s="96"/>
    </row>
    <row r="748">
      <c r="A748" s="96"/>
      <c r="B748" s="96"/>
      <c r="C748" s="96"/>
    </row>
    <row r="749">
      <c r="A749" s="96"/>
      <c r="B749" s="96"/>
      <c r="C749" s="96"/>
    </row>
    <row r="750">
      <c r="A750" s="96"/>
      <c r="B750" s="96"/>
      <c r="C750" s="96"/>
    </row>
    <row r="751">
      <c r="A751" s="96"/>
      <c r="B751" s="96"/>
      <c r="C751" s="96"/>
    </row>
    <row r="752">
      <c r="A752" s="96"/>
      <c r="B752" s="96"/>
      <c r="C752" s="96"/>
    </row>
    <row r="753">
      <c r="A753" s="96"/>
      <c r="B753" s="96"/>
      <c r="C753" s="96"/>
    </row>
    <row r="754">
      <c r="A754" s="96"/>
      <c r="B754" s="96"/>
      <c r="C754" s="96"/>
    </row>
    <row r="755">
      <c r="A755" s="96"/>
      <c r="B755" s="96"/>
      <c r="C755" s="96"/>
    </row>
    <row r="756">
      <c r="A756" s="96"/>
      <c r="B756" s="96"/>
      <c r="C756" s="96"/>
    </row>
    <row r="757">
      <c r="A757" s="96"/>
      <c r="B757" s="96"/>
      <c r="C757" s="96"/>
    </row>
    <row r="758">
      <c r="A758" s="96"/>
      <c r="B758" s="96"/>
      <c r="C758" s="96"/>
    </row>
    <row r="759">
      <c r="A759" s="96"/>
      <c r="B759" s="96"/>
      <c r="C759" s="96"/>
    </row>
    <row r="760">
      <c r="A760" s="96"/>
      <c r="B760" s="96"/>
      <c r="C760" s="96"/>
    </row>
    <row r="761">
      <c r="A761" s="96"/>
      <c r="B761" s="96"/>
      <c r="C761" s="96"/>
    </row>
    <row r="762">
      <c r="A762" s="96"/>
      <c r="B762" s="96"/>
      <c r="C762" s="96"/>
    </row>
    <row r="763">
      <c r="A763" s="96"/>
      <c r="B763" s="96"/>
      <c r="C763" s="96"/>
    </row>
    <row r="764">
      <c r="A764" s="96"/>
      <c r="B764" s="96"/>
      <c r="C764" s="96"/>
    </row>
    <row r="765">
      <c r="A765" s="96"/>
      <c r="B765" s="96"/>
      <c r="C765" s="96"/>
    </row>
    <row r="766">
      <c r="A766" s="96"/>
      <c r="B766" s="96"/>
      <c r="C766" s="96"/>
    </row>
    <row r="767">
      <c r="A767" s="96"/>
      <c r="B767" s="96"/>
      <c r="C767" s="96"/>
    </row>
    <row r="768">
      <c r="A768" s="96"/>
      <c r="B768" s="96"/>
      <c r="C768" s="96"/>
    </row>
    <row r="769">
      <c r="A769" s="96"/>
      <c r="B769" s="96"/>
      <c r="C769" s="96"/>
    </row>
    <row r="770">
      <c r="A770" s="96"/>
      <c r="B770" s="96"/>
      <c r="C770" s="96"/>
    </row>
    <row r="771">
      <c r="A771" s="96"/>
      <c r="B771" s="96"/>
      <c r="C771" s="96"/>
    </row>
    <row r="772">
      <c r="A772" s="96"/>
      <c r="B772" s="96"/>
      <c r="C772" s="96"/>
    </row>
    <row r="773">
      <c r="A773" s="96"/>
      <c r="B773" s="96"/>
      <c r="C773" s="96"/>
    </row>
    <row r="774">
      <c r="A774" s="96"/>
      <c r="B774" s="96"/>
      <c r="C774" s="96"/>
    </row>
    <row r="775">
      <c r="A775" s="96"/>
      <c r="B775" s="96"/>
      <c r="C775" s="96"/>
    </row>
    <row r="776">
      <c r="A776" s="96"/>
      <c r="B776" s="96"/>
      <c r="C776" s="96"/>
    </row>
    <row r="777">
      <c r="A777" s="96"/>
      <c r="B777" s="96"/>
      <c r="C777" s="96"/>
    </row>
    <row r="778">
      <c r="A778" s="96"/>
      <c r="B778" s="96"/>
      <c r="C778" s="96"/>
    </row>
    <row r="779">
      <c r="A779" s="96"/>
      <c r="B779" s="96"/>
      <c r="C779" s="96"/>
    </row>
    <row r="780">
      <c r="A780" s="96"/>
      <c r="B780" s="96"/>
      <c r="C780" s="96"/>
    </row>
    <row r="781">
      <c r="A781" s="96"/>
      <c r="B781" s="96"/>
      <c r="C781" s="96"/>
    </row>
    <row r="782">
      <c r="A782" s="96"/>
      <c r="B782" s="96"/>
      <c r="C782" s="96"/>
    </row>
    <row r="783">
      <c r="A783" s="96"/>
      <c r="B783" s="96"/>
      <c r="C783" s="96"/>
    </row>
    <row r="784">
      <c r="A784" s="96"/>
      <c r="B784" s="96"/>
      <c r="C784" s="96"/>
    </row>
    <row r="785">
      <c r="A785" s="96"/>
      <c r="B785" s="96"/>
      <c r="C785" s="96"/>
    </row>
    <row r="786">
      <c r="A786" s="96"/>
      <c r="B786" s="96"/>
      <c r="C786" s="96"/>
    </row>
    <row r="787">
      <c r="A787" s="96"/>
      <c r="B787" s="96"/>
      <c r="C787" s="96"/>
    </row>
    <row r="788">
      <c r="A788" s="96"/>
      <c r="B788" s="96"/>
      <c r="C788" s="96"/>
    </row>
    <row r="789">
      <c r="A789" s="96"/>
      <c r="B789" s="96"/>
      <c r="C789" s="96"/>
    </row>
    <row r="790">
      <c r="A790" s="96"/>
      <c r="B790" s="96"/>
      <c r="C790" s="96"/>
    </row>
    <row r="791">
      <c r="A791" s="96"/>
      <c r="B791" s="96"/>
      <c r="C791" s="96"/>
    </row>
    <row r="792">
      <c r="A792" s="96"/>
      <c r="B792" s="96"/>
      <c r="C792" s="96"/>
    </row>
    <row r="793">
      <c r="A793" s="96"/>
      <c r="B793" s="96"/>
      <c r="C793" s="96"/>
    </row>
    <row r="794">
      <c r="A794" s="96"/>
      <c r="B794" s="96"/>
      <c r="C794" s="96"/>
    </row>
    <row r="795">
      <c r="A795" s="96"/>
      <c r="B795" s="96"/>
      <c r="C795" s="96"/>
    </row>
    <row r="796">
      <c r="A796" s="96"/>
      <c r="B796" s="96"/>
      <c r="C796" s="96"/>
    </row>
    <row r="797">
      <c r="A797" s="96"/>
      <c r="B797" s="96"/>
      <c r="C797" s="96"/>
    </row>
    <row r="798">
      <c r="A798" s="96"/>
      <c r="B798" s="96"/>
      <c r="C798" s="96"/>
    </row>
    <row r="799">
      <c r="A799" s="96"/>
      <c r="B799" s="96"/>
      <c r="C799" s="96"/>
    </row>
    <row r="800">
      <c r="A800" s="96"/>
      <c r="B800" s="96"/>
      <c r="C800" s="96"/>
    </row>
    <row r="801">
      <c r="A801" s="96"/>
      <c r="B801" s="96"/>
      <c r="C801" s="96"/>
    </row>
    <row r="802">
      <c r="A802" s="96"/>
      <c r="B802" s="96"/>
      <c r="C802" s="96"/>
    </row>
    <row r="803">
      <c r="A803" s="96"/>
      <c r="B803" s="96"/>
      <c r="C803" s="96"/>
    </row>
    <row r="804">
      <c r="A804" s="96"/>
      <c r="B804" s="96"/>
      <c r="C804" s="96"/>
    </row>
    <row r="805">
      <c r="A805" s="96"/>
      <c r="B805" s="96"/>
      <c r="C805" s="96"/>
    </row>
    <row r="806">
      <c r="A806" s="96"/>
      <c r="B806" s="96"/>
      <c r="C806" s="96"/>
    </row>
    <row r="807">
      <c r="A807" s="96"/>
      <c r="B807" s="96"/>
      <c r="C807" s="96"/>
    </row>
    <row r="808">
      <c r="A808" s="96"/>
      <c r="B808" s="96"/>
      <c r="C808" s="96"/>
    </row>
    <row r="809">
      <c r="A809" s="96"/>
      <c r="B809" s="96"/>
      <c r="C809" s="96"/>
    </row>
    <row r="810">
      <c r="A810" s="96"/>
      <c r="B810" s="96"/>
      <c r="C810" s="96"/>
    </row>
    <row r="811">
      <c r="A811" s="96"/>
      <c r="B811" s="96"/>
      <c r="C811" s="96"/>
    </row>
    <row r="812">
      <c r="A812" s="96"/>
      <c r="B812" s="96"/>
      <c r="C812" s="96"/>
    </row>
    <row r="813">
      <c r="A813" s="96"/>
      <c r="B813" s="96"/>
      <c r="C813" s="96"/>
    </row>
    <row r="814">
      <c r="A814" s="96"/>
      <c r="B814" s="96"/>
      <c r="C814" s="96"/>
    </row>
    <row r="815">
      <c r="A815" s="96"/>
      <c r="B815" s="96"/>
      <c r="C815" s="96"/>
    </row>
    <row r="816">
      <c r="A816" s="96"/>
      <c r="B816" s="96"/>
      <c r="C816" s="96"/>
    </row>
    <row r="817">
      <c r="A817" s="96"/>
      <c r="B817" s="96"/>
      <c r="C817" s="96"/>
    </row>
    <row r="818">
      <c r="A818" s="96"/>
      <c r="B818" s="96"/>
      <c r="C818" s="96"/>
    </row>
    <row r="819">
      <c r="A819" s="96"/>
      <c r="B819" s="96"/>
      <c r="C819" s="96"/>
    </row>
    <row r="820">
      <c r="A820" s="96"/>
      <c r="B820" s="96"/>
      <c r="C820" s="96"/>
    </row>
    <row r="821">
      <c r="A821" s="96"/>
      <c r="B821" s="96"/>
      <c r="C821" s="96"/>
    </row>
    <row r="822">
      <c r="A822" s="96"/>
      <c r="B822" s="96"/>
      <c r="C822" s="96"/>
    </row>
    <row r="823">
      <c r="A823" s="96"/>
      <c r="B823" s="96"/>
      <c r="C823" s="96"/>
    </row>
    <row r="824">
      <c r="A824" s="96"/>
      <c r="B824" s="96"/>
      <c r="C824" s="96"/>
    </row>
    <row r="825">
      <c r="A825" s="96"/>
      <c r="B825" s="96"/>
      <c r="C825" s="96"/>
    </row>
    <row r="826">
      <c r="A826" s="96"/>
      <c r="B826" s="96"/>
      <c r="C826" s="96"/>
    </row>
    <row r="827">
      <c r="A827" s="96"/>
      <c r="B827" s="96"/>
      <c r="C827" s="96"/>
    </row>
    <row r="828">
      <c r="A828" s="96"/>
      <c r="B828" s="96"/>
      <c r="C828" s="96"/>
    </row>
    <row r="829">
      <c r="A829" s="96"/>
      <c r="B829" s="96"/>
      <c r="C829" s="96"/>
    </row>
    <row r="830">
      <c r="A830" s="96"/>
      <c r="B830" s="96"/>
      <c r="C830" s="96"/>
    </row>
    <row r="831">
      <c r="A831" s="96"/>
      <c r="B831" s="96"/>
      <c r="C831" s="96"/>
    </row>
    <row r="832">
      <c r="A832" s="96"/>
      <c r="B832" s="96"/>
      <c r="C832" s="96"/>
    </row>
    <row r="833">
      <c r="A833" s="96"/>
      <c r="B833" s="96"/>
      <c r="C833" s="96"/>
    </row>
    <row r="834">
      <c r="A834" s="96"/>
      <c r="B834" s="96"/>
      <c r="C834" s="96"/>
    </row>
    <row r="835">
      <c r="A835" s="96"/>
      <c r="B835" s="96"/>
      <c r="C835" s="96"/>
    </row>
    <row r="836">
      <c r="A836" s="96"/>
      <c r="B836" s="96"/>
      <c r="C836" s="96"/>
    </row>
    <row r="837">
      <c r="A837" s="96"/>
      <c r="B837" s="96"/>
      <c r="C837" s="96"/>
    </row>
    <row r="838">
      <c r="A838" s="96"/>
      <c r="B838" s="96"/>
      <c r="C838" s="96"/>
    </row>
    <row r="839">
      <c r="A839" s="96"/>
      <c r="B839" s="96"/>
      <c r="C839" s="96"/>
    </row>
    <row r="840">
      <c r="A840" s="96"/>
      <c r="B840" s="96"/>
      <c r="C840" s="96"/>
    </row>
    <row r="841">
      <c r="A841" s="96"/>
      <c r="B841" s="96"/>
      <c r="C841" s="96"/>
    </row>
    <row r="842">
      <c r="A842" s="96"/>
      <c r="B842" s="96"/>
      <c r="C842" s="96"/>
    </row>
    <row r="843">
      <c r="A843" s="96"/>
      <c r="B843" s="96"/>
      <c r="C843" s="96"/>
    </row>
    <row r="844">
      <c r="A844" s="96"/>
      <c r="B844" s="96"/>
      <c r="C844" s="96"/>
    </row>
    <row r="845">
      <c r="A845" s="96"/>
      <c r="B845" s="96"/>
      <c r="C845" s="96"/>
    </row>
    <row r="846">
      <c r="A846" s="96"/>
      <c r="B846" s="96"/>
      <c r="C846" s="96"/>
    </row>
    <row r="847">
      <c r="A847" s="96"/>
      <c r="B847" s="96"/>
      <c r="C847" s="96"/>
    </row>
    <row r="848">
      <c r="A848" s="96"/>
      <c r="B848" s="96"/>
      <c r="C848" s="96"/>
    </row>
    <row r="849">
      <c r="A849" s="96"/>
      <c r="B849" s="96"/>
      <c r="C849" s="96"/>
    </row>
    <row r="850">
      <c r="A850" s="96"/>
      <c r="B850" s="96"/>
      <c r="C850" s="96"/>
    </row>
    <row r="851">
      <c r="A851" s="96"/>
      <c r="B851" s="96"/>
      <c r="C851" s="96"/>
    </row>
    <row r="852">
      <c r="A852" s="96"/>
      <c r="B852" s="96"/>
      <c r="C852" s="96"/>
    </row>
    <row r="853">
      <c r="A853" s="96"/>
      <c r="B853" s="96"/>
      <c r="C853" s="96"/>
    </row>
    <row r="854">
      <c r="A854" s="96"/>
      <c r="B854" s="96"/>
      <c r="C854" s="96"/>
    </row>
    <row r="855">
      <c r="A855" s="96"/>
      <c r="B855" s="96"/>
      <c r="C855" s="96"/>
    </row>
    <row r="856">
      <c r="A856" s="96"/>
      <c r="B856" s="96"/>
      <c r="C856" s="96"/>
    </row>
    <row r="857">
      <c r="A857" s="96"/>
      <c r="B857" s="96"/>
      <c r="C857" s="96"/>
    </row>
    <row r="858">
      <c r="A858" s="96"/>
      <c r="B858" s="96"/>
      <c r="C858" s="96"/>
    </row>
    <row r="859">
      <c r="A859" s="96"/>
      <c r="B859" s="96"/>
      <c r="C859" s="96"/>
    </row>
    <row r="860">
      <c r="A860" s="96"/>
      <c r="B860" s="96"/>
      <c r="C860" s="96"/>
    </row>
    <row r="861">
      <c r="A861" s="96"/>
      <c r="B861" s="96"/>
      <c r="C861" s="96"/>
    </row>
    <row r="862">
      <c r="A862" s="96"/>
      <c r="B862" s="96"/>
      <c r="C862" s="96"/>
    </row>
    <row r="863">
      <c r="A863" s="96"/>
      <c r="B863" s="96"/>
      <c r="C863" s="96"/>
    </row>
    <row r="864">
      <c r="A864" s="96"/>
      <c r="B864" s="96"/>
      <c r="C864" s="96"/>
    </row>
    <row r="865">
      <c r="A865" s="96"/>
      <c r="B865" s="96"/>
      <c r="C865" s="96"/>
    </row>
    <row r="866">
      <c r="A866" s="96"/>
      <c r="B866" s="96"/>
      <c r="C866" s="96"/>
    </row>
    <row r="867">
      <c r="A867" s="96"/>
      <c r="B867" s="96"/>
      <c r="C867" s="96"/>
    </row>
    <row r="868">
      <c r="A868" s="96"/>
      <c r="B868" s="96"/>
      <c r="C868" s="96"/>
    </row>
    <row r="869">
      <c r="A869" s="96"/>
      <c r="B869" s="96"/>
      <c r="C869" s="96"/>
    </row>
    <row r="870">
      <c r="A870" s="96"/>
      <c r="B870" s="96"/>
      <c r="C870" s="96"/>
    </row>
    <row r="871">
      <c r="A871" s="96"/>
      <c r="B871" s="96"/>
      <c r="C871" s="96"/>
    </row>
    <row r="872">
      <c r="A872" s="96"/>
      <c r="B872" s="96"/>
      <c r="C872" s="96"/>
    </row>
    <row r="873">
      <c r="A873" s="96"/>
      <c r="B873" s="96"/>
      <c r="C873" s="96"/>
    </row>
    <row r="874">
      <c r="A874" s="96"/>
      <c r="B874" s="96"/>
      <c r="C874" s="96"/>
    </row>
    <row r="875">
      <c r="A875" s="96"/>
      <c r="B875" s="96"/>
      <c r="C875" s="96"/>
    </row>
    <row r="876">
      <c r="A876" s="96"/>
      <c r="B876" s="96"/>
      <c r="C876" s="96"/>
    </row>
    <row r="877">
      <c r="A877" s="96"/>
      <c r="B877" s="96"/>
      <c r="C877" s="96"/>
    </row>
    <row r="878">
      <c r="A878" s="96"/>
      <c r="B878" s="96"/>
      <c r="C878" s="96"/>
    </row>
    <row r="879">
      <c r="A879" s="96"/>
      <c r="B879" s="96"/>
      <c r="C879" s="96"/>
    </row>
    <row r="880">
      <c r="A880" s="96"/>
      <c r="B880" s="96"/>
      <c r="C880" s="96"/>
    </row>
    <row r="881">
      <c r="A881" s="96"/>
      <c r="B881" s="96"/>
      <c r="C881" s="96"/>
    </row>
    <row r="882">
      <c r="A882" s="96"/>
      <c r="B882" s="96"/>
      <c r="C882" s="96"/>
    </row>
    <row r="883">
      <c r="A883" s="96"/>
      <c r="B883" s="96"/>
      <c r="C883" s="96"/>
    </row>
    <row r="884">
      <c r="A884" s="96"/>
      <c r="B884" s="96"/>
      <c r="C884" s="96"/>
    </row>
    <row r="885">
      <c r="A885" s="96"/>
      <c r="B885" s="96"/>
      <c r="C885" s="96"/>
    </row>
    <row r="886">
      <c r="A886" s="96"/>
      <c r="B886" s="96"/>
      <c r="C886" s="96"/>
    </row>
    <row r="887">
      <c r="A887" s="96"/>
      <c r="B887" s="96"/>
      <c r="C887" s="96"/>
    </row>
    <row r="888">
      <c r="A888" s="96"/>
      <c r="B888" s="96"/>
      <c r="C888" s="96"/>
    </row>
    <row r="889">
      <c r="A889" s="96"/>
      <c r="B889" s="96"/>
      <c r="C889" s="96"/>
    </row>
    <row r="890">
      <c r="A890" s="96"/>
      <c r="B890" s="96"/>
      <c r="C890" s="96"/>
    </row>
    <row r="891">
      <c r="A891" s="96"/>
      <c r="B891" s="96"/>
      <c r="C891" s="96"/>
    </row>
    <row r="892">
      <c r="A892" s="96"/>
      <c r="B892" s="96"/>
      <c r="C892" s="96"/>
    </row>
    <row r="893">
      <c r="A893" s="96"/>
      <c r="B893" s="96"/>
      <c r="C893" s="96"/>
    </row>
    <row r="894">
      <c r="A894" s="96"/>
      <c r="B894" s="96"/>
      <c r="C894" s="96"/>
    </row>
    <row r="895">
      <c r="A895" s="96"/>
      <c r="B895" s="96"/>
      <c r="C895" s="96"/>
    </row>
    <row r="896">
      <c r="A896" s="96"/>
      <c r="B896" s="96"/>
      <c r="C896" s="96"/>
    </row>
    <row r="897">
      <c r="A897" s="96"/>
      <c r="B897" s="96"/>
      <c r="C897" s="96"/>
    </row>
    <row r="898">
      <c r="A898" s="96"/>
      <c r="B898" s="96"/>
      <c r="C898" s="96"/>
    </row>
    <row r="899">
      <c r="A899" s="96"/>
      <c r="B899" s="96"/>
      <c r="C899" s="96"/>
    </row>
    <row r="900">
      <c r="A900" s="96"/>
      <c r="B900" s="96"/>
      <c r="C900" s="96"/>
    </row>
    <row r="901">
      <c r="A901" s="96"/>
      <c r="B901" s="96"/>
      <c r="C901" s="96"/>
    </row>
    <row r="902">
      <c r="A902" s="96"/>
      <c r="B902" s="96"/>
      <c r="C902" s="96"/>
    </row>
    <row r="903">
      <c r="A903" s="96"/>
      <c r="B903" s="96"/>
      <c r="C903" s="96"/>
    </row>
    <row r="904">
      <c r="A904" s="96"/>
      <c r="B904" s="96"/>
      <c r="C904" s="96"/>
    </row>
    <row r="905">
      <c r="A905" s="96"/>
      <c r="B905" s="96"/>
      <c r="C905" s="96"/>
    </row>
    <row r="906">
      <c r="A906" s="96"/>
      <c r="B906" s="96"/>
      <c r="C906" s="96"/>
    </row>
    <row r="907">
      <c r="A907" s="96"/>
      <c r="B907" s="96"/>
      <c r="C907" s="96"/>
    </row>
    <row r="908">
      <c r="A908" s="96"/>
      <c r="B908" s="96"/>
      <c r="C908" s="96"/>
    </row>
    <row r="909">
      <c r="A909" s="96"/>
      <c r="B909" s="96"/>
      <c r="C909" s="96"/>
    </row>
    <row r="910">
      <c r="A910" s="96"/>
      <c r="B910" s="96"/>
      <c r="C910" s="96"/>
    </row>
    <row r="911">
      <c r="A911" s="96"/>
      <c r="B911" s="96"/>
      <c r="C911" s="96"/>
    </row>
    <row r="912">
      <c r="A912" s="96"/>
      <c r="B912" s="96"/>
      <c r="C912" s="96"/>
    </row>
    <row r="913">
      <c r="A913" s="96"/>
      <c r="B913" s="96"/>
      <c r="C913" s="96"/>
    </row>
    <row r="914">
      <c r="A914" s="96"/>
      <c r="B914" s="96"/>
      <c r="C914" s="96"/>
    </row>
    <row r="915">
      <c r="A915" s="96"/>
      <c r="B915" s="96"/>
      <c r="C915" s="96"/>
    </row>
    <row r="916">
      <c r="A916" s="96"/>
      <c r="B916" s="96"/>
      <c r="C916" s="96"/>
    </row>
    <row r="917">
      <c r="A917" s="96"/>
      <c r="B917" s="96"/>
      <c r="C917" s="96"/>
    </row>
    <row r="918">
      <c r="A918" s="96"/>
      <c r="B918" s="96"/>
      <c r="C918" s="96"/>
    </row>
    <row r="919">
      <c r="A919" s="96"/>
      <c r="B919" s="96"/>
      <c r="C919" s="96"/>
    </row>
    <row r="920">
      <c r="A920" s="96"/>
      <c r="B920" s="96"/>
      <c r="C920" s="96"/>
    </row>
    <row r="921">
      <c r="A921" s="96"/>
      <c r="B921" s="96"/>
      <c r="C921" s="96"/>
    </row>
    <row r="922">
      <c r="A922" s="96"/>
      <c r="B922" s="96"/>
      <c r="C922" s="96"/>
    </row>
    <row r="923">
      <c r="A923" s="96"/>
      <c r="B923" s="96"/>
      <c r="C923" s="96"/>
    </row>
    <row r="924">
      <c r="A924" s="96"/>
      <c r="B924" s="96"/>
      <c r="C924" s="96"/>
    </row>
    <row r="925">
      <c r="A925" s="96"/>
      <c r="B925" s="96"/>
      <c r="C925" s="96"/>
    </row>
    <row r="926">
      <c r="A926" s="96"/>
      <c r="B926" s="96"/>
      <c r="C926" s="96"/>
    </row>
    <row r="927">
      <c r="A927" s="96"/>
      <c r="B927" s="96"/>
      <c r="C927" s="96"/>
    </row>
    <row r="928">
      <c r="A928" s="96"/>
      <c r="B928" s="96"/>
      <c r="C928" s="96"/>
    </row>
    <row r="929">
      <c r="A929" s="96"/>
      <c r="B929" s="96"/>
      <c r="C929" s="96"/>
    </row>
    <row r="930">
      <c r="A930" s="96"/>
      <c r="B930" s="96"/>
      <c r="C930" s="96"/>
    </row>
    <row r="931">
      <c r="A931" s="96"/>
      <c r="B931" s="96"/>
      <c r="C931" s="96"/>
    </row>
    <row r="932">
      <c r="A932" s="96"/>
      <c r="B932" s="96"/>
      <c r="C932" s="96"/>
    </row>
    <row r="933">
      <c r="A933" s="96"/>
      <c r="B933" s="96"/>
      <c r="C933" s="96"/>
    </row>
    <row r="934">
      <c r="A934" s="96"/>
      <c r="B934" s="96"/>
      <c r="C934" s="96"/>
    </row>
    <row r="935">
      <c r="A935" s="96"/>
      <c r="B935" s="96"/>
      <c r="C935" s="96"/>
    </row>
    <row r="936">
      <c r="A936" s="96"/>
      <c r="B936" s="96"/>
      <c r="C936" s="96"/>
    </row>
    <row r="937">
      <c r="A937" s="96"/>
      <c r="B937" s="96"/>
      <c r="C937" s="96"/>
    </row>
    <row r="938">
      <c r="A938" s="96"/>
      <c r="B938" s="96"/>
      <c r="C938" s="96"/>
    </row>
    <row r="939">
      <c r="A939" s="96"/>
      <c r="B939" s="96"/>
      <c r="C939" s="96"/>
    </row>
    <row r="940">
      <c r="A940" s="96"/>
      <c r="B940" s="96"/>
      <c r="C940" s="96"/>
    </row>
    <row r="941">
      <c r="A941" s="96"/>
      <c r="B941" s="96"/>
      <c r="C941" s="96"/>
    </row>
    <row r="942">
      <c r="A942" s="96"/>
      <c r="B942" s="96"/>
      <c r="C942" s="96"/>
    </row>
    <row r="943">
      <c r="A943" s="96"/>
      <c r="B943" s="96"/>
      <c r="C943" s="96"/>
    </row>
    <row r="944">
      <c r="A944" s="96"/>
      <c r="B944" s="96"/>
      <c r="C944" s="96"/>
    </row>
    <row r="945">
      <c r="A945" s="96"/>
      <c r="B945" s="96"/>
      <c r="C945" s="96"/>
    </row>
    <row r="946">
      <c r="A946" s="96"/>
      <c r="B946" s="96"/>
      <c r="C946" s="96"/>
    </row>
    <row r="947">
      <c r="A947" s="96"/>
      <c r="B947" s="96"/>
      <c r="C947" s="96"/>
    </row>
    <row r="948">
      <c r="A948" s="96"/>
      <c r="B948" s="96"/>
      <c r="C948" s="96"/>
    </row>
    <row r="949">
      <c r="A949" s="96"/>
      <c r="B949" s="96"/>
      <c r="C949" s="96"/>
    </row>
    <row r="950">
      <c r="A950" s="96"/>
      <c r="B950" s="96"/>
      <c r="C950" s="96"/>
    </row>
    <row r="951">
      <c r="A951" s="96"/>
      <c r="B951" s="96"/>
      <c r="C951" s="96"/>
    </row>
    <row r="952">
      <c r="A952" s="96"/>
      <c r="B952" s="96"/>
      <c r="C952" s="96"/>
    </row>
    <row r="953">
      <c r="A953" s="96"/>
      <c r="B953" s="96"/>
      <c r="C953" s="96"/>
    </row>
    <row r="954">
      <c r="A954" s="96"/>
      <c r="B954" s="96"/>
      <c r="C954" s="96"/>
    </row>
    <row r="955">
      <c r="A955" s="96"/>
      <c r="B955" s="96"/>
      <c r="C955" s="96"/>
    </row>
    <row r="956">
      <c r="A956" s="96"/>
      <c r="B956" s="96"/>
      <c r="C956" s="96"/>
    </row>
    <row r="957">
      <c r="A957" s="96"/>
      <c r="B957" s="96"/>
      <c r="C957" s="96"/>
    </row>
    <row r="958">
      <c r="A958" s="96"/>
      <c r="B958" s="96"/>
      <c r="C958" s="96"/>
    </row>
    <row r="959">
      <c r="A959" s="96"/>
      <c r="B959" s="96"/>
      <c r="C959" s="96"/>
    </row>
    <row r="960">
      <c r="A960" s="96"/>
      <c r="B960" s="96"/>
      <c r="C960" s="96"/>
    </row>
    <row r="961">
      <c r="A961" s="96"/>
      <c r="B961" s="96"/>
      <c r="C961" s="96"/>
    </row>
    <row r="962">
      <c r="A962" s="96"/>
      <c r="B962" s="96"/>
      <c r="C962" s="96"/>
    </row>
    <row r="963">
      <c r="A963" s="96"/>
      <c r="B963" s="96"/>
      <c r="C963" s="96"/>
    </row>
    <row r="964">
      <c r="A964" s="96"/>
      <c r="B964" s="96"/>
      <c r="C964" s="96"/>
    </row>
    <row r="965">
      <c r="A965" s="96"/>
      <c r="B965" s="96"/>
      <c r="C965" s="96"/>
    </row>
    <row r="966">
      <c r="A966" s="96"/>
      <c r="B966" s="96"/>
      <c r="C966" s="96"/>
    </row>
    <row r="967">
      <c r="A967" s="96"/>
      <c r="B967" s="96"/>
      <c r="C967" s="96"/>
    </row>
    <row r="968">
      <c r="A968" s="96"/>
      <c r="B968" s="96"/>
      <c r="C968" s="96"/>
    </row>
    <row r="969">
      <c r="A969" s="96"/>
      <c r="B969" s="96"/>
      <c r="C969" s="96"/>
    </row>
    <row r="970">
      <c r="A970" s="96"/>
      <c r="B970" s="96"/>
      <c r="C970" s="96"/>
    </row>
    <row r="971">
      <c r="A971" s="96"/>
      <c r="B971" s="96"/>
      <c r="C971" s="96"/>
    </row>
    <row r="972">
      <c r="A972" s="96"/>
      <c r="B972" s="96"/>
      <c r="C972" s="96"/>
    </row>
    <row r="973">
      <c r="A973" s="96"/>
      <c r="B973" s="96"/>
      <c r="C973" s="96"/>
    </row>
    <row r="974">
      <c r="A974" s="96"/>
      <c r="B974" s="96"/>
      <c r="C974" s="96"/>
    </row>
    <row r="975">
      <c r="A975" s="96"/>
      <c r="B975" s="96"/>
      <c r="C975" s="96"/>
    </row>
    <row r="976">
      <c r="A976" s="96"/>
      <c r="B976" s="96"/>
      <c r="C976" s="96"/>
    </row>
    <row r="977">
      <c r="A977" s="96"/>
      <c r="B977" s="96"/>
      <c r="C977" s="96"/>
    </row>
    <row r="978">
      <c r="A978" s="96"/>
      <c r="B978" s="96"/>
      <c r="C978" s="96"/>
    </row>
    <row r="979">
      <c r="A979" s="96"/>
      <c r="B979" s="96"/>
      <c r="C979" s="96"/>
    </row>
    <row r="980">
      <c r="A980" s="96"/>
      <c r="B980" s="96"/>
      <c r="C980" s="96"/>
    </row>
    <row r="981">
      <c r="A981" s="96"/>
      <c r="B981" s="96"/>
      <c r="C981" s="96"/>
    </row>
    <row r="982">
      <c r="A982" s="96"/>
      <c r="B982" s="96"/>
      <c r="C982" s="96"/>
    </row>
    <row r="983">
      <c r="A983" s="96"/>
      <c r="B983" s="96"/>
      <c r="C983" s="96"/>
    </row>
    <row r="984">
      <c r="A984" s="96"/>
      <c r="B984" s="96"/>
      <c r="C984" s="96"/>
    </row>
    <row r="985">
      <c r="A985" s="96"/>
      <c r="B985" s="96"/>
      <c r="C985" s="96"/>
    </row>
    <row r="986">
      <c r="A986" s="96"/>
      <c r="B986" s="96"/>
      <c r="C986" s="96"/>
    </row>
    <row r="987">
      <c r="A987" s="96"/>
      <c r="B987" s="96"/>
      <c r="C987" s="96"/>
    </row>
    <row r="988">
      <c r="A988" s="96"/>
      <c r="B988" s="96"/>
      <c r="C988" s="96"/>
    </row>
    <row r="989">
      <c r="A989" s="96"/>
      <c r="B989" s="96"/>
      <c r="C989" s="96"/>
    </row>
    <row r="990">
      <c r="A990" s="96"/>
      <c r="B990" s="96"/>
      <c r="C990" s="96"/>
    </row>
    <row r="991">
      <c r="A991" s="96"/>
      <c r="B991" s="96"/>
      <c r="C991" s="96"/>
    </row>
    <row r="992">
      <c r="A992" s="96"/>
      <c r="B992" s="96"/>
      <c r="C992" s="96"/>
    </row>
    <row r="993">
      <c r="A993" s="96"/>
      <c r="B993" s="96"/>
      <c r="C993" s="96"/>
    </row>
    <row r="994">
      <c r="A994" s="96"/>
      <c r="B994" s="96"/>
      <c r="C994" s="96"/>
    </row>
    <row r="995">
      <c r="A995" s="96"/>
      <c r="B995" s="96"/>
      <c r="C995" s="96"/>
    </row>
    <row r="996">
      <c r="A996" s="96"/>
      <c r="B996" s="96"/>
      <c r="C996" s="96"/>
    </row>
    <row r="997">
      <c r="A997" s="96"/>
      <c r="B997" s="96"/>
      <c r="C997" s="96"/>
    </row>
    <row r="998">
      <c r="A998" s="96"/>
      <c r="B998" s="96"/>
      <c r="C998" s="96"/>
    </row>
    <row r="999">
      <c r="A999" s="96"/>
      <c r="B999" s="96"/>
      <c r="C999" s="96"/>
    </row>
    <row r="1000">
      <c r="A1000" s="96"/>
      <c r="B1000" s="96"/>
      <c r="C1000" s="96"/>
    </row>
  </sheetData>
  <mergeCells count="49">
    <mergeCell ref="A1:C1"/>
    <mergeCell ref="A2:C2"/>
    <mergeCell ref="A3:C3"/>
    <mergeCell ref="A4:B4"/>
    <mergeCell ref="A5:B5"/>
    <mergeCell ref="A6:C6"/>
    <mergeCell ref="A8:A14"/>
    <mergeCell ref="A15:A22"/>
    <mergeCell ref="A23:A27"/>
    <mergeCell ref="A28:A32"/>
    <mergeCell ref="A33:A38"/>
    <mergeCell ref="A39:A43"/>
    <mergeCell ref="A44:A48"/>
    <mergeCell ref="A49:A54"/>
    <mergeCell ref="A55:A60"/>
    <mergeCell ref="A61:A66"/>
    <mergeCell ref="A67:A72"/>
    <mergeCell ref="A73:A77"/>
    <mergeCell ref="A78:A82"/>
    <mergeCell ref="A83:A90"/>
    <mergeCell ref="A91:A95"/>
    <mergeCell ref="A96:A100"/>
    <mergeCell ref="A101:A106"/>
    <mergeCell ref="A107:A112"/>
    <mergeCell ref="A113:A118"/>
    <mergeCell ref="A119:A124"/>
    <mergeCell ref="A125:A130"/>
    <mergeCell ref="A131:A136"/>
    <mergeCell ref="A137:A142"/>
    <mergeCell ref="A143:A148"/>
    <mergeCell ref="A149:A154"/>
    <mergeCell ref="A155:A160"/>
    <mergeCell ref="A161:A166"/>
    <mergeCell ref="A167:A172"/>
    <mergeCell ref="A173:A178"/>
    <mergeCell ref="A221:A226"/>
    <mergeCell ref="A227:A232"/>
    <mergeCell ref="A233:A238"/>
    <mergeCell ref="A239:A244"/>
    <mergeCell ref="A245:A250"/>
    <mergeCell ref="A251:A256"/>
    <mergeCell ref="A257:A262"/>
    <mergeCell ref="A179:A184"/>
    <mergeCell ref="A185:A190"/>
    <mergeCell ref="A191:A196"/>
    <mergeCell ref="A197:A202"/>
    <mergeCell ref="A203:A208"/>
    <mergeCell ref="A209:A214"/>
    <mergeCell ref="A215:A220"/>
  </mergeCells>
  <dataValidations>
    <dataValidation type="list" allowBlank="1" showErrorMessage="1" sqref="C8:C18 C20:C261">
      <formula1>"Done,Pending"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27.13"/>
    <col customWidth="1" min="5" max="5" width="22.88"/>
    <col customWidth="1" min="6" max="6" width="23.13"/>
    <col customWidth="1" min="7" max="7" width="21.25"/>
  </cols>
  <sheetData>
    <row r="1">
      <c r="A1" s="91" t="s">
        <v>0</v>
      </c>
      <c r="B1" s="91" t="s">
        <v>2</v>
      </c>
      <c r="C1" s="91" t="s">
        <v>3</v>
      </c>
      <c r="D1" s="91" t="s">
        <v>422</v>
      </c>
      <c r="E1" s="91" t="s">
        <v>423</v>
      </c>
      <c r="F1" s="91" t="s">
        <v>424</v>
      </c>
      <c r="G1" s="91" t="s">
        <v>422</v>
      </c>
    </row>
    <row r="2">
      <c r="A2" s="50">
        <v>1.0</v>
      </c>
      <c r="B2" s="50" t="s">
        <v>425</v>
      </c>
      <c r="C2" s="50" t="s">
        <v>177</v>
      </c>
      <c r="D2" s="92"/>
      <c r="G2" s="92"/>
    </row>
    <row r="3">
      <c r="A3" s="50">
        <v>2.0</v>
      </c>
      <c r="B3" s="50" t="s">
        <v>241</v>
      </c>
      <c r="C3" s="50" t="s">
        <v>243</v>
      </c>
      <c r="D3" s="93" t="s">
        <v>426</v>
      </c>
      <c r="E3" s="50" t="s">
        <v>427</v>
      </c>
      <c r="F3" s="50" t="s">
        <v>428</v>
      </c>
      <c r="G3" s="93" t="s">
        <v>429</v>
      </c>
    </row>
    <row r="4">
      <c r="A4" s="50">
        <v>3.0</v>
      </c>
      <c r="B4" s="50" t="s">
        <v>430</v>
      </c>
      <c r="C4" s="50" t="s">
        <v>273</v>
      </c>
      <c r="D4" s="92"/>
      <c r="E4" s="92"/>
      <c r="G4" s="92"/>
    </row>
    <row r="5">
      <c r="A5" s="50">
        <v>4.0</v>
      </c>
      <c r="B5" s="50" t="s">
        <v>126</v>
      </c>
      <c r="C5" s="50" t="s">
        <v>127</v>
      </c>
      <c r="D5" s="93" t="s">
        <v>431</v>
      </c>
      <c r="E5" s="50" t="s">
        <v>432</v>
      </c>
      <c r="F5" s="50" t="s">
        <v>428</v>
      </c>
      <c r="G5" s="93" t="s">
        <v>433</v>
      </c>
    </row>
    <row r="6">
      <c r="A6" s="50">
        <v>5.0</v>
      </c>
      <c r="B6" s="50" t="s">
        <v>162</v>
      </c>
      <c r="C6" s="50" t="s">
        <v>163</v>
      </c>
      <c r="D6" s="93" t="s">
        <v>434</v>
      </c>
      <c r="E6" s="50" t="s">
        <v>435</v>
      </c>
      <c r="F6" s="50" t="s">
        <v>436</v>
      </c>
      <c r="G6" s="93" t="s">
        <v>437</v>
      </c>
    </row>
    <row r="7">
      <c r="A7" s="50">
        <v>6.0</v>
      </c>
      <c r="B7" s="50" t="s">
        <v>182</v>
      </c>
      <c r="C7" s="50" t="s">
        <v>183</v>
      </c>
      <c r="D7" s="93" t="s">
        <v>441</v>
      </c>
      <c r="E7" s="50" t="s">
        <v>443</v>
      </c>
      <c r="F7" s="50" t="s">
        <v>444</v>
      </c>
      <c r="G7" s="93" t="s">
        <v>445</v>
      </c>
    </row>
    <row r="8">
      <c r="A8" s="50">
        <v>7.0</v>
      </c>
      <c r="B8" s="50" t="s">
        <v>449</v>
      </c>
      <c r="C8" s="50" t="s">
        <v>376</v>
      </c>
    </row>
    <row r="9">
      <c r="A9" s="50">
        <v>8.0</v>
      </c>
      <c r="B9" s="50" t="s">
        <v>350</v>
      </c>
      <c r="C9" s="50" t="s">
        <v>352</v>
      </c>
    </row>
    <row r="10">
      <c r="A10" s="50">
        <v>9.0</v>
      </c>
      <c r="B10" s="50" t="s">
        <v>197</v>
      </c>
      <c r="C10" s="50" t="s">
        <v>199</v>
      </c>
      <c r="D10" s="93" t="s">
        <v>451</v>
      </c>
      <c r="E10" s="50" t="s">
        <v>454</v>
      </c>
      <c r="F10" s="50" t="s">
        <v>455</v>
      </c>
      <c r="G10" s="93" t="s">
        <v>457</v>
      </c>
    </row>
    <row r="11">
      <c r="A11" s="50">
        <v>10.0</v>
      </c>
      <c r="B11" s="50" t="s">
        <v>399</v>
      </c>
      <c r="C11" s="50" t="s">
        <v>400</v>
      </c>
      <c r="D11" s="93" t="s">
        <v>461</v>
      </c>
      <c r="E11" s="50" t="s">
        <v>463</v>
      </c>
      <c r="F11" s="50" t="s">
        <v>444</v>
      </c>
      <c r="G11" s="50" t="s">
        <v>464</v>
      </c>
    </row>
    <row r="12">
      <c r="A12" s="50">
        <v>11.0</v>
      </c>
      <c r="B12" s="50" t="s">
        <v>466</v>
      </c>
      <c r="C12" s="50" t="s">
        <v>467</v>
      </c>
      <c r="D12" s="93" t="s">
        <v>468</v>
      </c>
      <c r="E12" s="50" t="s">
        <v>469</v>
      </c>
      <c r="F12" s="50" t="s">
        <v>470</v>
      </c>
      <c r="G12" s="93" t="s">
        <v>471</v>
      </c>
    </row>
    <row r="13">
      <c r="A13" s="50">
        <v>12.0</v>
      </c>
      <c r="B13" s="50" t="s">
        <v>294</v>
      </c>
      <c r="C13" s="50" t="s">
        <v>295</v>
      </c>
      <c r="D13" s="93" t="s">
        <v>472</v>
      </c>
      <c r="E13" s="50" t="s">
        <v>473</v>
      </c>
      <c r="F13" s="50" t="s">
        <v>474</v>
      </c>
      <c r="G13" s="93" t="s">
        <v>475</v>
      </c>
    </row>
    <row r="14">
      <c r="A14" s="50">
        <v>13.0</v>
      </c>
      <c r="B14" s="50" t="s">
        <v>401</v>
      </c>
      <c r="C14" s="50" t="s">
        <v>402</v>
      </c>
    </row>
    <row r="15">
      <c r="A15" s="50">
        <v>14.0</v>
      </c>
      <c r="B15" s="50" t="s">
        <v>478</v>
      </c>
      <c r="C15" s="50" t="s">
        <v>406</v>
      </c>
      <c r="D15" s="93" t="s">
        <v>479</v>
      </c>
      <c r="E15" s="50" t="s">
        <v>444</v>
      </c>
      <c r="F15" s="50" t="s">
        <v>444</v>
      </c>
      <c r="G15" s="93" t="s">
        <v>480</v>
      </c>
    </row>
    <row r="16">
      <c r="A16" s="50">
        <v>15.0</v>
      </c>
      <c r="B16" s="50" t="s">
        <v>481</v>
      </c>
      <c r="C16" s="50" t="s">
        <v>224</v>
      </c>
    </row>
    <row r="17">
      <c r="A17" s="50">
        <v>16.0</v>
      </c>
      <c r="B17" s="50" t="s">
        <v>335</v>
      </c>
      <c r="C17" s="50" t="s">
        <v>336</v>
      </c>
      <c r="D17" s="93" t="s">
        <v>482</v>
      </c>
      <c r="E17" s="50" t="s">
        <v>485</v>
      </c>
      <c r="F17" s="50" t="s">
        <v>455</v>
      </c>
      <c r="G17" s="93" t="s">
        <v>486</v>
      </c>
    </row>
    <row r="18">
      <c r="A18" s="50">
        <v>17.0</v>
      </c>
      <c r="B18" s="50" t="s">
        <v>206</v>
      </c>
      <c r="C18" s="50" t="s">
        <v>491</v>
      </c>
      <c r="D18" s="93" t="s">
        <v>492</v>
      </c>
      <c r="E18" s="50" t="s">
        <v>496</v>
      </c>
      <c r="F18" s="50" t="s">
        <v>455</v>
      </c>
      <c r="G18" s="93" t="s">
        <v>498</v>
      </c>
    </row>
    <row r="19">
      <c r="A19" s="50">
        <v>18.0</v>
      </c>
      <c r="B19" s="50" t="s">
        <v>503</v>
      </c>
      <c r="C19" s="50" t="s">
        <v>504</v>
      </c>
    </row>
    <row r="20">
      <c r="A20" s="50">
        <v>19.0</v>
      </c>
      <c r="B20" s="50" t="s">
        <v>366</v>
      </c>
      <c r="C20" s="50" t="s">
        <v>367</v>
      </c>
    </row>
    <row r="21">
      <c r="A21" s="50">
        <v>20.0</v>
      </c>
      <c r="B21" s="50" t="s">
        <v>490</v>
      </c>
      <c r="C21" s="50" t="s">
        <v>493</v>
      </c>
      <c r="D21" s="93" t="s">
        <v>506</v>
      </c>
      <c r="E21" s="50" t="s">
        <v>509</v>
      </c>
      <c r="F21" s="50" t="s">
        <v>444</v>
      </c>
      <c r="G21" s="93" t="s">
        <v>511</v>
      </c>
    </row>
    <row r="22">
      <c r="A22" s="50">
        <v>21.0</v>
      </c>
      <c r="B22" s="50" t="s">
        <v>512</v>
      </c>
      <c r="C22" s="50" t="s">
        <v>513</v>
      </c>
    </row>
    <row r="23">
      <c r="A23" s="50">
        <v>22.0</v>
      </c>
      <c r="B23" s="50" t="s">
        <v>514</v>
      </c>
      <c r="C23" s="50" t="s">
        <v>515</v>
      </c>
    </row>
    <row r="24">
      <c r="A24" s="50">
        <v>23.0</v>
      </c>
      <c r="B24" s="50" t="s">
        <v>88</v>
      </c>
      <c r="C24" s="50" t="s">
        <v>91</v>
      </c>
      <c r="D24" s="93" t="s">
        <v>516</v>
      </c>
      <c r="E24" s="50" t="s">
        <v>517</v>
      </c>
      <c r="F24" s="50" t="s">
        <v>518</v>
      </c>
      <c r="G24" s="93" t="s">
        <v>519</v>
      </c>
    </row>
    <row r="25">
      <c r="A25" s="50">
        <v>24.0</v>
      </c>
      <c r="B25" s="50" t="s">
        <v>520</v>
      </c>
      <c r="C25" s="50" t="s">
        <v>239</v>
      </c>
    </row>
    <row r="26">
      <c r="A26" s="50">
        <v>25.0</v>
      </c>
      <c r="B26" s="50" t="s">
        <v>384</v>
      </c>
      <c r="C26" s="50" t="s">
        <v>386</v>
      </c>
    </row>
    <row r="27">
      <c r="A27" s="50">
        <v>26.0</v>
      </c>
      <c r="B27" s="50" t="s">
        <v>302</v>
      </c>
      <c r="C27" s="50" t="s">
        <v>304</v>
      </c>
      <c r="D27" s="93" t="s">
        <v>521</v>
      </c>
      <c r="E27" s="50" t="s">
        <v>522</v>
      </c>
      <c r="F27" s="50" t="s">
        <v>444</v>
      </c>
      <c r="G27" s="93" t="s">
        <v>523</v>
      </c>
    </row>
    <row r="28">
      <c r="A28" s="50">
        <v>27.0</v>
      </c>
      <c r="B28" s="50" t="s">
        <v>524</v>
      </c>
      <c r="C28" s="50" t="s">
        <v>421</v>
      </c>
      <c r="D28" s="93" t="s">
        <v>525</v>
      </c>
      <c r="E28" s="50" t="s">
        <v>526</v>
      </c>
      <c r="F28" s="50" t="s">
        <v>428</v>
      </c>
      <c r="G28" s="93" t="s">
        <v>527</v>
      </c>
    </row>
    <row r="29">
      <c r="A29" s="50">
        <v>28.0</v>
      </c>
      <c r="B29" s="50" t="s">
        <v>528</v>
      </c>
      <c r="C29" s="50" t="s">
        <v>529</v>
      </c>
      <c r="D29" s="93" t="s">
        <v>530</v>
      </c>
      <c r="E29" s="50" t="s">
        <v>531</v>
      </c>
      <c r="F29" s="50" t="s">
        <v>455</v>
      </c>
      <c r="G29" s="93" t="s">
        <v>532</v>
      </c>
    </row>
    <row r="30">
      <c r="A30" s="50">
        <v>29.0</v>
      </c>
      <c r="B30" s="50" t="s">
        <v>321</v>
      </c>
      <c r="C30" s="50" t="s">
        <v>322</v>
      </c>
    </row>
    <row r="31">
      <c r="A31" s="50">
        <v>30.0</v>
      </c>
      <c r="B31" s="50" t="s">
        <v>311</v>
      </c>
      <c r="C31" s="50" t="s">
        <v>313</v>
      </c>
    </row>
    <row r="32">
      <c r="A32" s="50">
        <v>31.0</v>
      </c>
      <c r="B32" s="50" t="s">
        <v>533</v>
      </c>
      <c r="C32" s="50" t="s">
        <v>534</v>
      </c>
    </row>
    <row r="33">
      <c r="A33" s="50">
        <v>32.0</v>
      </c>
      <c r="B33" s="50" t="s">
        <v>388</v>
      </c>
      <c r="C33" s="50" t="s">
        <v>389</v>
      </c>
      <c r="D33" s="93" t="s">
        <v>535</v>
      </c>
      <c r="E33" s="50" t="s">
        <v>536</v>
      </c>
      <c r="F33" s="50" t="s">
        <v>444</v>
      </c>
      <c r="G33" s="93" t="s">
        <v>537</v>
      </c>
    </row>
    <row r="34">
      <c r="A34" s="50">
        <v>33.0</v>
      </c>
      <c r="B34" s="50" t="s">
        <v>344</v>
      </c>
      <c r="C34" s="50" t="s">
        <v>345</v>
      </c>
      <c r="D34" s="93" t="s">
        <v>538</v>
      </c>
      <c r="E34" s="50" t="s">
        <v>444</v>
      </c>
      <c r="F34" s="50" t="s">
        <v>485</v>
      </c>
      <c r="G34" s="93" t="s">
        <v>539</v>
      </c>
    </row>
    <row r="35">
      <c r="A35" s="50">
        <v>34.0</v>
      </c>
      <c r="B35" s="50" t="s">
        <v>540</v>
      </c>
      <c r="C35" s="50" t="s">
        <v>251</v>
      </c>
      <c r="D35" s="93" t="s">
        <v>541</v>
      </c>
      <c r="E35" s="50" t="s">
        <v>542</v>
      </c>
      <c r="F35" s="50" t="s">
        <v>428</v>
      </c>
      <c r="G35" s="93" t="s">
        <v>543</v>
      </c>
    </row>
    <row r="36">
      <c r="A36" s="50">
        <v>35.0</v>
      </c>
      <c r="B36" s="50" t="s">
        <v>544</v>
      </c>
      <c r="C36" s="50" t="s">
        <v>258</v>
      </c>
      <c r="D36" s="93" t="s">
        <v>545</v>
      </c>
      <c r="E36" s="50" t="s">
        <v>546</v>
      </c>
      <c r="F36" s="50" t="s">
        <v>428</v>
      </c>
      <c r="G36" s="93" t="s">
        <v>547</v>
      </c>
    </row>
    <row r="37">
      <c r="A37" s="50">
        <v>36.0</v>
      </c>
      <c r="B37" s="50" t="s">
        <v>418</v>
      </c>
      <c r="C37" s="50" t="s">
        <v>419</v>
      </c>
      <c r="D37" s="93" t="s">
        <v>548</v>
      </c>
      <c r="E37" s="50" t="s">
        <v>549</v>
      </c>
      <c r="F37" s="50" t="s">
        <v>550</v>
      </c>
      <c r="G37" s="50" t="s">
        <v>550</v>
      </c>
    </row>
    <row r="38">
      <c r="A38" s="50">
        <v>37.0</v>
      </c>
      <c r="B38" s="50" t="s">
        <v>551</v>
      </c>
      <c r="C38" s="50" t="s">
        <v>552</v>
      </c>
    </row>
    <row r="39">
      <c r="A39" s="50">
        <v>38.0</v>
      </c>
      <c r="B39" s="50" t="s">
        <v>553</v>
      </c>
      <c r="C39" s="50" t="s">
        <v>360</v>
      </c>
      <c r="D39" s="93" t="s">
        <v>554</v>
      </c>
      <c r="E39" s="50" t="s">
        <v>555</v>
      </c>
      <c r="F39" s="50" t="s">
        <v>428</v>
      </c>
      <c r="G39" s="93" t="s">
        <v>556</v>
      </c>
    </row>
    <row r="40">
      <c r="A40" s="50">
        <v>39.0</v>
      </c>
      <c r="B40" s="50" t="s">
        <v>557</v>
      </c>
      <c r="C40" s="50" t="s">
        <v>146</v>
      </c>
    </row>
    <row r="41">
      <c r="A41" s="50">
        <v>40.0</v>
      </c>
      <c r="B41" s="50" t="s">
        <v>214</v>
      </c>
      <c r="C41" s="50" t="s">
        <v>215</v>
      </c>
      <c r="D41" s="93" t="s">
        <v>558</v>
      </c>
      <c r="E41" s="50" t="s">
        <v>559</v>
      </c>
      <c r="F41" s="50" t="s">
        <v>428</v>
      </c>
      <c r="G41" s="93" t="s">
        <v>560</v>
      </c>
    </row>
    <row r="42">
      <c r="A42" s="50">
        <v>41.0</v>
      </c>
      <c r="B42" s="50" t="s">
        <v>561</v>
      </c>
      <c r="C42" s="50" t="s">
        <v>562</v>
      </c>
      <c r="D42" s="93" t="s">
        <v>563</v>
      </c>
      <c r="E42" s="50" t="s">
        <v>565</v>
      </c>
      <c r="F42" s="50" t="s">
        <v>566</v>
      </c>
      <c r="G42" s="93" t="s">
        <v>567</v>
      </c>
    </row>
    <row r="43">
      <c r="A43" s="50">
        <v>42.0</v>
      </c>
      <c r="B43" s="50" t="s">
        <v>412</v>
      </c>
      <c r="C43" s="50" t="s">
        <v>413</v>
      </c>
      <c r="D43" s="93" t="s">
        <v>568</v>
      </c>
      <c r="E43" s="50" t="s">
        <v>569</v>
      </c>
      <c r="F43" s="50" t="s">
        <v>444</v>
      </c>
      <c r="G43" s="93" t="s">
        <v>570</v>
      </c>
    </row>
    <row r="44">
      <c r="A44" s="65"/>
      <c r="B44" s="43"/>
      <c r="C44" s="43"/>
      <c r="D44" s="100"/>
      <c r="E44" s="100"/>
      <c r="F44" s="53"/>
    </row>
  </sheetData>
  <hyperlinks>
    <hyperlink r:id="rId1" ref="D3"/>
    <hyperlink r:id="rId2" ref="G3"/>
    <hyperlink r:id="rId3" ref="D5"/>
    <hyperlink r:id="rId4" ref="G5"/>
    <hyperlink r:id="rId5" ref="D6"/>
    <hyperlink r:id="rId6" ref="G6"/>
    <hyperlink r:id="rId7" ref="D7"/>
    <hyperlink r:id="rId8" ref="G7"/>
    <hyperlink r:id="rId9" ref="D10"/>
    <hyperlink r:id="rId10" ref="G10"/>
    <hyperlink r:id="rId11" ref="D11"/>
    <hyperlink r:id="rId12" ref="D12"/>
    <hyperlink r:id="rId13" ref="G12"/>
    <hyperlink r:id="rId14" ref="D13"/>
    <hyperlink r:id="rId15" ref="G13"/>
    <hyperlink r:id="rId16" ref="D15"/>
    <hyperlink r:id="rId17" ref="G15"/>
    <hyperlink r:id="rId18" ref="D17"/>
    <hyperlink r:id="rId19" ref="G17"/>
    <hyperlink r:id="rId20" ref="D18"/>
    <hyperlink r:id="rId21" ref="G18"/>
    <hyperlink r:id="rId22" ref="D21"/>
    <hyperlink r:id="rId23" ref="G21"/>
    <hyperlink r:id="rId24" ref="D24"/>
    <hyperlink r:id="rId25" ref="G24"/>
    <hyperlink r:id="rId26" ref="D27"/>
    <hyperlink r:id="rId27" ref="G27"/>
    <hyperlink r:id="rId28" ref="D28"/>
    <hyperlink r:id="rId29" ref="G28"/>
    <hyperlink r:id="rId30" ref="D29"/>
    <hyperlink r:id="rId31" ref="G29"/>
    <hyperlink r:id="rId32" ref="D33"/>
    <hyperlink r:id="rId33" ref="G33"/>
    <hyperlink r:id="rId34" ref="D34"/>
    <hyperlink r:id="rId35" ref="G34"/>
    <hyperlink r:id="rId36" ref="D35"/>
    <hyperlink r:id="rId37" ref="G35"/>
    <hyperlink r:id="rId38" ref="D36"/>
    <hyperlink r:id="rId39" ref="G36"/>
    <hyperlink r:id="rId40" ref="D37"/>
    <hyperlink r:id="rId41" ref="D39"/>
    <hyperlink r:id="rId42" ref="G39"/>
    <hyperlink r:id="rId43" ref="D41"/>
    <hyperlink r:id="rId44" ref="G41"/>
    <hyperlink r:id="rId45" ref="D42"/>
    <hyperlink r:id="rId46" ref="G42"/>
    <hyperlink r:id="rId47" ref="D43"/>
    <hyperlink r:id="rId48" ref="G43"/>
  </hyperlinks>
  <drawing r:id="rId49"/>
</worksheet>
</file>