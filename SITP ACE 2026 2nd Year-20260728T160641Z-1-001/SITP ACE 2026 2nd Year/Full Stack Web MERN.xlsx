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DSR" sheetId="2" r:id="rId6"/>
    <sheet state="visible" name="Assessment" sheetId="3" r:id="rId7"/>
    <sheet state="visible" name="Course TimeLine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<sst xmlns="http://schemas.openxmlformats.org/spreadsheetml/2006/main" count="1881" uniqueCount="713">
  <si>
    <t>ARYA COLLEGE OF ENGINEERING</t>
  </si>
  <si>
    <t>SNO</t>
  </si>
  <si>
    <t>S NO</t>
  </si>
  <si>
    <t>Date</t>
  </si>
  <si>
    <t>BLOWN UP SYLLABUS</t>
  </si>
  <si>
    <t>Topic Cover</t>
  </si>
  <si>
    <t>Student Count Online Offline</t>
  </si>
  <si>
    <t>FULL STACK DEVELOPMENT WITH AI (MERN) — 2ND YEAR PROGRAM</t>
  </si>
  <si>
    <t xml:space="preserve">Trainer Name </t>
  </si>
  <si>
    <t>Lecturer Name:</t>
  </si>
  <si>
    <t>Student Name</t>
  </si>
  <si>
    <t>No. of Lectures Required: 45</t>
  </si>
  <si>
    <t>28-05-2026</t>
  </si>
  <si>
    <t>RTU Roll No.</t>
  </si>
  <si>
    <t>Lecture No.</t>
  </si>
  <si>
    <t>Intro to MERN + Internet Working</t>
  </si>
  <si>
    <t xml:space="preserve">Total Present </t>
  </si>
  <si>
    <t>Avinash Kumar</t>
  </si>
  <si>
    <t xml:space="preserve">Total Absent </t>
  </si>
  <si>
    <t>29-05-2026</t>
  </si>
  <si>
    <t>Intro to HTML + HTML Tags</t>
  </si>
  <si>
    <t xml:space="preserve">Total Class </t>
  </si>
  <si>
    <t>Attendance Percent</t>
  </si>
  <si>
    <t>30-05-2026</t>
  </si>
  <si>
    <t>BLOWN UP TOPICS</t>
  </si>
  <si>
    <t>HTML List + Questions on List</t>
  </si>
  <si>
    <t>Status</t>
  </si>
  <si>
    <t>UNIT 1: WEB FUNDAMENTALS</t>
  </si>
  <si>
    <t>HTML Table + Question on Table</t>
  </si>
  <si>
    <t>Done</t>
  </si>
  <si>
    <t>HTML Form + Assignment Discussion</t>
  </si>
  <si>
    <t>11P</t>
  </si>
  <si>
    <t>1. Introduction to Web Development</t>
  </si>
  <si>
    <t>HTML(20 marks)</t>
  </si>
  <si>
    <t>1.1 How the Web Works</t>
  </si>
  <si>
    <t>Semantic/Non-Semantic Tag + Media Tags</t>
  </si>
  <si>
    <t>HTML(30 marks)</t>
  </si>
  <si>
    <t>1.1.1 Client-Server Architecture</t>
  </si>
  <si>
    <t>CSS (40 marks)</t>
  </si>
  <si>
    <t>Intro to Internet and HTML (40 marks)</t>
  </si>
  <si>
    <t xml:space="preserve">HTML,CSS,JS-INTRO (40 marks ) </t>
  </si>
  <si>
    <t>CSS Styling + selectors + combinators</t>
  </si>
  <si>
    <t>1.1.2 HTTP / HTTPS Protocols</t>
  </si>
  <si>
    <t xml:space="preserve">Assesment 6 (JS Functions , Array Methods) Out of 30 </t>
  </si>
  <si>
    <t>10P + 2OP</t>
  </si>
  <si>
    <t>Assesment 7(JS DOM , spread oprerator , destructuring out of 30)</t>
  </si>
  <si>
    <t>Assesment 8 (EVENTS , async js out of 30</t>
  </si>
  <si>
    <t>1.1.3 DNS, Domain &amp; Hosting</t>
  </si>
  <si>
    <t>Assement 9 (react props component jsx use state list rendering out of 30)</t>
  </si>
  <si>
    <t xml:space="preserve">Assessment 10(context api , routing , propdrilling </t>
  </si>
  <si>
    <t>CSS Pseudo Class + Font-size + Colors + Font-weight</t>
  </si>
  <si>
    <t>Assement11(nodejs introduction fs, http path ,os , express intro) out of 30</t>
  </si>
  <si>
    <t>1.2 Frontend vs Backend vs Full Stack</t>
  </si>
  <si>
    <t>Assesment 12(express , api's , mongodb</t>
  </si>
  <si>
    <t>Assessment 13 (on event management system project)</t>
  </si>
  <si>
    <t>Total Assessments Missed</t>
  </si>
  <si>
    <t>1.3 MERN Stack Overview</t>
  </si>
  <si>
    <t>Box Model-padding,margin,border,CSS positioning</t>
  </si>
  <si>
    <t>10P</t>
  </si>
  <si>
    <t>1.3.1 MongoDB, Express, React, Node</t>
  </si>
  <si>
    <t>Assignment question, box-sizing</t>
  </si>
  <si>
    <t>1.3.2 Why MERN is Industry Popular</t>
  </si>
  <si>
    <t>CSS Flexbox,revision of css positioning</t>
  </si>
  <si>
    <t>1.4 Environment Setup</t>
  </si>
  <si>
    <t>9P</t>
  </si>
  <si>
    <t>13-06-2026</t>
  </si>
  <si>
    <t>Flexbox-flex-grow,login page,assessment</t>
  </si>
  <si>
    <t>1.4.1 VS Code &amp; Useful Extensions</t>
  </si>
  <si>
    <t>17-06-2026</t>
  </si>
  <si>
    <t>22-06-2026</t>
  </si>
  <si>
    <t>27-06-2026</t>
  </si>
  <si>
    <t>Flexbox-flex-grow,fkex-shrink,flex-basis,order</t>
  </si>
  <si>
    <t>1.4.2 Node.js &amp; npm Installation</t>
  </si>
  <si>
    <t>1.4.3 Git Installation</t>
  </si>
  <si>
    <t>15-7-2026</t>
  </si>
  <si>
    <t>CSS Grid,Assessment</t>
  </si>
  <si>
    <t>1.4.4 Chrome DevTools Tour</t>
  </si>
  <si>
    <t>8P+2OP</t>
  </si>
  <si>
    <t>2. HTML5 Essentials</t>
  </si>
  <si>
    <t>15-06-2026</t>
  </si>
  <si>
    <t>CSS Grid Revision, Assignment question,media queries,tailwind css</t>
  </si>
  <si>
    <t>2.1 HTML Structure &amp; Document Anatomy</t>
  </si>
  <si>
    <t>16-06-2026</t>
  </si>
  <si>
    <t>2.2 Common Tags &amp; Attributes</t>
  </si>
  <si>
    <t>Implementation of tailwind CSS, installation of nodejs</t>
  </si>
  <si>
    <t>2.3 Semantic HTML</t>
  </si>
  <si>
    <t>Intro to Javascript</t>
  </si>
  <si>
    <t>12P</t>
  </si>
  <si>
    <t>2.3.1 header, nav, main, section, article, aside, footer</t>
  </si>
  <si>
    <t>2.4 Forms &amp; Input Types</t>
  </si>
  <si>
    <t>18-06-2026</t>
  </si>
  <si>
    <t>let,const,var,variable declaration,assignment</t>
  </si>
  <si>
    <t>Ashish Upadhayay</t>
  </si>
  <si>
    <t>2.4.1 text, email, password, number, date</t>
  </si>
  <si>
    <t>24EACCA017</t>
  </si>
  <si>
    <t>19-06-2026</t>
  </si>
  <si>
    <t>primitive and non-primitive data types</t>
  </si>
  <si>
    <t>2.4.2 checkbox, radio, select, textarea</t>
  </si>
  <si>
    <t>2.4.3 Form Validation Attributes</t>
  </si>
  <si>
    <t>20-06-2026</t>
  </si>
  <si>
    <t>Operators, conditionals</t>
  </si>
  <si>
    <t>2.5 Tables, Lists, Media (img, video, audio)</t>
  </si>
  <si>
    <t>-</t>
  </si>
  <si>
    <t>2.6 Meta Tags &amp; SEO Basics</t>
  </si>
  <si>
    <t>If,If-else ladder,for..of,for..in loops</t>
  </si>
  <si>
    <t>8P</t>
  </si>
  <si>
    <t>3. CSS3 Fundamentals</t>
  </si>
  <si>
    <t>23-06-2026</t>
  </si>
  <si>
    <t>3.1 CSS Syntax &amp; Linking Methods</t>
  </si>
  <si>
    <t>3.2 Selectors</t>
  </si>
  <si>
    <t>24-06-2026</t>
  </si>
  <si>
    <t>3.2.1 Element, Class, ID Selectors</t>
  </si>
  <si>
    <t>3.2.2 Combinator &amp; Pseudo-Class Selectors</t>
  </si>
  <si>
    <t>25-06-2026</t>
  </si>
  <si>
    <t>Function , Scopes ,Scope chaining , Array methods</t>
  </si>
  <si>
    <t>Govind Gupta</t>
  </si>
  <si>
    <t>24EACAD031</t>
  </si>
  <si>
    <t>3.2.3 Specificity &amp; Cascade</t>
  </si>
  <si>
    <t>Ritesh Patidar</t>
  </si>
  <si>
    <t>26-06-2026</t>
  </si>
  <si>
    <t>3.3 Box Model (margin, border, padding, content)</t>
  </si>
  <si>
    <t>Array methods , Callback Function , Higher Order Function</t>
  </si>
  <si>
    <t xml:space="preserve">8P </t>
  </si>
  <si>
    <t>3.4 Display Properties (block, inline, inline-block, none)</t>
  </si>
  <si>
    <t>Object destructuring , Array destructuring , String method</t>
  </si>
  <si>
    <t>3.5 Position Properties (static, relative, absolute, fixed, sticky)</t>
  </si>
  <si>
    <t>6P</t>
  </si>
  <si>
    <t>3.6 Colors, Typography, Backgrounds</t>
  </si>
  <si>
    <t>29-06-2026</t>
  </si>
  <si>
    <t>String methods , Spread operator , Rest operator , Dom, Select element</t>
  </si>
  <si>
    <t>3.7 CSS Variables (Custom Properties)</t>
  </si>
  <si>
    <t>Pending</t>
  </si>
  <si>
    <t>30-06-2026</t>
  </si>
  <si>
    <t xml:space="preserve">Creating and Removing elements ,Style using js , ClassName, id , </t>
  </si>
  <si>
    <t>Himanshu Verma</t>
  </si>
  <si>
    <t>4. CSS Layouts — Flexbox &amp; Grid + Responsive Design</t>
  </si>
  <si>
    <t>24EACIT016</t>
  </si>
  <si>
    <t>4.1 Flexbox</t>
  </si>
  <si>
    <t>Events ,  Event propagation  , preventDefualt() ,Event delagation  , Form validation</t>
  </si>
  <si>
    <t>4.1.1 flex-direction, justify-content, align-items</t>
  </si>
  <si>
    <t>4.1.2 flex-wrap, gap, order</t>
  </si>
  <si>
    <t>Asnyc Js , Promises , Settimeout and Setinterval , Call stack , callback queue web apis;</t>
  </si>
  <si>
    <t>4.1.3 flex-grow, flex-shrink, flex-basis</t>
  </si>
  <si>
    <t>4.2 CSS Grid</t>
  </si>
  <si>
    <t>Async await , Exception Handling  and GIT</t>
  </si>
  <si>
    <t>4.2.1 grid-template-rows / columns</t>
  </si>
  <si>
    <t>4.2.2 grid-area, gap</t>
  </si>
  <si>
    <t xml:space="preserve">Github , react , vite setup , jsx , components </t>
  </si>
  <si>
    <t>Juhi Sharma</t>
  </si>
  <si>
    <t>4.2.3 auto-fit &amp; auto-fill</t>
  </si>
  <si>
    <t>props , event handling , useState</t>
  </si>
  <si>
    <t>23EACAD047</t>
  </si>
  <si>
    <t>4.3 Responsive Design</t>
  </si>
  <si>
    <t>4.3.1 Mobile-First Approach</t>
  </si>
  <si>
    <t xml:space="preserve">list rendering , virtaul dom , re-rendering , useEffect , </t>
  </si>
  <si>
    <t>conditional rendering , cleanup function</t>
  </si>
  <si>
    <t>4.3.2 Media Queries (sm, md, lg, xl breakpoints)</t>
  </si>
  <si>
    <t>4.3.3 Viewport Meta Tag</t>
  </si>
  <si>
    <t>4.4 Real-World Layout Examples</t>
  </si>
  <si>
    <t>5. Tailwind CSS</t>
  </si>
  <si>
    <t>5.1 Why Tailwind (Utility-First Approach)</t>
  </si>
  <si>
    <t xml:space="preserve">React router dom , dynamic routing , nested routing , not found </t>
  </si>
  <si>
    <t>5.2 Tailwind Setup (CDN + Vite Plugin)</t>
  </si>
  <si>
    <t>Krishna Khandelwal</t>
  </si>
  <si>
    <t>5.3 Common Utility Classes</t>
  </si>
  <si>
    <t>24EACCS157</t>
  </si>
  <si>
    <t xml:space="preserve">props drilling , context api , shadcn , chkra ui </t>
  </si>
  <si>
    <t>5.3.1 Spacing (m, p, gap)</t>
  </si>
  <si>
    <t>5.3.2 Colors (text, bg, border)</t>
  </si>
  <si>
    <t>5.3.3 Typography (font, text)</t>
  </si>
  <si>
    <t>Node intro ,  common js , import export , path , v8 , non blocking</t>
  </si>
  <si>
    <t>5.3.4 Flex &amp; Grid utilities</t>
  </si>
  <si>
    <t>5.4 Responsive Utilities (sm:, md:, lg:, xl:)</t>
  </si>
  <si>
    <t>Built in module fs , os http , path and  http server intro</t>
  </si>
  <si>
    <t>5.5 Hover, Focus, Active States</t>
  </si>
  <si>
    <t>5.6 Building a Card Component</t>
  </si>
  <si>
    <t>13-07-2026</t>
  </si>
  <si>
    <t>5.7 Dark Mode with Tailwind</t>
  </si>
  <si>
    <t xml:space="preserve">http methods , status code , express intro , </t>
  </si>
  <si>
    <t>6. JavaScript Essentials — Part 1</t>
  </si>
  <si>
    <t>6.1 Variables (let, const, var)</t>
  </si>
  <si>
    <t>14-07-2026</t>
  </si>
  <si>
    <t>Milddleware , crud api</t>
  </si>
  <si>
    <t>6.2 Data Types (Primitives &amp; Reference)</t>
  </si>
  <si>
    <t>Mahak Nihalani</t>
  </si>
  <si>
    <t>6.3 Operators</t>
  </si>
  <si>
    <t>24EACCA054</t>
  </si>
  <si>
    <t>6.3.1 Arithmetic, Comparison, Logical</t>
  </si>
  <si>
    <t>Error handling , mongodb introduction with crud in shell</t>
  </si>
  <si>
    <t>6.3.2 Spread &amp; Rest</t>
  </si>
  <si>
    <t>16-7-2026</t>
  </si>
  <si>
    <t>filter query , mongoose intro  , mongoose integration</t>
  </si>
  <si>
    <t>6.4 Conditionals (if-else, switch, ternary)</t>
  </si>
  <si>
    <t>17-07-2026</t>
  </si>
  <si>
    <t>6.5 Loops (for, while, for...of, for...in)</t>
  </si>
  <si>
    <t xml:space="preserve">api design , mvc </t>
  </si>
  <si>
    <t>6.6 Functions</t>
  </si>
  <si>
    <t>18-07-2026</t>
  </si>
  <si>
    <t>project started , setup mvc conversion , register api , bcrypt</t>
  </si>
  <si>
    <t>6.6.1 Function Declarations &amp; Expressions</t>
  </si>
  <si>
    <t>6.6.2 Arrow Functions</t>
  </si>
  <si>
    <t>20-07-2026</t>
  </si>
  <si>
    <t>authentication , jwt , nodemailer sending mails</t>
  </si>
  <si>
    <t>Mohammed Touseef</t>
  </si>
  <si>
    <t>6.6.3 Callback Functions , Higher Order Functions , Scope and Scope Chaining</t>
  </si>
  <si>
    <t>24EACAD058</t>
  </si>
  <si>
    <t>7P</t>
  </si>
  <si>
    <t xml:space="preserve">6.7 Arrays &amp; Array Methods (map, filter, reduce, forEach, find) </t>
  </si>
  <si>
    <t>21-07-2026</t>
  </si>
  <si>
    <t>6.8 Objects &amp; Destructuring , String methods</t>
  </si>
  <si>
    <t>22-07-2026</t>
  </si>
  <si>
    <t>multer , express static , cloudinary , .env</t>
  </si>
  <si>
    <t>7. JavaScript Essentials — Part 2</t>
  </si>
  <si>
    <t>23-07-2026</t>
  </si>
  <si>
    <t>REACT LOGIN SIGNUP INTEGRATION</t>
  </si>
  <si>
    <t>7.1 DOM Manipulation</t>
  </si>
  <si>
    <t>24-07-2026</t>
  </si>
  <si>
    <t>PROTECTED ROUTES , AUTHENTICATE AND AUTHORZATION MIDDLEWARE</t>
  </si>
  <si>
    <t>5P</t>
  </si>
  <si>
    <t>7.1.1 getElementById, querySelector</t>
  </si>
  <si>
    <t>25-07-2026</t>
  </si>
  <si>
    <t>Project (remaining api's creation + integration with react)</t>
  </si>
  <si>
    <t xml:space="preserve">7.1.2 innerHTML, textContent , value , src ,href  </t>
  </si>
  <si>
    <t>7.1.3 Creating &amp; Removing Elements</t>
  </si>
  <si>
    <t>26-07-2026</t>
  </si>
  <si>
    <t xml:space="preserve">React Frontend Integration , formdata , ai integration using antigravity ide </t>
  </si>
  <si>
    <t>Moni Kaur</t>
  </si>
  <si>
    <t>24EACCA063</t>
  </si>
  <si>
    <t>7.2 Events &amp; Event Listeners</t>
  </si>
  <si>
    <t>7.2.1 Click, Submit, Input Events</t>
  </si>
  <si>
    <t>7.2.2 Event Object, preventDefault</t>
  </si>
  <si>
    <t>7.2.3 Event Bubbling &amp; Delegation</t>
  </si>
  <si>
    <t>7.3 Asynchronous JavaScript</t>
  </si>
  <si>
    <t>7.3.1 Promises (then, catch, finally)</t>
  </si>
  <si>
    <t>Navya Agarwal</t>
  </si>
  <si>
    <t>7.3.2 async / await</t>
  </si>
  <si>
    <t>24EACAD063</t>
  </si>
  <si>
    <t>7.3.3 Error Handling (try-catch)</t>
  </si>
  <si>
    <t>7.4 Fetch API</t>
  </si>
  <si>
    <t>7.5 ES6+ Features (Spread, Rest, Template Literals, Modules)</t>
  </si>
  <si>
    <t>UNIT 2: VERSION CONTROL &amp; DEPLOYMENT</t>
  </si>
  <si>
    <t>1. Git &amp; GitHub Essentials</t>
  </si>
  <si>
    <t>P</t>
  </si>
  <si>
    <t>1.1 Git Basics</t>
  </si>
  <si>
    <t>1.1.1 init, add, commit, status, log</t>
  </si>
  <si>
    <t>Pari jain</t>
  </si>
  <si>
    <t>24EACCA069</t>
  </si>
  <si>
    <t>SUNDAY</t>
  </si>
  <si>
    <t>1.1.2 .gitignore Configuration</t>
  </si>
  <si>
    <t>1.2 Branching &amp; Merging</t>
  </si>
  <si>
    <t>1.2.1 branch, checkout, merge</t>
  </si>
  <si>
    <t>1.2.2 Merge Conflicts Resolution</t>
  </si>
  <si>
    <t>1.3 GitHub Workflow</t>
  </si>
  <si>
    <t>Priyanka jain</t>
  </si>
  <si>
    <t>24EACCA076</t>
  </si>
  <si>
    <t>1.3.1 push, pull, clone, fork</t>
  </si>
  <si>
    <t>1.3.2 Pull Requests &amp; Code Reviews</t>
  </si>
  <si>
    <t>1.3.3 README.md Best Practices</t>
  </si>
  <si>
    <t>2. Static Site Deployment</t>
  </si>
  <si>
    <t>2.1 Deploying to Vercel</t>
  </si>
  <si>
    <t>2.2 Deploying to Netlify</t>
  </si>
  <si>
    <t>Vishakha sharma</t>
  </si>
  <si>
    <t>24EACCA110</t>
  </si>
  <si>
    <t>2.3 Custom Domain Setup</t>
  </si>
  <si>
    <t>🏭 INDUSTRY LECTURE 1 (1 Hour)</t>
  </si>
  <si>
    <t>Topic: Modern Full Stack Developer Workflow &amp; Industry Practices</t>
  </si>
  <si>
    <t>A</t>
  </si>
  <si>
    <t>UNIT 3: REACT.JS FUNDAMENTALS</t>
  </si>
  <si>
    <t>1. Introduction to React</t>
  </si>
  <si>
    <t>1.1 Why React</t>
  </si>
  <si>
    <t>1.1.1 Single Page Applications (SPA)</t>
  </si>
  <si>
    <t>1.1.2 Virtual DOM Concept</t>
  </si>
  <si>
    <t>1.1.3 React vs Other Frameworks</t>
  </si>
  <si>
    <t>1.2 React Setup with Vite</t>
  </si>
  <si>
    <t>1.3 JSX Syntax &amp; Rules</t>
  </si>
  <si>
    <t>1.3.1 Embedding JavaScript in JSX</t>
  </si>
  <si>
    <t>1.3.2 JSX vs HTML Differences</t>
  </si>
  <si>
    <t>1.4 Functional Components</t>
  </si>
  <si>
    <t>1.5 Props</t>
  </si>
  <si>
    <t>1.5.1 Passing Props</t>
  </si>
  <si>
    <t>1.5.2 Props Destructuring</t>
  </si>
  <si>
    <t>1.5.3 Children Prop</t>
  </si>
  <si>
    <t>1.6 React DevTools</t>
  </si>
  <si>
    <t>2. React State &amp; Events</t>
  </si>
  <si>
    <t>2.1 useState Hook</t>
  </si>
  <si>
    <t>2.1.1 State Declaration &amp; Update</t>
  </si>
  <si>
    <t>2.1.2 State with Objects &amp; Arrays</t>
  </si>
  <si>
    <t>2.2 Event Handling in React</t>
  </si>
  <si>
    <t>2.2.1 onClick, onChange, onSubmit</t>
  </si>
  <si>
    <t>2.2.2 Synthetic Events</t>
  </si>
  <si>
    <t xml:space="preserve">PROJECT 1 (Project Title ) Out of </t>
  </si>
  <si>
    <t>2.3 Conditional Rendering</t>
  </si>
  <si>
    <t xml:space="preserve">PROJECT 2 (Project Title ) Out of </t>
  </si>
  <si>
    <t>2.3.1 if-else, Ternary, &amp;&amp; Operator</t>
  </si>
  <si>
    <t>2.4 List Rendering</t>
  </si>
  <si>
    <t>2.4.1 .map() Method</t>
  </si>
  <si>
    <t>2.4.2 Keys in Lists (Importance)</t>
  </si>
  <si>
    <t>2.5 Forms in React</t>
  </si>
  <si>
    <t>2.5.1 Controlled Components</t>
  </si>
  <si>
    <t>2.5.2 Handling Multiple Inputs</t>
  </si>
  <si>
    <t>3. React Hooks Deep Dive</t>
  </si>
  <si>
    <t>3.1 useEffect Hook</t>
  </si>
  <si>
    <t>3.1.1 Mounting Effect</t>
  </si>
  <si>
    <t>3.1.2 Updating Effect (Dependencies)</t>
  </si>
  <si>
    <t>3.1.3 Cleanup Function</t>
  </si>
  <si>
    <t>3.2 useRef Hook</t>
  </si>
  <si>
    <t>3.2.1 Accessing DOM Elements</t>
  </si>
  <si>
    <t>3.2.2 Persisting Values Between Renders</t>
  </si>
  <si>
    <t>3.3 useContext Hook</t>
  </si>
  <si>
    <t>3.4 Custom Hooks</t>
  </si>
  <si>
    <t>3.4.1 Creating Custom Hooks</t>
  </si>
  <si>
    <t>3.4.2 Common Patterns (useFetch, useLocalStorage)</t>
  </si>
  <si>
    <t>3.5 Rules of Hooks</t>
  </si>
  <si>
    <t>4. React Router</t>
  </si>
  <si>
    <t>4.1 React Router v6 Setup</t>
  </si>
  <si>
    <t>4.2 Routes &amp; Route Components</t>
  </si>
  <si>
    <t>4.3 Navigation</t>
  </si>
  <si>
    <t>4.3.1 Link, NavLink</t>
  </si>
  <si>
    <t>4.3.2 useNavigate Hook</t>
  </si>
  <si>
    <t>4.4 Dynamic Routes &amp; URL Params</t>
  </si>
  <si>
    <t>4.4.1 useParams Hook</t>
  </si>
  <si>
    <t>4.5 Query Strings (useSearchParams)</t>
  </si>
  <si>
    <t>4.6 Nested Routes</t>
  </si>
  <si>
    <t>4.7 404 Page Handling</t>
  </si>
  <si>
    <t>4.8 Protected Routes Concept (Intro)</t>
  </si>
  <si>
    <t>5. State Management — Context API &amp; Redux Toolkit</t>
  </si>
  <si>
    <t>5.1 Prop Drilling Problem</t>
  </si>
  <si>
    <t>5.2 Context API</t>
  </si>
  <si>
    <t>5.2.1 createContext, Provider, Consumer</t>
  </si>
  <si>
    <t>5.2.2 useContext with Custom Provider</t>
  </si>
  <si>
    <t>5.3 Redux Toolkit Basics</t>
  </si>
  <si>
    <t>5.3.1 Installation &amp; Store Setup</t>
  </si>
  <si>
    <t>5.3.2 Slices (createSlice)</t>
  </si>
  <si>
    <t>5.3.3 Actions &amp; Reducers</t>
  </si>
  <si>
    <t>5.4 useSelector &amp; useDispatch Hooks</t>
  </si>
  <si>
    <t>5.5 When to use Context vs Redux</t>
  </si>
  <si>
    <t>6. API Integration in React</t>
  </si>
  <si>
    <t>6.1 Fetch API vs Axios</t>
  </si>
  <si>
    <t>6.2 Axios Setup &amp; Configuration</t>
  </si>
  <si>
    <t>6.3 Data Fetching with useEffect</t>
  </si>
  <si>
    <t>6.4 Handling States</t>
  </si>
  <si>
    <t>6.4.1 Loading State</t>
  </si>
  <si>
    <t>6.4.2 Error State</t>
  </si>
  <si>
    <t>6.4.3 Success State</t>
  </si>
  <si>
    <t>6.5 Building Custom useFetch Hook</t>
  </si>
  <si>
    <t>6.6 Working with Public APIs</t>
  </si>
  <si>
    <t>6.6.1 JSONPlaceholder</t>
  </si>
  <si>
    <t>6.6.2 OpenWeather API</t>
  </si>
  <si>
    <t>6.6.3 Pokemon API</t>
  </si>
  <si>
    <t>7. React with Tailwind + shadcn/ui</t>
  </si>
  <si>
    <t>7.1 shadcn/ui Setup</t>
  </si>
  <si>
    <t>7.2 Pre-Built Components</t>
  </si>
  <si>
    <t>7.2.1 Button, Card, Dialog</t>
  </si>
  <si>
    <t>7.2.2 Form, Input, Select</t>
  </si>
  <si>
    <t>7.2.3 Toast Notifications</t>
  </si>
  <si>
    <t>7.3 Lucide React Icons</t>
  </si>
  <si>
    <t>7.4 Building Reusable Components</t>
  </si>
  <si>
    <t>7.4.1 Component Composition</t>
  </si>
  <si>
    <t>7.4.2 Prop Forwarding</t>
  </si>
  <si>
    <t>7.5 Dark Mode Toggle Implementation</t>
  </si>
  <si>
    <t>7.6 Animations (Tailwind + Framer Motion Overview)</t>
  </si>
  <si>
    <t>📁 MINI PROJECT 1: Todo App with React (Half Day)</t>
  </si>
  <si>
    <t>Full CRUD Operations (Add, Edit, Delete, Mark Complete)</t>
  </si>
  <si>
    <t>LocalStorage Persistence</t>
  </si>
  <si>
    <t>Filter Functionality (All, Active, Completed)</t>
  </si>
  <si>
    <t>p</t>
  </si>
  <si>
    <t>Tailwind Styling with Dark Mode</t>
  </si>
  <si>
    <t>Deploy to Vercel</t>
  </si>
  <si>
    <t>🔄 REVISION DAY 1: Frontend Revision &amp; Doubt Clearing (Optional)</t>
  </si>
  <si>
    <t>Use for any of the following based on class progress:</t>
  </si>
  <si>
    <t>Revision of HTML, CSS, JS, Tailwind concepts</t>
  </si>
  <si>
    <t>React Hooks doubt clearing session</t>
  </si>
  <si>
    <t>Extra hands-on practice problems</t>
  </si>
  <si>
    <t>Makeup class for any missed content</t>
  </si>
  <si>
    <t>Live coding session — build a small component together</t>
  </si>
  <si>
    <t>Note for Trainer: If syllabus is on track, use as additional mini-project time</t>
  </si>
  <si>
    <t>🔴 TEST 1: Frontend Development (Half Day)</t>
  </si>
  <si>
    <t>MCQ (20 Marks) + Practical Task (30 Marks)</t>
  </si>
  <si>
    <t>Topics: HTML, CSS, Tailwind, JavaScript, React</t>
  </si>
  <si>
    <t>Duration: 1 to 1.5 Hours</t>
  </si>
  <si>
    <t>🏭 INDUSTRY LECTURE 2 (1 Hour)</t>
  </si>
  <si>
    <t>Topic: React in Production — Patterns &amp; Anti-Patterns</t>
  </si>
  <si>
    <t>UNIT 4: BACKEND WITH NODE.JS &amp; EXPRESS</t>
  </si>
  <si>
    <t>1. Node.js Fundamentals</t>
  </si>
  <si>
    <t>1.1 What is Node.js</t>
  </si>
  <si>
    <t>1.1.1 V8 Engine</t>
  </si>
  <si>
    <t>1.1.2 Event Loop &amp; Non-Blocking I/O</t>
  </si>
  <si>
    <t>1.2 npm &amp; package.json</t>
  </si>
  <si>
    <t>1.2.1 Installing Packages</t>
  </si>
  <si>
    <t>1.2.2 Dependencies vs DevDependencies</t>
  </si>
  <si>
    <t>1.2.3 npm Scripts</t>
  </si>
  <si>
    <t>1.3 Modules</t>
  </si>
  <si>
    <t>1.3.1 CommonJS (require, module.exports)</t>
  </si>
  <si>
    <t>1.3.2 ES6 Modules (import / export)</t>
  </si>
  <si>
    <t>1.4 Built-in Modules (fs, path, http, os)</t>
  </si>
  <si>
    <t>1.5 Creating a Simple HTTP Server</t>
  </si>
  <si>
    <t>2. Express.js Basics</t>
  </si>
  <si>
    <t>2.1 Why Express</t>
  </si>
  <si>
    <t>2.2 Express Setup &amp; Hello World</t>
  </si>
  <si>
    <t>2.3 Routing</t>
  </si>
  <si>
    <t>2.3.1 GET, POST, PUT, DELETE, PATCH</t>
  </si>
  <si>
    <t>2.3.2 Route Methods</t>
  </si>
  <si>
    <t>2.4 Request &amp; Response Objects</t>
  </si>
  <si>
    <t>2.4.1 req.body, req.params, req.query</t>
  </si>
  <si>
    <t>2.4.2 res.send, res.json, res.status</t>
  </si>
  <si>
    <t>2.5 Route Parameters &amp; Query Strings</t>
  </si>
  <si>
    <t>2.6 Middleware Concept</t>
  </si>
  <si>
    <t>2.7 Built-in Middleware</t>
  </si>
  <si>
    <t>2.7.1 express.json</t>
  </si>
  <si>
    <t>2.7.2 express.urlencoded</t>
  </si>
  <si>
    <t>2.7.3 express.static</t>
  </si>
  <si>
    <t>3. Express Middleware &amp; Error Handling</t>
  </si>
  <si>
    <t>3.1 Custom Middleware</t>
  </si>
  <si>
    <t>3.1.1 Application-Level Middleware</t>
  </si>
  <si>
    <t>3.1.2 Router-Level Middleware</t>
  </si>
  <si>
    <t>3.2 Third-Party Middleware</t>
  </si>
  <si>
    <t>3.2.1 cors</t>
  </si>
  <si>
    <t>3.2.2 morgan (Logger)</t>
  </si>
  <si>
    <t>3.2.3 helmet (Security)</t>
  </si>
  <si>
    <t>3.3 Error Handling</t>
  </si>
  <si>
    <t>3.3.1 Synchronous Error Handling</t>
  </si>
  <si>
    <t>3.3.2 Async Error Handling</t>
  </si>
  <si>
    <t>3.3.3 Centralized Error Middleware</t>
  </si>
  <si>
    <t>3.4 MVC Folder Structure Best Practices</t>
  </si>
  <si>
    <t>4. REST API Design</t>
  </si>
  <si>
    <t>4.1 REST Principles</t>
  </si>
  <si>
    <t>4.1.1 Stateless Architecture</t>
  </si>
  <si>
    <t>4.1.2 Resource-Based URLs</t>
  </si>
  <si>
    <t>4.2 HTTP Methods &amp; Status Codes</t>
  </si>
  <si>
    <t>4.2.1 200, 201, 204, 400, 401, 403, 404, 500</t>
  </si>
  <si>
    <t>4.3 Designing RESTful Endpoints</t>
  </si>
  <si>
    <t>4.3.1 Naming Conventions</t>
  </si>
  <si>
    <t>4.3.2 Plural Nouns for Resources</t>
  </si>
  <si>
    <t>4.4 API Versioning (v1, v2)</t>
  </si>
  <si>
    <t>4.5 API Testing Tools</t>
  </si>
  <si>
    <t>4.5.1 Postman</t>
  </si>
  <si>
    <t>4.5.2 Thunder Client (VS Code)</t>
  </si>
  <si>
    <t>5. Authentication — JWT &amp; bcrypt</t>
  </si>
  <si>
    <t>5.1 Authentication vs Authorization</t>
  </si>
  <si>
    <t>5.2 Password Hashing</t>
  </si>
  <si>
    <t>5.2.1 bcrypt Library</t>
  </si>
  <si>
    <t>5.2.2 Salt Rounds &amp; Hash Comparison</t>
  </si>
  <si>
    <t>5.3 JWT (JSON Web Tokens)</t>
  </si>
  <si>
    <t>5.3.1 Structure (Header, Payload, Signature)</t>
  </si>
  <si>
    <t>5.3.2 Token Generation &amp; Verification</t>
  </si>
  <si>
    <t>5.4 Login / Signup Endpoints</t>
  </si>
  <si>
    <t>5.5 Protected Routes Middleware</t>
  </si>
  <si>
    <t>5.6 Refresh Tokens (Overview)</t>
  </si>
  <si>
    <t>6. File Uploads &amp; Email Sending</t>
  </si>
  <si>
    <t>6.1 File Upload with Multer</t>
  </si>
  <si>
    <t>6.1.1 Single File Upload</t>
  </si>
  <si>
    <t>6.1.2 Multiple File Upload</t>
  </si>
  <si>
    <t>6.1.3 File Type &amp; Size Validation</t>
  </si>
  <si>
    <t>6.2 Cloud Storage Integration</t>
  </si>
  <si>
    <t>6.2.1 Cloudinary Setup</t>
  </si>
  <si>
    <t>6.2.2 Uploading Images to Cloudinary</t>
  </si>
  <si>
    <t>6.3 Sending Emails with Nodemailer</t>
  </si>
  <si>
    <t>6.3.1 SMTP Configuration</t>
  </si>
  <si>
    <t>6.3.2 Sending Welcome Emails</t>
  </si>
  <si>
    <t>6.4 Environment Variables (.env, dotenv)</t>
  </si>
  <si>
    <t>UNIT 5: MONGODB &amp; MONGOOSE</t>
  </si>
  <si>
    <t>1. MongoDB Fundamentals</t>
  </si>
  <si>
    <t>1.1 SQL vs NoSQL Comparison</t>
  </si>
  <si>
    <t>1.2 MongoDB Atlas Setup (Cloud DB)</t>
  </si>
  <si>
    <t>1.3 Core Concepts</t>
  </si>
  <si>
    <t>1.3.1 Databases, Collections, Documents</t>
  </si>
  <si>
    <t>1.3.2 BSON &amp; ObjectId</t>
  </si>
  <si>
    <t>1.4 MongoDB Compass Tour</t>
  </si>
  <si>
    <t>1.5 Basic CRUD in Mongo Shell</t>
  </si>
  <si>
    <t>1.5.1 insertOne, find, updateOne, deleteOne</t>
  </si>
  <si>
    <t>1.5.2 Query Filters</t>
  </si>
  <si>
    <t>2. Mongoose ODM</t>
  </si>
  <si>
    <t>2.1 Why Mongoose</t>
  </si>
  <si>
    <t>2.2 Connecting Node.js to MongoDB</t>
  </si>
  <si>
    <t>2.3 Schemas &amp; Models</t>
  </si>
  <si>
    <t>2.3.1 Schema Definition</t>
  </si>
  <si>
    <t>2.3.2 Model Creation</t>
  </si>
  <si>
    <t>2.4 Schema Types &amp; Validation</t>
  </si>
  <si>
    <t>2.4.1 String, Number, Boolean, Date, Array</t>
  </si>
  <si>
    <t>2.4.2 Required, Unique, Min, Max</t>
  </si>
  <si>
    <t>2.4.3 Custom Validators</t>
  </si>
  <si>
    <t>2.5 Timestamps (createdAt, updatedAt)</t>
  </si>
  <si>
    <t>2.6 CRUD with Mongoose</t>
  </si>
  <si>
    <t>2.6.1 create, find, findOne, findById</t>
  </si>
  <si>
    <t>2.6.2 updateOne, findByIdAndUpdate</t>
  </si>
  <si>
    <t>2.6.3 deleteOne, findByIdAndDelete</t>
  </si>
  <si>
    <t>3. Advanced Mongoose</t>
  </si>
  <si>
    <t>3.1 Relationships</t>
  </si>
  <si>
    <t>3.1.1 References (Normalized)</t>
  </si>
  <si>
    <t>3.1.2 Embedding (Denormalized)</t>
  </si>
  <si>
    <t>3.1.3 When to Use Which</t>
  </si>
  <si>
    <t>3.2 Population</t>
  </si>
  <si>
    <t>3.2.1 populate() Method</t>
  </si>
  <si>
    <t>3.2.2 Selective Field Population</t>
  </si>
  <si>
    <t>3.3 Indexing for Performance</t>
  </si>
  <si>
    <t>3.4 Aggregation Pipeline Basics</t>
  </si>
  <si>
    <t>3.4.1 $match, $group, $sort, $project</t>
  </si>
  <si>
    <t>3.5 Query Operators ($gt, $lt, $in, $regex)</t>
  </si>
  <si>
    <t>3.6 Pagination (skip + limit)</t>
  </si>
  <si>
    <t>📁 MINI PROJECT 2: REST API with Auth + MongoDB (Half Day)</t>
  </si>
  <si>
    <t>Build a Notes API with Full CRUD</t>
  </si>
  <si>
    <t>User Signup &amp; Login with JWT Authentication</t>
  </si>
  <si>
    <t>Password Hashing with bcrypt</t>
  </si>
  <si>
    <t>User-Notes Relationship (References + Population)</t>
  </si>
  <si>
    <t>Protected Routes</t>
  </si>
  <si>
    <t>Complete Postman Testing &amp; Documentation</t>
  </si>
  <si>
    <t>🔄 REVISION DAY 2: Backend Revision &amp; Practice (Optional)</t>
  </si>
  <si>
    <t>Node.js &amp; Express revision</t>
  </si>
  <si>
    <t>MongoDB queries practice</t>
  </si>
  <si>
    <t>JWT authentication doubt clearing</t>
  </si>
  <si>
    <t>Extra REST API building practice</t>
  </si>
  <si>
    <t>Makeup class for any missed backend content</t>
  </si>
  <si>
    <t>Note for Trainer: Can be used as second mini-project day if needed</t>
  </si>
  <si>
    <t>UNIT 6: COMPLETE MERN INTEGRATION</t>
  </si>
  <si>
    <t>1. Connecting React Frontend to Express Backend</t>
  </si>
  <si>
    <t>1.1 Axios Setup in React</t>
  </si>
  <si>
    <t>1.1.1 Base URL Configuration</t>
  </si>
  <si>
    <t>1.1.2 Interceptors (Request &amp; Response)</t>
  </si>
  <si>
    <t>1.2 CORS Configuration</t>
  </si>
  <si>
    <t>1.3 Environment Variables in React</t>
  </si>
  <si>
    <t>1.3.1 VITE_ Prefix Convention</t>
  </si>
  <si>
    <t>1.3.2 .env vs .env.production</t>
  </si>
  <si>
    <t>1.4 Proxy Setup in Development</t>
  </si>
  <si>
    <t>1.5 API Service Layer Pattern</t>
  </si>
  <si>
    <t>1.5.1 Centralizing API Calls</t>
  </si>
  <si>
    <t>1.5.2 Service Files (auth.js, posts.js)</t>
  </si>
  <si>
    <t>2. Full Authentication Flow in MERN</t>
  </si>
  <si>
    <t>2.1 Signup / Login UI in React</t>
  </si>
  <si>
    <t>2.2 Storing JWT Tokens</t>
  </si>
  <si>
    <t>2.2.1 localStorage vs sessionStorage</t>
  </si>
  <si>
    <t>2.2.2 HTTP-Only Cookies (Overview)</t>
  </si>
  <si>
    <t>2.3 Protected Routes in React Router</t>
  </si>
  <si>
    <t>2.3.1 PrivateRoute Component</t>
  </si>
  <si>
    <t>2.3.2 Redirect Logic</t>
  </si>
  <si>
    <t>2.4 Auth Context for User State</t>
  </si>
  <si>
    <t>2.4.1 AuthContext Provider</t>
  </si>
  <si>
    <t>2.4.2 useAuth Custom Hook</t>
  </si>
  <si>
    <t>2.5 Logout Flow</t>
  </si>
  <si>
    <t>2.6 Token Expiry Handling &amp; Auto-Refresh</t>
  </si>
  <si>
    <t>3. Real-Time Features with Socket.IO</t>
  </si>
  <si>
    <t>3.1 WebSockets vs HTTP</t>
  </si>
  <si>
    <t>3.2 Socket.IO Setup</t>
  </si>
  <si>
    <t>3.2.1 Server-Side Setup (Node.js)</t>
  </si>
  <si>
    <t>3.2.2 Client-Side Setup (React)</t>
  </si>
  <si>
    <t>3.3 Events</t>
  </si>
  <si>
    <t>3.3.1 emit() — Sending Events</t>
  </si>
  <si>
    <t>3.3.2 on() — Listening to Events</t>
  </si>
  <si>
    <t>3.4 Rooms &amp; Namespaces</t>
  </si>
  <si>
    <t>3.5 Building Real-Time Chat</t>
  </si>
  <si>
    <t>3.6 Live Notifications System</t>
  </si>
  <si>
    <t>📁 MINI PROJECT 3: Full MERN Blog Platform (Half Day)</t>
  </si>
  <si>
    <t>Build Complete Blog Platform</t>
  </si>
  <si>
    <t>User Authentication (Signup, Login, Logout)</t>
  </si>
  <si>
    <t>Create, Edit, Delete Blog Posts</t>
  </si>
  <si>
    <t>Comments &amp; Likes System</t>
  </si>
  <si>
    <t>Image Upload with Cloudinary</t>
  </si>
  <si>
    <t>Responsive UI with Tailwind</t>
  </si>
  <si>
    <t>Deploy Frontend + Backend</t>
  </si>
  <si>
    <t>🔴 TEST 2: Full MERN Stack (Half Day)</t>
  </si>
  <si>
    <t>Topics: Node, Express, MongoDB, MERN Integration, Auth</t>
  </si>
  <si>
    <t>🏭 INDUSTRY LECTURE 3 (1 Hour)</t>
  </si>
  <si>
    <t>Topic: Production-Grade MERN Apps &amp; Best Practices</t>
  </si>
  <si>
    <t>🔄 REVISION DAY 3: MERN Stack Practice &amp; Doubt Clearing (OPTIONAL)</t>
  </si>
  <si>
    <t>Full MERN integration revision</t>
  </si>
  <si>
    <t>Auth flow doubt clearing session</t>
  </si>
  <si>
    <t>Socket.IO real-time features practice</t>
  </si>
  <si>
    <t>Code review of student projects</t>
  </si>
  <si>
    <t>Note for Trainer: Use to strengthen MERN concepts before AI integration</t>
  </si>
  <si>
    <t>UNIT 7: AI CODING TOOLS + AI INTEGRATION</t>
  </si>
  <si>
    <t>1. AI Coding Tools Mastery</t>
  </si>
  <si>
    <t>1.1 AI Tools Landscape</t>
  </si>
  <si>
    <t>1.1.1 Cursor IDE</t>
  </si>
  <si>
    <t>1.1.2 GitHub Copilot</t>
  </si>
  <si>
    <t>1.1.3 ChatGPT, Claude, Gemini</t>
  </si>
  <si>
    <t>1.1.4 v0 by Vercel, Bolt.new, Lovable</t>
  </si>
  <si>
    <t>1.2 Cursor IDE Deep Dive</t>
  </si>
  <si>
    <t>1.2.1 Tab Completion</t>
  </si>
  <si>
    <t>1.2.2 Cmd+K (Inline Edit)</t>
  </si>
  <si>
    <t>1.2.3 Cmd+L (AI Chat)</t>
  </si>
  <si>
    <t>1.2.4 Cursor Rules (.cursorrules)</t>
  </si>
  <si>
    <t>1.3 GitHub Copilot in VS Code</t>
  </si>
  <si>
    <t>1.3.1 Inline Suggestions</t>
  </si>
  <si>
    <t>1.3.2 Copilot Chat</t>
  </si>
  <si>
    <t>1.4 Effective Prompting for Code Generation</t>
  </si>
  <si>
    <t>1.5 AI for Debugging &amp; Refactoring</t>
  </si>
  <si>
    <t>1.6 When to Trust AI, When Not To</t>
  </si>
  <si>
    <t>2. ChatGPT, Claude &amp; v0 for Development + Intro to AI APIs</t>
  </si>
  <si>
    <t>2.1 Prompt Engineering for Coding</t>
  </si>
  <si>
    <t>2.1.1 Context Setting</t>
  </si>
  <si>
    <t>2.1.2 Constraints &amp; Requirements</t>
  </si>
  <si>
    <t>2.2 Code Review with AI</t>
  </si>
  <si>
    <t>2.3 v0 by Vercel</t>
  </si>
  <si>
    <t>2.3.1 Instant UI Generation</t>
  </si>
  <si>
    <t>2.3.2 Iterating on Designs</t>
  </si>
  <si>
    <t>2.4 LLM APIs Landscape</t>
  </si>
  <si>
    <t>2.4.1 OpenAI (GPT-4, GPT-5)</t>
  </si>
  <si>
    <t>2.4.2 Anthropic Claude</t>
  </si>
  <si>
    <t>2.4.3 Google Gemini</t>
  </si>
  <si>
    <t>2.4.4 Groq (Fast Inference)</t>
  </si>
  <si>
    <t>2.5 Getting API Keys</t>
  </si>
  <si>
    <t>2.5.1 OpenAI Platform</t>
  </si>
  <si>
    <t>2.5.2 Gemini Free Tier</t>
  </si>
  <si>
    <t>2.6 Pricing &amp; Token Concepts</t>
  </si>
  <si>
    <t>2.7 Rate Limits &amp; Best Practices</t>
  </si>
  <si>
    <t>3. OpenAI / ChatGPT API Integration</t>
  </si>
  <si>
    <t>3.1 OpenAI Node SDK Setup</t>
  </si>
  <si>
    <t>3.2 Chat Completions API</t>
  </si>
  <si>
    <t>3.2.1 messages Array Structure</t>
  </si>
  <si>
    <t>3.2.2 System, User, Assistant Roles</t>
  </si>
  <si>
    <t>3.2.3 Model Selection (gpt-4o, gpt-4o-mini)</t>
  </si>
  <si>
    <t>3.3 Streaming Responses</t>
  </si>
  <si>
    <t>3.3.1 Server-Sent Events (SSE)</t>
  </si>
  <si>
    <t>3.3.2 Stream Handling in Node</t>
  </si>
  <si>
    <t>3.4 Function Calling Basics</t>
  </si>
  <si>
    <t>3.5 Building a Chatbot Endpoint in Express</t>
  </si>
  <si>
    <t>3.6 Handling Errors &amp; Retries</t>
  </si>
  <si>
    <t>4. Gemini + Claude API + Building AI Chat UI in React</t>
  </si>
  <si>
    <t>4.1 Google Gemini API Setup (Free Tier)</t>
  </si>
  <si>
    <t>4.2 Anthropic Claude API Setup</t>
  </si>
  <si>
    <t>4.3 API Comparison (When to Use Which)</t>
  </si>
  <si>
    <t>4.4 Building AI Chat UI in React</t>
  </si>
  <si>
    <t>4.4.1 Chat Interface Design</t>
  </si>
  <si>
    <t>4.4.2 Message History Management</t>
  </si>
  <si>
    <t>4.4.3 Streaming Responses in UI</t>
  </si>
  <si>
    <t>4.4.4 Markdown Rendering (react-markdown)</t>
  </si>
  <si>
    <t>4.4.5 Code Syntax Highlighting</t>
  </si>
  <si>
    <t>4.4.6 Loading States &amp; Typing Indicators</t>
  </si>
  <si>
    <t>4.5 Multi-Model Fallback Strategy</t>
  </si>
  <si>
    <t>5. Image Generation, Vision APIs &amp; Prompt Engineering</t>
  </si>
  <si>
    <t>5.1 Image Generation APIs</t>
  </si>
  <si>
    <t>5.1.1 DALL-E 3 by OpenAI</t>
  </si>
  <si>
    <t>5.1.2 Stable Diffusion APIs</t>
  </si>
  <si>
    <t>5.1.3 Imagen by Google</t>
  </si>
  <si>
    <t>5.2 Vision APIs (Image Understanding)</t>
  </si>
  <si>
    <t>5.2.1 GPT-4 Vision</t>
  </si>
  <si>
    <t>5.2.2 Claude Vision</t>
  </si>
  <si>
    <t>5.2.3 Use Cases (Image Captioning, OCR)</t>
  </si>
  <si>
    <t>5.3 Prompt Engineering Patterns</t>
  </si>
  <si>
    <t>5.3.1 Few-Shot Prompting</t>
  </si>
  <si>
    <t>5.3.2 Chain-of-Thought</t>
  </si>
  <si>
    <t>5.3.3 Role-Based Prompting</t>
  </si>
  <si>
    <t>5.4 Structured Outputs (JSON Mode)</t>
  </si>
  <si>
    <t>5.5 Prompt Templates &amp; Versioning</t>
  </si>
  <si>
    <t>6. RAG (Retrieval Augmented Generation) Basics</t>
  </si>
  <si>
    <t>6.1 What is RAG (Conceptual Understanding)</t>
  </si>
  <si>
    <t>6.1.1 LLM Limitations (Knowledge Cutoff)</t>
  </si>
  <si>
    <t>6.1.2 Why RAG Solves It</t>
  </si>
  <si>
    <t>6.2 Vector Embeddings Concept</t>
  </si>
  <si>
    <t>6.2.1 Text → Vector Conversion</t>
  </si>
  <si>
    <t>6.2.2 Semantic Similarity Search</t>
  </si>
  <si>
    <t>6.3 Vector Databases Overview</t>
  </si>
  <si>
    <t>6.3.1 Pinecone</t>
  </si>
  <si>
    <t>6.3.2 Supabase pgvector</t>
  </si>
  <si>
    <t>6.3.3 ChromaDB (Local)</t>
  </si>
  <si>
    <t>6.4 LangChain.js Basics</t>
  </si>
  <si>
    <t>6.5 Building "Chat with PDF" Feature</t>
  </si>
  <si>
    <t>🔴 TEST 3: AI Integration (Half Day)</t>
  </si>
  <si>
    <t>🏭 INDUSTRY LECTURE 4 (1 Hour)</t>
  </si>
  <si>
    <t>Topic: AI in Modern SaaS Products &amp; Career Opportunities</t>
  </si>
  <si>
    <t>🔄 REVISION DAY 4: AI Integration Practice &amp; Doubt Day (Optional)</t>
  </si>
  <si>
    <t>Revision of AI API integration concepts</t>
  </si>
  <si>
    <t>Hands-on practice with OpenAI / Gemini APIs</t>
  </si>
  <si>
    <t>Building small AI-powered components</t>
  </si>
  <si>
    <t>Prompt engineering practice session</t>
  </si>
  <si>
    <t>Capstone project planning discussion</t>
  </si>
  <si>
    <t>Note for Trainer: Use to ensure students are ready for Capstone AI integration</t>
  </si>
  <si>
    <t>UNIT 8: CAPSTONE PROJECT</t>
  </si>
  <si>
    <t>1. Capstone Project — Briefing &amp; Planning</t>
  </si>
  <si>
    <t>1.1 Problem Statement Options</t>
  </si>
  <si>
    <t>1.1.1 AI-Powered Resume Builder</t>
  </si>
  <si>
    <t>1.1.2 AI Customer Support Chatbot for E-commerce</t>
  </si>
  <si>
    <t>1.1.3 AI Notes App with Smart Summarization</t>
  </si>
  <si>
    <t>1.1.4 AI Recipe Generator with Image Recognition</t>
  </si>
  <si>
    <t>1.1.5 AI Study Buddy (PDF Chat + Quiz Generator)</t>
  </si>
  <si>
    <t>1.1.6 AI Content Writer for Social Media</t>
  </si>
  <si>
    <t>1.2 Team Formation &amp; Role Distribution</t>
  </si>
  <si>
    <t>1.3 Project Planning Phase</t>
  </si>
  <si>
    <t>1.3.1 Wireframes / UI Design</t>
  </si>
  <si>
    <t>1.3.2 API Design</t>
  </si>
  <si>
    <t>1.3.3 Database Schema</t>
  </si>
  <si>
    <t>1.3.4 Tech Stack Confirmation</t>
  </si>
  <si>
    <t>1.4 Git Repository Setup</t>
  </si>
  <si>
    <t>1.5 Project Deliverables Discussion</t>
  </si>
  <si>
    <t>CAPSTONE — Frontend + Backend + AI Integration Day</t>
  </si>
  <si>
    <t>Build React Frontend with Tailwind &amp; shadcn/ui</t>
  </si>
  <si>
    <t>Set up Express Backend with MongoDB</t>
  </si>
  <si>
    <t>Implement Authentication (JWT)</t>
  </si>
  <si>
    <t>Connect Frontend to Backend</t>
  </si>
  <si>
    <t>Integrate AI APIs (OpenAI / Gemini / Claude)</t>
  </si>
  <si>
    <t>Use AI Tools (Cursor / Copilot) for Faster Development</t>
  </si>
  <si>
    <t>Polish UI/UX</t>
  </si>
  <si>
    <t>Deploy Frontend (Vercel) + Backend (Render / Railway)</t>
  </si>
  <si>
    <t>Bug Fixes &amp; Testing</t>
  </si>
  <si>
    <t>Prepare GitHub README &amp; Demo Video</t>
  </si>
  <si>
    <t>CAPSTONE PRESENTATIONS + CAREER PATH</t>
  </si>
  <si>
    <t>1. Capstone Project Presentations</t>
  </si>
  <si>
    <t>1.1 Individual / Group Presentations (10–15 min each)</t>
  </si>
  <si>
    <t>1.2 Live Demo of AI-Powered MERN Application</t>
  </si>
  <si>
    <t>1.3 Code Walkthrough</t>
  </si>
  <si>
    <t>1.4 Faculty Evaluation &amp; Q&amp;A</t>
  </si>
  <si>
    <t>1.5 Peer Review &amp; Feedback</t>
  </si>
  <si>
    <t>2. Career Guidance &amp; Next Steps</t>
  </si>
  <si>
    <t>2.1 Building a Strong GitHub Portfolio</t>
  </si>
  <si>
    <t>2.1.1 README Best Practices</t>
  </si>
  <si>
    <t>2.1.2 Pinning Best Repositories</t>
  </si>
  <si>
    <t>2.2 LinkedIn Optimization for Developers</t>
  </si>
  <si>
    <t>2.3 Internship &amp; Job Application Strategy</t>
  </si>
  <si>
    <t>2.4 Freelancing Platforms (Upwork, Fiverr, Toptal)</t>
  </si>
  <si>
    <t>2.5 Next Learning Paths</t>
  </si>
  <si>
    <t>2.5.1 TypeScript &amp; Next.js</t>
  </si>
  <si>
    <t>2.5.2 Advanced State Management</t>
  </si>
  <si>
    <t>2.5.3 DevOps &amp; System Design Basics</t>
  </si>
  <si>
    <t>🎯 FINAL: INDUSTRY-READY FULL STACK AI 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</si>
</sst>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mm-dd-yyyy"/>
    <numFmt numFmtId="166" formatCode="d"/>
  </numFmts>
  <fonts count="12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sz val="11.0"/>
      <color rgb="FF000000"/>
      <name val="Calibri"/>
    </font>
    <font>
      <b/>
      <color theme="1"/>
      <name val="Arial"/>
      <scheme val="minor"/>
    </font>
    <font>
      <b/>
      <sz val="11.0"/>
      <color theme="1"/>
      <name val="Arial"/>
    </font>
    <font/>
    <font>
      <color theme="1"/>
      <name val="Arial"/>
      <scheme val="minor"/>
    </font>
    <font>
      <sz val="11.0"/>
      <color theme="1"/>
      <name val="Calibri"/>
    </font>
    <font>
      <color rgb="FF444746"/>
      <name val="Arial"/>
      <scheme val="minor"/>
    </font>
    <font>
      <b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2" fillId="2" fontId="5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right" vertical="bottom"/>
    </xf>
    <xf borderId="3" fillId="3" fontId="6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right" readingOrder="0" vertical="bottom"/>
    </xf>
    <xf borderId="2" fillId="2" fontId="3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shrinkToFit="0" vertical="top" wrapText="0"/>
    </xf>
    <xf borderId="4" fillId="2" fontId="5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vertical="bottom"/>
    </xf>
    <xf borderId="1" fillId="0" fontId="1" numFmtId="165" xfId="0" applyAlignment="1" applyBorder="1" applyFont="1" applyNumberFormat="1">
      <alignment horizontal="left" readingOrder="0" vertical="bottom"/>
    </xf>
    <xf borderId="5" fillId="0" fontId="7" numFmtId="0" xfId="0" applyBorder="1" applyFont="1"/>
    <xf borderId="6" fillId="0" fontId="7" numFmtId="0" xfId="0" applyBorder="1" applyFont="1"/>
    <xf borderId="3" fillId="0" fontId="1" numFmtId="0" xfId="0" applyAlignment="1" applyBorder="1" applyFont="1">
      <alignment horizontal="left" readingOrder="0" shrinkToFit="0" vertical="top" wrapText="0"/>
    </xf>
    <xf borderId="4" fillId="2" fontId="3" numFmtId="164" xfId="0" applyAlignment="1" applyBorder="1" applyFont="1" applyNumberFormat="1">
      <alignment horizontal="center" vertical="bottom"/>
    </xf>
    <xf borderId="3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7" fillId="0" fontId="7" numFmtId="0" xfId="0" applyBorder="1" applyFont="1"/>
    <xf borderId="4" fillId="0" fontId="3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center"/>
    </xf>
    <xf borderId="1" fillId="2" fontId="3" numFmtId="166" xfId="0" applyAlignment="1" applyBorder="1" applyFont="1" applyNumberFormat="1">
      <alignment horizontal="center" readingOrder="0" vertical="bottom"/>
    </xf>
    <xf borderId="8" fillId="0" fontId="7" numFmtId="0" xfId="0" applyBorder="1" applyFont="1"/>
    <xf borderId="1" fillId="0" fontId="8" numFmtId="165" xfId="0" applyAlignment="1" applyBorder="1" applyFont="1" applyNumberFormat="1">
      <alignment horizontal="right" readingOrder="0"/>
    </xf>
    <xf borderId="1" fillId="0" fontId="8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left" readingOrder="0" vertical="bottom"/>
    </xf>
    <xf borderId="4" fillId="0" fontId="8" numFmtId="0" xfId="0" applyBorder="1" applyFont="1"/>
    <xf borderId="0" fillId="0" fontId="8" numFmtId="0" xfId="0" applyFont="1"/>
    <xf borderId="1" fillId="0" fontId="8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vertical="center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/>
    </xf>
    <xf borderId="1" fillId="0" fontId="8" numFmtId="0" xfId="0" applyBorder="1" applyFont="1"/>
    <xf borderId="1" fillId="0" fontId="8" numFmtId="0" xfId="0" applyAlignment="1" applyBorder="1" applyFont="1">
      <alignment horizontal="center" readingOrder="0"/>
    </xf>
    <xf borderId="1" fillId="2" fontId="3" numFmtId="164" xfId="0" applyAlignment="1" applyBorder="1" applyFont="1" applyNumberFormat="1">
      <alignment horizontal="center" vertical="bottom"/>
    </xf>
    <xf borderId="1" fillId="0" fontId="8" numFmtId="165" xfId="0" applyAlignment="1" applyBorder="1" applyFont="1" applyNumberFormat="1">
      <alignment horizontal="left" readingOrder="0"/>
    </xf>
    <xf borderId="1" fillId="0" fontId="10" numFmtId="165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 readingOrder="0"/>
    </xf>
    <xf borderId="1" fillId="2" fontId="9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center"/>
    </xf>
    <xf borderId="1" fillId="0" fontId="1" numFmtId="2" xfId="0" applyAlignment="1" applyBorder="1" applyFont="1" applyNumberFormat="1">
      <alignment horizontal="center" vertical="bottom"/>
    </xf>
    <xf borderId="7" fillId="4" fontId="5" numFmtId="0" xfId="0" applyAlignment="1" applyBorder="1" applyFill="1" applyFont="1">
      <alignment horizontal="center" readingOrder="0" textRotation="255" vertical="center"/>
    </xf>
    <xf borderId="0" fillId="0" fontId="8" numFmtId="0" xfId="0" applyAlignment="1" applyFont="1">
      <alignment horizontal="center" vertical="center"/>
    </xf>
    <xf borderId="1" fillId="0" fontId="8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2" fontId="11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3" fillId="5" fontId="6" numFmtId="0" xfId="0" applyAlignment="1" applyBorder="1" applyFill="1" applyFont="1">
      <alignment horizontal="center" readingOrder="0" shrinkToFit="0" vertical="top" wrapText="0"/>
    </xf>
    <xf borderId="3" fillId="5" fontId="1" numFmtId="0" xfId="0" applyAlignment="1" applyBorder="1" applyFont="1">
      <alignment horizontal="left" readingOrder="0" shrinkToFit="0" vertical="top" wrapText="0"/>
    </xf>
    <xf borderId="3" fillId="5" fontId="1" numFmtId="0" xfId="0" applyAlignment="1" applyBorder="1" applyFont="1">
      <alignment horizontal="left" readingOrder="0" shrinkToFit="0" vertical="top" wrapText="0"/>
    </xf>
    <xf borderId="1" fillId="0" fontId="9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readingOrder="0"/>
    </xf>
    <xf borderId="8" fillId="4" fontId="5" numFmtId="0" xfId="0" applyAlignment="1" applyBorder="1" applyFont="1">
      <alignment horizontal="center" readingOrder="0" textRotation="255" vertical="center"/>
    </xf>
    <xf borderId="8" fillId="6" fontId="5" numFmtId="0" xfId="0" applyAlignment="1" applyBorder="1" applyFill="1" applyFont="1">
      <alignment horizontal="center" readingOrder="0" textRotation="255" vertical="center"/>
    </xf>
    <xf borderId="0" fillId="0" fontId="1" numFmtId="2" xfId="0" applyAlignment="1" applyFont="1" applyNumberFormat="1">
      <alignment horizontal="center" vertical="bottom"/>
    </xf>
    <xf borderId="3" fillId="0" fontId="3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0.63"/>
    <col customWidth="1" min="7" max="7" width="16.63"/>
    <col customWidth="1" min="8" max="41" width="4.13"/>
    <col customWidth="1" min="42" max="71" width="4.0"/>
  </cols>
  <sheetData>
    <row r="1">
      <c r="A1" s="6" t="s">
        <v>2</v>
      </c>
      <c r="B1" s="6" t="s">
        <v>10</v>
      </c>
      <c r="C1" s="6" t="s">
        <v>13</v>
      </c>
      <c r="D1" s="6" t="s">
        <v>16</v>
      </c>
      <c r="E1" s="6" t="s">
        <v>18</v>
      </c>
      <c r="F1" s="6" t="s">
        <v>21</v>
      </c>
      <c r="G1" s="13" t="s">
        <v>22</v>
      </c>
      <c r="H1" s="15">
        <v>46143.0</v>
      </c>
      <c r="I1" s="18"/>
      <c r="J1" s="18"/>
      <c r="K1" s="19"/>
      <c r="L1" s="21">
        <v>46174.0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21">
        <v>46204.0</v>
      </c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</row>
    <row r="2">
      <c r="A2" s="26"/>
      <c r="B2" s="26"/>
      <c r="C2" s="26"/>
      <c r="D2" s="26"/>
      <c r="E2" s="26"/>
      <c r="F2" s="26"/>
      <c r="G2" s="26"/>
      <c r="H2" s="29">
        <v>46170.0</v>
      </c>
      <c r="I2" s="29">
        <v>46171.0</v>
      </c>
      <c r="J2" s="29">
        <v>46172.0</v>
      </c>
      <c r="K2" s="29">
        <v>46173.0</v>
      </c>
      <c r="L2" s="29">
        <v>46174.0</v>
      </c>
      <c r="M2" s="29">
        <v>46175.0</v>
      </c>
      <c r="N2" s="29">
        <v>46176.0</v>
      </c>
      <c r="O2" s="29">
        <v>46177.0</v>
      </c>
      <c r="P2" s="29">
        <v>46178.0</v>
      </c>
      <c r="Q2" s="29">
        <v>46179.0</v>
      </c>
      <c r="R2" s="29">
        <v>46180.0</v>
      </c>
      <c r="S2" s="29">
        <v>46181.0</v>
      </c>
      <c r="T2" s="29">
        <v>46182.0</v>
      </c>
      <c r="U2" s="29">
        <v>46183.0</v>
      </c>
      <c r="V2" s="29">
        <v>46184.0</v>
      </c>
      <c r="W2" s="29">
        <v>46185.0</v>
      </c>
      <c r="X2" s="29">
        <v>46186.0</v>
      </c>
      <c r="Y2" s="29">
        <v>46187.0</v>
      </c>
      <c r="Z2" s="29">
        <v>46188.0</v>
      </c>
      <c r="AA2" s="29">
        <v>46189.0</v>
      </c>
      <c r="AB2" s="29">
        <v>46190.0</v>
      </c>
      <c r="AC2" s="29">
        <v>46191.0</v>
      </c>
      <c r="AD2" s="29">
        <v>46192.0</v>
      </c>
      <c r="AE2" s="29">
        <v>46193.0</v>
      </c>
      <c r="AF2" s="29">
        <v>46194.0</v>
      </c>
      <c r="AG2" s="29">
        <v>46195.0</v>
      </c>
      <c r="AH2" s="29">
        <v>46196.0</v>
      </c>
      <c r="AI2" s="29">
        <v>46197.0</v>
      </c>
      <c r="AJ2" s="29">
        <v>46198.0</v>
      </c>
      <c r="AK2" s="29">
        <v>46199.0</v>
      </c>
      <c r="AL2" s="29">
        <v>46200.0</v>
      </c>
      <c r="AM2" s="29">
        <v>46201.0</v>
      </c>
      <c r="AN2" s="29">
        <v>46202.0</v>
      </c>
      <c r="AO2" s="29">
        <v>46203.0</v>
      </c>
      <c r="AP2" s="29">
        <v>46204.0</v>
      </c>
      <c r="AQ2" s="29">
        <v>46205.0</v>
      </c>
      <c r="AR2" s="29">
        <v>46206.0</v>
      </c>
      <c r="AS2" s="29">
        <v>46207.0</v>
      </c>
      <c r="AT2" s="29">
        <v>46208.0</v>
      </c>
      <c r="AU2" s="29">
        <v>46209.0</v>
      </c>
      <c r="AV2" s="29">
        <v>46210.0</v>
      </c>
      <c r="AW2" s="29">
        <v>46211.0</v>
      </c>
      <c r="AX2" s="29">
        <v>46212.0</v>
      </c>
      <c r="AY2" s="29">
        <v>46213.0</v>
      </c>
      <c r="AZ2" s="29">
        <v>46214.0</v>
      </c>
      <c r="BA2" s="29">
        <v>46215.0</v>
      </c>
      <c r="BB2" s="29">
        <v>46216.0</v>
      </c>
      <c r="BC2" s="29">
        <v>46217.0</v>
      </c>
      <c r="BD2" s="29">
        <v>46218.0</v>
      </c>
      <c r="BE2" s="29">
        <v>46219.0</v>
      </c>
      <c r="BF2" s="29">
        <v>46220.0</v>
      </c>
      <c r="BG2" s="29">
        <v>46221.0</v>
      </c>
      <c r="BH2" s="29">
        <v>46222.0</v>
      </c>
      <c r="BI2" s="29">
        <v>46223.0</v>
      </c>
      <c r="BJ2" s="29">
        <v>46224.0</v>
      </c>
      <c r="BK2" s="29">
        <v>46225.0</v>
      </c>
      <c r="BL2" s="29">
        <v>46226.0</v>
      </c>
      <c r="BM2" s="29">
        <v>46227.0</v>
      </c>
      <c r="BN2" s="29">
        <v>46228.0</v>
      </c>
      <c r="BO2" s="29">
        <v>46229.0</v>
      </c>
      <c r="BP2" s="29">
        <v>46230.0</v>
      </c>
      <c r="BQ2" s="29">
        <v>46231.0</v>
      </c>
      <c r="BR2" s="29">
        <v>46232.0</v>
      </c>
      <c r="BS2" s="29">
        <v>46233.0</v>
      </c>
    </row>
    <row r="3">
      <c r="A3" s="30"/>
      <c r="B3" s="30"/>
      <c r="C3" s="30"/>
      <c r="D3" s="30"/>
      <c r="E3" s="30"/>
      <c r="F3" s="30"/>
      <c r="G3" s="30"/>
      <c r="H3" s="42" t="str">
        <f t="shared" ref="H3:BS3" si="1">TEXT(H2,"ddd")</f>
        <v>Thu</v>
      </c>
      <c r="I3" s="42" t="str">
        <f t="shared" si="1"/>
        <v>Fri</v>
      </c>
      <c r="J3" s="42" t="str">
        <f t="shared" si="1"/>
        <v>Sat</v>
      </c>
      <c r="K3" s="42" t="str">
        <f t="shared" si="1"/>
        <v>Sun</v>
      </c>
      <c r="L3" s="42" t="str">
        <f t="shared" si="1"/>
        <v>Mon</v>
      </c>
      <c r="M3" s="42" t="str">
        <f t="shared" si="1"/>
        <v>Tue</v>
      </c>
      <c r="N3" s="42" t="str">
        <f t="shared" si="1"/>
        <v>Wed</v>
      </c>
      <c r="O3" s="42" t="str">
        <f t="shared" si="1"/>
        <v>Thu</v>
      </c>
      <c r="P3" s="42" t="str">
        <f t="shared" si="1"/>
        <v>Fri</v>
      </c>
      <c r="Q3" s="42" t="str">
        <f t="shared" si="1"/>
        <v>Sat</v>
      </c>
      <c r="R3" s="42" t="str">
        <f t="shared" si="1"/>
        <v>Sun</v>
      </c>
      <c r="S3" s="42" t="str">
        <f t="shared" si="1"/>
        <v>Mon</v>
      </c>
      <c r="T3" s="42" t="str">
        <f t="shared" si="1"/>
        <v>Tue</v>
      </c>
      <c r="U3" s="42" t="str">
        <f t="shared" si="1"/>
        <v>Wed</v>
      </c>
      <c r="V3" s="42" t="str">
        <f t="shared" si="1"/>
        <v>Thu</v>
      </c>
      <c r="W3" s="42" t="str">
        <f t="shared" si="1"/>
        <v>Fri</v>
      </c>
      <c r="X3" s="42" t="str">
        <f t="shared" si="1"/>
        <v>Sat</v>
      </c>
      <c r="Y3" s="42" t="str">
        <f t="shared" si="1"/>
        <v>Sun</v>
      </c>
      <c r="Z3" s="42" t="str">
        <f t="shared" si="1"/>
        <v>Mon</v>
      </c>
      <c r="AA3" s="42" t="str">
        <f t="shared" si="1"/>
        <v>Tue</v>
      </c>
      <c r="AB3" s="42" t="str">
        <f t="shared" si="1"/>
        <v>Wed</v>
      </c>
      <c r="AC3" s="42" t="str">
        <f t="shared" si="1"/>
        <v>Thu</v>
      </c>
      <c r="AD3" s="42" t="str">
        <f t="shared" si="1"/>
        <v>Fri</v>
      </c>
      <c r="AE3" s="42" t="str">
        <f t="shared" si="1"/>
        <v>Sat</v>
      </c>
      <c r="AF3" s="42" t="str">
        <f t="shared" si="1"/>
        <v>Sun</v>
      </c>
      <c r="AG3" s="42" t="str">
        <f t="shared" si="1"/>
        <v>Mon</v>
      </c>
      <c r="AH3" s="42" t="str">
        <f t="shared" si="1"/>
        <v>Tue</v>
      </c>
      <c r="AI3" s="42" t="str">
        <f t="shared" si="1"/>
        <v>Wed</v>
      </c>
      <c r="AJ3" s="42" t="str">
        <f t="shared" si="1"/>
        <v>Thu</v>
      </c>
      <c r="AK3" s="42" t="str">
        <f t="shared" si="1"/>
        <v>Fri</v>
      </c>
      <c r="AL3" s="42" t="str">
        <f t="shared" si="1"/>
        <v>Sat</v>
      </c>
      <c r="AM3" s="42" t="str">
        <f t="shared" si="1"/>
        <v>Sun</v>
      </c>
      <c r="AN3" s="42" t="str">
        <f t="shared" si="1"/>
        <v>Mon</v>
      </c>
      <c r="AO3" s="42" t="str">
        <f t="shared" si="1"/>
        <v>Tue</v>
      </c>
      <c r="AP3" s="42" t="str">
        <f t="shared" si="1"/>
        <v>Wed</v>
      </c>
      <c r="AQ3" s="42" t="str">
        <f t="shared" si="1"/>
        <v>Thu</v>
      </c>
      <c r="AR3" s="42" t="str">
        <f t="shared" si="1"/>
        <v>Fri</v>
      </c>
      <c r="AS3" s="42" t="str">
        <f t="shared" si="1"/>
        <v>Sat</v>
      </c>
      <c r="AT3" s="42" t="str">
        <f t="shared" si="1"/>
        <v>Sun</v>
      </c>
      <c r="AU3" s="42" t="str">
        <f t="shared" si="1"/>
        <v>Mon</v>
      </c>
      <c r="AV3" s="42" t="str">
        <f t="shared" si="1"/>
        <v>Tue</v>
      </c>
      <c r="AW3" s="42" t="str">
        <f t="shared" si="1"/>
        <v>Wed</v>
      </c>
      <c r="AX3" s="42" t="str">
        <f t="shared" si="1"/>
        <v>Thu</v>
      </c>
      <c r="AY3" s="42" t="str">
        <f t="shared" si="1"/>
        <v>Fri</v>
      </c>
      <c r="AZ3" s="42" t="str">
        <f t="shared" si="1"/>
        <v>Sat</v>
      </c>
      <c r="BA3" s="42" t="str">
        <f t="shared" si="1"/>
        <v>Sun</v>
      </c>
      <c r="BB3" s="42" t="str">
        <f t="shared" si="1"/>
        <v>Mon</v>
      </c>
      <c r="BC3" s="42" t="str">
        <f t="shared" si="1"/>
        <v>Tue</v>
      </c>
      <c r="BD3" s="42" t="str">
        <f t="shared" si="1"/>
        <v>Wed</v>
      </c>
      <c r="BE3" s="42" t="str">
        <f t="shared" si="1"/>
        <v>Thu</v>
      </c>
      <c r="BF3" s="42" t="str">
        <f t="shared" si="1"/>
        <v>Fri</v>
      </c>
      <c r="BG3" s="42" t="str">
        <f t="shared" si="1"/>
        <v>Sat</v>
      </c>
      <c r="BH3" s="42" t="str">
        <f t="shared" si="1"/>
        <v>Sun</v>
      </c>
      <c r="BI3" s="42" t="str">
        <f t="shared" si="1"/>
        <v>Mon</v>
      </c>
      <c r="BJ3" s="42" t="str">
        <f t="shared" si="1"/>
        <v>Tue</v>
      </c>
      <c r="BK3" s="42" t="str">
        <f t="shared" si="1"/>
        <v>Wed</v>
      </c>
      <c r="BL3" s="42" t="str">
        <f t="shared" si="1"/>
        <v>Thu</v>
      </c>
      <c r="BM3" s="42" t="str">
        <f t="shared" si="1"/>
        <v>Fri</v>
      </c>
      <c r="BN3" s="42" t="str">
        <f t="shared" si="1"/>
        <v>Sat</v>
      </c>
      <c r="BO3" s="42" t="str">
        <f t="shared" si="1"/>
        <v>Sun</v>
      </c>
      <c r="BP3" s="42" t="str">
        <f t="shared" si="1"/>
        <v>Mon</v>
      </c>
      <c r="BQ3" s="42" t="str">
        <f t="shared" si="1"/>
        <v>Tue</v>
      </c>
      <c r="BR3" s="42" t="str">
        <f t="shared" si="1"/>
        <v>Wed</v>
      </c>
      <c r="BS3" s="42" t="str">
        <f t="shared" si="1"/>
        <v>Thu</v>
      </c>
    </row>
    <row r="4">
      <c r="A4" s="36">
        <v>1.0</v>
      </c>
      <c r="B4" s="46" t="s">
        <v>92</v>
      </c>
      <c r="C4" s="46" t="s">
        <v>94</v>
      </c>
      <c r="D4" s="36">
        <f t="shared" ref="D4:D15" si="2">COUNTIF(H4:BS4,"p") + COUNTIF(H4:BS4,"op")</f>
        <v>44</v>
      </c>
      <c r="E4" s="36">
        <f t="shared" ref="E4:E15" si="3">COUNTIF(H4:BS4,"A") + COUNTIF(H4:BS4,"oA")</f>
        <v>7</v>
      </c>
      <c r="F4" s="47">
        <f t="shared" ref="F4:F15" si="4">E4+D4</f>
        <v>51</v>
      </c>
      <c r="G4" s="48">
        <f t="shared" ref="G4:G15" si="5">(D4/F4)*100</f>
        <v>86.2745098</v>
      </c>
      <c r="H4" s="41" t="s">
        <v>242</v>
      </c>
      <c r="I4" s="41" t="s">
        <v>242</v>
      </c>
      <c r="J4" s="41" t="s">
        <v>242</v>
      </c>
      <c r="K4" s="49" t="s">
        <v>247</v>
      </c>
      <c r="L4" s="41" t="s">
        <v>242</v>
      </c>
      <c r="M4" s="41" t="s">
        <v>242</v>
      </c>
      <c r="N4" s="41" t="s">
        <v>242</v>
      </c>
      <c r="O4" s="41" t="s">
        <v>242</v>
      </c>
      <c r="P4" s="41" t="s">
        <v>242</v>
      </c>
      <c r="Q4" s="41" t="s">
        <v>242</v>
      </c>
      <c r="R4" s="49" t="s">
        <v>247</v>
      </c>
      <c r="S4" s="41" t="s">
        <v>242</v>
      </c>
      <c r="T4" s="41" t="s">
        <v>242</v>
      </c>
      <c r="U4" s="41" t="s">
        <v>242</v>
      </c>
      <c r="V4" s="41" t="s">
        <v>242</v>
      </c>
      <c r="W4" s="41" t="s">
        <v>242</v>
      </c>
      <c r="X4" s="41" t="s">
        <v>242</v>
      </c>
      <c r="Y4" s="49" t="s">
        <v>247</v>
      </c>
      <c r="Z4" s="41" t="s">
        <v>242</v>
      </c>
      <c r="AA4" s="41" t="s">
        <v>242</v>
      </c>
      <c r="AB4" s="41" t="s">
        <v>242</v>
      </c>
      <c r="AC4" s="41" t="s">
        <v>242</v>
      </c>
      <c r="AD4" s="41" t="s">
        <v>242</v>
      </c>
      <c r="AE4" s="41" t="s">
        <v>242</v>
      </c>
      <c r="AF4" s="49" t="s">
        <v>247</v>
      </c>
      <c r="AG4" s="41" t="s">
        <v>242</v>
      </c>
      <c r="AH4" s="41" t="s">
        <v>242</v>
      </c>
      <c r="AI4" s="41" t="s">
        <v>242</v>
      </c>
      <c r="AJ4" s="41" t="s">
        <v>242</v>
      </c>
      <c r="AK4" s="41" t="s">
        <v>242</v>
      </c>
      <c r="AL4" s="41" t="s">
        <v>242</v>
      </c>
      <c r="AM4" s="49" t="s">
        <v>247</v>
      </c>
      <c r="AN4" s="41" t="s">
        <v>266</v>
      </c>
      <c r="AO4" s="41" t="s">
        <v>242</v>
      </c>
      <c r="AP4" s="41" t="s">
        <v>242</v>
      </c>
      <c r="AQ4" s="41" t="s">
        <v>242</v>
      </c>
      <c r="AR4" s="41" t="s">
        <v>242</v>
      </c>
      <c r="AS4" s="41" t="s">
        <v>242</v>
      </c>
      <c r="AT4" s="49" t="s">
        <v>247</v>
      </c>
      <c r="AU4" s="41" t="s">
        <v>242</v>
      </c>
      <c r="AV4" s="41" t="s">
        <v>242</v>
      </c>
      <c r="AW4" s="41" t="s">
        <v>242</v>
      </c>
      <c r="AX4" s="41" t="s">
        <v>242</v>
      </c>
      <c r="AY4" s="41" t="s">
        <v>242</v>
      </c>
      <c r="AZ4" s="41" t="s">
        <v>242</v>
      </c>
      <c r="BA4" s="41" t="s">
        <v>242</v>
      </c>
      <c r="BB4" s="41" t="s">
        <v>242</v>
      </c>
      <c r="BC4" s="41" t="s">
        <v>242</v>
      </c>
      <c r="BD4" s="51"/>
      <c r="BE4" s="41" t="s">
        <v>242</v>
      </c>
      <c r="BF4" s="41" t="s">
        <v>266</v>
      </c>
      <c r="BG4" s="41" t="s">
        <v>242</v>
      </c>
      <c r="BH4" s="49" t="s">
        <v>247</v>
      </c>
      <c r="BI4" s="41" t="s">
        <v>242</v>
      </c>
      <c r="BJ4" s="51"/>
      <c r="BK4" s="41" t="s">
        <v>266</v>
      </c>
      <c r="BL4" s="41" t="s">
        <v>266</v>
      </c>
      <c r="BM4" s="41" t="s">
        <v>266</v>
      </c>
      <c r="BN4" s="41" t="s">
        <v>266</v>
      </c>
      <c r="BO4" s="51"/>
      <c r="BP4" s="41" t="s">
        <v>266</v>
      </c>
      <c r="BQ4" s="51"/>
      <c r="BR4" s="51"/>
      <c r="BS4" s="51"/>
    </row>
    <row r="5">
      <c r="A5" s="36">
        <v>2.0</v>
      </c>
      <c r="B5" s="46" t="s">
        <v>115</v>
      </c>
      <c r="C5" s="46" t="s">
        <v>116</v>
      </c>
      <c r="D5" s="36">
        <f t="shared" si="2"/>
        <v>49</v>
      </c>
      <c r="E5" s="36">
        <f t="shared" si="3"/>
        <v>2</v>
      </c>
      <c r="F5" s="47">
        <f t="shared" si="4"/>
        <v>51</v>
      </c>
      <c r="G5" s="48">
        <f t="shared" si="5"/>
        <v>96.07843137</v>
      </c>
      <c r="H5" s="41" t="s">
        <v>242</v>
      </c>
      <c r="I5" s="41" t="s">
        <v>242</v>
      </c>
      <c r="J5" s="41" t="s">
        <v>242</v>
      </c>
      <c r="K5" s="26"/>
      <c r="L5" s="41" t="s">
        <v>242</v>
      </c>
      <c r="M5" s="41" t="s">
        <v>242</v>
      </c>
      <c r="N5" s="41" t="s">
        <v>242</v>
      </c>
      <c r="O5" s="41" t="s">
        <v>242</v>
      </c>
      <c r="P5" s="41" t="s">
        <v>242</v>
      </c>
      <c r="Q5" s="41" t="s">
        <v>242</v>
      </c>
      <c r="R5" s="26"/>
      <c r="S5" s="41" t="s">
        <v>242</v>
      </c>
      <c r="T5" s="41" t="s">
        <v>242</v>
      </c>
      <c r="U5" s="41" t="s">
        <v>242</v>
      </c>
      <c r="V5" s="41" t="s">
        <v>242</v>
      </c>
      <c r="W5" s="41" t="s">
        <v>242</v>
      </c>
      <c r="X5" s="41" t="s">
        <v>242</v>
      </c>
      <c r="Y5" s="26"/>
      <c r="Z5" s="41" t="s">
        <v>242</v>
      </c>
      <c r="AA5" s="41" t="s">
        <v>242</v>
      </c>
      <c r="AB5" s="41" t="s">
        <v>242</v>
      </c>
      <c r="AC5" s="41" t="s">
        <v>242</v>
      </c>
      <c r="AD5" s="41" t="s">
        <v>242</v>
      </c>
      <c r="AE5" s="41" t="s">
        <v>242</v>
      </c>
      <c r="AF5" s="26"/>
      <c r="AG5" s="41" t="s">
        <v>242</v>
      </c>
      <c r="AH5" s="41" t="s">
        <v>242</v>
      </c>
      <c r="AI5" s="41" t="s">
        <v>242</v>
      </c>
      <c r="AJ5" s="41" t="s">
        <v>242</v>
      </c>
      <c r="AK5" s="41" t="s">
        <v>242</v>
      </c>
      <c r="AL5" s="41" t="s">
        <v>242</v>
      </c>
      <c r="AM5" s="26"/>
      <c r="AN5" s="41" t="s">
        <v>242</v>
      </c>
      <c r="AO5" s="41" t="s">
        <v>242</v>
      </c>
      <c r="AP5" s="41" t="s">
        <v>242</v>
      </c>
      <c r="AQ5" s="41" t="s">
        <v>242</v>
      </c>
      <c r="AR5" s="41" t="s">
        <v>242</v>
      </c>
      <c r="AS5" s="41" t="s">
        <v>242</v>
      </c>
      <c r="AT5" s="26"/>
      <c r="AU5" s="41" t="s">
        <v>266</v>
      </c>
      <c r="AV5" s="41" t="s">
        <v>242</v>
      </c>
      <c r="AW5" s="41" t="s">
        <v>242</v>
      </c>
      <c r="AX5" s="41" t="s">
        <v>242</v>
      </c>
      <c r="AY5" s="41" t="s">
        <v>242</v>
      </c>
      <c r="AZ5" s="41" t="s">
        <v>242</v>
      </c>
      <c r="BA5" s="41" t="s">
        <v>242</v>
      </c>
      <c r="BB5" s="41" t="s">
        <v>242</v>
      </c>
      <c r="BC5" s="41" t="s">
        <v>242</v>
      </c>
      <c r="BD5" s="51"/>
      <c r="BE5" s="41" t="s">
        <v>242</v>
      </c>
      <c r="BF5" s="41" t="s">
        <v>242</v>
      </c>
      <c r="BG5" s="41" t="s">
        <v>242</v>
      </c>
      <c r="BH5" s="26"/>
      <c r="BI5" s="41" t="s">
        <v>242</v>
      </c>
      <c r="BJ5" s="51"/>
      <c r="BK5" s="41" t="s">
        <v>242</v>
      </c>
      <c r="BL5" s="41" t="s">
        <v>242</v>
      </c>
      <c r="BM5" s="41" t="s">
        <v>266</v>
      </c>
      <c r="BN5" s="41" t="s">
        <v>242</v>
      </c>
      <c r="BO5" s="51"/>
      <c r="BP5" s="41" t="s">
        <v>242</v>
      </c>
      <c r="BQ5" s="51"/>
      <c r="BR5" s="51"/>
      <c r="BS5" s="51"/>
    </row>
    <row r="6">
      <c r="A6" s="36">
        <v>3.0</v>
      </c>
      <c r="B6" s="46" t="s">
        <v>134</v>
      </c>
      <c r="C6" s="46" t="s">
        <v>136</v>
      </c>
      <c r="D6" s="36">
        <f t="shared" si="2"/>
        <v>32</v>
      </c>
      <c r="E6" s="36">
        <f t="shared" si="3"/>
        <v>19</v>
      </c>
      <c r="F6" s="47">
        <f t="shared" si="4"/>
        <v>51</v>
      </c>
      <c r="G6" s="48">
        <f t="shared" si="5"/>
        <v>62.74509804</v>
      </c>
      <c r="H6" s="41" t="s">
        <v>242</v>
      </c>
      <c r="I6" s="41" t="s">
        <v>242</v>
      </c>
      <c r="J6" s="41" t="s">
        <v>242</v>
      </c>
      <c r="K6" s="26"/>
      <c r="L6" s="41" t="s">
        <v>242</v>
      </c>
      <c r="M6" s="41" t="s">
        <v>242</v>
      </c>
      <c r="N6" s="41" t="s">
        <v>242</v>
      </c>
      <c r="O6" s="41" t="s">
        <v>242</v>
      </c>
      <c r="P6" s="41" t="s">
        <v>266</v>
      </c>
      <c r="Q6" s="41" t="s">
        <v>266</v>
      </c>
      <c r="R6" s="26"/>
      <c r="S6" s="41" t="s">
        <v>266</v>
      </c>
      <c r="T6" s="41" t="s">
        <v>242</v>
      </c>
      <c r="U6" s="41" t="s">
        <v>242</v>
      </c>
      <c r="V6" s="41" t="s">
        <v>266</v>
      </c>
      <c r="W6" s="41" t="s">
        <v>242</v>
      </c>
      <c r="X6" s="41" t="s">
        <v>242</v>
      </c>
      <c r="Y6" s="26"/>
      <c r="Z6" s="41" t="s">
        <v>266</v>
      </c>
      <c r="AA6" s="41" t="s">
        <v>266</v>
      </c>
      <c r="AB6" s="41" t="s">
        <v>266</v>
      </c>
      <c r="AC6" s="41" t="s">
        <v>242</v>
      </c>
      <c r="AD6" s="41" t="s">
        <v>242</v>
      </c>
      <c r="AE6" s="41" t="s">
        <v>266</v>
      </c>
      <c r="AF6" s="26"/>
      <c r="AG6" s="41" t="s">
        <v>242</v>
      </c>
      <c r="AH6" s="41" t="s">
        <v>242</v>
      </c>
      <c r="AI6" s="41" t="s">
        <v>242</v>
      </c>
      <c r="AJ6" s="41" t="s">
        <v>242</v>
      </c>
      <c r="AK6" s="41" t="s">
        <v>242</v>
      </c>
      <c r="AL6" s="41" t="s">
        <v>242</v>
      </c>
      <c r="AM6" s="26"/>
      <c r="AN6" s="41" t="s">
        <v>242</v>
      </c>
      <c r="AO6" s="41" t="s">
        <v>242</v>
      </c>
      <c r="AP6" s="41" t="s">
        <v>242</v>
      </c>
      <c r="AQ6" s="41" t="s">
        <v>242</v>
      </c>
      <c r="AR6" s="41" t="s">
        <v>242</v>
      </c>
      <c r="AS6" s="41" t="s">
        <v>242</v>
      </c>
      <c r="AT6" s="26"/>
      <c r="AU6" s="41" t="s">
        <v>242</v>
      </c>
      <c r="AV6" s="41" t="s">
        <v>242</v>
      </c>
      <c r="AW6" s="41" t="s">
        <v>242</v>
      </c>
      <c r="AX6" s="41" t="s">
        <v>242</v>
      </c>
      <c r="AY6" s="41" t="s">
        <v>242</v>
      </c>
      <c r="AZ6" s="41" t="s">
        <v>242</v>
      </c>
      <c r="BA6" s="41" t="s">
        <v>242</v>
      </c>
      <c r="BB6" s="41" t="s">
        <v>266</v>
      </c>
      <c r="BC6" s="41" t="s">
        <v>266</v>
      </c>
      <c r="BD6" s="51"/>
      <c r="BE6" s="41" t="s">
        <v>266</v>
      </c>
      <c r="BF6" s="41" t="s">
        <v>266</v>
      </c>
      <c r="BG6" s="41" t="s">
        <v>266</v>
      </c>
      <c r="BH6" s="26"/>
      <c r="BI6" s="41" t="s">
        <v>266</v>
      </c>
      <c r="BJ6" s="51"/>
      <c r="BK6" s="41" t="s">
        <v>266</v>
      </c>
      <c r="BL6" s="41" t="s">
        <v>266</v>
      </c>
      <c r="BM6" s="41" t="s">
        <v>266</v>
      </c>
      <c r="BN6" s="41" t="s">
        <v>266</v>
      </c>
      <c r="BO6" s="51"/>
      <c r="BP6" s="41" t="s">
        <v>266</v>
      </c>
      <c r="BQ6" s="51"/>
      <c r="BR6" s="51"/>
      <c r="BS6" s="51"/>
    </row>
    <row r="7">
      <c r="A7" s="36">
        <v>4.0</v>
      </c>
      <c r="B7" s="46" t="s">
        <v>148</v>
      </c>
      <c r="C7" s="46" t="s">
        <v>151</v>
      </c>
      <c r="D7" s="36">
        <f t="shared" si="2"/>
        <v>31</v>
      </c>
      <c r="E7" s="36">
        <f t="shared" si="3"/>
        <v>20</v>
      </c>
      <c r="F7" s="47">
        <f t="shared" si="4"/>
        <v>51</v>
      </c>
      <c r="G7" s="48">
        <f t="shared" si="5"/>
        <v>60.78431373</v>
      </c>
      <c r="H7" s="41" t="s">
        <v>242</v>
      </c>
      <c r="I7" s="41" t="s">
        <v>242</v>
      </c>
      <c r="J7" s="41" t="s">
        <v>242</v>
      </c>
      <c r="K7" s="26"/>
      <c r="L7" s="41" t="s">
        <v>242</v>
      </c>
      <c r="M7" s="41" t="s">
        <v>242</v>
      </c>
      <c r="N7" s="41" t="s">
        <v>242</v>
      </c>
      <c r="O7" s="41" t="s">
        <v>242</v>
      </c>
      <c r="P7" s="41" t="s">
        <v>242</v>
      </c>
      <c r="Q7" s="41" t="s">
        <v>242</v>
      </c>
      <c r="R7" s="26"/>
      <c r="S7" s="41" t="s">
        <v>242</v>
      </c>
      <c r="T7" s="41" t="s">
        <v>242</v>
      </c>
      <c r="U7" s="41" t="s">
        <v>266</v>
      </c>
      <c r="V7" s="41" t="s">
        <v>266</v>
      </c>
      <c r="W7" s="41" t="s">
        <v>266</v>
      </c>
      <c r="X7" s="41" t="s">
        <v>266</v>
      </c>
      <c r="Y7" s="26"/>
      <c r="Z7" s="41" t="s">
        <v>242</v>
      </c>
      <c r="AA7" s="41" t="s">
        <v>242</v>
      </c>
      <c r="AB7" s="41" t="s">
        <v>242</v>
      </c>
      <c r="AC7" s="41" t="s">
        <v>242</v>
      </c>
      <c r="AD7" s="41" t="s">
        <v>242</v>
      </c>
      <c r="AE7" s="41" t="s">
        <v>242</v>
      </c>
      <c r="AF7" s="26"/>
      <c r="AG7" s="41" t="s">
        <v>266</v>
      </c>
      <c r="AH7" s="41" t="s">
        <v>242</v>
      </c>
      <c r="AI7" s="41" t="s">
        <v>266</v>
      </c>
      <c r="AJ7" s="41" t="s">
        <v>242</v>
      </c>
      <c r="AK7" s="41" t="s">
        <v>242</v>
      </c>
      <c r="AL7" s="41" t="s">
        <v>266</v>
      </c>
      <c r="AM7" s="26"/>
      <c r="AN7" s="41" t="s">
        <v>242</v>
      </c>
      <c r="AO7" s="41" t="s">
        <v>242</v>
      </c>
      <c r="AP7" s="41" t="s">
        <v>266</v>
      </c>
      <c r="AQ7" s="41" t="s">
        <v>242</v>
      </c>
      <c r="AR7" s="41" t="s">
        <v>266</v>
      </c>
      <c r="AS7" s="41" t="s">
        <v>266</v>
      </c>
      <c r="AT7" s="26"/>
      <c r="AU7" s="41" t="s">
        <v>242</v>
      </c>
      <c r="AV7" s="41" t="s">
        <v>242</v>
      </c>
      <c r="AW7" s="41" t="s">
        <v>242</v>
      </c>
      <c r="AX7" s="41" t="s">
        <v>242</v>
      </c>
      <c r="AY7" s="41" t="s">
        <v>266</v>
      </c>
      <c r="AZ7" s="41" t="s">
        <v>266</v>
      </c>
      <c r="BA7" s="41" t="s">
        <v>266</v>
      </c>
      <c r="BB7" s="41" t="s">
        <v>242</v>
      </c>
      <c r="BC7" s="41" t="s">
        <v>266</v>
      </c>
      <c r="BD7" s="51"/>
      <c r="BE7" s="41" t="s">
        <v>242</v>
      </c>
      <c r="BF7" s="41" t="s">
        <v>365</v>
      </c>
      <c r="BG7" s="41" t="s">
        <v>242</v>
      </c>
      <c r="BH7" s="26"/>
      <c r="BI7" s="41" t="s">
        <v>266</v>
      </c>
      <c r="BJ7" s="51"/>
      <c r="BK7" s="41" t="s">
        <v>266</v>
      </c>
      <c r="BL7" s="41" t="s">
        <v>266</v>
      </c>
      <c r="BM7" s="41" t="s">
        <v>266</v>
      </c>
      <c r="BN7" s="41" t="s">
        <v>266</v>
      </c>
      <c r="BO7" s="51"/>
      <c r="BP7" s="41" t="s">
        <v>266</v>
      </c>
      <c r="BQ7" s="51"/>
      <c r="BR7" s="51"/>
      <c r="BS7" s="51"/>
    </row>
    <row r="8">
      <c r="A8" s="36">
        <v>5.0</v>
      </c>
      <c r="B8" s="46" t="s">
        <v>163</v>
      </c>
      <c r="C8" s="46" t="s">
        <v>165</v>
      </c>
      <c r="D8" s="36">
        <f t="shared" si="2"/>
        <v>34</v>
      </c>
      <c r="E8" s="36">
        <f t="shared" si="3"/>
        <v>17</v>
      </c>
      <c r="F8" s="47">
        <f t="shared" si="4"/>
        <v>51</v>
      </c>
      <c r="G8" s="48">
        <f t="shared" si="5"/>
        <v>66.66666667</v>
      </c>
      <c r="H8" s="41" t="s">
        <v>242</v>
      </c>
      <c r="I8" s="41" t="s">
        <v>242</v>
      </c>
      <c r="J8" s="41" t="s">
        <v>242</v>
      </c>
      <c r="K8" s="26"/>
      <c r="L8" s="41" t="s">
        <v>242</v>
      </c>
      <c r="M8" s="41" t="s">
        <v>242</v>
      </c>
      <c r="N8" s="41" t="s">
        <v>242</v>
      </c>
      <c r="O8" s="41" t="s">
        <v>242</v>
      </c>
      <c r="P8" s="41" t="s">
        <v>242</v>
      </c>
      <c r="Q8" s="41" t="s">
        <v>242</v>
      </c>
      <c r="R8" s="26"/>
      <c r="S8" s="41" t="s">
        <v>242</v>
      </c>
      <c r="T8" s="41" t="s">
        <v>242</v>
      </c>
      <c r="U8" s="41" t="s">
        <v>266</v>
      </c>
      <c r="V8" s="41" t="s">
        <v>242</v>
      </c>
      <c r="W8" s="41" t="s">
        <v>242</v>
      </c>
      <c r="X8" s="41" t="s">
        <v>242</v>
      </c>
      <c r="Y8" s="26"/>
      <c r="Z8" s="41" t="s">
        <v>266</v>
      </c>
      <c r="AA8" s="41" t="s">
        <v>242</v>
      </c>
      <c r="AB8" s="41" t="s">
        <v>242</v>
      </c>
      <c r="AC8" s="41" t="s">
        <v>242</v>
      </c>
      <c r="AD8" s="41" t="s">
        <v>242</v>
      </c>
      <c r="AE8" s="41" t="s">
        <v>266</v>
      </c>
      <c r="AF8" s="26"/>
      <c r="AG8" s="41" t="s">
        <v>266</v>
      </c>
      <c r="AH8" s="41" t="s">
        <v>242</v>
      </c>
      <c r="AI8" s="41" t="s">
        <v>242</v>
      </c>
      <c r="AJ8" s="41" t="s">
        <v>242</v>
      </c>
      <c r="AK8" s="41" t="s">
        <v>242</v>
      </c>
      <c r="AL8" s="41" t="s">
        <v>266</v>
      </c>
      <c r="AM8" s="26"/>
      <c r="AN8" s="41" t="s">
        <v>242</v>
      </c>
      <c r="AO8" s="41" t="s">
        <v>242</v>
      </c>
      <c r="AP8" s="41" t="s">
        <v>242</v>
      </c>
      <c r="AQ8" s="41" t="s">
        <v>266</v>
      </c>
      <c r="AR8" s="41" t="s">
        <v>242</v>
      </c>
      <c r="AS8" s="41" t="s">
        <v>242</v>
      </c>
      <c r="AT8" s="26"/>
      <c r="AU8" s="41" t="s">
        <v>266</v>
      </c>
      <c r="AV8" s="41" t="s">
        <v>266</v>
      </c>
      <c r="AW8" s="41" t="s">
        <v>266</v>
      </c>
      <c r="AX8" s="41" t="s">
        <v>266</v>
      </c>
      <c r="AY8" s="41" t="s">
        <v>242</v>
      </c>
      <c r="AZ8" s="41" t="s">
        <v>266</v>
      </c>
      <c r="BA8" s="41" t="s">
        <v>266</v>
      </c>
      <c r="BB8" s="41" t="s">
        <v>242</v>
      </c>
      <c r="BC8" s="41" t="s">
        <v>242</v>
      </c>
      <c r="BD8" s="51"/>
      <c r="BE8" s="41" t="s">
        <v>242</v>
      </c>
      <c r="BF8" s="41" t="s">
        <v>242</v>
      </c>
      <c r="BG8" s="41" t="s">
        <v>266</v>
      </c>
      <c r="BH8" s="26"/>
      <c r="BI8" s="41" t="s">
        <v>266</v>
      </c>
      <c r="BJ8" s="51"/>
      <c r="BK8" s="41" t="s">
        <v>242</v>
      </c>
      <c r="BL8" s="41" t="s">
        <v>266</v>
      </c>
      <c r="BM8" s="41" t="s">
        <v>266</v>
      </c>
      <c r="BN8" s="41" t="s">
        <v>242</v>
      </c>
      <c r="BO8" s="51"/>
      <c r="BP8" s="41" t="s">
        <v>266</v>
      </c>
      <c r="BQ8" s="51"/>
      <c r="BR8" s="51"/>
      <c r="BS8" s="51"/>
    </row>
    <row r="9">
      <c r="A9" s="36">
        <v>6.0</v>
      </c>
      <c r="B9" s="46" t="s">
        <v>184</v>
      </c>
      <c r="C9" s="46" t="s">
        <v>186</v>
      </c>
      <c r="D9" s="36">
        <f t="shared" si="2"/>
        <v>50</v>
      </c>
      <c r="E9" s="36">
        <f t="shared" si="3"/>
        <v>1</v>
      </c>
      <c r="F9" s="47">
        <f t="shared" si="4"/>
        <v>51</v>
      </c>
      <c r="G9" s="48">
        <f t="shared" si="5"/>
        <v>98.03921569</v>
      </c>
      <c r="H9" s="41" t="s">
        <v>242</v>
      </c>
      <c r="I9" s="41" t="s">
        <v>242</v>
      </c>
      <c r="J9" s="41" t="s">
        <v>242</v>
      </c>
      <c r="K9" s="26"/>
      <c r="L9" s="41" t="s">
        <v>242</v>
      </c>
      <c r="M9" s="41" t="s">
        <v>242</v>
      </c>
      <c r="N9" s="41" t="s">
        <v>242</v>
      </c>
      <c r="O9" s="41" t="s">
        <v>242</v>
      </c>
      <c r="P9" s="41" t="s">
        <v>242</v>
      </c>
      <c r="Q9" s="41" t="s">
        <v>242</v>
      </c>
      <c r="R9" s="26"/>
      <c r="S9" s="41" t="s">
        <v>242</v>
      </c>
      <c r="T9" s="41" t="s">
        <v>242</v>
      </c>
      <c r="U9" s="41" t="s">
        <v>242</v>
      </c>
      <c r="V9" s="41" t="s">
        <v>242</v>
      </c>
      <c r="W9" s="41" t="s">
        <v>242</v>
      </c>
      <c r="X9" s="41" t="s">
        <v>242</v>
      </c>
      <c r="Y9" s="26"/>
      <c r="Z9" s="41" t="s">
        <v>242</v>
      </c>
      <c r="AA9" s="41" t="s">
        <v>242</v>
      </c>
      <c r="AB9" s="41" t="s">
        <v>242</v>
      </c>
      <c r="AC9" s="41" t="s">
        <v>242</v>
      </c>
      <c r="AD9" s="41" t="s">
        <v>242</v>
      </c>
      <c r="AE9" s="41" t="s">
        <v>242</v>
      </c>
      <c r="AF9" s="26"/>
      <c r="AG9" s="41" t="s">
        <v>242</v>
      </c>
      <c r="AH9" s="41" t="s">
        <v>242</v>
      </c>
      <c r="AI9" s="41" t="s">
        <v>242</v>
      </c>
      <c r="AJ9" s="41" t="s">
        <v>242</v>
      </c>
      <c r="AK9" s="41" t="s">
        <v>266</v>
      </c>
      <c r="AL9" s="41" t="s">
        <v>242</v>
      </c>
      <c r="AM9" s="26"/>
      <c r="AN9" s="41" t="s">
        <v>242</v>
      </c>
      <c r="AO9" s="41" t="s">
        <v>242</v>
      </c>
      <c r="AP9" s="41" t="s">
        <v>242</v>
      </c>
      <c r="AQ9" s="41" t="s">
        <v>242</v>
      </c>
      <c r="AR9" s="41" t="s">
        <v>242</v>
      </c>
      <c r="AS9" s="41" t="s">
        <v>242</v>
      </c>
      <c r="AT9" s="26"/>
      <c r="AU9" s="41" t="s">
        <v>242</v>
      </c>
      <c r="AV9" s="41" t="s">
        <v>242</v>
      </c>
      <c r="AW9" s="41" t="s">
        <v>242</v>
      </c>
      <c r="AX9" s="41" t="s">
        <v>242</v>
      </c>
      <c r="AY9" s="41" t="s">
        <v>242</v>
      </c>
      <c r="AZ9" s="41" t="s">
        <v>242</v>
      </c>
      <c r="BA9" s="41" t="s">
        <v>242</v>
      </c>
      <c r="BB9" s="41" t="s">
        <v>242</v>
      </c>
      <c r="BC9" s="41" t="s">
        <v>242</v>
      </c>
      <c r="BD9" s="51"/>
      <c r="BE9" s="41" t="s">
        <v>242</v>
      </c>
      <c r="BF9" s="41" t="s">
        <v>242</v>
      </c>
      <c r="BG9" s="41" t="s">
        <v>242</v>
      </c>
      <c r="BH9" s="26"/>
      <c r="BI9" s="41" t="s">
        <v>242</v>
      </c>
      <c r="BJ9" s="51"/>
      <c r="BK9" s="41" t="s">
        <v>242</v>
      </c>
      <c r="BL9" s="41" t="s">
        <v>242</v>
      </c>
      <c r="BM9" s="41" t="s">
        <v>242</v>
      </c>
      <c r="BN9" s="41" t="s">
        <v>242</v>
      </c>
      <c r="BO9" s="51"/>
      <c r="BP9" s="41" t="s">
        <v>242</v>
      </c>
      <c r="BQ9" s="51"/>
      <c r="BR9" s="51"/>
      <c r="BS9" s="51"/>
    </row>
    <row r="10">
      <c r="A10" s="36">
        <v>7.0</v>
      </c>
      <c r="B10" s="46" t="s">
        <v>203</v>
      </c>
      <c r="C10" s="46" t="s">
        <v>205</v>
      </c>
      <c r="D10" s="36">
        <f t="shared" si="2"/>
        <v>21</v>
      </c>
      <c r="E10" s="36">
        <f t="shared" si="3"/>
        <v>30</v>
      </c>
      <c r="F10" s="47">
        <f t="shared" si="4"/>
        <v>51</v>
      </c>
      <c r="G10" s="48">
        <f t="shared" si="5"/>
        <v>41.17647059</v>
      </c>
      <c r="H10" s="41" t="s">
        <v>242</v>
      </c>
      <c r="I10" s="41" t="s">
        <v>242</v>
      </c>
      <c r="J10" s="41" t="s">
        <v>242</v>
      </c>
      <c r="K10" s="26"/>
      <c r="L10" s="41" t="s">
        <v>242</v>
      </c>
      <c r="M10" s="41" t="s">
        <v>242</v>
      </c>
      <c r="N10" s="41" t="s">
        <v>266</v>
      </c>
      <c r="O10" s="41" t="s">
        <v>266</v>
      </c>
      <c r="P10" s="41" t="s">
        <v>242</v>
      </c>
      <c r="Q10" s="41" t="s">
        <v>242</v>
      </c>
      <c r="R10" s="26"/>
      <c r="S10" s="41" t="s">
        <v>242</v>
      </c>
      <c r="T10" s="41" t="s">
        <v>242</v>
      </c>
      <c r="U10" s="41" t="s">
        <v>242</v>
      </c>
      <c r="V10" s="41" t="s">
        <v>242</v>
      </c>
      <c r="W10" s="41" t="s">
        <v>266</v>
      </c>
      <c r="X10" s="41" t="s">
        <v>266</v>
      </c>
      <c r="Y10" s="26"/>
      <c r="Z10" s="41" t="s">
        <v>266</v>
      </c>
      <c r="AA10" s="41" t="s">
        <v>266</v>
      </c>
      <c r="AB10" s="41" t="s">
        <v>242</v>
      </c>
      <c r="AC10" s="41" t="s">
        <v>242</v>
      </c>
      <c r="AD10" s="41" t="s">
        <v>266</v>
      </c>
      <c r="AE10" s="41" t="s">
        <v>242</v>
      </c>
      <c r="AF10" s="26"/>
      <c r="AG10" s="41" t="s">
        <v>266</v>
      </c>
      <c r="AH10" s="41" t="s">
        <v>266</v>
      </c>
      <c r="AI10" s="41" t="s">
        <v>242</v>
      </c>
      <c r="AJ10" s="41" t="s">
        <v>242</v>
      </c>
      <c r="AK10" s="41" t="s">
        <v>266</v>
      </c>
      <c r="AL10" s="41" t="s">
        <v>266</v>
      </c>
      <c r="AM10" s="26"/>
      <c r="AN10" s="41" t="s">
        <v>266</v>
      </c>
      <c r="AO10" s="41" t="s">
        <v>266</v>
      </c>
      <c r="AP10" s="41" t="s">
        <v>266</v>
      </c>
      <c r="AQ10" s="41" t="s">
        <v>266</v>
      </c>
      <c r="AR10" s="41" t="s">
        <v>266</v>
      </c>
      <c r="AS10" s="41" t="s">
        <v>242</v>
      </c>
      <c r="AT10" s="26"/>
      <c r="AU10" s="41" t="s">
        <v>242</v>
      </c>
      <c r="AV10" s="41" t="s">
        <v>242</v>
      </c>
      <c r="AW10" s="41" t="s">
        <v>266</v>
      </c>
      <c r="AX10" s="41" t="s">
        <v>266</v>
      </c>
      <c r="AY10" s="41" t="s">
        <v>266</v>
      </c>
      <c r="AZ10" s="41" t="s">
        <v>266</v>
      </c>
      <c r="BA10" s="41" t="s">
        <v>266</v>
      </c>
      <c r="BB10" s="41" t="s">
        <v>266</v>
      </c>
      <c r="BC10" s="41" t="s">
        <v>266</v>
      </c>
      <c r="BD10" s="51"/>
      <c r="BE10" s="41" t="s">
        <v>266</v>
      </c>
      <c r="BF10" s="41" t="s">
        <v>242</v>
      </c>
      <c r="BG10" s="41" t="s">
        <v>266</v>
      </c>
      <c r="BH10" s="26"/>
      <c r="BI10" s="41" t="s">
        <v>266</v>
      </c>
      <c r="BJ10" s="51"/>
      <c r="BK10" s="41" t="s">
        <v>266</v>
      </c>
      <c r="BL10" s="41" t="s">
        <v>242</v>
      </c>
      <c r="BM10" s="41" t="s">
        <v>266</v>
      </c>
      <c r="BN10" s="41" t="s">
        <v>266</v>
      </c>
      <c r="BO10" s="51"/>
      <c r="BP10" s="41" t="s">
        <v>266</v>
      </c>
      <c r="BQ10" s="51"/>
      <c r="BR10" s="51"/>
      <c r="BS10" s="51"/>
    </row>
    <row r="11">
      <c r="A11" s="36">
        <v>8.0</v>
      </c>
      <c r="B11" s="46" t="s">
        <v>226</v>
      </c>
      <c r="C11" s="46" t="s">
        <v>227</v>
      </c>
      <c r="D11" s="36">
        <f t="shared" si="2"/>
        <v>44</v>
      </c>
      <c r="E11" s="36">
        <f t="shared" si="3"/>
        <v>7</v>
      </c>
      <c r="F11" s="47">
        <f t="shared" si="4"/>
        <v>51</v>
      </c>
      <c r="G11" s="48">
        <f t="shared" si="5"/>
        <v>86.2745098</v>
      </c>
      <c r="H11" s="41" t="s">
        <v>242</v>
      </c>
      <c r="I11" s="41" t="s">
        <v>242</v>
      </c>
      <c r="J11" s="41" t="s">
        <v>242</v>
      </c>
      <c r="K11" s="26"/>
      <c r="L11" s="41" t="s">
        <v>242</v>
      </c>
      <c r="M11" s="41" t="s">
        <v>242</v>
      </c>
      <c r="N11" s="41" t="s">
        <v>242</v>
      </c>
      <c r="O11" s="41" t="s">
        <v>242</v>
      </c>
      <c r="P11" s="41" t="s">
        <v>242</v>
      </c>
      <c r="Q11" s="41" t="s">
        <v>242</v>
      </c>
      <c r="R11" s="26"/>
      <c r="S11" s="41" t="s">
        <v>242</v>
      </c>
      <c r="T11" s="41" t="s">
        <v>242</v>
      </c>
      <c r="U11" s="41" t="s">
        <v>242</v>
      </c>
      <c r="V11" s="41" t="s">
        <v>242</v>
      </c>
      <c r="W11" s="41" t="s">
        <v>242</v>
      </c>
      <c r="X11" s="41" t="s">
        <v>242</v>
      </c>
      <c r="Y11" s="26"/>
      <c r="Z11" s="41" t="s">
        <v>242</v>
      </c>
      <c r="AA11" s="41" t="s">
        <v>242</v>
      </c>
      <c r="AB11" s="41" t="s">
        <v>242</v>
      </c>
      <c r="AC11" s="41" t="s">
        <v>242</v>
      </c>
      <c r="AD11" s="41" t="s">
        <v>242</v>
      </c>
      <c r="AE11" s="41" t="s">
        <v>266</v>
      </c>
      <c r="AF11" s="26"/>
      <c r="AG11" s="41" t="s">
        <v>266</v>
      </c>
      <c r="AH11" s="41" t="s">
        <v>242</v>
      </c>
      <c r="AI11" s="41" t="s">
        <v>242</v>
      </c>
      <c r="AJ11" s="41" t="s">
        <v>242</v>
      </c>
      <c r="AK11" s="41" t="s">
        <v>242</v>
      </c>
      <c r="AL11" s="41" t="s">
        <v>266</v>
      </c>
      <c r="AM11" s="26"/>
      <c r="AN11" s="41" t="s">
        <v>242</v>
      </c>
      <c r="AO11" s="41" t="s">
        <v>242</v>
      </c>
      <c r="AP11" s="41" t="s">
        <v>242</v>
      </c>
      <c r="AQ11" s="41" t="s">
        <v>242</v>
      </c>
      <c r="AR11" s="41" t="s">
        <v>242</v>
      </c>
      <c r="AS11" s="41" t="s">
        <v>242</v>
      </c>
      <c r="AT11" s="26"/>
      <c r="AU11" s="41" t="s">
        <v>242</v>
      </c>
      <c r="AV11" s="41" t="s">
        <v>242</v>
      </c>
      <c r="AW11" s="41" t="s">
        <v>242</v>
      </c>
      <c r="AX11" s="41" t="s">
        <v>242</v>
      </c>
      <c r="AY11" s="41" t="s">
        <v>242</v>
      </c>
      <c r="AZ11" s="41" t="s">
        <v>242</v>
      </c>
      <c r="BA11" s="41" t="s">
        <v>242</v>
      </c>
      <c r="BB11" s="41" t="s">
        <v>242</v>
      </c>
      <c r="BC11" s="41" t="s">
        <v>242</v>
      </c>
      <c r="BD11" s="51"/>
      <c r="BE11" s="41" t="s">
        <v>242</v>
      </c>
      <c r="BF11" s="41" t="s">
        <v>242</v>
      </c>
      <c r="BG11" s="41" t="s">
        <v>242</v>
      </c>
      <c r="BH11" s="26"/>
      <c r="BI11" s="41" t="s">
        <v>242</v>
      </c>
      <c r="BJ11" s="51"/>
      <c r="BK11" s="41" t="s">
        <v>242</v>
      </c>
      <c r="BL11" s="41" t="s">
        <v>266</v>
      </c>
      <c r="BM11" s="41" t="s">
        <v>266</v>
      </c>
      <c r="BN11" s="41" t="s">
        <v>266</v>
      </c>
      <c r="BO11" s="51"/>
      <c r="BP11" s="41" t="s">
        <v>266</v>
      </c>
      <c r="BQ11" s="51"/>
      <c r="BR11" s="51"/>
      <c r="BS11" s="51"/>
    </row>
    <row r="12">
      <c r="A12" s="36">
        <v>9.0</v>
      </c>
      <c r="B12" s="46" t="s">
        <v>234</v>
      </c>
      <c r="C12" s="46" t="s">
        <v>236</v>
      </c>
      <c r="D12" s="36">
        <f t="shared" si="2"/>
        <v>26</v>
      </c>
      <c r="E12" s="36">
        <f t="shared" si="3"/>
        <v>25</v>
      </c>
      <c r="F12" s="47">
        <f t="shared" si="4"/>
        <v>51</v>
      </c>
      <c r="G12" s="48">
        <f t="shared" si="5"/>
        <v>50.98039216</v>
      </c>
      <c r="H12" s="41" t="s">
        <v>242</v>
      </c>
      <c r="I12" s="41" t="s">
        <v>242</v>
      </c>
      <c r="J12" s="41" t="s">
        <v>242</v>
      </c>
      <c r="K12" s="26"/>
      <c r="L12" s="41" t="s">
        <v>242</v>
      </c>
      <c r="M12" s="41" t="s">
        <v>242</v>
      </c>
      <c r="N12" s="41" t="s">
        <v>242</v>
      </c>
      <c r="O12" s="41" t="s">
        <v>242</v>
      </c>
      <c r="P12" s="41" t="s">
        <v>266</v>
      </c>
      <c r="Q12" s="41" t="s">
        <v>242</v>
      </c>
      <c r="R12" s="26"/>
      <c r="S12" s="41" t="s">
        <v>266</v>
      </c>
      <c r="T12" s="41" t="s">
        <v>242</v>
      </c>
      <c r="U12" s="41" t="s">
        <v>266</v>
      </c>
      <c r="V12" s="41" t="s">
        <v>242</v>
      </c>
      <c r="W12" s="41" t="s">
        <v>242</v>
      </c>
      <c r="X12" s="41" t="s">
        <v>242</v>
      </c>
      <c r="Y12" s="26"/>
      <c r="Z12" s="41" t="s">
        <v>242</v>
      </c>
      <c r="AA12" s="41" t="s">
        <v>242</v>
      </c>
      <c r="AB12" s="41" t="s">
        <v>242</v>
      </c>
      <c r="AC12" s="41" t="s">
        <v>266</v>
      </c>
      <c r="AD12" s="41" t="s">
        <v>266</v>
      </c>
      <c r="AE12" s="41" t="s">
        <v>242</v>
      </c>
      <c r="AF12" s="26"/>
      <c r="AG12" s="41" t="s">
        <v>242</v>
      </c>
      <c r="AH12" s="41" t="s">
        <v>266</v>
      </c>
      <c r="AI12" s="41" t="s">
        <v>242</v>
      </c>
      <c r="AJ12" s="41" t="s">
        <v>242</v>
      </c>
      <c r="AK12" s="41" t="s">
        <v>266</v>
      </c>
      <c r="AL12" s="41" t="s">
        <v>242</v>
      </c>
      <c r="AM12" s="26"/>
      <c r="AN12" s="41" t="s">
        <v>365</v>
      </c>
      <c r="AO12" s="41" t="s">
        <v>242</v>
      </c>
      <c r="AP12" s="41" t="s">
        <v>266</v>
      </c>
      <c r="AQ12" s="41" t="s">
        <v>242</v>
      </c>
      <c r="AR12" s="41" t="s">
        <v>242</v>
      </c>
      <c r="AS12" s="41" t="s">
        <v>266</v>
      </c>
      <c r="AT12" s="26"/>
      <c r="AU12" s="41" t="s">
        <v>266</v>
      </c>
      <c r="AV12" s="41" t="s">
        <v>242</v>
      </c>
      <c r="AW12" s="41" t="s">
        <v>266</v>
      </c>
      <c r="AX12" s="41" t="s">
        <v>266</v>
      </c>
      <c r="AY12" s="41" t="s">
        <v>266</v>
      </c>
      <c r="AZ12" s="41" t="s">
        <v>266</v>
      </c>
      <c r="BA12" s="41" t="s">
        <v>266</v>
      </c>
      <c r="BB12" s="41" t="s">
        <v>266</v>
      </c>
      <c r="BC12" s="41" t="s">
        <v>266</v>
      </c>
      <c r="BD12" s="51"/>
      <c r="BE12" s="41" t="s">
        <v>266</v>
      </c>
      <c r="BF12" s="41" t="s">
        <v>266</v>
      </c>
      <c r="BG12" s="41" t="s">
        <v>266</v>
      </c>
      <c r="BH12" s="26"/>
      <c r="BI12" s="41" t="s">
        <v>266</v>
      </c>
      <c r="BJ12" s="51"/>
      <c r="BK12" s="41" t="s">
        <v>266</v>
      </c>
      <c r="BL12" s="41" t="s">
        <v>266</v>
      </c>
      <c r="BM12" s="41" t="s">
        <v>242</v>
      </c>
      <c r="BN12" s="41" t="s">
        <v>266</v>
      </c>
      <c r="BO12" s="51"/>
      <c r="BP12" s="41" t="s">
        <v>266</v>
      </c>
      <c r="BQ12" s="51"/>
      <c r="BR12" s="51"/>
      <c r="BS12" s="51"/>
    </row>
    <row r="13">
      <c r="A13" s="36">
        <v>10.0</v>
      </c>
      <c r="B13" s="46" t="s">
        <v>245</v>
      </c>
      <c r="C13" s="46" t="s">
        <v>246</v>
      </c>
      <c r="D13" s="36">
        <f t="shared" si="2"/>
        <v>50</v>
      </c>
      <c r="E13" s="36">
        <f t="shared" si="3"/>
        <v>1</v>
      </c>
      <c r="F13" s="47">
        <f t="shared" si="4"/>
        <v>51</v>
      </c>
      <c r="G13" s="48">
        <f t="shared" si="5"/>
        <v>98.03921569</v>
      </c>
      <c r="H13" s="41" t="s">
        <v>242</v>
      </c>
      <c r="I13" s="41" t="s">
        <v>242</v>
      </c>
      <c r="J13" s="41" t="s">
        <v>242</v>
      </c>
      <c r="K13" s="26"/>
      <c r="L13" s="41" t="s">
        <v>242</v>
      </c>
      <c r="M13" s="41" t="s">
        <v>242</v>
      </c>
      <c r="N13" s="41" t="s">
        <v>242</v>
      </c>
      <c r="O13" s="41" t="s">
        <v>242</v>
      </c>
      <c r="P13" s="41" t="s">
        <v>242</v>
      </c>
      <c r="Q13" s="41" t="s">
        <v>242</v>
      </c>
      <c r="R13" s="26"/>
      <c r="S13" s="41" t="s">
        <v>242</v>
      </c>
      <c r="T13" s="41" t="s">
        <v>242</v>
      </c>
      <c r="U13" s="41" t="s">
        <v>242</v>
      </c>
      <c r="V13" s="41" t="s">
        <v>242</v>
      </c>
      <c r="W13" s="41" t="s">
        <v>242</v>
      </c>
      <c r="X13" s="41" t="s">
        <v>242</v>
      </c>
      <c r="Y13" s="26"/>
      <c r="Z13" s="41" t="s">
        <v>242</v>
      </c>
      <c r="AA13" s="41" t="s">
        <v>266</v>
      </c>
      <c r="AB13" s="41" t="s">
        <v>242</v>
      </c>
      <c r="AC13" s="41" t="s">
        <v>242</v>
      </c>
      <c r="AD13" s="41" t="s">
        <v>242</v>
      </c>
      <c r="AE13" s="41" t="s">
        <v>242</v>
      </c>
      <c r="AF13" s="26"/>
      <c r="AG13" s="41" t="s">
        <v>242</v>
      </c>
      <c r="AH13" s="41" t="s">
        <v>242</v>
      </c>
      <c r="AI13" s="41" t="s">
        <v>242</v>
      </c>
      <c r="AJ13" s="41" t="s">
        <v>242</v>
      </c>
      <c r="AK13" s="41" t="s">
        <v>242</v>
      </c>
      <c r="AL13" s="41" t="s">
        <v>242</v>
      </c>
      <c r="AM13" s="26"/>
      <c r="AN13" s="41" t="s">
        <v>242</v>
      </c>
      <c r="AO13" s="41" t="s">
        <v>242</v>
      </c>
      <c r="AP13" s="41" t="s">
        <v>242</v>
      </c>
      <c r="AQ13" s="41" t="s">
        <v>242</v>
      </c>
      <c r="AR13" s="41" t="s">
        <v>242</v>
      </c>
      <c r="AS13" s="41" t="s">
        <v>242</v>
      </c>
      <c r="AT13" s="26"/>
      <c r="AU13" s="41" t="s">
        <v>242</v>
      </c>
      <c r="AV13" s="41" t="s">
        <v>242</v>
      </c>
      <c r="AW13" s="41" t="s">
        <v>242</v>
      </c>
      <c r="AX13" s="41" t="s">
        <v>242</v>
      </c>
      <c r="AY13" s="41" t="s">
        <v>242</v>
      </c>
      <c r="AZ13" s="41" t="s">
        <v>242</v>
      </c>
      <c r="BA13" s="41" t="s">
        <v>242</v>
      </c>
      <c r="BB13" s="41" t="s">
        <v>242</v>
      </c>
      <c r="BC13" s="41" t="s">
        <v>242</v>
      </c>
      <c r="BD13" s="51"/>
      <c r="BE13" s="41" t="s">
        <v>242</v>
      </c>
      <c r="BF13" s="41" t="s">
        <v>242</v>
      </c>
      <c r="BG13" s="41" t="s">
        <v>242</v>
      </c>
      <c r="BH13" s="26"/>
      <c r="BI13" s="41" t="s">
        <v>242</v>
      </c>
      <c r="BJ13" s="51"/>
      <c r="BK13" s="41" t="s">
        <v>242</v>
      </c>
      <c r="BL13" s="41" t="s">
        <v>242</v>
      </c>
      <c r="BM13" s="41" t="s">
        <v>242</v>
      </c>
      <c r="BN13" s="41" t="s">
        <v>242</v>
      </c>
      <c r="BO13" s="51"/>
      <c r="BP13" s="41" t="s">
        <v>242</v>
      </c>
      <c r="BQ13" s="51"/>
      <c r="BR13" s="51"/>
      <c r="BS13" s="51"/>
    </row>
    <row r="14">
      <c r="A14" s="36">
        <v>11.0</v>
      </c>
      <c r="B14" s="46" t="s">
        <v>253</v>
      </c>
      <c r="C14" s="46" t="s">
        <v>254</v>
      </c>
      <c r="D14" s="36">
        <f t="shared" si="2"/>
        <v>47</v>
      </c>
      <c r="E14" s="36">
        <f t="shared" si="3"/>
        <v>4</v>
      </c>
      <c r="F14" s="47">
        <f t="shared" si="4"/>
        <v>51</v>
      </c>
      <c r="G14" s="48">
        <f t="shared" si="5"/>
        <v>92.15686275</v>
      </c>
      <c r="H14" s="41" t="s">
        <v>242</v>
      </c>
      <c r="I14" s="41" t="s">
        <v>242</v>
      </c>
      <c r="J14" s="41" t="s">
        <v>242</v>
      </c>
      <c r="K14" s="26"/>
      <c r="L14" s="41" t="s">
        <v>242</v>
      </c>
      <c r="M14" s="41" t="s">
        <v>242</v>
      </c>
      <c r="N14" s="41" t="s">
        <v>242</v>
      </c>
      <c r="O14" s="41" t="s">
        <v>242</v>
      </c>
      <c r="P14" s="41" t="s">
        <v>242</v>
      </c>
      <c r="Q14" s="41" t="s">
        <v>242</v>
      </c>
      <c r="R14" s="26"/>
      <c r="S14" s="41" t="s">
        <v>242</v>
      </c>
      <c r="T14" s="41" t="s">
        <v>242</v>
      </c>
      <c r="U14" s="41" t="s">
        <v>242</v>
      </c>
      <c r="V14" s="41" t="s">
        <v>242</v>
      </c>
      <c r="W14" s="41" t="s">
        <v>242</v>
      </c>
      <c r="X14" s="41" t="s">
        <v>242</v>
      </c>
      <c r="Y14" s="26"/>
      <c r="Z14" s="41" t="s">
        <v>242</v>
      </c>
      <c r="AA14" s="41" t="s">
        <v>242</v>
      </c>
      <c r="AB14" s="41" t="s">
        <v>242</v>
      </c>
      <c r="AC14" s="41" t="s">
        <v>242</v>
      </c>
      <c r="AD14" s="41" t="s">
        <v>242</v>
      </c>
      <c r="AE14" s="41" t="s">
        <v>242</v>
      </c>
      <c r="AF14" s="26"/>
      <c r="AG14" s="41" t="s">
        <v>242</v>
      </c>
      <c r="AH14" s="41" t="s">
        <v>242</v>
      </c>
      <c r="AI14" s="41" t="s">
        <v>242</v>
      </c>
      <c r="AJ14" s="41" t="s">
        <v>242</v>
      </c>
      <c r="AK14" s="41" t="s">
        <v>266</v>
      </c>
      <c r="AL14" s="41" t="s">
        <v>266</v>
      </c>
      <c r="AM14" s="26"/>
      <c r="AN14" s="41" t="s">
        <v>266</v>
      </c>
      <c r="AO14" s="41" t="s">
        <v>266</v>
      </c>
      <c r="AP14" s="41" t="s">
        <v>242</v>
      </c>
      <c r="AQ14" s="41" t="s">
        <v>242</v>
      </c>
      <c r="AR14" s="41" t="s">
        <v>242</v>
      </c>
      <c r="AS14" s="41" t="s">
        <v>242</v>
      </c>
      <c r="AT14" s="26"/>
      <c r="AU14" s="41" t="s">
        <v>242</v>
      </c>
      <c r="AV14" s="41" t="s">
        <v>242</v>
      </c>
      <c r="AW14" s="41" t="s">
        <v>242</v>
      </c>
      <c r="AX14" s="41" t="s">
        <v>242</v>
      </c>
      <c r="AY14" s="41" t="s">
        <v>242</v>
      </c>
      <c r="AZ14" s="41" t="s">
        <v>242</v>
      </c>
      <c r="BA14" s="41" t="s">
        <v>242</v>
      </c>
      <c r="BB14" s="41" t="s">
        <v>242</v>
      </c>
      <c r="BC14" s="41" t="s">
        <v>242</v>
      </c>
      <c r="BD14" s="51"/>
      <c r="BE14" s="41" t="s">
        <v>242</v>
      </c>
      <c r="BF14" s="41" t="s">
        <v>242</v>
      </c>
      <c r="BG14" s="41" t="s">
        <v>242</v>
      </c>
      <c r="BH14" s="26"/>
      <c r="BI14" s="41" t="s">
        <v>242</v>
      </c>
      <c r="BJ14" s="51"/>
      <c r="BK14" s="41" t="s">
        <v>242</v>
      </c>
      <c r="BL14" s="41" t="s">
        <v>242</v>
      </c>
      <c r="BM14" s="41" t="s">
        <v>242</v>
      </c>
      <c r="BN14" s="41" t="s">
        <v>242</v>
      </c>
      <c r="BO14" s="51"/>
      <c r="BP14" s="41" t="s">
        <v>242</v>
      </c>
      <c r="BQ14" s="51"/>
      <c r="BR14" s="51"/>
      <c r="BS14" s="51"/>
    </row>
    <row r="15">
      <c r="A15" s="36">
        <v>12.0</v>
      </c>
      <c r="B15" s="46" t="s">
        <v>261</v>
      </c>
      <c r="C15" s="46" t="s">
        <v>262</v>
      </c>
      <c r="D15" s="36">
        <f t="shared" si="2"/>
        <v>49</v>
      </c>
      <c r="E15" s="36">
        <f t="shared" si="3"/>
        <v>2</v>
      </c>
      <c r="F15" s="47">
        <f t="shared" si="4"/>
        <v>51</v>
      </c>
      <c r="G15" s="48">
        <f t="shared" si="5"/>
        <v>96.07843137</v>
      </c>
      <c r="H15" s="41" t="s">
        <v>242</v>
      </c>
      <c r="I15" s="41" t="s">
        <v>242</v>
      </c>
      <c r="J15" s="41" t="s">
        <v>242</v>
      </c>
      <c r="K15" s="26"/>
      <c r="L15" s="41" t="s">
        <v>242</v>
      </c>
      <c r="M15" s="41" t="s">
        <v>242</v>
      </c>
      <c r="N15" s="41" t="s">
        <v>242</v>
      </c>
      <c r="O15" s="41" t="s">
        <v>242</v>
      </c>
      <c r="P15" s="41" t="s">
        <v>242</v>
      </c>
      <c r="Q15" s="41" t="s">
        <v>242</v>
      </c>
      <c r="R15" s="26"/>
      <c r="S15" s="41" t="s">
        <v>242</v>
      </c>
      <c r="T15" s="41" t="s">
        <v>242</v>
      </c>
      <c r="U15" s="41" t="s">
        <v>242</v>
      </c>
      <c r="V15" s="41" t="s">
        <v>242</v>
      </c>
      <c r="W15" s="41" t="s">
        <v>242</v>
      </c>
      <c r="X15" s="41" t="s">
        <v>242</v>
      </c>
      <c r="Y15" s="26"/>
      <c r="Z15" s="41" t="s">
        <v>242</v>
      </c>
      <c r="AA15" s="41" t="s">
        <v>242</v>
      </c>
      <c r="AB15" s="41" t="s">
        <v>242</v>
      </c>
      <c r="AC15" s="41" t="s">
        <v>242</v>
      </c>
      <c r="AD15" s="41" t="s">
        <v>242</v>
      </c>
      <c r="AE15" s="41" t="s">
        <v>242</v>
      </c>
      <c r="AF15" s="26"/>
      <c r="AG15" s="41" t="s">
        <v>242</v>
      </c>
      <c r="AH15" s="41" t="s">
        <v>266</v>
      </c>
      <c r="AI15" s="41" t="s">
        <v>242</v>
      </c>
      <c r="AJ15" s="41" t="s">
        <v>242</v>
      </c>
      <c r="AK15" s="41" t="s">
        <v>242</v>
      </c>
      <c r="AL15" s="41" t="s">
        <v>266</v>
      </c>
      <c r="AM15" s="26"/>
      <c r="AN15" s="41" t="s">
        <v>242</v>
      </c>
      <c r="AO15" s="41" t="s">
        <v>242</v>
      </c>
      <c r="AP15" s="41" t="s">
        <v>242</v>
      </c>
      <c r="AQ15" s="41" t="s">
        <v>242</v>
      </c>
      <c r="AR15" s="41" t="s">
        <v>242</v>
      </c>
      <c r="AS15" s="41" t="s">
        <v>242</v>
      </c>
      <c r="AT15" s="26"/>
      <c r="AU15" s="41" t="s">
        <v>242</v>
      </c>
      <c r="AV15" s="41" t="s">
        <v>242</v>
      </c>
      <c r="AW15" s="41" t="s">
        <v>242</v>
      </c>
      <c r="AX15" s="41" t="s">
        <v>242</v>
      </c>
      <c r="AY15" s="41" t="s">
        <v>242</v>
      </c>
      <c r="AZ15" s="41" t="s">
        <v>242</v>
      </c>
      <c r="BA15" s="41" t="s">
        <v>242</v>
      </c>
      <c r="BB15" s="41" t="s">
        <v>242</v>
      </c>
      <c r="BC15" s="41" t="s">
        <v>242</v>
      </c>
      <c r="BD15" s="51"/>
      <c r="BE15" s="41" t="s">
        <v>242</v>
      </c>
      <c r="BF15" s="41" t="s">
        <v>242</v>
      </c>
      <c r="BG15" s="41" t="s">
        <v>242</v>
      </c>
      <c r="BH15" s="26"/>
      <c r="BI15" s="41" t="s">
        <v>242</v>
      </c>
      <c r="BJ15" s="51"/>
      <c r="BK15" s="41" t="s">
        <v>242</v>
      </c>
      <c r="BL15" s="41" t="s">
        <v>242</v>
      </c>
      <c r="BM15" s="41" t="s">
        <v>242</v>
      </c>
      <c r="BN15" s="41" t="s">
        <v>242</v>
      </c>
      <c r="BO15" s="51"/>
      <c r="BP15" s="41" t="s">
        <v>242</v>
      </c>
      <c r="BQ15" s="51"/>
      <c r="BR15" s="51"/>
      <c r="BS15" s="51"/>
    </row>
    <row r="16">
      <c r="A16" s="36"/>
      <c r="B16" s="58"/>
      <c r="C16" s="58"/>
      <c r="D16" s="47"/>
      <c r="E16" s="47"/>
      <c r="F16" s="47"/>
      <c r="G16" s="48"/>
      <c r="H16" s="59"/>
      <c r="I16" s="51"/>
      <c r="J16" s="51"/>
      <c r="K16" s="60"/>
      <c r="L16" s="51"/>
      <c r="M16" s="51"/>
      <c r="N16" s="51"/>
      <c r="O16" s="51"/>
      <c r="P16" s="51"/>
      <c r="Q16" s="51"/>
      <c r="R16" s="61"/>
      <c r="S16" s="51"/>
      <c r="T16" s="51"/>
      <c r="U16" s="51"/>
      <c r="V16" s="51"/>
      <c r="W16" s="51"/>
      <c r="X16" s="51"/>
      <c r="Y16" s="61"/>
      <c r="Z16" s="51"/>
      <c r="AA16" s="51"/>
      <c r="AB16" s="51"/>
      <c r="AC16" s="51"/>
      <c r="AD16" s="51"/>
      <c r="AE16" s="51"/>
      <c r="AF16" s="61"/>
      <c r="AG16" s="51"/>
      <c r="AH16" s="51"/>
      <c r="AI16" s="51"/>
      <c r="AJ16" s="51"/>
      <c r="AK16" s="51"/>
      <c r="AL16" s="51"/>
      <c r="AM16" s="6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</row>
    <row r="17">
      <c r="G17" s="62"/>
    </row>
    <row r="18">
      <c r="G18" s="62"/>
    </row>
    <row r="19">
      <c r="E19" s="35" t="str">
        <f>IFERROR(__xludf.DUMMYFUNCTION("FILTER(B2:C15,G2:G15&lt;=50)"),"")</f>
        <v/>
      </c>
      <c r="F19" s="35"/>
      <c r="G19" s="62"/>
    </row>
    <row r="20">
      <c r="E20" s="35"/>
      <c r="F20" s="35"/>
      <c r="G20" s="62"/>
    </row>
    <row r="21">
      <c r="E21" s="35" t="str">
        <f>IFERROR(__xludf.DUMMYFUNCTION("""COMPUTED_VALUE"""),"Mohammed Touseef")</f>
        <v>Mohammed Touseef</v>
      </c>
      <c r="F21" s="35" t="str">
        <f>IFERROR(__xludf.DUMMYFUNCTION("""COMPUTED_VALUE"""),"24EACAD058")</f>
        <v>24EACAD058</v>
      </c>
      <c r="G21" s="62"/>
    </row>
    <row r="22">
      <c r="G22" s="62"/>
    </row>
    <row r="23">
      <c r="G23" s="62"/>
    </row>
    <row r="24">
      <c r="G24" s="62"/>
    </row>
    <row r="25">
      <c r="G25" s="62"/>
    </row>
    <row r="26">
      <c r="G26" s="62"/>
    </row>
    <row r="27">
      <c r="G27" s="62"/>
    </row>
    <row r="28">
      <c r="G28" s="62"/>
    </row>
    <row r="29">
      <c r="G29" s="62"/>
    </row>
    <row r="30">
      <c r="G30" s="62"/>
    </row>
    <row r="31">
      <c r="G31" s="62"/>
    </row>
    <row r="32">
      <c r="G32" s="62"/>
    </row>
    <row r="33">
      <c r="G33" s="62"/>
    </row>
    <row r="34">
      <c r="G34" s="62"/>
    </row>
    <row r="35">
      <c r="G35" s="62"/>
    </row>
    <row r="36">
      <c r="G36" s="62"/>
    </row>
    <row r="37">
      <c r="G37" s="62"/>
    </row>
    <row r="38">
      <c r="G38" s="62"/>
    </row>
    <row r="39">
      <c r="G39" s="62"/>
    </row>
    <row r="40">
      <c r="G40" s="62"/>
    </row>
    <row r="41">
      <c r="G41" s="62"/>
    </row>
    <row r="42">
      <c r="G42" s="62"/>
    </row>
    <row r="43">
      <c r="G43" s="62"/>
    </row>
    <row r="44">
      <c r="G44" s="62"/>
    </row>
    <row r="45">
      <c r="G45" s="62"/>
    </row>
    <row r="46">
      <c r="G46" s="62"/>
    </row>
  </sheetData>
  <mergeCells count="17">
    <mergeCell ref="H1:K1"/>
    <mergeCell ref="L1:AO1"/>
    <mergeCell ref="AP1:BS1"/>
    <mergeCell ref="K4:K15"/>
    <mergeCell ref="R4:R15"/>
    <mergeCell ref="Y4:Y15"/>
    <mergeCell ref="AF4:AF15"/>
    <mergeCell ref="AM4:AM15"/>
    <mergeCell ref="AT4:AT15"/>
    <mergeCell ref="BH4:BH15"/>
    <mergeCell ref="A1:A3"/>
    <mergeCell ref="B1:B3"/>
    <mergeCell ref="C1:C3"/>
    <mergeCell ref="D1:D3"/>
    <mergeCell ref="E1:E3"/>
    <mergeCell ref="F1:F3"/>
    <mergeCell ref="G1:G3"/>
  </mergeCells>
  <conditionalFormatting sqref="G4:BS20">
    <cfRule type="beginsWith" dxfId="0" priority="1" operator="beginsWith" text="A">
      <formula>LEFT((G4),LEN("A"))=("A")</formula>
    </cfRule>
  </conditionalFormatting>
  <conditionalFormatting sqref="G4:BS20">
    <cfRule type="beginsWith" dxfId="1" priority="2" operator="beginsWith" text="p">
      <formula>LEFT((G4),LEN("p"))=("p")</formula>
    </cfRule>
  </conditionalFormatting>
  <conditionalFormatting sqref="G4:BS20">
    <cfRule type="beginsWith" dxfId="2" priority="3" operator="beginsWith" text="op">
      <formula>LEFT((G4),LEN("op"))=("op")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0.75"/>
    <col customWidth="1" min="4" max="4" width="36.75"/>
    <col customWidth="1" min="5" max="5" width="22.63"/>
  </cols>
  <sheetData>
    <row r="1">
      <c r="A1" s="3" t="s">
        <v>1</v>
      </c>
      <c r="B1" s="3" t="s">
        <v>3</v>
      </c>
      <c r="C1" s="3" t="s">
        <v>5</v>
      </c>
      <c r="D1" s="3" t="s">
        <v>6</v>
      </c>
      <c r="E1" s="3" t="s">
        <v>8</v>
      </c>
    </row>
    <row r="2">
      <c r="A2" s="8">
        <v>1.0</v>
      </c>
      <c r="B2" s="9" t="s">
        <v>12</v>
      </c>
      <c r="C2" s="9" t="s">
        <v>15</v>
      </c>
      <c r="D2" s="9"/>
      <c r="E2" s="9" t="s">
        <v>17</v>
      </c>
    </row>
    <row r="3">
      <c r="A3" s="8">
        <v>2.0</v>
      </c>
      <c r="B3" s="9" t="s">
        <v>19</v>
      </c>
      <c r="C3" s="9" t="s">
        <v>20</v>
      </c>
      <c r="D3" s="9"/>
      <c r="E3" s="9" t="s">
        <v>17</v>
      </c>
    </row>
    <row r="4">
      <c r="A4" s="8">
        <v>3.0</v>
      </c>
      <c r="B4" s="9" t="s">
        <v>23</v>
      </c>
      <c r="C4" s="9" t="s">
        <v>25</v>
      </c>
      <c r="D4" s="9"/>
      <c r="E4" s="9" t="s">
        <v>17</v>
      </c>
    </row>
    <row r="5">
      <c r="A5" s="8">
        <v>4.0</v>
      </c>
      <c r="B5" s="17">
        <v>46028.0</v>
      </c>
      <c r="C5" s="9" t="s">
        <v>15</v>
      </c>
      <c r="D5" s="9"/>
      <c r="E5" s="9" t="s">
        <v>17</v>
      </c>
    </row>
    <row r="6">
      <c r="A6" s="8">
        <v>5.0</v>
      </c>
      <c r="B6" s="17">
        <v>46059.0</v>
      </c>
      <c r="C6" s="9" t="s">
        <v>28</v>
      </c>
      <c r="D6" s="9"/>
      <c r="E6" s="9" t="s">
        <v>17</v>
      </c>
    </row>
    <row r="7">
      <c r="A7" s="8">
        <v>6.0</v>
      </c>
      <c r="B7" s="17">
        <v>46087.0</v>
      </c>
      <c r="C7" s="9" t="s">
        <v>30</v>
      </c>
      <c r="D7" s="9" t="s">
        <v>31</v>
      </c>
      <c r="E7" s="9" t="s">
        <v>17</v>
      </c>
    </row>
    <row r="8">
      <c r="A8" s="8">
        <v>7.0</v>
      </c>
      <c r="B8" s="17">
        <v>46118.0</v>
      </c>
      <c r="C8" s="9" t="s">
        <v>35</v>
      </c>
      <c r="D8" s="25" t="s">
        <v>31</v>
      </c>
      <c r="E8" s="9" t="s">
        <v>17</v>
      </c>
    </row>
    <row r="9">
      <c r="A9" s="8">
        <v>8.0</v>
      </c>
      <c r="B9" s="17">
        <v>46148.0</v>
      </c>
      <c r="C9" s="9" t="s">
        <v>41</v>
      </c>
      <c r="D9" s="9" t="s">
        <v>44</v>
      </c>
      <c r="E9" s="9" t="s">
        <v>17</v>
      </c>
    </row>
    <row r="10">
      <c r="A10" s="8">
        <v>9.0</v>
      </c>
      <c r="B10" s="17">
        <v>46179.0</v>
      </c>
      <c r="C10" s="9" t="s">
        <v>50</v>
      </c>
      <c r="D10" s="9" t="s">
        <v>31</v>
      </c>
      <c r="E10" s="9" t="s">
        <v>17</v>
      </c>
    </row>
    <row r="11">
      <c r="A11" s="8">
        <v>10.0</v>
      </c>
      <c r="B11" s="17">
        <v>46240.0</v>
      </c>
      <c r="C11" s="9" t="s">
        <v>57</v>
      </c>
      <c r="D11" s="9" t="s">
        <v>58</v>
      </c>
      <c r="E11" s="9" t="s">
        <v>17</v>
      </c>
    </row>
    <row r="12">
      <c r="A12" s="8">
        <v>11.0</v>
      </c>
      <c r="B12" s="17">
        <v>46271.0</v>
      </c>
      <c r="C12" s="9" t="s">
        <v>60</v>
      </c>
      <c r="D12" s="9" t="s">
        <v>31</v>
      </c>
      <c r="E12" s="9" t="s">
        <v>17</v>
      </c>
    </row>
    <row r="13">
      <c r="A13" s="8">
        <v>12.0</v>
      </c>
      <c r="B13" s="17">
        <v>46301.0</v>
      </c>
      <c r="C13" s="9" t="s">
        <v>62</v>
      </c>
      <c r="D13" s="9" t="s">
        <v>64</v>
      </c>
      <c r="E13" s="9" t="s">
        <v>17</v>
      </c>
    </row>
    <row r="14">
      <c r="A14" s="8">
        <v>13.0</v>
      </c>
      <c r="B14" s="17">
        <v>46332.0</v>
      </c>
      <c r="C14" s="9" t="s">
        <v>66</v>
      </c>
      <c r="D14" s="9" t="s">
        <v>58</v>
      </c>
      <c r="E14" s="9" t="s">
        <v>17</v>
      </c>
    </row>
    <row r="15">
      <c r="A15" s="8">
        <v>14.0</v>
      </c>
      <c r="B15" s="17">
        <v>46362.0</v>
      </c>
      <c r="C15" s="9" t="s">
        <v>71</v>
      </c>
      <c r="D15" s="9" t="s">
        <v>58</v>
      </c>
      <c r="E15" s="9" t="s">
        <v>17</v>
      </c>
    </row>
    <row r="16">
      <c r="A16" s="8">
        <v>15.0</v>
      </c>
      <c r="B16" s="33" t="s">
        <v>65</v>
      </c>
      <c r="C16" s="9" t="s">
        <v>75</v>
      </c>
      <c r="D16" s="9" t="s">
        <v>77</v>
      </c>
      <c r="E16" s="9" t="s">
        <v>17</v>
      </c>
    </row>
    <row r="17">
      <c r="A17" s="8">
        <v>16.0</v>
      </c>
      <c r="B17" s="33" t="s">
        <v>79</v>
      </c>
      <c r="C17" s="9" t="s">
        <v>80</v>
      </c>
      <c r="D17" s="9" t="s">
        <v>64</v>
      </c>
      <c r="E17" s="9" t="s">
        <v>17</v>
      </c>
    </row>
    <row r="18">
      <c r="A18" s="8">
        <v>17.0</v>
      </c>
      <c r="B18" s="33" t="s">
        <v>82</v>
      </c>
      <c r="C18" s="9" t="s">
        <v>84</v>
      </c>
      <c r="D18" s="9" t="s">
        <v>64</v>
      </c>
      <c r="E18" s="9" t="s">
        <v>17</v>
      </c>
    </row>
    <row r="19">
      <c r="A19" s="8">
        <v>18.0</v>
      </c>
      <c r="B19" s="33" t="s">
        <v>68</v>
      </c>
      <c r="C19" s="9" t="s">
        <v>86</v>
      </c>
      <c r="D19" s="9" t="s">
        <v>87</v>
      </c>
      <c r="E19" s="9" t="s">
        <v>17</v>
      </c>
    </row>
    <row r="20">
      <c r="A20" s="8">
        <v>19.0</v>
      </c>
      <c r="B20" s="33" t="s">
        <v>90</v>
      </c>
      <c r="C20" s="9" t="s">
        <v>91</v>
      </c>
      <c r="D20" s="9" t="s">
        <v>31</v>
      </c>
      <c r="E20" s="9" t="s">
        <v>17</v>
      </c>
    </row>
    <row r="21">
      <c r="A21" s="8">
        <v>20.0</v>
      </c>
      <c r="B21" s="33" t="s">
        <v>95</v>
      </c>
      <c r="C21" s="9" t="s">
        <v>96</v>
      </c>
      <c r="D21" s="9" t="s">
        <v>58</v>
      </c>
      <c r="E21" s="9" t="s">
        <v>17</v>
      </c>
    </row>
    <row r="22">
      <c r="A22" s="8">
        <v>21.0</v>
      </c>
      <c r="B22" s="33" t="s">
        <v>99</v>
      </c>
      <c r="C22" s="9" t="s">
        <v>100</v>
      </c>
      <c r="D22" s="9" t="s">
        <v>64</v>
      </c>
      <c r="E22" s="9" t="s">
        <v>17</v>
      </c>
    </row>
    <row r="23">
      <c r="A23" s="8">
        <v>22.0</v>
      </c>
      <c r="B23" s="33" t="s">
        <v>69</v>
      </c>
      <c r="C23" s="9" t="s">
        <v>104</v>
      </c>
      <c r="D23" s="9" t="s">
        <v>105</v>
      </c>
      <c r="E23" s="9" t="s">
        <v>17</v>
      </c>
    </row>
    <row r="24">
      <c r="A24" s="8">
        <v>23.0</v>
      </c>
      <c r="B24" s="39" t="s">
        <v>107</v>
      </c>
      <c r="C24" s="40"/>
      <c r="D24" s="40"/>
      <c r="E24" s="40"/>
    </row>
    <row r="25">
      <c r="A25" s="38"/>
      <c r="B25" s="38" t="s">
        <v>110</v>
      </c>
      <c r="C25" s="40"/>
      <c r="D25" s="40"/>
      <c r="E25" s="40"/>
    </row>
    <row r="26">
      <c r="A26" s="41">
        <v>25.0</v>
      </c>
      <c r="B26" s="38" t="s">
        <v>113</v>
      </c>
      <c r="C26" s="38" t="s">
        <v>114</v>
      </c>
      <c r="D26" s="38" t="s">
        <v>87</v>
      </c>
      <c r="E26" s="38" t="s">
        <v>118</v>
      </c>
    </row>
    <row r="27">
      <c r="A27" s="41">
        <v>26.0</v>
      </c>
      <c r="B27" s="38" t="s">
        <v>119</v>
      </c>
      <c r="C27" s="38" t="s">
        <v>121</v>
      </c>
      <c r="D27" s="38" t="s">
        <v>122</v>
      </c>
      <c r="E27" s="38" t="s">
        <v>118</v>
      </c>
    </row>
    <row r="28">
      <c r="A28" s="41">
        <v>27.0</v>
      </c>
      <c r="B28" s="38" t="s">
        <v>70</v>
      </c>
      <c r="C28" s="38" t="s">
        <v>124</v>
      </c>
      <c r="D28" s="38" t="s">
        <v>126</v>
      </c>
      <c r="E28" s="38" t="s">
        <v>118</v>
      </c>
    </row>
    <row r="29">
      <c r="A29" s="41">
        <v>29.0</v>
      </c>
      <c r="B29" s="38" t="s">
        <v>128</v>
      </c>
      <c r="C29" s="38" t="s">
        <v>129</v>
      </c>
      <c r="D29" s="38" t="s">
        <v>64</v>
      </c>
      <c r="E29" s="38" t="s">
        <v>118</v>
      </c>
    </row>
    <row r="30">
      <c r="A30" s="41">
        <v>30.0</v>
      </c>
      <c r="B30" s="38" t="s">
        <v>132</v>
      </c>
      <c r="C30" s="38" t="s">
        <v>133</v>
      </c>
      <c r="D30" s="38" t="s">
        <v>58</v>
      </c>
      <c r="E30" s="38" t="s">
        <v>118</v>
      </c>
    </row>
    <row r="31">
      <c r="A31" s="41">
        <v>31.0</v>
      </c>
      <c r="B31" s="43">
        <v>46029.0</v>
      </c>
      <c r="C31" s="38" t="s">
        <v>138</v>
      </c>
      <c r="D31" s="38" t="s">
        <v>64</v>
      </c>
      <c r="E31" s="38" t="s">
        <v>118</v>
      </c>
    </row>
    <row r="32">
      <c r="A32" s="41">
        <v>32.0</v>
      </c>
      <c r="B32" s="43">
        <v>46060.0</v>
      </c>
      <c r="C32" s="38" t="s">
        <v>141</v>
      </c>
      <c r="D32" s="38" t="s">
        <v>58</v>
      </c>
      <c r="E32" s="38" t="s">
        <v>118</v>
      </c>
    </row>
    <row r="33">
      <c r="A33" s="41">
        <v>33.0</v>
      </c>
      <c r="B33" s="43">
        <v>46088.0</v>
      </c>
      <c r="C33" s="38" t="s">
        <v>144</v>
      </c>
      <c r="D33" s="38" t="s">
        <v>58</v>
      </c>
      <c r="E33" s="38" t="s">
        <v>118</v>
      </c>
    </row>
    <row r="34">
      <c r="A34" s="41">
        <v>34.0</v>
      </c>
      <c r="B34" s="43">
        <v>46119.0</v>
      </c>
      <c r="C34" s="38" t="s">
        <v>147</v>
      </c>
      <c r="D34" s="38" t="s">
        <v>58</v>
      </c>
      <c r="E34" s="38" t="s">
        <v>118</v>
      </c>
    </row>
    <row r="35">
      <c r="A35" s="41">
        <v>35.0</v>
      </c>
      <c r="B35" s="43">
        <v>46180.0</v>
      </c>
      <c r="C35" s="38" t="s">
        <v>150</v>
      </c>
      <c r="D35" s="38" t="s">
        <v>64</v>
      </c>
      <c r="E35" s="38" t="s">
        <v>118</v>
      </c>
    </row>
    <row r="36">
      <c r="A36" s="41">
        <v>36.0</v>
      </c>
      <c r="B36" s="43">
        <v>46210.0</v>
      </c>
      <c r="C36" s="38" t="s">
        <v>154</v>
      </c>
      <c r="D36" s="38" t="s">
        <v>31</v>
      </c>
      <c r="E36" s="38" t="s">
        <v>118</v>
      </c>
    </row>
    <row r="37">
      <c r="A37" s="41">
        <v>37.0</v>
      </c>
      <c r="B37" s="43">
        <v>46241.0</v>
      </c>
      <c r="C37" s="38" t="s">
        <v>155</v>
      </c>
      <c r="D37" s="38" t="s">
        <v>64</v>
      </c>
      <c r="E37" s="38" t="s">
        <v>118</v>
      </c>
    </row>
    <row r="38">
      <c r="A38" s="41">
        <v>38.0</v>
      </c>
      <c r="B38" s="44">
        <v>46272.0</v>
      </c>
      <c r="C38" s="38" t="s">
        <v>161</v>
      </c>
      <c r="D38" s="38" t="s">
        <v>64</v>
      </c>
      <c r="E38" s="38" t="s">
        <v>118</v>
      </c>
    </row>
    <row r="39">
      <c r="A39" s="41">
        <v>39.0</v>
      </c>
      <c r="B39" s="43">
        <v>46302.0</v>
      </c>
      <c r="C39" s="38" t="s">
        <v>166</v>
      </c>
      <c r="D39" s="38" t="s">
        <v>64</v>
      </c>
      <c r="E39" s="38" t="s">
        <v>118</v>
      </c>
    </row>
    <row r="40">
      <c r="A40" s="41">
        <v>40.0</v>
      </c>
      <c r="B40" s="43">
        <v>6620698.0</v>
      </c>
      <c r="C40" s="38" t="s">
        <v>170</v>
      </c>
      <c r="D40" s="38" t="s">
        <v>105</v>
      </c>
      <c r="E40" s="38" t="s">
        <v>118</v>
      </c>
    </row>
    <row r="41">
      <c r="A41" s="41">
        <v>41.0</v>
      </c>
      <c r="B41" s="43">
        <v>46363.0</v>
      </c>
      <c r="C41" s="38" t="s">
        <v>173</v>
      </c>
      <c r="D41" s="38" t="s">
        <v>105</v>
      </c>
      <c r="E41" s="38" t="s">
        <v>118</v>
      </c>
    </row>
    <row r="42">
      <c r="A42" s="41">
        <v>40.0</v>
      </c>
      <c r="B42" s="38" t="s">
        <v>176</v>
      </c>
      <c r="C42" s="38" t="s">
        <v>178</v>
      </c>
      <c r="D42" s="38" t="s">
        <v>64</v>
      </c>
      <c r="E42" s="38" t="s">
        <v>118</v>
      </c>
    </row>
    <row r="43">
      <c r="A43" s="41">
        <v>43.0</v>
      </c>
      <c r="B43" s="38" t="s">
        <v>181</v>
      </c>
      <c r="C43" s="38" t="s">
        <v>182</v>
      </c>
      <c r="D43" s="38" t="s">
        <v>105</v>
      </c>
      <c r="E43" s="38" t="s">
        <v>118</v>
      </c>
    </row>
    <row r="44">
      <c r="A44" s="41">
        <v>44.0</v>
      </c>
      <c r="B44" s="38" t="s">
        <v>74</v>
      </c>
      <c r="C44" s="38" t="s">
        <v>188</v>
      </c>
      <c r="D44" s="38" t="s">
        <v>126</v>
      </c>
      <c r="E44" s="38" t="s">
        <v>118</v>
      </c>
    </row>
    <row r="45">
      <c r="A45" s="41">
        <v>45.0</v>
      </c>
      <c r="B45" s="38" t="s">
        <v>190</v>
      </c>
      <c r="C45" s="38" t="s">
        <v>191</v>
      </c>
      <c r="D45" s="38" t="s">
        <v>105</v>
      </c>
      <c r="E45" s="38" t="s">
        <v>118</v>
      </c>
    </row>
    <row r="46">
      <c r="A46" s="41">
        <v>46.0</v>
      </c>
      <c r="B46" s="38" t="s">
        <v>193</v>
      </c>
      <c r="C46" s="38" t="s">
        <v>195</v>
      </c>
      <c r="D46" s="38" t="s">
        <v>64</v>
      </c>
      <c r="E46" s="38" t="s">
        <v>118</v>
      </c>
    </row>
    <row r="47">
      <c r="A47" s="45">
        <v>47.0</v>
      </c>
      <c r="B47" s="25" t="s">
        <v>197</v>
      </c>
      <c r="C47" s="25" t="s">
        <v>198</v>
      </c>
      <c r="D47" s="25" t="s">
        <v>105</v>
      </c>
      <c r="E47" s="25" t="s">
        <v>118</v>
      </c>
    </row>
    <row r="48">
      <c r="A48" s="45">
        <v>48.0</v>
      </c>
      <c r="B48" s="25" t="s">
        <v>201</v>
      </c>
      <c r="C48" s="25" t="s">
        <v>202</v>
      </c>
      <c r="D48" s="25" t="s">
        <v>206</v>
      </c>
      <c r="E48" s="25" t="s">
        <v>118</v>
      </c>
    </row>
    <row r="49">
      <c r="A49" s="45">
        <v>49.0</v>
      </c>
      <c r="B49" s="25" t="s">
        <v>208</v>
      </c>
    </row>
    <row r="50">
      <c r="A50" s="45">
        <v>50.0</v>
      </c>
      <c r="B50" s="25" t="s">
        <v>210</v>
      </c>
      <c r="C50" s="25" t="s">
        <v>211</v>
      </c>
      <c r="D50" s="25" t="s">
        <v>206</v>
      </c>
      <c r="E50" s="25" t="s">
        <v>118</v>
      </c>
    </row>
    <row r="51">
      <c r="A51" s="45">
        <v>51.0</v>
      </c>
      <c r="B51" s="25" t="s">
        <v>213</v>
      </c>
      <c r="C51" s="25" t="s">
        <v>214</v>
      </c>
      <c r="D51" s="25" t="s">
        <v>126</v>
      </c>
      <c r="E51" s="25" t="s">
        <v>118</v>
      </c>
    </row>
    <row r="52">
      <c r="A52" s="45">
        <v>52.0</v>
      </c>
      <c r="B52" s="25" t="s">
        <v>216</v>
      </c>
      <c r="C52" s="25" t="s">
        <v>217</v>
      </c>
      <c r="D52" s="25" t="s">
        <v>218</v>
      </c>
      <c r="E52" s="25" t="s">
        <v>118</v>
      </c>
    </row>
    <row r="53">
      <c r="A53" s="45">
        <v>53.0</v>
      </c>
      <c r="B53" s="25" t="s">
        <v>220</v>
      </c>
      <c r="C53" s="25" t="s">
        <v>221</v>
      </c>
      <c r="D53" s="25" t="s">
        <v>126</v>
      </c>
      <c r="E53" s="25" t="s">
        <v>118</v>
      </c>
    </row>
    <row r="54">
      <c r="A54" s="45">
        <v>54.0</v>
      </c>
      <c r="B54" s="25" t="s">
        <v>224</v>
      </c>
      <c r="C54" s="25" t="s">
        <v>225</v>
      </c>
      <c r="D54" s="25" t="s">
        <v>218</v>
      </c>
      <c r="E54" s="25" t="s">
        <v>118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1"/>
      <c r="B1" s="1"/>
      <c r="C1" s="1"/>
      <c r="D1" s="5">
        <v>1.0</v>
      </c>
      <c r="E1" s="5">
        <v>2.0</v>
      </c>
      <c r="F1" s="5">
        <v>3.0</v>
      </c>
      <c r="G1" s="10">
        <v>4.0</v>
      </c>
      <c r="H1" s="10">
        <v>5.0</v>
      </c>
      <c r="I1" s="10">
        <v>6.0</v>
      </c>
      <c r="J1" s="12">
        <v>7.0</v>
      </c>
      <c r="K1" s="12">
        <v>8.0</v>
      </c>
      <c r="L1" s="12"/>
      <c r="M1" s="12"/>
      <c r="N1" s="12"/>
      <c r="O1" s="12"/>
      <c r="P1" s="12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>
      <c r="A2" s="6" t="s">
        <v>2</v>
      </c>
      <c r="B2" s="6" t="s">
        <v>10</v>
      </c>
      <c r="C2" s="6" t="s">
        <v>13</v>
      </c>
      <c r="D2" s="24" t="s">
        <v>33</v>
      </c>
      <c r="E2" s="24" t="s">
        <v>36</v>
      </c>
      <c r="F2" s="24" t="s">
        <v>38</v>
      </c>
      <c r="G2" s="24" t="s">
        <v>39</v>
      </c>
      <c r="H2" s="24" t="s">
        <v>40</v>
      </c>
      <c r="I2" s="24" t="s">
        <v>43</v>
      </c>
      <c r="J2" s="24" t="s">
        <v>45</v>
      </c>
      <c r="K2" s="24" t="s">
        <v>46</v>
      </c>
      <c r="L2" s="24" t="s">
        <v>48</v>
      </c>
      <c r="M2" s="24" t="s">
        <v>49</v>
      </c>
      <c r="N2" s="24" t="s">
        <v>51</v>
      </c>
      <c r="O2" s="24" t="s">
        <v>53</v>
      </c>
      <c r="P2" s="24" t="s">
        <v>54</v>
      </c>
      <c r="Q2" s="27" t="s">
        <v>55</v>
      </c>
      <c r="R2" s="19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</row>
    <row r="3">
      <c r="A3" s="30"/>
      <c r="B3" s="30"/>
      <c r="C3" s="30"/>
      <c r="D3" s="31">
        <v>46087.0</v>
      </c>
      <c r="E3" s="31">
        <v>46332.0</v>
      </c>
      <c r="F3" s="32" t="s">
        <v>65</v>
      </c>
      <c r="G3" s="32" t="s">
        <v>68</v>
      </c>
      <c r="H3" s="32" t="s">
        <v>69</v>
      </c>
      <c r="I3" s="32" t="s">
        <v>70</v>
      </c>
      <c r="J3" s="31">
        <v>46029.0</v>
      </c>
      <c r="K3" s="31">
        <v>46119.0</v>
      </c>
      <c r="L3" s="31">
        <v>46241.0</v>
      </c>
      <c r="M3" s="31">
        <v>46333.0</v>
      </c>
      <c r="N3" s="32" t="s">
        <v>74</v>
      </c>
      <c r="O3" s="32"/>
      <c r="P3" s="32"/>
      <c r="Q3" s="34">
        <f t="shared" ref="Q3:Q15" si="1">Countif(D3:K3,"-")</f>
        <v>0</v>
      </c>
      <c r="R3" s="19"/>
      <c r="S3" s="35" t="str">
        <f>IFERROR(__xludf.DUMMYFUNCTION("TEXTJOIN("", "",TRUE,FILTER(D$1:K$1, D3:K3=""-""))"),"#N/A")</f>
        <v>#N/A</v>
      </c>
    </row>
    <row r="4">
      <c r="A4" s="36">
        <v>1.0</v>
      </c>
      <c r="B4" s="37" t="s">
        <v>92</v>
      </c>
      <c r="C4" s="37" t="s">
        <v>94</v>
      </c>
      <c r="D4" s="38">
        <v>15.0</v>
      </c>
      <c r="E4" s="38">
        <v>18.0</v>
      </c>
      <c r="F4" s="38">
        <v>30.0</v>
      </c>
      <c r="G4" s="38">
        <v>29.0</v>
      </c>
      <c r="H4" s="38">
        <v>29.0</v>
      </c>
      <c r="I4" s="32">
        <v>15.0</v>
      </c>
      <c r="J4" s="32">
        <v>23.0</v>
      </c>
      <c r="K4" s="32" t="s">
        <v>102</v>
      </c>
      <c r="L4" s="32" t="s">
        <v>102</v>
      </c>
      <c r="M4" s="32" t="s">
        <v>102</v>
      </c>
      <c r="N4" s="32" t="s">
        <v>102</v>
      </c>
      <c r="O4" s="32" t="s">
        <v>102</v>
      </c>
      <c r="P4" s="32">
        <v>28.0</v>
      </c>
      <c r="Q4" s="34">
        <f t="shared" si="1"/>
        <v>1</v>
      </c>
      <c r="R4" s="19"/>
      <c r="S4" s="35" t="str">
        <f>IFERROR(__xludf.DUMMYFUNCTION("TEXTJOIN("", "",TRUE,FILTER(D$1:K$1, D4:K4=""-""))"),"8")</f>
        <v>8</v>
      </c>
      <c r="T4" s="35">
        <f t="shared" ref="T4:T15" si="2">COUNTIF(D4:P4,"-")</f>
        <v>5</v>
      </c>
    </row>
    <row r="5">
      <c r="A5" s="36">
        <v>2.0</v>
      </c>
      <c r="B5" s="37" t="s">
        <v>115</v>
      </c>
      <c r="C5" s="37" t="s">
        <v>116</v>
      </c>
      <c r="D5" s="38">
        <v>11.0</v>
      </c>
      <c r="E5" s="38">
        <v>16.0</v>
      </c>
      <c r="F5" s="38">
        <v>25.0</v>
      </c>
      <c r="G5" s="38">
        <v>32.0</v>
      </c>
      <c r="H5" s="38">
        <v>29.0</v>
      </c>
      <c r="I5" s="32">
        <v>22.0</v>
      </c>
      <c r="J5" s="32">
        <v>30.0</v>
      </c>
      <c r="K5" s="32">
        <v>30.0</v>
      </c>
      <c r="L5" s="32">
        <v>30.0</v>
      </c>
      <c r="M5" s="32">
        <v>30.0</v>
      </c>
      <c r="N5" s="32" t="s">
        <v>102</v>
      </c>
      <c r="O5" s="32">
        <v>24.0</v>
      </c>
      <c r="P5" s="32"/>
      <c r="Q5" s="34">
        <f t="shared" si="1"/>
        <v>0</v>
      </c>
      <c r="R5" s="19"/>
      <c r="S5" s="35" t="str">
        <f>IFERROR(__xludf.DUMMYFUNCTION("TEXTJOIN("", "",TRUE,FILTER(D$1:K$1, D5:K5=""-""))"),"#N/A")</f>
        <v>#N/A</v>
      </c>
      <c r="T5" s="35">
        <f t="shared" si="2"/>
        <v>1</v>
      </c>
    </row>
    <row r="6">
      <c r="A6" s="36">
        <v>3.0</v>
      </c>
      <c r="B6" s="37" t="s">
        <v>134</v>
      </c>
      <c r="C6" s="37" t="s">
        <v>136</v>
      </c>
      <c r="D6" s="38">
        <v>11.0</v>
      </c>
      <c r="E6" s="32" t="s">
        <v>102</v>
      </c>
      <c r="F6" s="38">
        <v>34.0</v>
      </c>
      <c r="G6" s="32" t="s">
        <v>102</v>
      </c>
      <c r="H6" s="38">
        <v>29.0</v>
      </c>
      <c r="I6" s="32">
        <v>20.0</v>
      </c>
      <c r="J6" s="32">
        <v>28.0</v>
      </c>
      <c r="K6" s="32" t="s">
        <v>102</v>
      </c>
      <c r="L6" s="32" t="s">
        <v>102</v>
      </c>
      <c r="M6" s="32" t="s">
        <v>102</v>
      </c>
      <c r="N6" s="32" t="s">
        <v>102</v>
      </c>
      <c r="O6" s="32" t="s">
        <v>102</v>
      </c>
      <c r="P6" s="32"/>
      <c r="Q6" s="34">
        <f t="shared" si="1"/>
        <v>3</v>
      </c>
      <c r="R6" s="19"/>
      <c r="S6" s="35" t="str">
        <f>IFERROR(__xludf.DUMMYFUNCTION("TEXTJOIN("", "",TRUE,FILTER(D$1:K$1, D6:K6=""-""))"),"2, 4, 8")</f>
        <v>2, 4, 8</v>
      </c>
      <c r="T6" s="35">
        <f t="shared" si="2"/>
        <v>7</v>
      </c>
    </row>
    <row r="7">
      <c r="A7" s="36">
        <v>4.0</v>
      </c>
      <c r="B7" s="37" t="s">
        <v>148</v>
      </c>
      <c r="C7" s="37" t="s">
        <v>151</v>
      </c>
      <c r="D7" s="38">
        <v>19.0</v>
      </c>
      <c r="E7" s="32" t="s">
        <v>102</v>
      </c>
      <c r="F7" s="38">
        <v>37.0</v>
      </c>
      <c r="G7" s="38">
        <v>36.0</v>
      </c>
      <c r="H7" s="38" t="s">
        <v>102</v>
      </c>
      <c r="I7" s="38" t="s">
        <v>102</v>
      </c>
      <c r="J7" s="38">
        <v>22.0</v>
      </c>
      <c r="K7" s="38">
        <v>24.0</v>
      </c>
      <c r="L7" s="38">
        <v>24.0</v>
      </c>
      <c r="M7" s="38">
        <v>22.0</v>
      </c>
      <c r="N7" s="38">
        <v>23.0</v>
      </c>
      <c r="O7" s="38">
        <v>23.0</v>
      </c>
      <c r="P7" s="38"/>
      <c r="Q7" s="34">
        <f t="shared" si="1"/>
        <v>3</v>
      </c>
      <c r="R7" s="19"/>
      <c r="S7" s="35" t="str">
        <f>IFERROR(__xludf.DUMMYFUNCTION("TEXTJOIN("", "",TRUE,FILTER(D$1:K$1, D7:K7=""-""))"),"2, 5, 6")</f>
        <v>2, 5, 6</v>
      </c>
      <c r="T7" s="35">
        <f t="shared" si="2"/>
        <v>3</v>
      </c>
    </row>
    <row r="8">
      <c r="A8" s="36">
        <v>5.0</v>
      </c>
      <c r="B8" s="37" t="s">
        <v>163</v>
      </c>
      <c r="C8" s="37" t="s">
        <v>165</v>
      </c>
      <c r="D8" s="38">
        <v>20.0</v>
      </c>
      <c r="E8" s="38">
        <v>16.0</v>
      </c>
      <c r="F8" s="38">
        <v>31.0</v>
      </c>
      <c r="G8" s="38">
        <v>31.0</v>
      </c>
      <c r="H8" s="38" t="s">
        <v>102</v>
      </c>
      <c r="I8" s="38" t="s">
        <v>102</v>
      </c>
      <c r="J8" s="38" t="s">
        <v>102</v>
      </c>
      <c r="K8" s="38" t="s">
        <v>102</v>
      </c>
      <c r="L8" s="38" t="s">
        <v>102</v>
      </c>
      <c r="M8" s="38" t="s">
        <v>102</v>
      </c>
      <c r="N8" s="38">
        <v>25.0</v>
      </c>
      <c r="O8" s="38" t="s">
        <v>102</v>
      </c>
      <c r="P8" s="38"/>
      <c r="Q8" s="34">
        <f t="shared" si="1"/>
        <v>4</v>
      </c>
      <c r="R8" s="19"/>
      <c r="S8" s="35" t="str">
        <f>IFERROR(__xludf.DUMMYFUNCTION("TEXTJOIN("", "",TRUE,FILTER(D$1:K$1, D8:K8=""-""))"),"5, 6, 7, 8")</f>
        <v>5, 6, 7, 8</v>
      </c>
      <c r="T8" s="35">
        <f t="shared" si="2"/>
        <v>7</v>
      </c>
    </row>
    <row r="9">
      <c r="A9" s="36">
        <v>6.0</v>
      </c>
      <c r="B9" s="37" t="s">
        <v>184</v>
      </c>
      <c r="C9" s="37" t="s">
        <v>186</v>
      </c>
      <c r="D9" s="38">
        <v>20.0</v>
      </c>
      <c r="E9" s="38">
        <v>28.0</v>
      </c>
      <c r="F9" s="38">
        <v>36.0</v>
      </c>
      <c r="G9" s="38">
        <v>40.0</v>
      </c>
      <c r="H9" s="38">
        <v>39.0</v>
      </c>
      <c r="I9" s="32">
        <v>28.0</v>
      </c>
      <c r="J9" s="32">
        <v>28.0</v>
      </c>
      <c r="K9" s="32" t="s">
        <v>102</v>
      </c>
      <c r="L9" s="32">
        <v>27.0</v>
      </c>
      <c r="M9" s="32">
        <v>27.0</v>
      </c>
      <c r="N9" s="32">
        <v>30.0</v>
      </c>
      <c r="O9" s="32">
        <v>30.0</v>
      </c>
      <c r="P9" s="32"/>
      <c r="Q9" s="34">
        <f t="shared" si="1"/>
        <v>1</v>
      </c>
      <c r="R9" s="19"/>
      <c r="S9" s="35" t="str">
        <f>IFERROR(__xludf.DUMMYFUNCTION("TEXTJOIN("", "",TRUE,FILTER(D$1:K$1, D9:K9=""-""))"),"8")</f>
        <v>8</v>
      </c>
      <c r="T9" s="35">
        <f t="shared" si="2"/>
        <v>1</v>
      </c>
    </row>
    <row r="10">
      <c r="A10" s="36">
        <v>7.0</v>
      </c>
      <c r="B10" s="37" t="s">
        <v>203</v>
      </c>
      <c r="C10" s="37" t="s">
        <v>205</v>
      </c>
      <c r="D10" s="32" t="s">
        <v>102</v>
      </c>
      <c r="E10" s="38">
        <v>15.0</v>
      </c>
      <c r="F10" s="32" t="s">
        <v>102</v>
      </c>
      <c r="G10" s="38">
        <v>26.0</v>
      </c>
      <c r="H10" s="38" t="s">
        <v>102</v>
      </c>
      <c r="I10" s="38" t="s">
        <v>102</v>
      </c>
      <c r="J10" s="38" t="s">
        <v>102</v>
      </c>
      <c r="K10" s="38" t="s">
        <v>102</v>
      </c>
      <c r="L10" s="38" t="s">
        <v>102</v>
      </c>
      <c r="M10" s="38" t="s">
        <v>102</v>
      </c>
      <c r="N10" s="38" t="s">
        <v>102</v>
      </c>
      <c r="O10" s="38" t="s">
        <v>102</v>
      </c>
      <c r="P10" s="38"/>
      <c r="Q10" s="34">
        <f t="shared" si="1"/>
        <v>6</v>
      </c>
      <c r="R10" s="19"/>
      <c r="S10" s="35" t="str">
        <f>IFERROR(__xludf.DUMMYFUNCTION("TEXTJOIN("", "",TRUE,FILTER(D$1:K$1, D10:K10=""-""))"),"1, 3, 5, 6, 7, 8")</f>
        <v>1, 3, 5, 6, 7, 8</v>
      </c>
      <c r="T10" s="35">
        <f t="shared" si="2"/>
        <v>10</v>
      </c>
    </row>
    <row r="11">
      <c r="A11" s="36">
        <v>8.0</v>
      </c>
      <c r="B11" s="37" t="s">
        <v>226</v>
      </c>
      <c r="C11" s="37" t="s">
        <v>227</v>
      </c>
      <c r="D11" s="38">
        <v>19.0</v>
      </c>
      <c r="E11" s="38">
        <v>26.0</v>
      </c>
      <c r="F11" s="38">
        <v>36.0</v>
      </c>
      <c r="G11" s="38">
        <v>40.0</v>
      </c>
      <c r="H11" s="38" t="s">
        <v>102</v>
      </c>
      <c r="I11" s="38" t="s">
        <v>102</v>
      </c>
      <c r="J11" s="38">
        <v>29.0</v>
      </c>
      <c r="K11" s="38">
        <v>30.0</v>
      </c>
      <c r="L11" s="38" t="s">
        <v>102</v>
      </c>
      <c r="M11" s="38" t="s">
        <v>102</v>
      </c>
      <c r="N11" s="38">
        <v>28.0</v>
      </c>
      <c r="O11" s="38">
        <v>29.0</v>
      </c>
      <c r="P11" s="38"/>
      <c r="Q11" s="34">
        <f t="shared" si="1"/>
        <v>2</v>
      </c>
      <c r="R11" s="19"/>
      <c r="S11" s="35" t="str">
        <f>IFERROR(__xludf.DUMMYFUNCTION("TEXTJOIN("", "",TRUE,FILTER(D$1:K$1, D11:K11=""-""))"),"5, 6")</f>
        <v>5, 6</v>
      </c>
      <c r="T11" s="35">
        <f t="shared" si="2"/>
        <v>4</v>
      </c>
    </row>
    <row r="12">
      <c r="A12" s="36">
        <v>9.0</v>
      </c>
      <c r="B12" s="37" t="s">
        <v>234</v>
      </c>
      <c r="C12" s="37" t="s">
        <v>236</v>
      </c>
      <c r="D12" s="38">
        <v>16.0</v>
      </c>
      <c r="E12" s="38">
        <v>17.0</v>
      </c>
      <c r="F12" s="38">
        <v>17.0</v>
      </c>
      <c r="G12" s="38">
        <v>36.0</v>
      </c>
      <c r="H12" s="38">
        <v>29.0</v>
      </c>
      <c r="I12" s="32">
        <v>26.0</v>
      </c>
      <c r="J12" s="32" t="s">
        <v>102</v>
      </c>
      <c r="K12" s="32">
        <v>25.0</v>
      </c>
      <c r="L12" s="32" t="s">
        <v>102</v>
      </c>
      <c r="M12" s="32" t="s">
        <v>102</v>
      </c>
      <c r="N12" s="32" t="s">
        <v>102</v>
      </c>
      <c r="O12" s="32" t="s">
        <v>102</v>
      </c>
      <c r="P12" s="32"/>
      <c r="Q12" s="34">
        <f t="shared" si="1"/>
        <v>1</v>
      </c>
      <c r="R12" s="19"/>
      <c r="S12" s="35" t="str">
        <f>IFERROR(__xludf.DUMMYFUNCTION("TEXTJOIN("", "",TRUE,FILTER(D$1:K$1, D12:K12=""-""))"),"7")</f>
        <v>7</v>
      </c>
      <c r="T12" s="35">
        <f t="shared" si="2"/>
        <v>5</v>
      </c>
    </row>
    <row r="13">
      <c r="A13" s="36">
        <v>10.0</v>
      </c>
      <c r="B13" s="37" t="s">
        <v>245</v>
      </c>
      <c r="C13" s="37" t="s">
        <v>246</v>
      </c>
      <c r="D13" s="38">
        <v>18.0</v>
      </c>
      <c r="E13" s="38">
        <v>26.0</v>
      </c>
      <c r="F13" s="38">
        <v>29.0</v>
      </c>
      <c r="G13" s="38">
        <v>38.0</v>
      </c>
      <c r="H13" s="38">
        <v>31.0</v>
      </c>
      <c r="I13" s="32">
        <v>28.0</v>
      </c>
      <c r="J13" s="32">
        <v>23.0</v>
      </c>
      <c r="K13" s="32">
        <v>27.0</v>
      </c>
      <c r="L13" s="32" t="s">
        <v>102</v>
      </c>
      <c r="M13" s="32" t="s">
        <v>102</v>
      </c>
      <c r="N13" s="32">
        <v>29.0</v>
      </c>
      <c r="O13" s="32">
        <v>28.0</v>
      </c>
      <c r="P13" s="32"/>
      <c r="Q13" s="34">
        <f t="shared" si="1"/>
        <v>0</v>
      </c>
      <c r="R13" s="19"/>
      <c r="S13" s="35" t="str">
        <f>IFERROR(__xludf.DUMMYFUNCTION("TEXTJOIN("", "",TRUE,FILTER(D$1:K$1, D13:K13=""-""))"),"#N/A")</f>
        <v>#N/A</v>
      </c>
      <c r="T13" s="35">
        <f t="shared" si="2"/>
        <v>2</v>
      </c>
    </row>
    <row r="14">
      <c r="A14" s="36">
        <v>11.0</v>
      </c>
      <c r="B14" s="37" t="s">
        <v>253</v>
      </c>
      <c r="C14" s="37" t="s">
        <v>254</v>
      </c>
      <c r="D14" s="38">
        <v>19.0</v>
      </c>
      <c r="E14" s="38">
        <v>27.0</v>
      </c>
      <c r="F14" s="38">
        <v>30.0</v>
      </c>
      <c r="G14" s="38">
        <v>39.0</v>
      </c>
      <c r="H14" s="38">
        <v>39.0</v>
      </c>
      <c r="I14" s="38" t="s">
        <v>102</v>
      </c>
      <c r="J14" s="38" t="s">
        <v>102</v>
      </c>
      <c r="K14" s="38">
        <v>30.0</v>
      </c>
      <c r="L14" s="38">
        <v>28.0</v>
      </c>
      <c r="M14" s="38">
        <v>27.0</v>
      </c>
      <c r="N14" s="38">
        <v>29.0</v>
      </c>
      <c r="O14" s="38">
        <v>29.0</v>
      </c>
      <c r="P14" s="38">
        <v>27.0</v>
      </c>
      <c r="Q14" s="34">
        <f t="shared" si="1"/>
        <v>2</v>
      </c>
      <c r="R14" s="19"/>
      <c r="S14" s="35" t="str">
        <f>IFERROR(__xludf.DUMMYFUNCTION("TEXTJOIN("", "",TRUE,FILTER(D$1:K$1, D14:K14=""-""))"),"6, 7")</f>
        <v>6, 7</v>
      </c>
      <c r="T14" s="35">
        <f t="shared" si="2"/>
        <v>2</v>
      </c>
    </row>
    <row r="15">
      <c r="A15" s="36">
        <v>12.0</v>
      </c>
      <c r="B15" s="37" t="s">
        <v>261</v>
      </c>
      <c r="C15" s="37" t="s">
        <v>262</v>
      </c>
      <c r="D15" s="38">
        <v>19.0</v>
      </c>
      <c r="E15" s="38">
        <v>22.0</v>
      </c>
      <c r="F15" s="38">
        <v>27.0</v>
      </c>
      <c r="G15" s="38">
        <v>37.0</v>
      </c>
      <c r="H15" s="38">
        <v>34.0</v>
      </c>
      <c r="I15" s="38" t="s">
        <v>102</v>
      </c>
      <c r="J15" s="38">
        <v>26.0</v>
      </c>
      <c r="K15" s="38">
        <v>28.0</v>
      </c>
      <c r="L15" s="38">
        <v>29.0</v>
      </c>
      <c r="M15" s="38">
        <v>30.0</v>
      </c>
      <c r="N15" s="38">
        <v>29.0</v>
      </c>
      <c r="O15" s="38">
        <v>29.0</v>
      </c>
      <c r="P15" s="38">
        <v>29.0</v>
      </c>
      <c r="Q15" s="34">
        <f t="shared" si="1"/>
        <v>1</v>
      </c>
      <c r="R15" s="19"/>
      <c r="S15" s="35" t="str">
        <f>IFERROR(__xludf.DUMMYFUNCTION("TEXTJOIN("", "",TRUE,FILTER(D$1:K$1, D15:K15=""-""))"),"6")</f>
        <v>6</v>
      </c>
      <c r="T15" s="35">
        <f t="shared" si="2"/>
        <v>1</v>
      </c>
    </row>
    <row r="16">
      <c r="B16" s="50"/>
      <c r="C16" s="50"/>
      <c r="T16" s="35" t="str">
        <f>IFERROR(__xludf.DUMMYFUNCTION("FILTER(B4:C15,T4:T15&gt;6)"),"Himanshu Verma")</f>
        <v>Himanshu Verma</v>
      </c>
      <c r="U16" s="35" t="str">
        <f>IFERROR(__xludf.DUMMYFUNCTION("""COMPUTED_VALUE"""),"24EACIT016")</f>
        <v>24EACIT016</v>
      </c>
    </row>
    <row r="17">
      <c r="B17" s="50"/>
      <c r="C17" s="50"/>
      <c r="T17" s="35" t="str">
        <f>IFERROR(__xludf.DUMMYFUNCTION("""COMPUTED_VALUE"""),"Krishna Khandelwal")</f>
        <v>Krishna Khandelwal</v>
      </c>
      <c r="U17" s="35" t="str">
        <f>IFERROR(__xludf.DUMMYFUNCTION("""COMPUTED_VALUE"""),"24EACCS157")</f>
        <v>24EACCS157</v>
      </c>
    </row>
    <row r="18">
      <c r="B18" s="50"/>
      <c r="C18" s="50"/>
      <c r="T18" s="35" t="str">
        <f>IFERROR(__xludf.DUMMYFUNCTION("""COMPUTED_VALUE"""),"Mohammed Touseef")</f>
        <v>Mohammed Touseef</v>
      </c>
      <c r="U18" s="35" t="str">
        <f>IFERROR(__xludf.DUMMYFUNCTION("""COMPUTED_VALUE"""),"24EACAD058")</f>
        <v>24EACAD058</v>
      </c>
    </row>
    <row r="19">
      <c r="B19" s="50"/>
      <c r="C19" s="50"/>
    </row>
    <row r="20">
      <c r="B20" s="50"/>
      <c r="C20" s="50"/>
    </row>
    <row r="21">
      <c r="B21" s="50"/>
      <c r="C21" s="50"/>
    </row>
    <row r="22">
      <c r="B22" s="50"/>
      <c r="C22" s="50"/>
    </row>
    <row r="23">
      <c r="B23" s="50"/>
      <c r="C23" s="50"/>
    </row>
    <row r="24">
      <c r="B24" s="50"/>
      <c r="C24" s="50"/>
    </row>
    <row r="25">
      <c r="B25" s="50"/>
      <c r="C25" s="50"/>
    </row>
    <row r="26">
      <c r="B26" s="50"/>
      <c r="C26" s="50"/>
    </row>
    <row r="27">
      <c r="B27" s="50"/>
      <c r="C27" s="50"/>
    </row>
    <row r="28">
      <c r="B28" s="50"/>
      <c r="C28" s="50"/>
    </row>
    <row r="29">
      <c r="B29" s="50"/>
      <c r="C29" s="50"/>
    </row>
    <row r="30">
      <c r="B30" s="50"/>
      <c r="C30" s="50"/>
    </row>
    <row r="31">
      <c r="B31" s="50"/>
      <c r="C31" s="50"/>
    </row>
    <row r="32">
      <c r="B32" s="50"/>
      <c r="C32" s="50"/>
    </row>
    <row r="33">
      <c r="B33" s="50"/>
      <c r="C33" s="50"/>
    </row>
    <row r="34">
      <c r="B34" s="50"/>
      <c r="C34" s="50"/>
    </row>
    <row r="35">
      <c r="B35" s="50"/>
      <c r="C35" s="50"/>
    </row>
    <row r="36">
      <c r="B36" s="50"/>
      <c r="C36" s="50"/>
    </row>
    <row r="37">
      <c r="B37" s="50"/>
      <c r="C37" s="50"/>
    </row>
    <row r="38">
      <c r="B38" s="50"/>
      <c r="C38" s="50"/>
    </row>
    <row r="39">
      <c r="B39" s="50"/>
      <c r="C39" s="50"/>
    </row>
    <row r="40">
      <c r="B40" s="50"/>
      <c r="C40" s="50"/>
    </row>
    <row r="41">
      <c r="B41" s="50"/>
      <c r="C41" s="50"/>
    </row>
    <row r="42">
      <c r="B42" s="50"/>
      <c r="C42" s="50"/>
    </row>
    <row r="43">
      <c r="B43" s="50"/>
      <c r="C43" s="50"/>
    </row>
    <row r="44">
      <c r="B44" s="50"/>
      <c r="C44" s="50"/>
    </row>
    <row r="45">
      <c r="B45" s="50"/>
      <c r="C45" s="50"/>
    </row>
    <row r="46">
      <c r="B46" s="50"/>
      <c r="C46" s="50"/>
    </row>
    <row r="47">
      <c r="B47" s="50"/>
      <c r="C47" s="50"/>
    </row>
    <row r="48">
      <c r="B48" s="50"/>
      <c r="C48" s="50"/>
    </row>
    <row r="49">
      <c r="B49" s="50"/>
      <c r="C49" s="50"/>
    </row>
    <row r="50">
      <c r="B50" s="50"/>
      <c r="C50" s="50"/>
    </row>
    <row r="51">
      <c r="B51" s="50"/>
      <c r="C51" s="50"/>
    </row>
    <row r="52">
      <c r="B52" s="50"/>
      <c r="C52" s="50"/>
    </row>
    <row r="53">
      <c r="B53" s="50"/>
      <c r="C53" s="50"/>
    </row>
    <row r="54">
      <c r="B54" s="50"/>
      <c r="C54" s="50"/>
    </row>
    <row r="55">
      <c r="B55" s="50"/>
      <c r="C55" s="50"/>
    </row>
    <row r="56">
      <c r="B56" s="50"/>
      <c r="C56" s="50"/>
    </row>
    <row r="57">
      <c r="B57" s="50"/>
      <c r="C57" s="50"/>
    </row>
    <row r="58">
      <c r="B58" s="50"/>
      <c r="C58" s="50"/>
    </row>
    <row r="59">
      <c r="B59" s="50"/>
      <c r="C59" s="50"/>
    </row>
    <row r="60">
      <c r="B60" s="50"/>
      <c r="C60" s="50"/>
    </row>
    <row r="61">
      <c r="B61" s="50"/>
      <c r="C61" s="50"/>
    </row>
    <row r="62">
      <c r="B62" s="50"/>
      <c r="C62" s="50"/>
    </row>
    <row r="63">
      <c r="B63" s="50"/>
      <c r="C63" s="50"/>
    </row>
    <row r="64">
      <c r="B64" s="50"/>
      <c r="C64" s="50"/>
    </row>
    <row r="65">
      <c r="B65" s="50"/>
      <c r="C65" s="50"/>
    </row>
    <row r="66">
      <c r="B66" s="50"/>
      <c r="C66" s="50"/>
    </row>
    <row r="67">
      <c r="B67" s="50"/>
      <c r="C67" s="50"/>
    </row>
    <row r="68">
      <c r="B68" s="50"/>
      <c r="C68" s="50"/>
    </row>
    <row r="69">
      <c r="B69" s="50"/>
      <c r="C69" s="50"/>
    </row>
    <row r="70">
      <c r="B70" s="50"/>
      <c r="C70" s="50"/>
    </row>
    <row r="71">
      <c r="B71" s="50"/>
      <c r="C71" s="50"/>
    </row>
    <row r="72">
      <c r="B72" s="50"/>
      <c r="C72" s="50"/>
    </row>
    <row r="73">
      <c r="B73" s="50"/>
      <c r="C73" s="50"/>
    </row>
    <row r="74">
      <c r="B74" s="50"/>
      <c r="C74" s="50"/>
    </row>
    <row r="75">
      <c r="B75" s="50"/>
      <c r="C75" s="50"/>
    </row>
    <row r="76">
      <c r="B76" s="50"/>
      <c r="C76" s="50"/>
    </row>
    <row r="77">
      <c r="B77" s="50"/>
      <c r="C77" s="50"/>
    </row>
    <row r="78">
      <c r="B78" s="50"/>
      <c r="C78" s="50"/>
    </row>
    <row r="79">
      <c r="B79" s="50"/>
      <c r="C79" s="50"/>
    </row>
    <row r="80">
      <c r="B80" s="50"/>
      <c r="C80" s="50"/>
    </row>
    <row r="81">
      <c r="B81" s="50"/>
      <c r="C81" s="50"/>
    </row>
    <row r="82">
      <c r="B82" s="50"/>
      <c r="C82" s="50"/>
    </row>
    <row r="83">
      <c r="B83" s="50"/>
      <c r="C83" s="50"/>
    </row>
    <row r="84">
      <c r="B84" s="50"/>
      <c r="C84" s="50"/>
    </row>
    <row r="85">
      <c r="B85" s="50"/>
      <c r="C85" s="50"/>
    </row>
    <row r="86">
      <c r="B86" s="50"/>
      <c r="C86" s="50"/>
    </row>
    <row r="87">
      <c r="B87" s="50"/>
      <c r="C87" s="50"/>
    </row>
    <row r="88">
      <c r="B88" s="50"/>
      <c r="C88" s="50"/>
    </row>
    <row r="89">
      <c r="B89" s="50"/>
      <c r="C89" s="50"/>
    </row>
    <row r="90">
      <c r="B90" s="50"/>
      <c r="C90" s="50"/>
    </row>
    <row r="91">
      <c r="B91" s="50"/>
      <c r="C91" s="50"/>
    </row>
    <row r="92">
      <c r="B92" s="50"/>
      <c r="C92" s="50"/>
    </row>
    <row r="93">
      <c r="B93" s="50"/>
      <c r="C93" s="50"/>
    </row>
    <row r="94">
      <c r="B94" s="50"/>
      <c r="C94" s="50"/>
    </row>
    <row r="95">
      <c r="B95" s="50"/>
      <c r="C95" s="50"/>
    </row>
    <row r="96">
      <c r="B96" s="50"/>
      <c r="C96" s="50"/>
    </row>
    <row r="97">
      <c r="B97" s="50"/>
      <c r="C97" s="50"/>
    </row>
    <row r="98">
      <c r="B98" s="50"/>
      <c r="C98" s="50"/>
    </row>
    <row r="99">
      <c r="B99" s="50"/>
      <c r="C99" s="50"/>
    </row>
    <row r="100">
      <c r="B100" s="50"/>
      <c r="C100" s="50"/>
    </row>
    <row r="101">
      <c r="B101" s="50"/>
      <c r="C101" s="50"/>
    </row>
    <row r="102">
      <c r="B102" s="50"/>
      <c r="C102" s="50"/>
    </row>
    <row r="103">
      <c r="B103" s="50"/>
      <c r="C103" s="50"/>
    </row>
    <row r="104">
      <c r="B104" s="50"/>
      <c r="C104" s="50"/>
    </row>
    <row r="105">
      <c r="B105" s="50"/>
      <c r="C105" s="50"/>
    </row>
    <row r="106">
      <c r="B106" s="50"/>
      <c r="C106" s="50"/>
    </row>
    <row r="107">
      <c r="B107" s="50"/>
      <c r="C107" s="50"/>
    </row>
    <row r="108">
      <c r="B108" s="50"/>
      <c r="C108" s="50"/>
    </row>
    <row r="109">
      <c r="B109" s="50"/>
      <c r="C109" s="50"/>
    </row>
    <row r="110">
      <c r="B110" s="50"/>
      <c r="C110" s="50"/>
    </row>
    <row r="111">
      <c r="B111" s="50"/>
      <c r="C111" s="50"/>
    </row>
    <row r="112">
      <c r="B112" s="50"/>
      <c r="C112" s="50"/>
    </row>
    <row r="113">
      <c r="B113" s="50"/>
      <c r="C113" s="50"/>
    </row>
    <row r="114">
      <c r="B114" s="50"/>
      <c r="C114" s="50"/>
    </row>
    <row r="115">
      <c r="B115" s="50"/>
      <c r="C115" s="50"/>
    </row>
    <row r="116">
      <c r="B116" s="50"/>
      <c r="C116" s="50"/>
    </row>
    <row r="117">
      <c r="B117" s="50"/>
      <c r="C117" s="50"/>
    </row>
    <row r="118">
      <c r="B118" s="50"/>
      <c r="C118" s="50"/>
    </row>
    <row r="119">
      <c r="B119" s="50"/>
      <c r="C119" s="50"/>
    </row>
    <row r="120">
      <c r="B120" s="50"/>
      <c r="C120" s="50"/>
    </row>
    <row r="121">
      <c r="B121" s="50"/>
      <c r="C121" s="50"/>
    </row>
    <row r="122">
      <c r="B122" s="50"/>
      <c r="C122" s="50"/>
    </row>
    <row r="123">
      <c r="B123" s="50"/>
      <c r="C123" s="50"/>
    </row>
    <row r="124">
      <c r="B124" s="50"/>
      <c r="C124" s="50"/>
    </row>
    <row r="125">
      <c r="B125" s="50"/>
      <c r="C125" s="50"/>
    </row>
    <row r="126">
      <c r="B126" s="50"/>
      <c r="C126" s="50"/>
    </row>
    <row r="127">
      <c r="B127" s="50"/>
      <c r="C127" s="50"/>
    </row>
    <row r="128">
      <c r="B128" s="50"/>
      <c r="C128" s="50"/>
    </row>
    <row r="129">
      <c r="B129" s="50"/>
      <c r="C129" s="50"/>
    </row>
    <row r="130">
      <c r="B130" s="50"/>
      <c r="C130" s="50"/>
    </row>
    <row r="131">
      <c r="B131" s="50"/>
      <c r="C131" s="50"/>
    </row>
    <row r="132">
      <c r="B132" s="50"/>
      <c r="C132" s="50"/>
    </row>
    <row r="133">
      <c r="B133" s="50"/>
      <c r="C133" s="50"/>
    </row>
    <row r="134">
      <c r="B134" s="50"/>
      <c r="C134" s="50"/>
    </row>
    <row r="135">
      <c r="B135" s="50"/>
      <c r="C135" s="50"/>
    </row>
    <row r="136">
      <c r="B136" s="50"/>
      <c r="C136" s="50"/>
    </row>
    <row r="137">
      <c r="B137" s="50"/>
      <c r="C137" s="50"/>
    </row>
    <row r="138">
      <c r="B138" s="50"/>
      <c r="C138" s="50"/>
    </row>
    <row r="139">
      <c r="B139" s="50"/>
      <c r="C139" s="50"/>
    </row>
    <row r="140">
      <c r="B140" s="50"/>
      <c r="C140" s="50"/>
    </row>
    <row r="141">
      <c r="B141" s="50"/>
      <c r="C141" s="50"/>
    </row>
    <row r="142">
      <c r="B142" s="50"/>
      <c r="C142" s="50"/>
    </row>
    <row r="143">
      <c r="B143" s="50"/>
      <c r="C143" s="50"/>
    </row>
    <row r="144">
      <c r="B144" s="50"/>
      <c r="C144" s="50"/>
    </row>
    <row r="145">
      <c r="B145" s="50"/>
      <c r="C145" s="50"/>
    </row>
    <row r="146">
      <c r="B146" s="50"/>
      <c r="C146" s="50"/>
    </row>
    <row r="147">
      <c r="B147" s="50"/>
      <c r="C147" s="50"/>
    </row>
    <row r="148">
      <c r="B148" s="50"/>
      <c r="C148" s="50"/>
    </row>
    <row r="149">
      <c r="B149" s="50"/>
      <c r="C149" s="50"/>
    </row>
    <row r="150">
      <c r="B150" s="50"/>
      <c r="C150" s="50"/>
    </row>
    <row r="151">
      <c r="B151" s="50"/>
      <c r="C151" s="50"/>
    </row>
    <row r="152">
      <c r="B152" s="50"/>
      <c r="C152" s="50"/>
    </row>
    <row r="153">
      <c r="B153" s="50"/>
      <c r="C153" s="50"/>
    </row>
    <row r="154">
      <c r="B154" s="50"/>
      <c r="C154" s="50"/>
    </row>
    <row r="155">
      <c r="B155" s="50"/>
      <c r="C155" s="50"/>
    </row>
    <row r="156">
      <c r="B156" s="50"/>
      <c r="C156" s="50"/>
    </row>
    <row r="157">
      <c r="B157" s="50"/>
      <c r="C157" s="50"/>
    </row>
    <row r="158">
      <c r="B158" s="50"/>
      <c r="C158" s="50"/>
    </row>
    <row r="159">
      <c r="B159" s="50"/>
      <c r="C159" s="50"/>
    </row>
    <row r="160">
      <c r="B160" s="50"/>
      <c r="C160" s="50"/>
    </row>
    <row r="161">
      <c r="B161" s="50"/>
      <c r="C161" s="50"/>
    </row>
    <row r="162">
      <c r="B162" s="50"/>
      <c r="C162" s="50"/>
    </row>
    <row r="163">
      <c r="B163" s="50"/>
      <c r="C163" s="50"/>
    </row>
    <row r="164">
      <c r="B164" s="50"/>
      <c r="C164" s="50"/>
    </row>
    <row r="165">
      <c r="B165" s="50"/>
      <c r="C165" s="50"/>
    </row>
    <row r="166">
      <c r="B166" s="50"/>
      <c r="C166" s="50"/>
    </row>
    <row r="167">
      <c r="B167" s="50"/>
      <c r="C167" s="50"/>
    </row>
    <row r="168">
      <c r="B168" s="50"/>
      <c r="C168" s="50"/>
    </row>
    <row r="169">
      <c r="B169" s="50"/>
      <c r="C169" s="50"/>
    </row>
    <row r="170">
      <c r="B170" s="50"/>
      <c r="C170" s="50"/>
    </row>
    <row r="171">
      <c r="B171" s="50"/>
      <c r="C171" s="50"/>
    </row>
    <row r="172">
      <c r="B172" s="50"/>
      <c r="C172" s="50"/>
    </row>
    <row r="173">
      <c r="B173" s="50"/>
      <c r="C173" s="50"/>
    </row>
    <row r="174">
      <c r="B174" s="50"/>
      <c r="C174" s="50"/>
    </row>
    <row r="175">
      <c r="B175" s="50"/>
      <c r="C175" s="50"/>
    </row>
    <row r="176">
      <c r="B176" s="50"/>
      <c r="C176" s="50"/>
    </row>
    <row r="177">
      <c r="B177" s="50"/>
      <c r="C177" s="50"/>
    </row>
    <row r="178">
      <c r="B178" s="50"/>
      <c r="C178" s="50"/>
    </row>
    <row r="179">
      <c r="B179" s="50"/>
      <c r="C179" s="50"/>
    </row>
    <row r="180">
      <c r="B180" s="50"/>
      <c r="C180" s="50"/>
    </row>
    <row r="181">
      <c r="B181" s="50"/>
      <c r="C181" s="50"/>
    </row>
    <row r="182">
      <c r="B182" s="50"/>
      <c r="C182" s="50"/>
    </row>
    <row r="183">
      <c r="B183" s="50"/>
      <c r="C183" s="50"/>
    </row>
    <row r="184">
      <c r="B184" s="50"/>
      <c r="C184" s="50"/>
    </row>
    <row r="185">
      <c r="B185" s="50"/>
      <c r="C185" s="50"/>
    </row>
    <row r="186">
      <c r="B186" s="50"/>
      <c r="C186" s="50"/>
    </row>
    <row r="187">
      <c r="B187" s="50"/>
      <c r="C187" s="50"/>
    </row>
    <row r="188">
      <c r="B188" s="50"/>
      <c r="C188" s="50"/>
    </row>
    <row r="189">
      <c r="B189" s="50"/>
      <c r="C189" s="50"/>
    </row>
    <row r="190">
      <c r="B190" s="50"/>
      <c r="C190" s="50"/>
    </row>
    <row r="191">
      <c r="B191" s="50"/>
      <c r="C191" s="50"/>
    </row>
    <row r="192">
      <c r="B192" s="50"/>
      <c r="C192" s="50"/>
    </row>
    <row r="193">
      <c r="B193" s="50"/>
      <c r="C193" s="50"/>
    </row>
    <row r="194">
      <c r="B194" s="50"/>
      <c r="C194" s="50"/>
    </row>
    <row r="195">
      <c r="B195" s="50"/>
      <c r="C195" s="50"/>
    </row>
    <row r="196">
      <c r="B196" s="50"/>
      <c r="C196" s="50"/>
    </row>
    <row r="197">
      <c r="B197" s="50"/>
      <c r="C197" s="50"/>
    </row>
    <row r="198">
      <c r="B198" s="50"/>
      <c r="C198" s="50"/>
    </row>
    <row r="199">
      <c r="B199" s="50"/>
      <c r="C199" s="50"/>
    </row>
    <row r="200">
      <c r="B200" s="50"/>
      <c r="C200" s="50"/>
    </row>
    <row r="201">
      <c r="B201" s="50"/>
      <c r="C201" s="50"/>
    </row>
    <row r="202">
      <c r="B202" s="50"/>
      <c r="C202" s="50"/>
    </row>
    <row r="203">
      <c r="B203" s="50"/>
      <c r="C203" s="50"/>
    </row>
    <row r="204">
      <c r="B204" s="50"/>
      <c r="C204" s="50"/>
    </row>
    <row r="205">
      <c r="B205" s="50"/>
      <c r="C205" s="50"/>
    </row>
    <row r="206">
      <c r="B206" s="50"/>
      <c r="C206" s="50"/>
    </row>
    <row r="207">
      <c r="B207" s="50"/>
      <c r="C207" s="50"/>
    </row>
    <row r="208">
      <c r="B208" s="50"/>
      <c r="C208" s="50"/>
    </row>
    <row r="209">
      <c r="B209" s="50"/>
      <c r="C209" s="50"/>
    </row>
    <row r="210">
      <c r="B210" s="50"/>
      <c r="C210" s="50"/>
    </row>
    <row r="211">
      <c r="B211" s="50"/>
      <c r="C211" s="50"/>
    </row>
    <row r="212">
      <c r="B212" s="50"/>
      <c r="C212" s="50"/>
    </row>
    <row r="213">
      <c r="B213" s="50"/>
      <c r="C213" s="50"/>
    </row>
    <row r="214">
      <c r="B214" s="50"/>
      <c r="C214" s="50"/>
    </row>
    <row r="215">
      <c r="B215" s="50"/>
      <c r="C215" s="50"/>
    </row>
    <row r="216">
      <c r="B216" s="50"/>
      <c r="C216" s="50"/>
    </row>
    <row r="217">
      <c r="B217" s="50"/>
      <c r="C217" s="50"/>
    </row>
    <row r="218">
      <c r="B218" s="50"/>
      <c r="C218" s="50"/>
    </row>
    <row r="219">
      <c r="B219" s="50"/>
      <c r="C219" s="50"/>
    </row>
    <row r="220">
      <c r="B220" s="50"/>
      <c r="C220" s="50"/>
    </row>
    <row r="221">
      <c r="B221" s="50"/>
      <c r="C221" s="50"/>
    </row>
    <row r="222">
      <c r="B222" s="50"/>
      <c r="C222" s="50"/>
    </row>
    <row r="223">
      <c r="B223" s="50"/>
      <c r="C223" s="50"/>
    </row>
    <row r="224">
      <c r="B224" s="50"/>
      <c r="C224" s="50"/>
    </row>
    <row r="225">
      <c r="B225" s="50"/>
      <c r="C225" s="50"/>
    </row>
    <row r="226">
      <c r="B226" s="50"/>
      <c r="C226" s="50"/>
    </row>
    <row r="227">
      <c r="B227" s="50"/>
      <c r="C227" s="50"/>
    </row>
    <row r="228">
      <c r="B228" s="50"/>
      <c r="C228" s="50"/>
    </row>
    <row r="229">
      <c r="B229" s="50"/>
      <c r="C229" s="50"/>
    </row>
    <row r="230">
      <c r="B230" s="50"/>
      <c r="C230" s="50"/>
    </row>
    <row r="231">
      <c r="B231" s="50"/>
      <c r="C231" s="50"/>
    </row>
    <row r="232">
      <c r="B232" s="50"/>
      <c r="C232" s="50"/>
    </row>
    <row r="233">
      <c r="B233" s="50"/>
      <c r="C233" s="50"/>
    </row>
    <row r="234">
      <c r="B234" s="50"/>
      <c r="C234" s="50"/>
    </row>
    <row r="235">
      <c r="B235" s="50"/>
      <c r="C235" s="50"/>
    </row>
    <row r="236">
      <c r="B236" s="50"/>
      <c r="C236" s="50"/>
    </row>
    <row r="237">
      <c r="B237" s="50"/>
      <c r="C237" s="50"/>
    </row>
    <row r="238">
      <c r="B238" s="50"/>
      <c r="C238" s="50"/>
    </row>
    <row r="239">
      <c r="B239" s="50"/>
      <c r="C239" s="50"/>
    </row>
    <row r="240">
      <c r="B240" s="50"/>
      <c r="C240" s="50"/>
    </row>
    <row r="241">
      <c r="B241" s="50"/>
      <c r="C241" s="50"/>
    </row>
    <row r="242">
      <c r="B242" s="50"/>
      <c r="C242" s="50"/>
    </row>
    <row r="243">
      <c r="B243" s="50"/>
      <c r="C243" s="50"/>
    </row>
    <row r="244">
      <c r="B244" s="50"/>
      <c r="C244" s="50"/>
    </row>
    <row r="245">
      <c r="B245" s="50"/>
      <c r="C245" s="50"/>
    </row>
    <row r="246">
      <c r="B246" s="50"/>
      <c r="C246" s="50"/>
    </row>
    <row r="247">
      <c r="B247" s="50"/>
      <c r="C247" s="50"/>
    </row>
    <row r="248">
      <c r="B248" s="50"/>
      <c r="C248" s="50"/>
    </row>
    <row r="249">
      <c r="B249" s="50"/>
      <c r="C249" s="50"/>
    </row>
    <row r="250">
      <c r="B250" s="50"/>
      <c r="C250" s="50"/>
    </row>
    <row r="251">
      <c r="B251" s="50"/>
      <c r="C251" s="50"/>
    </row>
    <row r="252">
      <c r="B252" s="50"/>
      <c r="C252" s="50"/>
    </row>
    <row r="253">
      <c r="B253" s="50"/>
      <c r="C253" s="50"/>
    </row>
    <row r="254">
      <c r="B254" s="50"/>
      <c r="C254" s="50"/>
    </row>
    <row r="255">
      <c r="B255" s="50"/>
      <c r="C255" s="50"/>
    </row>
    <row r="256">
      <c r="B256" s="50"/>
      <c r="C256" s="50"/>
    </row>
    <row r="257">
      <c r="B257" s="50"/>
      <c r="C257" s="50"/>
    </row>
    <row r="258">
      <c r="B258" s="50"/>
      <c r="C258" s="50"/>
    </row>
    <row r="259">
      <c r="B259" s="50"/>
      <c r="C259" s="50"/>
    </row>
    <row r="260">
      <c r="B260" s="50"/>
      <c r="C260" s="50"/>
    </row>
    <row r="261">
      <c r="B261" s="50"/>
      <c r="C261" s="50"/>
    </row>
    <row r="262">
      <c r="B262" s="50"/>
      <c r="C262" s="50"/>
    </row>
    <row r="263">
      <c r="B263" s="50"/>
      <c r="C263" s="50"/>
    </row>
    <row r="264">
      <c r="B264" s="50"/>
      <c r="C264" s="50"/>
    </row>
    <row r="265">
      <c r="B265" s="50"/>
      <c r="C265" s="50"/>
    </row>
    <row r="266">
      <c r="B266" s="50"/>
      <c r="C266" s="50"/>
    </row>
    <row r="267">
      <c r="B267" s="50"/>
      <c r="C267" s="50"/>
    </row>
    <row r="268">
      <c r="B268" s="50"/>
      <c r="C268" s="50"/>
    </row>
    <row r="269">
      <c r="B269" s="50"/>
      <c r="C269" s="50"/>
    </row>
    <row r="270">
      <c r="B270" s="50"/>
      <c r="C270" s="50"/>
    </row>
    <row r="271">
      <c r="B271" s="50"/>
      <c r="C271" s="50"/>
    </row>
    <row r="272">
      <c r="B272" s="50"/>
      <c r="C272" s="50"/>
    </row>
    <row r="273">
      <c r="B273" s="50"/>
      <c r="C273" s="50"/>
    </row>
    <row r="274">
      <c r="B274" s="50"/>
      <c r="C274" s="50"/>
    </row>
    <row r="275">
      <c r="B275" s="50"/>
      <c r="C275" s="50"/>
    </row>
    <row r="276">
      <c r="B276" s="50"/>
      <c r="C276" s="50"/>
    </row>
    <row r="277">
      <c r="B277" s="50"/>
      <c r="C277" s="50"/>
    </row>
    <row r="278">
      <c r="B278" s="50"/>
      <c r="C278" s="50"/>
    </row>
    <row r="279">
      <c r="B279" s="50"/>
      <c r="C279" s="50"/>
    </row>
    <row r="280">
      <c r="B280" s="50"/>
      <c r="C280" s="50"/>
    </row>
    <row r="281">
      <c r="B281" s="50"/>
      <c r="C281" s="50"/>
    </row>
    <row r="282">
      <c r="B282" s="50"/>
      <c r="C282" s="50"/>
    </row>
    <row r="283">
      <c r="B283" s="50"/>
      <c r="C283" s="50"/>
    </row>
    <row r="284">
      <c r="B284" s="50"/>
      <c r="C284" s="50"/>
    </row>
    <row r="285">
      <c r="B285" s="50"/>
      <c r="C285" s="50"/>
    </row>
    <row r="286">
      <c r="B286" s="50"/>
      <c r="C286" s="50"/>
    </row>
    <row r="287">
      <c r="B287" s="50"/>
      <c r="C287" s="50"/>
    </row>
    <row r="288">
      <c r="B288" s="50"/>
      <c r="C288" s="50"/>
    </row>
    <row r="289">
      <c r="B289" s="50"/>
      <c r="C289" s="50"/>
    </row>
    <row r="290">
      <c r="B290" s="50"/>
      <c r="C290" s="50"/>
    </row>
    <row r="291">
      <c r="B291" s="50"/>
      <c r="C291" s="50"/>
    </row>
    <row r="292">
      <c r="B292" s="50"/>
      <c r="C292" s="50"/>
    </row>
    <row r="293">
      <c r="B293" s="50"/>
      <c r="C293" s="50"/>
    </row>
    <row r="294">
      <c r="B294" s="50"/>
      <c r="C294" s="50"/>
    </row>
    <row r="295">
      <c r="B295" s="50"/>
      <c r="C295" s="50"/>
    </row>
    <row r="296">
      <c r="B296" s="50"/>
      <c r="C296" s="50"/>
    </row>
    <row r="297">
      <c r="B297" s="50"/>
      <c r="C297" s="50"/>
    </row>
    <row r="298">
      <c r="B298" s="50"/>
      <c r="C298" s="50"/>
    </row>
    <row r="299">
      <c r="B299" s="50"/>
      <c r="C299" s="50"/>
    </row>
    <row r="300">
      <c r="B300" s="50"/>
      <c r="C300" s="50"/>
    </row>
    <row r="301">
      <c r="B301" s="50"/>
      <c r="C301" s="50"/>
    </row>
    <row r="302">
      <c r="B302" s="50"/>
      <c r="C302" s="50"/>
    </row>
    <row r="303">
      <c r="B303" s="50"/>
      <c r="C303" s="50"/>
    </row>
    <row r="304">
      <c r="B304" s="50"/>
      <c r="C304" s="50"/>
    </row>
    <row r="305">
      <c r="B305" s="50"/>
      <c r="C305" s="50"/>
    </row>
    <row r="306">
      <c r="B306" s="50"/>
      <c r="C306" s="50"/>
    </row>
    <row r="307">
      <c r="B307" s="50"/>
      <c r="C307" s="50"/>
    </row>
    <row r="308">
      <c r="B308" s="50"/>
      <c r="C308" s="50"/>
    </row>
    <row r="309">
      <c r="B309" s="50"/>
      <c r="C309" s="50"/>
    </row>
    <row r="310">
      <c r="B310" s="50"/>
      <c r="C310" s="50"/>
    </row>
    <row r="311">
      <c r="B311" s="50"/>
      <c r="C311" s="50"/>
    </row>
    <row r="312">
      <c r="B312" s="50"/>
      <c r="C312" s="50"/>
    </row>
    <row r="313">
      <c r="B313" s="50"/>
      <c r="C313" s="50"/>
    </row>
    <row r="314">
      <c r="B314" s="50"/>
      <c r="C314" s="50"/>
    </row>
    <row r="315">
      <c r="B315" s="50"/>
      <c r="C315" s="50"/>
    </row>
    <row r="316">
      <c r="B316" s="50"/>
      <c r="C316" s="50"/>
    </row>
    <row r="317">
      <c r="B317" s="50"/>
      <c r="C317" s="50"/>
    </row>
    <row r="318">
      <c r="B318" s="50"/>
      <c r="C318" s="50"/>
    </row>
    <row r="319">
      <c r="B319" s="50"/>
      <c r="C319" s="50"/>
    </row>
    <row r="320">
      <c r="B320" s="50"/>
      <c r="C320" s="50"/>
    </row>
    <row r="321">
      <c r="B321" s="50"/>
      <c r="C321" s="50"/>
    </row>
    <row r="322">
      <c r="B322" s="50"/>
      <c r="C322" s="50"/>
    </row>
    <row r="323">
      <c r="B323" s="50"/>
      <c r="C323" s="50"/>
    </row>
    <row r="324">
      <c r="B324" s="50"/>
      <c r="C324" s="50"/>
    </row>
    <row r="325">
      <c r="B325" s="50"/>
      <c r="C325" s="50"/>
    </row>
    <row r="326">
      <c r="B326" s="50"/>
      <c r="C326" s="50"/>
    </row>
    <row r="327">
      <c r="B327" s="50"/>
      <c r="C327" s="50"/>
    </row>
    <row r="328">
      <c r="B328" s="50"/>
      <c r="C328" s="50"/>
    </row>
    <row r="329">
      <c r="B329" s="50"/>
      <c r="C329" s="50"/>
    </row>
    <row r="330">
      <c r="B330" s="50"/>
      <c r="C330" s="50"/>
    </row>
    <row r="331">
      <c r="B331" s="50"/>
      <c r="C331" s="50"/>
    </row>
    <row r="332">
      <c r="B332" s="50"/>
      <c r="C332" s="50"/>
    </row>
    <row r="333">
      <c r="B333" s="50"/>
      <c r="C333" s="50"/>
    </row>
    <row r="334">
      <c r="B334" s="50"/>
      <c r="C334" s="50"/>
    </row>
    <row r="335">
      <c r="B335" s="50"/>
      <c r="C335" s="50"/>
    </row>
    <row r="336">
      <c r="B336" s="50"/>
      <c r="C336" s="50"/>
    </row>
    <row r="337">
      <c r="B337" s="50"/>
      <c r="C337" s="50"/>
    </row>
    <row r="338">
      <c r="B338" s="50"/>
      <c r="C338" s="50"/>
    </row>
    <row r="339">
      <c r="B339" s="50"/>
      <c r="C339" s="50"/>
    </row>
    <row r="340">
      <c r="B340" s="50"/>
      <c r="C340" s="50"/>
    </row>
    <row r="341">
      <c r="B341" s="50"/>
      <c r="C341" s="50"/>
    </row>
    <row r="342">
      <c r="B342" s="50"/>
      <c r="C342" s="50"/>
    </row>
    <row r="343">
      <c r="B343" s="50"/>
      <c r="C343" s="50"/>
    </row>
    <row r="344">
      <c r="B344" s="50"/>
      <c r="C344" s="50"/>
    </row>
    <row r="345">
      <c r="B345" s="50"/>
      <c r="C345" s="50"/>
    </row>
    <row r="346">
      <c r="B346" s="50"/>
      <c r="C346" s="50"/>
    </row>
    <row r="347">
      <c r="B347" s="50"/>
      <c r="C347" s="50"/>
    </row>
    <row r="348">
      <c r="B348" s="50"/>
      <c r="C348" s="50"/>
    </row>
    <row r="349">
      <c r="B349" s="50"/>
      <c r="C349" s="50"/>
    </row>
    <row r="350">
      <c r="B350" s="50"/>
      <c r="C350" s="50"/>
    </row>
    <row r="351">
      <c r="B351" s="50"/>
      <c r="C351" s="50"/>
    </row>
    <row r="352">
      <c r="B352" s="50"/>
      <c r="C352" s="50"/>
    </row>
    <row r="353">
      <c r="B353" s="50"/>
      <c r="C353" s="50"/>
    </row>
    <row r="354">
      <c r="B354" s="50"/>
      <c r="C354" s="50"/>
    </row>
    <row r="355">
      <c r="B355" s="50"/>
      <c r="C355" s="50"/>
    </row>
    <row r="356">
      <c r="B356" s="50"/>
      <c r="C356" s="50"/>
    </row>
    <row r="357">
      <c r="B357" s="50"/>
      <c r="C357" s="50"/>
    </row>
    <row r="358">
      <c r="B358" s="50"/>
      <c r="C358" s="50"/>
    </row>
    <row r="359">
      <c r="B359" s="50"/>
      <c r="C359" s="50"/>
    </row>
    <row r="360">
      <c r="B360" s="50"/>
      <c r="C360" s="50"/>
    </row>
    <row r="361">
      <c r="B361" s="50"/>
      <c r="C361" s="50"/>
    </row>
    <row r="362">
      <c r="B362" s="50"/>
      <c r="C362" s="50"/>
    </row>
    <row r="363">
      <c r="B363" s="50"/>
      <c r="C363" s="50"/>
    </row>
    <row r="364">
      <c r="B364" s="50"/>
      <c r="C364" s="50"/>
    </row>
    <row r="365">
      <c r="B365" s="50"/>
      <c r="C365" s="50"/>
    </row>
    <row r="366">
      <c r="B366" s="50"/>
      <c r="C366" s="50"/>
    </row>
    <row r="367">
      <c r="B367" s="50"/>
      <c r="C367" s="50"/>
    </row>
    <row r="368">
      <c r="B368" s="50"/>
      <c r="C368" s="50"/>
    </row>
    <row r="369">
      <c r="B369" s="50"/>
      <c r="C369" s="50"/>
    </row>
    <row r="370">
      <c r="B370" s="50"/>
      <c r="C370" s="50"/>
    </row>
    <row r="371">
      <c r="B371" s="50"/>
      <c r="C371" s="50"/>
    </row>
    <row r="372">
      <c r="B372" s="50"/>
      <c r="C372" s="50"/>
    </row>
    <row r="373">
      <c r="B373" s="50"/>
      <c r="C373" s="50"/>
    </row>
    <row r="374">
      <c r="B374" s="50"/>
      <c r="C374" s="50"/>
    </row>
    <row r="375">
      <c r="B375" s="50"/>
      <c r="C375" s="50"/>
    </row>
    <row r="376">
      <c r="B376" s="50"/>
      <c r="C376" s="50"/>
    </row>
    <row r="377">
      <c r="B377" s="50"/>
      <c r="C377" s="50"/>
    </row>
    <row r="378">
      <c r="B378" s="50"/>
      <c r="C378" s="50"/>
    </row>
    <row r="379">
      <c r="B379" s="50"/>
      <c r="C379" s="50"/>
    </row>
    <row r="380">
      <c r="B380" s="50"/>
      <c r="C380" s="50"/>
    </row>
    <row r="381">
      <c r="B381" s="50"/>
      <c r="C381" s="50"/>
    </row>
    <row r="382">
      <c r="B382" s="50"/>
      <c r="C382" s="50"/>
    </row>
    <row r="383">
      <c r="B383" s="50"/>
      <c r="C383" s="50"/>
    </row>
    <row r="384">
      <c r="B384" s="50"/>
      <c r="C384" s="50"/>
    </row>
    <row r="385">
      <c r="B385" s="50"/>
      <c r="C385" s="50"/>
    </row>
    <row r="386">
      <c r="B386" s="50"/>
      <c r="C386" s="50"/>
    </row>
    <row r="387">
      <c r="B387" s="50"/>
      <c r="C387" s="50"/>
    </row>
    <row r="388">
      <c r="B388" s="50"/>
      <c r="C388" s="50"/>
    </row>
    <row r="389">
      <c r="B389" s="50"/>
      <c r="C389" s="50"/>
    </row>
    <row r="390">
      <c r="B390" s="50"/>
      <c r="C390" s="50"/>
    </row>
    <row r="391">
      <c r="B391" s="50"/>
      <c r="C391" s="50"/>
    </row>
    <row r="392">
      <c r="B392" s="50"/>
      <c r="C392" s="50"/>
    </row>
    <row r="393">
      <c r="B393" s="50"/>
      <c r="C393" s="50"/>
    </row>
    <row r="394">
      <c r="B394" s="50"/>
      <c r="C394" s="50"/>
    </row>
    <row r="395">
      <c r="B395" s="50"/>
      <c r="C395" s="50"/>
    </row>
    <row r="396">
      <c r="B396" s="50"/>
      <c r="C396" s="50"/>
    </row>
    <row r="397">
      <c r="B397" s="50"/>
      <c r="C397" s="50"/>
    </row>
    <row r="398">
      <c r="B398" s="50"/>
      <c r="C398" s="50"/>
    </row>
    <row r="399">
      <c r="B399" s="50"/>
      <c r="C399" s="50"/>
    </row>
    <row r="400">
      <c r="B400" s="50"/>
      <c r="C400" s="50"/>
    </row>
    <row r="401">
      <c r="B401" s="50"/>
      <c r="C401" s="50"/>
    </row>
    <row r="402">
      <c r="B402" s="50"/>
      <c r="C402" s="50"/>
    </row>
    <row r="403">
      <c r="B403" s="50"/>
      <c r="C403" s="50"/>
    </row>
    <row r="404">
      <c r="B404" s="50"/>
      <c r="C404" s="50"/>
    </row>
    <row r="405">
      <c r="B405" s="50"/>
      <c r="C405" s="50"/>
    </row>
    <row r="406">
      <c r="B406" s="50"/>
      <c r="C406" s="50"/>
    </row>
    <row r="407">
      <c r="B407" s="50"/>
      <c r="C407" s="50"/>
    </row>
    <row r="408">
      <c r="B408" s="50"/>
      <c r="C408" s="50"/>
    </row>
    <row r="409">
      <c r="B409" s="50"/>
      <c r="C409" s="50"/>
    </row>
    <row r="410">
      <c r="B410" s="50"/>
      <c r="C410" s="50"/>
    </row>
    <row r="411">
      <c r="B411" s="50"/>
      <c r="C411" s="50"/>
    </row>
    <row r="412">
      <c r="B412" s="50"/>
      <c r="C412" s="50"/>
    </row>
    <row r="413">
      <c r="B413" s="50"/>
      <c r="C413" s="50"/>
    </row>
    <row r="414">
      <c r="B414" s="50"/>
      <c r="C414" s="50"/>
    </row>
    <row r="415">
      <c r="B415" s="50"/>
      <c r="C415" s="50"/>
    </row>
    <row r="416">
      <c r="B416" s="50"/>
      <c r="C416" s="50"/>
    </row>
    <row r="417">
      <c r="B417" s="50"/>
      <c r="C417" s="50"/>
    </row>
    <row r="418">
      <c r="B418" s="50"/>
      <c r="C418" s="50"/>
    </row>
    <row r="419">
      <c r="B419" s="50"/>
      <c r="C419" s="50"/>
    </row>
    <row r="420">
      <c r="B420" s="50"/>
      <c r="C420" s="50"/>
    </row>
    <row r="421">
      <c r="B421" s="50"/>
      <c r="C421" s="50"/>
    </row>
    <row r="422">
      <c r="B422" s="50"/>
      <c r="C422" s="50"/>
    </row>
    <row r="423">
      <c r="B423" s="50"/>
      <c r="C423" s="50"/>
    </row>
    <row r="424">
      <c r="B424" s="50"/>
      <c r="C424" s="50"/>
    </row>
    <row r="425">
      <c r="B425" s="50"/>
      <c r="C425" s="50"/>
    </row>
    <row r="426">
      <c r="B426" s="50"/>
      <c r="C426" s="50"/>
    </row>
    <row r="427">
      <c r="B427" s="50"/>
      <c r="C427" s="50"/>
    </row>
    <row r="428">
      <c r="B428" s="50"/>
      <c r="C428" s="50"/>
    </row>
    <row r="429">
      <c r="B429" s="50"/>
      <c r="C429" s="50"/>
    </row>
    <row r="430">
      <c r="B430" s="50"/>
      <c r="C430" s="50"/>
    </row>
    <row r="431">
      <c r="B431" s="50"/>
      <c r="C431" s="50"/>
    </row>
    <row r="432">
      <c r="B432" s="50"/>
      <c r="C432" s="50"/>
    </row>
    <row r="433">
      <c r="B433" s="50"/>
      <c r="C433" s="50"/>
    </row>
    <row r="434">
      <c r="B434" s="50"/>
      <c r="C434" s="50"/>
    </row>
    <row r="435">
      <c r="B435" s="50"/>
      <c r="C435" s="50"/>
    </row>
    <row r="436">
      <c r="B436" s="50"/>
      <c r="C436" s="50"/>
    </row>
    <row r="437">
      <c r="B437" s="50"/>
      <c r="C437" s="50"/>
    </row>
    <row r="438">
      <c r="B438" s="50"/>
      <c r="C438" s="50"/>
    </row>
    <row r="439">
      <c r="B439" s="50"/>
      <c r="C439" s="50"/>
    </row>
    <row r="440">
      <c r="B440" s="50"/>
      <c r="C440" s="50"/>
    </row>
    <row r="441">
      <c r="B441" s="50"/>
      <c r="C441" s="50"/>
    </row>
    <row r="442">
      <c r="B442" s="50"/>
      <c r="C442" s="50"/>
    </row>
    <row r="443">
      <c r="B443" s="50"/>
      <c r="C443" s="50"/>
    </row>
    <row r="444">
      <c r="B444" s="50"/>
      <c r="C444" s="50"/>
    </row>
    <row r="445">
      <c r="B445" s="50"/>
      <c r="C445" s="50"/>
    </row>
    <row r="446">
      <c r="B446" s="50"/>
      <c r="C446" s="50"/>
    </row>
    <row r="447">
      <c r="B447" s="50"/>
      <c r="C447" s="50"/>
    </row>
    <row r="448">
      <c r="B448" s="50"/>
      <c r="C448" s="50"/>
    </row>
    <row r="449">
      <c r="B449" s="50"/>
      <c r="C449" s="50"/>
    </row>
    <row r="450">
      <c r="B450" s="50"/>
      <c r="C450" s="50"/>
    </row>
    <row r="451">
      <c r="B451" s="50"/>
      <c r="C451" s="50"/>
    </row>
    <row r="452">
      <c r="B452" s="50"/>
      <c r="C452" s="50"/>
    </row>
    <row r="453">
      <c r="B453" s="50"/>
      <c r="C453" s="50"/>
    </row>
    <row r="454">
      <c r="B454" s="50"/>
      <c r="C454" s="50"/>
    </row>
    <row r="455">
      <c r="B455" s="50"/>
      <c r="C455" s="50"/>
    </row>
    <row r="456">
      <c r="B456" s="50"/>
      <c r="C456" s="50"/>
    </row>
    <row r="457">
      <c r="B457" s="50"/>
      <c r="C457" s="50"/>
    </row>
    <row r="458">
      <c r="B458" s="50"/>
      <c r="C458" s="50"/>
    </row>
    <row r="459">
      <c r="B459" s="50"/>
      <c r="C459" s="50"/>
    </row>
    <row r="460">
      <c r="B460" s="50"/>
      <c r="C460" s="50"/>
    </row>
    <row r="461">
      <c r="B461" s="50"/>
      <c r="C461" s="50"/>
    </row>
    <row r="462">
      <c r="B462" s="50"/>
      <c r="C462" s="50"/>
    </row>
    <row r="463">
      <c r="B463" s="50"/>
      <c r="C463" s="50"/>
    </row>
    <row r="464">
      <c r="B464" s="50"/>
      <c r="C464" s="50"/>
    </row>
    <row r="465">
      <c r="B465" s="50"/>
      <c r="C465" s="50"/>
    </row>
    <row r="466">
      <c r="B466" s="50"/>
      <c r="C466" s="50"/>
    </row>
    <row r="467">
      <c r="B467" s="50"/>
      <c r="C467" s="50"/>
    </row>
    <row r="468">
      <c r="B468" s="50"/>
      <c r="C468" s="50"/>
    </row>
    <row r="469">
      <c r="B469" s="50"/>
      <c r="C469" s="50"/>
    </row>
    <row r="470">
      <c r="B470" s="50"/>
      <c r="C470" s="50"/>
    </row>
    <row r="471">
      <c r="B471" s="50"/>
      <c r="C471" s="50"/>
    </row>
    <row r="472">
      <c r="B472" s="50"/>
      <c r="C472" s="50"/>
    </row>
    <row r="473">
      <c r="B473" s="50"/>
      <c r="C473" s="50"/>
    </row>
    <row r="474">
      <c r="B474" s="50"/>
      <c r="C474" s="50"/>
    </row>
    <row r="475">
      <c r="B475" s="50"/>
      <c r="C475" s="50"/>
    </row>
    <row r="476">
      <c r="B476" s="50"/>
      <c r="C476" s="50"/>
    </row>
    <row r="477">
      <c r="B477" s="50"/>
      <c r="C477" s="50"/>
    </row>
    <row r="478">
      <c r="B478" s="50"/>
      <c r="C478" s="50"/>
    </row>
    <row r="479">
      <c r="B479" s="50"/>
      <c r="C479" s="50"/>
    </row>
    <row r="480">
      <c r="B480" s="50"/>
      <c r="C480" s="50"/>
    </row>
    <row r="481">
      <c r="B481" s="50"/>
      <c r="C481" s="50"/>
    </row>
    <row r="482">
      <c r="B482" s="50"/>
      <c r="C482" s="50"/>
    </row>
    <row r="483">
      <c r="B483" s="50"/>
      <c r="C483" s="50"/>
    </row>
    <row r="484">
      <c r="B484" s="50"/>
      <c r="C484" s="50"/>
    </row>
    <row r="485">
      <c r="B485" s="50"/>
      <c r="C485" s="50"/>
    </row>
    <row r="486">
      <c r="B486" s="50"/>
      <c r="C486" s="50"/>
    </row>
    <row r="487">
      <c r="B487" s="50"/>
      <c r="C487" s="50"/>
    </row>
    <row r="488">
      <c r="B488" s="50"/>
      <c r="C488" s="50"/>
    </row>
    <row r="489">
      <c r="B489" s="50"/>
      <c r="C489" s="50"/>
    </row>
    <row r="490">
      <c r="B490" s="50"/>
      <c r="C490" s="50"/>
    </row>
    <row r="491">
      <c r="B491" s="50"/>
      <c r="C491" s="50"/>
    </row>
    <row r="492">
      <c r="B492" s="50"/>
      <c r="C492" s="50"/>
    </row>
    <row r="493">
      <c r="B493" s="50"/>
      <c r="C493" s="50"/>
    </row>
    <row r="494">
      <c r="B494" s="50"/>
      <c r="C494" s="50"/>
    </row>
    <row r="495">
      <c r="B495" s="50"/>
      <c r="C495" s="50"/>
    </row>
    <row r="496">
      <c r="B496" s="50"/>
      <c r="C496" s="50"/>
    </row>
    <row r="497">
      <c r="B497" s="50"/>
      <c r="C497" s="50"/>
    </row>
    <row r="498">
      <c r="B498" s="50"/>
      <c r="C498" s="50"/>
    </row>
    <row r="499">
      <c r="B499" s="50"/>
      <c r="C499" s="50"/>
    </row>
    <row r="500">
      <c r="B500" s="50"/>
      <c r="C500" s="50"/>
    </row>
    <row r="501">
      <c r="B501" s="50"/>
      <c r="C501" s="50"/>
    </row>
    <row r="502">
      <c r="B502" s="50"/>
      <c r="C502" s="50"/>
    </row>
    <row r="503">
      <c r="B503" s="50"/>
      <c r="C503" s="50"/>
    </row>
    <row r="504">
      <c r="B504" s="50"/>
      <c r="C504" s="50"/>
    </row>
    <row r="505">
      <c r="B505" s="50"/>
      <c r="C505" s="50"/>
    </row>
    <row r="506">
      <c r="B506" s="50"/>
      <c r="C506" s="50"/>
    </row>
    <row r="507">
      <c r="B507" s="50"/>
      <c r="C507" s="50"/>
    </row>
    <row r="508">
      <c r="B508" s="50"/>
      <c r="C508" s="50"/>
    </row>
    <row r="509">
      <c r="B509" s="50"/>
      <c r="C509" s="50"/>
    </row>
    <row r="510">
      <c r="B510" s="50"/>
      <c r="C510" s="50"/>
    </row>
    <row r="511">
      <c r="B511" s="50"/>
      <c r="C511" s="50"/>
    </row>
    <row r="512">
      <c r="B512" s="50"/>
      <c r="C512" s="50"/>
    </row>
    <row r="513">
      <c r="B513" s="50"/>
      <c r="C513" s="50"/>
    </row>
    <row r="514">
      <c r="B514" s="50"/>
      <c r="C514" s="50"/>
    </row>
    <row r="515">
      <c r="B515" s="50"/>
      <c r="C515" s="50"/>
    </row>
    <row r="516">
      <c r="B516" s="50"/>
      <c r="C516" s="50"/>
    </row>
    <row r="517">
      <c r="B517" s="50"/>
      <c r="C517" s="50"/>
    </row>
    <row r="518">
      <c r="B518" s="50"/>
      <c r="C518" s="50"/>
    </row>
    <row r="519">
      <c r="B519" s="50"/>
      <c r="C519" s="50"/>
    </row>
    <row r="520">
      <c r="B520" s="50"/>
      <c r="C520" s="50"/>
    </row>
    <row r="521">
      <c r="B521" s="50"/>
      <c r="C521" s="50"/>
    </row>
    <row r="522">
      <c r="B522" s="50"/>
      <c r="C522" s="50"/>
    </row>
    <row r="523">
      <c r="B523" s="50"/>
      <c r="C523" s="50"/>
    </row>
    <row r="524">
      <c r="B524" s="50"/>
      <c r="C524" s="50"/>
    </row>
    <row r="525">
      <c r="B525" s="50"/>
      <c r="C525" s="50"/>
    </row>
    <row r="526">
      <c r="B526" s="50"/>
      <c r="C526" s="50"/>
    </row>
    <row r="527">
      <c r="B527" s="50"/>
      <c r="C527" s="50"/>
    </row>
    <row r="528">
      <c r="B528" s="50"/>
      <c r="C528" s="50"/>
    </row>
    <row r="529">
      <c r="B529" s="50"/>
      <c r="C529" s="50"/>
    </row>
    <row r="530">
      <c r="B530" s="50"/>
      <c r="C530" s="50"/>
    </row>
    <row r="531">
      <c r="B531" s="50"/>
      <c r="C531" s="50"/>
    </row>
    <row r="532">
      <c r="B532" s="50"/>
      <c r="C532" s="50"/>
    </row>
    <row r="533">
      <c r="B533" s="50"/>
      <c r="C533" s="50"/>
    </row>
    <row r="534">
      <c r="B534" s="50"/>
      <c r="C534" s="50"/>
    </row>
    <row r="535">
      <c r="B535" s="50"/>
      <c r="C535" s="50"/>
    </row>
    <row r="536">
      <c r="B536" s="50"/>
      <c r="C536" s="50"/>
    </row>
    <row r="537">
      <c r="B537" s="50"/>
      <c r="C537" s="50"/>
    </row>
    <row r="538">
      <c r="B538" s="50"/>
      <c r="C538" s="50"/>
    </row>
    <row r="539">
      <c r="B539" s="50"/>
      <c r="C539" s="50"/>
    </row>
    <row r="540">
      <c r="B540" s="50"/>
      <c r="C540" s="50"/>
    </row>
    <row r="541">
      <c r="B541" s="50"/>
      <c r="C541" s="50"/>
    </row>
    <row r="542">
      <c r="B542" s="50"/>
      <c r="C542" s="50"/>
    </row>
    <row r="543">
      <c r="B543" s="50"/>
      <c r="C543" s="50"/>
    </row>
    <row r="544">
      <c r="B544" s="50"/>
      <c r="C544" s="50"/>
    </row>
    <row r="545">
      <c r="B545" s="50"/>
      <c r="C545" s="50"/>
    </row>
    <row r="546">
      <c r="B546" s="50"/>
      <c r="C546" s="50"/>
    </row>
    <row r="547">
      <c r="B547" s="50"/>
      <c r="C547" s="50"/>
    </row>
    <row r="548">
      <c r="B548" s="50"/>
      <c r="C548" s="50"/>
    </row>
    <row r="549">
      <c r="B549" s="50"/>
      <c r="C549" s="50"/>
    </row>
    <row r="550">
      <c r="B550" s="50"/>
      <c r="C550" s="50"/>
    </row>
    <row r="551">
      <c r="B551" s="50"/>
      <c r="C551" s="50"/>
    </row>
    <row r="552">
      <c r="B552" s="50"/>
      <c r="C552" s="50"/>
    </row>
    <row r="553">
      <c r="B553" s="50"/>
      <c r="C553" s="50"/>
    </row>
    <row r="554">
      <c r="B554" s="50"/>
      <c r="C554" s="50"/>
    </row>
    <row r="555">
      <c r="B555" s="50"/>
      <c r="C555" s="50"/>
    </row>
    <row r="556">
      <c r="B556" s="50"/>
      <c r="C556" s="50"/>
    </row>
    <row r="557">
      <c r="B557" s="50"/>
      <c r="C557" s="50"/>
    </row>
    <row r="558">
      <c r="B558" s="50"/>
      <c r="C558" s="50"/>
    </row>
    <row r="559">
      <c r="B559" s="50"/>
      <c r="C559" s="50"/>
    </row>
    <row r="560">
      <c r="B560" s="50"/>
      <c r="C560" s="50"/>
    </row>
    <row r="561">
      <c r="B561" s="50"/>
      <c r="C561" s="50"/>
    </row>
    <row r="562">
      <c r="B562" s="50"/>
      <c r="C562" s="50"/>
    </row>
    <row r="563">
      <c r="B563" s="50"/>
      <c r="C563" s="50"/>
    </row>
    <row r="564">
      <c r="B564" s="50"/>
      <c r="C564" s="50"/>
    </row>
    <row r="565">
      <c r="B565" s="50"/>
      <c r="C565" s="50"/>
    </row>
    <row r="566">
      <c r="B566" s="50"/>
      <c r="C566" s="50"/>
    </row>
    <row r="567">
      <c r="B567" s="50"/>
      <c r="C567" s="50"/>
    </row>
    <row r="568">
      <c r="B568" s="50"/>
      <c r="C568" s="50"/>
    </row>
    <row r="569">
      <c r="B569" s="50"/>
      <c r="C569" s="50"/>
    </row>
    <row r="570">
      <c r="B570" s="50"/>
      <c r="C570" s="50"/>
    </row>
    <row r="571">
      <c r="B571" s="50"/>
      <c r="C571" s="50"/>
    </row>
    <row r="572">
      <c r="B572" s="50"/>
      <c r="C572" s="50"/>
    </row>
    <row r="573">
      <c r="B573" s="50"/>
      <c r="C573" s="50"/>
    </row>
    <row r="574">
      <c r="B574" s="50"/>
      <c r="C574" s="50"/>
    </row>
    <row r="575">
      <c r="B575" s="50"/>
      <c r="C575" s="50"/>
    </row>
    <row r="576">
      <c r="B576" s="50"/>
      <c r="C576" s="50"/>
    </row>
    <row r="577">
      <c r="B577" s="50"/>
      <c r="C577" s="50"/>
    </row>
    <row r="578">
      <c r="B578" s="50"/>
      <c r="C578" s="50"/>
    </row>
    <row r="579">
      <c r="B579" s="50"/>
      <c r="C579" s="50"/>
    </row>
    <row r="580">
      <c r="B580" s="50"/>
      <c r="C580" s="50"/>
    </row>
    <row r="581">
      <c r="B581" s="50"/>
      <c r="C581" s="50"/>
    </row>
    <row r="582">
      <c r="B582" s="50"/>
      <c r="C582" s="50"/>
    </row>
    <row r="583">
      <c r="B583" s="50"/>
      <c r="C583" s="50"/>
    </row>
    <row r="584">
      <c r="B584" s="50"/>
      <c r="C584" s="50"/>
    </row>
    <row r="585">
      <c r="B585" s="50"/>
      <c r="C585" s="50"/>
    </row>
    <row r="586">
      <c r="B586" s="50"/>
      <c r="C586" s="50"/>
    </row>
    <row r="587">
      <c r="B587" s="50"/>
      <c r="C587" s="50"/>
    </row>
    <row r="588">
      <c r="B588" s="50"/>
      <c r="C588" s="50"/>
    </row>
    <row r="589">
      <c r="B589" s="50"/>
      <c r="C589" s="50"/>
    </row>
    <row r="590">
      <c r="B590" s="50"/>
      <c r="C590" s="50"/>
    </row>
    <row r="591">
      <c r="B591" s="50"/>
      <c r="C591" s="50"/>
    </row>
    <row r="592">
      <c r="B592" s="50"/>
      <c r="C592" s="50"/>
    </row>
    <row r="593">
      <c r="B593" s="50"/>
      <c r="C593" s="50"/>
    </row>
    <row r="594">
      <c r="B594" s="50"/>
      <c r="C594" s="50"/>
    </row>
    <row r="595">
      <c r="B595" s="50"/>
      <c r="C595" s="50"/>
    </row>
    <row r="596">
      <c r="B596" s="50"/>
      <c r="C596" s="50"/>
    </row>
    <row r="597">
      <c r="B597" s="50"/>
      <c r="C597" s="50"/>
    </row>
    <row r="598">
      <c r="B598" s="50"/>
      <c r="C598" s="50"/>
    </row>
    <row r="599">
      <c r="B599" s="50"/>
      <c r="C599" s="50"/>
    </row>
    <row r="600">
      <c r="B600" s="50"/>
      <c r="C600" s="50"/>
    </row>
    <row r="601">
      <c r="B601" s="50"/>
      <c r="C601" s="50"/>
    </row>
    <row r="602">
      <c r="B602" s="50"/>
      <c r="C602" s="50"/>
    </row>
    <row r="603">
      <c r="B603" s="50"/>
      <c r="C603" s="50"/>
    </row>
    <row r="604">
      <c r="B604" s="50"/>
      <c r="C604" s="50"/>
    </row>
    <row r="605">
      <c r="B605" s="50"/>
      <c r="C605" s="50"/>
    </row>
    <row r="606">
      <c r="B606" s="50"/>
      <c r="C606" s="50"/>
    </row>
    <row r="607">
      <c r="B607" s="50"/>
      <c r="C607" s="50"/>
    </row>
    <row r="608">
      <c r="B608" s="50"/>
      <c r="C608" s="50"/>
    </row>
    <row r="609">
      <c r="B609" s="50"/>
      <c r="C609" s="50"/>
    </row>
    <row r="610">
      <c r="B610" s="50"/>
      <c r="C610" s="50"/>
    </row>
    <row r="611">
      <c r="B611" s="50"/>
      <c r="C611" s="50"/>
    </row>
    <row r="612">
      <c r="B612" s="50"/>
      <c r="C612" s="50"/>
    </row>
    <row r="613">
      <c r="B613" s="50"/>
      <c r="C613" s="50"/>
    </row>
    <row r="614">
      <c r="B614" s="50"/>
      <c r="C614" s="50"/>
    </row>
    <row r="615">
      <c r="B615" s="50"/>
      <c r="C615" s="50"/>
    </row>
    <row r="616">
      <c r="B616" s="50"/>
      <c r="C616" s="50"/>
    </row>
    <row r="617">
      <c r="B617" s="50"/>
      <c r="C617" s="50"/>
    </row>
    <row r="618">
      <c r="B618" s="50"/>
      <c r="C618" s="50"/>
    </row>
    <row r="619">
      <c r="B619" s="50"/>
      <c r="C619" s="50"/>
    </row>
    <row r="620">
      <c r="B620" s="50"/>
      <c r="C620" s="50"/>
    </row>
    <row r="621">
      <c r="B621" s="50"/>
      <c r="C621" s="50"/>
    </row>
    <row r="622">
      <c r="B622" s="50"/>
      <c r="C622" s="50"/>
    </row>
    <row r="623">
      <c r="B623" s="50"/>
      <c r="C623" s="50"/>
    </row>
    <row r="624">
      <c r="B624" s="50"/>
      <c r="C624" s="50"/>
    </row>
    <row r="625">
      <c r="B625" s="50"/>
      <c r="C625" s="50"/>
    </row>
    <row r="626">
      <c r="B626" s="50"/>
      <c r="C626" s="50"/>
    </row>
    <row r="627">
      <c r="B627" s="50"/>
      <c r="C627" s="50"/>
    </row>
    <row r="628">
      <c r="B628" s="50"/>
      <c r="C628" s="50"/>
    </row>
    <row r="629">
      <c r="B629" s="50"/>
      <c r="C629" s="50"/>
    </row>
    <row r="630">
      <c r="B630" s="50"/>
      <c r="C630" s="50"/>
    </row>
    <row r="631">
      <c r="B631" s="50"/>
      <c r="C631" s="50"/>
    </row>
    <row r="632">
      <c r="B632" s="50"/>
      <c r="C632" s="50"/>
    </row>
    <row r="633">
      <c r="B633" s="50"/>
      <c r="C633" s="50"/>
    </row>
    <row r="634">
      <c r="B634" s="50"/>
      <c r="C634" s="50"/>
    </row>
    <row r="635">
      <c r="B635" s="50"/>
      <c r="C635" s="50"/>
    </row>
    <row r="636">
      <c r="B636" s="50"/>
      <c r="C636" s="50"/>
    </row>
    <row r="637">
      <c r="B637" s="50"/>
      <c r="C637" s="50"/>
    </row>
    <row r="638">
      <c r="B638" s="50"/>
      <c r="C638" s="50"/>
    </row>
    <row r="639">
      <c r="B639" s="50"/>
      <c r="C639" s="50"/>
    </row>
    <row r="640">
      <c r="B640" s="50"/>
      <c r="C640" s="50"/>
    </row>
    <row r="641">
      <c r="B641" s="50"/>
      <c r="C641" s="50"/>
    </row>
    <row r="642">
      <c r="B642" s="50"/>
      <c r="C642" s="50"/>
    </row>
    <row r="643">
      <c r="B643" s="50"/>
      <c r="C643" s="50"/>
    </row>
    <row r="644">
      <c r="B644" s="50"/>
      <c r="C644" s="50"/>
    </row>
    <row r="645">
      <c r="B645" s="50"/>
      <c r="C645" s="50"/>
    </row>
    <row r="646">
      <c r="B646" s="50"/>
      <c r="C646" s="50"/>
    </row>
    <row r="647">
      <c r="B647" s="50"/>
      <c r="C647" s="50"/>
    </row>
    <row r="648">
      <c r="B648" s="50"/>
      <c r="C648" s="50"/>
    </row>
    <row r="649">
      <c r="B649" s="50"/>
      <c r="C649" s="50"/>
    </row>
    <row r="650">
      <c r="B650" s="50"/>
      <c r="C650" s="50"/>
    </row>
    <row r="651">
      <c r="B651" s="50"/>
      <c r="C651" s="50"/>
    </row>
    <row r="652">
      <c r="B652" s="50"/>
      <c r="C652" s="50"/>
    </row>
    <row r="653">
      <c r="B653" s="50"/>
      <c r="C653" s="50"/>
    </row>
    <row r="654">
      <c r="B654" s="50"/>
      <c r="C654" s="50"/>
    </row>
    <row r="655">
      <c r="B655" s="50"/>
      <c r="C655" s="50"/>
    </row>
    <row r="656">
      <c r="B656" s="50"/>
      <c r="C656" s="50"/>
    </row>
    <row r="657">
      <c r="B657" s="50"/>
      <c r="C657" s="50"/>
    </row>
    <row r="658">
      <c r="B658" s="50"/>
      <c r="C658" s="50"/>
    </row>
    <row r="659">
      <c r="B659" s="50"/>
      <c r="C659" s="50"/>
    </row>
    <row r="660">
      <c r="B660" s="50"/>
      <c r="C660" s="50"/>
    </row>
    <row r="661">
      <c r="B661" s="50"/>
      <c r="C661" s="50"/>
    </row>
    <row r="662">
      <c r="B662" s="50"/>
      <c r="C662" s="50"/>
    </row>
    <row r="663">
      <c r="B663" s="50"/>
      <c r="C663" s="50"/>
    </row>
    <row r="664">
      <c r="B664" s="50"/>
      <c r="C664" s="50"/>
    </row>
    <row r="665">
      <c r="B665" s="50"/>
      <c r="C665" s="50"/>
    </row>
    <row r="666">
      <c r="B666" s="50"/>
      <c r="C666" s="50"/>
    </row>
    <row r="667">
      <c r="B667" s="50"/>
      <c r="C667" s="50"/>
    </row>
    <row r="668">
      <c r="B668" s="50"/>
      <c r="C668" s="50"/>
    </row>
    <row r="669">
      <c r="B669" s="50"/>
      <c r="C669" s="50"/>
    </row>
    <row r="670">
      <c r="B670" s="50"/>
      <c r="C670" s="50"/>
    </row>
    <row r="671">
      <c r="B671" s="50"/>
      <c r="C671" s="50"/>
    </row>
    <row r="672">
      <c r="B672" s="50"/>
      <c r="C672" s="50"/>
    </row>
    <row r="673">
      <c r="B673" s="50"/>
      <c r="C673" s="50"/>
    </row>
    <row r="674">
      <c r="B674" s="50"/>
      <c r="C674" s="50"/>
    </row>
    <row r="675">
      <c r="B675" s="50"/>
      <c r="C675" s="50"/>
    </row>
    <row r="676">
      <c r="B676" s="50"/>
      <c r="C676" s="50"/>
    </row>
    <row r="677">
      <c r="B677" s="50"/>
      <c r="C677" s="50"/>
    </row>
    <row r="678">
      <c r="B678" s="50"/>
      <c r="C678" s="50"/>
    </row>
    <row r="679">
      <c r="B679" s="50"/>
      <c r="C679" s="50"/>
    </row>
    <row r="680">
      <c r="B680" s="50"/>
      <c r="C680" s="50"/>
    </row>
    <row r="681">
      <c r="B681" s="50"/>
      <c r="C681" s="50"/>
    </row>
    <row r="682">
      <c r="B682" s="50"/>
      <c r="C682" s="50"/>
    </row>
    <row r="683">
      <c r="B683" s="50"/>
      <c r="C683" s="50"/>
    </row>
    <row r="684">
      <c r="B684" s="50"/>
      <c r="C684" s="50"/>
    </row>
    <row r="685">
      <c r="B685" s="50"/>
      <c r="C685" s="50"/>
    </row>
    <row r="686">
      <c r="B686" s="50"/>
      <c r="C686" s="50"/>
    </row>
    <row r="687">
      <c r="B687" s="50"/>
      <c r="C687" s="50"/>
    </row>
    <row r="688">
      <c r="B688" s="50"/>
      <c r="C688" s="50"/>
    </row>
    <row r="689">
      <c r="B689" s="50"/>
      <c r="C689" s="50"/>
    </row>
    <row r="690">
      <c r="B690" s="50"/>
      <c r="C690" s="50"/>
    </row>
    <row r="691">
      <c r="B691" s="50"/>
      <c r="C691" s="50"/>
    </row>
    <row r="692">
      <c r="B692" s="50"/>
      <c r="C692" s="50"/>
    </row>
    <row r="693">
      <c r="B693" s="50"/>
      <c r="C693" s="50"/>
    </row>
    <row r="694">
      <c r="B694" s="50"/>
      <c r="C694" s="50"/>
    </row>
    <row r="695">
      <c r="B695" s="50"/>
      <c r="C695" s="50"/>
    </row>
    <row r="696">
      <c r="B696" s="50"/>
      <c r="C696" s="50"/>
    </row>
    <row r="697">
      <c r="B697" s="50"/>
      <c r="C697" s="50"/>
    </row>
    <row r="698">
      <c r="B698" s="50"/>
      <c r="C698" s="50"/>
    </row>
    <row r="699">
      <c r="B699" s="50"/>
      <c r="C699" s="50"/>
    </row>
    <row r="700">
      <c r="B700" s="50"/>
      <c r="C700" s="50"/>
    </row>
    <row r="701">
      <c r="B701" s="50"/>
      <c r="C701" s="50"/>
    </row>
    <row r="702">
      <c r="B702" s="50"/>
      <c r="C702" s="50"/>
    </row>
    <row r="703">
      <c r="B703" s="50"/>
      <c r="C703" s="50"/>
    </row>
    <row r="704">
      <c r="B704" s="50"/>
      <c r="C704" s="50"/>
    </row>
    <row r="705">
      <c r="B705" s="50"/>
      <c r="C705" s="50"/>
    </row>
    <row r="706">
      <c r="B706" s="50"/>
      <c r="C706" s="50"/>
    </row>
    <row r="707">
      <c r="B707" s="50"/>
      <c r="C707" s="50"/>
    </row>
    <row r="708">
      <c r="B708" s="50"/>
      <c r="C708" s="50"/>
    </row>
    <row r="709">
      <c r="B709" s="50"/>
      <c r="C709" s="50"/>
    </row>
    <row r="710">
      <c r="B710" s="50"/>
      <c r="C710" s="50"/>
    </row>
    <row r="711">
      <c r="B711" s="50"/>
      <c r="C711" s="50"/>
    </row>
    <row r="712">
      <c r="B712" s="50"/>
      <c r="C712" s="50"/>
    </row>
    <row r="713">
      <c r="B713" s="50"/>
      <c r="C713" s="50"/>
    </row>
    <row r="714">
      <c r="B714" s="50"/>
      <c r="C714" s="50"/>
    </row>
    <row r="715">
      <c r="B715" s="50"/>
      <c r="C715" s="50"/>
    </row>
    <row r="716">
      <c r="B716" s="50"/>
      <c r="C716" s="50"/>
    </row>
    <row r="717">
      <c r="B717" s="50"/>
      <c r="C717" s="50"/>
    </row>
    <row r="718">
      <c r="B718" s="50"/>
      <c r="C718" s="50"/>
    </row>
    <row r="719">
      <c r="B719" s="50"/>
      <c r="C719" s="50"/>
    </row>
    <row r="720">
      <c r="B720" s="50"/>
      <c r="C720" s="50"/>
    </row>
    <row r="721">
      <c r="B721" s="50"/>
      <c r="C721" s="50"/>
    </row>
    <row r="722">
      <c r="B722" s="50"/>
      <c r="C722" s="50"/>
    </row>
    <row r="723">
      <c r="B723" s="50"/>
      <c r="C723" s="50"/>
    </row>
    <row r="724">
      <c r="B724" s="50"/>
      <c r="C724" s="50"/>
    </row>
    <row r="725">
      <c r="B725" s="50"/>
      <c r="C725" s="50"/>
    </row>
    <row r="726">
      <c r="B726" s="50"/>
      <c r="C726" s="50"/>
    </row>
    <row r="727">
      <c r="B727" s="50"/>
      <c r="C727" s="50"/>
    </row>
    <row r="728">
      <c r="B728" s="50"/>
      <c r="C728" s="50"/>
    </row>
    <row r="729">
      <c r="B729" s="50"/>
      <c r="C729" s="50"/>
    </row>
    <row r="730">
      <c r="B730" s="50"/>
      <c r="C730" s="50"/>
    </row>
    <row r="731">
      <c r="B731" s="50"/>
      <c r="C731" s="50"/>
    </row>
    <row r="732">
      <c r="B732" s="50"/>
      <c r="C732" s="50"/>
    </row>
    <row r="733">
      <c r="B733" s="50"/>
      <c r="C733" s="50"/>
    </row>
    <row r="734">
      <c r="B734" s="50"/>
      <c r="C734" s="50"/>
    </row>
    <row r="735">
      <c r="B735" s="50"/>
      <c r="C735" s="50"/>
    </row>
    <row r="736">
      <c r="B736" s="50"/>
      <c r="C736" s="50"/>
    </row>
    <row r="737">
      <c r="B737" s="50"/>
      <c r="C737" s="50"/>
    </row>
    <row r="738">
      <c r="B738" s="50"/>
      <c r="C738" s="50"/>
    </row>
    <row r="739">
      <c r="B739" s="50"/>
      <c r="C739" s="50"/>
    </row>
    <row r="740">
      <c r="B740" s="50"/>
      <c r="C740" s="50"/>
    </row>
    <row r="741">
      <c r="B741" s="50"/>
      <c r="C741" s="50"/>
    </row>
    <row r="742">
      <c r="B742" s="50"/>
      <c r="C742" s="50"/>
    </row>
    <row r="743">
      <c r="B743" s="50"/>
      <c r="C743" s="50"/>
    </row>
    <row r="744">
      <c r="B744" s="50"/>
      <c r="C744" s="50"/>
    </row>
    <row r="745">
      <c r="B745" s="50"/>
      <c r="C745" s="50"/>
    </row>
    <row r="746">
      <c r="B746" s="50"/>
      <c r="C746" s="50"/>
    </row>
    <row r="747">
      <c r="B747" s="50"/>
      <c r="C747" s="50"/>
    </row>
    <row r="748">
      <c r="B748" s="50"/>
      <c r="C748" s="50"/>
    </row>
    <row r="749">
      <c r="B749" s="50"/>
      <c r="C749" s="50"/>
    </row>
    <row r="750">
      <c r="B750" s="50"/>
      <c r="C750" s="50"/>
    </row>
    <row r="751">
      <c r="B751" s="50"/>
      <c r="C751" s="50"/>
    </row>
    <row r="752">
      <c r="B752" s="50"/>
      <c r="C752" s="50"/>
    </row>
    <row r="753">
      <c r="B753" s="50"/>
      <c r="C753" s="50"/>
    </row>
    <row r="754">
      <c r="B754" s="50"/>
      <c r="C754" s="50"/>
    </row>
    <row r="755">
      <c r="B755" s="50"/>
      <c r="C755" s="50"/>
    </row>
    <row r="756">
      <c r="B756" s="50"/>
      <c r="C756" s="50"/>
    </row>
    <row r="757">
      <c r="B757" s="50"/>
      <c r="C757" s="50"/>
    </row>
    <row r="758">
      <c r="B758" s="50"/>
      <c r="C758" s="50"/>
    </row>
    <row r="759">
      <c r="B759" s="50"/>
      <c r="C759" s="50"/>
    </row>
    <row r="760">
      <c r="B760" s="50"/>
      <c r="C760" s="50"/>
    </row>
    <row r="761">
      <c r="B761" s="50"/>
      <c r="C761" s="50"/>
    </row>
    <row r="762">
      <c r="B762" s="50"/>
      <c r="C762" s="50"/>
    </row>
    <row r="763">
      <c r="B763" s="50"/>
      <c r="C763" s="50"/>
    </row>
    <row r="764">
      <c r="B764" s="50"/>
      <c r="C764" s="50"/>
    </row>
    <row r="765">
      <c r="B765" s="50"/>
      <c r="C765" s="50"/>
    </row>
    <row r="766">
      <c r="B766" s="50"/>
      <c r="C766" s="50"/>
    </row>
    <row r="767">
      <c r="B767" s="50"/>
      <c r="C767" s="50"/>
    </row>
    <row r="768">
      <c r="B768" s="50"/>
      <c r="C768" s="50"/>
    </row>
    <row r="769">
      <c r="B769" s="50"/>
      <c r="C769" s="50"/>
    </row>
    <row r="770">
      <c r="B770" s="50"/>
      <c r="C770" s="50"/>
    </row>
    <row r="771">
      <c r="B771" s="50"/>
      <c r="C771" s="50"/>
    </row>
    <row r="772">
      <c r="B772" s="50"/>
      <c r="C772" s="50"/>
    </row>
    <row r="773">
      <c r="B773" s="50"/>
      <c r="C773" s="50"/>
    </row>
    <row r="774">
      <c r="B774" s="50"/>
      <c r="C774" s="50"/>
    </row>
    <row r="775">
      <c r="B775" s="50"/>
      <c r="C775" s="50"/>
    </row>
    <row r="776">
      <c r="B776" s="50"/>
      <c r="C776" s="50"/>
    </row>
    <row r="777">
      <c r="B777" s="50"/>
      <c r="C777" s="50"/>
    </row>
    <row r="778">
      <c r="B778" s="50"/>
      <c r="C778" s="50"/>
    </row>
    <row r="779">
      <c r="B779" s="50"/>
      <c r="C779" s="50"/>
    </row>
    <row r="780">
      <c r="B780" s="50"/>
      <c r="C780" s="50"/>
    </row>
    <row r="781">
      <c r="B781" s="50"/>
      <c r="C781" s="50"/>
    </row>
    <row r="782">
      <c r="B782" s="50"/>
      <c r="C782" s="50"/>
    </row>
    <row r="783">
      <c r="B783" s="50"/>
      <c r="C783" s="50"/>
    </row>
    <row r="784">
      <c r="B784" s="50"/>
      <c r="C784" s="50"/>
    </row>
    <row r="785">
      <c r="B785" s="50"/>
      <c r="C785" s="50"/>
    </row>
    <row r="786">
      <c r="B786" s="50"/>
      <c r="C786" s="50"/>
    </row>
    <row r="787">
      <c r="B787" s="50"/>
      <c r="C787" s="50"/>
    </row>
    <row r="788">
      <c r="B788" s="50"/>
      <c r="C788" s="50"/>
    </row>
    <row r="789">
      <c r="B789" s="50"/>
      <c r="C789" s="50"/>
    </row>
    <row r="790">
      <c r="B790" s="50"/>
      <c r="C790" s="50"/>
    </row>
    <row r="791">
      <c r="B791" s="50"/>
      <c r="C791" s="50"/>
    </row>
    <row r="792">
      <c r="B792" s="50"/>
      <c r="C792" s="50"/>
    </row>
    <row r="793">
      <c r="B793" s="50"/>
      <c r="C793" s="50"/>
    </row>
    <row r="794">
      <c r="B794" s="50"/>
      <c r="C794" s="50"/>
    </row>
    <row r="795">
      <c r="B795" s="50"/>
      <c r="C795" s="50"/>
    </row>
    <row r="796">
      <c r="B796" s="50"/>
      <c r="C796" s="50"/>
    </row>
    <row r="797">
      <c r="B797" s="50"/>
      <c r="C797" s="50"/>
    </row>
    <row r="798">
      <c r="B798" s="50"/>
      <c r="C798" s="50"/>
    </row>
    <row r="799">
      <c r="B799" s="50"/>
      <c r="C799" s="50"/>
    </row>
    <row r="800">
      <c r="B800" s="50"/>
      <c r="C800" s="50"/>
    </row>
    <row r="801">
      <c r="B801" s="50"/>
      <c r="C801" s="50"/>
    </row>
    <row r="802">
      <c r="B802" s="50"/>
      <c r="C802" s="50"/>
    </row>
    <row r="803">
      <c r="B803" s="50"/>
      <c r="C803" s="50"/>
    </row>
    <row r="804">
      <c r="B804" s="50"/>
      <c r="C804" s="50"/>
    </row>
    <row r="805">
      <c r="B805" s="50"/>
      <c r="C805" s="50"/>
    </row>
    <row r="806">
      <c r="B806" s="50"/>
      <c r="C806" s="50"/>
    </row>
    <row r="807">
      <c r="B807" s="50"/>
      <c r="C807" s="50"/>
    </row>
    <row r="808">
      <c r="B808" s="50"/>
      <c r="C808" s="50"/>
    </row>
    <row r="809">
      <c r="B809" s="50"/>
      <c r="C809" s="50"/>
    </row>
    <row r="810">
      <c r="B810" s="50"/>
      <c r="C810" s="50"/>
    </row>
    <row r="811">
      <c r="B811" s="50"/>
      <c r="C811" s="50"/>
    </row>
    <row r="812">
      <c r="B812" s="50"/>
      <c r="C812" s="50"/>
    </row>
    <row r="813">
      <c r="B813" s="50"/>
      <c r="C813" s="50"/>
    </row>
    <row r="814">
      <c r="B814" s="50"/>
      <c r="C814" s="50"/>
    </row>
    <row r="815">
      <c r="B815" s="50"/>
      <c r="C815" s="50"/>
    </row>
    <row r="816">
      <c r="B816" s="50"/>
      <c r="C816" s="50"/>
    </row>
    <row r="817">
      <c r="B817" s="50"/>
      <c r="C817" s="50"/>
    </row>
    <row r="818">
      <c r="B818" s="50"/>
      <c r="C818" s="50"/>
    </row>
    <row r="819">
      <c r="B819" s="50"/>
      <c r="C819" s="50"/>
    </row>
    <row r="820">
      <c r="B820" s="50"/>
      <c r="C820" s="50"/>
    </row>
    <row r="821">
      <c r="B821" s="50"/>
      <c r="C821" s="50"/>
    </row>
    <row r="822">
      <c r="B822" s="50"/>
      <c r="C822" s="50"/>
    </row>
    <row r="823">
      <c r="B823" s="50"/>
      <c r="C823" s="50"/>
    </row>
    <row r="824">
      <c r="B824" s="50"/>
      <c r="C824" s="50"/>
    </row>
    <row r="825">
      <c r="B825" s="50"/>
      <c r="C825" s="50"/>
    </row>
    <row r="826">
      <c r="B826" s="50"/>
      <c r="C826" s="50"/>
    </row>
    <row r="827">
      <c r="B827" s="50"/>
      <c r="C827" s="50"/>
    </row>
    <row r="828">
      <c r="B828" s="50"/>
      <c r="C828" s="50"/>
    </row>
    <row r="829">
      <c r="B829" s="50"/>
      <c r="C829" s="50"/>
    </row>
    <row r="830">
      <c r="B830" s="50"/>
      <c r="C830" s="50"/>
    </row>
    <row r="831">
      <c r="B831" s="50"/>
      <c r="C831" s="50"/>
    </row>
    <row r="832">
      <c r="B832" s="50"/>
      <c r="C832" s="50"/>
    </row>
    <row r="833">
      <c r="B833" s="50"/>
      <c r="C833" s="50"/>
    </row>
    <row r="834">
      <c r="B834" s="50"/>
      <c r="C834" s="50"/>
    </row>
    <row r="835">
      <c r="B835" s="50"/>
      <c r="C835" s="50"/>
    </row>
    <row r="836">
      <c r="B836" s="50"/>
      <c r="C836" s="50"/>
    </row>
    <row r="837">
      <c r="B837" s="50"/>
      <c r="C837" s="50"/>
    </row>
    <row r="838">
      <c r="B838" s="50"/>
      <c r="C838" s="50"/>
    </row>
    <row r="839">
      <c r="B839" s="50"/>
      <c r="C839" s="50"/>
    </row>
    <row r="840">
      <c r="B840" s="50"/>
      <c r="C840" s="50"/>
    </row>
    <row r="841">
      <c r="B841" s="50"/>
      <c r="C841" s="50"/>
    </row>
    <row r="842">
      <c r="B842" s="50"/>
      <c r="C842" s="50"/>
    </row>
    <row r="843">
      <c r="B843" s="50"/>
      <c r="C843" s="50"/>
    </row>
    <row r="844">
      <c r="B844" s="50"/>
      <c r="C844" s="50"/>
    </row>
    <row r="845">
      <c r="B845" s="50"/>
      <c r="C845" s="50"/>
    </row>
    <row r="846">
      <c r="B846" s="50"/>
      <c r="C846" s="50"/>
    </row>
    <row r="847">
      <c r="B847" s="50"/>
      <c r="C847" s="50"/>
    </row>
    <row r="848">
      <c r="B848" s="50"/>
      <c r="C848" s="50"/>
    </row>
    <row r="849">
      <c r="B849" s="50"/>
      <c r="C849" s="50"/>
    </row>
    <row r="850">
      <c r="B850" s="50"/>
      <c r="C850" s="50"/>
    </row>
    <row r="851">
      <c r="B851" s="50"/>
      <c r="C851" s="50"/>
    </row>
    <row r="852">
      <c r="B852" s="50"/>
      <c r="C852" s="50"/>
    </row>
    <row r="853">
      <c r="B853" s="50"/>
      <c r="C853" s="50"/>
    </row>
    <row r="854">
      <c r="B854" s="50"/>
      <c r="C854" s="50"/>
    </row>
    <row r="855">
      <c r="B855" s="50"/>
      <c r="C855" s="50"/>
    </row>
    <row r="856">
      <c r="B856" s="50"/>
      <c r="C856" s="50"/>
    </row>
    <row r="857">
      <c r="B857" s="50"/>
      <c r="C857" s="50"/>
    </row>
    <row r="858">
      <c r="B858" s="50"/>
      <c r="C858" s="50"/>
    </row>
    <row r="859">
      <c r="B859" s="50"/>
      <c r="C859" s="50"/>
    </row>
    <row r="860">
      <c r="B860" s="50"/>
      <c r="C860" s="50"/>
    </row>
    <row r="861">
      <c r="B861" s="50"/>
      <c r="C861" s="50"/>
    </row>
    <row r="862">
      <c r="B862" s="50"/>
      <c r="C862" s="50"/>
    </row>
    <row r="863">
      <c r="B863" s="50"/>
      <c r="C863" s="50"/>
    </row>
    <row r="864">
      <c r="B864" s="50"/>
      <c r="C864" s="50"/>
    </row>
    <row r="865">
      <c r="B865" s="50"/>
      <c r="C865" s="50"/>
    </row>
    <row r="866">
      <c r="B866" s="50"/>
      <c r="C866" s="50"/>
    </row>
    <row r="867">
      <c r="B867" s="50"/>
      <c r="C867" s="50"/>
    </row>
    <row r="868">
      <c r="B868" s="50"/>
      <c r="C868" s="50"/>
    </row>
    <row r="869">
      <c r="B869" s="50"/>
      <c r="C869" s="50"/>
    </row>
    <row r="870">
      <c r="B870" s="50"/>
      <c r="C870" s="50"/>
    </row>
    <row r="871">
      <c r="B871" s="50"/>
      <c r="C871" s="50"/>
    </row>
    <row r="872">
      <c r="B872" s="50"/>
      <c r="C872" s="50"/>
    </row>
    <row r="873">
      <c r="B873" s="50"/>
      <c r="C873" s="50"/>
    </row>
    <row r="874">
      <c r="B874" s="50"/>
      <c r="C874" s="50"/>
    </row>
    <row r="875">
      <c r="B875" s="50"/>
      <c r="C875" s="50"/>
    </row>
    <row r="876">
      <c r="B876" s="50"/>
      <c r="C876" s="50"/>
    </row>
    <row r="877">
      <c r="B877" s="50"/>
      <c r="C877" s="50"/>
    </row>
    <row r="878">
      <c r="B878" s="50"/>
      <c r="C878" s="50"/>
    </row>
    <row r="879">
      <c r="B879" s="50"/>
      <c r="C879" s="50"/>
    </row>
    <row r="880">
      <c r="B880" s="50"/>
      <c r="C880" s="50"/>
    </row>
    <row r="881">
      <c r="B881" s="50"/>
      <c r="C881" s="50"/>
    </row>
    <row r="882">
      <c r="B882" s="50"/>
      <c r="C882" s="50"/>
    </row>
    <row r="883">
      <c r="B883" s="50"/>
      <c r="C883" s="50"/>
    </row>
    <row r="884">
      <c r="B884" s="50"/>
      <c r="C884" s="50"/>
    </row>
    <row r="885">
      <c r="B885" s="50"/>
      <c r="C885" s="50"/>
    </row>
    <row r="886">
      <c r="B886" s="50"/>
      <c r="C886" s="50"/>
    </row>
    <row r="887">
      <c r="B887" s="50"/>
      <c r="C887" s="50"/>
    </row>
    <row r="888">
      <c r="B888" s="50"/>
      <c r="C888" s="50"/>
    </row>
    <row r="889">
      <c r="B889" s="50"/>
      <c r="C889" s="50"/>
    </row>
    <row r="890">
      <c r="B890" s="50"/>
      <c r="C890" s="50"/>
    </row>
    <row r="891">
      <c r="B891" s="50"/>
      <c r="C891" s="50"/>
    </row>
    <row r="892">
      <c r="B892" s="50"/>
      <c r="C892" s="50"/>
    </row>
    <row r="893">
      <c r="B893" s="50"/>
      <c r="C893" s="50"/>
    </row>
    <row r="894">
      <c r="B894" s="50"/>
      <c r="C894" s="50"/>
    </row>
    <row r="895">
      <c r="B895" s="50"/>
      <c r="C895" s="50"/>
    </row>
    <row r="896">
      <c r="B896" s="50"/>
      <c r="C896" s="50"/>
    </row>
    <row r="897">
      <c r="B897" s="50"/>
      <c r="C897" s="50"/>
    </row>
    <row r="898">
      <c r="B898" s="50"/>
      <c r="C898" s="50"/>
    </row>
    <row r="899">
      <c r="B899" s="50"/>
      <c r="C899" s="50"/>
    </row>
    <row r="900">
      <c r="B900" s="50"/>
      <c r="C900" s="50"/>
    </row>
  </sheetData>
  <mergeCells count="17">
    <mergeCell ref="A2:A3"/>
    <mergeCell ref="B2:B3"/>
    <mergeCell ref="C2:C3"/>
    <mergeCell ref="Q2:R2"/>
    <mergeCell ref="Q3:R3"/>
    <mergeCell ref="Q4:R4"/>
    <mergeCell ref="Q5:R5"/>
    <mergeCell ref="Q13:R13"/>
    <mergeCell ref="Q14:R14"/>
    <mergeCell ref="Q15:R15"/>
    <mergeCell ref="Q6:R6"/>
    <mergeCell ref="Q7:R7"/>
    <mergeCell ref="Q8:R8"/>
    <mergeCell ref="Q9:R9"/>
    <mergeCell ref="Q10:R10"/>
    <mergeCell ref="Q11:R11"/>
    <mergeCell ref="Q12:R12"/>
  </mergeCells>
  <conditionalFormatting sqref="D4:P15">
    <cfRule type="beginsWith" dxfId="0" priority="1" operator="beginsWith" text="a">
      <formula>LEFT((D4),LEN("a"))=("a")</formula>
    </cfRule>
  </conditionalFormatting>
  <conditionalFormatting sqref="D4:P20">
    <cfRule type="beginsWith" dxfId="0" priority="2" operator="beginsWith" text="-">
      <formula>LEFT((D4),LEN("-"))=("-")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5"/>
    <col customWidth="1" min="3" max="3" width="20.63"/>
  </cols>
  <sheetData>
    <row r="1">
      <c r="A1" s="2" t="s">
        <v>0</v>
      </c>
      <c r="C1" s="4"/>
    </row>
    <row r="2">
      <c r="A2" s="2" t="s">
        <v>4</v>
      </c>
      <c r="C2" s="4"/>
    </row>
    <row r="3">
      <c r="A3" s="2" t="s">
        <v>7</v>
      </c>
      <c r="C3" s="4"/>
    </row>
    <row r="4">
      <c r="A4" s="7" t="s">
        <v>9</v>
      </c>
      <c r="B4" s="4"/>
      <c r="C4" s="4"/>
    </row>
    <row r="5">
      <c r="A5" s="7" t="s">
        <v>11</v>
      </c>
      <c r="B5" s="4"/>
      <c r="C5" s="4"/>
    </row>
    <row r="6">
      <c r="A6" s="4"/>
      <c r="B6" s="4"/>
      <c r="C6" s="4"/>
    </row>
    <row r="7">
      <c r="A7" s="11" t="s">
        <v>14</v>
      </c>
      <c r="B7" s="11" t="s">
        <v>24</v>
      </c>
      <c r="C7" s="11" t="s">
        <v>26</v>
      </c>
    </row>
    <row r="8">
      <c r="A8" s="14">
        <v>1.0</v>
      </c>
      <c r="B8" s="20" t="s">
        <v>27</v>
      </c>
      <c r="C8" s="22" t="s">
        <v>29</v>
      </c>
    </row>
    <row r="9">
      <c r="A9" s="23"/>
      <c r="B9" s="20" t="s">
        <v>32</v>
      </c>
      <c r="C9" s="22" t="s">
        <v>29</v>
      </c>
    </row>
    <row r="10">
      <c r="A10" s="23"/>
      <c r="B10" s="20" t="s">
        <v>34</v>
      </c>
      <c r="C10" s="22" t="s">
        <v>29</v>
      </c>
    </row>
    <row r="11">
      <c r="A11" s="23"/>
      <c r="B11" s="20" t="s">
        <v>37</v>
      </c>
      <c r="C11" s="22" t="s">
        <v>29</v>
      </c>
    </row>
    <row r="12">
      <c r="A12" s="23"/>
      <c r="B12" s="20" t="s">
        <v>42</v>
      </c>
      <c r="C12" s="22" t="s">
        <v>29</v>
      </c>
    </row>
    <row r="13">
      <c r="A13" s="23"/>
      <c r="B13" s="20" t="s">
        <v>47</v>
      </c>
      <c r="C13" s="22" t="s">
        <v>29</v>
      </c>
    </row>
    <row r="14">
      <c r="A14" s="23"/>
      <c r="B14" s="20" t="s">
        <v>52</v>
      </c>
      <c r="C14" s="22" t="s">
        <v>29</v>
      </c>
    </row>
    <row r="15">
      <c r="A15" s="23"/>
      <c r="B15" s="20" t="s">
        <v>56</v>
      </c>
      <c r="C15" s="22" t="s">
        <v>29</v>
      </c>
    </row>
    <row r="16">
      <c r="A16" s="23"/>
      <c r="B16" s="20" t="s">
        <v>59</v>
      </c>
      <c r="C16" s="22" t="s">
        <v>29</v>
      </c>
    </row>
    <row r="17">
      <c r="A17" s="23"/>
      <c r="B17" s="20" t="s">
        <v>61</v>
      </c>
      <c r="C17" s="22" t="s">
        <v>29</v>
      </c>
    </row>
    <row r="18">
      <c r="A18" s="23"/>
      <c r="B18" s="20" t="s">
        <v>63</v>
      </c>
      <c r="C18" s="22" t="s">
        <v>29</v>
      </c>
    </row>
    <row r="19">
      <c r="A19" s="23"/>
      <c r="B19" s="20" t="s">
        <v>67</v>
      </c>
      <c r="C19" s="22" t="s">
        <v>29</v>
      </c>
    </row>
    <row r="20">
      <c r="A20" s="23"/>
      <c r="B20" s="20" t="s">
        <v>72</v>
      </c>
      <c r="C20" s="22" t="s">
        <v>29</v>
      </c>
    </row>
    <row r="21">
      <c r="A21" s="23"/>
      <c r="B21" s="20" t="s">
        <v>73</v>
      </c>
      <c r="C21" s="22" t="s">
        <v>29</v>
      </c>
    </row>
    <row r="22">
      <c r="A22" s="23"/>
      <c r="B22" s="20" t="s">
        <v>76</v>
      </c>
      <c r="C22" s="22" t="s">
        <v>29</v>
      </c>
    </row>
    <row r="23">
      <c r="A23" s="14">
        <v>2.0</v>
      </c>
      <c r="B23" s="20" t="s">
        <v>78</v>
      </c>
      <c r="C23" s="22" t="s">
        <v>29</v>
      </c>
    </row>
    <row r="24">
      <c r="A24" s="23"/>
      <c r="B24" s="20" t="s">
        <v>81</v>
      </c>
      <c r="C24" s="22" t="s">
        <v>29</v>
      </c>
    </row>
    <row r="25">
      <c r="A25" s="23"/>
      <c r="B25" s="20" t="s">
        <v>83</v>
      </c>
      <c r="C25" s="22" t="s">
        <v>29</v>
      </c>
    </row>
    <row r="26">
      <c r="A26" s="23"/>
      <c r="B26" s="20" t="s">
        <v>85</v>
      </c>
      <c r="C26" s="22" t="s">
        <v>29</v>
      </c>
    </row>
    <row r="27">
      <c r="A27" s="23"/>
      <c r="B27" s="20" t="s">
        <v>88</v>
      </c>
      <c r="C27" s="22" t="s">
        <v>29</v>
      </c>
    </row>
    <row r="28">
      <c r="A28" s="23"/>
      <c r="B28" s="20" t="s">
        <v>89</v>
      </c>
      <c r="C28" s="22" t="s">
        <v>29</v>
      </c>
    </row>
    <row r="29">
      <c r="A29" s="23"/>
      <c r="B29" s="20" t="s">
        <v>93</v>
      </c>
      <c r="C29" s="22" t="s">
        <v>29</v>
      </c>
    </row>
    <row r="30">
      <c r="A30" s="23"/>
      <c r="B30" s="20" t="s">
        <v>97</v>
      </c>
      <c r="C30" s="22" t="s">
        <v>29</v>
      </c>
    </row>
    <row r="31">
      <c r="A31" s="23"/>
      <c r="B31" s="20" t="s">
        <v>98</v>
      </c>
      <c r="C31" s="22" t="s">
        <v>29</v>
      </c>
    </row>
    <row r="32">
      <c r="A32" s="23"/>
      <c r="B32" s="20" t="s">
        <v>101</v>
      </c>
      <c r="C32" s="22" t="s">
        <v>29</v>
      </c>
    </row>
    <row r="33">
      <c r="A33" s="23"/>
      <c r="B33" s="20" t="s">
        <v>103</v>
      </c>
      <c r="C33" s="22" t="s">
        <v>29</v>
      </c>
    </row>
    <row r="34">
      <c r="A34" s="14">
        <v>3.0</v>
      </c>
      <c r="B34" s="20" t="s">
        <v>106</v>
      </c>
      <c r="C34" s="22" t="s">
        <v>29</v>
      </c>
    </row>
    <row r="35">
      <c r="A35" s="23"/>
      <c r="B35" s="20" t="s">
        <v>108</v>
      </c>
      <c r="C35" s="22" t="s">
        <v>29</v>
      </c>
    </row>
    <row r="36">
      <c r="A36" s="23"/>
      <c r="B36" s="20" t="s">
        <v>109</v>
      </c>
      <c r="C36" s="22" t="s">
        <v>29</v>
      </c>
    </row>
    <row r="37">
      <c r="A37" s="23"/>
      <c r="B37" s="20" t="s">
        <v>111</v>
      </c>
      <c r="C37" s="22" t="s">
        <v>29</v>
      </c>
    </row>
    <row r="38">
      <c r="A38" s="23"/>
      <c r="B38" s="20" t="s">
        <v>112</v>
      </c>
      <c r="C38" s="22" t="s">
        <v>29</v>
      </c>
    </row>
    <row r="39">
      <c r="A39" s="23"/>
      <c r="B39" s="20" t="s">
        <v>117</v>
      </c>
      <c r="C39" s="22" t="s">
        <v>29</v>
      </c>
    </row>
    <row r="40">
      <c r="A40" s="23"/>
      <c r="B40" s="20" t="s">
        <v>120</v>
      </c>
      <c r="C40" s="22" t="s">
        <v>29</v>
      </c>
    </row>
    <row r="41">
      <c r="A41" s="23"/>
      <c r="B41" s="20" t="s">
        <v>123</v>
      </c>
      <c r="C41" s="22" t="s">
        <v>29</v>
      </c>
    </row>
    <row r="42">
      <c r="A42" s="23"/>
      <c r="B42" s="20" t="s">
        <v>125</v>
      </c>
      <c r="C42" s="22" t="s">
        <v>29</v>
      </c>
    </row>
    <row r="43">
      <c r="A43" s="23"/>
      <c r="B43" s="20" t="s">
        <v>127</v>
      </c>
      <c r="C43" s="22" t="s">
        <v>29</v>
      </c>
    </row>
    <row r="44">
      <c r="A44" s="23"/>
      <c r="B44" s="20" t="s">
        <v>130</v>
      </c>
      <c r="C44" s="22" t="s">
        <v>131</v>
      </c>
    </row>
    <row r="45">
      <c r="A45" s="14">
        <v>4.0</v>
      </c>
      <c r="B45" s="20" t="s">
        <v>135</v>
      </c>
      <c r="C45" s="22" t="s">
        <v>29</v>
      </c>
    </row>
    <row r="46">
      <c r="A46" s="23"/>
      <c r="B46" s="20" t="s">
        <v>137</v>
      </c>
      <c r="C46" s="22" t="s">
        <v>29</v>
      </c>
    </row>
    <row r="47">
      <c r="A47" s="23"/>
      <c r="B47" s="20" t="s">
        <v>139</v>
      </c>
      <c r="C47" s="22" t="s">
        <v>29</v>
      </c>
    </row>
    <row r="48">
      <c r="A48" s="23"/>
      <c r="B48" s="20" t="s">
        <v>140</v>
      </c>
      <c r="C48" s="22" t="s">
        <v>29</v>
      </c>
    </row>
    <row r="49">
      <c r="A49" s="23"/>
      <c r="B49" s="20" t="s">
        <v>142</v>
      </c>
      <c r="C49" s="22" t="s">
        <v>29</v>
      </c>
    </row>
    <row r="50">
      <c r="A50" s="23"/>
      <c r="B50" s="20" t="s">
        <v>143</v>
      </c>
      <c r="C50" s="22" t="s">
        <v>29</v>
      </c>
    </row>
    <row r="51">
      <c r="A51" s="23"/>
      <c r="B51" s="20" t="s">
        <v>145</v>
      </c>
      <c r="C51" s="22" t="s">
        <v>29</v>
      </c>
    </row>
    <row r="52">
      <c r="A52" s="23"/>
      <c r="B52" s="20" t="s">
        <v>146</v>
      </c>
      <c r="C52" s="22" t="s">
        <v>29</v>
      </c>
    </row>
    <row r="53">
      <c r="A53" s="23"/>
      <c r="B53" s="20" t="s">
        <v>149</v>
      </c>
      <c r="C53" s="22" t="s">
        <v>29</v>
      </c>
    </row>
    <row r="54">
      <c r="A54" s="23"/>
      <c r="B54" s="20" t="s">
        <v>152</v>
      </c>
      <c r="C54" s="22" t="s">
        <v>29</v>
      </c>
    </row>
    <row r="55">
      <c r="A55" s="23"/>
      <c r="B55" s="20" t="s">
        <v>153</v>
      </c>
      <c r="C55" s="22" t="s">
        <v>29</v>
      </c>
    </row>
    <row r="56">
      <c r="A56" s="23"/>
      <c r="B56" s="20" t="s">
        <v>156</v>
      </c>
      <c r="C56" s="22" t="s">
        <v>29</v>
      </c>
    </row>
    <row r="57">
      <c r="A57" s="23"/>
      <c r="B57" s="20" t="s">
        <v>157</v>
      </c>
      <c r="C57" s="22" t="s">
        <v>29</v>
      </c>
    </row>
    <row r="58">
      <c r="A58" s="23"/>
      <c r="B58" s="20" t="s">
        <v>158</v>
      </c>
      <c r="C58" s="22" t="s">
        <v>29</v>
      </c>
    </row>
    <row r="59">
      <c r="A59" s="14">
        <v>5.0</v>
      </c>
      <c r="B59" s="20" t="s">
        <v>159</v>
      </c>
      <c r="C59" s="22" t="s">
        <v>29</v>
      </c>
    </row>
    <row r="60">
      <c r="A60" s="23"/>
      <c r="B60" s="20" t="s">
        <v>160</v>
      </c>
      <c r="C60" s="22" t="s">
        <v>29</v>
      </c>
    </row>
    <row r="61">
      <c r="A61" s="23"/>
      <c r="B61" s="20" t="s">
        <v>162</v>
      </c>
      <c r="C61" s="22" t="s">
        <v>29</v>
      </c>
    </row>
    <row r="62">
      <c r="A62" s="23"/>
      <c r="B62" s="20" t="s">
        <v>164</v>
      </c>
      <c r="C62" s="22" t="s">
        <v>29</v>
      </c>
    </row>
    <row r="63">
      <c r="A63" s="23"/>
      <c r="B63" s="20" t="s">
        <v>167</v>
      </c>
      <c r="C63" s="22" t="s">
        <v>29</v>
      </c>
    </row>
    <row r="64">
      <c r="A64" s="23"/>
      <c r="B64" s="20" t="s">
        <v>168</v>
      </c>
      <c r="C64" s="22" t="s">
        <v>29</v>
      </c>
    </row>
    <row r="65">
      <c r="A65" s="23"/>
      <c r="B65" s="20" t="s">
        <v>169</v>
      </c>
      <c r="C65" s="22" t="s">
        <v>29</v>
      </c>
    </row>
    <row r="66">
      <c r="A66" s="23"/>
      <c r="B66" s="20" t="s">
        <v>171</v>
      </c>
      <c r="C66" s="22" t="s">
        <v>29</v>
      </c>
    </row>
    <row r="67">
      <c r="A67" s="23"/>
      <c r="B67" s="20" t="s">
        <v>172</v>
      </c>
      <c r="C67" s="22" t="s">
        <v>29</v>
      </c>
    </row>
    <row r="68">
      <c r="A68" s="23"/>
      <c r="B68" s="20" t="s">
        <v>174</v>
      </c>
      <c r="C68" s="22" t="s">
        <v>29</v>
      </c>
    </row>
    <row r="69">
      <c r="A69" s="23"/>
      <c r="B69" s="20" t="s">
        <v>175</v>
      </c>
      <c r="C69" s="22" t="s">
        <v>29</v>
      </c>
    </row>
    <row r="70">
      <c r="A70" s="23"/>
      <c r="B70" s="20" t="s">
        <v>177</v>
      </c>
      <c r="C70" s="22" t="s">
        <v>29</v>
      </c>
    </row>
    <row r="71">
      <c r="A71" s="14">
        <v>6.0</v>
      </c>
      <c r="B71" s="20" t="s">
        <v>179</v>
      </c>
      <c r="C71" s="22" t="s">
        <v>29</v>
      </c>
    </row>
    <row r="72">
      <c r="A72" s="23"/>
      <c r="B72" s="20" t="s">
        <v>180</v>
      </c>
      <c r="C72" s="22" t="s">
        <v>29</v>
      </c>
    </row>
    <row r="73">
      <c r="A73" s="23"/>
      <c r="B73" s="20" t="s">
        <v>183</v>
      </c>
      <c r="C73" s="22" t="s">
        <v>29</v>
      </c>
    </row>
    <row r="74">
      <c r="A74" s="23"/>
      <c r="B74" s="20" t="s">
        <v>185</v>
      </c>
      <c r="C74" s="22" t="s">
        <v>29</v>
      </c>
    </row>
    <row r="75">
      <c r="A75" s="23"/>
      <c r="B75" s="20" t="s">
        <v>187</v>
      </c>
      <c r="C75" s="22" t="s">
        <v>29</v>
      </c>
    </row>
    <row r="76">
      <c r="A76" s="23"/>
      <c r="B76" s="20" t="s">
        <v>189</v>
      </c>
      <c r="C76" s="22" t="s">
        <v>29</v>
      </c>
    </row>
    <row r="77">
      <c r="A77" s="23"/>
      <c r="B77" s="20" t="s">
        <v>192</v>
      </c>
      <c r="C77" s="22" t="s">
        <v>29</v>
      </c>
    </row>
    <row r="78">
      <c r="A78" s="23"/>
      <c r="B78" s="20" t="s">
        <v>194</v>
      </c>
      <c r="C78" s="22" t="s">
        <v>29</v>
      </c>
    </row>
    <row r="79">
      <c r="A79" s="23"/>
      <c r="B79" s="20" t="s">
        <v>196</v>
      </c>
      <c r="C79" s="22" t="s">
        <v>29</v>
      </c>
    </row>
    <row r="80">
      <c r="A80" s="23"/>
      <c r="B80" s="20" t="s">
        <v>199</v>
      </c>
      <c r="C80" s="22" t="s">
        <v>29</v>
      </c>
    </row>
    <row r="81">
      <c r="A81" s="23"/>
      <c r="B81" s="20" t="s">
        <v>200</v>
      </c>
      <c r="C81" s="22" t="s">
        <v>29</v>
      </c>
    </row>
    <row r="82">
      <c r="A82" s="23"/>
      <c r="B82" s="20" t="s">
        <v>204</v>
      </c>
      <c r="C82" s="22" t="s">
        <v>29</v>
      </c>
    </row>
    <row r="83">
      <c r="A83" s="23"/>
      <c r="B83" s="20" t="s">
        <v>207</v>
      </c>
      <c r="C83" s="22" t="s">
        <v>29</v>
      </c>
    </row>
    <row r="84">
      <c r="A84" s="23"/>
      <c r="B84" s="20" t="s">
        <v>209</v>
      </c>
      <c r="C84" s="22" t="s">
        <v>29</v>
      </c>
    </row>
    <row r="85">
      <c r="A85" s="14">
        <v>7.0</v>
      </c>
      <c r="B85" s="20" t="s">
        <v>212</v>
      </c>
      <c r="C85" s="23"/>
    </row>
    <row r="86">
      <c r="A86" s="23"/>
      <c r="B86" s="20" t="s">
        <v>215</v>
      </c>
      <c r="C86" s="22" t="s">
        <v>29</v>
      </c>
    </row>
    <row r="87">
      <c r="A87" s="23"/>
      <c r="B87" s="20" t="s">
        <v>219</v>
      </c>
      <c r="C87" s="22" t="s">
        <v>29</v>
      </c>
    </row>
    <row r="88">
      <c r="A88" s="23"/>
      <c r="B88" s="20" t="s">
        <v>222</v>
      </c>
      <c r="C88" s="22" t="s">
        <v>29</v>
      </c>
    </row>
    <row r="89">
      <c r="A89" s="23"/>
      <c r="B89" s="20" t="s">
        <v>223</v>
      </c>
      <c r="C89" s="22" t="s">
        <v>29</v>
      </c>
    </row>
    <row r="90">
      <c r="A90" s="23"/>
      <c r="B90" s="20" t="s">
        <v>228</v>
      </c>
      <c r="C90" s="22" t="s">
        <v>29</v>
      </c>
    </row>
    <row r="91">
      <c r="A91" s="23"/>
      <c r="B91" s="20" t="s">
        <v>229</v>
      </c>
      <c r="C91" s="22" t="s">
        <v>29</v>
      </c>
    </row>
    <row r="92">
      <c r="A92" s="23"/>
      <c r="B92" s="20" t="s">
        <v>230</v>
      </c>
      <c r="C92" s="22" t="s">
        <v>29</v>
      </c>
    </row>
    <row r="93">
      <c r="A93" s="23"/>
      <c r="B93" s="20" t="s">
        <v>231</v>
      </c>
      <c r="C93" s="22" t="s">
        <v>29</v>
      </c>
    </row>
    <row r="94">
      <c r="A94" s="23"/>
      <c r="B94" s="20" t="s">
        <v>232</v>
      </c>
      <c r="C94" s="22" t="s">
        <v>29</v>
      </c>
    </row>
    <row r="95">
      <c r="A95" s="23"/>
      <c r="B95" s="20" t="s">
        <v>233</v>
      </c>
      <c r="C95" s="22" t="s">
        <v>29</v>
      </c>
    </row>
    <row r="96">
      <c r="A96" s="23"/>
      <c r="B96" s="20" t="s">
        <v>235</v>
      </c>
      <c r="C96" s="22" t="s">
        <v>29</v>
      </c>
    </row>
    <row r="97">
      <c r="A97" s="23"/>
      <c r="B97" s="20" t="s">
        <v>237</v>
      </c>
      <c r="C97" s="22" t="s">
        <v>29</v>
      </c>
    </row>
    <row r="98">
      <c r="A98" s="23"/>
      <c r="B98" s="20" t="s">
        <v>238</v>
      </c>
      <c r="C98" s="22" t="s">
        <v>29</v>
      </c>
    </row>
    <row r="99">
      <c r="A99" s="23"/>
      <c r="B99" s="20" t="s">
        <v>239</v>
      </c>
      <c r="C99" s="22" t="s">
        <v>29</v>
      </c>
    </row>
    <row r="100">
      <c r="A100" s="14">
        <v>8.0</v>
      </c>
      <c r="B100" s="20" t="s">
        <v>240</v>
      </c>
      <c r="C100" s="22" t="s">
        <v>29</v>
      </c>
    </row>
    <row r="101">
      <c r="A101" s="23"/>
      <c r="B101" s="20" t="s">
        <v>241</v>
      </c>
      <c r="C101" s="22" t="s">
        <v>29</v>
      </c>
    </row>
    <row r="102">
      <c r="A102" s="23"/>
      <c r="B102" s="20" t="s">
        <v>243</v>
      </c>
      <c r="C102" s="22" t="s">
        <v>29</v>
      </c>
    </row>
    <row r="103">
      <c r="A103" s="23"/>
      <c r="B103" s="20" t="s">
        <v>244</v>
      </c>
      <c r="C103" s="22" t="s">
        <v>29</v>
      </c>
    </row>
    <row r="104">
      <c r="A104" s="23"/>
      <c r="B104" s="20" t="s">
        <v>248</v>
      </c>
      <c r="C104" s="22" t="s">
        <v>29</v>
      </c>
    </row>
    <row r="105">
      <c r="A105" s="23"/>
      <c r="B105" s="20" t="s">
        <v>249</v>
      </c>
      <c r="C105" s="22" t="s">
        <v>29</v>
      </c>
    </row>
    <row r="106">
      <c r="A106" s="23"/>
      <c r="B106" s="20" t="s">
        <v>250</v>
      </c>
      <c r="C106" s="22" t="s">
        <v>29</v>
      </c>
    </row>
    <row r="107">
      <c r="A107" s="23"/>
      <c r="B107" s="20" t="s">
        <v>251</v>
      </c>
      <c r="C107" s="22" t="s">
        <v>29</v>
      </c>
    </row>
    <row r="108">
      <c r="A108" s="23"/>
      <c r="B108" s="20" t="s">
        <v>252</v>
      </c>
      <c r="C108" s="22" t="s">
        <v>29</v>
      </c>
    </row>
    <row r="109">
      <c r="A109" s="23"/>
      <c r="B109" s="20" t="s">
        <v>255</v>
      </c>
      <c r="C109" s="22" t="s">
        <v>29</v>
      </c>
    </row>
    <row r="110">
      <c r="A110" s="23"/>
      <c r="B110" s="20" t="s">
        <v>256</v>
      </c>
      <c r="C110" s="22" t="s">
        <v>131</v>
      </c>
    </row>
    <row r="111">
      <c r="A111" s="23"/>
      <c r="B111" s="20" t="s">
        <v>257</v>
      </c>
      <c r="C111" s="22" t="s">
        <v>131</v>
      </c>
    </row>
    <row r="112">
      <c r="A112" s="23"/>
      <c r="B112" s="20" t="s">
        <v>258</v>
      </c>
      <c r="C112" s="22" t="s">
        <v>131</v>
      </c>
    </row>
    <row r="113">
      <c r="A113" s="23"/>
      <c r="B113" s="20" t="s">
        <v>259</v>
      </c>
      <c r="C113" s="22" t="s">
        <v>131</v>
      </c>
    </row>
    <row r="114">
      <c r="A114" s="23"/>
      <c r="B114" s="20" t="s">
        <v>260</v>
      </c>
      <c r="C114" s="22" t="s">
        <v>131</v>
      </c>
    </row>
    <row r="115">
      <c r="A115" s="23"/>
      <c r="B115" s="20" t="s">
        <v>263</v>
      </c>
      <c r="C115" s="23"/>
    </row>
    <row r="116">
      <c r="A116" s="23"/>
      <c r="B116" s="20" t="s">
        <v>264</v>
      </c>
      <c r="C116" s="23"/>
    </row>
    <row r="117">
      <c r="A117" s="23"/>
      <c r="B117" s="20" t="s">
        <v>265</v>
      </c>
      <c r="C117" s="23"/>
    </row>
    <row r="118">
      <c r="A118" s="14">
        <v>9.0</v>
      </c>
      <c r="B118" s="20" t="s">
        <v>267</v>
      </c>
      <c r="C118" s="22" t="s">
        <v>29</v>
      </c>
    </row>
    <row r="119">
      <c r="A119" s="23"/>
      <c r="B119" s="20" t="s">
        <v>268</v>
      </c>
      <c r="C119" s="22" t="s">
        <v>29</v>
      </c>
    </row>
    <row r="120">
      <c r="A120" s="23"/>
      <c r="B120" s="20" t="s">
        <v>269</v>
      </c>
      <c r="C120" s="22" t="s">
        <v>29</v>
      </c>
    </row>
    <row r="121">
      <c r="A121" s="23"/>
      <c r="B121" s="20" t="s">
        <v>270</v>
      </c>
      <c r="C121" s="22" t="s">
        <v>29</v>
      </c>
    </row>
    <row r="122">
      <c r="A122" s="23"/>
      <c r="B122" s="20" t="s">
        <v>271</v>
      </c>
      <c r="C122" s="22" t="s">
        <v>29</v>
      </c>
    </row>
    <row r="123">
      <c r="A123" s="23"/>
      <c r="B123" s="20" t="s">
        <v>272</v>
      </c>
      <c r="C123" s="22" t="s">
        <v>29</v>
      </c>
    </row>
    <row r="124">
      <c r="A124" s="23"/>
      <c r="B124" s="20" t="s">
        <v>273</v>
      </c>
      <c r="C124" s="22" t="s">
        <v>29</v>
      </c>
    </row>
    <row r="125">
      <c r="A125" s="23"/>
      <c r="B125" s="20" t="s">
        <v>274</v>
      </c>
      <c r="C125" s="22" t="s">
        <v>29</v>
      </c>
    </row>
    <row r="126">
      <c r="A126" s="23"/>
      <c r="B126" s="20" t="s">
        <v>275</v>
      </c>
      <c r="C126" s="22" t="s">
        <v>29</v>
      </c>
    </row>
    <row r="127">
      <c r="A127" s="23"/>
      <c r="B127" s="20" t="s">
        <v>276</v>
      </c>
      <c r="C127" s="22" t="s">
        <v>29</v>
      </c>
    </row>
    <row r="128">
      <c r="A128" s="23"/>
      <c r="B128" s="20" t="s">
        <v>277</v>
      </c>
      <c r="C128" s="22" t="s">
        <v>29</v>
      </c>
    </row>
    <row r="129">
      <c r="A129" s="23"/>
      <c r="B129" s="20" t="s">
        <v>278</v>
      </c>
      <c r="C129" s="22" t="s">
        <v>29</v>
      </c>
    </row>
    <row r="130">
      <c r="A130" s="23"/>
      <c r="B130" s="20" t="s">
        <v>279</v>
      </c>
      <c r="C130" s="22" t="s">
        <v>29</v>
      </c>
    </row>
    <row r="131">
      <c r="A131" s="23"/>
      <c r="B131" s="20" t="s">
        <v>280</v>
      </c>
      <c r="C131" s="22" t="s">
        <v>29</v>
      </c>
    </row>
    <row r="132">
      <c r="A132" s="23"/>
      <c r="B132" s="20" t="s">
        <v>281</v>
      </c>
      <c r="C132" s="22" t="s">
        <v>29</v>
      </c>
    </row>
    <row r="133">
      <c r="A133" s="23"/>
      <c r="B133" s="20" t="s">
        <v>282</v>
      </c>
      <c r="C133" s="22" t="s">
        <v>29</v>
      </c>
    </row>
    <row r="134">
      <c r="A134" s="14">
        <v>10.0</v>
      </c>
      <c r="B134" s="20" t="s">
        <v>283</v>
      </c>
      <c r="C134" s="22" t="s">
        <v>29</v>
      </c>
    </row>
    <row r="135">
      <c r="A135" s="23"/>
      <c r="B135" s="20" t="s">
        <v>284</v>
      </c>
      <c r="C135" s="22" t="s">
        <v>29</v>
      </c>
    </row>
    <row r="136">
      <c r="A136" s="23"/>
      <c r="B136" s="20" t="s">
        <v>285</v>
      </c>
      <c r="C136" s="22" t="s">
        <v>29</v>
      </c>
    </row>
    <row r="137">
      <c r="A137" s="23"/>
      <c r="B137" s="20" t="s">
        <v>286</v>
      </c>
      <c r="C137" s="22" t="s">
        <v>29</v>
      </c>
    </row>
    <row r="138">
      <c r="A138" s="23"/>
      <c r="B138" s="20" t="s">
        <v>287</v>
      </c>
      <c r="C138" s="22" t="s">
        <v>29</v>
      </c>
    </row>
    <row r="139">
      <c r="A139" s="23"/>
      <c r="B139" s="20" t="s">
        <v>288</v>
      </c>
      <c r="C139" s="22" t="s">
        <v>29</v>
      </c>
    </row>
    <row r="140">
      <c r="A140" s="23"/>
      <c r="B140" s="20" t="s">
        <v>289</v>
      </c>
      <c r="C140" s="22" t="s">
        <v>29</v>
      </c>
    </row>
    <row r="141">
      <c r="A141" s="23"/>
      <c r="B141" s="20" t="s">
        <v>291</v>
      </c>
      <c r="C141" s="22" t="s">
        <v>29</v>
      </c>
    </row>
    <row r="142">
      <c r="A142" s="23"/>
      <c r="B142" s="20" t="s">
        <v>293</v>
      </c>
      <c r="C142" s="22" t="s">
        <v>29</v>
      </c>
    </row>
    <row r="143">
      <c r="A143" s="23"/>
      <c r="B143" s="20" t="s">
        <v>294</v>
      </c>
      <c r="C143" s="22" t="s">
        <v>29</v>
      </c>
    </row>
    <row r="144">
      <c r="A144" s="23"/>
      <c r="B144" s="20" t="s">
        <v>295</v>
      </c>
      <c r="C144" s="22" t="s">
        <v>29</v>
      </c>
    </row>
    <row r="145">
      <c r="A145" s="23"/>
      <c r="B145" s="20" t="s">
        <v>296</v>
      </c>
      <c r="C145" s="22" t="s">
        <v>29</v>
      </c>
    </row>
    <row r="146">
      <c r="A146" s="23"/>
      <c r="B146" s="20" t="s">
        <v>297</v>
      </c>
      <c r="C146" s="22" t="s">
        <v>29</v>
      </c>
    </row>
    <row r="147">
      <c r="A147" s="23"/>
      <c r="B147" s="20" t="s">
        <v>298</v>
      </c>
      <c r="C147" s="22" t="s">
        <v>29</v>
      </c>
    </row>
    <row r="148">
      <c r="A148" s="23"/>
      <c r="B148" s="20" t="s">
        <v>299</v>
      </c>
      <c r="C148" s="22" t="s">
        <v>29</v>
      </c>
    </row>
    <row r="149">
      <c r="A149" s="14">
        <v>11.0</v>
      </c>
      <c r="B149" s="20" t="s">
        <v>300</v>
      </c>
      <c r="C149" s="22" t="s">
        <v>29</v>
      </c>
    </row>
    <row r="150">
      <c r="A150" s="23"/>
      <c r="B150" s="20" t="s">
        <v>301</v>
      </c>
      <c r="C150" s="22" t="s">
        <v>29</v>
      </c>
    </row>
    <row r="151">
      <c r="A151" s="23"/>
      <c r="B151" s="20" t="s">
        <v>302</v>
      </c>
      <c r="C151" s="22" t="s">
        <v>29</v>
      </c>
    </row>
    <row r="152">
      <c r="A152" s="23"/>
      <c r="B152" s="20" t="s">
        <v>303</v>
      </c>
      <c r="C152" s="22" t="s">
        <v>29</v>
      </c>
    </row>
    <row r="153">
      <c r="A153" s="23"/>
      <c r="B153" s="20" t="s">
        <v>304</v>
      </c>
      <c r="C153" s="22" t="s">
        <v>29</v>
      </c>
    </row>
    <row r="154">
      <c r="A154" s="23"/>
      <c r="B154" s="20" t="s">
        <v>305</v>
      </c>
      <c r="C154" s="22" t="s">
        <v>29</v>
      </c>
    </row>
    <row r="155">
      <c r="A155" s="23"/>
      <c r="B155" s="20" t="s">
        <v>306</v>
      </c>
      <c r="C155" s="22" t="s">
        <v>29</v>
      </c>
    </row>
    <row r="156">
      <c r="A156" s="23"/>
      <c r="B156" s="20" t="s">
        <v>307</v>
      </c>
      <c r="C156" s="22" t="s">
        <v>29</v>
      </c>
    </row>
    <row r="157">
      <c r="A157" s="23"/>
      <c r="B157" s="20" t="s">
        <v>308</v>
      </c>
      <c r="C157" s="23"/>
    </row>
    <row r="158">
      <c r="A158" s="23"/>
      <c r="B158" s="20" t="s">
        <v>309</v>
      </c>
      <c r="C158" s="23"/>
    </row>
    <row r="159">
      <c r="A159" s="23"/>
      <c r="B159" s="20" t="s">
        <v>310</v>
      </c>
      <c r="C159" s="23"/>
    </row>
    <row r="160">
      <c r="A160" s="23"/>
      <c r="B160" s="20" t="s">
        <v>311</v>
      </c>
      <c r="C160" s="23"/>
    </row>
    <row r="161">
      <c r="A161" s="23"/>
      <c r="B161" s="20" t="s">
        <v>312</v>
      </c>
      <c r="C161" s="23"/>
    </row>
    <row r="162">
      <c r="A162" s="14">
        <v>12.0</v>
      </c>
      <c r="B162" s="20" t="s">
        <v>313</v>
      </c>
      <c r="C162" s="22" t="s">
        <v>29</v>
      </c>
    </row>
    <row r="163">
      <c r="A163" s="23"/>
      <c r="B163" s="20" t="s">
        <v>314</v>
      </c>
      <c r="C163" s="22" t="s">
        <v>29</v>
      </c>
    </row>
    <row r="164">
      <c r="A164" s="23"/>
      <c r="B164" s="20" t="s">
        <v>315</v>
      </c>
      <c r="C164" s="22" t="s">
        <v>29</v>
      </c>
    </row>
    <row r="165">
      <c r="A165" s="23"/>
      <c r="B165" s="20" t="s">
        <v>316</v>
      </c>
      <c r="C165" s="22" t="s">
        <v>29</v>
      </c>
    </row>
    <row r="166">
      <c r="A166" s="23"/>
      <c r="B166" s="20" t="s">
        <v>317</v>
      </c>
      <c r="C166" s="22" t="s">
        <v>29</v>
      </c>
    </row>
    <row r="167">
      <c r="A167" s="23"/>
      <c r="B167" s="20" t="s">
        <v>318</v>
      </c>
      <c r="C167" s="22" t="s">
        <v>29</v>
      </c>
    </row>
    <row r="168">
      <c r="A168" s="23"/>
      <c r="B168" s="20" t="s">
        <v>319</v>
      </c>
      <c r="C168" s="22" t="s">
        <v>29</v>
      </c>
    </row>
    <row r="169">
      <c r="A169" s="23"/>
      <c r="B169" s="20" t="s">
        <v>320</v>
      </c>
      <c r="C169" s="22" t="s">
        <v>29</v>
      </c>
    </row>
    <row r="170">
      <c r="A170" s="23"/>
      <c r="B170" s="20" t="s">
        <v>321</v>
      </c>
      <c r="C170" s="22" t="s">
        <v>29</v>
      </c>
    </row>
    <row r="171">
      <c r="A171" s="23"/>
      <c r="B171" s="20" t="s">
        <v>322</v>
      </c>
      <c r="C171" s="22" t="s">
        <v>29</v>
      </c>
    </row>
    <row r="172">
      <c r="A172" s="23"/>
      <c r="B172" s="20" t="s">
        <v>323</v>
      </c>
      <c r="C172" s="22" t="s">
        <v>29</v>
      </c>
    </row>
    <row r="173">
      <c r="A173" s="23"/>
      <c r="B173" s="20" t="s">
        <v>324</v>
      </c>
      <c r="C173" s="22" t="s">
        <v>29</v>
      </c>
    </row>
    <row r="174">
      <c r="A174" s="14">
        <v>13.0</v>
      </c>
      <c r="B174" s="20" t="s">
        <v>325</v>
      </c>
      <c r="C174" s="22" t="s">
        <v>29</v>
      </c>
    </row>
    <row r="175">
      <c r="A175" s="23"/>
      <c r="B175" s="20" t="s">
        <v>326</v>
      </c>
      <c r="C175" s="22" t="s">
        <v>29</v>
      </c>
    </row>
    <row r="176">
      <c r="A176" s="23"/>
      <c r="B176" s="20" t="s">
        <v>327</v>
      </c>
      <c r="C176" s="22" t="s">
        <v>29</v>
      </c>
    </row>
    <row r="177">
      <c r="A177" s="23"/>
      <c r="B177" s="20" t="s">
        <v>328</v>
      </c>
      <c r="C177" s="22" t="s">
        <v>29</v>
      </c>
    </row>
    <row r="178">
      <c r="A178" s="23"/>
      <c r="B178" s="20" t="s">
        <v>329</v>
      </c>
      <c r="C178" s="22" t="s">
        <v>29</v>
      </c>
    </row>
    <row r="179">
      <c r="A179" s="23"/>
      <c r="B179" s="20" t="s">
        <v>330</v>
      </c>
      <c r="C179" s="23"/>
    </row>
    <row r="180">
      <c r="A180" s="23"/>
      <c r="B180" s="20" t="s">
        <v>331</v>
      </c>
      <c r="C180" s="23"/>
    </row>
    <row r="181">
      <c r="A181" s="23"/>
      <c r="B181" s="20" t="s">
        <v>332</v>
      </c>
      <c r="C181" s="23"/>
    </row>
    <row r="182">
      <c r="A182" s="23"/>
      <c r="B182" s="20" t="s">
        <v>333</v>
      </c>
      <c r="C182" s="23"/>
    </row>
    <row r="183">
      <c r="A183" s="23"/>
      <c r="B183" s="20" t="s">
        <v>334</v>
      </c>
      <c r="C183" s="23"/>
    </row>
    <row r="184">
      <c r="A184" s="23"/>
      <c r="B184" s="20" t="s">
        <v>335</v>
      </c>
      <c r="C184" s="23"/>
    </row>
    <row r="185">
      <c r="A185" s="14">
        <v>14.0</v>
      </c>
      <c r="B185" s="20" t="s">
        <v>336</v>
      </c>
      <c r="C185" s="22" t="s">
        <v>29</v>
      </c>
    </row>
    <row r="186">
      <c r="A186" s="23"/>
      <c r="B186" s="20" t="s">
        <v>337</v>
      </c>
      <c r="C186" s="22" t="s">
        <v>29</v>
      </c>
    </row>
    <row r="187">
      <c r="A187" s="23"/>
      <c r="B187" s="20" t="s">
        <v>338</v>
      </c>
      <c r="C187" s="22" t="s">
        <v>29</v>
      </c>
    </row>
    <row r="188">
      <c r="A188" s="23"/>
      <c r="B188" s="20" t="s">
        <v>339</v>
      </c>
      <c r="C188" s="22" t="s">
        <v>29</v>
      </c>
    </row>
    <row r="189">
      <c r="A189" s="23"/>
      <c r="B189" s="20" t="s">
        <v>340</v>
      </c>
      <c r="C189" s="22" t="s">
        <v>29</v>
      </c>
    </row>
    <row r="190">
      <c r="A190" s="23"/>
      <c r="B190" s="20" t="s">
        <v>341</v>
      </c>
      <c r="C190" s="22" t="s">
        <v>29</v>
      </c>
    </row>
    <row r="191">
      <c r="A191" s="23"/>
      <c r="B191" s="20" t="s">
        <v>342</v>
      </c>
      <c r="C191" s="22" t="s">
        <v>29</v>
      </c>
    </row>
    <row r="192">
      <c r="A192" s="23"/>
      <c r="B192" s="20" t="s">
        <v>343</v>
      </c>
      <c r="C192" s="22" t="s">
        <v>29</v>
      </c>
    </row>
    <row r="193">
      <c r="A193" s="23"/>
      <c r="B193" s="20" t="s">
        <v>344</v>
      </c>
      <c r="C193" s="23"/>
    </row>
    <row r="194">
      <c r="A194" s="23"/>
      <c r="B194" s="20" t="s">
        <v>345</v>
      </c>
      <c r="C194" s="22" t="s">
        <v>29</v>
      </c>
    </row>
    <row r="195">
      <c r="A195" s="23"/>
      <c r="B195" s="20" t="s">
        <v>346</v>
      </c>
      <c r="C195" s="22" t="s">
        <v>29</v>
      </c>
    </row>
    <row r="196">
      <c r="A196" s="23"/>
      <c r="B196" s="20" t="s">
        <v>347</v>
      </c>
      <c r="C196" s="22" t="s">
        <v>29</v>
      </c>
    </row>
    <row r="197">
      <c r="A197" s="23"/>
      <c r="B197" s="20" t="s">
        <v>348</v>
      </c>
      <c r="C197" s="22" t="s">
        <v>29</v>
      </c>
    </row>
    <row r="198">
      <c r="A198" s="14">
        <v>15.0</v>
      </c>
      <c r="B198" s="20" t="s">
        <v>349</v>
      </c>
      <c r="C198" s="22" t="s">
        <v>29</v>
      </c>
    </row>
    <row r="199">
      <c r="A199" s="23"/>
      <c r="B199" s="20" t="s">
        <v>350</v>
      </c>
      <c r="C199" s="22" t="s">
        <v>29</v>
      </c>
    </row>
    <row r="200">
      <c r="A200" s="23"/>
      <c r="B200" s="20" t="s">
        <v>351</v>
      </c>
      <c r="C200" s="22" t="s">
        <v>29</v>
      </c>
    </row>
    <row r="201">
      <c r="A201" s="23"/>
      <c r="B201" s="20" t="s">
        <v>352</v>
      </c>
      <c r="C201" s="22" t="s">
        <v>29</v>
      </c>
    </row>
    <row r="202">
      <c r="A202" s="23"/>
      <c r="B202" s="20" t="s">
        <v>353</v>
      </c>
      <c r="C202" s="22" t="s">
        <v>29</v>
      </c>
    </row>
    <row r="203">
      <c r="A203" s="23"/>
      <c r="B203" s="20" t="s">
        <v>354</v>
      </c>
      <c r="C203" s="22" t="s">
        <v>29</v>
      </c>
    </row>
    <row r="204">
      <c r="A204" s="23"/>
      <c r="B204" s="20" t="s">
        <v>355</v>
      </c>
      <c r="C204" s="22" t="s">
        <v>29</v>
      </c>
    </row>
    <row r="205">
      <c r="A205" s="23"/>
      <c r="B205" s="20" t="s">
        <v>356</v>
      </c>
      <c r="C205" s="22" t="s">
        <v>29</v>
      </c>
    </row>
    <row r="206">
      <c r="A206" s="23"/>
      <c r="B206" s="20" t="s">
        <v>357</v>
      </c>
      <c r="C206" s="22" t="s">
        <v>29</v>
      </c>
    </row>
    <row r="207">
      <c r="A207" s="23"/>
      <c r="B207" s="20" t="s">
        <v>358</v>
      </c>
      <c r="C207" s="22" t="s">
        <v>29</v>
      </c>
    </row>
    <row r="208">
      <c r="A208" s="23"/>
      <c r="B208" s="20" t="s">
        <v>359</v>
      </c>
      <c r="C208" s="22" t="s">
        <v>29</v>
      </c>
    </row>
    <row r="209">
      <c r="A209" s="23"/>
      <c r="B209" s="20" t="s">
        <v>360</v>
      </c>
      <c r="C209" s="23"/>
    </row>
    <row r="210">
      <c r="A210" s="14">
        <v>16.0</v>
      </c>
      <c r="B210" s="20" t="s">
        <v>361</v>
      </c>
      <c r="C210" s="23"/>
    </row>
    <row r="211">
      <c r="A211" s="23"/>
      <c r="B211" s="20" t="s">
        <v>362</v>
      </c>
      <c r="C211" s="22" t="s">
        <v>29</v>
      </c>
    </row>
    <row r="212">
      <c r="A212" s="23"/>
      <c r="B212" s="20" t="s">
        <v>363</v>
      </c>
      <c r="C212" s="22" t="s">
        <v>29</v>
      </c>
    </row>
    <row r="213">
      <c r="A213" s="23"/>
      <c r="B213" s="20" t="s">
        <v>364</v>
      </c>
      <c r="C213" s="22" t="s">
        <v>29</v>
      </c>
    </row>
    <row r="214">
      <c r="A214" s="23"/>
      <c r="B214" s="20" t="s">
        <v>366</v>
      </c>
      <c r="C214" s="22" t="s">
        <v>29</v>
      </c>
    </row>
    <row r="215">
      <c r="A215" s="23"/>
      <c r="B215" s="20" t="s">
        <v>367</v>
      </c>
      <c r="C215" s="22" t="s">
        <v>131</v>
      </c>
    </row>
    <row r="216">
      <c r="A216" s="55">
        <v>17.0</v>
      </c>
      <c r="B216" s="56" t="s">
        <v>368</v>
      </c>
      <c r="C216" s="22" t="s">
        <v>29</v>
      </c>
    </row>
    <row r="217">
      <c r="A217" s="23"/>
      <c r="B217" s="57" t="s">
        <v>369</v>
      </c>
      <c r="C217" s="22" t="s">
        <v>29</v>
      </c>
    </row>
    <row r="218">
      <c r="A218" s="23"/>
      <c r="B218" s="57" t="s">
        <v>370</v>
      </c>
      <c r="C218" s="22" t="s">
        <v>29</v>
      </c>
    </row>
    <row r="219">
      <c r="A219" s="23"/>
      <c r="B219" s="57" t="s">
        <v>371</v>
      </c>
      <c r="C219" s="22" t="s">
        <v>29</v>
      </c>
    </row>
    <row r="220">
      <c r="A220" s="23"/>
      <c r="B220" s="57" t="s">
        <v>372</v>
      </c>
      <c r="C220" s="22" t="s">
        <v>29</v>
      </c>
    </row>
    <row r="221">
      <c r="A221" s="23"/>
      <c r="B221" s="57" t="s">
        <v>373</v>
      </c>
      <c r="C221" s="22" t="s">
        <v>29</v>
      </c>
    </row>
    <row r="222">
      <c r="A222" s="23"/>
      <c r="B222" s="57" t="s">
        <v>374</v>
      </c>
      <c r="C222" s="22" t="s">
        <v>29</v>
      </c>
    </row>
    <row r="223">
      <c r="A223" s="23"/>
      <c r="B223" s="57" t="s">
        <v>375</v>
      </c>
      <c r="C223" s="22" t="s">
        <v>29</v>
      </c>
    </row>
    <row r="224">
      <c r="A224" s="14">
        <v>18.0</v>
      </c>
      <c r="B224" s="20" t="s">
        <v>376</v>
      </c>
      <c r="C224" s="22" t="s">
        <v>29</v>
      </c>
    </row>
    <row r="225">
      <c r="A225" s="23"/>
      <c r="B225" s="20" t="s">
        <v>377</v>
      </c>
      <c r="C225" s="22" t="s">
        <v>29</v>
      </c>
    </row>
    <row r="226">
      <c r="A226" s="23"/>
      <c r="B226" s="20" t="s">
        <v>378</v>
      </c>
      <c r="C226" s="22" t="s">
        <v>29</v>
      </c>
    </row>
    <row r="227">
      <c r="A227" s="23"/>
      <c r="B227" s="20" t="s">
        <v>379</v>
      </c>
      <c r="C227" s="22" t="s">
        <v>29</v>
      </c>
    </row>
    <row r="228">
      <c r="A228" s="23"/>
      <c r="B228" s="20" t="s">
        <v>380</v>
      </c>
      <c r="C228" s="22" t="s">
        <v>29</v>
      </c>
    </row>
    <row r="229">
      <c r="A229" s="23"/>
      <c r="B229" s="20" t="s">
        <v>381</v>
      </c>
      <c r="C229" s="22" t="s">
        <v>29</v>
      </c>
    </row>
    <row r="230">
      <c r="A230" s="14">
        <v>19.0</v>
      </c>
      <c r="B230" s="20" t="s">
        <v>382</v>
      </c>
      <c r="C230" s="22" t="s">
        <v>29</v>
      </c>
    </row>
    <row r="231">
      <c r="A231" s="23"/>
      <c r="B231" s="20" t="s">
        <v>383</v>
      </c>
      <c r="C231" s="22" t="s">
        <v>29</v>
      </c>
    </row>
    <row r="232">
      <c r="A232" s="23"/>
      <c r="B232" s="20" t="s">
        <v>384</v>
      </c>
      <c r="C232" s="22" t="s">
        <v>29</v>
      </c>
    </row>
    <row r="233">
      <c r="A233" s="23"/>
      <c r="B233" s="20" t="s">
        <v>385</v>
      </c>
      <c r="C233" s="22" t="s">
        <v>29</v>
      </c>
    </row>
    <row r="234">
      <c r="A234" s="23"/>
      <c r="B234" s="20" t="s">
        <v>386</v>
      </c>
      <c r="C234" s="22" t="s">
        <v>29</v>
      </c>
    </row>
    <row r="235">
      <c r="A235" s="23"/>
      <c r="B235" s="20" t="s">
        <v>387</v>
      </c>
      <c r="C235" s="22" t="s">
        <v>29</v>
      </c>
    </row>
    <row r="236">
      <c r="A236" s="23"/>
      <c r="B236" s="20" t="s">
        <v>388</v>
      </c>
      <c r="C236" s="22" t="s">
        <v>29</v>
      </c>
    </row>
    <row r="237">
      <c r="A237" s="23"/>
      <c r="B237" s="20" t="s">
        <v>389</v>
      </c>
      <c r="C237" s="22" t="s">
        <v>29</v>
      </c>
    </row>
    <row r="238">
      <c r="A238" s="23"/>
      <c r="B238" s="20" t="s">
        <v>390</v>
      </c>
      <c r="C238" s="22" t="s">
        <v>29</v>
      </c>
    </row>
    <row r="239">
      <c r="A239" s="23"/>
      <c r="B239" s="20" t="s">
        <v>391</v>
      </c>
      <c r="C239" s="22" t="s">
        <v>29</v>
      </c>
    </row>
    <row r="240">
      <c r="A240" s="23"/>
      <c r="B240" s="20" t="s">
        <v>392</v>
      </c>
      <c r="C240" s="22" t="s">
        <v>29</v>
      </c>
    </row>
    <row r="241">
      <c r="A241" s="23"/>
      <c r="B241" s="20" t="s">
        <v>393</v>
      </c>
      <c r="C241" s="22" t="s">
        <v>29</v>
      </c>
    </row>
    <row r="242">
      <c r="A242" s="23"/>
      <c r="B242" s="20" t="s">
        <v>394</v>
      </c>
      <c r="C242" s="22" t="s">
        <v>29</v>
      </c>
    </row>
    <row r="243">
      <c r="A243" s="23"/>
      <c r="B243" s="20" t="s">
        <v>395</v>
      </c>
      <c r="C243" s="22" t="s">
        <v>29</v>
      </c>
    </row>
    <row r="244">
      <c r="A244" s="14">
        <v>20.0</v>
      </c>
      <c r="B244" s="20" t="s">
        <v>396</v>
      </c>
      <c r="C244" s="22" t="s">
        <v>29</v>
      </c>
    </row>
    <row r="245">
      <c r="A245" s="23"/>
      <c r="B245" s="20" t="s">
        <v>397</v>
      </c>
      <c r="C245" s="22" t="s">
        <v>29</v>
      </c>
    </row>
    <row r="246">
      <c r="A246" s="23"/>
      <c r="B246" s="20" t="s">
        <v>398</v>
      </c>
      <c r="C246" s="22" t="s">
        <v>29</v>
      </c>
    </row>
    <row r="247">
      <c r="A247" s="23"/>
      <c r="B247" s="20" t="s">
        <v>399</v>
      </c>
      <c r="C247" s="22" t="s">
        <v>29</v>
      </c>
    </row>
    <row r="248">
      <c r="A248" s="23"/>
      <c r="B248" s="20" t="s">
        <v>400</v>
      </c>
      <c r="C248" s="22" t="s">
        <v>29</v>
      </c>
    </row>
    <row r="249" ht="33.0" customHeight="1">
      <c r="A249" s="23"/>
      <c r="B249" s="20" t="s">
        <v>401</v>
      </c>
      <c r="C249" s="22" t="s">
        <v>29</v>
      </c>
    </row>
    <row r="250">
      <c r="A250" s="23"/>
      <c r="B250" s="20" t="s">
        <v>402</v>
      </c>
      <c r="C250" s="22" t="s">
        <v>29</v>
      </c>
    </row>
    <row r="251">
      <c r="A251" s="23"/>
      <c r="B251" s="20" t="s">
        <v>403</v>
      </c>
      <c r="C251" s="22" t="s">
        <v>29</v>
      </c>
    </row>
    <row r="252">
      <c r="A252" s="23"/>
      <c r="B252" s="20" t="s">
        <v>404</v>
      </c>
      <c r="C252" s="22" t="s">
        <v>29</v>
      </c>
    </row>
    <row r="253">
      <c r="A253" s="23"/>
      <c r="B253" s="20" t="s">
        <v>405</v>
      </c>
      <c r="C253" s="22" t="s">
        <v>29</v>
      </c>
    </row>
    <row r="254">
      <c r="A254" s="23"/>
      <c r="B254" s="20" t="s">
        <v>406</v>
      </c>
      <c r="C254" s="22" t="s">
        <v>29</v>
      </c>
    </row>
    <row r="255">
      <c r="A255" s="23"/>
      <c r="B255" s="20" t="s">
        <v>407</v>
      </c>
      <c r="C255" s="22" t="s">
        <v>29</v>
      </c>
    </row>
    <row r="256">
      <c r="A256" s="23"/>
      <c r="B256" s="20" t="s">
        <v>408</v>
      </c>
      <c r="C256" s="22" t="s">
        <v>29</v>
      </c>
    </row>
    <row r="257">
      <c r="A257" s="23"/>
      <c r="B257" s="20" t="s">
        <v>409</v>
      </c>
      <c r="C257" s="22" t="s">
        <v>29</v>
      </c>
    </row>
    <row r="258">
      <c r="A258" s="23"/>
      <c r="B258" s="20" t="s">
        <v>410</v>
      </c>
      <c r="C258" s="22" t="s">
        <v>29</v>
      </c>
    </row>
    <row r="259">
      <c r="A259" s="14">
        <v>21.0</v>
      </c>
      <c r="B259" s="20" t="s">
        <v>411</v>
      </c>
      <c r="C259" s="22" t="s">
        <v>29</v>
      </c>
    </row>
    <row r="260">
      <c r="A260" s="23"/>
      <c r="B260" s="20" t="s">
        <v>412</v>
      </c>
      <c r="C260" s="22" t="s">
        <v>29</v>
      </c>
    </row>
    <row r="261">
      <c r="A261" s="23"/>
      <c r="B261" s="20" t="s">
        <v>413</v>
      </c>
      <c r="C261" s="22" t="s">
        <v>29</v>
      </c>
    </row>
    <row r="262">
      <c r="A262" s="23"/>
      <c r="B262" s="20" t="s">
        <v>414</v>
      </c>
      <c r="C262" s="22" t="s">
        <v>29</v>
      </c>
    </row>
    <row r="263">
      <c r="A263" s="23"/>
      <c r="B263" s="20" t="s">
        <v>415</v>
      </c>
      <c r="C263" s="22" t="s">
        <v>29</v>
      </c>
    </row>
    <row r="264">
      <c r="A264" s="23"/>
      <c r="B264" s="20" t="s">
        <v>416</v>
      </c>
      <c r="C264" s="23"/>
    </row>
    <row r="265">
      <c r="A265" s="23"/>
      <c r="B265" s="20" t="s">
        <v>417</v>
      </c>
      <c r="C265" s="22" t="s">
        <v>29</v>
      </c>
    </row>
    <row r="266">
      <c r="A266" s="23"/>
      <c r="B266" s="20" t="s">
        <v>418</v>
      </c>
      <c r="C266" s="23"/>
    </row>
    <row r="267">
      <c r="A267" s="23"/>
      <c r="B267" s="20" t="s">
        <v>419</v>
      </c>
      <c r="C267" s="22" t="s">
        <v>29</v>
      </c>
    </row>
    <row r="268">
      <c r="A268" s="23"/>
      <c r="B268" s="20" t="s">
        <v>420</v>
      </c>
      <c r="C268" s="22" t="s">
        <v>29</v>
      </c>
    </row>
    <row r="269">
      <c r="A269" s="23"/>
      <c r="B269" s="20" t="s">
        <v>421</v>
      </c>
      <c r="C269" s="23"/>
    </row>
    <row r="270">
      <c r="A270" s="23"/>
      <c r="B270" s="20" t="s">
        <v>422</v>
      </c>
      <c r="C270" s="23"/>
    </row>
    <row r="271">
      <c r="A271" s="23"/>
      <c r="B271" s="20" t="s">
        <v>423</v>
      </c>
      <c r="C271" s="22" t="s">
        <v>29</v>
      </c>
    </row>
    <row r="272">
      <c r="A272" s="14">
        <v>22.0</v>
      </c>
      <c r="B272" s="20" t="s">
        <v>424</v>
      </c>
      <c r="C272" s="22" t="s">
        <v>29</v>
      </c>
    </row>
    <row r="273">
      <c r="A273" s="23"/>
      <c r="B273" s="20" t="s">
        <v>425</v>
      </c>
      <c r="C273" s="22" t="s">
        <v>29</v>
      </c>
    </row>
    <row r="274">
      <c r="A274" s="23"/>
      <c r="B274" s="20" t="s">
        <v>426</v>
      </c>
      <c r="C274" s="22" t="s">
        <v>29</v>
      </c>
    </row>
    <row r="275">
      <c r="A275" s="23"/>
      <c r="B275" s="20" t="s">
        <v>427</v>
      </c>
      <c r="C275" s="22" t="s">
        <v>29</v>
      </c>
    </row>
    <row r="276">
      <c r="A276" s="23"/>
      <c r="B276" s="20" t="s">
        <v>428</v>
      </c>
      <c r="C276" s="22" t="s">
        <v>29</v>
      </c>
    </row>
    <row r="277">
      <c r="A277" s="23"/>
      <c r="B277" s="20" t="s">
        <v>429</v>
      </c>
      <c r="C277" s="22" t="s">
        <v>29</v>
      </c>
    </row>
    <row r="278">
      <c r="A278" s="23"/>
      <c r="B278" s="20" t="s">
        <v>430</v>
      </c>
      <c r="C278" s="22" t="s">
        <v>29</v>
      </c>
    </row>
    <row r="279">
      <c r="A279" s="23"/>
      <c r="B279" s="20" t="s">
        <v>431</v>
      </c>
      <c r="C279" s="22" t="s">
        <v>29</v>
      </c>
    </row>
    <row r="280">
      <c r="A280" s="23"/>
      <c r="B280" s="20" t="s">
        <v>432</v>
      </c>
      <c r="C280" s="22" t="s">
        <v>29</v>
      </c>
    </row>
    <row r="281">
      <c r="A281" s="23"/>
      <c r="B281" s="20" t="s">
        <v>433</v>
      </c>
      <c r="C281" s="22" t="s">
        <v>29</v>
      </c>
    </row>
    <row r="282">
      <c r="A282" s="23"/>
      <c r="B282" s="20" t="s">
        <v>434</v>
      </c>
      <c r="C282" s="22" t="s">
        <v>29</v>
      </c>
    </row>
    <row r="283">
      <c r="A283" s="23"/>
      <c r="B283" s="20" t="s">
        <v>435</v>
      </c>
      <c r="C283" s="22" t="s">
        <v>29</v>
      </c>
    </row>
    <row r="284">
      <c r="A284" s="23"/>
      <c r="B284" s="20" t="s">
        <v>436</v>
      </c>
      <c r="C284" s="22" t="s">
        <v>29</v>
      </c>
    </row>
    <row r="285">
      <c r="A285" s="14">
        <v>23.0</v>
      </c>
      <c r="B285" s="20" t="s">
        <v>437</v>
      </c>
      <c r="C285" s="22" t="s">
        <v>29</v>
      </c>
    </row>
    <row r="286">
      <c r="A286" s="23"/>
      <c r="B286" s="20" t="s">
        <v>438</v>
      </c>
      <c r="C286" s="22" t="s">
        <v>29</v>
      </c>
    </row>
    <row r="287">
      <c r="A287" s="23"/>
      <c r="B287" s="20" t="s">
        <v>439</v>
      </c>
      <c r="C287" s="22" t="s">
        <v>29</v>
      </c>
    </row>
    <row r="288">
      <c r="A288" s="23"/>
      <c r="B288" s="20" t="s">
        <v>440</v>
      </c>
      <c r="C288" s="22" t="s">
        <v>29</v>
      </c>
    </row>
    <row r="289">
      <c r="A289" s="23"/>
      <c r="B289" s="20" t="s">
        <v>441</v>
      </c>
      <c r="C289" s="22" t="s">
        <v>29</v>
      </c>
    </row>
    <row r="290">
      <c r="A290" s="23"/>
      <c r="B290" s="20" t="s">
        <v>442</v>
      </c>
      <c r="C290" s="22" t="s">
        <v>29</v>
      </c>
    </row>
    <row r="291">
      <c r="A291" s="23"/>
      <c r="B291" s="20" t="s">
        <v>443</v>
      </c>
      <c r="C291" s="22" t="s">
        <v>29</v>
      </c>
    </row>
    <row r="292">
      <c r="A292" s="23"/>
      <c r="B292" s="20" t="s">
        <v>444</v>
      </c>
      <c r="C292" s="22" t="s">
        <v>29</v>
      </c>
    </row>
    <row r="293">
      <c r="A293" s="23"/>
      <c r="B293" s="20" t="s">
        <v>445</v>
      </c>
      <c r="C293" s="22" t="s">
        <v>29</v>
      </c>
    </row>
    <row r="294">
      <c r="A294" s="23"/>
      <c r="B294" s="20" t="s">
        <v>446</v>
      </c>
      <c r="C294" s="22" t="s">
        <v>29</v>
      </c>
    </row>
    <row r="295">
      <c r="A295" s="23"/>
      <c r="B295" s="20" t="s">
        <v>447</v>
      </c>
      <c r="C295" s="23"/>
    </row>
    <row r="296">
      <c r="A296" s="14">
        <v>24.0</v>
      </c>
      <c r="B296" s="20" t="s">
        <v>448</v>
      </c>
      <c r="C296" s="22" t="s">
        <v>29</v>
      </c>
    </row>
    <row r="297">
      <c r="A297" s="23"/>
      <c r="B297" s="20" t="s">
        <v>449</v>
      </c>
      <c r="C297" s="22" t="s">
        <v>29</v>
      </c>
    </row>
    <row r="298">
      <c r="A298" s="23"/>
      <c r="B298" s="20" t="s">
        <v>450</v>
      </c>
      <c r="C298" s="22" t="s">
        <v>29</v>
      </c>
    </row>
    <row r="299">
      <c r="A299" s="23"/>
      <c r="B299" s="20" t="s">
        <v>451</v>
      </c>
      <c r="C299" s="22" t="s">
        <v>29</v>
      </c>
    </row>
    <row r="300">
      <c r="A300" s="23"/>
      <c r="B300" s="20" t="s">
        <v>452</v>
      </c>
      <c r="C300" s="22" t="s">
        <v>29</v>
      </c>
    </row>
    <row r="301">
      <c r="A301" s="23"/>
      <c r="B301" s="20" t="s">
        <v>453</v>
      </c>
      <c r="C301" s="22" t="s">
        <v>29</v>
      </c>
    </row>
    <row r="302">
      <c r="A302" s="23"/>
      <c r="B302" s="20" t="s">
        <v>454</v>
      </c>
      <c r="C302" s="22" t="s">
        <v>29</v>
      </c>
    </row>
    <row r="303">
      <c r="A303" s="23"/>
      <c r="B303" s="20" t="s">
        <v>455</v>
      </c>
      <c r="C303" s="22" t="s">
        <v>29</v>
      </c>
    </row>
    <row r="304">
      <c r="A304" s="23"/>
      <c r="B304" s="20" t="s">
        <v>456</v>
      </c>
      <c r="C304" s="22" t="s">
        <v>29</v>
      </c>
    </row>
    <row r="305">
      <c r="A305" s="23"/>
      <c r="B305" s="20" t="s">
        <v>457</v>
      </c>
      <c r="C305" s="22" t="s">
        <v>29</v>
      </c>
    </row>
    <row r="306">
      <c r="A306" s="23"/>
      <c r="B306" s="20" t="s">
        <v>458</v>
      </c>
      <c r="C306" s="22" t="s">
        <v>29</v>
      </c>
    </row>
    <row r="307">
      <c r="A307" s="23"/>
      <c r="B307" s="20" t="s">
        <v>459</v>
      </c>
      <c r="C307" s="22" t="s">
        <v>29</v>
      </c>
    </row>
    <row r="308">
      <c r="A308" s="14">
        <v>25.0</v>
      </c>
      <c r="B308" s="20" t="s">
        <v>460</v>
      </c>
      <c r="C308" s="22" t="s">
        <v>29</v>
      </c>
    </row>
    <row r="309">
      <c r="A309" s="23"/>
      <c r="B309" s="20" t="s">
        <v>461</v>
      </c>
      <c r="C309" s="22" t="s">
        <v>29</v>
      </c>
    </row>
    <row r="310">
      <c r="A310" s="23"/>
      <c r="B310" s="20" t="s">
        <v>462</v>
      </c>
      <c r="C310" s="22" t="s">
        <v>29</v>
      </c>
    </row>
    <row r="311">
      <c r="A311" s="23"/>
      <c r="B311" s="20" t="s">
        <v>463</v>
      </c>
      <c r="C311" s="22" t="s">
        <v>131</v>
      </c>
    </row>
    <row r="312">
      <c r="A312" s="23"/>
      <c r="B312" s="20" t="s">
        <v>464</v>
      </c>
      <c r="C312" s="22" t="s">
        <v>29</v>
      </c>
    </row>
    <row r="313">
      <c r="A313" s="23"/>
      <c r="B313" s="20" t="s">
        <v>465</v>
      </c>
      <c r="C313" s="22" t="s">
        <v>29</v>
      </c>
    </row>
    <row r="314">
      <c r="A314" s="23"/>
      <c r="B314" s="20" t="s">
        <v>466</v>
      </c>
      <c r="C314" s="22" t="s">
        <v>29</v>
      </c>
    </row>
    <row r="315">
      <c r="A315" s="23"/>
      <c r="B315" s="20" t="s">
        <v>467</v>
      </c>
      <c r="C315" s="22" t="s">
        <v>29</v>
      </c>
    </row>
    <row r="316">
      <c r="A316" s="23"/>
      <c r="B316" s="20" t="s">
        <v>468</v>
      </c>
      <c r="C316" s="22" t="s">
        <v>29</v>
      </c>
    </row>
    <row r="317">
      <c r="A317" s="23"/>
      <c r="B317" s="20" t="s">
        <v>469</v>
      </c>
      <c r="C317" s="22" t="s">
        <v>29</v>
      </c>
    </row>
    <row r="318">
      <c r="A318" s="23"/>
      <c r="B318" s="20" t="s">
        <v>470</v>
      </c>
      <c r="C318" s="22" t="s">
        <v>29</v>
      </c>
    </row>
    <row r="319">
      <c r="A319" s="14">
        <v>26.0</v>
      </c>
      <c r="B319" s="20" t="s">
        <v>471</v>
      </c>
      <c r="C319" s="22" t="s">
        <v>29</v>
      </c>
    </row>
    <row r="320">
      <c r="A320" s="23"/>
      <c r="B320" s="20" t="s">
        <v>472</v>
      </c>
      <c r="C320" s="22" t="s">
        <v>29</v>
      </c>
    </row>
    <row r="321">
      <c r="A321" s="23"/>
      <c r="B321" s="20" t="s">
        <v>473</v>
      </c>
      <c r="C321" s="22" t="s">
        <v>29</v>
      </c>
    </row>
    <row r="322">
      <c r="A322" s="23"/>
      <c r="B322" s="20" t="s">
        <v>474</v>
      </c>
      <c r="C322" s="22" t="s">
        <v>29</v>
      </c>
    </row>
    <row r="323">
      <c r="A323" s="23"/>
      <c r="B323" s="20" t="s">
        <v>475</v>
      </c>
      <c r="C323" s="22" t="s">
        <v>29</v>
      </c>
    </row>
    <row r="324">
      <c r="A324" s="23"/>
      <c r="B324" s="20" t="s">
        <v>476</v>
      </c>
      <c r="C324" s="22" t="s">
        <v>29</v>
      </c>
    </row>
    <row r="325">
      <c r="A325" s="23"/>
      <c r="B325" s="20" t="s">
        <v>477</v>
      </c>
      <c r="C325" s="22" t="s">
        <v>29</v>
      </c>
    </row>
    <row r="326">
      <c r="A326" s="23"/>
      <c r="B326" s="20" t="s">
        <v>478</v>
      </c>
      <c r="C326" s="22" t="s">
        <v>29</v>
      </c>
    </row>
    <row r="327">
      <c r="A327" s="23"/>
      <c r="B327" s="20" t="s">
        <v>479</v>
      </c>
      <c r="C327" s="22" t="s">
        <v>29</v>
      </c>
    </row>
    <row r="328">
      <c r="A328" s="23"/>
      <c r="B328" s="20" t="s">
        <v>480</v>
      </c>
      <c r="C328" s="22" t="s">
        <v>29</v>
      </c>
    </row>
    <row r="329">
      <c r="A329" s="23"/>
      <c r="B329" s="20" t="s">
        <v>481</v>
      </c>
      <c r="C329" s="22" t="s">
        <v>29</v>
      </c>
    </row>
    <row r="330">
      <c r="A330" s="23"/>
      <c r="B330" s="20" t="s">
        <v>482</v>
      </c>
      <c r="C330" s="22" t="s">
        <v>29</v>
      </c>
    </row>
    <row r="331">
      <c r="A331" s="23"/>
      <c r="B331" s="20" t="s">
        <v>483</v>
      </c>
      <c r="C331" s="22" t="s">
        <v>29</v>
      </c>
    </row>
    <row r="332">
      <c r="A332" s="23"/>
      <c r="B332" s="20" t="s">
        <v>484</v>
      </c>
      <c r="C332" s="22" t="s">
        <v>29</v>
      </c>
    </row>
    <row r="333">
      <c r="A333" s="23"/>
      <c r="B333" s="20" t="s">
        <v>485</v>
      </c>
      <c r="C333" s="22" t="s">
        <v>29</v>
      </c>
    </row>
    <row r="334">
      <c r="A334" s="14">
        <v>27.0</v>
      </c>
      <c r="B334" s="20" t="s">
        <v>486</v>
      </c>
      <c r="C334" s="22" t="s">
        <v>29</v>
      </c>
    </row>
    <row r="335">
      <c r="A335" s="23"/>
      <c r="B335" s="20" t="s">
        <v>487</v>
      </c>
      <c r="C335" s="22" t="s">
        <v>29</v>
      </c>
    </row>
    <row r="336">
      <c r="A336" s="23"/>
      <c r="B336" s="20" t="s">
        <v>488</v>
      </c>
      <c r="C336" s="22" t="s">
        <v>29</v>
      </c>
    </row>
    <row r="337">
      <c r="A337" s="23"/>
      <c r="B337" s="20" t="s">
        <v>489</v>
      </c>
      <c r="C337" s="22" t="s">
        <v>29</v>
      </c>
    </row>
    <row r="338">
      <c r="A338" s="23"/>
      <c r="B338" s="20" t="s">
        <v>490</v>
      </c>
      <c r="C338" s="22" t="s">
        <v>29</v>
      </c>
    </row>
    <row r="339">
      <c r="A339" s="23"/>
      <c r="B339" s="20" t="s">
        <v>491</v>
      </c>
      <c r="C339" s="22" t="s">
        <v>29</v>
      </c>
    </row>
    <row r="340">
      <c r="A340" s="23"/>
      <c r="B340" s="20" t="s">
        <v>492</v>
      </c>
      <c r="C340" s="22" t="s">
        <v>29</v>
      </c>
    </row>
    <row r="341">
      <c r="A341" s="23"/>
      <c r="B341" s="20" t="s">
        <v>493</v>
      </c>
      <c r="C341" s="22" t="s">
        <v>29</v>
      </c>
    </row>
    <row r="342">
      <c r="A342" s="23"/>
      <c r="B342" s="20" t="s">
        <v>494</v>
      </c>
      <c r="C342" s="23"/>
    </row>
    <row r="343">
      <c r="A343" s="23"/>
      <c r="B343" s="20" t="s">
        <v>495</v>
      </c>
      <c r="C343" s="23"/>
    </row>
    <row r="344">
      <c r="A344" s="23"/>
      <c r="B344" s="20" t="s">
        <v>496</v>
      </c>
      <c r="C344" s="23"/>
    </row>
    <row r="345">
      <c r="A345" s="23"/>
      <c r="B345" s="20" t="s">
        <v>497</v>
      </c>
      <c r="C345" s="23"/>
    </row>
    <row r="346">
      <c r="A346" s="23"/>
      <c r="B346" s="20" t="s">
        <v>498</v>
      </c>
      <c r="C346" s="22" t="s">
        <v>29</v>
      </c>
    </row>
    <row r="347">
      <c r="A347" s="14">
        <v>28.0</v>
      </c>
      <c r="B347" s="20" t="s">
        <v>499</v>
      </c>
      <c r="C347" s="23"/>
    </row>
    <row r="348">
      <c r="A348" s="23"/>
      <c r="B348" s="20" t="s">
        <v>500</v>
      </c>
      <c r="C348" s="23"/>
    </row>
    <row r="349">
      <c r="A349" s="23"/>
      <c r="B349" s="20" t="s">
        <v>501</v>
      </c>
      <c r="C349" s="23"/>
    </row>
    <row r="350">
      <c r="A350" s="23"/>
      <c r="B350" s="20" t="s">
        <v>502</v>
      </c>
      <c r="C350" s="23"/>
    </row>
    <row r="351">
      <c r="A351" s="23"/>
      <c r="B351" s="20" t="s">
        <v>503</v>
      </c>
      <c r="C351" s="23"/>
    </row>
    <row r="352">
      <c r="A352" s="23"/>
      <c r="B352" s="20" t="s">
        <v>504</v>
      </c>
      <c r="C352" s="23"/>
    </row>
    <row r="353">
      <c r="A353" s="23"/>
      <c r="B353" s="20" t="s">
        <v>505</v>
      </c>
      <c r="C353" s="23"/>
    </row>
    <row r="354">
      <c r="A354" s="55">
        <v>29.0</v>
      </c>
      <c r="B354" s="56" t="s">
        <v>506</v>
      </c>
      <c r="C354" s="22" t="s">
        <v>29</v>
      </c>
    </row>
    <row r="355">
      <c r="A355" s="23"/>
      <c r="B355" s="57" t="s">
        <v>369</v>
      </c>
      <c r="C355" s="22" t="s">
        <v>29</v>
      </c>
    </row>
    <row r="356">
      <c r="A356" s="23"/>
      <c r="B356" s="57" t="s">
        <v>507</v>
      </c>
      <c r="C356" s="22" t="s">
        <v>29</v>
      </c>
    </row>
    <row r="357">
      <c r="A357" s="23"/>
      <c r="B357" s="57" t="s">
        <v>508</v>
      </c>
      <c r="C357" s="22" t="s">
        <v>29</v>
      </c>
    </row>
    <row r="358">
      <c r="A358" s="23"/>
      <c r="B358" s="57" t="s">
        <v>509</v>
      </c>
      <c r="C358" s="22" t="s">
        <v>29</v>
      </c>
    </row>
    <row r="359">
      <c r="A359" s="23"/>
      <c r="B359" s="57" t="s">
        <v>510</v>
      </c>
      <c r="C359" s="22" t="s">
        <v>29</v>
      </c>
    </row>
    <row r="360">
      <c r="A360" s="23"/>
      <c r="B360" s="57" t="s">
        <v>511</v>
      </c>
      <c r="C360" s="22" t="s">
        <v>29</v>
      </c>
    </row>
    <row r="361">
      <c r="A361" s="23"/>
      <c r="B361" s="57" t="s">
        <v>512</v>
      </c>
      <c r="C361" s="22" t="s">
        <v>29</v>
      </c>
    </row>
    <row r="362">
      <c r="A362" s="14">
        <v>30.0</v>
      </c>
      <c r="B362" s="20" t="s">
        <v>513</v>
      </c>
      <c r="C362" s="22" t="s">
        <v>29</v>
      </c>
    </row>
    <row r="363">
      <c r="A363" s="23"/>
      <c r="B363" s="20" t="s">
        <v>514</v>
      </c>
      <c r="C363" s="22" t="s">
        <v>29</v>
      </c>
    </row>
    <row r="364">
      <c r="A364" s="23"/>
      <c r="B364" s="20" t="s">
        <v>515</v>
      </c>
      <c r="C364" s="22" t="s">
        <v>29</v>
      </c>
    </row>
    <row r="365">
      <c r="A365" s="23"/>
      <c r="B365" s="20" t="s">
        <v>516</v>
      </c>
      <c r="C365" s="22" t="s">
        <v>29</v>
      </c>
    </row>
    <row r="366">
      <c r="A366" s="23"/>
      <c r="B366" s="20" t="s">
        <v>517</v>
      </c>
      <c r="C366" s="22" t="s">
        <v>29</v>
      </c>
    </row>
    <row r="367">
      <c r="A367" s="23"/>
      <c r="B367" s="20" t="s">
        <v>518</v>
      </c>
      <c r="C367" s="22" t="s">
        <v>29</v>
      </c>
    </row>
    <row r="368">
      <c r="A368" s="23"/>
      <c r="B368" s="20" t="s">
        <v>519</v>
      </c>
      <c r="C368" s="22" t="s">
        <v>29</v>
      </c>
    </row>
    <row r="369">
      <c r="A369" s="23"/>
      <c r="B369" s="20" t="s">
        <v>520</v>
      </c>
      <c r="C369" s="22" t="s">
        <v>29</v>
      </c>
    </row>
    <row r="370">
      <c r="A370" s="23"/>
      <c r="B370" s="20" t="s">
        <v>521</v>
      </c>
      <c r="C370" s="22" t="s">
        <v>29</v>
      </c>
    </row>
    <row r="371">
      <c r="A371" s="23"/>
      <c r="B371" s="20" t="s">
        <v>522</v>
      </c>
      <c r="C371" s="22" t="s">
        <v>29</v>
      </c>
    </row>
    <row r="372">
      <c r="A372" s="23"/>
      <c r="B372" s="20" t="s">
        <v>523</v>
      </c>
      <c r="C372" s="22" t="s">
        <v>29</v>
      </c>
    </row>
    <row r="373">
      <c r="A373" s="23"/>
      <c r="B373" s="20" t="s">
        <v>524</v>
      </c>
      <c r="C373" s="22" t="s">
        <v>29</v>
      </c>
    </row>
    <row r="374">
      <c r="A374" s="23"/>
      <c r="B374" s="20" t="s">
        <v>525</v>
      </c>
      <c r="C374" s="22" t="s">
        <v>29</v>
      </c>
    </row>
    <row r="375">
      <c r="A375" s="14">
        <v>31.0</v>
      </c>
      <c r="B375" s="20" t="s">
        <v>526</v>
      </c>
      <c r="C375" s="22" t="s">
        <v>29</v>
      </c>
    </row>
    <row r="376">
      <c r="A376" s="23"/>
      <c r="B376" s="20" t="s">
        <v>527</v>
      </c>
      <c r="C376" s="22" t="s">
        <v>29</v>
      </c>
    </row>
    <row r="377">
      <c r="A377" s="23"/>
      <c r="B377" s="20" t="s">
        <v>528</v>
      </c>
      <c r="C377" s="22" t="s">
        <v>29</v>
      </c>
    </row>
    <row r="378">
      <c r="A378" s="23"/>
      <c r="B378" s="20" t="s">
        <v>529</v>
      </c>
      <c r="C378" s="22" t="s">
        <v>29</v>
      </c>
    </row>
    <row r="379">
      <c r="A379" s="23"/>
      <c r="B379" s="20" t="s">
        <v>530</v>
      </c>
      <c r="C379" s="22" t="s">
        <v>29</v>
      </c>
    </row>
    <row r="380">
      <c r="A380" s="23"/>
      <c r="B380" s="20" t="s">
        <v>531</v>
      </c>
      <c r="C380" s="22" t="s">
        <v>29</v>
      </c>
    </row>
    <row r="381">
      <c r="A381" s="23"/>
      <c r="B381" s="20" t="s">
        <v>532</v>
      </c>
      <c r="C381" s="22" t="s">
        <v>29</v>
      </c>
    </row>
    <row r="382">
      <c r="A382" s="23"/>
      <c r="B382" s="20" t="s">
        <v>533</v>
      </c>
      <c r="C382" s="22" t="s">
        <v>29</v>
      </c>
    </row>
    <row r="383">
      <c r="A383" s="23"/>
      <c r="B383" s="20" t="s">
        <v>534</v>
      </c>
      <c r="C383" s="22" t="s">
        <v>29</v>
      </c>
    </row>
    <row r="384">
      <c r="A384" s="23"/>
      <c r="B384" s="20" t="s">
        <v>535</v>
      </c>
      <c r="C384" s="22" t="s">
        <v>29</v>
      </c>
    </row>
    <row r="385">
      <c r="A385" s="23"/>
      <c r="B385" s="20" t="s">
        <v>536</v>
      </c>
      <c r="C385" s="22" t="s">
        <v>29</v>
      </c>
    </row>
    <row r="386">
      <c r="A386" s="23"/>
      <c r="B386" s="20" t="s">
        <v>537</v>
      </c>
      <c r="C386" s="22" t="s">
        <v>29</v>
      </c>
    </row>
    <row r="387">
      <c r="A387" s="23"/>
      <c r="B387" s="20" t="s">
        <v>538</v>
      </c>
      <c r="C387" s="22" t="s">
        <v>29</v>
      </c>
    </row>
    <row r="388">
      <c r="A388" s="14">
        <v>32.0</v>
      </c>
      <c r="B388" s="20" t="s">
        <v>539</v>
      </c>
      <c r="C388" s="23"/>
    </row>
    <row r="389">
      <c r="A389" s="23"/>
      <c r="B389" s="20" t="s">
        <v>540</v>
      </c>
      <c r="C389" s="23"/>
    </row>
    <row r="390">
      <c r="A390" s="23"/>
      <c r="B390" s="20" t="s">
        <v>541</v>
      </c>
      <c r="C390" s="23"/>
    </row>
    <row r="391">
      <c r="A391" s="23"/>
      <c r="B391" s="20" t="s">
        <v>542</v>
      </c>
      <c r="C391" s="23"/>
    </row>
    <row r="392">
      <c r="A392" s="23"/>
      <c r="B392" s="20" t="s">
        <v>543</v>
      </c>
      <c r="C392" s="23"/>
    </row>
    <row r="393">
      <c r="A393" s="23"/>
      <c r="B393" s="20" t="s">
        <v>544</v>
      </c>
      <c r="C393" s="23"/>
    </row>
    <row r="394">
      <c r="A394" s="23"/>
      <c r="B394" s="20" t="s">
        <v>545</v>
      </c>
      <c r="C394" s="23"/>
    </row>
    <row r="395">
      <c r="A395" s="23"/>
      <c r="B395" s="20" t="s">
        <v>546</v>
      </c>
      <c r="C395" s="23"/>
    </row>
    <row r="396">
      <c r="A396" s="23"/>
      <c r="B396" s="20" t="s">
        <v>547</v>
      </c>
      <c r="C396" s="23"/>
    </row>
    <row r="397">
      <c r="A397" s="23"/>
      <c r="B397" s="20" t="s">
        <v>548</v>
      </c>
      <c r="C397" s="23"/>
    </row>
    <row r="398">
      <c r="A398" s="23"/>
      <c r="B398" s="20" t="s">
        <v>549</v>
      </c>
      <c r="C398" s="23"/>
    </row>
    <row r="399">
      <c r="A399" s="14">
        <v>33.0</v>
      </c>
      <c r="B399" s="20" t="s">
        <v>550</v>
      </c>
      <c r="C399" s="23"/>
    </row>
    <row r="400">
      <c r="A400" s="23"/>
      <c r="B400" s="20" t="s">
        <v>551</v>
      </c>
      <c r="C400" s="23"/>
    </row>
    <row r="401">
      <c r="A401" s="23"/>
      <c r="B401" s="20" t="s">
        <v>552</v>
      </c>
      <c r="C401" s="23"/>
    </row>
    <row r="402">
      <c r="A402" s="23"/>
      <c r="B402" s="20" t="s">
        <v>553</v>
      </c>
      <c r="C402" s="23"/>
    </row>
    <row r="403">
      <c r="A403" s="23"/>
      <c r="B403" s="20" t="s">
        <v>554</v>
      </c>
      <c r="C403" s="23"/>
    </row>
    <row r="404">
      <c r="A404" s="23"/>
      <c r="B404" s="20" t="s">
        <v>555</v>
      </c>
      <c r="C404" s="23"/>
    </row>
    <row r="405">
      <c r="A405" s="23"/>
      <c r="B405" s="20" t="s">
        <v>556</v>
      </c>
      <c r="C405" s="23"/>
    </row>
    <row r="406">
      <c r="A406" s="23"/>
      <c r="B406" s="20" t="s">
        <v>557</v>
      </c>
      <c r="C406" s="23"/>
    </row>
    <row r="407">
      <c r="A407" s="14">
        <v>34.0</v>
      </c>
      <c r="B407" s="20" t="s">
        <v>558</v>
      </c>
      <c r="C407" s="23"/>
    </row>
    <row r="408">
      <c r="A408" s="23"/>
      <c r="B408" s="20" t="s">
        <v>377</v>
      </c>
      <c r="C408" s="23"/>
    </row>
    <row r="409">
      <c r="A409" s="23"/>
      <c r="B409" s="20" t="s">
        <v>559</v>
      </c>
      <c r="C409" s="23"/>
    </row>
    <row r="410">
      <c r="A410" s="23"/>
      <c r="B410" s="20" t="s">
        <v>379</v>
      </c>
      <c r="C410" s="23"/>
    </row>
    <row r="411">
      <c r="A411" s="23"/>
      <c r="B411" s="20" t="s">
        <v>560</v>
      </c>
      <c r="C411" s="23"/>
    </row>
    <row r="412">
      <c r="A412" s="23"/>
      <c r="B412" s="20" t="s">
        <v>561</v>
      </c>
      <c r="C412" s="23"/>
    </row>
    <row r="413">
      <c r="A413" s="55">
        <v>35.0</v>
      </c>
      <c r="B413" s="56" t="s">
        <v>562</v>
      </c>
      <c r="C413" s="23"/>
    </row>
    <row r="414">
      <c r="A414" s="23"/>
      <c r="B414" s="57" t="s">
        <v>369</v>
      </c>
      <c r="C414" s="23"/>
    </row>
    <row r="415">
      <c r="A415" s="23"/>
      <c r="B415" s="57" t="s">
        <v>563</v>
      </c>
      <c r="C415" s="23"/>
    </row>
    <row r="416">
      <c r="A416" s="23"/>
      <c r="B416" s="57" t="s">
        <v>564</v>
      </c>
      <c r="C416" s="23"/>
    </row>
    <row r="417">
      <c r="A417" s="23"/>
      <c r="B417" s="57" t="s">
        <v>565</v>
      </c>
      <c r="C417" s="23"/>
    </row>
    <row r="418">
      <c r="A418" s="23"/>
      <c r="B418" s="57" t="s">
        <v>566</v>
      </c>
      <c r="C418" s="23"/>
    </row>
    <row r="419">
      <c r="A419" s="23"/>
      <c r="B419" s="57" t="s">
        <v>373</v>
      </c>
      <c r="C419" s="23"/>
    </row>
    <row r="420">
      <c r="A420" s="23"/>
      <c r="B420" s="57" t="s">
        <v>567</v>
      </c>
      <c r="C420" s="23"/>
    </row>
    <row r="421">
      <c r="A421" s="14">
        <v>36.0</v>
      </c>
      <c r="B421" s="20" t="s">
        <v>568</v>
      </c>
      <c r="C421" s="22" t="s">
        <v>29</v>
      </c>
    </row>
    <row r="422">
      <c r="A422" s="23"/>
      <c r="B422" s="20" t="s">
        <v>569</v>
      </c>
      <c r="C422" s="22" t="s">
        <v>29</v>
      </c>
    </row>
    <row r="423">
      <c r="A423" s="23"/>
      <c r="B423" s="20" t="s">
        <v>570</v>
      </c>
      <c r="C423" s="22" t="s">
        <v>29</v>
      </c>
    </row>
    <row r="424">
      <c r="A424" s="23"/>
      <c r="B424" s="20" t="s">
        <v>571</v>
      </c>
      <c r="C424" s="22" t="s">
        <v>29</v>
      </c>
    </row>
    <row r="425">
      <c r="A425" s="23"/>
      <c r="B425" s="20" t="s">
        <v>572</v>
      </c>
      <c r="C425" s="22" t="s">
        <v>29</v>
      </c>
    </row>
    <row r="426">
      <c r="A426" s="23"/>
      <c r="B426" s="20" t="s">
        <v>573</v>
      </c>
      <c r="C426" s="22" t="s">
        <v>29</v>
      </c>
    </row>
    <row r="427">
      <c r="A427" s="23"/>
      <c r="B427" s="20" t="s">
        <v>574</v>
      </c>
      <c r="C427" s="22" t="s">
        <v>29</v>
      </c>
    </row>
    <row r="428">
      <c r="A428" s="23"/>
      <c r="B428" s="20" t="s">
        <v>575</v>
      </c>
      <c r="C428" s="23"/>
    </row>
    <row r="429">
      <c r="A429" s="23"/>
      <c r="B429" s="20" t="s">
        <v>576</v>
      </c>
      <c r="C429" s="23"/>
    </row>
    <row r="430">
      <c r="A430" s="23"/>
      <c r="B430" s="20" t="s">
        <v>577</v>
      </c>
      <c r="C430" s="23"/>
    </row>
    <row r="431">
      <c r="A431" s="23"/>
      <c r="B431" s="20" t="s">
        <v>578</v>
      </c>
      <c r="C431" s="23"/>
    </row>
    <row r="432">
      <c r="A432" s="23"/>
      <c r="B432" s="20" t="s">
        <v>579</v>
      </c>
      <c r="C432" s="23"/>
    </row>
    <row r="433">
      <c r="A433" s="23"/>
      <c r="B433" s="20" t="s">
        <v>580</v>
      </c>
      <c r="C433" s="22" t="s">
        <v>29</v>
      </c>
    </row>
    <row r="434">
      <c r="A434" s="23"/>
      <c r="B434" s="20" t="s">
        <v>581</v>
      </c>
      <c r="C434" s="23"/>
    </row>
    <row r="435">
      <c r="A435" s="23"/>
      <c r="B435" s="20" t="s">
        <v>582</v>
      </c>
      <c r="C435" s="23"/>
    </row>
    <row r="436">
      <c r="A436" s="23"/>
      <c r="B436" s="20" t="s">
        <v>583</v>
      </c>
      <c r="C436" s="23"/>
    </row>
    <row r="437">
      <c r="A437" s="23"/>
      <c r="B437" s="20" t="s">
        <v>584</v>
      </c>
      <c r="C437" s="23"/>
    </row>
    <row r="438">
      <c r="A438" s="23"/>
      <c r="B438" s="20" t="s">
        <v>585</v>
      </c>
      <c r="C438" s="23"/>
    </row>
    <row r="439">
      <c r="A439" s="14">
        <v>37.0</v>
      </c>
      <c r="B439" s="20" t="s">
        <v>586</v>
      </c>
      <c r="C439" s="22" t="s">
        <v>29</v>
      </c>
    </row>
    <row r="440">
      <c r="A440" s="23"/>
      <c r="B440" s="20" t="s">
        <v>587</v>
      </c>
      <c r="C440" s="22" t="s">
        <v>29</v>
      </c>
    </row>
    <row r="441">
      <c r="A441" s="23"/>
      <c r="B441" s="20" t="s">
        <v>588</v>
      </c>
      <c r="C441" s="23"/>
    </row>
    <row r="442">
      <c r="A442" s="23"/>
      <c r="B442" s="20" t="s">
        <v>589</v>
      </c>
      <c r="C442" s="23"/>
    </row>
    <row r="443">
      <c r="A443" s="23"/>
      <c r="B443" s="20" t="s">
        <v>590</v>
      </c>
      <c r="C443" s="22" t="s">
        <v>29</v>
      </c>
    </row>
    <row r="444">
      <c r="A444" s="23"/>
      <c r="B444" s="20" t="s">
        <v>591</v>
      </c>
      <c r="C444" s="22" t="s">
        <v>29</v>
      </c>
    </row>
    <row r="445">
      <c r="A445" s="23"/>
      <c r="B445" s="20" t="s">
        <v>592</v>
      </c>
      <c r="C445" s="23"/>
    </row>
    <row r="446">
      <c r="A446" s="23"/>
      <c r="B446" s="20" t="s">
        <v>593</v>
      </c>
      <c r="C446" s="23"/>
    </row>
    <row r="447">
      <c r="A447" s="23"/>
      <c r="B447" s="20" t="s">
        <v>594</v>
      </c>
      <c r="C447" s="23"/>
    </row>
    <row r="448">
      <c r="A448" s="23"/>
      <c r="B448" s="20" t="s">
        <v>595</v>
      </c>
      <c r="C448" s="23"/>
    </row>
    <row r="449">
      <c r="A449" s="23"/>
      <c r="B449" s="20" t="s">
        <v>596</v>
      </c>
      <c r="C449" s="23"/>
    </row>
    <row r="450">
      <c r="A450" s="23"/>
      <c r="B450" s="20" t="s">
        <v>597</v>
      </c>
      <c r="C450" s="23"/>
    </row>
    <row r="451">
      <c r="A451" s="23"/>
      <c r="B451" s="20" t="s">
        <v>598</v>
      </c>
      <c r="C451" s="23"/>
    </row>
    <row r="452">
      <c r="A452" s="23"/>
      <c r="B452" s="20" t="s">
        <v>599</v>
      </c>
      <c r="C452" s="23"/>
    </row>
    <row r="453">
      <c r="A453" s="23"/>
      <c r="B453" s="20" t="s">
        <v>600</v>
      </c>
      <c r="C453" s="23"/>
    </row>
    <row r="454">
      <c r="A454" s="23"/>
      <c r="B454" s="20" t="s">
        <v>601</v>
      </c>
      <c r="C454" s="23"/>
    </row>
    <row r="455">
      <c r="A455" s="23"/>
      <c r="B455" s="20" t="s">
        <v>602</v>
      </c>
      <c r="C455" s="23"/>
    </row>
    <row r="456">
      <c r="A456" s="23"/>
      <c r="B456" s="20" t="s">
        <v>603</v>
      </c>
      <c r="C456" s="23"/>
    </row>
    <row r="457">
      <c r="A457" s="14">
        <v>38.0</v>
      </c>
      <c r="B457" s="20" t="s">
        <v>604</v>
      </c>
      <c r="C457" s="23"/>
    </row>
    <row r="458">
      <c r="A458" s="23"/>
      <c r="B458" s="20" t="s">
        <v>605</v>
      </c>
      <c r="C458" s="23"/>
    </row>
    <row r="459">
      <c r="A459" s="23"/>
      <c r="B459" s="20" t="s">
        <v>606</v>
      </c>
      <c r="C459" s="23"/>
    </row>
    <row r="460">
      <c r="A460" s="23"/>
      <c r="B460" s="20" t="s">
        <v>607</v>
      </c>
      <c r="C460" s="23"/>
    </row>
    <row r="461">
      <c r="A461" s="23"/>
      <c r="B461" s="20" t="s">
        <v>608</v>
      </c>
      <c r="C461" s="23"/>
    </row>
    <row r="462">
      <c r="A462" s="23"/>
      <c r="B462" s="20" t="s">
        <v>609</v>
      </c>
      <c r="C462" s="23"/>
    </row>
    <row r="463">
      <c r="A463" s="23"/>
      <c r="B463" s="20" t="s">
        <v>610</v>
      </c>
      <c r="C463" s="23"/>
    </row>
    <row r="464">
      <c r="A464" s="23"/>
      <c r="B464" s="20" t="s">
        <v>611</v>
      </c>
      <c r="C464" s="23"/>
    </row>
    <row r="465">
      <c r="A465" s="23"/>
      <c r="B465" s="20" t="s">
        <v>612</v>
      </c>
      <c r="C465" s="23"/>
    </row>
    <row r="466">
      <c r="A466" s="23"/>
      <c r="B466" s="20" t="s">
        <v>613</v>
      </c>
      <c r="C466" s="23"/>
    </row>
    <row r="467">
      <c r="A467" s="23"/>
      <c r="B467" s="20" t="s">
        <v>614</v>
      </c>
      <c r="C467" s="23"/>
    </row>
    <row r="468">
      <c r="A468" s="23"/>
      <c r="B468" s="20" t="s">
        <v>615</v>
      </c>
      <c r="C468" s="23"/>
    </row>
    <row r="469">
      <c r="A469" s="14">
        <v>39.0</v>
      </c>
      <c r="B469" s="20" t="s">
        <v>616</v>
      </c>
      <c r="C469" s="23"/>
    </row>
    <row r="470">
      <c r="A470" s="23"/>
      <c r="B470" s="20" t="s">
        <v>617</v>
      </c>
      <c r="C470" s="23"/>
    </row>
    <row r="471">
      <c r="A471" s="23"/>
      <c r="B471" s="20" t="s">
        <v>618</v>
      </c>
      <c r="C471" s="23"/>
    </row>
    <row r="472">
      <c r="A472" s="23"/>
      <c r="B472" s="20" t="s">
        <v>619</v>
      </c>
      <c r="C472" s="23"/>
    </row>
    <row r="473">
      <c r="A473" s="23"/>
      <c r="B473" s="20" t="s">
        <v>620</v>
      </c>
      <c r="C473" s="23"/>
    </row>
    <row r="474">
      <c r="A474" s="23"/>
      <c r="B474" s="20" t="s">
        <v>621</v>
      </c>
      <c r="C474" s="23"/>
    </row>
    <row r="475">
      <c r="A475" s="23"/>
      <c r="B475" s="20" t="s">
        <v>622</v>
      </c>
      <c r="C475" s="23"/>
    </row>
    <row r="476">
      <c r="A476" s="23"/>
      <c r="B476" s="20" t="s">
        <v>623</v>
      </c>
      <c r="C476" s="23"/>
    </row>
    <row r="477">
      <c r="A477" s="23"/>
      <c r="B477" s="20" t="s">
        <v>624</v>
      </c>
      <c r="C477" s="23"/>
    </row>
    <row r="478">
      <c r="A478" s="23"/>
      <c r="B478" s="20" t="s">
        <v>625</v>
      </c>
      <c r="C478" s="23"/>
    </row>
    <row r="479">
      <c r="A479" s="23"/>
      <c r="B479" s="20" t="s">
        <v>626</v>
      </c>
      <c r="C479" s="23"/>
    </row>
    <row r="480">
      <c r="A480" s="23"/>
      <c r="B480" s="20" t="s">
        <v>627</v>
      </c>
      <c r="C480" s="23"/>
    </row>
    <row r="481">
      <c r="A481" s="14">
        <v>40.0</v>
      </c>
      <c r="B481" s="20" t="s">
        <v>628</v>
      </c>
      <c r="C481" s="23"/>
    </row>
    <row r="482">
      <c r="A482" s="23"/>
      <c r="B482" s="20" t="s">
        <v>629</v>
      </c>
      <c r="C482" s="23"/>
    </row>
    <row r="483">
      <c r="A483" s="23"/>
      <c r="B483" s="20" t="s">
        <v>630</v>
      </c>
      <c r="C483" s="23"/>
    </row>
    <row r="484">
      <c r="A484" s="23"/>
      <c r="B484" s="20" t="s">
        <v>631</v>
      </c>
      <c r="C484" s="23"/>
    </row>
    <row r="485">
      <c r="A485" s="23"/>
      <c r="B485" s="20" t="s">
        <v>632</v>
      </c>
      <c r="C485" s="23"/>
    </row>
    <row r="486">
      <c r="A486" s="23"/>
      <c r="B486" s="20" t="s">
        <v>633</v>
      </c>
      <c r="C486" s="23"/>
    </row>
    <row r="487">
      <c r="A487" s="23"/>
      <c r="B487" s="20" t="s">
        <v>634</v>
      </c>
      <c r="C487" s="23"/>
    </row>
    <row r="488">
      <c r="A488" s="23"/>
      <c r="B488" s="20" t="s">
        <v>635</v>
      </c>
      <c r="C488" s="23"/>
    </row>
    <row r="489">
      <c r="A489" s="23"/>
      <c r="B489" s="20" t="s">
        <v>636</v>
      </c>
      <c r="C489" s="23"/>
    </row>
    <row r="490">
      <c r="A490" s="23"/>
      <c r="B490" s="20" t="s">
        <v>637</v>
      </c>
      <c r="C490" s="23"/>
    </row>
    <row r="491">
      <c r="A491" s="23"/>
      <c r="B491" s="20" t="s">
        <v>638</v>
      </c>
      <c r="C491" s="23"/>
    </row>
    <row r="492">
      <c r="A492" s="23"/>
      <c r="B492" s="20" t="s">
        <v>639</v>
      </c>
      <c r="C492" s="23"/>
    </row>
    <row r="493">
      <c r="A493" s="23"/>
      <c r="B493" s="20" t="s">
        <v>640</v>
      </c>
      <c r="C493" s="23"/>
    </row>
    <row r="494">
      <c r="A494" s="23"/>
      <c r="B494" s="20" t="s">
        <v>641</v>
      </c>
      <c r="C494" s="23"/>
    </row>
    <row r="495">
      <c r="A495" s="23"/>
      <c r="B495" s="20" t="s">
        <v>642</v>
      </c>
      <c r="C495" s="23"/>
    </row>
    <row r="496">
      <c r="A496" s="14">
        <v>41.0</v>
      </c>
      <c r="B496" s="20" t="s">
        <v>643</v>
      </c>
      <c r="C496" s="23"/>
    </row>
    <row r="497">
      <c r="A497" s="23"/>
      <c r="B497" s="20" t="s">
        <v>644</v>
      </c>
      <c r="C497" s="23"/>
    </row>
    <row r="498">
      <c r="A498" s="23"/>
      <c r="B498" s="20" t="s">
        <v>645</v>
      </c>
      <c r="C498" s="23"/>
    </row>
    <row r="499">
      <c r="A499" s="23"/>
      <c r="B499" s="20" t="s">
        <v>646</v>
      </c>
      <c r="C499" s="23"/>
    </row>
    <row r="500">
      <c r="A500" s="23"/>
      <c r="B500" s="20" t="s">
        <v>647</v>
      </c>
      <c r="C500" s="23"/>
    </row>
    <row r="501">
      <c r="A501" s="23"/>
      <c r="B501" s="20" t="s">
        <v>648</v>
      </c>
      <c r="C501" s="23"/>
    </row>
    <row r="502">
      <c r="A502" s="23"/>
      <c r="B502" s="20" t="s">
        <v>649</v>
      </c>
      <c r="C502" s="23"/>
    </row>
    <row r="503">
      <c r="A503" s="23"/>
      <c r="B503" s="20" t="s">
        <v>650</v>
      </c>
      <c r="C503" s="23"/>
    </row>
    <row r="504">
      <c r="A504" s="23"/>
      <c r="B504" s="20" t="s">
        <v>651</v>
      </c>
      <c r="C504" s="23"/>
    </row>
    <row r="505">
      <c r="A505" s="23"/>
      <c r="B505" s="20" t="s">
        <v>652</v>
      </c>
      <c r="C505" s="23"/>
    </row>
    <row r="506">
      <c r="A506" s="23"/>
      <c r="B506" s="20" t="s">
        <v>653</v>
      </c>
      <c r="C506" s="23"/>
    </row>
    <row r="507">
      <c r="A507" s="23"/>
      <c r="B507" s="20" t="s">
        <v>654</v>
      </c>
      <c r="C507" s="23"/>
    </row>
    <row r="508">
      <c r="A508" s="23"/>
      <c r="B508" s="20" t="s">
        <v>655</v>
      </c>
      <c r="C508" s="23"/>
    </row>
    <row r="509">
      <c r="A509" s="23"/>
      <c r="B509" s="20" t="s">
        <v>656</v>
      </c>
      <c r="C509" s="23"/>
    </row>
    <row r="510">
      <c r="A510" s="23"/>
      <c r="B510" s="20" t="s">
        <v>377</v>
      </c>
      <c r="C510" s="23"/>
    </row>
    <row r="511">
      <c r="A511" s="23"/>
      <c r="B511" s="20" t="s">
        <v>379</v>
      </c>
      <c r="C511" s="23"/>
    </row>
    <row r="512">
      <c r="A512" s="23"/>
      <c r="B512" s="20" t="s">
        <v>657</v>
      </c>
      <c r="C512" s="23"/>
    </row>
    <row r="513">
      <c r="A513" s="23"/>
      <c r="B513" s="20" t="s">
        <v>658</v>
      </c>
      <c r="C513" s="23"/>
    </row>
    <row r="514">
      <c r="A514" s="55">
        <v>42.0</v>
      </c>
      <c r="B514" s="56" t="s">
        <v>659</v>
      </c>
      <c r="C514" s="23"/>
    </row>
    <row r="515">
      <c r="A515" s="23"/>
      <c r="B515" s="57" t="s">
        <v>369</v>
      </c>
      <c r="C515" s="23"/>
    </row>
    <row r="516">
      <c r="A516" s="23"/>
      <c r="B516" s="57" t="s">
        <v>660</v>
      </c>
      <c r="C516" s="23"/>
    </row>
    <row r="517">
      <c r="A517" s="23"/>
      <c r="B517" s="57" t="s">
        <v>661</v>
      </c>
      <c r="C517" s="23"/>
    </row>
    <row r="518">
      <c r="A518" s="23"/>
      <c r="B518" s="57" t="s">
        <v>662</v>
      </c>
      <c r="C518" s="23"/>
    </row>
    <row r="519">
      <c r="A519" s="23"/>
      <c r="B519" s="57" t="s">
        <v>663</v>
      </c>
      <c r="C519" s="23"/>
    </row>
    <row r="520">
      <c r="A520" s="23"/>
      <c r="B520" s="57" t="s">
        <v>664</v>
      </c>
      <c r="C520" s="23"/>
    </row>
    <row r="521">
      <c r="A521" s="23"/>
      <c r="B521" s="57" t="s">
        <v>665</v>
      </c>
      <c r="C521" s="23"/>
    </row>
    <row r="522">
      <c r="A522" s="14">
        <v>43.0</v>
      </c>
      <c r="B522" s="20" t="s">
        <v>666</v>
      </c>
      <c r="C522" s="23"/>
    </row>
    <row r="523">
      <c r="A523" s="23"/>
      <c r="B523" s="20" t="s">
        <v>667</v>
      </c>
      <c r="C523" s="23"/>
    </row>
    <row r="524">
      <c r="A524" s="23"/>
      <c r="B524" s="20" t="s">
        <v>668</v>
      </c>
      <c r="C524" s="23"/>
    </row>
    <row r="525">
      <c r="A525" s="23"/>
      <c r="B525" s="20" t="s">
        <v>669</v>
      </c>
      <c r="C525" s="23"/>
    </row>
    <row r="526">
      <c r="A526" s="23"/>
      <c r="B526" s="20" t="s">
        <v>670</v>
      </c>
      <c r="C526" s="23"/>
    </row>
    <row r="527">
      <c r="A527" s="23"/>
      <c r="B527" s="20" t="s">
        <v>671</v>
      </c>
      <c r="C527" s="23"/>
    </row>
    <row r="528">
      <c r="A528" s="23"/>
      <c r="B528" s="20" t="s">
        <v>672</v>
      </c>
      <c r="C528" s="23"/>
    </row>
    <row r="529">
      <c r="A529" s="23"/>
      <c r="B529" s="20" t="s">
        <v>673</v>
      </c>
      <c r="C529" s="23"/>
    </row>
    <row r="530">
      <c r="A530" s="23"/>
      <c r="B530" s="20" t="s">
        <v>674</v>
      </c>
      <c r="C530" s="23"/>
    </row>
    <row r="531">
      <c r="A531" s="23"/>
      <c r="B531" s="20" t="s">
        <v>675</v>
      </c>
      <c r="C531" s="23"/>
    </row>
    <row r="532">
      <c r="A532" s="23"/>
      <c r="B532" s="20" t="s">
        <v>676</v>
      </c>
      <c r="C532" s="23"/>
    </row>
    <row r="533">
      <c r="A533" s="23"/>
      <c r="B533" s="20" t="s">
        <v>677</v>
      </c>
      <c r="C533" s="23"/>
    </row>
    <row r="534">
      <c r="A534" s="23"/>
      <c r="B534" s="20" t="s">
        <v>678</v>
      </c>
      <c r="C534" s="23"/>
    </row>
    <row r="535">
      <c r="A535" s="23"/>
      <c r="B535" s="20" t="s">
        <v>679</v>
      </c>
      <c r="C535" s="23"/>
    </row>
    <row r="536">
      <c r="A536" s="23"/>
      <c r="B536" s="20" t="s">
        <v>680</v>
      </c>
      <c r="C536" s="23"/>
    </row>
    <row r="537">
      <c r="A537" s="23"/>
      <c r="B537" s="20" t="s">
        <v>681</v>
      </c>
      <c r="C537" s="23"/>
    </row>
    <row r="538">
      <c r="A538" s="23"/>
      <c r="B538" s="20" t="s">
        <v>682</v>
      </c>
      <c r="C538" s="23"/>
    </row>
    <row r="539">
      <c r="A539" s="14">
        <v>44.0</v>
      </c>
      <c r="B539" s="20" t="s">
        <v>683</v>
      </c>
      <c r="C539" s="23"/>
    </row>
    <row r="540">
      <c r="A540" s="23"/>
      <c r="B540" s="20" t="s">
        <v>684</v>
      </c>
      <c r="C540" s="23"/>
    </row>
    <row r="541">
      <c r="A541" s="23"/>
      <c r="B541" s="20" t="s">
        <v>685</v>
      </c>
      <c r="C541" s="23"/>
    </row>
    <row r="542">
      <c r="A542" s="23"/>
      <c r="B542" s="20" t="s">
        <v>686</v>
      </c>
      <c r="C542" s="23"/>
    </row>
    <row r="543">
      <c r="A543" s="23"/>
      <c r="B543" s="20" t="s">
        <v>687</v>
      </c>
      <c r="C543" s="23"/>
    </row>
    <row r="544">
      <c r="A544" s="23"/>
      <c r="B544" s="20" t="s">
        <v>688</v>
      </c>
      <c r="C544" s="23"/>
    </row>
    <row r="545">
      <c r="A545" s="23"/>
      <c r="B545" s="20" t="s">
        <v>689</v>
      </c>
      <c r="C545" s="23"/>
    </row>
    <row r="546">
      <c r="A546" s="23"/>
      <c r="B546" s="20" t="s">
        <v>690</v>
      </c>
      <c r="C546" s="23"/>
    </row>
    <row r="547">
      <c r="A547" s="23"/>
      <c r="B547" s="20" t="s">
        <v>691</v>
      </c>
      <c r="C547" s="23"/>
    </row>
    <row r="548">
      <c r="A548" s="23"/>
      <c r="B548" s="20" t="s">
        <v>692</v>
      </c>
      <c r="C548" s="23"/>
    </row>
    <row r="549">
      <c r="A549" s="23"/>
      <c r="B549" s="20" t="s">
        <v>693</v>
      </c>
      <c r="C549" s="23"/>
    </row>
    <row r="550">
      <c r="A550" s="14">
        <v>45.0</v>
      </c>
      <c r="B550" s="20" t="s">
        <v>694</v>
      </c>
      <c r="C550" s="23"/>
    </row>
    <row r="551">
      <c r="A551" s="23"/>
      <c r="B551" s="20" t="s">
        <v>695</v>
      </c>
      <c r="C551" s="23"/>
    </row>
    <row r="552">
      <c r="A552" s="23"/>
      <c r="B552" s="20" t="s">
        <v>696</v>
      </c>
      <c r="C552" s="23"/>
    </row>
    <row r="553">
      <c r="A553" s="23"/>
      <c r="B553" s="20" t="s">
        <v>697</v>
      </c>
      <c r="C553" s="23"/>
    </row>
    <row r="554">
      <c r="A554" s="23"/>
      <c r="B554" s="20" t="s">
        <v>698</v>
      </c>
      <c r="C554" s="23"/>
    </row>
    <row r="555">
      <c r="A555" s="23"/>
      <c r="B555" s="20" t="s">
        <v>699</v>
      </c>
      <c r="C555" s="23"/>
    </row>
    <row r="556">
      <c r="A556" s="23"/>
      <c r="B556" s="20" t="s">
        <v>700</v>
      </c>
      <c r="C556" s="23"/>
    </row>
    <row r="557">
      <c r="A557" s="23"/>
      <c r="B557" s="20" t="s">
        <v>701</v>
      </c>
      <c r="C557" s="23"/>
    </row>
    <row r="558">
      <c r="A558" s="23"/>
      <c r="B558" s="20" t="s">
        <v>702</v>
      </c>
      <c r="C558" s="23"/>
    </row>
    <row r="559">
      <c r="A559" s="23"/>
      <c r="B559" s="20" t="s">
        <v>703</v>
      </c>
      <c r="C559" s="23"/>
    </row>
    <row r="560">
      <c r="A560" s="23"/>
      <c r="B560" s="20" t="s">
        <v>704</v>
      </c>
      <c r="C560" s="23"/>
    </row>
    <row r="561">
      <c r="A561" s="23"/>
      <c r="B561" s="20" t="s">
        <v>705</v>
      </c>
      <c r="C561" s="23"/>
    </row>
    <row r="562">
      <c r="A562" s="23"/>
      <c r="B562" s="20" t="s">
        <v>706</v>
      </c>
      <c r="C562" s="23"/>
    </row>
    <row r="563">
      <c r="A563" s="23"/>
      <c r="B563" s="20" t="s">
        <v>707</v>
      </c>
      <c r="C563" s="23"/>
    </row>
    <row r="564">
      <c r="A564" s="23"/>
      <c r="B564" s="20" t="s">
        <v>708</v>
      </c>
      <c r="C564" s="23"/>
    </row>
    <row r="565">
      <c r="A565" s="23"/>
      <c r="B565" s="20" t="s">
        <v>709</v>
      </c>
      <c r="C565" s="23"/>
    </row>
    <row r="566">
      <c r="A566" s="23"/>
      <c r="B566" s="20" t="s">
        <v>710</v>
      </c>
      <c r="C566" s="23"/>
    </row>
    <row r="567">
      <c r="A567" s="23"/>
      <c r="B567" s="20" t="s">
        <v>711</v>
      </c>
      <c r="C567" s="23"/>
    </row>
    <row r="568">
      <c r="A568" s="23"/>
      <c r="B568" s="63" t="s">
        <v>712</v>
      </c>
      <c r="C568" s="23"/>
    </row>
  </sheetData>
  <mergeCells count="3">
    <mergeCell ref="A1:B1"/>
    <mergeCell ref="A2:B2"/>
    <mergeCell ref="A3:B3"/>
  </mergeCells>
  <dataValidations>
    <dataValidation type="list" allowBlank="1" showErrorMessage="1" sqref="C8:C568">
      <formula1>"Done,Pending"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2">
      <c r="A2" s="52" t="s">
        <v>2</v>
      </c>
      <c r="B2" s="52" t="s">
        <v>10</v>
      </c>
      <c r="C2" s="53" t="s">
        <v>13</v>
      </c>
      <c r="D2" s="54" t="s">
        <v>290</v>
      </c>
      <c r="E2" s="54" t="s">
        <v>292</v>
      </c>
    </row>
    <row r="3">
      <c r="A3" s="36">
        <v>1.0</v>
      </c>
      <c r="B3" s="46" t="s">
        <v>92</v>
      </c>
      <c r="C3" s="46" t="s">
        <v>94</v>
      </c>
      <c r="D3" s="40"/>
      <c r="E3" s="40"/>
    </row>
    <row r="4">
      <c r="A4" s="36">
        <v>2.0</v>
      </c>
      <c r="B4" s="46" t="s">
        <v>115</v>
      </c>
      <c r="C4" s="46" t="s">
        <v>116</v>
      </c>
      <c r="D4" s="40"/>
      <c r="E4" s="40"/>
    </row>
    <row r="5">
      <c r="A5" s="36">
        <v>3.0</v>
      </c>
      <c r="B5" s="46" t="s">
        <v>134</v>
      </c>
      <c r="C5" s="46" t="s">
        <v>136</v>
      </c>
      <c r="D5" s="40"/>
      <c r="E5" s="40"/>
    </row>
    <row r="6">
      <c r="A6" s="36">
        <v>4.0</v>
      </c>
      <c r="B6" s="46" t="s">
        <v>148</v>
      </c>
      <c r="C6" s="46" t="s">
        <v>151</v>
      </c>
      <c r="D6" s="40"/>
      <c r="E6" s="40"/>
    </row>
    <row r="7">
      <c r="A7" s="36">
        <v>5.0</v>
      </c>
      <c r="B7" s="46" t="s">
        <v>163</v>
      </c>
      <c r="C7" s="46" t="s">
        <v>165</v>
      </c>
      <c r="D7" s="40"/>
      <c r="E7" s="40"/>
    </row>
    <row r="8">
      <c r="A8" s="36">
        <v>6.0</v>
      </c>
      <c r="B8" s="46" t="s">
        <v>184</v>
      </c>
      <c r="C8" s="46" t="s">
        <v>186</v>
      </c>
      <c r="D8" s="40"/>
      <c r="E8" s="40"/>
    </row>
    <row r="9">
      <c r="A9" s="36">
        <v>7.0</v>
      </c>
      <c r="B9" s="46" t="s">
        <v>203</v>
      </c>
      <c r="C9" s="46" t="s">
        <v>205</v>
      </c>
      <c r="D9" s="40"/>
      <c r="E9" s="40"/>
    </row>
    <row r="10">
      <c r="A10" s="36">
        <v>8.0</v>
      </c>
      <c r="B10" s="46" t="s">
        <v>226</v>
      </c>
      <c r="C10" s="46" t="s">
        <v>227</v>
      </c>
      <c r="D10" s="40"/>
      <c r="E10" s="40"/>
    </row>
    <row r="11">
      <c r="A11" s="36">
        <v>9.0</v>
      </c>
      <c r="B11" s="46" t="s">
        <v>234</v>
      </c>
      <c r="C11" s="46" t="s">
        <v>236</v>
      </c>
      <c r="D11" s="40"/>
      <c r="E11" s="40"/>
    </row>
    <row r="12">
      <c r="A12" s="36">
        <v>10.0</v>
      </c>
      <c r="B12" s="46" t="s">
        <v>245</v>
      </c>
      <c r="C12" s="46" t="s">
        <v>246</v>
      </c>
      <c r="D12" s="40"/>
      <c r="E12" s="40"/>
    </row>
    <row r="13">
      <c r="A13" s="36">
        <v>11.0</v>
      </c>
      <c r="B13" s="46" t="s">
        <v>253</v>
      </c>
      <c r="C13" s="46" t="s">
        <v>254</v>
      </c>
      <c r="D13" s="40"/>
      <c r="E13" s="40"/>
    </row>
    <row r="14">
      <c r="A14" s="36">
        <v>12.0</v>
      </c>
      <c r="B14" s="46" t="s">
        <v>261</v>
      </c>
      <c r="C14" s="46" t="s">
        <v>262</v>
      </c>
      <c r="D14" s="40"/>
      <c r="E14" s="40"/>
    </row>
  </sheetData>
  <drawing r:id="rId1"/>
</worksheet>
</file>