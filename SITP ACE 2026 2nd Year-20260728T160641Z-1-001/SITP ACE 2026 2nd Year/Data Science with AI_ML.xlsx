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nce" sheetId="1" r:id="rId5"/>
    <sheet state="visible" name="DSR" sheetId="2" r:id="rId6"/>
    <sheet state="visible" name="Assesment" sheetId="3" r:id="rId7"/>
    <sheet state="visible" name="Course Timeline" sheetId="4" r:id="rId8"/>
    <sheet state="visible" name="Project" sheetId="5" r:id="rId9"/>
  </sheets>
  <definedNames/>
  <calcPr/>
</workbook>
</file>

<file path=xl/sharedStrings.xml><?xml version="1.0" encoding="utf-8"?>
<sst xmlns="http://schemas.openxmlformats.org/spreadsheetml/2006/main" count="7576" uniqueCount="725">
  <si>
    <t>SNO</t>
  </si>
  <si>
    <t>Date</t>
  </si>
  <si>
    <t>Topic Cover</t>
  </si>
  <si>
    <t>Student Count Online Offline</t>
  </si>
  <si>
    <t xml:space="preserve">Trainer Name </t>
  </si>
  <si>
    <t>introduction and python variable</t>
  </si>
  <si>
    <t>Rajendra jangid</t>
  </si>
  <si>
    <t>datatype and operators</t>
  </si>
  <si>
    <t>condition statement and loop</t>
  </si>
  <si>
    <t>ARYA COLLEGE OF ENGINEERING</t>
  </si>
  <si>
    <t>function,lambda function,list,dict,list comprehensions</t>
  </si>
  <si>
    <t>S NO</t>
  </si>
  <si>
    <t>Student Name</t>
  </si>
  <si>
    <t>module import,file handling</t>
  </si>
  <si>
    <t>RTU Roll No.</t>
  </si>
  <si>
    <t>Assesment 1 (python fundamentals ) Out of 50</t>
  </si>
  <si>
    <t>Assesment 2 (Advanced Python OOP and NumPy Evaluation ) Out of 50</t>
  </si>
  <si>
    <t>BLOWN UP SYLLABUS</t>
  </si>
  <si>
    <t>Assesment 3 (pandas ) Out of 20</t>
  </si>
  <si>
    <t>Assesment 4 (oops pandas,numpy ) Out of 100</t>
  </si>
  <si>
    <t>PROJECT + assessment</t>
  </si>
  <si>
    <t>Assesment 5 (matplotlib ) Out of 30</t>
  </si>
  <si>
    <t>Assesment 6 (mysql ) Out of 30</t>
  </si>
  <si>
    <t>Assesment 7 ( sklearn) Out of 30</t>
  </si>
  <si>
    <t>PROJECT 1 (house prediction ml model ) Out of  10</t>
  </si>
  <si>
    <t>PROJECT 2 (Project on rest api using fastapi backend ) Out of  10</t>
  </si>
  <si>
    <t>II YEAR DATA SCIENCE AI INDUSTRIAL TRAINING</t>
  </si>
  <si>
    <t xml:space="preserve">sunday </t>
  </si>
  <si>
    <t>PROJECT 3 (ML project using sales prediction ) Out of  10</t>
  </si>
  <si>
    <t>sunday</t>
  </si>
  <si>
    <t xml:space="preserve">Total Present </t>
  </si>
  <si>
    <t>Total Assessments Missed</t>
  </si>
  <si>
    <t xml:space="preserve">Total Absent </t>
  </si>
  <si>
    <t xml:space="preserve">Total Class </t>
  </si>
  <si>
    <t>Attendance Percent</t>
  </si>
  <si>
    <t>Lecturer Name:</t>
  </si>
  <si>
    <t>Abhay kumar</t>
  </si>
  <si>
    <t>24EACCS008</t>
  </si>
  <si>
    <t>No. of Lectures Required: 45</t>
  </si>
  <si>
    <t>41/50</t>
  </si>
  <si>
    <t>34/50</t>
  </si>
  <si>
    <t>Absent</t>
  </si>
  <si>
    <t>71 / 100</t>
  </si>
  <si>
    <t>Lecture No.</t>
  </si>
  <si>
    <t>BLOWN UP TOPICS</t>
  </si>
  <si>
    <t>Status</t>
  </si>
  <si>
    <t>oops(class ,method),tuple</t>
  </si>
  <si>
    <t>oops(inheritance,polymorphism,overriding,overloading,class variable)</t>
  </si>
  <si>
    <t xml:space="preserve">Abhishek Saini      </t>
  </si>
  <si>
    <t>24EACCS014</t>
  </si>
  <si>
    <t>47/50</t>
  </si>
  <si>
    <t>UNIT 1: PYTHON FOR DATA SCIENCE</t>
  </si>
  <si>
    <t>20/20</t>
  </si>
  <si>
    <t>numpy start + assessment</t>
  </si>
  <si>
    <t>88 / 100</t>
  </si>
  <si>
    <t>Done</t>
  </si>
  <si>
    <t>numpy</t>
  </si>
  <si>
    <t>1. Environment Setup</t>
  </si>
  <si>
    <t xml:space="preserve">Abu Aashim </t>
  </si>
  <si>
    <t>24EACAD001</t>
  </si>
  <si>
    <t>38/50</t>
  </si>
  <si>
    <t xml:space="preserve">numpy + assessment </t>
  </si>
  <si>
    <t>1.1 Installing Python &amp; Anaconda</t>
  </si>
  <si>
    <t>1.2 Jupyter Notebook &amp; VS Code Setup</t>
  </si>
  <si>
    <t>Aditya Pratap Singh</t>
  </si>
  <si>
    <t>24EACAD002</t>
  </si>
  <si>
    <t xml:space="preserve">pandas </t>
  </si>
  <si>
    <t>93 / 100</t>
  </si>
  <si>
    <t>1.3 Understanding the Development Environment</t>
  </si>
  <si>
    <t>pandas dataframe csv,json,excel</t>
  </si>
  <si>
    <t>pandas basic method</t>
  </si>
  <si>
    <t>1.4 Running the First Python Program</t>
  </si>
  <si>
    <t>Agrim Gupta</t>
  </si>
  <si>
    <t>24EACCS024</t>
  </si>
  <si>
    <t>44/50</t>
  </si>
  <si>
    <t>45/50</t>
  </si>
  <si>
    <t>pandas rows and cols operations</t>
  </si>
  <si>
    <t>2. Python Fundamentals</t>
  </si>
  <si>
    <t>pandas filter,date-time</t>
  </si>
  <si>
    <t>Ajay</t>
  </si>
  <si>
    <t>24EACCS025</t>
  </si>
  <si>
    <t>35/50</t>
  </si>
  <si>
    <t>32/50</t>
  </si>
  <si>
    <t>2.1 Syntax, Variables &amp; Data Types</t>
  </si>
  <si>
    <t>pandas date-time,sorting</t>
  </si>
  <si>
    <t>95 / 100</t>
  </si>
  <si>
    <t>AKASH SHARMA</t>
  </si>
  <si>
    <t>pandas handling missing values,aggregation,</t>
  </si>
  <si>
    <t>2.1.1 int, float, str, bool</t>
  </si>
  <si>
    <t>24EACCS027</t>
  </si>
  <si>
    <t>49/50</t>
  </si>
  <si>
    <t>19/20</t>
  </si>
  <si>
    <t>matplotlib line char,bar chart</t>
  </si>
  <si>
    <t>2.1.2 Type Conversion &amp; Input/Output</t>
  </si>
  <si>
    <t>matplotlib scatter,subplots</t>
  </si>
  <si>
    <t xml:space="preserve">Aman Jangid         </t>
  </si>
  <si>
    <t>24EACAD004</t>
  </si>
  <si>
    <t>42/50</t>
  </si>
  <si>
    <t>43/50</t>
  </si>
  <si>
    <t>15/20</t>
  </si>
  <si>
    <t>54 / 100</t>
  </si>
  <si>
    <t>project using numpy+pandas+mlt</t>
  </si>
  <si>
    <t>2.2 Operators &amp; Expressions</t>
  </si>
  <si>
    <t>mysql</t>
  </si>
  <si>
    <t>Aman Tiwari</t>
  </si>
  <si>
    <t>24EACAD006</t>
  </si>
  <si>
    <t>37/50</t>
  </si>
  <si>
    <t>36/50</t>
  </si>
  <si>
    <t>mysql dump and transaction</t>
  </si>
  <si>
    <t>2.3 Conditional Statements</t>
  </si>
  <si>
    <t>Anjali Gupta</t>
  </si>
  <si>
    <t>24EACAD009</t>
  </si>
  <si>
    <t>40/50</t>
  </si>
  <si>
    <t>89 / 100</t>
  </si>
  <si>
    <t>2.3.1 if, elif, else</t>
  </si>
  <si>
    <t>ML overview and its types</t>
  </si>
  <si>
    <t>ML vs AI vs DL</t>
  </si>
  <si>
    <t>Anjali Saini</t>
  </si>
  <si>
    <t>24EACAD010</t>
  </si>
  <si>
    <t>96 / 100</t>
  </si>
  <si>
    <t>ML (preprocessing)</t>
  </si>
  <si>
    <t>2. Python Fundamentals (Continued)</t>
  </si>
  <si>
    <t>ML (preprocessing,split,model fit,model predict)</t>
  </si>
  <si>
    <t>2.4 Loops</t>
  </si>
  <si>
    <t>Ankush Sharma</t>
  </si>
  <si>
    <t>Simple Linear Regression</t>
  </si>
  <si>
    <t>24EACCS044</t>
  </si>
  <si>
    <t>39/50</t>
  </si>
  <si>
    <t>97 / 100</t>
  </si>
  <si>
    <t>Multiple Linear Regression</t>
  </si>
  <si>
    <t>2.4.1 for Loop</t>
  </si>
  <si>
    <t>2.4.2 while Loop</t>
  </si>
  <si>
    <t>Anoop</t>
  </si>
  <si>
    <t>24EACCS045</t>
  </si>
  <si>
    <t>33/50</t>
  </si>
  <si>
    <t>31/50</t>
  </si>
  <si>
    <t>99 / 100</t>
  </si>
  <si>
    <t>2.4.3 break, continue, pass</t>
  </si>
  <si>
    <t>3. Functions &amp; Modules</t>
  </si>
  <si>
    <t>3.1 Defining Functions (def, Arguments, Return)</t>
  </si>
  <si>
    <t>Ansh Sharma</t>
  </si>
  <si>
    <t>24EACCS046</t>
  </si>
  <si>
    <t>48/50</t>
  </si>
  <si>
    <t>3.2 Lambda Functions</t>
  </si>
  <si>
    <t>3.3 List Comprehensions</t>
  </si>
  <si>
    <t>Anshi Rathore</t>
  </si>
  <si>
    <t>24EACCS047</t>
  </si>
  <si>
    <t>46/50</t>
  </si>
  <si>
    <t>94 / 100</t>
  </si>
  <si>
    <t>a</t>
  </si>
  <si>
    <t>p</t>
  </si>
  <si>
    <t>3.4 Map, Filter, Reduce</t>
  </si>
  <si>
    <t>Logistic Regression</t>
  </si>
  <si>
    <t>3.5 Importing &amp; Using Modules</t>
  </si>
  <si>
    <t>K-Nearest Neighbors (KNN)</t>
  </si>
  <si>
    <t>Anushka singh</t>
  </si>
  <si>
    <t>24EACIT008</t>
  </si>
  <si>
    <t>4. Data Structures</t>
  </si>
  <si>
    <t>Naive Bayes Algorithm</t>
  </si>
  <si>
    <t>Decision Tree Classifier</t>
  </si>
  <si>
    <t>4.1 Lists</t>
  </si>
  <si>
    <t>Arav Raj</t>
  </si>
  <si>
    <t>24EACCS052</t>
  </si>
  <si>
    <t>4.1.1 Indexing &amp; Slicing</t>
  </si>
  <si>
    <t>18/20</t>
  </si>
  <si>
    <t>98 / 100</t>
  </si>
  <si>
    <t>Random Forest Algorithm</t>
  </si>
  <si>
    <t>4.1.2 List Methods</t>
  </si>
  <si>
    <t>Support Vector Machine (SVM)</t>
  </si>
  <si>
    <t>Arnav Sharma</t>
  </si>
  <si>
    <t>24EACAD015</t>
  </si>
  <si>
    <t>4.2 Tuples</t>
  </si>
  <si>
    <t>100 / 100</t>
  </si>
  <si>
    <t>Confusion Matrix &amp; ROC-AUC Curve</t>
  </si>
  <si>
    <t>4.3 Dictionaries</t>
  </si>
  <si>
    <t>Aryan Jhanwar</t>
  </si>
  <si>
    <t>24EACCS057</t>
  </si>
  <si>
    <t>Hyperparameter Tuning (GridSearchCV &amp; RandomizedSearchCV)</t>
  </si>
  <si>
    <t>4.3.1 Key-Value Operations</t>
  </si>
  <si>
    <t>Model Serialization using Pickle &amp; Joblib</t>
  </si>
  <si>
    <t>House Price Prediction ML Project</t>
  </si>
  <si>
    <t>4.3.2 Nested Dictionaries</t>
  </si>
  <si>
    <t>op</t>
  </si>
  <si>
    <t>Ashish Choudhary</t>
  </si>
  <si>
    <t>24EACAD017</t>
  </si>
  <si>
    <t>Sales Prediction ML Project</t>
  </si>
  <si>
    <t>4.4 Sets &amp; Set Operations</t>
  </si>
  <si>
    <t>5. File Handling &amp; Exception Handling</t>
  </si>
  <si>
    <t>ASHWANI KUMAR</t>
  </si>
  <si>
    <t>24EACCS064</t>
  </si>
  <si>
    <t>5.1 Reading &amp; Writing Files (txt, csv)</t>
  </si>
  <si>
    <t>5.2 Exception Handling</t>
  </si>
  <si>
    <t>Chetan Jangid</t>
  </si>
  <si>
    <t>24EACAD020</t>
  </si>
  <si>
    <t>5.2.1 try, except, finally</t>
  </si>
  <si>
    <t>63 / 100</t>
  </si>
  <si>
    <t>5.2.2 Custom Exceptions</t>
  </si>
  <si>
    <t>6. Object Oriented Programming (OOP)</t>
  </si>
  <si>
    <t>Chetan Kumawat</t>
  </si>
  <si>
    <t>24EACAD021</t>
  </si>
  <si>
    <t>50/50</t>
  </si>
  <si>
    <t>17/20</t>
  </si>
  <si>
    <t>6.1 Classes &amp; Objects</t>
  </si>
  <si>
    <t>6.2 Constructor (__init__)</t>
  </si>
  <si>
    <t>Chhavi chhipa</t>
  </si>
  <si>
    <t>24EACAD022</t>
  </si>
  <si>
    <t>90 / 100</t>
  </si>
  <si>
    <t>6.3 Inheritance &amp; Polymorphism</t>
  </si>
  <si>
    <t>6.4 Encapsulation &amp; Abstraction</t>
  </si>
  <si>
    <t>Chinmay khatri</t>
  </si>
  <si>
    <t>24EACAD023</t>
  </si>
  <si>
    <t>7. Advanced Python Concepts</t>
  </si>
  <si>
    <t>7.1 Iterators &amp; Generators</t>
  </si>
  <si>
    <t>7.2 Decorators</t>
  </si>
  <si>
    <t>Dakshita Biwal</t>
  </si>
  <si>
    <t>7.3 Regular Expressions Basics</t>
  </si>
  <si>
    <t>7.4 Working with JSON &amp; CSV in Python</t>
  </si>
  <si>
    <t>Danish Ahmed</t>
  </si>
  <si>
    <t>24EACIT010</t>
  </si>
  <si>
    <t>7.5 Virtual Environments &amp; pip</t>
  </si>
  <si>
    <t>Deepak Kumar</t>
  </si>
  <si>
    <t>📁 MINI PROJECT 1: Student Data Manager (Half Day)</t>
  </si>
  <si>
    <t>24EACAD025</t>
  </si>
  <si>
    <t>Build a Student Record System using OOP</t>
  </si>
  <si>
    <t>Deepanshu</t>
  </si>
  <si>
    <t>24EACCS081</t>
  </si>
  <si>
    <t>Features: Add, Update, Delete, Search Records</t>
  </si>
  <si>
    <t>86 / 100</t>
  </si>
  <si>
    <t>File Handling: Save &amp; Load Records from CSV</t>
  </si>
  <si>
    <t>📁 MINI PROJECT 2: Python Automation Script (Half Day)</t>
  </si>
  <si>
    <t>deepanshu choudhary</t>
  </si>
  <si>
    <t>24EACCS082</t>
  </si>
  <si>
    <t>44 / 100</t>
  </si>
  <si>
    <t>Build a File Organizer / Report Generator</t>
  </si>
  <si>
    <t>Read Data from CSV → Process → Generate Summary</t>
  </si>
  <si>
    <t>Use Functions, Loops, Exception Handling</t>
  </si>
  <si>
    <t>Devendra Patidar</t>
  </si>
  <si>
    <t>24eacca022</t>
  </si>
  <si>
    <t>🏭 INDUSTRY LECTURE 1 (1 Hour)</t>
  </si>
  <si>
    <t>85 / 100</t>
  </si>
  <si>
    <t>Topic: Data Science Career Paths &amp; Industry Overview</t>
  </si>
  <si>
    <t>Format: Guest Lecture + Q&amp;A Session</t>
  </si>
  <si>
    <t>Devkaran</t>
  </si>
  <si>
    <t>24EACAD026</t>
  </si>
  <si>
    <t>UNIT 2: DATA COLLECTION &amp; SQL</t>
  </si>
  <si>
    <t>1. Data Collection Methods</t>
  </si>
  <si>
    <t>1.1 Types of Data Sources</t>
  </si>
  <si>
    <t>Dheeraj yadav</t>
  </si>
  <si>
    <t>24EACIT011</t>
  </si>
  <si>
    <t>1.2 HTTP &amp; HTTPS Basics</t>
  </si>
  <si>
    <t>1.3 REST APIs</t>
  </si>
  <si>
    <t>Divyanshi Verma</t>
  </si>
  <si>
    <t>1.3.1 Fetching Data using REST API in Python</t>
  </si>
  <si>
    <t>24EACAD027</t>
  </si>
  <si>
    <t>1.3.2 REST vs SOAP API</t>
  </si>
  <si>
    <t>1.4 Kaggle — Datasets &amp; Notebooks</t>
  </si>
  <si>
    <t>Garv tank</t>
  </si>
  <si>
    <t>1.5 Fetching from Different Data Resources</t>
  </si>
  <si>
    <t>2. SQL &amp; Data Warehouse — Part 1</t>
  </si>
  <si>
    <t>Gourav saini</t>
  </si>
  <si>
    <t>24EACAD030</t>
  </si>
  <si>
    <t>58 / 100</t>
  </si>
  <si>
    <t>Harsh Gupta</t>
  </si>
  <si>
    <t>24EACCA031</t>
  </si>
  <si>
    <t>2.1 Setting up Database (MySQL / PostgreSQL)</t>
  </si>
  <si>
    <t>2.2 CRUD Operations</t>
  </si>
  <si>
    <t>Harsh kumar</t>
  </si>
  <si>
    <t>24EACAD032</t>
  </si>
  <si>
    <t>30/50</t>
  </si>
  <si>
    <t>2.2.1 CREATE, READ, UPDATE, DELETE</t>
  </si>
  <si>
    <t>2.3 Constraints &amp; Keys</t>
  </si>
  <si>
    <t>Harsh Kumawat</t>
  </si>
  <si>
    <t>24EACCS112</t>
  </si>
  <si>
    <t>2.3.1 Primary Key &amp; Foreign Key</t>
  </si>
  <si>
    <t>Harsh Mishra</t>
  </si>
  <si>
    <t>24EACCA032</t>
  </si>
  <si>
    <t>2.4 Nested Queries (Subqueries)</t>
  </si>
  <si>
    <t>Harsh yadav</t>
  </si>
  <si>
    <t>24EACAD033</t>
  </si>
  <si>
    <t>2. SQL &amp; Data Warehouse — Part 2</t>
  </si>
  <si>
    <t>2.5 GROUP BY &amp; HAVING Clause</t>
  </si>
  <si>
    <t>Himani Jangid</t>
  </si>
  <si>
    <t>24EACAD035</t>
  </si>
  <si>
    <t>2.6 JOINS</t>
  </si>
  <si>
    <t>Huzaifa Gul</t>
  </si>
  <si>
    <t>24EACCS125</t>
  </si>
  <si>
    <t>2.6.1 INNER JOIN</t>
  </si>
  <si>
    <t>Ishika Agarwal</t>
  </si>
  <si>
    <t>24EACCS128</t>
  </si>
  <si>
    <t>2.6.2 LEFT JOIN &amp; RIGHT JOIN</t>
  </si>
  <si>
    <t>91 / 100</t>
  </si>
  <si>
    <t>Jay Khandelwal</t>
  </si>
  <si>
    <t>24EACCA041</t>
  </si>
  <si>
    <t>2.6.3 FULL OUTER JOIN</t>
  </si>
  <si>
    <t xml:space="preserve">Jayant Kumawat </t>
  </si>
  <si>
    <t>24EACCA042</t>
  </si>
  <si>
    <t>2.7 Views</t>
  </si>
  <si>
    <t>2. SQL &amp; Data Warehouse — Part 3</t>
  </si>
  <si>
    <t>2.8 Python + SQL Integration</t>
  </si>
  <si>
    <t>Kanishk Khichar</t>
  </si>
  <si>
    <t>24EACCS140</t>
  </si>
  <si>
    <t>80 / 100</t>
  </si>
  <si>
    <t>2.8.1 Connecting Python to Database</t>
  </si>
  <si>
    <t>Khushal Singh</t>
  </si>
  <si>
    <t>2.8.2 Storing &amp; Retrieving Data using Python</t>
  </si>
  <si>
    <t>24EACCS147</t>
  </si>
  <si>
    <t>2.8.3 Real-time Application Data Management</t>
  </si>
  <si>
    <t>Khushbu Saini</t>
  </si>
  <si>
    <t>24EACAD044</t>
  </si>
  <si>
    <t>🔴 TEST 1: Python + Data Collection + SQL (Half Day)</t>
  </si>
  <si>
    <t>MCQ (15 Marks) + Practical Task (35 Marks)</t>
  </si>
  <si>
    <t>Duration: 1 to 1.5 Hours</t>
  </si>
  <si>
    <t>Khushhal</t>
  </si>
  <si>
    <t>24EACCA050</t>
  </si>
  <si>
    <t>🏭 INDUSTRY LECTURE 2 (1 Hour)</t>
  </si>
  <si>
    <t>Krishan</t>
  </si>
  <si>
    <t>24EACCS155</t>
  </si>
  <si>
    <t>Topic: Data Engineering &amp; SQL in Real World</t>
  </si>
  <si>
    <t>69 / 100</t>
  </si>
  <si>
    <t>Krishna Rathor</t>
  </si>
  <si>
    <t>24EACAD047</t>
  </si>
  <si>
    <t>UNIT 3: DATA PREPROCESSING &amp; STATISTICS</t>
  </si>
  <si>
    <t>KUMARI MANYA</t>
  </si>
  <si>
    <t>24EACCS163</t>
  </si>
  <si>
    <t>1. Data Preprocessing — Part 1</t>
  </si>
  <si>
    <t>Kunal Dhabhai</t>
  </si>
  <si>
    <t>24EACIT018</t>
  </si>
  <si>
    <t>1.1 Cleaning Unstructured to Structured Data</t>
  </si>
  <si>
    <t>Kush Dhiman</t>
  </si>
  <si>
    <t>24EACAD048</t>
  </si>
  <si>
    <t>1.1.1 Handling Missing Values: dropna(), fillna()</t>
  </si>
  <si>
    <t>1.1.2 Removing Duplicates</t>
  </si>
  <si>
    <t>Lakshya Soni</t>
  </si>
  <si>
    <t>24EACCS166</t>
  </si>
  <si>
    <t>1.1.3 Data Type Correction</t>
  </si>
  <si>
    <t>LALIT</t>
  </si>
  <si>
    <t>1.2 Encoding Categorical Data</t>
  </si>
  <si>
    <t>1.2.1 Label Encoding</t>
  </si>
  <si>
    <t>Lovesh Singh Rajput</t>
  </si>
  <si>
    <t>24EACAD050</t>
  </si>
  <si>
    <t>1.2.2 One-Hot Encoding</t>
  </si>
  <si>
    <t>1. Data Preprocessing — Part 2</t>
  </si>
  <si>
    <t>Mahendra Yadav</t>
  </si>
  <si>
    <t>24EACCS169</t>
  </si>
  <si>
    <t>1.3 Text Preprocessing</t>
  </si>
  <si>
    <t>Manan Joshi</t>
  </si>
  <si>
    <t>24EACCS171</t>
  </si>
  <si>
    <t>1.3.1 Vectorization Basics</t>
  </si>
  <si>
    <t>Manish saini</t>
  </si>
  <si>
    <t>24EACCS173</t>
  </si>
  <si>
    <t>1.3.2 Bag of Words</t>
  </si>
  <si>
    <t>1.4 Outlier Detection &amp; Treatment</t>
  </si>
  <si>
    <t>Manoj Kumar Ravi</t>
  </si>
  <si>
    <t>24EACCS174</t>
  </si>
  <si>
    <t>87 / 100</t>
  </si>
  <si>
    <t>1.4.1 IQR Method</t>
  </si>
  <si>
    <t>MAYANK VEDI</t>
  </si>
  <si>
    <t>24EACCS178</t>
  </si>
  <si>
    <t>Megha Sharma</t>
  </si>
  <si>
    <t>1.4.2 Z-Score Method</t>
  </si>
  <si>
    <t>24EACCS185</t>
  </si>
  <si>
    <t>1.4.3 Capping &amp; Removing Outliers</t>
  </si>
  <si>
    <t>Mihul kumar</t>
  </si>
  <si>
    <t>24EACCS187</t>
  </si>
  <si>
    <t>92 / 100</t>
  </si>
  <si>
    <t>1.5 Feature Scaling</t>
  </si>
  <si>
    <t>1.5.1 Normalization (Min-Max)</t>
  </si>
  <si>
    <t>Mohammed Ali Hussain</t>
  </si>
  <si>
    <t>1.5.2 Standardization (Z-Score)</t>
  </si>
  <si>
    <t>24EACCS190</t>
  </si>
  <si>
    <t>2. Mathematics &amp; Statistics — Part 1</t>
  </si>
  <si>
    <t>Mohammed Bilal Shaikh</t>
  </si>
  <si>
    <t>24EACAD057</t>
  </si>
  <si>
    <t>73 / 100</t>
  </si>
  <si>
    <t>2.1 Data Types in Statistics</t>
  </si>
  <si>
    <t>2.1.1 Nominal, Ordinal, Interval, Ratio</t>
  </si>
  <si>
    <t>Mohammed Mubarak Ali</t>
  </si>
  <si>
    <t>24EACCS191</t>
  </si>
  <si>
    <t>2.2 Descriptive Statistics</t>
  </si>
  <si>
    <t>Mohd Sadiq</t>
  </si>
  <si>
    <t>24EACAD059</t>
  </si>
  <si>
    <t>2.2.1 Mean, Median, Mode</t>
  </si>
  <si>
    <t>2.2.2 Percentile &amp; Decile</t>
  </si>
  <si>
    <t>Mohit kumar pandey</t>
  </si>
  <si>
    <t>24EACCS196</t>
  </si>
  <si>
    <t>2.2.3 Variance &amp; Standard Deviation</t>
  </si>
  <si>
    <t>Monu Kumar</t>
  </si>
  <si>
    <t>24EACCS198</t>
  </si>
  <si>
    <t>16/20</t>
  </si>
  <si>
    <t>2.2.4 IQR (Interquartile Range)</t>
  </si>
  <si>
    <t>Nidhi jayaswal</t>
  </si>
  <si>
    <t>24EACAD064</t>
  </si>
  <si>
    <t>75 / 100</t>
  </si>
  <si>
    <t>2. Mathematics &amp; Statistics — Part 2</t>
  </si>
  <si>
    <t>Nikhil Bhargav</t>
  </si>
  <si>
    <t>24EACAD065</t>
  </si>
  <si>
    <t>2.3 Probability Basics</t>
  </si>
  <si>
    <t>Nikhil Kumar</t>
  </si>
  <si>
    <t>24EACCS609</t>
  </si>
  <si>
    <t>45 / 100</t>
  </si>
  <si>
    <t>Nikita</t>
  </si>
  <si>
    <t>2.3.1 Events &amp; Sample Space</t>
  </si>
  <si>
    <t>24EACIT025</t>
  </si>
  <si>
    <t>2.3.2 Conditional Probability</t>
  </si>
  <si>
    <t>Nitin Singh</t>
  </si>
  <si>
    <t>24EACCS617</t>
  </si>
  <si>
    <t>2.3.3 Bayes Theorem</t>
  </si>
  <si>
    <t>Pappu Kumar</t>
  </si>
  <si>
    <t>24EACAD070</t>
  </si>
  <si>
    <t>27 / 100</t>
  </si>
  <si>
    <t>2.4 Probability Distributions</t>
  </si>
  <si>
    <t>Paramveet Singh Solanki</t>
  </si>
  <si>
    <t>24EACCS623</t>
  </si>
  <si>
    <t>2.4.1 Normal Distribution &amp; Z-Score</t>
  </si>
  <si>
    <t>Pinky Kumawat</t>
  </si>
  <si>
    <t>2.4.2 Binomial Distribution</t>
  </si>
  <si>
    <t>24EACCS630</t>
  </si>
  <si>
    <t>84 / 100</t>
  </si>
  <si>
    <t>Piyush Agarwal</t>
  </si>
  <si>
    <t>2. Mathematics &amp; Statistics — Part 3</t>
  </si>
  <si>
    <t>24EACCA073</t>
  </si>
  <si>
    <t>2.5 Hypothesis Testing</t>
  </si>
  <si>
    <t>PRANSI GUPTA</t>
  </si>
  <si>
    <t>24EACCS638</t>
  </si>
  <si>
    <t>2.5.1 Null &amp; Alternate Hypothesis</t>
  </si>
  <si>
    <t>2.5.2 p-value &amp; Significance Level</t>
  </si>
  <si>
    <t>PRASANJEET KUMAR DAS</t>
  </si>
  <si>
    <t>24EACCS639</t>
  </si>
  <si>
    <t>2.5.3 t-test &amp; Chi-Square Test</t>
  </si>
  <si>
    <t>PRAVEEN KUMAR BUNKER</t>
  </si>
  <si>
    <t>24EACCS642</t>
  </si>
  <si>
    <t>2.6 Correlation &amp; Covariance</t>
  </si>
  <si>
    <t>Prince Gamot</t>
  </si>
  <si>
    <t>24EACAD075</t>
  </si>
  <si>
    <t>2.6.1 Pearson Correlation</t>
  </si>
  <si>
    <t>2.6.2 Correlation vs Causation</t>
  </si>
  <si>
    <t>Priya Saini</t>
  </si>
  <si>
    <t>24EACAD077</t>
  </si>
  <si>
    <t>🔴 TEST 2: Data Preprocessing + Statistics (Half Day)</t>
  </si>
  <si>
    <t>Priyanshu kumar</t>
  </si>
  <si>
    <t>24EACCS649</t>
  </si>
  <si>
    <t>MCQ (20 Marks) + Problem Solving (30 Marks)</t>
  </si>
  <si>
    <t>Rachit Suman</t>
  </si>
  <si>
    <t>24EACAD078</t>
  </si>
  <si>
    <t>🏭 INDUSTRY LECTURE 3 (1 Hour)</t>
  </si>
  <si>
    <t>Rahul kumar</t>
  </si>
  <si>
    <t>24EACAD081</t>
  </si>
  <si>
    <t>Topic: Feature Engineering &amp; EDA in ML Projects</t>
  </si>
  <si>
    <t>Raman Yadav</t>
  </si>
  <si>
    <t>24EACCS654</t>
  </si>
  <si>
    <t>UNIT 4: DATA ANALYSIS &amp; VISUALIZATION</t>
  </si>
  <si>
    <t>1. Data Analysis with Pandas — Part 1</t>
  </si>
  <si>
    <t>Rashul Agrawal</t>
  </si>
  <si>
    <t>24EACCA081</t>
  </si>
  <si>
    <t>1.1 Data Structures in Pandas</t>
  </si>
  <si>
    <t>Rishi Raj pareek</t>
  </si>
  <si>
    <t>24EACCA082</t>
  </si>
  <si>
    <t>1.1.1 Series &amp; DataFrame</t>
  </si>
  <si>
    <t>81 / 100</t>
  </si>
  <si>
    <t>1.2 Data Selection</t>
  </si>
  <si>
    <t>1.2.1 loc[] &amp; iloc[]</t>
  </si>
  <si>
    <t>1.2.2 Conditional Selection</t>
  </si>
  <si>
    <t>Rupesh Yogi</t>
  </si>
  <si>
    <t>24EACCS669</t>
  </si>
  <si>
    <t>1.3 Sorting &amp; Searching Data</t>
  </si>
  <si>
    <t>1. Data Analysis with Pandas — Part 2</t>
  </si>
  <si>
    <t>Sabbaha Khan</t>
  </si>
  <si>
    <t>24EACAD084</t>
  </si>
  <si>
    <t>1.4 GroupBy &amp; Pivot Tables</t>
  </si>
  <si>
    <t>Sachin Kumar Jatavat</t>
  </si>
  <si>
    <t>24EACAD085</t>
  </si>
  <si>
    <t>1.5 Data Aggregation</t>
  </si>
  <si>
    <t>1.5.1 Aggregation Functions</t>
  </si>
  <si>
    <t>Sharda jangir</t>
  </si>
  <si>
    <t>24EACCS686</t>
  </si>
  <si>
    <t>1.5.2 Finding Insights from Data</t>
  </si>
  <si>
    <t>Shashank maheshwari</t>
  </si>
  <si>
    <t>24EACCA090</t>
  </si>
  <si>
    <t>1.6 Generating Reports in Jupyter Notebook</t>
  </si>
  <si>
    <t>Shivam Trivedi</t>
  </si>
  <si>
    <t>24EACCA092</t>
  </si>
  <si>
    <t>2. NumPy for Data Analysis</t>
  </si>
  <si>
    <t>Shivangi Padyar</t>
  </si>
  <si>
    <t>24EACCA093</t>
  </si>
  <si>
    <t>2.1 Arrays &amp; Operations</t>
  </si>
  <si>
    <t>2.2 Broadcasting &amp; Vectorized Operations</t>
  </si>
  <si>
    <t>2.3 Statistical Functions</t>
  </si>
  <si>
    <t>Shlok Jain</t>
  </si>
  <si>
    <t>24EACCS695</t>
  </si>
  <si>
    <t>3. Data Visualization — Matplotlib</t>
  </si>
  <si>
    <t>3.1 Line Plot</t>
  </si>
  <si>
    <t>Shreya</t>
  </si>
  <si>
    <t>24EACAD090</t>
  </si>
  <si>
    <t>3.2 Scatter Plot</t>
  </si>
  <si>
    <t>3.3 Histogram</t>
  </si>
  <si>
    <t>Shubham Mondal</t>
  </si>
  <si>
    <t>24EACCS698</t>
  </si>
  <si>
    <t>3.4 Box Plot (for Numerical Data)</t>
  </si>
  <si>
    <t>3.5 Subplots &amp; Customization</t>
  </si>
  <si>
    <t>Siddharth pathak</t>
  </si>
  <si>
    <t>24EACIT030</t>
  </si>
  <si>
    <t>3. Data Visualization — Seaborn &amp; Plotly</t>
  </si>
  <si>
    <t>singh sudarshanraj puneet kumar</t>
  </si>
  <si>
    <t>24EACCS700</t>
  </si>
  <si>
    <t>3.6 Seaborn</t>
  </si>
  <si>
    <t>Sohan patel</t>
  </si>
  <si>
    <t>24EACCS702</t>
  </si>
  <si>
    <t>3.6.1 Bar Chart &amp; Pie Chart (Categorical)</t>
  </si>
  <si>
    <t>Soyam dhanawat</t>
  </si>
  <si>
    <t>24EACCS704</t>
  </si>
  <si>
    <t>3.6.2 Heatmap &amp; Pairplot</t>
  </si>
  <si>
    <t>Sparsh sharma</t>
  </si>
  <si>
    <t>24EACCS705</t>
  </si>
  <si>
    <t>3.6.3 Distribution Plots</t>
  </si>
  <si>
    <t>Sujaan Bhalla</t>
  </si>
  <si>
    <t>24EACAD091</t>
  </si>
  <si>
    <t>3.7 Plotly — Interactive Charts</t>
  </si>
  <si>
    <t>Suraj Kumar Tiwari</t>
  </si>
  <si>
    <t>24EACCS713</t>
  </si>
  <si>
    <t>3.7.1 Interactive Line &amp; Bar Charts</t>
  </si>
  <si>
    <t>3.7.2 Choropleth Maps</t>
  </si>
  <si>
    <t>Tanmay kumawat</t>
  </si>
  <si>
    <t>24EACAD095</t>
  </si>
  <si>
    <t>3. Data Visualization — Power BI</t>
  </si>
  <si>
    <t>3.8 Power BI for Data Visualization</t>
  </si>
  <si>
    <t xml:space="preserve">Tanmay Nolkha </t>
  </si>
  <si>
    <t>24EACAD096</t>
  </si>
  <si>
    <t xml:space="preserve">24EACAD032 </t>
  </si>
  <si>
    <t>Tarun Prajapati</t>
  </si>
  <si>
    <t>24EACCA104</t>
  </si>
  <si>
    <t>3.8.1 Connecting Data Sources</t>
  </si>
  <si>
    <t>3.8.2 Building Dashboards</t>
  </si>
  <si>
    <t>Tilakraj Kumawat</t>
  </si>
  <si>
    <t>24EACCS719</t>
  </si>
  <si>
    <t>3.8.3 Insights &amp; Reports</t>
  </si>
  <si>
    <t>Utkarsh Kumar</t>
  </si>
  <si>
    <t>24EACCS724</t>
  </si>
  <si>
    <t>🔴 TEST 3: Data Analysis + Visualization (Half Day)</t>
  </si>
  <si>
    <t>Vansh Soni</t>
  </si>
  <si>
    <t>MCQ (15 Marks) + Practical Problem (35 Marks)</t>
  </si>
  <si>
    <t>24EACCA107</t>
  </si>
  <si>
    <t>28 / 100</t>
  </si>
  <si>
    <t>Vanshika khandal</t>
  </si>
  <si>
    <t>24EACCS727</t>
  </si>
  <si>
    <t>Varun Sharma</t>
  </si>
  <si>
    <t>24EACCS728</t>
  </si>
  <si>
    <t>🏭 INDUSTRY LECTURE 4 (1 Hour)</t>
  </si>
  <si>
    <t>Vatsal Paliwal</t>
  </si>
  <si>
    <t>24EACAD097</t>
  </si>
  <si>
    <t>Topic: How Companies Use Data for Business Decisions</t>
  </si>
  <si>
    <t>Vedant joshi</t>
  </si>
  <si>
    <t>24EACCS729</t>
  </si>
  <si>
    <t>UNIT 5: MACHINE LEARNING</t>
  </si>
  <si>
    <t>Vijay singh Katiyar</t>
  </si>
  <si>
    <t>24EACAD098</t>
  </si>
  <si>
    <t>74 / 100</t>
  </si>
  <si>
    <t>1. ML Fundamentals</t>
  </si>
  <si>
    <t>Vishesh Panchal</t>
  </si>
  <si>
    <t>24EACCS751</t>
  </si>
  <si>
    <t>1.1 Introduction to Machine Learning</t>
  </si>
  <si>
    <t>Vivek mudgal</t>
  </si>
  <si>
    <t>24EACAD102</t>
  </si>
  <si>
    <t>1.2 Types of Machine Learning</t>
  </si>
  <si>
    <t>1.2.1 Supervised Learning</t>
  </si>
  <si>
    <t>Vivek Sourav</t>
  </si>
  <si>
    <t>24EACCS400</t>
  </si>
  <si>
    <t>1.2.2 Unsupervised Learning</t>
  </si>
  <si>
    <t>YASH GUPTA</t>
  </si>
  <si>
    <t>24EACCS754</t>
  </si>
  <si>
    <t>1.2.3 Reinforcement Learning</t>
  </si>
  <si>
    <t>Yash Mourya</t>
  </si>
  <si>
    <t>24EACIT035</t>
  </si>
  <si>
    <t>1.3 ML Workflow &amp; Pipeline</t>
  </si>
  <si>
    <t>1.4 Scikit-learn Overview &amp; Built-in Transforms</t>
  </si>
  <si>
    <t>Yashpal jangid</t>
  </si>
  <si>
    <t>24EACAD103</t>
  </si>
  <si>
    <t>1.5 Train-Test Split</t>
  </si>
  <si>
    <t>2. Supervised Learning — Regression</t>
  </si>
  <si>
    <t>2.1 Linear Regression</t>
  </si>
  <si>
    <t>Youvansh Saini</t>
  </si>
  <si>
    <t>24EACCA113</t>
  </si>
  <si>
    <t>2.1.1 Simple &amp; Multiple Linear Regression</t>
  </si>
  <si>
    <t>2.1.2 Implementation in Scikit-learn</t>
  </si>
  <si>
    <t>2.1.3 Evaluation: MAE, MSE, RMSE, R²</t>
  </si>
  <si>
    <t>2.2 Polynomial Regression</t>
  </si>
  <si>
    <t>2.3 Ridge &amp; Lasso Regression</t>
  </si>
  <si>
    <t>3. Supervised Learning — Classification — Part 1</t>
  </si>
  <si>
    <t>3.1 Logistic Regression</t>
  </si>
  <si>
    <t>3.2 K-Nearest Neighbors (KNN)</t>
  </si>
  <si>
    <t>3.3 Decision Tree</t>
  </si>
  <si>
    <t>3.3.1 Gini Index &amp; Entropy</t>
  </si>
  <si>
    <t>3.3.2 Information Gain</t>
  </si>
  <si>
    <t>3. Supervised Learning — Classification — Part 2</t>
  </si>
  <si>
    <t>3.4 Random Forest</t>
  </si>
  <si>
    <t>3.4.1 Bagging &amp; Ensemble Learning</t>
  </si>
  <si>
    <t>3.5 Evaluation Metrics</t>
  </si>
  <si>
    <t>3.5.1 Confusion Matrix</t>
  </si>
  <si>
    <t>3.5.2 Precision, Recall, F1 Score</t>
  </si>
  <si>
    <t>3.5.3 ROC-AUC Curve</t>
  </si>
  <si>
    <t>4. Unsupervised Learning</t>
  </si>
  <si>
    <t>SUNDAY</t>
  </si>
  <si>
    <t>4.1 Clustering Concepts</t>
  </si>
  <si>
    <t>4.2 K-Means Clustering</t>
  </si>
  <si>
    <t>4.2.1 Elbow Method</t>
  </si>
  <si>
    <t>4.3 PCA — Principal Component Analysis</t>
  </si>
  <si>
    <t>4.3.1 Dimensionality Reduction</t>
  </si>
  <si>
    <t>4.3.2 Explained Variance</t>
  </si>
  <si>
    <t>5. Model Evaluation &amp; Optimization</t>
  </si>
  <si>
    <t>5.1 Cross Validation</t>
  </si>
  <si>
    <t>5.2 Bias-Variance Tradeoff</t>
  </si>
  <si>
    <t>5.3 Overfitting &amp; Underfitting</t>
  </si>
  <si>
    <t>5.4 Hyperparameter Tuning</t>
  </si>
  <si>
    <t>5.4.1 GridSearchCV</t>
  </si>
  <si>
    <t>5.4.2 RandomizedSearchCV</t>
  </si>
  <si>
    <t>6. End-to-End ML Practice</t>
  </si>
  <si>
    <t>6.1 Problem Solving on Real Datasets</t>
  </si>
  <si>
    <t>6.2 Complete Pipeline: Data → Model → Evaluation</t>
  </si>
  <si>
    <t>6.3 Interpreting Model Results</t>
  </si>
  <si>
    <t>🔴 TEST 4: Machine Learning (Half Day)</t>
  </si>
  <si>
    <t>MCQ (15 Marks) + Coding Problem (35 Marks)</t>
  </si>
  <si>
    <t>🏭 INDUSTRY LECTURE 5 (1 Hour)</t>
  </si>
  <si>
    <t>Topic: ML in Production — Deployment &amp; Real Use Cases</t>
  </si>
  <si>
    <t>UNIT 6: DEEP LEARNING &amp; NLP</t>
  </si>
  <si>
    <t>1. Natural Language Processing (NLP) — Part 1</t>
  </si>
  <si>
    <t>1.1 Text Preprocessing</t>
  </si>
  <si>
    <t>1.1.1 Tokenization</t>
  </si>
  <si>
    <t>1.1.2 Stemming &amp; Lemmatization</t>
  </si>
  <si>
    <t>1.1.3 Removing Stopwords</t>
  </si>
  <si>
    <t>1.2 Text Representation</t>
  </si>
  <si>
    <t>1.2.1 Bag of Words</t>
  </si>
  <si>
    <t>1.2.2 TF-IDF</t>
  </si>
  <si>
    <t>1.2.3 Word2Vec</t>
  </si>
  <si>
    <t>1. Natural Language Processing (NLP) — Part 2</t>
  </si>
  <si>
    <t>1.3 Text Classification</t>
  </si>
  <si>
    <t>1.3.1 Sentiment Analysis</t>
  </si>
  <si>
    <t>1.3.2 Multi-Class Text Classification</t>
  </si>
  <si>
    <t>2. Introduction to Neural Networks</t>
  </si>
  <si>
    <t>2.1 Biological vs Artificial Neuron</t>
  </si>
  <si>
    <t>2.2 Layers — Input, Hidden, Output</t>
  </si>
  <si>
    <t>2.3 Activation Functions</t>
  </si>
  <si>
    <t>2.3.1 ReLU, Sigmoid, Softmax</t>
  </si>
  <si>
    <t>2.4 Forward Propagation</t>
  </si>
  <si>
    <t>2.5 Backpropagation &amp; Gradient Descent</t>
  </si>
  <si>
    <t>2.6 Loss Functions</t>
  </si>
  <si>
    <t>3. Deep Learning — ANN</t>
  </si>
  <si>
    <t>3.1 ANN — Artificial Neural Networks</t>
  </si>
  <si>
    <t>3.1.1 Building ANN with Keras / TensorFlow</t>
  </si>
  <si>
    <t>3.1.2 Epochs, Batch Size, Learning Rate</t>
  </si>
  <si>
    <t>3.1.3 Dropout &amp; Regularization</t>
  </si>
  <si>
    <t>3. Deep Learning — CNN &amp; RNN</t>
  </si>
  <si>
    <t>3.2 CNN — Convolutional Neural Networks</t>
  </si>
  <si>
    <t>3.2.1 Convolution &amp; Pooling Layers</t>
  </si>
  <si>
    <t>3.2.2 Image Classification with CNN</t>
  </si>
  <si>
    <t>3.3 RNN — Recurrent Neural Networks</t>
  </si>
  <si>
    <t>3.3.1 Sequential Data Processing</t>
  </si>
  <si>
    <t>3.3.2 LSTM Basics</t>
  </si>
  <si>
    <t>4. Transfer Learning</t>
  </si>
  <si>
    <t>4.1 What is Transfer Learning</t>
  </si>
  <si>
    <t>4.2 Pre-trained Models</t>
  </si>
  <si>
    <t>4.2.1 VGG</t>
  </si>
  <si>
    <t>4.2.2 ResNet</t>
  </si>
  <si>
    <t>4.2.3 MobileNet</t>
  </si>
  <si>
    <t>4.3 Fine-Tuning Pre-trained Models</t>
  </si>
  <si>
    <t>5. Deep Learning Practice</t>
  </si>
  <si>
    <t>5.1 End-to-End Image Classification Project</t>
  </si>
  <si>
    <t>5.2 Text Classification with LSTM</t>
  </si>
  <si>
    <t>5.3 Model Evaluation &amp; Optimization in DL</t>
  </si>
  <si>
    <t>🔴 TEST 5: Deep Learning + NLP (Half Day)</t>
  </si>
  <si>
    <t>🏭 INDUSTRY LECTURE 6 (1 Hour)</t>
  </si>
  <si>
    <t>Topic: Deep Learning &amp; NLP in Industry Applications</t>
  </si>
  <si>
    <t>UNIT 7: GENERATIVE AI &amp; LLMs</t>
  </si>
  <si>
    <t>1. Introduction to Transformers</t>
  </si>
  <si>
    <t>1.1 Attention Mechanism</t>
  </si>
  <si>
    <t>MONDAY</t>
  </si>
  <si>
    <t>1.2 Encoders &amp; Decoders</t>
  </si>
  <si>
    <t>1.3 Self-Attention &amp; Multi-Head Attention</t>
  </si>
  <si>
    <t>1.4 Positional Encoding</t>
  </si>
  <si>
    <t>2. Large Language Models (LLMs)</t>
  </si>
  <si>
    <t>2.1 What are LLMs</t>
  </si>
  <si>
    <t>2.2 GPT Architecture</t>
  </si>
  <si>
    <t>2.2.1 GPT-1, GPT-2, GPT-3, GPT-4</t>
  </si>
  <si>
    <t>2.2.2 How ChatGPT Works</t>
  </si>
  <si>
    <t>2.3 BERT</t>
  </si>
  <si>
    <t>2.3.1 Bidirectional Encoding</t>
  </si>
  <si>
    <t>2.3.2 BERT for Classification Tasks</t>
  </si>
  <si>
    <t>2.4 Tokens &amp; Context Window</t>
  </si>
  <si>
    <t>2.5 Prompt Engineering</t>
  </si>
  <si>
    <t>2.5.1 Zero-Shot &amp; Few-Shot Prompting</t>
  </si>
  <si>
    <t>2.5.2 Chain of Thought Prompting</t>
  </si>
  <si>
    <t>3. Generative Models</t>
  </si>
  <si>
    <t>3.1 VAEs — Variational Autoencoders</t>
  </si>
  <si>
    <t>3.1.1 Encoder-Decoder Structure</t>
  </si>
  <si>
    <t>3.1.2 Latent Space</t>
  </si>
  <si>
    <t>3.2 GANs — Generative Adversarial Networks</t>
  </si>
  <si>
    <t>3.2.1 Generator &amp; Discriminator</t>
  </si>
  <si>
    <t>3.2.2 Training Process</t>
  </si>
  <si>
    <t>3.2.3 Applications of GANs</t>
  </si>
  <si>
    <t>4. RAG — Retrieval Augmented Generation</t>
  </si>
  <si>
    <t>4.1 What is RAG &amp; Why it Matters</t>
  </si>
  <si>
    <t>4.2 RAG Pipeline</t>
  </si>
  <si>
    <t>4.2.1 Document Loading &amp; Chunking</t>
  </si>
  <si>
    <t>4.2.2 Embeddings &amp; Vector Store</t>
  </si>
  <si>
    <t>4.2.3 Retrieval &amp; Response Generation</t>
  </si>
  <si>
    <t>4.3 LangChain Basics</t>
  </si>
  <si>
    <t>4.4 Building a Simple RAG Application</t>
  </si>
  <si>
    <t>4.5 Fine-tuning vs RAG — When to Use What</t>
  </si>
  <si>
    <t>4.6 AI Hallucinations &amp; Responsible AI</t>
  </si>
  <si>
    <t>🏭 INDUSTRY LECTURE 7 (1 Hour)</t>
  </si>
  <si>
    <t>Topic: Generative AI in Industry — Use Cases, Risks &amp; Future</t>
  </si>
  <si>
    <t>CAPSTONE PROJECT — Briefing</t>
  </si>
  <si>
    <t>Problem Statement Distribution</t>
  </si>
  <si>
    <t>Domain Selection: DS / ML / DL / NLP / GenAI</t>
  </si>
  <si>
    <t>Team Formation &amp; Project Planning</t>
  </si>
  <si>
    <t>CAPSTONE PROJECT — Full Day Work</t>
  </si>
  <si>
    <t>Data Collection &amp; Preprocessing</t>
  </si>
  <si>
    <t>Model Building &amp; Evaluation</t>
  </si>
  <si>
    <t>Visualization, Report &amp; PPT Preparation</t>
  </si>
  <si>
    <t>VIVA &amp; FINAL PRESENTATIONS</t>
  </si>
  <si>
    <t>Group / Individual Project Presentations</t>
  </si>
  <si>
    <t>Faculty Evaluation &amp; Q&amp;A</t>
  </si>
  <si>
    <t>Final Feedback &amp; Performance Review</t>
  </si>
  <si>
    <t>Iqra Kamil</t>
  </si>
  <si>
    <t>24EACCS126</t>
  </si>
  <si>
    <t xml:space="preserve">Aniket kumar Mandal </t>
  </si>
  <si>
    <t>24EACCS038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</si>
</sst>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mmm yyyy"/>
    <numFmt numFmtId="166" formatCode="d"/>
  </numFmts>
  <fonts count="2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4.0"/>
      <color theme="1"/>
      <name val="Garamond"/>
    </font>
    <font>
      <b/>
      <sz val="11.0"/>
      <color theme="1"/>
      <name val="Garamond"/>
    </font>
    <font/>
    <font>
      <b/>
      <sz val="11.0"/>
      <color theme="1"/>
      <name val="Cambria"/>
    </font>
    <font>
      <sz val="11.0"/>
      <color theme="1"/>
      <name val="Calibri"/>
    </font>
    <font>
      <b/>
      <color rgb="FFFFFFFF"/>
      <name val="Calibri Light"/>
    </font>
    <font>
      <b/>
      <color rgb="FFFFFFFF"/>
      <name val="Arial"/>
    </font>
    <font>
      <b/>
      <sz val="12.0"/>
      <color theme="1"/>
      <name val="Calibri Light"/>
    </font>
    <font>
      <b/>
      <sz val="11.0"/>
      <color rgb="FF1F3864"/>
      <name val="Calibri Light"/>
    </font>
    <font>
      <b/>
      <sz val="11.0"/>
      <color theme="1"/>
      <name val="Calibri Light"/>
    </font>
    <font>
      <color theme="1"/>
      <name val="Arial"/>
      <scheme val="minor"/>
    </font>
    <font>
      <sz val="11.0"/>
      <color theme="1"/>
      <name val="Aptos Narrow"/>
    </font>
    <font>
      <color theme="1"/>
      <name val="Calibri"/>
    </font>
    <font>
      <b/>
      <sz val="11.0"/>
      <color rgb="FF375623"/>
      <name val="Calibri Light"/>
    </font>
    <font>
      <b/>
      <sz val="11.0"/>
      <color rgb="FF1F497D"/>
      <name val="Calibri Light"/>
    </font>
    <font>
      <b/>
      <sz val="11.0"/>
      <color rgb="FFC00000"/>
      <name val="Calibri Light"/>
    </font>
    <font>
      <color theme="1"/>
      <name val="Roboto"/>
    </font>
    <font>
      <b/>
      <color theme="1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1F3864"/>
        <bgColor rgb="FF1F3864"/>
      </patternFill>
    </fill>
    <fill>
      <patternFill patternType="solid">
        <fgColor rgb="FF93C47D"/>
        <bgColor rgb="FF93C47D"/>
      </patternFill>
    </fill>
    <fill>
      <patternFill patternType="solid">
        <fgColor rgb="FFE7FFE7"/>
        <bgColor rgb="FFE7FFE7"/>
      </patternFill>
    </fill>
    <fill>
      <patternFill patternType="solid">
        <fgColor rgb="FFE7F3FF"/>
        <bgColor rgb="FFE7F3FF"/>
      </patternFill>
    </fill>
    <fill>
      <patternFill patternType="solid">
        <fgColor rgb="FFF8F9FA"/>
        <bgColor rgb="FFF8F9FA"/>
      </patternFill>
    </fill>
    <fill>
      <patternFill patternType="solid">
        <fgColor rgb="FFFFE7E7"/>
        <bgColor rgb="FFFFE7E7"/>
      </patternFill>
    </fill>
    <fill>
      <patternFill patternType="solid">
        <fgColor rgb="FFFFF3E7"/>
        <bgColor rgb="FFFFF3E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2" fillId="2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vertical="bottom"/>
    </xf>
    <xf borderId="4" fillId="0" fontId="5" numFmtId="0" xfId="0" applyBorder="1" applyFont="1"/>
    <xf borderId="1" fillId="0" fontId="2" numFmtId="0" xfId="0" applyAlignment="1" applyBorder="1" applyFont="1">
      <alignment vertical="bottom"/>
    </xf>
    <xf borderId="2" fillId="2" fontId="1" numFmtId="165" xfId="0" applyAlignment="1" applyBorder="1" applyFont="1" applyNumberFormat="1">
      <alignment horizontal="center" vertical="center"/>
    </xf>
    <xf borderId="0" fillId="0" fontId="6" numFmtId="0" xfId="0" applyAlignment="1" applyFont="1">
      <alignment vertical="bottom"/>
    </xf>
    <xf borderId="3" fillId="2" fontId="1" numFmtId="165" xfId="0" applyAlignment="1" applyBorder="1" applyFont="1" applyNumberFormat="1">
      <alignment horizontal="center" vertical="bottom"/>
    </xf>
    <xf borderId="5" fillId="0" fontId="5" numFmtId="0" xfId="0" applyBorder="1" applyFont="1"/>
    <xf borderId="1" fillId="0" fontId="7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4" fontId="8" numFmtId="0" xfId="0" applyAlignment="1" applyBorder="1" applyFill="1" applyFont="1">
      <alignment horizontal="center" vertical="bottom"/>
    </xf>
    <xf borderId="1" fillId="4" fontId="9" numFmtId="0" xfId="0" applyAlignment="1" applyBorder="1" applyFont="1">
      <alignment horizontal="center" vertical="bottom"/>
    </xf>
    <xf borderId="6" fillId="0" fontId="5" numFmtId="0" xfId="0" applyBorder="1" applyFont="1"/>
    <xf borderId="3" fillId="0" fontId="2" numFmtId="0" xfId="0" applyAlignment="1" applyBorder="1" applyFont="1">
      <alignment horizontal="right" vertical="bottom"/>
    </xf>
    <xf borderId="1" fillId="2" fontId="1" numFmtId="166" xfId="0" applyAlignment="1" applyBorder="1" applyFont="1" applyNumberFormat="1">
      <alignment horizontal="center" vertical="bottom"/>
    </xf>
    <xf borderId="2" fillId="0" fontId="10" numFmtId="0" xfId="0" applyAlignment="1" applyBorder="1" applyFont="1">
      <alignment horizontal="center" vertical="bottom"/>
    </xf>
    <xf borderId="1" fillId="0" fontId="11" numFmtId="0" xfId="0" applyAlignment="1" applyBorder="1" applyFont="1">
      <alignment vertical="bottom"/>
    </xf>
    <xf borderId="1" fillId="0" fontId="1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center"/>
    </xf>
    <xf borderId="1" fillId="0" fontId="13" numFmtId="0" xfId="0" applyBorder="1" applyFont="1"/>
    <xf borderId="1" fillId="0" fontId="7" numFmtId="0" xfId="0" applyAlignment="1" applyBorder="1" applyFont="1">
      <alignment horizontal="center" vertical="bottom"/>
    </xf>
    <xf borderId="1" fillId="0" fontId="14" numFmtId="0" xfId="0" applyAlignment="1" applyBorder="1" applyFont="1">
      <alignment horizontal="center" vertical="bottom"/>
    </xf>
    <xf borderId="1" fillId="2" fontId="1" numFmtId="165" xfId="0" applyAlignment="1" applyBorder="1" applyFont="1" applyNumberFormat="1">
      <alignment horizontal="center" vertical="bottom"/>
    </xf>
    <xf borderId="1" fillId="2" fontId="7" numFmtId="0" xfId="0" applyAlignment="1" applyBorder="1" applyFont="1">
      <alignment horizontal="center" vertical="bottom"/>
    </xf>
    <xf borderId="1" fillId="0" fontId="2" numFmtId="2" xfId="0" applyAlignment="1" applyBorder="1" applyFont="1" applyNumberFormat="1">
      <alignment horizontal="center" vertical="bottom"/>
    </xf>
    <xf borderId="1" fillId="5" fontId="2" numFmtId="0" xfId="0" applyAlignment="1" applyBorder="1" applyFill="1" applyFont="1">
      <alignment horizontal="center" vertical="bottom"/>
    </xf>
    <xf borderId="2" fillId="3" fontId="2" numFmtId="0" xfId="0" applyAlignment="1" applyBorder="1" applyFont="1">
      <alignment vertical="bottom"/>
    </xf>
    <xf borderId="0" fillId="5" fontId="2" numFmtId="0" xfId="0" applyAlignment="1" applyFont="1">
      <alignment vertical="bottom"/>
    </xf>
    <xf borderId="0" fillId="5" fontId="2" numFmtId="0" xfId="0" applyAlignment="1" applyFont="1">
      <alignment vertical="bottom"/>
    </xf>
    <xf borderId="1" fillId="0" fontId="15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shrinkToFit="0" vertical="bottom" wrapText="0"/>
    </xf>
    <xf borderId="1" fillId="5" fontId="2" numFmtId="0" xfId="0" applyAlignment="1" applyBorder="1" applyFont="1">
      <alignment horizontal="center" vertical="bottom"/>
    </xf>
    <xf borderId="6" fillId="3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readingOrder="0" vertical="bottom"/>
    </xf>
    <xf borderId="0" fillId="5" fontId="2" numFmtId="0" xfId="0" applyAlignment="1" applyFont="1">
      <alignment horizontal="center"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1" fillId="5" fontId="2" numFmtId="0" xfId="0" applyAlignment="1" applyBorder="1" applyFont="1">
      <alignment vertical="bottom"/>
    </xf>
    <xf borderId="1" fillId="5" fontId="2" numFmtId="0" xfId="0" applyAlignment="1" applyBorder="1" applyFont="1">
      <alignment vertical="bottom"/>
    </xf>
    <xf borderId="1" fillId="3" fontId="2" numFmtId="0" xfId="0" applyAlignment="1" applyBorder="1" applyFont="1">
      <alignment vertical="bottom"/>
    </xf>
    <xf borderId="0" fillId="3" fontId="2" numFmtId="0" xfId="0" applyAlignment="1" applyFont="1">
      <alignment horizontal="center" vertical="bottom"/>
    </xf>
    <xf borderId="0" fillId="3" fontId="2" numFmtId="0" xfId="0" applyAlignment="1" applyFont="1">
      <alignment horizontal="center" vertical="bottom"/>
    </xf>
    <xf borderId="2" fillId="6" fontId="10" numFmtId="0" xfId="0" applyAlignment="1" applyBorder="1" applyFill="1" applyFont="1">
      <alignment horizontal="center" vertical="bottom"/>
    </xf>
    <xf borderId="1" fillId="6" fontId="16" numFmtId="0" xfId="0" applyAlignment="1" applyBorder="1" applyFont="1">
      <alignment vertical="bottom"/>
    </xf>
    <xf borderId="1" fillId="6" fontId="12" numFmtId="0" xfId="0" applyAlignment="1" applyBorder="1" applyFont="1">
      <alignment vertical="bottom"/>
    </xf>
    <xf borderId="2" fillId="7" fontId="10" numFmtId="0" xfId="0" applyAlignment="1" applyBorder="1" applyFill="1" applyFont="1">
      <alignment horizontal="center" vertical="bottom"/>
    </xf>
    <xf borderId="1" fillId="7" fontId="17" numFmtId="0" xfId="0" applyAlignment="1" applyBorder="1" applyFont="1">
      <alignment vertical="bottom"/>
    </xf>
    <xf borderId="1" fillId="7" fontId="12" numFmtId="0" xfId="0" applyAlignment="1" applyBorder="1" applyFont="1">
      <alignment vertical="bottom"/>
    </xf>
    <xf borderId="0" fillId="0" fontId="7" numFmtId="0" xfId="0" applyAlignment="1" applyFont="1">
      <alignment horizontal="center" vertical="bottom"/>
    </xf>
    <xf borderId="2" fillId="0" fontId="2" numFmtId="0" xfId="0" applyAlignment="1" applyBorder="1" applyFont="1">
      <alignment vertical="bottom"/>
    </xf>
    <xf borderId="1" fillId="2" fontId="7" numFmtId="0" xfId="0" applyAlignment="1" applyBorder="1" applyFont="1">
      <alignment horizontal="center" shrinkToFit="0" vertical="bottom" wrapText="0"/>
    </xf>
    <xf borderId="1" fillId="8" fontId="7" numFmtId="0" xfId="0" applyAlignment="1" applyBorder="1" applyFill="1" applyFont="1">
      <alignment horizontal="center" shrinkToFit="0" vertical="bottom" wrapText="0"/>
    </xf>
    <xf borderId="1" fillId="8" fontId="7" numFmtId="0" xfId="0" applyAlignment="1" applyBorder="1" applyFont="1">
      <alignment horizontal="center" shrinkToFit="0" vertical="bottom" wrapText="0"/>
    </xf>
    <xf borderId="2" fillId="9" fontId="10" numFmtId="0" xfId="0" applyAlignment="1" applyBorder="1" applyFill="1" applyFont="1">
      <alignment horizontal="center" vertical="bottom"/>
    </xf>
    <xf borderId="1" fillId="9" fontId="18" numFmtId="0" xfId="0" applyAlignment="1" applyBorder="1" applyFont="1">
      <alignment vertical="bottom"/>
    </xf>
    <xf borderId="1" fillId="9" fontId="12" numFmtId="0" xfId="0" applyAlignment="1" applyBorder="1" applyFont="1">
      <alignment vertical="bottom"/>
    </xf>
    <xf borderId="1" fillId="7" fontId="11" numFmtId="0" xfId="0" applyAlignment="1" applyBorder="1" applyFont="1">
      <alignment vertical="bottom"/>
    </xf>
    <xf borderId="0" fillId="5" fontId="2" numFmtId="0" xfId="0" applyAlignment="1" applyFont="1">
      <alignment horizontal="center" vertical="bottom"/>
    </xf>
    <xf borderId="1" fillId="8" fontId="19" numFmtId="0" xfId="0" applyAlignment="1" applyBorder="1" applyFont="1">
      <alignment horizontal="center" shrinkToFit="0" vertical="bottom" wrapText="0"/>
    </xf>
    <xf borderId="1" fillId="8" fontId="19" numFmtId="0" xfId="0" applyAlignment="1" applyBorder="1" applyFont="1">
      <alignment shrinkToFit="0" vertical="bottom" wrapText="0"/>
    </xf>
    <xf borderId="1" fillId="2" fontId="2" numFmtId="0" xfId="0" applyAlignment="1" applyBorder="1" applyFont="1">
      <alignment horizontal="center" vertical="bottom"/>
    </xf>
    <xf borderId="1" fillId="8" fontId="7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1" fillId="8" fontId="14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vertical="bottom"/>
    </xf>
    <xf borderId="6" fillId="3" fontId="1" numFmtId="0" xfId="0" applyAlignment="1" applyBorder="1" applyFont="1">
      <alignment horizontal="center" textRotation="255" vertical="bottom"/>
    </xf>
    <xf borderId="0" fillId="0" fontId="2" numFmtId="0" xfId="0" applyAlignment="1" applyFont="1">
      <alignment horizontal="center" vertical="bottom"/>
    </xf>
    <xf borderId="2" fillId="10" fontId="10" numFmtId="0" xfId="0" applyAlignment="1" applyBorder="1" applyFill="1" applyFont="1">
      <alignment horizontal="center" vertical="bottom"/>
    </xf>
    <xf borderId="1" fillId="10" fontId="17" numFmtId="0" xfId="0" applyAlignment="1" applyBorder="1" applyFont="1">
      <alignment vertical="bottom"/>
    </xf>
    <xf borderId="1" fillId="10" fontId="12" numFmtId="0" xfId="0" applyAlignment="1" applyBorder="1" applyFont="1">
      <alignment vertical="bottom"/>
    </xf>
    <xf borderId="1" fillId="10" fontId="11" numFmtId="0" xfId="0" applyAlignment="1" applyBorder="1" applyFont="1">
      <alignment vertical="bottom"/>
    </xf>
    <xf borderId="1" fillId="2" fontId="1" numFmtId="0" xfId="0" applyAlignment="1" applyBorder="1" applyFont="1">
      <alignment horizontal="center"/>
    </xf>
    <xf borderId="1" fillId="2" fontId="20" numFmtId="0" xfId="0" applyAlignment="1" applyBorder="1" applyFont="1">
      <alignment horizontal="center"/>
    </xf>
    <xf borderId="7" fillId="3" fontId="2" numFmtId="0" xfId="0" applyAlignment="1" applyBorder="1" applyFont="1">
      <alignment vertical="bottom"/>
    </xf>
    <xf borderId="1" fillId="8" fontId="14" numFmtId="0" xfId="0" applyAlignment="1" applyBorder="1" applyFont="1">
      <alignment horizontal="center" vertical="bottom"/>
    </xf>
    <xf borderId="1" fillId="2" fontId="7" numFmtId="0" xfId="0" applyAlignment="1" applyBorder="1" applyFont="1">
      <alignment horizontal="center" vertical="bottom"/>
    </xf>
    <xf borderId="1" fillId="8" fontId="7" numFmtId="0" xfId="0" applyAlignment="1" applyBorder="1" applyFont="1">
      <alignment horizontal="center" shrinkToFit="0" vertical="bottom" wrapText="0"/>
    </xf>
    <xf borderId="0" fillId="8" fontId="7" numFmtId="0" xfId="0" applyAlignment="1" applyFont="1">
      <alignment horizontal="center" shrinkToFit="0" vertical="bottom" wrapText="0"/>
    </xf>
    <xf borderId="1" fillId="2" fontId="7" numFmtId="0" xfId="0" applyAlignment="1" applyBorder="1" applyFont="1">
      <alignment horizontal="center" shrinkToFit="0" vertical="bottom" wrapText="0"/>
    </xf>
    <xf borderId="0" fillId="2" fontId="7" numFmtId="0" xfId="0" applyAlignment="1" applyFont="1">
      <alignment horizontal="center" shrinkToFit="0" vertical="bottom" wrapText="0"/>
    </xf>
    <xf borderId="7" fillId="0" fontId="5" numFmtId="0" xfId="0" applyBorder="1" applyFont="1"/>
    <xf borderId="1" fillId="0" fontId="13" numFmtId="0" xfId="0" applyAlignment="1" applyBorder="1" applyFont="1">
      <alignment horizontal="center" vertical="center"/>
    </xf>
    <xf borderId="1" fillId="8" fontId="7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  <tableStyles count="29">
    <tableStyle count="2" pivot="0" name="Attendence-style">
      <tableStyleElement dxfId="1" type="firstRowStripe"/>
      <tableStyleElement dxfId="2" type="secondRowStripe"/>
    </tableStyle>
    <tableStyle count="2" pivot="0" name="Assesment-style">
      <tableStyleElement dxfId="1" type="firstRowStripe"/>
      <tableStyleElement dxfId="2" type="secondRowStripe"/>
    </tableStyle>
    <tableStyle count="2" pivot="0" name="Assesment-style 2">
      <tableStyleElement dxfId="1" type="firstRowStripe"/>
      <tableStyleElement dxfId="2" type="secondRowStripe"/>
    </tableStyle>
    <tableStyle count="2" pivot="0" name="Attendence-style 2">
      <tableStyleElement dxfId="1" type="firstRowStripe"/>
      <tableStyleElement dxfId="2" type="secondRowStripe"/>
    </tableStyle>
    <tableStyle count="2" pivot="0" name="Assesment-style 3">
      <tableStyleElement dxfId="1" type="firstRowStripe"/>
      <tableStyleElement dxfId="2" type="secondRowStripe"/>
    </tableStyle>
    <tableStyle count="2" pivot="0" name="Attendence-style 3">
      <tableStyleElement dxfId="1" type="firstRowStripe"/>
      <tableStyleElement dxfId="2" type="secondRowStripe"/>
    </tableStyle>
    <tableStyle count="2" pivot="0" name="Assesment-style 4">
      <tableStyleElement dxfId="1" type="firstRowStripe"/>
      <tableStyleElement dxfId="2" type="secondRowStripe"/>
    </tableStyle>
    <tableStyle count="2" pivot="0" name="Attendence-style 4">
      <tableStyleElement dxfId="1" type="firstRowStripe"/>
      <tableStyleElement dxfId="2" type="secondRowStripe"/>
    </tableStyle>
    <tableStyle count="2" pivot="0" name="Assesment-style 5">
      <tableStyleElement dxfId="2" type="firstRowStripe"/>
      <tableStyleElement dxfId="1" type="secondRowStripe"/>
    </tableStyle>
    <tableStyle count="2" pivot="0" name="Attendence-style 5">
      <tableStyleElement dxfId="1" type="firstRowStripe"/>
      <tableStyleElement dxfId="2" type="secondRowStripe"/>
    </tableStyle>
    <tableStyle count="2" pivot="0" name="Assesment-style 6">
      <tableStyleElement dxfId="2" type="firstRowStripe"/>
      <tableStyleElement dxfId="1" type="secondRowStripe"/>
    </tableStyle>
    <tableStyle count="2" pivot="0" name="Attendence-style 6">
      <tableStyleElement dxfId="1" type="firstRowStripe"/>
      <tableStyleElement dxfId="2" type="secondRowStripe"/>
    </tableStyle>
    <tableStyle count="2" pivot="0" name="Assesment-style 7">
      <tableStyleElement dxfId="2" type="firstRowStripe"/>
      <tableStyleElement dxfId="1" type="secondRowStripe"/>
    </tableStyle>
    <tableStyle count="2" pivot="0" name="Attendence-style 7">
      <tableStyleElement dxfId="1" type="firstRowStripe"/>
      <tableStyleElement dxfId="2" type="secondRowStripe"/>
    </tableStyle>
    <tableStyle count="2" pivot="0" name="Attendence-style 8">
      <tableStyleElement dxfId="2" type="firstRowStripe"/>
      <tableStyleElement dxfId="1" type="secondRowStripe"/>
    </tableStyle>
    <tableStyle count="2" pivot="0" name="Attendence-style 9">
      <tableStyleElement dxfId="2" type="firstRowStripe"/>
      <tableStyleElement dxfId="1" type="secondRowStripe"/>
    </tableStyle>
    <tableStyle count="2" pivot="0" name="Attendence-style 10">
      <tableStyleElement dxfId="2" type="firstRowStripe"/>
      <tableStyleElement dxfId="1" type="secondRowStripe"/>
    </tableStyle>
    <tableStyle count="2" pivot="0" name="Attendence-style 11">
      <tableStyleElement dxfId="2" type="firstRowStripe"/>
      <tableStyleElement dxfId="1" type="secondRowStripe"/>
    </tableStyle>
    <tableStyle count="2" pivot="0" name="Project-style">
      <tableStyleElement dxfId="1" type="firstRowStripe"/>
      <tableStyleElement dxfId="2" type="secondRowStripe"/>
    </tableStyle>
    <tableStyle count="2" pivot="0" name="Project-style 2">
      <tableStyleElement dxfId="1" type="firstRowStripe"/>
      <tableStyleElement dxfId="2" type="secondRowStripe"/>
    </tableStyle>
    <tableStyle count="2" pivot="0" name="Project-style 3">
      <tableStyleElement dxfId="1" type="firstRowStripe"/>
      <tableStyleElement dxfId="2" type="secondRowStripe"/>
    </tableStyle>
    <tableStyle count="2" pivot="0" name="Project-style 4">
      <tableStyleElement dxfId="1" type="firstRowStripe"/>
      <tableStyleElement dxfId="2" type="secondRowStripe"/>
    </tableStyle>
    <tableStyle count="2" pivot="0" name="Project-style 5">
      <tableStyleElement dxfId="1" type="firstRowStripe"/>
      <tableStyleElement dxfId="2" type="secondRowStripe"/>
    </tableStyle>
    <tableStyle count="2" pivot="0" name="Project-style 6">
      <tableStyleElement dxfId="1" type="firstRowStripe"/>
      <tableStyleElement dxfId="2" type="secondRowStripe"/>
    </tableStyle>
    <tableStyle count="2" pivot="0" name="Project-style 7">
      <tableStyleElement dxfId="1" type="firstRowStripe"/>
      <tableStyleElement dxfId="2" type="secondRowStripe"/>
    </tableStyle>
    <tableStyle count="2" pivot="0" name="Project-style 8">
      <tableStyleElement dxfId="2" type="firstRowStripe"/>
      <tableStyleElement dxfId="1" type="secondRowStripe"/>
    </tableStyle>
    <tableStyle count="2" pivot="0" name="Project-style 9">
      <tableStyleElement dxfId="2" type="firstRowStripe"/>
      <tableStyleElement dxfId="1" type="secondRowStripe"/>
    </tableStyle>
    <tableStyle count="2" pivot="0" name="Project-style 10">
      <tableStyleElement dxfId="2" type="firstRowStripe"/>
      <tableStyleElement dxfId="1" type="secondRowStripe"/>
    </tableStyle>
    <tableStyle count="2" pivot="0" name="Project-style 11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16:C116" displayName="Table_1" name="Table_1" id="1">
  <tableColumns count="2">
    <tableColumn name="Column1" id="1"/>
    <tableColumn name="Column2" id="2"/>
  </tableColumns>
  <tableStyleInfo name="Attendence-style" showColumnStripes="0" showFirstColumn="1" showLastColumn="1" showRowStripes="1"/>
</table>
</file>

<file path=xl/tables/table2.xml><?xml version="1.0" encoding="utf-8"?>
<table xmlns="http://schemas.openxmlformats.org/spreadsheetml/2006/main" headerRowCount="0" ref="B117:C117" displayName="Table_3" name="Table_3" id="4">
  <tableColumns count="2">
    <tableColumn name="Column1" id="1"/>
    <tableColumn name="Column2" id="2"/>
  </tableColumns>
  <tableStyleInfo name="Attendence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20:C120" displayName="Table_6" name="Table_6" id="6">
  <tableColumns count="2">
    <tableColumn name="Column1" id="1"/>
    <tableColumn name="Column2" id="2"/>
  </tableColumns>
  <tableStyleInfo name="Attendence-style 3" showColumnStripes="0" showFirstColumn="1" showLastColumn="1" showRowStripes="1"/>
</table>
</file>

<file path=xl/tables/table4.xml><?xml version="1.0" encoding="utf-8"?>
<table xmlns="http://schemas.openxmlformats.org/spreadsheetml/2006/main" headerRowCount="0" ref="B121:C121" displayName="Table_8" name="Table_8" id="8">
  <tableColumns count="2">
    <tableColumn name="Column1" id="1"/>
    <tableColumn name="Column2" id="2"/>
  </tableColumns>
  <tableStyleInfo name="Attendence-style 4" showColumnStripes="0" showFirstColumn="1" showLastColumn="1" showRowStripes="1"/>
</table>
</file>

<file path=xl/tables/table5.xml><?xml version="1.0" encoding="utf-8"?>
<table xmlns="http://schemas.openxmlformats.org/spreadsheetml/2006/main" headerRowCount="0" ref="B122:C122" displayName="Table_10" name="Table_10" id="10">
  <tableColumns count="2">
    <tableColumn name="Column1" id="1"/>
    <tableColumn name="Column2" id="2"/>
  </tableColumns>
  <tableStyleInfo name="Attendence-style 5" showColumnStripes="0" showFirstColumn="1" showLastColumn="1" showRowStripes="1"/>
</table>
</file>

<file path=xl/tables/table6.xml><?xml version="1.0" encoding="utf-8"?>
<table xmlns="http://schemas.openxmlformats.org/spreadsheetml/2006/main" headerRowCount="0" ref="B124:C124" displayName="Table_12" name="Table_12" id="12">
  <tableColumns count="2">
    <tableColumn name="Column1" id="1"/>
    <tableColumn name="Column2" id="2"/>
  </tableColumns>
  <tableStyleInfo name="Attendence-style 6" showColumnStripes="0" showFirstColumn="1" showLastColumn="1" showRowStripes="1"/>
</table>
</file>

<file path=xl/tables/table7.xml><?xml version="1.0" encoding="utf-8"?>
<table xmlns="http://schemas.openxmlformats.org/spreadsheetml/2006/main" headerRowCount="0" ref="B125:C125" displayName="Table_14" name="Table_14" id="14">
  <tableColumns count="2">
    <tableColumn name="Column1" id="1"/>
    <tableColumn name="Column2" id="2"/>
  </tableColumns>
  <tableStyleInfo name="Attendence-style 7" showColumnStripes="0" showFirstColumn="1" showLastColumn="1" showRowStripes="1"/>
</table>
</file>

<file path=xl/tables/table8.xml><?xml version="1.0" encoding="utf-8"?>
<table xmlns="http://schemas.openxmlformats.org/spreadsheetml/2006/main" headerRowCount="0" ref="B126:C126" displayName="Table_15" name="Table_15" id="15">
  <tableColumns count="2">
    <tableColumn name="Column1" id="1"/>
    <tableColumn name="Column2" id="2"/>
  </tableColumns>
  <tableStyleInfo name="Attendence-style 8" showColumnStripes="0" showFirstColumn="1" showLastColumn="1" showRowStripes="1"/>
</table>
</file>

<file path=xl/tables/table9.xml><?xml version="1.0" encoding="utf-8"?>
<table xmlns="http://schemas.openxmlformats.org/spreadsheetml/2006/main" headerRowCount="0" ref="B127:C127" displayName="Table_16" name="Table_16" id="16">
  <tableColumns count="2">
    <tableColumn name="Column1" id="1"/>
    <tableColumn name="Column2" id="2"/>
  </tableColumns>
  <tableStyleInfo name="Attendence-style 9" showColumnStripes="0" showFirstColumn="1" showLastColumn="1" showRowStripes="1"/>
</table>
</file>

<file path=xl/tables/table10.xml><?xml version="1.0" encoding="utf-8"?>
<table xmlns="http://schemas.openxmlformats.org/spreadsheetml/2006/main" headerRowCount="0" ref="B128:C128" displayName="Table_17" name="Table_17" id="17">
  <tableColumns count="2">
    <tableColumn name="Column1" id="1"/>
    <tableColumn name="Column2" id="2"/>
  </tableColumns>
  <tableStyleInfo name="Attendence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B129:C131" displayName="Table_18" name="Table_18" id="18">
  <tableColumns count="2">
    <tableColumn name="Column1" id="1"/>
    <tableColumn name="Column2" id="2"/>
  </tableColumns>
  <tableStyleInfo name="Attendence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B115:C115" displayName="Table_2" name="Table_2" id="2">
  <tableColumns count="2">
    <tableColumn name="Column1" id="1"/>
    <tableColumn name="Column2" id="2"/>
  </tableColumns>
  <tableStyleInfo name="Assesment-style" showColumnStripes="0" showFirstColumn="1" showLastColumn="1" showRowStripes="1"/>
</table>
</file>

<file path=xl/tables/table13.xml><?xml version="1.0" encoding="utf-8"?>
<table xmlns="http://schemas.openxmlformats.org/spreadsheetml/2006/main" headerRowCount="0" ref="B119:C119" displayName="Table_4" name="Table_4" id="3">
  <tableColumns count="2">
    <tableColumn name="Column1" id="1"/>
    <tableColumn name="Column2" id="2"/>
  </tableColumns>
  <tableStyleInfo name="Assesment-style 2" showColumnStripes="0" showFirstColumn="1" showLastColumn="1" showRowStripes="1"/>
</table>
</file>

<file path=xl/tables/table14.xml><?xml version="1.0" encoding="utf-8"?>
<table xmlns="http://schemas.openxmlformats.org/spreadsheetml/2006/main" headerRowCount="0" ref="B120:C120" displayName="Table_5" name="Table_5" id="5">
  <tableColumns count="2">
    <tableColumn name="Column1" id="1"/>
    <tableColumn name="Column2" id="2"/>
  </tableColumns>
  <tableStyleInfo name="Assesment-style 3" showColumnStripes="0" showFirstColumn="1" showLastColumn="1" showRowStripes="1"/>
</table>
</file>

<file path=xl/tables/table15.xml><?xml version="1.0" encoding="utf-8"?>
<table xmlns="http://schemas.openxmlformats.org/spreadsheetml/2006/main" headerRowCount="0" ref="B123:C123" displayName="Table_7" name="Table_7" id="7">
  <tableColumns count="2">
    <tableColumn name="Column1" id="1"/>
    <tableColumn name="Column2" id="2"/>
  </tableColumns>
  <tableStyleInfo name="Assesment-style 4" showColumnStripes="0" showFirstColumn="1" showLastColumn="1" showRowStripes="1"/>
</table>
</file>

<file path=xl/tables/table16.xml><?xml version="1.0" encoding="utf-8"?>
<table xmlns="http://schemas.openxmlformats.org/spreadsheetml/2006/main" headerRowCount="0" ref="B124:C124" displayName="Table_9" name="Table_9" id="9">
  <tableColumns count="2">
    <tableColumn name="Column1" id="1"/>
    <tableColumn name="Column2" id="2"/>
  </tableColumns>
  <tableStyleInfo name="Assesment-style 5" showColumnStripes="0" showFirstColumn="1" showLastColumn="1" showRowStripes="1"/>
</table>
</file>

<file path=xl/tables/table17.xml><?xml version="1.0" encoding="utf-8"?>
<table xmlns="http://schemas.openxmlformats.org/spreadsheetml/2006/main" headerRowCount="0" ref="B126:C126" displayName="Table_11" name="Table_11" id="11">
  <tableColumns count="2">
    <tableColumn name="Column1" id="1"/>
    <tableColumn name="Column2" id="2"/>
  </tableColumns>
  <tableStyleInfo name="Assesment-style 6" showColumnStripes="0" showFirstColumn="1" showLastColumn="1" showRowStripes="1"/>
</table>
</file>

<file path=xl/tables/table18.xml><?xml version="1.0" encoding="utf-8"?>
<table xmlns="http://schemas.openxmlformats.org/spreadsheetml/2006/main" headerRowCount="0" ref="B127:C127" displayName="Table_13" name="Table_13" id="13">
  <tableColumns count="2">
    <tableColumn name="Column1" id="1"/>
    <tableColumn name="Column2" id="2"/>
  </tableColumns>
  <tableStyleInfo name="Assesment-style 7" showColumnStripes="0" showFirstColumn="1" showLastColumn="1" showRowStripes="1"/>
</table>
</file>

<file path=xl/tables/table19.xml><?xml version="1.0" encoding="utf-8"?>
<table xmlns="http://schemas.openxmlformats.org/spreadsheetml/2006/main" headerRowCount="0" ref="B115:E115" displayName="Table_19" name="Table_19" id="19">
  <tableColumns count="4">
    <tableColumn name="Column1" id="1"/>
    <tableColumn name="Column2" id="2"/>
    <tableColumn name="Column3" id="3"/>
    <tableColumn name="Column4" id="4"/>
  </tableColumns>
  <tableStyleInfo name="Project-style" showColumnStripes="0" showFirstColumn="1" showLastColumn="1" showRowStripes="1"/>
</table>
</file>

<file path=xl/tables/table20.xml><?xml version="1.0" encoding="utf-8"?>
<table xmlns="http://schemas.openxmlformats.org/spreadsheetml/2006/main" headerRowCount="0" ref="B116:E116" displayName="Table_20" name="Table_20" id="20">
  <tableColumns count="4">
    <tableColumn name="Column1" id="1"/>
    <tableColumn name="Column2" id="2"/>
    <tableColumn name="Column3" id="3"/>
    <tableColumn name="Column4" id="4"/>
  </tableColumns>
  <tableStyleInfo name="Project-style 2" showColumnStripes="0" showFirstColumn="1" showLastColumn="1" showRowStripes="1"/>
</table>
</file>

<file path=xl/tables/table21.xml><?xml version="1.0" encoding="utf-8"?>
<table xmlns="http://schemas.openxmlformats.org/spreadsheetml/2006/main" headerRowCount="0" ref="B119:E119" displayName="Table_21" name="Table_21" id="21">
  <tableColumns count="4">
    <tableColumn name="Column1" id="1"/>
    <tableColumn name="Column2" id="2"/>
    <tableColumn name="Column3" id="3"/>
    <tableColumn name="Column4" id="4"/>
  </tableColumns>
  <tableStyleInfo name="Project-style 3" showColumnStripes="0" showFirstColumn="1" showLastColumn="1" showRowStripes="1"/>
</table>
</file>

<file path=xl/tables/table22.xml><?xml version="1.0" encoding="utf-8"?>
<table xmlns="http://schemas.openxmlformats.org/spreadsheetml/2006/main" headerRowCount="0" ref="B120:E120" displayName="Table_22" name="Table_22" id="22">
  <tableColumns count="4">
    <tableColumn name="Column1" id="1"/>
    <tableColumn name="Column2" id="2"/>
    <tableColumn name="Column3" id="3"/>
    <tableColumn name="Column4" id="4"/>
  </tableColumns>
  <tableStyleInfo name="Project-style 4" showColumnStripes="0" showFirstColumn="1" showLastColumn="1" showRowStripes="1"/>
</table>
</file>

<file path=xl/tables/table23.xml><?xml version="1.0" encoding="utf-8"?>
<table xmlns="http://schemas.openxmlformats.org/spreadsheetml/2006/main" headerRowCount="0" ref="B121:E121" displayName="Table_23" name="Table_23" id="23">
  <tableColumns count="4">
    <tableColumn name="Column1" id="1"/>
    <tableColumn name="Column2" id="2"/>
    <tableColumn name="Column3" id="3"/>
    <tableColumn name="Column4" id="4"/>
  </tableColumns>
  <tableStyleInfo name="Project-style 5" showColumnStripes="0" showFirstColumn="1" showLastColumn="1" showRowStripes="1"/>
</table>
</file>

<file path=xl/tables/table24.xml><?xml version="1.0" encoding="utf-8"?>
<table xmlns="http://schemas.openxmlformats.org/spreadsheetml/2006/main" headerRowCount="0" ref="B123:E123" displayName="Table_24" name="Table_24" id="24">
  <tableColumns count="4">
    <tableColumn name="Column1" id="1"/>
    <tableColumn name="Column2" id="2"/>
    <tableColumn name="Column3" id="3"/>
    <tableColumn name="Column4" id="4"/>
  </tableColumns>
  <tableStyleInfo name="Project-style 6" showColumnStripes="0" showFirstColumn="1" showLastColumn="1" showRowStripes="1"/>
</table>
</file>

<file path=xl/tables/table25.xml><?xml version="1.0" encoding="utf-8"?>
<table xmlns="http://schemas.openxmlformats.org/spreadsheetml/2006/main" headerRowCount="0" ref="B124:E124" displayName="Table_25" name="Table_25" id="25">
  <tableColumns count="4">
    <tableColumn name="Column1" id="1"/>
    <tableColumn name="Column2" id="2"/>
    <tableColumn name="Column3" id="3"/>
    <tableColumn name="Column4" id="4"/>
  </tableColumns>
  <tableStyleInfo name="Project-style 7" showColumnStripes="0" showFirstColumn="1" showLastColumn="1" showRowStripes="1"/>
</table>
</file>

<file path=xl/tables/table26.xml><?xml version="1.0" encoding="utf-8"?>
<table xmlns="http://schemas.openxmlformats.org/spreadsheetml/2006/main" headerRowCount="0" ref="B125:E125" displayName="Table_26" name="Table_26" id="26">
  <tableColumns count="4">
    <tableColumn name="Column1" id="1"/>
    <tableColumn name="Column2" id="2"/>
    <tableColumn name="Column3" id="3"/>
    <tableColumn name="Column4" id="4"/>
  </tableColumns>
  <tableStyleInfo name="Project-style 8" showColumnStripes="0" showFirstColumn="1" showLastColumn="1" showRowStripes="1"/>
</table>
</file>

<file path=xl/tables/table27.xml><?xml version="1.0" encoding="utf-8"?>
<table xmlns="http://schemas.openxmlformats.org/spreadsheetml/2006/main" headerRowCount="0" ref="B126:E126" displayName="Table_27" name="Table_27" id="27">
  <tableColumns count="4">
    <tableColumn name="Column1" id="1"/>
    <tableColumn name="Column2" id="2"/>
    <tableColumn name="Column3" id="3"/>
    <tableColumn name="Column4" id="4"/>
  </tableColumns>
  <tableStyleInfo name="Project-style 9" showColumnStripes="0" showFirstColumn="1" showLastColumn="1" showRowStripes="1"/>
</table>
</file>

<file path=xl/tables/table28.xml><?xml version="1.0" encoding="utf-8"?>
<table xmlns="http://schemas.openxmlformats.org/spreadsheetml/2006/main" headerRowCount="0" ref="B127:E127" displayName="Table_28" name="Table_28" id="28">
  <tableColumns count="4">
    <tableColumn name="Column1" id="1"/>
    <tableColumn name="Column2" id="2"/>
    <tableColumn name="Column3" id="3"/>
    <tableColumn name="Column4" id="4"/>
  </tableColumns>
  <tableStyleInfo name="Project-style 10" showColumnStripes="0" showFirstColumn="1" showLastColumn="1" showRowStripes="1"/>
</table>
</file>

<file path=xl/tables/table29.xml><?xml version="1.0" encoding="utf-8"?>
<table xmlns="http://schemas.openxmlformats.org/spreadsheetml/2006/main" headerRowCount="0" ref="B128:E129" displayName="Table_29" name="Table_29" id="29">
  <tableColumns count="4">
    <tableColumn name="Column1" id="1"/>
    <tableColumn name="Column2" id="2"/>
    <tableColumn name="Column3" id="3"/>
    <tableColumn name="Column4" id="4"/>
  </tableColumns>
  <tableStyleInfo name="Project-style 11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20" Type="http://schemas.openxmlformats.org/officeDocument/2006/relationships/table" Target="../tables/table8.xml"/><Relationship Id="rId22" Type="http://schemas.openxmlformats.org/officeDocument/2006/relationships/table" Target="../tables/table10.xml"/><Relationship Id="rId21" Type="http://schemas.openxmlformats.org/officeDocument/2006/relationships/table" Target="../tables/table9.xml"/><Relationship Id="rId13" Type="http://schemas.openxmlformats.org/officeDocument/2006/relationships/table" Target="../tables/table1.xml"/><Relationship Id="rId23" Type="http://schemas.openxmlformats.org/officeDocument/2006/relationships/table" Target="../tables/table11.xml"/><Relationship Id="rId15" Type="http://schemas.openxmlformats.org/officeDocument/2006/relationships/table" Target="../tables/table3.xml"/><Relationship Id="rId14" Type="http://schemas.openxmlformats.org/officeDocument/2006/relationships/table" Target="../tables/table2.xml"/><Relationship Id="rId17" Type="http://schemas.openxmlformats.org/officeDocument/2006/relationships/table" Target="../tables/table5.xml"/><Relationship Id="rId16" Type="http://schemas.openxmlformats.org/officeDocument/2006/relationships/table" Target="../tables/table4.xml"/><Relationship Id="rId19" Type="http://schemas.openxmlformats.org/officeDocument/2006/relationships/table" Target="../tables/table7.xml"/><Relationship Id="rId18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14.xml"/><Relationship Id="rId10" Type="http://schemas.openxmlformats.org/officeDocument/2006/relationships/table" Target="../tables/table13.xml"/><Relationship Id="rId13" Type="http://schemas.openxmlformats.org/officeDocument/2006/relationships/table" Target="../tables/table16.xml"/><Relationship Id="rId12" Type="http://schemas.openxmlformats.org/officeDocument/2006/relationships/table" Target="../tables/table15.xml"/><Relationship Id="rId9" Type="http://schemas.openxmlformats.org/officeDocument/2006/relationships/table" Target="../tables/table12.xml"/><Relationship Id="rId15" Type="http://schemas.openxmlformats.org/officeDocument/2006/relationships/table" Target="../tables/table18.xml"/><Relationship Id="rId14" Type="http://schemas.openxmlformats.org/officeDocument/2006/relationships/table" Target="../tables/table1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20" Type="http://schemas.openxmlformats.org/officeDocument/2006/relationships/table" Target="../tables/table26.xml"/><Relationship Id="rId22" Type="http://schemas.openxmlformats.org/officeDocument/2006/relationships/table" Target="../tables/table28.xml"/><Relationship Id="rId21" Type="http://schemas.openxmlformats.org/officeDocument/2006/relationships/table" Target="../tables/table27.xml"/><Relationship Id="rId13" Type="http://schemas.openxmlformats.org/officeDocument/2006/relationships/table" Target="../tables/table19.xml"/><Relationship Id="rId23" Type="http://schemas.openxmlformats.org/officeDocument/2006/relationships/table" Target="../tables/table29.xml"/><Relationship Id="rId15" Type="http://schemas.openxmlformats.org/officeDocument/2006/relationships/table" Target="../tables/table21.xml"/><Relationship Id="rId14" Type="http://schemas.openxmlformats.org/officeDocument/2006/relationships/table" Target="../tables/table20.xml"/><Relationship Id="rId17" Type="http://schemas.openxmlformats.org/officeDocument/2006/relationships/table" Target="../tables/table23.xml"/><Relationship Id="rId16" Type="http://schemas.openxmlformats.org/officeDocument/2006/relationships/table" Target="../tables/table22.xml"/><Relationship Id="rId19" Type="http://schemas.openxmlformats.org/officeDocument/2006/relationships/table" Target="../tables/table25.xml"/><Relationship Id="rId18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5.75"/>
    <col customWidth="1" min="3" max="3" width="12.38"/>
    <col customWidth="1" min="4" max="4" width="11.88"/>
    <col customWidth="1" min="5" max="5" width="11.38"/>
    <col customWidth="1" min="6" max="6" width="10.25"/>
    <col customWidth="1" min="7" max="7" width="16.63"/>
    <col customWidth="1" min="8" max="8" width="8.38"/>
    <col customWidth="1" min="9" max="9" width="3.88"/>
    <col customWidth="1" min="10" max="10" width="4.5"/>
    <col customWidth="1" min="11" max="11" width="4.0"/>
    <col customWidth="1" min="12" max="12" width="3.13"/>
    <col customWidth="1" min="13" max="13" width="3.63"/>
    <col customWidth="1" min="14" max="14" width="4.13"/>
    <col customWidth="1" min="15" max="15" width="9.0"/>
    <col customWidth="1" min="16" max="16" width="3.88"/>
    <col customWidth="1" min="17" max="17" width="4.5"/>
    <col customWidth="1" min="18" max="18" width="4.0"/>
    <col customWidth="1" min="19" max="19" width="3.13"/>
    <col customWidth="1" min="20" max="20" width="3.63"/>
    <col customWidth="1" min="21" max="21" width="4.13"/>
    <col customWidth="1" min="22" max="22" width="4.38"/>
    <col customWidth="1" min="23" max="23" width="3.88"/>
    <col customWidth="1" min="24" max="24" width="4.5"/>
    <col customWidth="1" min="25" max="25" width="4.0"/>
    <col customWidth="1" min="26" max="26" width="3.13"/>
    <col customWidth="1" min="27" max="27" width="3.63"/>
    <col customWidth="1" min="28" max="28" width="4.13"/>
    <col customWidth="1" min="29" max="29" width="4.38"/>
    <col customWidth="1" min="30" max="30" width="3.88"/>
    <col customWidth="1" min="31" max="31" width="4.5"/>
    <col customWidth="1" min="32" max="32" width="4.0"/>
    <col customWidth="1" min="33" max="33" width="3.13"/>
    <col customWidth="1" min="34" max="34" width="3.63"/>
    <col customWidth="1" min="35" max="35" width="4.13"/>
    <col customWidth="1" min="36" max="36" width="4.38"/>
    <col customWidth="1" min="37" max="37" width="3.88"/>
    <col customWidth="1" min="38" max="38" width="4.5"/>
    <col customWidth="1" min="39" max="39" width="4.0"/>
    <col customWidth="1" min="40" max="40" width="3.13"/>
    <col customWidth="1" min="41" max="41" width="3.63"/>
    <col customWidth="1" min="42" max="42" width="4.13"/>
    <col customWidth="1" min="43" max="43" width="4.38"/>
    <col customWidth="1" min="44" max="44" width="3.88"/>
    <col customWidth="1" min="45" max="45" width="8.5"/>
    <col customWidth="1" min="46" max="46" width="4.0"/>
    <col customWidth="1" min="47" max="47" width="3.13"/>
    <col customWidth="1" min="48" max="48" width="3.63"/>
    <col customWidth="1" min="49" max="49" width="4.13"/>
    <col customWidth="1" min="50" max="50" width="4.38"/>
    <col customWidth="1" min="51" max="51" width="3.88"/>
    <col customWidth="1" min="52" max="52" width="4.5"/>
    <col customWidth="1" min="53" max="53" width="4.0"/>
    <col customWidth="1" min="54" max="54" width="3.13"/>
    <col customWidth="1" min="55" max="55" width="3.63"/>
    <col customWidth="1" min="56" max="56" width="4.13"/>
    <col customWidth="1" min="57" max="57" width="4.38"/>
    <col customWidth="1" min="58" max="58" width="3.88"/>
    <col customWidth="1" min="59" max="59" width="4.5"/>
    <col customWidth="1" min="60" max="60" width="4.0"/>
    <col customWidth="1" min="61" max="61" width="3.13"/>
    <col customWidth="1" min="62" max="62" width="3.63"/>
    <col customWidth="1" min="63" max="63" width="4.13"/>
    <col customWidth="1" min="64" max="64" width="4.38"/>
    <col customWidth="1" min="65" max="65" width="3.88"/>
    <col customWidth="1" min="66" max="66" width="4.5"/>
    <col customWidth="1" min="67" max="67" width="4.0"/>
    <col customWidth="1" min="68" max="68" width="3.13"/>
    <col customWidth="1" min="69" max="69" width="3.63"/>
    <col customWidth="1" min="70" max="70" width="4.13"/>
    <col customWidth="1" min="71" max="71" width="4.38"/>
    <col customWidth="1" min="72" max="72" width="3.88"/>
    <col customWidth="1" min="73" max="73" width="4.5"/>
    <col customWidth="1" min="74" max="74" width="4.0"/>
  </cols>
  <sheetData>
    <row r="1">
      <c r="A1" s="10" t="s">
        <v>11</v>
      </c>
      <c r="B1" s="10" t="s">
        <v>12</v>
      </c>
      <c r="C1" s="10" t="s">
        <v>14</v>
      </c>
      <c r="D1" s="10" t="s">
        <v>30</v>
      </c>
      <c r="E1" s="10" t="s">
        <v>32</v>
      </c>
      <c r="F1" s="15" t="s">
        <v>33</v>
      </c>
      <c r="G1" s="15" t="s">
        <v>34</v>
      </c>
      <c r="H1" s="17">
        <v>46143.0</v>
      </c>
      <c r="I1" s="18"/>
      <c r="J1" s="18"/>
      <c r="K1" s="18"/>
      <c r="L1" s="18"/>
      <c r="M1" s="18"/>
      <c r="N1" s="13"/>
      <c r="O1" s="17">
        <v>46174.0</v>
      </c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7">
        <v>46204.0</v>
      </c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3"/>
    </row>
    <row r="2">
      <c r="A2" s="24"/>
      <c r="B2" s="24"/>
      <c r="C2" s="24"/>
      <c r="D2" s="24"/>
      <c r="E2" s="24"/>
      <c r="F2" s="24"/>
      <c r="G2" s="24"/>
      <c r="H2" s="26">
        <v>46167.0</v>
      </c>
      <c r="I2" s="26">
        <v>46168.0</v>
      </c>
      <c r="J2" s="26">
        <v>46169.0</v>
      </c>
      <c r="K2" s="26">
        <v>46170.0</v>
      </c>
      <c r="L2" s="26">
        <v>46171.0</v>
      </c>
      <c r="M2" s="26">
        <v>46172.0</v>
      </c>
      <c r="N2" s="26">
        <v>46173.0</v>
      </c>
      <c r="O2" s="26">
        <v>46174.0</v>
      </c>
      <c r="P2" s="26">
        <v>46175.0</v>
      </c>
      <c r="Q2" s="26">
        <v>46176.0</v>
      </c>
      <c r="R2" s="26">
        <v>46177.0</v>
      </c>
      <c r="S2" s="26">
        <v>46178.0</v>
      </c>
      <c r="T2" s="26">
        <v>46179.0</v>
      </c>
      <c r="U2" s="26">
        <v>46180.0</v>
      </c>
      <c r="V2" s="26">
        <v>46181.0</v>
      </c>
      <c r="W2" s="26">
        <v>46182.0</v>
      </c>
      <c r="X2" s="26">
        <v>46183.0</v>
      </c>
      <c r="Y2" s="26">
        <v>46184.0</v>
      </c>
      <c r="Z2" s="26">
        <v>46185.0</v>
      </c>
      <c r="AA2" s="26">
        <v>46186.0</v>
      </c>
      <c r="AB2" s="26">
        <v>46187.0</v>
      </c>
      <c r="AC2" s="26">
        <v>46188.0</v>
      </c>
      <c r="AD2" s="26">
        <v>46189.0</v>
      </c>
      <c r="AE2" s="26">
        <v>46190.0</v>
      </c>
      <c r="AF2" s="26">
        <v>46191.0</v>
      </c>
      <c r="AG2" s="26">
        <v>46192.0</v>
      </c>
      <c r="AH2" s="26">
        <v>46193.0</v>
      </c>
      <c r="AI2" s="26">
        <v>46194.0</v>
      </c>
      <c r="AJ2" s="26">
        <v>46195.0</v>
      </c>
      <c r="AK2" s="26">
        <v>46196.0</v>
      </c>
      <c r="AL2" s="26">
        <v>46197.0</v>
      </c>
      <c r="AM2" s="26">
        <v>46198.0</v>
      </c>
      <c r="AN2" s="26">
        <v>46199.0</v>
      </c>
      <c r="AO2" s="26">
        <v>46200.0</v>
      </c>
      <c r="AP2" s="26">
        <v>46201.0</v>
      </c>
      <c r="AQ2" s="26">
        <v>46202.0</v>
      </c>
      <c r="AR2" s="26">
        <v>46203.0</v>
      </c>
      <c r="AS2" s="26">
        <v>46204.0</v>
      </c>
      <c r="AT2" s="26">
        <v>46205.0</v>
      </c>
      <c r="AU2" s="26">
        <v>46206.0</v>
      </c>
      <c r="AV2" s="26">
        <v>46207.0</v>
      </c>
      <c r="AW2" s="26">
        <v>46208.0</v>
      </c>
      <c r="AX2" s="26">
        <v>46209.0</v>
      </c>
      <c r="AY2" s="26">
        <v>46210.0</v>
      </c>
      <c r="AZ2" s="26">
        <v>46211.0</v>
      </c>
      <c r="BA2" s="26">
        <v>46212.0</v>
      </c>
      <c r="BB2" s="26">
        <v>46213.0</v>
      </c>
      <c r="BC2" s="26">
        <v>46214.0</v>
      </c>
      <c r="BD2" s="26">
        <v>46215.0</v>
      </c>
      <c r="BE2" s="26">
        <v>46216.0</v>
      </c>
      <c r="BF2" s="26">
        <v>46217.0</v>
      </c>
      <c r="BG2" s="26">
        <v>46218.0</v>
      </c>
      <c r="BH2" s="26">
        <v>46219.0</v>
      </c>
      <c r="BI2" s="26">
        <v>46220.0</v>
      </c>
      <c r="BJ2" s="26">
        <v>46221.0</v>
      </c>
      <c r="BK2" s="26">
        <v>46222.0</v>
      </c>
      <c r="BL2" s="26">
        <v>46223.0</v>
      </c>
      <c r="BM2" s="26">
        <v>46224.0</v>
      </c>
      <c r="BN2" s="26">
        <v>46225.0</v>
      </c>
      <c r="BO2" s="26">
        <v>46226.0</v>
      </c>
      <c r="BP2" s="26">
        <v>46227.0</v>
      </c>
      <c r="BQ2" s="26">
        <v>46228.0</v>
      </c>
      <c r="BR2" s="26">
        <v>46229.0</v>
      </c>
      <c r="BS2" s="26">
        <v>46230.0</v>
      </c>
      <c r="BT2" s="26">
        <v>46231.0</v>
      </c>
      <c r="BU2" s="26">
        <v>46232.0</v>
      </c>
      <c r="BV2" s="26">
        <v>46233.0</v>
      </c>
    </row>
    <row r="3">
      <c r="A3" s="24"/>
      <c r="B3" s="24"/>
      <c r="C3" s="24"/>
      <c r="D3" s="24"/>
      <c r="E3" s="24"/>
      <c r="F3" s="24"/>
      <c r="G3" s="24"/>
      <c r="H3" s="34" t="str">
        <f t="shared" ref="H3:BV3" si="1">TEXT(H2,"ddd")</f>
        <v>Mon</v>
      </c>
      <c r="I3" s="34" t="str">
        <f t="shared" si="1"/>
        <v>Tue</v>
      </c>
      <c r="J3" s="34" t="str">
        <f t="shared" si="1"/>
        <v>Wed</v>
      </c>
      <c r="K3" s="34" t="str">
        <f t="shared" si="1"/>
        <v>Thu</v>
      </c>
      <c r="L3" s="34" t="str">
        <f t="shared" si="1"/>
        <v>Fri</v>
      </c>
      <c r="M3" s="34" t="str">
        <f t="shared" si="1"/>
        <v>Sat</v>
      </c>
      <c r="N3" s="34" t="str">
        <f t="shared" si="1"/>
        <v>Sun</v>
      </c>
      <c r="O3" s="34" t="str">
        <f t="shared" si="1"/>
        <v>Mon</v>
      </c>
      <c r="P3" s="34" t="str">
        <f t="shared" si="1"/>
        <v>Tue</v>
      </c>
      <c r="Q3" s="34" t="str">
        <f t="shared" si="1"/>
        <v>Wed</v>
      </c>
      <c r="R3" s="34" t="str">
        <f t="shared" si="1"/>
        <v>Thu</v>
      </c>
      <c r="S3" s="34" t="str">
        <f t="shared" si="1"/>
        <v>Fri</v>
      </c>
      <c r="T3" s="34" t="str">
        <f t="shared" si="1"/>
        <v>Sat</v>
      </c>
      <c r="U3" s="34" t="str">
        <f t="shared" si="1"/>
        <v>Sun</v>
      </c>
      <c r="V3" s="34" t="str">
        <f t="shared" si="1"/>
        <v>Mon</v>
      </c>
      <c r="W3" s="34" t="str">
        <f t="shared" si="1"/>
        <v>Tue</v>
      </c>
      <c r="X3" s="34" t="str">
        <f t="shared" si="1"/>
        <v>Wed</v>
      </c>
      <c r="Y3" s="34" t="str">
        <f t="shared" si="1"/>
        <v>Thu</v>
      </c>
      <c r="Z3" s="34" t="str">
        <f t="shared" si="1"/>
        <v>Fri</v>
      </c>
      <c r="AA3" s="34" t="str">
        <f t="shared" si="1"/>
        <v>Sat</v>
      </c>
      <c r="AB3" s="34" t="str">
        <f t="shared" si="1"/>
        <v>Sun</v>
      </c>
      <c r="AC3" s="34" t="str">
        <f t="shared" si="1"/>
        <v>Mon</v>
      </c>
      <c r="AD3" s="34" t="str">
        <f t="shared" si="1"/>
        <v>Tue</v>
      </c>
      <c r="AE3" s="34" t="str">
        <f t="shared" si="1"/>
        <v>Wed</v>
      </c>
      <c r="AF3" s="34" t="str">
        <f t="shared" si="1"/>
        <v>Thu</v>
      </c>
      <c r="AG3" s="34" t="str">
        <f t="shared" si="1"/>
        <v>Fri</v>
      </c>
      <c r="AH3" s="34" t="str">
        <f t="shared" si="1"/>
        <v>Sat</v>
      </c>
      <c r="AI3" s="34" t="str">
        <f t="shared" si="1"/>
        <v>Sun</v>
      </c>
      <c r="AJ3" s="34" t="str">
        <f t="shared" si="1"/>
        <v>Mon</v>
      </c>
      <c r="AK3" s="34" t="str">
        <f t="shared" si="1"/>
        <v>Tue</v>
      </c>
      <c r="AL3" s="34" t="str">
        <f t="shared" si="1"/>
        <v>Wed</v>
      </c>
      <c r="AM3" s="34" t="str">
        <f t="shared" si="1"/>
        <v>Thu</v>
      </c>
      <c r="AN3" s="34" t="str">
        <f t="shared" si="1"/>
        <v>Fri</v>
      </c>
      <c r="AO3" s="34" t="str">
        <f t="shared" si="1"/>
        <v>Sat</v>
      </c>
      <c r="AP3" s="34" t="str">
        <f t="shared" si="1"/>
        <v>Sun</v>
      </c>
      <c r="AQ3" s="34" t="str">
        <f t="shared" si="1"/>
        <v>Mon</v>
      </c>
      <c r="AR3" s="34" t="str">
        <f t="shared" si="1"/>
        <v>Tue</v>
      </c>
      <c r="AS3" s="34" t="str">
        <f t="shared" si="1"/>
        <v>Wed</v>
      </c>
      <c r="AT3" s="34" t="str">
        <f t="shared" si="1"/>
        <v>Thu</v>
      </c>
      <c r="AU3" s="34" t="str">
        <f t="shared" si="1"/>
        <v>Fri</v>
      </c>
      <c r="AV3" s="34" t="str">
        <f t="shared" si="1"/>
        <v>Sat</v>
      </c>
      <c r="AW3" s="34" t="str">
        <f t="shared" si="1"/>
        <v>Sun</v>
      </c>
      <c r="AX3" s="34" t="str">
        <f t="shared" si="1"/>
        <v>Mon</v>
      </c>
      <c r="AY3" s="34" t="str">
        <f t="shared" si="1"/>
        <v>Tue</v>
      </c>
      <c r="AZ3" s="34" t="str">
        <f t="shared" si="1"/>
        <v>Wed</v>
      </c>
      <c r="BA3" s="34" t="str">
        <f t="shared" si="1"/>
        <v>Thu</v>
      </c>
      <c r="BB3" s="34" t="str">
        <f t="shared" si="1"/>
        <v>Fri</v>
      </c>
      <c r="BC3" s="34" t="str">
        <f t="shared" si="1"/>
        <v>Sat</v>
      </c>
      <c r="BD3" s="34" t="str">
        <f t="shared" si="1"/>
        <v>Sun</v>
      </c>
      <c r="BE3" s="34" t="str">
        <f t="shared" si="1"/>
        <v>Mon</v>
      </c>
      <c r="BF3" s="34" t="str">
        <f t="shared" si="1"/>
        <v>Tue</v>
      </c>
      <c r="BG3" s="34" t="str">
        <f t="shared" si="1"/>
        <v>Wed</v>
      </c>
      <c r="BH3" s="34" t="str">
        <f t="shared" si="1"/>
        <v>Thu</v>
      </c>
      <c r="BI3" s="34" t="str">
        <f t="shared" si="1"/>
        <v>Fri</v>
      </c>
      <c r="BJ3" s="34" t="str">
        <f t="shared" si="1"/>
        <v>Sat</v>
      </c>
      <c r="BK3" s="34" t="str">
        <f t="shared" si="1"/>
        <v>Sun</v>
      </c>
      <c r="BL3" s="34" t="str">
        <f t="shared" si="1"/>
        <v>Mon</v>
      </c>
      <c r="BM3" s="34" t="str">
        <f t="shared" si="1"/>
        <v>Tue</v>
      </c>
      <c r="BN3" s="34" t="str">
        <f t="shared" si="1"/>
        <v>Wed</v>
      </c>
      <c r="BO3" s="34" t="str">
        <f t="shared" si="1"/>
        <v>Thu</v>
      </c>
      <c r="BP3" s="34" t="str">
        <f t="shared" si="1"/>
        <v>Fri</v>
      </c>
      <c r="BQ3" s="34" t="str">
        <f t="shared" si="1"/>
        <v>Sat</v>
      </c>
      <c r="BR3" s="34" t="str">
        <f t="shared" si="1"/>
        <v>Sun</v>
      </c>
      <c r="BS3" s="34" t="str">
        <f t="shared" si="1"/>
        <v>Mon</v>
      </c>
      <c r="BT3" s="34" t="str">
        <f t="shared" si="1"/>
        <v>Tue</v>
      </c>
      <c r="BU3" s="34" t="str">
        <f t="shared" si="1"/>
        <v>Wed</v>
      </c>
      <c r="BV3" s="34" t="str">
        <f t="shared" si="1"/>
        <v>Thu</v>
      </c>
    </row>
    <row r="4">
      <c r="A4" s="5">
        <v>1.0</v>
      </c>
      <c r="B4" s="19" t="s">
        <v>36</v>
      </c>
      <c r="C4" s="19" t="s">
        <v>37</v>
      </c>
      <c r="D4" s="5">
        <f>COUNTIF(H4:BE4,"p") + COUNTIF(H4:BE4,"op")</f>
        <v>37</v>
      </c>
      <c r="E4" s="5">
        <f>COUNTIF(H4:BE4,"A") + COUNTIF(H4:BE4,"oA")</f>
        <v>5</v>
      </c>
      <c r="F4" s="5">
        <f t="shared" ref="F4:F131" si="2">E4+D4</f>
        <v>42</v>
      </c>
      <c r="G4" s="36">
        <f t="shared" ref="G4:G131" si="3">(D4/F4)*100</f>
        <v>88.0952381</v>
      </c>
      <c r="H4" s="21" t="s">
        <v>149</v>
      </c>
      <c r="I4" s="21" t="s">
        <v>149</v>
      </c>
      <c r="J4" s="21" t="s">
        <v>149</v>
      </c>
      <c r="K4" s="37" t="s">
        <v>150</v>
      </c>
      <c r="L4" s="37" t="s">
        <v>150</v>
      </c>
      <c r="M4" s="21" t="s">
        <v>149</v>
      </c>
      <c r="N4" s="38"/>
      <c r="O4" s="37" t="s">
        <v>150</v>
      </c>
      <c r="P4" s="37" t="s">
        <v>150</v>
      </c>
      <c r="Q4" s="37" t="s">
        <v>150</v>
      </c>
      <c r="R4" s="37" t="s">
        <v>150</v>
      </c>
      <c r="S4" s="21" t="s">
        <v>149</v>
      </c>
      <c r="T4" s="37" t="s">
        <v>150</v>
      </c>
      <c r="U4" s="38"/>
      <c r="V4" s="37" t="s">
        <v>150</v>
      </c>
      <c r="W4" s="37" t="s">
        <v>150</v>
      </c>
      <c r="X4" s="37" t="s">
        <v>150</v>
      </c>
      <c r="Y4" s="37" t="s">
        <v>150</v>
      </c>
      <c r="Z4" s="37" t="s">
        <v>150</v>
      </c>
      <c r="AA4" s="39" t="s">
        <v>150</v>
      </c>
      <c r="AB4" s="38"/>
      <c r="AC4" s="39" t="s">
        <v>150</v>
      </c>
      <c r="AD4" s="39" t="s">
        <v>150</v>
      </c>
      <c r="AE4" s="39" t="s">
        <v>150</v>
      </c>
      <c r="AF4" s="39" t="s">
        <v>150</v>
      </c>
      <c r="AG4" s="39" t="s">
        <v>150</v>
      </c>
      <c r="AH4" s="39" t="s">
        <v>150</v>
      </c>
      <c r="AI4" s="38"/>
      <c r="AJ4" s="39" t="s">
        <v>150</v>
      </c>
      <c r="AK4" s="39" t="s">
        <v>150</v>
      </c>
      <c r="AL4" s="39" t="s">
        <v>150</v>
      </c>
      <c r="AM4" s="39" t="s">
        <v>150</v>
      </c>
      <c r="AN4" s="39" t="s">
        <v>150</v>
      </c>
      <c r="AO4" s="39" t="s">
        <v>150</v>
      </c>
      <c r="AP4" s="38"/>
      <c r="AQ4" s="39" t="s">
        <v>150</v>
      </c>
      <c r="AR4" s="40" t="s">
        <v>150</v>
      </c>
      <c r="AS4" s="40" t="s">
        <v>150</v>
      </c>
      <c r="AT4" s="40" t="s">
        <v>150</v>
      </c>
      <c r="AU4" s="40" t="s">
        <v>150</v>
      </c>
      <c r="AV4" s="40" t="s">
        <v>150</v>
      </c>
      <c r="AW4" s="38" t="s">
        <v>29</v>
      </c>
      <c r="AX4" s="40" t="s">
        <v>150</v>
      </c>
      <c r="AY4" s="40" t="s">
        <v>150</v>
      </c>
      <c r="AZ4" s="40" t="s">
        <v>150</v>
      </c>
      <c r="BA4" s="40" t="s">
        <v>150</v>
      </c>
      <c r="BB4" s="40" t="s">
        <v>150</v>
      </c>
      <c r="BC4" s="38" t="s">
        <v>29</v>
      </c>
      <c r="BD4" s="40" t="s">
        <v>150</v>
      </c>
      <c r="BE4" s="2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</row>
    <row r="5">
      <c r="A5" s="5">
        <v>2.0</v>
      </c>
      <c r="B5" s="32" t="s">
        <v>48</v>
      </c>
      <c r="C5" s="32" t="s">
        <v>49</v>
      </c>
      <c r="D5" s="5">
        <f t="shared" ref="D5:D131" si="4">COUNTIF(H5:AR5,"p") + COUNTIF(H5:AR5,"op")</f>
        <v>27</v>
      </c>
      <c r="E5" s="5">
        <f t="shared" ref="E5:E131" si="5">COUNTIF(H5:AR5,"A") + COUNTIF(H5:AR5,"oA")</f>
        <v>5</v>
      </c>
      <c r="F5" s="3">
        <f t="shared" si="2"/>
        <v>32</v>
      </c>
      <c r="G5" s="36">
        <f t="shared" si="3"/>
        <v>84.375</v>
      </c>
      <c r="H5" s="43" t="s">
        <v>182</v>
      </c>
      <c r="I5" s="43" t="s">
        <v>182</v>
      </c>
      <c r="J5" s="43" t="s">
        <v>182</v>
      </c>
      <c r="K5" s="43" t="s">
        <v>182</v>
      </c>
      <c r="L5" s="43" t="s">
        <v>182</v>
      </c>
      <c r="M5" s="37" t="s">
        <v>182</v>
      </c>
      <c r="N5" s="44"/>
      <c r="O5" s="43" t="s">
        <v>182</v>
      </c>
      <c r="P5" s="43" t="s">
        <v>182</v>
      </c>
      <c r="Q5" s="43" t="s">
        <v>182</v>
      </c>
      <c r="R5" s="43" t="s">
        <v>182</v>
      </c>
      <c r="S5" s="43" t="s">
        <v>182</v>
      </c>
      <c r="T5" s="37" t="s">
        <v>182</v>
      </c>
      <c r="U5" s="44"/>
      <c r="V5" s="43" t="s">
        <v>182</v>
      </c>
      <c r="W5" s="43" t="s">
        <v>182</v>
      </c>
      <c r="X5" s="40" t="s">
        <v>182</v>
      </c>
      <c r="Y5" s="40" t="s">
        <v>182</v>
      </c>
      <c r="Z5" s="46" t="s">
        <v>182</v>
      </c>
      <c r="AA5" s="39" t="s">
        <v>150</v>
      </c>
      <c r="AB5" s="44"/>
      <c r="AC5" s="40" t="s">
        <v>182</v>
      </c>
      <c r="AD5" s="47" t="s">
        <v>149</v>
      </c>
      <c r="AE5" s="40" t="s">
        <v>150</v>
      </c>
      <c r="AF5" s="47" t="s">
        <v>149</v>
      </c>
      <c r="AG5" s="40" t="s">
        <v>150</v>
      </c>
      <c r="AH5" s="48" t="s">
        <v>149</v>
      </c>
      <c r="AI5" s="44"/>
      <c r="AJ5" s="40" t="s">
        <v>150</v>
      </c>
      <c r="AK5" s="40" t="s">
        <v>150</v>
      </c>
      <c r="AL5" s="47" t="s">
        <v>149</v>
      </c>
      <c r="AM5" s="40" t="s">
        <v>182</v>
      </c>
      <c r="AN5" s="40" t="s">
        <v>150</v>
      </c>
      <c r="AO5" s="39" t="s">
        <v>150</v>
      </c>
      <c r="AP5" s="44"/>
      <c r="AQ5" s="47" t="s">
        <v>149</v>
      </c>
      <c r="AR5" s="40" t="s">
        <v>150</v>
      </c>
      <c r="AS5" s="40" t="s">
        <v>150</v>
      </c>
      <c r="AT5" s="40" t="s">
        <v>150</v>
      </c>
      <c r="AU5" s="40" t="s">
        <v>150</v>
      </c>
      <c r="AV5" s="40" t="s">
        <v>150</v>
      </c>
      <c r="AW5" s="24"/>
      <c r="AX5" s="40" t="s">
        <v>150</v>
      </c>
      <c r="AY5" s="40" t="s">
        <v>150</v>
      </c>
      <c r="AZ5" s="40" t="s">
        <v>150</v>
      </c>
      <c r="BA5" s="40" t="s">
        <v>150</v>
      </c>
      <c r="BB5" s="40" t="s">
        <v>150</v>
      </c>
      <c r="BC5" s="24"/>
      <c r="BD5" s="40" t="s">
        <v>150</v>
      </c>
      <c r="BE5" s="2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</row>
    <row r="6">
      <c r="A6" s="5">
        <v>3.0</v>
      </c>
      <c r="B6" s="3" t="s">
        <v>58</v>
      </c>
      <c r="C6" s="2" t="s">
        <v>59</v>
      </c>
      <c r="D6" s="5">
        <f t="shared" si="4"/>
        <v>26</v>
      </c>
      <c r="E6" s="5">
        <f t="shared" si="5"/>
        <v>6</v>
      </c>
      <c r="F6" s="5">
        <f t="shared" si="2"/>
        <v>32</v>
      </c>
      <c r="G6" s="36">
        <f t="shared" si="3"/>
        <v>81.25</v>
      </c>
      <c r="H6" s="49" t="s">
        <v>150</v>
      </c>
      <c r="I6" s="49" t="s">
        <v>150</v>
      </c>
      <c r="J6" s="50" t="s">
        <v>150</v>
      </c>
      <c r="K6" s="49" t="s">
        <v>150</v>
      </c>
      <c r="L6" s="49" t="s">
        <v>150</v>
      </c>
      <c r="M6" s="50" t="s">
        <v>150</v>
      </c>
      <c r="N6" s="44"/>
      <c r="O6" s="51" t="s">
        <v>149</v>
      </c>
      <c r="P6" s="51" t="s">
        <v>149</v>
      </c>
      <c r="Q6" s="51" t="s">
        <v>149</v>
      </c>
      <c r="R6" s="49" t="s">
        <v>150</v>
      </c>
      <c r="S6" s="49" t="s">
        <v>150</v>
      </c>
      <c r="T6" s="50" t="s">
        <v>150</v>
      </c>
      <c r="U6" s="44"/>
      <c r="V6" s="43" t="s">
        <v>150</v>
      </c>
      <c r="W6" s="43" t="s">
        <v>150</v>
      </c>
      <c r="X6" s="43" t="s">
        <v>150</v>
      </c>
      <c r="Y6" s="43" t="s">
        <v>150</v>
      </c>
      <c r="Z6" s="52" t="s">
        <v>149</v>
      </c>
      <c r="AA6" s="53" t="s">
        <v>149</v>
      </c>
      <c r="AB6" s="44"/>
      <c r="AC6" s="47" t="s">
        <v>149</v>
      </c>
      <c r="AD6" s="40" t="s">
        <v>150</v>
      </c>
      <c r="AE6" s="40" t="s">
        <v>150</v>
      </c>
      <c r="AF6" s="40" t="s">
        <v>150</v>
      </c>
      <c r="AG6" s="40" t="s">
        <v>150</v>
      </c>
      <c r="AH6" s="39" t="s">
        <v>150</v>
      </c>
      <c r="AI6" s="44"/>
      <c r="AJ6" s="40" t="s">
        <v>150</v>
      </c>
      <c r="AK6" s="40" t="s">
        <v>150</v>
      </c>
      <c r="AL6" s="40" t="s">
        <v>150</v>
      </c>
      <c r="AM6" s="40" t="s">
        <v>150</v>
      </c>
      <c r="AN6" s="40" t="s">
        <v>150</v>
      </c>
      <c r="AO6" s="39" t="s">
        <v>150</v>
      </c>
      <c r="AP6" s="44"/>
      <c r="AQ6" s="40" t="s">
        <v>150</v>
      </c>
      <c r="AR6" s="40" t="s">
        <v>150</v>
      </c>
      <c r="AS6" s="40" t="s">
        <v>150</v>
      </c>
      <c r="AT6" s="40" t="s">
        <v>150</v>
      </c>
      <c r="AU6" s="40" t="s">
        <v>150</v>
      </c>
      <c r="AV6" s="40" t="s">
        <v>150</v>
      </c>
      <c r="AW6" s="24"/>
      <c r="AX6" s="40" t="s">
        <v>150</v>
      </c>
      <c r="AY6" s="40" t="s">
        <v>150</v>
      </c>
      <c r="AZ6" s="40" t="s">
        <v>150</v>
      </c>
      <c r="BA6" s="40" t="s">
        <v>150</v>
      </c>
      <c r="BB6" s="40" t="s">
        <v>150</v>
      </c>
      <c r="BC6" s="24"/>
      <c r="BD6" s="40" t="s">
        <v>150</v>
      </c>
      <c r="BE6" s="2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</row>
    <row r="7">
      <c r="A7" s="5">
        <v>4.0</v>
      </c>
      <c r="B7" s="32" t="s">
        <v>64</v>
      </c>
      <c r="C7" s="32" t="s">
        <v>65</v>
      </c>
      <c r="D7" s="5">
        <f t="shared" si="4"/>
        <v>27</v>
      </c>
      <c r="E7" s="5">
        <f t="shared" si="5"/>
        <v>5</v>
      </c>
      <c r="F7" s="3">
        <f t="shared" si="2"/>
        <v>32</v>
      </c>
      <c r="G7" s="36">
        <f t="shared" si="3"/>
        <v>84.375</v>
      </c>
      <c r="H7" s="37" t="s">
        <v>150</v>
      </c>
      <c r="I7" s="43" t="s">
        <v>150</v>
      </c>
      <c r="J7" s="43" t="s">
        <v>150</v>
      </c>
      <c r="K7" s="43" t="s">
        <v>150</v>
      </c>
      <c r="L7" s="43" t="s">
        <v>150</v>
      </c>
      <c r="M7" s="37" t="s">
        <v>150</v>
      </c>
      <c r="N7" s="44"/>
      <c r="O7" s="43" t="s">
        <v>150</v>
      </c>
      <c r="P7" s="43" t="s">
        <v>150</v>
      </c>
      <c r="Q7" s="43" t="s">
        <v>150</v>
      </c>
      <c r="R7" s="43" t="s">
        <v>150</v>
      </c>
      <c r="S7" s="43" t="s">
        <v>150</v>
      </c>
      <c r="T7" s="37" t="s">
        <v>150</v>
      </c>
      <c r="U7" s="44"/>
      <c r="V7" s="20" t="s">
        <v>149</v>
      </c>
      <c r="W7" s="43" t="s">
        <v>150</v>
      </c>
      <c r="X7" s="40" t="s">
        <v>150</v>
      </c>
      <c r="Y7" s="40" t="s">
        <v>150</v>
      </c>
      <c r="Z7" s="47" t="s">
        <v>149</v>
      </c>
      <c r="AA7" s="39" t="s">
        <v>150</v>
      </c>
      <c r="AB7" s="44"/>
      <c r="AC7" s="47" t="s">
        <v>149</v>
      </c>
      <c r="AD7" s="40" t="s">
        <v>150</v>
      </c>
      <c r="AE7" s="47" t="s">
        <v>149</v>
      </c>
      <c r="AF7" s="47" t="s">
        <v>149</v>
      </c>
      <c r="AG7" s="40" t="s">
        <v>150</v>
      </c>
      <c r="AH7" s="39" t="s">
        <v>150</v>
      </c>
      <c r="AI7" s="44"/>
      <c r="AJ7" s="40" t="s">
        <v>150</v>
      </c>
      <c r="AK7" s="40" t="s">
        <v>150</v>
      </c>
      <c r="AL7" s="40" t="s">
        <v>150</v>
      </c>
      <c r="AM7" s="40" t="s">
        <v>150</v>
      </c>
      <c r="AN7" s="40" t="s">
        <v>150</v>
      </c>
      <c r="AO7" s="39" t="s">
        <v>150</v>
      </c>
      <c r="AP7" s="44"/>
      <c r="AQ7" s="40" t="s">
        <v>150</v>
      </c>
      <c r="AR7" s="40" t="s">
        <v>150</v>
      </c>
      <c r="AS7" s="40" t="s">
        <v>150</v>
      </c>
      <c r="AT7" s="40" t="s">
        <v>150</v>
      </c>
      <c r="AU7" s="40" t="s">
        <v>150</v>
      </c>
      <c r="AV7" s="40" t="s">
        <v>150</v>
      </c>
      <c r="AW7" s="24"/>
      <c r="AX7" s="40" t="s">
        <v>150</v>
      </c>
      <c r="AY7" s="40" t="s">
        <v>150</v>
      </c>
      <c r="AZ7" s="40" t="s">
        <v>150</v>
      </c>
      <c r="BA7" s="40" t="s">
        <v>150</v>
      </c>
      <c r="BB7" s="40" t="s">
        <v>150</v>
      </c>
      <c r="BC7" s="24"/>
      <c r="BD7" s="40" t="s">
        <v>150</v>
      </c>
      <c r="BE7" s="2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</row>
    <row r="8">
      <c r="A8" s="5">
        <v>5.0</v>
      </c>
      <c r="B8" s="33" t="s">
        <v>72</v>
      </c>
      <c r="C8" s="33" t="s">
        <v>73</v>
      </c>
      <c r="D8" s="5">
        <f t="shared" si="4"/>
        <v>29</v>
      </c>
      <c r="E8" s="5">
        <f t="shared" si="5"/>
        <v>3</v>
      </c>
      <c r="F8" s="3">
        <f t="shared" si="2"/>
        <v>32</v>
      </c>
      <c r="G8" s="36">
        <f t="shared" si="3"/>
        <v>90.625</v>
      </c>
      <c r="H8" s="43" t="s">
        <v>150</v>
      </c>
      <c r="I8" s="43" t="s">
        <v>150</v>
      </c>
      <c r="J8" s="43" t="s">
        <v>150</v>
      </c>
      <c r="K8" s="43" t="s">
        <v>150</v>
      </c>
      <c r="L8" s="43" t="s">
        <v>150</v>
      </c>
      <c r="M8" s="37" t="s">
        <v>150</v>
      </c>
      <c r="N8" s="44"/>
      <c r="O8" s="43" t="s">
        <v>150</v>
      </c>
      <c r="P8" s="43" t="s">
        <v>150</v>
      </c>
      <c r="Q8" s="43" t="s">
        <v>150</v>
      </c>
      <c r="R8" s="43" t="s">
        <v>150</v>
      </c>
      <c r="S8" s="43" t="s">
        <v>150</v>
      </c>
      <c r="T8" s="37" t="s">
        <v>150</v>
      </c>
      <c r="U8" s="44"/>
      <c r="V8" s="43" t="s">
        <v>150</v>
      </c>
      <c r="W8" s="43" t="s">
        <v>150</v>
      </c>
      <c r="X8" s="40" t="s">
        <v>150</v>
      </c>
      <c r="Y8" s="40" t="s">
        <v>150</v>
      </c>
      <c r="Z8" s="47" t="s">
        <v>149</v>
      </c>
      <c r="AA8" s="48" t="s">
        <v>149</v>
      </c>
      <c r="AB8" s="44"/>
      <c r="AC8" s="40" t="s">
        <v>150</v>
      </c>
      <c r="AD8" s="40" t="s">
        <v>150</v>
      </c>
      <c r="AE8" s="40" t="s">
        <v>150</v>
      </c>
      <c r="AF8" s="40" t="s">
        <v>150</v>
      </c>
      <c r="AG8" s="40" t="s">
        <v>150</v>
      </c>
      <c r="AH8" s="39" t="s">
        <v>150</v>
      </c>
      <c r="AI8" s="44"/>
      <c r="AJ8" s="47" t="s">
        <v>149</v>
      </c>
      <c r="AK8" s="40" t="s">
        <v>150</v>
      </c>
      <c r="AL8" s="40" t="s">
        <v>150</v>
      </c>
      <c r="AM8" s="40" t="s">
        <v>150</v>
      </c>
      <c r="AN8" s="40" t="s">
        <v>150</v>
      </c>
      <c r="AO8" s="39" t="s">
        <v>150</v>
      </c>
      <c r="AP8" s="44"/>
      <c r="AQ8" s="40" t="s">
        <v>150</v>
      </c>
      <c r="AR8" s="40" t="s">
        <v>150</v>
      </c>
      <c r="AS8" s="40" t="s">
        <v>150</v>
      </c>
      <c r="AT8" s="40" t="s">
        <v>150</v>
      </c>
      <c r="AU8" s="40" t="s">
        <v>150</v>
      </c>
      <c r="AV8" s="40" t="s">
        <v>150</v>
      </c>
      <c r="AW8" s="24"/>
      <c r="AX8" s="40" t="s">
        <v>150</v>
      </c>
      <c r="AY8" s="40" t="s">
        <v>150</v>
      </c>
      <c r="AZ8" s="40" t="s">
        <v>150</v>
      </c>
      <c r="BA8" s="40" t="s">
        <v>150</v>
      </c>
      <c r="BB8" s="40" t="s">
        <v>150</v>
      </c>
      <c r="BC8" s="24"/>
      <c r="BD8" s="40" t="s">
        <v>150</v>
      </c>
      <c r="BE8" s="2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</row>
    <row r="9">
      <c r="A9" s="5">
        <v>6.0</v>
      </c>
      <c r="B9" s="32" t="s">
        <v>79</v>
      </c>
      <c r="C9" s="32" t="s">
        <v>80</v>
      </c>
      <c r="D9" s="5">
        <f t="shared" si="4"/>
        <v>31</v>
      </c>
      <c r="E9" s="5">
        <f t="shared" si="5"/>
        <v>1</v>
      </c>
      <c r="F9" s="3">
        <f t="shared" si="2"/>
        <v>32</v>
      </c>
      <c r="G9" s="36">
        <f t="shared" si="3"/>
        <v>96.875</v>
      </c>
      <c r="H9" s="43" t="s">
        <v>150</v>
      </c>
      <c r="I9" s="43" t="s">
        <v>150</v>
      </c>
      <c r="J9" s="43" t="s">
        <v>150</v>
      </c>
      <c r="K9" s="43" t="s">
        <v>150</v>
      </c>
      <c r="L9" s="43" t="s">
        <v>150</v>
      </c>
      <c r="M9" s="37" t="s">
        <v>150</v>
      </c>
      <c r="N9" s="44"/>
      <c r="O9" s="43" t="s">
        <v>150</v>
      </c>
      <c r="P9" s="43" t="s">
        <v>150</v>
      </c>
      <c r="Q9" s="43" t="s">
        <v>150</v>
      </c>
      <c r="R9" s="43" t="s">
        <v>150</v>
      </c>
      <c r="S9" s="43" t="s">
        <v>150</v>
      </c>
      <c r="T9" s="37" t="s">
        <v>150</v>
      </c>
      <c r="U9" s="44"/>
      <c r="V9" s="43" t="s">
        <v>150</v>
      </c>
      <c r="W9" s="43" t="s">
        <v>150</v>
      </c>
      <c r="X9" s="40" t="s">
        <v>150</v>
      </c>
      <c r="Y9" s="40" t="s">
        <v>150</v>
      </c>
      <c r="Z9" s="40" t="s">
        <v>150</v>
      </c>
      <c r="AA9" s="39" t="s">
        <v>150</v>
      </c>
      <c r="AB9" s="44"/>
      <c r="AC9" s="40" t="s">
        <v>150</v>
      </c>
      <c r="AD9" s="40" t="s">
        <v>150</v>
      </c>
      <c r="AE9" s="40" t="s">
        <v>150</v>
      </c>
      <c r="AF9" s="40" t="s">
        <v>150</v>
      </c>
      <c r="AG9" s="40" t="s">
        <v>150</v>
      </c>
      <c r="AH9" s="39" t="s">
        <v>150</v>
      </c>
      <c r="AI9" s="44"/>
      <c r="AJ9" s="40" t="s">
        <v>150</v>
      </c>
      <c r="AK9" s="40" t="s">
        <v>150</v>
      </c>
      <c r="AL9" s="40" t="s">
        <v>150</v>
      </c>
      <c r="AM9" s="40" t="s">
        <v>150</v>
      </c>
      <c r="AN9" s="40" t="s">
        <v>150</v>
      </c>
      <c r="AO9" s="39" t="s">
        <v>150</v>
      </c>
      <c r="AP9" s="44"/>
      <c r="AQ9" s="40" t="s">
        <v>150</v>
      </c>
      <c r="AR9" s="47" t="s">
        <v>149</v>
      </c>
      <c r="AS9" s="40" t="s">
        <v>150</v>
      </c>
      <c r="AT9" s="40" t="s">
        <v>150</v>
      </c>
      <c r="AU9" s="40" t="s">
        <v>150</v>
      </c>
      <c r="AV9" s="40" t="s">
        <v>150</v>
      </c>
      <c r="AW9" s="24"/>
      <c r="AX9" s="40" t="s">
        <v>150</v>
      </c>
      <c r="AY9" s="40" t="s">
        <v>150</v>
      </c>
      <c r="AZ9" s="40" t="s">
        <v>150</v>
      </c>
      <c r="BA9" s="40" t="s">
        <v>150</v>
      </c>
      <c r="BB9" s="40" t="s">
        <v>150</v>
      </c>
      <c r="BC9" s="24"/>
      <c r="BD9" s="40" t="s">
        <v>150</v>
      </c>
      <c r="BE9" s="2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</row>
    <row r="10">
      <c r="A10" s="5">
        <v>7.0</v>
      </c>
      <c r="B10" s="32" t="s">
        <v>86</v>
      </c>
      <c r="C10" s="32" t="s">
        <v>89</v>
      </c>
      <c r="D10" s="5">
        <f t="shared" si="4"/>
        <v>28</v>
      </c>
      <c r="E10" s="5">
        <f t="shared" si="5"/>
        <v>4</v>
      </c>
      <c r="F10" s="3">
        <f t="shared" si="2"/>
        <v>32</v>
      </c>
      <c r="G10" s="36">
        <f t="shared" si="3"/>
        <v>87.5</v>
      </c>
      <c r="H10" s="20" t="s">
        <v>149</v>
      </c>
      <c r="I10" s="20" t="s">
        <v>149</v>
      </c>
      <c r="J10" s="20" t="s">
        <v>149</v>
      </c>
      <c r="K10" s="43" t="s">
        <v>150</v>
      </c>
      <c r="L10" s="43" t="s">
        <v>150</v>
      </c>
      <c r="M10" s="21" t="s">
        <v>149</v>
      </c>
      <c r="N10" s="44"/>
      <c r="O10" s="43" t="s">
        <v>150</v>
      </c>
      <c r="P10" s="43" t="s">
        <v>150</v>
      </c>
      <c r="Q10" s="43" t="s">
        <v>150</v>
      </c>
      <c r="R10" s="43" t="s">
        <v>150</v>
      </c>
      <c r="S10" s="43" t="s">
        <v>150</v>
      </c>
      <c r="T10" s="37" t="s">
        <v>150</v>
      </c>
      <c r="U10" s="44"/>
      <c r="V10" s="43" t="s">
        <v>150</v>
      </c>
      <c r="W10" s="43" t="s">
        <v>150</v>
      </c>
      <c r="X10" s="40" t="s">
        <v>150</v>
      </c>
      <c r="Y10" s="40" t="s">
        <v>150</v>
      </c>
      <c r="Z10" s="40" t="s">
        <v>150</v>
      </c>
      <c r="AA10" s="39" t="s">
        <v>150</v>
      </c>
      <c r="AB10" s="44"/>
      <c r="AC10" s="40" t="s">
        <v>150</v>
      </c>
      <c r="AD10" s="40" t="s">
        <v>150</v>
      </c>
      <c r="AE10" s="40" t="s">
        <v>150</v>
      </c>
      <c r="AF10" s="40" t="s">
        <v>150</v>
      </c>
      <c r="AG10" s="40" t="s">
        <v>150</v>
      </c>
      <c r="AH10" s="39" t="s">
        <v>150</v>
      </c>
      <c r="AI10" s="44"/>
      <c r="AJ10" s="40" t="s">
        <v>150</v>
      </c>
      <c r="AK10" s="40" t="s">
        <v>150</v>
      </c>
      <c r="AL10" s="40" t="s">
        <v>150</v>
      </c>
      <c r="AM10" s="40" t="s">
        <v>150</v>
      </c>
      <c r="AN10" s="40" t="s">
        <v>150</v>
      </c>
      <c r="AO10" s="39" t="s">
        <v>150</v>
      </c>
      <c r="AP10" s="44"/>
      <c r="AQ10" s="40" t="s">
        <v>150</v>
      </c>
      <c r="AR10" s="40" t="s">
        <v>150</v>
      </c>
      <c r="AS10" s="40" t="s">
        <v>150</v>
      </c>
      <c r="AT10" s="40" t="s">
        <v>150</v>
      </c>
      <c r="AU10" s="40" t="s">
        <v>150</v>
      </c>
      <c r="AV10" s="40" t="s">
        <v>150</v>
      </c>
      <c r="AW10" s="24"/>
      <c r="AX10" s="40" t="s">
        <v>150</v>
      </c>
      <c r="AY10" s="40" t="s">
        <v>150</v>
      </c>
      <c r="AZ10" s="40" t="s">
        <v>150</v>
      </c>
      <c r="BA10" s="40" t="s">
        <v>150</v>
      </c>
      <c r="BB10" s="40" t="s">
        <v>150</v>
      </c>
      <c r="BC10" s="24"/>
      <c r="BD10" s="40" t="s">
        <v>150</v>
      </c>
      <c r="BE10" s="2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</row>
    <row r="11">
      <c r="A11" s="5">
        <v>8.0</v>
      </c>
      <c r="B11" s="32" t="s">
        <v>95</v>
      </c>
      <c r="C11" s="60" t="s">
        <v>96</v>
      </c>
      <c r="D11" s="5">
        <f t="shared" si="4"/>
        <v>26</v>
      </c>
      <c r="E11" s="5">
        <f t="shared" si="5"/>
        <v>6</v>
      </c>
      <c r="F11" s="3">
        <f t="shared" si="2"/>
        <v>32</v>
      </c>
      <c r="G11" s="36">
        <f t="shared" si="3"/>
        <v>81.25</v>
      </c>
      <c r="H11" s="20" t="s">
        <v>149</v>
      </c>
      <c r="I11" s="20" t="s">
        <v>149</v>
      </c>
      <c r="J11" s="20" t="s">
        <v>149</v>
      </c>
      <c r="K11" s="43" t="s">
        <v>150</v>
      </c>
      <c r="L11" s="43" t="s">
        <v>150</v>
      </c>
      <c r="M11" s="37" t="s">
        <v>150</v>
      </c>
      <c r="N11" s="44"/>
      <c r="O11" s="43" t="s">
        <v>150</v>
      </c>
      <c r="P11" s="43" t="s">
        <v>150</v>
      </c>
      <c r="Q11" s="43" t="s">
        <v>150</v>
      </c>
      <c r="R11" s="20" t="s">
        <v>149</v>
      </c>
      <c r="S11" s="43" t="s">
        <v>150</v>
      </c>
      <c r="T11" s="37" t="s">
        <v>150</v>
      </c>
      <c r="U11" s="44"/>
      <c r="V11" s="43" t="s">
        <v>150</v>
      </c>
      <c r="W11" s="43" t="s">
        <v>150</v>
      </c>
      <c r="X11" s="40" t="s">
        <v>150</v>
      </c>
      <c r="Y11" s="40" t="s">
        <v>150</v>
      </c>
      <c r="Z11" s="40" t="s">
        <v>150</v>
      </c>
      <c r="AA11" s="39" t="s">
        <v>150</v>
      </c>
      <c r="AB11" s="44"/>
      <c r="AC11" s="47" t="s">
        <v>149</v>
      </c>
      <c r="AD11" s="40" t="s">
        <v>150</v>
      </c>
      <c r="AE11" s="40" t="s">
        <v>150</v>
      </c>
      <c r="AF11" s="40" t="s">
        <v>150</v>
      </c>
      <c r="AG11" s="40" t="s">
        <v>150</v>
      </c>
      <c r="AH11" s="39" t="s">
        <v>150</v>
      </c>
      <c r="AI11" s="44"/>
      <c r="AJ11" s="40" t="s">
        <v>150</v>
      </c>
      <c r="AK11" s="40" t="s">
        <v>150</v>
      </c>
      <c r="AL11" s="40" t="s">
        <v>150</v>
      </c>
      <c r="AM11" s="40" t="s">
        <v>150</v>
      </c>
      <c r="AN11" s="40" t="s">
        <v>150</v>
      </c>
      <c r="AO11" s="48" t="s">
        <v>149</v>
      </c>
      <c r="AP11" s="44"/>
      <c r="AQ11" s="40" t="s">
        <v>150</v>
      </c>
      <c r="AR11" s="40" t="s">
        <v>150</v>
      </c>
      <c r="AS11" s="40" t="s">
        <v>150</v>
      </c>
      <c r="AT11" s="40" t="s">
        <v>150</v>
      </c>
      <c r="AU11" s="40" t="s">
        <v>150</v>
      </c>
      <c r="AV11" s="40" t="s">
        <v>150</v>
      </c>
      <c r="AW11" s="24"/>
      <c r="AX11" s="40" t="s">
        <v>150</v>
      </c>
      <c r="AY11" s="40" t="s">
        <v>150</v>
      </c>
      <c r="AZ11" s="40" t="s">
        <v>150</v>
      </c>
      <c r="BA11" s="40" t="s">
        <v>150</v>
      </c>
      <c r="BB11" s="40" t="s">
        <v>150</v>
      </c>
      <c r="BC11" s="24"/>
      <c r="BD11" s="40" t="s">
        <v>150</v>
      </c>
      <c r="BE11" s="2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</row>
    <row r="12">
      <c r="A12" s="5">
        <v>9.0</v>
      </c>
      <c r="B12" s="32" t="s">
        <v>104</v>
      </c>
      <c r="C12" s="32" t="s">
        <v>105</v>
      </c>
      <c r="D12" s="5">
        <f t="shared" si="4"/>
        <v>10</v>
      </c>
      <c r="E12" s="5">
        <f t="shared" si="5"/>
        <v>22</v>
      </c>
      <c r="F12" s="3">
        <f t="shared" si="2"/>
        <v>32</v>
      </c>
      <c r="G12" s="36">
        <f t="shared" si="3"/>
        <v>31.25</v>
      </c>
      <c r="H12" s="20" t="s">
        <v>149</v>
      </c>
      <c r="I12" s="20" t="s">
        <v>149</v>
      </c>
      <c r="J12" s="20" t="s">
        <v>149</v>
      </c>
      <c r="K12" s="43" t="s">
        <v>150</v>
      </c>
      <c r="L12" s="43" t="s">
        <v>150</v>
      </c>
      <c r="M12" s="37" t="s">
        <v>150</v>
      </c>
      <c r="N12" s="44"/>
      <c r="O12" s="43" t="s">
        <v>150</v>
      </c>
      <c r="P12" s="43" t="s">
        <v>150</v>
      </c>
      <c r="Q12" s="43" t="s">
        <v>150</v>
      </c>
      <c r="R12" s="20" t="s">
        <v>149</v>
      </c>
      <c r="S12" s="43" t="s">
        <v>150</v>
      </c>
      <c r="T12" s="37" t="s">
        <v>150</v>
      </c>
      <c r="U12" s="44"/>
      <c r="V12" s="43" t="s">
        <v>150</v>
      </c>
      <c r="W12" s="20" t="s">
        <v>149</v>
      </c>
      <c r="X12" s="47" t="s">
        <v>149</v>
      </c>
      <c r="Y12" s="47" t="s">
        <v>149</v>
      </c>
      <c r="Z12" s="47" t="s">
        <v>149</v>
      </c>
      <c r="AA12" s="48" t="s">
        <v>149</v>
      </c>
      <c r="AB12" s="44"/>
      <c r="AC12" s="47" t="s">
        <v>149</v>
      </c>
      <c r="AD12" s="47" t="s">
        <v>149</v>
      </c>
      <c r="AE12" s="47" t="s">
        <v>149</v>
      </c>
      <c r="AF12" s="47" t="s">
        <v>149</v>
      </c>
      <c r="AG12" s="47" t="s">
        <v>149</v>
      </c>
      <c r="AH12" s="48" t="s">
        <v>149</v>
      </c>
      <c r="AI12" s="44"/>
      <c r="AJ12" s="47" t="s">
        <v>149</v>
      </c>
      <c r="AK12" s="47" t="s">
        <v>149</v>
      </c>
      <c r="AL12" s="47" t="s">
        <v>149</v>
      </c>
      <c r="AM12" s="47" t="s">
        <v>149</v>
      </c>
      <c r="AN12" s="47" t="s">
        <v>149</v>
      </c>
      <c r="AO12" s="48" t="s">
        <v>149</v>
      </c>
      <c r="AP12" s="44"/>
      <c r="AQ12" s="47" t="s">
        <v>149</v>
      </c>
      <c r="AR12" s="40" t="s">
        <v>150</v>
      </c>
      <c r="AS12" s="47" t="s">
        <v>149</v>
      </c>
      <c r="AT12" s="40" t="s">
        <v>150</v>
      </c>
      <c r="AU12" s="40" t="s">
        <v>150</v>
      </c>
      <c r="AV12" s="40" t="s">
        <v>150</v>
      </c>
      <c r="AW12" s="24"/>
      <c r="AX12" s="40" t="s">
        <v>150</v>
      </c>
      <c r="AY12" s="40" t="s">
        <v>150</v>
      </c>
      <c r="AZ12" s="40" t="s">
        <v>150</v>
      </c>
      <c r="BA12" s="40" t="s">
        <v>150</v>
      </c>
      <c r="BB12" s="40" t="s">
        <v>150</v>
      </c>
      <c r="BC12" s="24"/>
      <c r="BD12" s="40" t="s">
        <v>150</v>
      </c>
      <c r="BE12" s="2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</row>
    <row r="13">
      <c r="A13" s="5">
        <v>10.0</v>
      </c>
      <c r="B13" s="32" t="s">
        <v>110</v>
      </c>
      <c r="C13" s="32" t="s">
        <v>111</v>
      </c>
      <c r="D13" s="5">
        <f t="shared" si="4"/>
        <v>27</v>
      </c>
      <c r="E13" s="5">
        <f t="shared" si="5"/>
        <v>5</v>
      </c>
      <c r="F13" s="3">
        <f t="shared" si="2"/>
        <v>32</v>
      </c>
      <c r="G13" s="36">
        <f t="shared" si="3"/>
        <v>84.375</v>
      </c>
      <c r="H13" s="43" t="s">
        <v>150</v>
      </c>
      <c r="I13" s="43" t="s">
        <v>150</v>
      </c>
      <c r="J13" s="43" t="s">
        <v>150</v>
      </c>
      <c r="K13" s="43" t="s">
        <v>150</v>
      </c>
      <c r="L13" s="43" t="s">
        <v>150</v>
      </c>
      <c r="M13" s="37" t="s">
        <v>150</v>
      </c>
      <c r="N13" s="44"/>
      <c r="O13" s="43" t="s">
        <v>150</v>
      </c>
      <c r="P13" s="43" t="s">
        <v>150</v>
      </c>
      <c r="Q13" s="43" t="s">
        <v>150</v>
      </c>
      <c r="R13" s="43" t="s">
        <v>150</v>
      </c>
      <c r="S13" s="43" t="s">
        <v>150</v>
      </c>
      <c r="T13" s="37" t="s">
        <v>150</v>
      </c>
      <c r="U13" s="44"/>
      <c r="V13" s="43" t="s">
        <v>150</v>
      </c>
      <c r="W13" s="43" t="s">
        <v>150</v>
      </c>
      <c r="X13" s="40" t="s">
        <v>150</v>
      </c>
      <c r="Y13" s="40" t="s">
        <v>150</v>
      </c>
      <c r="Z13" s="47" t="s">
        <v>149</v>
      </c>
      <c r="AA13" s="39" t="s">
        <v>150</v>
      </c>
      <c r="AB13" s="44"/>
      <c r="AC13" s="47" t="s">
        <v>149</v>
      </c>
      <c r="AD13" s="40" t="s">
        <v>150</v>
      </c>
      <c r="AE13" s="40" t="s">
        <v>150</v>
      </c>
      <c r="AF13" s="40" t="s">
        <v>150</v>
      </c>
      <c r="AG13" s="47" t="s">
        <v>149</v>
      </c>
      <c r="AH13" s="39" t="s">
        <v>150</v>
      </c>
      <c r="AI13" s="44"/>
      <c r="AJ13" s="40" t="s">
        <v>150</v>
      </c>
      <c r="AK13" s="40" t="s">
        <v>150</v>
      </c>
      <c r="AL13" s="40" t="s">
        <v>150</v>
      </c>
      <c r="AM13" s="47" t="s">
        <v>149</v>
      </c>
      <c r="AN13" s="40" t="s">
        <v>150</v>
      </c>
      <c r="AO13" s="48" t="s">
        <v>149</v>
      </c>
      <c r="AP13" s="44"/>
      <c r="AQ13" s="40" t="s">
        <v>150</v>
      </c>
      <c r="AR13" s="40" t="s">
        <v>150</v>
      </c>
      <c r="AS13" s="40" t="s">
        <v>150</v>
      </c>
      <c r="AT13" s="40" t="s">
        <v>150</v>
      </c>
      <c r="AU13" s="40" t="s">
        <v>150</v>
      </c>
      <c r="AV13" s="40" t="s">
        <v>150</v>
      </c>
      <c r="AW13" s="24"/>
      <c r="AX13" s="40" t="s">
        <v>150</v>
      </c>
      <c r="AY13" s="40" t="s">
        <v>150</v>
      </c>
      <c r="AZ13" s="40" t="s">
        <v>150</v>
      </c>
      <c r="BA13" s="40" t="s">
        <v>150</v>
      </c>
      <c r="BB13" s="40" t="s">
        <v>150</v>
      </c>
      <c r="BC13" s="24"/>
      <c r="BD13" s="40" t="s">
        <v>150</v>
      </c>
      <c r="BE13" s="2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</row>
    <row r="14">
      <c r="A14" s="5">
        <v>11.0</v>
      </c>
      <c r="B14" s="32" t="s">
        <v>117</v>
      </c>
      <c r="C14" s="32" t="s">
        <v>118</v>
      </c>
      <c r="D14" s="5">
        <f t="shared" si="4"/>
        <v>32</v>
      </c>
      <c r="E14" s="5">
        <f t="shared" si="5"/>
        <v>0</v>
      </c>
      <c r="F14" s="3">
        <f t="shared" si="2"/>
        <v>32</v>
      </c>
      <c r="G14" s="36">
        <f t="shared" si="3"/>
        <v>100</v>
      </c>
      <c r="H14" s="43" t="s">
        <v>182</v>
      </c>
      <c r="I14" s="43" t="s">
        <v>182</v>
      </c>
      <c r="J14" s="43" t="s">
        <v>182</v>
      </c>
      <c r="K14" s="43" t="s">
        <v>182</v>
      </c>
      <c r="L14" s="43" t="s">
        <v>182</v>
      </c>
      <c r="M14" s="37" t="s">
        <v>182</v>
      </c>
      <c r="N14" s="44"/>
      <c r="O14" s="43" t="s">
        <v>182</v>
      </c>
      <c r="P14" s="43" t="s">
        <v>182</v>
      </c>
      <c r="Q14" s="43" t="s">
        <v>182</v>
      </c>
      <c r="R14" s="43" t="s">
        <v>182</v>
      </c>
      <c r="S14" s="43" t="s">
        <v>182</v>
      </c>
      <c r="T14" s="37" t="s">
        <v>182</v>
      </c>
      <c r="U14" s="44"/>
      <c r="V14" s="43" t="s">
        <v>182</v>
      </c>
      <c r="W14" s="43" t="s">
        <v>182</v>
      </c>
      <c r="X14" s="40" t="s">
        <v>182</v>
      </c>
      <c r="Y14" s="40" t="s">
        <v>182</v>
      </c>
      <c r="Z14" s="40" t="s">
        <v>150</v>
      </c>
      <c r="AA14" s="39" t="s">
        <v>150</v>
      </c>
      <c r="AB14" s="44"/>
      <c r="AC14" s="40" t="s">
        <v>150</v>
      </c>
      <c r="AD14" s="40" t="s">
        <v>150</v>
      </c>
      <c r="AE14" s="40" t="s">
        <v>150</v>
      </c>
      <c r="AF14" s="40" t="s">
        <v>150</v>
      </c>
      <c r="AG14" s="40" t="s">
        <v>150</v>
      </c>
      <c r="AH14" s="39" t="s">
        <v>150</v>
      </c>
      <c r="AI14" s="44"/>
      <c r="AJ14" s="40" t="s">
        <v>150</v>
      </c>
      <c r="AK14" s="40" t="s">
        <v>150</v>
      </c>
      <c r="AL14" s="40" t="s">
        <v>182</v>
      </c>
      <c r="AM14" s="40" t="s">
        <v>150</v>
      </c>
      <c r="AN14" s="40" t="s">
        <v>150</v>
      </c>
      <c r="AO14" s="39" t="s">
        <v>150</v>
      </c>
      <c r="AP14" s="44"/>
      <c r="AQ14" s="40" t="s">
        <v>150</v>
      </c>
      <c r="AR14" s="40" t="s">
        <v>150</v>
      </c>
      <c r="AS14" s="40" t="s">
        <v>150</v>
      </c>
      <c r="AT14" s="40" t="s">
        <v>150</v>
      </c>
      <c r="AU14" s="40" t="s">
        <v>150</v>
      </c>
      <c r="AV14" s="40" t="s">
        <v>150</v>
      </c>
      <c r="AW14" s="24"/>
      <c r="AX14" s="40" t="s">
        <v>150</v>
      </c>
      <c r="AY14" s="40" t="s">
        <v>150</v>
      </c>
      <c r="AZ14" s="40" t="s">
        <v>150</v>
      </c>
      <c r="BA14" s="40" t="s">
        <v>150</v>
      </c>
      <c r="BB14" s="40" t="s">
        <v>150</v>
      </c>
      <c r="BC14" s="24"/>
      <c r="BD14" s="40" t="s">
        <v>150</v>
      </c>
      <c r="BE14" s="2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</row>
    <row r="15">
      <c r="A15" s="5">
        <v>12.0</v>
      </c>
      <c r="B15" s="32" t="s">
        <v>124</v>
      </c>
      <c r="C15" s="32" t="s">
        <v>126</v>
      </c>
      <c r="D15" s="5">
        <f t="shared" si="4"/>
        <v>32</v>
      </c>
      <c r="E15" s="5">
        <f t="shared" si="5"/>
        <v>0</v>
      </c>
      <c r="F15" s="3">
        <f t="shared" si="2"/>
        <v>32</v>
      </c>
      <c r="G15" s="36">
        <f t="shared" si="3"/>
        <v>100</v>
      </c>
      <c r="H15" s="43" t="s">
        <v>150</v>
      </c>
      <c r="I15" s="43" t="s">
        <v>150</v>
      </c>
      <c r="J15" s="43" t="s">
        <v>150</v>
      </c>
      <c r="K15" s="43" t="s">
        <v>150</v>
      </c>
      <c r="L15" s="43" t="s">
        <v>150</v>
      </c>
      <c r="M15" s="37" t="s">
        <v>150</v>
      </c>
      <c r="N15" s="44"/>
      <c r="O15" s="43" t="s">
        <v>150</v>
      </c>
      <c r="P15" s="43" t="s">
        <v>150</v>
      </c>
      <c r="Q15" s="43" t="s">
        <v>150</v>
      </c>
      <c r="R15" s="43" t="s">
        <v>150</v>
      </c>
      <c r="S15" s="43" t="s">
        <v>150</v>
      </c>
      <c r="T15" s="37" t="s">
        <v>150</v>
      </c>
      <c r="U15" s="44"/>
      <c r="V15" s="43" t="s">
        <v>150</v>
      </c>
      <c r="W15" s="43" t="s">
        <v>150</v>
      </c>
      <c r="X15" s="40" t="s">
        <v>150</v>
      </c>
      <c r="Y15" s="40" t="s">
        <v>150</v>
      </c>
      <c r="Z15" s="40" t="s">
        <v>150</v>
      </c>
      <c r="AA15" s="39" t="s">
        <v>150</v>
      </c>
      <c r="AB15" s="44"/>
      <c r="AC15" s="40" t="s">
        <v>150</v>
      </c>
      <c r="AD15" s="40" t="s">
        <v>150</v>
      </c>
      <c r="AE15" s="40" t="s">
        <v>150</v>
      </c>
      <c r="AF15" s="40" t="s">
        <v>150</v>
      </c>
      <c r="AG15" s="40" t="s">
        <v>150</v>
      </c>
      <c r="AH15" s="39" t="s">
        <v>150</v>
      </c>
      <c r="AI15" s="44"/>
      <c r="AJ15" s="40" t="s">
        <v>150</v>
      </c>
      <c r="AK15" s="40" t="s">
        <v>150</v>
      </c>
      <c r="AL15" s="40" t="s">
        <v>150</v>
      </c>
      <c r="AM15" s="40" t="s">
        <v>150</v>
      </c>
      <c r="AN15" s="40" t="s">
        <v>150</v>
      </c>
      <c r="AO15" s="39" t="s">
        <v>150</v>
      </c>
      <c r="AP15" s="44"/>
      <c r="AQ15" s="40" t="s">
        <v>150</v>
      </c>
      <c r="AR15" s="40" t="s">
        <v>150</v>
      </c>
      <c r="AS15" s="40" t="s">
        <v>150</v>
      </c>
      <c r="AT15" s="40" t="s">
        <v>150</v>
      </c>
      <c r="AU15" s="40" t="s">
        <v>150</v>
      </c>
      <c r="AV15" s="40" t="s">
        <v>150</v>
      </c>
      <c r="AW15" s="24"/>
      <c r="AX15" s="40" t="s">
        <v>150</v>
      </c>
      <c r="AY15" s="40" t="s">
        <v>150</v>
      </c>
      <c r="AZ15" s="40" t="s">
        <v>150</v>
      </c>
      <c r="BA15" s="40" t="s">
        <v>150</v>
      </c>
      <c r="BB15" s="40" t="s">
        <v>150</v>
      </c>
      <c r="BC15" s="24"/>
      <c r="BD15" s="40" t="s">
        <v>150</v>
      </c>
      <c r="BE15" s="2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</row>
    <row r="16">
      <c r="A16" s="5">
        <v>13.0</v>
      </c>
      <c r="B16" s="32" t="s">
        <v>132</v>
      </c>
      <c r="C16" s="32" t="s">
        <v>133</v>
      </c>
      <c r="D16" s="5">
        <f t="shared" si="4"/>
        <v>31</v>
      </c>
      <c r="E16" s="5">
        <f t="shared" si="5"/>
        <v>1</v>
      </c>
      <c r="F16" s="3">
        <f t="shared" si="2"/>
        <v>32</v>
      </c>
      <c r="G16" s="36">
        <f t="shared" si="3"/>
        <v>96.875</v>
      </c>
      <c r="H16" s="43" t="s">
        <v>150</v>
      </c>
      <c r="I16" s="43" t="s">
        <v>150</v>
      </c>
      <c r="J16" s="43" t="s">
        <v>150</v>
      </c>
      <c r="K16" s="43" t="s">
        <v>150</v>
      </c>
      <c r="L16" s="43" t="s">
        <v>150</v>
      </c>
      <c r="M16" s="37" t="s">
        <v>150</v>
      </c>
      <c r="N16" s="44"/>
      <c r="O16" s="43" t="s">
        <v>150</v>
      </c>
      <c r="P16" s="43" t="s">
        <v>150</v>
      </c>
      <c r="Q16" s="43" t="s">
        <v>150</v>
      </c>
      <c r="R16" s="43" t="s">
        <v>150</v>
      </c>
      <c r="S16" s="43" t="s">
        <v>150</v>
      </c>
      <c r="T16" s="37" t="s">
        <v>150</v>
      </c>
      <c r="U16" s="44"/>
      <c r="V16" s="43" t="s">
        <v>150</v>
      </c>
      <c r="W16" s="43" t="s">
        <v>150</v>
      </c>
      <c r="X16" s="40" t="s">
        <v>150</v>
      </c>
      <c r="Y16" s="40" t="s">
        <v>150</v>
      </c>
      <c r="Z16" s="40" t="s">
        <v>150</v>
      </c>
      <c r="AA16" s="39" t="s">
        <v>150</v>
      </c>
      <c r="AB16" s="44"/>
      <c r="AC16" s="40" t="s">
        <v>150</v>
      </c>
      <c r="AD16" s="40" t="s">
        <v>150</v>
      </c>
      <c r="AE16" s="40" t="s">
        <v>150</v>
      </c>
      <c r="AF16" s="47" t="s">
        <v>149</v>
      </c>
      <c r="AG16" s="40" t="s">
        <v>150</v>
      </c>
      <c r="AH16" s="39" t="s">
        <v>150</v>
      </c>
      <c r="AI16" s="44"/>
      <c r="AJ16" s="40" t="s">
        <v>150</v>
      </c>
      <c r="AK16" s="40" t="s">
        <v>150</v>
      </c>
      <c r="AL16" s="40" t="s">
        <v>150</v>
      </c>
      <c r="AM16" s="40" t="s">
        <v>150</v>
      </c>
      <c r="AN16" s="40" t="s">
        <v>150</v>
      </c>
      <c r="AO16" s="39" t="s">
        <v>150</v>
      </c>
      <c r="AP16" s="44"/>
      <c r="AQ16" s="40" t="s">
        <v>150</v>
      </c>
      <c r="AR16" s="40" t="s">
        <v>150</v>
      </c>
      <c r="AS16" s="40" t="s">
        <v>150</v>
      </c>
      <c r="AT16" s="40" t="s">
        <v>150</v>
      </c>
      <c r="AU16" s="40" t="s">
        <v>150</v>
      </c>
      <c r="AV16" s="40" t="s">
        <v>150</v>
      </c>
      <c r="AW16" s="24"/>
      <c r="AX16" s="40" t="s">
        <v>150</v>
      </c>
      <c r="AY16" s="40" t="s">
        <v>150</v>
      </c>
      <c r="AZ16" s="40" t="s">
        <v>150</v>
      </c>
      <c r="BA16" s="40" t="s">
        <v>150</v>
      </c>
      <c r="BB16" s="40" t="s">
        <v>150</v>
      </c>
      <c r="BC16" s="24"/>
      <c r="BD16" s="40" t="s">
        <v>150</v>
      </c>
      <c r="BE16" s="2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</row>
    <row r="17">
      <c r="A17" s="5">
        <v>14.0</v>
      </c>
      <c r="B17" s="35" t="s">
        <v>140</v>
      </c>
      <c r="C17" s="35" t="s">
        <v>141</v>
      </c>
      <c r="D17" s="5">
        <f t="shared" si="4"/>
        <v>26</v>
      </c>
      <c r="E17" s="5">
        <f t="shared" si="5"/>
        <v>6</v>
      </c>
      <c r="F17" s="3">
        <f t="shared" si="2"/>
        <v>32</v>
      </c>
      <c r="G17" s="36">
        <f t="shared" si="3"/>
        <v>81.25</v>
      </c>
      <c r="H17" s="43" t="s">
        <v>150</v>
      </c>
      <c r="I17" s="43" t="s">
        <v>150</v>
      </c>
      <c r="J17" s="43" t="s">
        <v>150</v>
      </c>
      <c r="K17" s="43" t="s">
        <v>150</v>
      </c>
      <c r="L17" s="43" t="s">
        <v>150</v>
      </c>
      <c r="M17" s="37" t="s">
        <v>150</v>
      </c>
      <c r="N17" s="44"/>
      <c r="O17" s="43" t="s">
        <v>150</v>
      </c>
      <c r="P17" s="43" t="s">
        <v>150</v>
      </c>
      <c r="Q17" s="43" t="s">
        <v>150</v>
      </c>
      <c r="R17" s="43" t="s">
        <v>150</v>
      </c>
      <c r="S17" s="43" t="s">
        <v>150</v>
      </c>
      <c r="T17" s="37" t="s">
        <v>150</v>
      </c>
      <c r="U17" s="44"/>
      <c r="V17" s="43" t="s">
        <v>150</v>
      </c>
      <c r="W17" s="43" t="s">
        <v>150</v>
      </c>
      <c r="X17" s="47" t="s">
        <v>149</v>
      </c>
      <c r="Y17" s="47" t="s">
        <v>149</v>
      </c>
      <c r="Z17" s="47" t="s">
        <v>149</v>
      </c>
      <c r="AA17" s="48" t="s">
        <v>149</v>
      </c>
      <c r="AB17" s="44"/>
      <c r="AC17" s="47" t="s">
        <v>149</v>
      </c>
      <c r="AD17" s="40" t="s">
        <v>150</v>
      </c>
      <c r="AE17" s="40" t="s">
        <v>150</v>
      </c>
      <c r="AF17" s="40" t="s">
        <v>150</v>
      </c>
      <c r="AG17" s="40" t="s">
        <v>150</v>
      </c>
      <c r="AH17" s="39" t="s">
        <v>150</v>
      </c>
      <c r="AI17" s="44"/>
      <c r="AJ17" s="40" t="s">
        <v>150</v>
      </c>
      <c r="AK17" s="40" t="s">
        <v>150</v>
      </c>
      <c r="AL17" s="40" t="s">
        <v>150</v>
      </c>
      <c r="AM17" s="40" t="s">
        <v>150</v>
      </c>
      <c r="AN17" s="40" t="s">
        <v>150</v>
      </c>
      <c r="AO17" s="48" t="s">
        <v>149</v>
      </c>
      <c r="AP17" s="44"/>
      <c r="AQ17" s="40" t="s">
        <v>150</v>
      </c>
      <c r="AR17" s="40" t="s">
        <v>150</v>
      </c>
      <c r="AS17" s="40" t="s">
        <v>150</v>
      </c>
      <c r="AT17" s="40" t="s">
        <v>150</v>
      </c>
      <c r="AU17" s="40" t="s">
        <v>150</v>
      </c>
      <c r="AV17" s="40" t="s">
        <v>150</v>
      </c>
      <c r="AW17" s="24"/>
      <c r="AX17" s="40" t="s">
        <v>150</v>
      </c>
      <c r="AY17" s="40" t="s">
        <v>150</v>
      </c>
      <c r="AZ17" s="40" t="s">
        <v>150</v>
      </c>
      <c r="BA17" s="40" t="s">
        <v>150</v>
      </c>
      <c r="BB17" s="40" t="s">
        <v>150</v>
      </c>
      <c r="BC17" s="24"/>
      <c r="BD17" s="40" t="s">
        <v>150</v>
      </c>
      <c r="BE17" s="2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</row>
    <row r="18">
      <c r="A18" s="5">
        <v>15.0</v>
      </c>
      <c r="B18" s="32" t="s">
        <v>145</v>
      </c>
      <c r="C18" s="32" t="s">
        <v>146</v>
      </c>
      <c r="D18" s="5">
        <f t="shared" si="4"/>
        <v>31</v>
      </c>
      <c r="E18" s="5">
        <f t="shared" si="5"/>
        <v>1</v>
      </c>
      <c r="F18" s="3">
        <f t="shared" si="2"/>
        <v>32</v>
      </c>
      <c r="G18" s="36">
        <f t="shared" si="3"/>
        <v>96.875</v>
      </c>
      <c r="H18" s="43" t="s">
        <v>150</v>
      </c>
      <c r="I18" s="43" t="s">
        <v>150</v>
      </c>
      <c r="J18" s="43" t="s">
        <v>150</v>
      </c>
      <c r="K18" s="43" t="s">
        <v>150</v>
      </c>
      <c r="L18" s="43" t="s">
        <v>150</v>
      </c>
      <c r="M18" s="37" t="s">
        <v>150</v>
      </c>
      <c r="N18" s="44"/>
      <c r="O18" s="43" t="s">
        <v>150</v>
      </c>
      <c r="P18" s="43" t="s">
        <v>150</v>
      </c>
      <c r="Q18" s="43" t="s">
        <v>150</v>
      </c>
      <c r="R18" s="43" t="s">
        <v>150</v>
      </c>
      <c r="S18" s="20" t="s">
        <v>149</v>
      </c>
      <c r="T18" s="37" t="s">
        <v>150</v>
      </c>
      <c r="U18" s="44"/>
      <c r="V18" s="43" t="s">
        <v>150</v>
      </c>
      <c r="W18" s="43" t="s">
        <v>150</v>
      </c>
      <c r="X18" s="40" t="s">
        <v>150</v>
      </c>
      <c r="Y18" s="40" t="s">
        <v>150</v>
      </c>
      <c r="Z18" s="49" t="s">
        <v>150</v>
      </c>
      <c r="AA18" s="39" t="s">
        <v>150</v>
      </c>
      <c r="AB18" s="44"/>
      <c r="AC18" s="40" t="s">
        <v>150</v>
      </c>
      <c r="AD18" s="40" t="s">
        <v>150</v>
      </c>
      <c r="AE18" s="40" t="s">
        <v>150</v>
      </c>
      <c r="AF18" s="40" t="s">
        <v>150</v>
      </c>
      <c r="AG18" s="40" t="s">
        <v>150</v>
      </c>
      <c r="AH18" s="39" t="s">
        <v>150</v>
      </c>
      <c r="AI18" s="44"/>
      <c r="AJ18" s="40" t="s">
        <v>150</v>
      </c>
      <c r="AK18" s="40" t="s">
        <v>150</v>
      </c>
      <c r="AL18" s="40" t="s">
        <v>150</v>
      </c>
      <c r="AM18" s="40" t="s">
        <v>150</v>
      </c>
      <c r="AN18" s="40" t="s">
        <v>150</v>
      </c>
      <c r="AO18" s="39" t="s">
        <v>150</v>
      </c>
      <c r="AP18" s="44"/>
      <c r="AQ18" s="40" t="s">
        <v>150</v>
      </c>
      <c r="AR18" s="40" t="s">
        <v>150</v>
      </c>
      <c r="AS18" s="40" t="s">
        <v>150</v>
      </c>
      <c r="AT18" s="40" t="s">
        <v>150</v>
      </c>
      <c r="AU18" s="40" t="s">
        <v>150</v>
      </c>
      <c r="AV18" s="40" t="s">
        <v>150</v>
      </c>
      <c r="AW18" s="24"/>
      <c r="AX18" s="40" t="s">
        <v>150</v>
      </c>
      <c r="AY18" s="40" t="s">
        <v>150</v>
      </c>
      <c r="AZ18" s="40" t="s">
        <v>150</v>
      </c>
      <c r="BA18" s="40" t="s">
        <v>150</v>
      </c>
      <c r="BB18" s="40" t="s">
        <v>150</v>
      </c>
      <c r="BC18" s="24"/>
      <c r="BD18" s="40" t="s">
        <v>150</v>
      </c>
      <c r="BE18" s="2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</row>
    <row r="19">
      <c r="A19" s="5">
        <v>16.0</v>
      </c>
      <c r="B19" s="32" t="s">
        <v>155</v>
      </c>
      <c r="C19" s="32" t="s">
        <v>156</v>
      </c>
      <c r="D19" s="5">
        <f t="shared" si="4"/>
        <v>29</v>
      </c>
      <c r="E19" s="5">
        <f t="shared" si="5"/>
        <v>3</v>
      </c>
      <c r="F19" s="3">
        <f t="shared" si="2"/>
        <v>32</v>
      </c>
      <c r="G19" s="36">
        <f t="shared" si="3"/>
        <v>90.625</v>
      </c>
      <c r="H19" s="43" t="s">
        <v>150</v>
      </c>
      <c r="I19" s="43" t="s">
        <v>150</v>
      </c>
      <c r="J19" s="43" t="s">
        <v>150</v>
      </c>
      <c r="K19" s="43" t="s">
        <v>150</v>
      </c>
      <c r="L19" s="43" t="s">
        <v>150</v>
      </c>
      <c r="M19" s="37" t="s">
        <v>150</v>
      </c>
      <c r="N19" s="44"/>
      <c r="O19" s="43" t="s">
        <v>150</v>
      </c>
      <c r="P19" s="43" t="s">
        <v>150</v>
      </c>
      <c r="Q19" s="43" t="s">
        <v>150</v>
      </c>
      <c r="R19" s="43" t="s">
        <v>150</v>
      </c>
      <c r="S19" s="43" t="s">
        <v>150</v>
      </c>
      <c r="T19" s="37" t="s">
        <v>150</v>
      </c>
      <c r="U19" s="44"/>
      <c r="V19" s="43" t="s">
        <v>150</v>
      </c>
      <c r="W19" s="43" t="s">
        <v>150</v>
      </c>
      <c r="X19" s="47" t="s">
        <v>149</v>
      </c>
      <c r="Y19" s="47" t="s">
        <v>149</v>
      </c>
      <c r="Z19" s="40" t="s">
        <v>150</v>
      </c>
      <c r="AA19" s="39" t="s">
        <v>150</v>
      </c>
      <c r="AB19" s="44"/>
      <c r="AC19" s="40" t="s">
        <v>150</v>
      </c>
      <c r="AD19" s="47" t="s">
        <v>149</v>
      </c>
      <c r="AE19" s="40" t="s">
        <v>150</v>
      </c>
      <c r="AF19" s="40" t="s">
        <v>150</v>
      </c>
      <c r="AG19" s="40" t="s">
        <v>150</v>
      </c>
      <c r="AH19" s="39" t="s">
        <v>150</v>
      </c>
      <c r="AI19" s="44"/>
      <c r="AJ19" s="40" t="s">
        <v>150</v>
      </c>
      <c r="AK19" s="40" t="s">
        <v>150</v>
      </c>
      <c r="AL19" s="40" t="s">
        <v>150</v>
      </c>
      <c r="AM19" s="40" t="s">
        <v>150</v>
      </c>
      <c r="AN19" s="40" t="s">
        <v>150</v>
      </c>
      <c r="AO19" s="39" t="s">
        <v>150</v>
      </c>
      <c r="AP19" s="44"/>
      <c r="AQ19" s="40" t="s">
        <v>150</v>
      </c>
      <c r="AR19" s="40" t="s">
        <v>150</v>
      </c>
      <c r="AS19" s="40" t="s">
        <v>150</v>
      </c>
      <c r="AT19" s="40" t="s">
        <v>150</v>
      </c>
      <c r="AU19" s="40" t="s">
        <v>150</v>
      </c>
      <c r="AV19" s="40" t="s">
        <v>150</v>
      </c>
      <c r="AW19" s="24"/>
      <c r="AX19" s="40" t="s">
        <v>150</v>
      </c>
      <c r="AY19" s="40" t="s">
        <v>150</v>
      </c>
      <c r="AZ19" s="40" t="s">
        <v>150</v>
      </c>
      <c r="BA19" s="40" t="s">
        <v>150</v>
      </c>
      <c r="BB19" s="40" t="s">
        <v>150</v>
      </c>
      <c r="BC19" s="24"/>
      <c r="BD19" s="40" t="s">
        <v>150</v>
      </c>
      <c r="BE19" s="2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</row>
    <row r="20">
      <c r="A20" s="5">
        <v>17.0</v>
      </c>
      <c r="B20" s="32" t="s">
        <v>161</v>
      </c>
      <c r="C20" s="32" t="s">
        <v>162</v>
      </c>
      <c r="D20" s="5">
        <f t="shared" si="4"/>
        <v>32</v>
      </c>
      <c r="E20" s="5">
        <f t="shared" si="5"/>
        <v>0</v>
      </c>
      <c r="F20" s="3">
        <f t="shared" si="2"/>
        <v>32</v>
      </c>
      <c r="G20" s="36">
        <f t="shared" si="3"/>
        <v>100</v>
      </c>
      <c r="H20" s="43" t="s">
        <v>150</v>
      </c>
      <c r="I20" s="43" t="s">
        <v>150</v>
      </c>
      <c r="J20" s="43" t="s">
        <v>150</v>
      </c>
      <c r="K20" s="43" t="s">
        <v>150</v>
      </c>
      <c r="L20" s="43" t="s">
        <v>150</v>
      </c>
      <c r="M20" s="37" t="s">
        <v>150</v>
      </c>
      <c r="N20" s="44"/>
      <c r="O20" s="43" t="s">
        <v>150</v>
      </c>
      <c r="P20" s="43" t="s">
        <v>150</v>
      </c>
      <c r="Q20" s="43" t="s">
        <v>150</v>
      </c>
      <c r="R20" s="43" t="s">
        <v>150</v>
      </c>
      <c r="S20" s="43" t="s">
        <v>150</v>
      </c>
      <c r="T20" s="37" t="s">
        <v>150</v>
      </c>
      <c r="U20" s="44"/>
      <c r="V20" s="43" t="s">
        <v>150</v>
      </c>
      <c r="W20" s="43" t="s">
        <v>150</v>
      </c>
      <c r="X20" s="40" t="s">
        <v>150</v>
      </c>
      <c r="Y20" s="40" t="s">
        <v>150</v>
      </c>
      <c r="Z20" s="40" t="s">
        <v>150</v>
      </c>
      <c r="AA20" s="39" t="s">
        <v>150</v>
      </c>
      <c r="AB20" s="44"/>
      <c r="AC20" s="40" t="s">
        <v>150</v>
      </c>
      <c r="AD20" s="40" t="s">
        <v>150</v>
      </c>
      <c r="AE20" s="40" t="s">
        <v>150</v>
      </c>
      <c r="AF20" s="40" t="s">
        <v>150</v>
      </c>
      <c r="AG20" s="40" t="s">
        <v>150</v>
      </c>
      <c r="AH20" s="39" t="s">
        <v>150</v>
      </c>
      <c r="AI20" s="44"/>
      <c r="AJ20" s="40" t="s">
        <v>150</v>
      </c>
      <c r="AK20" s="40" t="s">
        <v>150</v>
      </c>
      <c r="AL20" s="40" t="s">
        <v>150</v>
      </c>
      <c r="AM20" s="40" t="s">
        <v>150</v>
      </c>
      <c r="AN20" s="40" t="s">
        <v>150</v>
      </c>
      <c r="AO20" s="39" t="s">
        <v>150</v>
      </c>
      <c r="AP20" s="44"/>
      <c r="AQ20" s="40" t="s">
        <v>150</v>
      </c>
      <c r="AR20" s="40" t="s">
        <v>150</v>
      </c>
      <c r="AS20" s="40" t="s">
        <v>150</v>
      </c>
      <c r="AT20" s="40" t="s">
        <v>150</v>
      </c>
      <c r="AU20" s="40" t="s">
        <v>150</v>
      </c>
      <c r="AV20" s="40" t="s">
        <v>150</v>
      </c>
      <c r="AW20" s="24"/>
      <c r="AX20" s="40" t="s">
        <v>150</v>
      </c>
      <c r="AY20" s="40" t="s">
        <v>150</v>
      </c>
      <c r="AZ20" s="40" t="s">
        <v>150</v>
      </c>
      <c r="BA20" s="40" t="s">
        <v>150</v>
      </c>
      <c r="BB20" s="40" t="s">
        <v>150</v>
      </c>
      <c r="BC20" s="24"/>
      <c r="BD20" s="40" t="s">
        <v>150</v>
      </c>
      <c r="BE20" s="2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</row>
    <row r="21">
      <c r="A21" s="5">
        <v>18.0</v>
      </c>
      <c r="B21" s="32" t="s">
        <v>169</v>
      </c>
      <c r="C21" s="32" t="s">
        <v>170</v>
      </c>
      <c r="D21" s="5">
        <f t="shared" si="4"/>
        <v>32</v>
      </c>
      <c r="E21" s="5">
        <f t="shared" si="5"/>
        <v>0</v>
      </c>
      <c r="F21" s="3">
        <f t="shared" si="2"/>
        <v>32</v>
      </c>
      <c r="G21" s="36">
        <f t="shared" si="3"/>
        <v>100</v>
      </c>
      <c r="H21" s="43" t="s">
        <v>150</v>
      </c>
      <c r="I21" s="43" t="s">
        <v>150</v>
      </c>
      <c r="J21" s="43" t="s">
        <v>150</v>
      </c>
      <c r="K21" s="43" t="s">
        <v>150</v>
      </c>
      <c r="L21" s="43" t="s">
        <v>182</v>
      </c>
      <c r="M21" s="37" t="s">
        <v>182</v>
      </c>
      <c r="N21" s="44"/>
      <c r="O21" s="43" t="s">
        <v>182</v>
      </c>
      <c r="P21" s="43" t="s">
        <v>182</v>
      </c>
      <c r="Q21" s="43" t="s">
        <v>182</v>
      </c>
      <c r="R21" s="43" t="s">
        <v>182</v>
      </c>
      <c r="S21" s="43" t="s">
        <v>182</v>
      </c>
      <c r="T21" s="37" t="s">
        <v>182</v>
      </c>
      <c r="U21" s="44"/>
      <c r="V21" s="43" t="s">
        <v>182</v>
      </c>
      <c r="W21" s="43" t="s">
        <v>182</v>
      </c>
      <c r="X21" s="40" t="s">
        <v>150</v>
      </c>
      <c r="Y21" s="40" t="s">
        <v>150</v>
      </c>
      <c r="Z21" s="40" t="s">
        <v>150</v>
      </c>
      <c r="AA21" s="39" t="s">
        <v>150</v>
      </c>
      <c r="AB21" s="44"/>
      <c r="AC21" s="40" t="s">
        <v>150</v>
      </c>
      <c r="AD21" s="40" t="s">
        <v>150</v>
      </c>
      <c r="AE21" s="40" t="s">
        <v>150</v>
      </c>
      <c r="AF21" s="40" t="s">
        <v>150</v>
      </c>
      <c r="AG21" s="40" t="s">
        <v>150</v>
      </c>
      <c r="AH21" s="39" t="s">
        <v>150</v>
      </c>
      <c r="AI21" s="44"/>
      <c r="AJ21" s="40" t="s">
        <v>150</v>
      </c>
      <c r="AK21" s="40" t="s">
        <v>150</v>
      </c>
      <c r="AL21" s="40" t="s">
        <v>150</v>
      </c>
      <c r="AM21" s="40" t="s">
        <v>150</v>
      </c>
      <c r="AN21" s="40" t="s">
        <v>150</v>
      </c>
      <c r="AO21" s="39" t="s">
        <v>150</v>
      </c>
      <c r="AP21" s="44"/>
      <c r="AQ21" s="40" t="s">
        <v>150</v>
      </c>
      <c r="AR21" s="40" t="s">
        <v>150</v>
      </c>
      <c r="AS21" s="40" t="s">
        <v>150</v>
      </c>
      <c r="AT21" s="40" t="s">
        <v>150</v>
      </c>
      <c r="AU21" s="40" t="s">
        <v>150</v>
      </c>
      <c r="AV21" s="40" t="s">
        <v>150</v>
      </c>
      <c r="AW21" s="24"/>
      <c r="AX21" s="40" t="s">
        <v>150</v>
      </c>
      <c r="AY21" s="40" t="s">
        <v>150</v>
      </c>
      <c r="AZ21" s="40" t="s">
        <v>150</v>
      </c>
      <c r="BA21" s="40" t="s">
        <v>150</v>
      </c>
      <c r="BB21" s="40" t="s">
        <v>150</v>
      </c>
      <c r="BC21" s="24"/>
      <c r="BD21" s="40" t="s">
        <v>150</v>
      </c>
      <c r="BE21" s="2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</row>
    <row r="22">
      <c r="A22" s="5">
        <v>19.0</v>
      </c>
      <c r="B22" s="42" t="s">
        <v>175</v>
      </c>
      <c r="C22" s="42" t="s">
        <v>176</v>
      </c>
      <c r="D22" s="5">
        <f t="shared" si="4"/>
        <v>31</v>
      </c>
      <c r="E22" s="5">
        <f t="shared" si="5"/>
        <v>1</v>
      </c>
      <c r="F22" s="3">
        <f t="shared" si="2"/>
        <v>32</v>
      </c>
      <c r="G22" s="36">
        <f t="shared" si="3"/>
        <v>96.875</v>
      </c>
      <c r="H22" s="49" t="s">
        <v>150</v>
      </c>
      <c r="I22" s="49" t="s">
        <v>150</v>
      </c>
      <c r="J22" s="49" t="s">
        <v>150</v>
      </c>
      <c r="K22" s="49" t="s">
        <v>150</v>
      </c>
      <c r="L22" s="49" t="s">
        <v>150</v>
      </c>
      <c r="M22" s="50" t="s">
        <v>150</v>
      </c>
      <c r="N22" s="44"/>
      <c r="O22" s="49" t="s">
        <v>150</v>
      </c>
      <c r="P22" s="49" t="s">
        <v>150</v>
      </c>
      <c r="Q22" s="49" t="s">
        <v>150</v>
      </c>
      <c r="R22" s="49" t="s">
        <v>150</v>
      </c>
      <c r="S22" s="49" t="s">
        <v>150</v>
      </c>
      <c r="T22" s="50" t="s">
        <v>150</v>
      </c>
      <c r="U22" s="44"/>
      <c r="V22" s="20" t="s">
        <v>149</v>
      </c>
      <c r="W22" s="43" t="s">
        <v>150</v>
      </c>
      <c r="X22" s="46" t="s">
        <v>150</v>
      </c>
      <c r="Y22" s="46" t="s">
        <v>150</v>
      </c>
      <c r="Z22" s="46" t="s">
        <v>150</v>
      </c>
      <c r="AA22" s="69" t="s">
        <v>150</v>
      </c>
      <c r="AB22" s="44"/>
      <c r="AC22" s="40" t="s">
        <v>150</v>
      </c>
      <c r="AD22" s="40" t="s">
        <v>150</v>
      </c>
      <c r="AE22" s="40" t="s">
        <v>150</v>
      </c>
      <c r="AF22" s="40" t="s">
        <v>150</v>
      </c>
      <c r="AG22" s="40" t="s">
        <v>150</v>
      </c>
      <c r="AH22" s="39" t="s">
        <v>150</v>
      </c>
      <c r="AI22" s="44"/>
      <c r="AJ22" s="40" t="s">
        <v>150</v>
      </c>
      <c r="AK22" s="40" t="s">
        <v>150</v>
      </c>
      <c r="AL22" s="40" t="s">
        <v>150</v>
      </c>
      <c r="AM22" s="40" t="s">
        <v>150</v>
      </c>
      <c r="AN22" s="40" t="s">
        <v>150</v>
      </c>
      <c r="AO22" s="39" t="s">
        <v>150</v>
      </c>
      <c r="AP22" s="44"/>
      <c r="AQ22" s="40" t="s">
        <v>150</v>
      </c>
      <c r="AR22" s="40" t="s">
        <v>150</v>
      </c>
      <c r="AS22" s="40" t="s">
        <v>150</v>
      </c>
      <c r="AT22" s="40" t="s">
        <v>150</v>
      </c>
      <c r="AU22" s="40" t="s">
        <v>150</v>
      </c>
      <c r="AV22" s="40" t="s">
        <v>150</v>
      </c>
      <c r="AW22" s="24"/>
      <c r="AX22" s="40" t="s">
        <v>150</v>
      </c>
      <c r="AY22" s="40" t="s">
        <v>150</v>
      </c>
      <c r="AZ22" s="40" t="s">
        <v>150</v>
      </c>
      <c r="BA22" s="40" t="s">
        <v>150</v>
      </c>
      <c r="BB22" s="40" t="s">
        <v>150</v>
      </c>
      <c r="BC22" s="24"/>
      <c r="BD22" s="40" t="s">
        <v>150</v>
      </c>
      <c r="BE22" s="2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</row>
    <row r="23">
      <c r="A23" s="5">
        <v>20.0</v>
      </c>
      <c r="B23" s="32" t="s">
        <v>183</v>
      </c>
      <c r="C23" s="32" t="s">
        <v>184</v>
      </c>
      <c r="D23" s="5">
        <f t="shared" si="4"/>
        <v>15</v>
      </c>
      <c r="E23" s="5">
        <f t="shared" si="5"/>
        <v>17</v>
      </c>
      <c r="F23" s="3">
        <f t="shared" si="2"/>
        <v>32</v>
      </c>
      <c r="G23" s="36">
        <f t="shared" si="3"/>
        <v>46.875</v>
      </c>
      <c r="H23" s="43" t="s">
        <v>150</v>
      </c>
      <c r="I23" s="43" t="s">
        <v>150</v>
      </c>
      <c r="J23" s="43" t="s">
        <v>150</v>
      </c>
      <c r="K23" s="43" t="s">
        <v>150</v>
      </c>
      <c r="L23" s="43" t="s">
        <v>150</v>
      </c>
      <c r="M23" s="37" t="s">
        <v>150</v>
      </c>
      <c r="N23" s="44"/>
      <c r="O23" s="43" t="s">
        <v>150</v>
      </c>
      <c r="P23" s="43" t="s">
        <v>150</v>
      </c>
      <c r="Q23" s="43" t="s">
        <v>150</v>
      </c>
      <c r="R23" s="43" t="s">
        <v>150</v>
      </c>
      <c r="S23" s="43" t="s">
        <v>150</v>
      </c>
      <c r="T23" s="37" t="s">
        <v>150</v>
      </c>
      <c r="U23" s="44"/>
      <c r="V23" s="43" t="s">
        <v>150</v>
      </c>
      <c r="W23" s="43" t="s">
        <v>150</v>
      </c>
      <c r="X23" s="47" t="s">
        <v>149</v>
      </c>
      <c r="Y23" s="47" t="s">
        <v>149</v>
      </c>
      <c r="Z23" s="51" t="s">
        <v>149</v>
      </c>
      <c r="AA23" s="48" t="s">
        <v>149</v>
      </c>
      <c r="AB23" s="44"/>
      <c r="AC23" s="40" t="s">
        <v>150</v>
      </c>
      <c r="AD23" s="47" t="s">
        <v>149</v>
      </c>
      <c r="AE23" s="47" t="s">
        <v>149</v>
      </c>
      <c r="AF23" s="47" t="s">
        <v>149</v>
      </c>
      <c r="AG23" s="47" t="s">
        <v>149</v>
      </c>
      <c r="AH23" s="48" t="s">
        <v>149</v>
      </c>
      <c r="AI23" s="44"/>
      <c r="AJ23" s="47" t="s">
        <v>149</v>
      </c>
      <c r="AK23" s="47" t="s">
        <v>149</v>
      </c>
      <c r="AL23" s="47" t="s">
        <v>149</v>
      </c>
      <c r="AM23" s="47" t="s">
        <v>149</v>
      </c>
      <c r="AN23" s="47" t="s">
        <v>149</v>
      </c>
      <c r="AO23" s="48" t="s">
        <v>149</v>
      </c>
      <c r="AP23" s="44"/>
      <c r="AQ23" s="47" t="s">
        <v>149</v>
      </c>
      <c r="AR23" s="47" t="s">
        <v>149</v>
      </c>
      <c r="AS23" s="47" t="s">
        <v>149</v>
      </c>
      <c r="AT23" s="47" t="s">
        <v>149</v>
      </c>
      <c r="AU23" s="47" t="s">
        <v>149</v>
      </c>
      <c r="AV23" s="47" t="s">
        <v>149</v>
      </c>
      <c r="AW23" s="24"/>
      <c r="AX23" s="47" t="s">
        <v>149</v>
      </c>
      <c r="AY23" s="47" t="s">
        <v>149</v>
      </c>
      <c r="AZ23" s="47" t="s">
        <v>149</v>
      </c>
      <c r="BA23" s="47" t="s">
        <v>149</v>
      </c>
      <c r="BB23" s="47" t="s">
        <v>149</v>
      </c>
      <c r="BC23" s="24"/>
      <c r="BD23" s="47" t="s">
        <v>149</v>
      </c>
      <c r="BE23" s="2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</row>
    <row r="24">
      <c r="A24" s="5">
        <v>21.0</v>
      </c>
      <c r="B24" s="32" t="s">
        <v>188</v>
      </c>
      <c r="C24" s="32" t="s">
        <v>189</v>
      </c>
      <c r="D24" s="5">
        <f t="shared" si="4"/>
        <v>29</v>
      </c>
      <c r="E24" s="5">
        <f t="shared" si="5"/>
        <v>3</v>
      </c>
      <c r="F24" s="3">
        <f t="shared" si="2"/>
        <v>32</v>
      </c>
      <c r="G24" s="36">
        <f t="shared" si="3"/>
        <v>90.625</v>
      </c>
      <c r="H24" s="43" t="s">
        <v>150</v>
      </c>
      <c r="I24" s="43" t="s">
        <v>150</v>
      </c>
      <c r="J24" s="43" t="s">
        <v>150</v>
      </c>
      <c r="K24" s="43" t="s">
        <v>150</v>
      </c>
      <c r="L24" s="43" t="s">
        <v>150</v>
      </c>
      <c r="M24" s="37" t="s">
        <v>150</v>
      </c>
      <c r="N24" s="44"/>
      <c r="O24" s="43" t="s">
        <v>150</v>
      </c>
      <c r="P24" s="43" t="s">
        <v>150</v>
      </c>
      <c r="Q24" s="43" t="s">
        <v>150</v>
      </c>
      <c r="R24" s="43" t="s">
        <v>150</v>
      </c>
      <c r="S24" s="43" t="s">
        <v>150</v>
      </c>
      <c r="T24" s="37" t="s">
        <v>150</v>
      </c>
      <c r="U24" s="44"/>
      <c r="V24" s="43" t="s">
        <v>150</v>
      </c>
      <c r="W24" s="43" t="s">
        <v>150</v>
      </c>
      <c r="X24" s="47" t="s">
        <v>149</v>
      </c>
      <c r="Y24" s="47" t="s">
        <v>149</v>
      </c>
      <c r="Z24" s="40" t="s">
        <v>150</v>
      </c>
      <c r="AA24" s="39" t="s">
        <v>150</v>
      </c>
      <c r="AB24" s="44"/>
      <c r="AC24" s="40" t="s">
        <v>150</v>
      </c>
      <c r="AD24" s="40" t="s">
        <v>150</v>
      </c>
      <c r="AE24" s="40" t="s">
        <v>150</v>
      </c>
      <c r="AF24" s="40" t="s">
        <v>150</v>
      </c>
      <c r="AG24" s="40" t="s">
        <v>150</v>
      </c>
      <c r="AH24" s="39" t="s">
        <v>150</v>
      </c>
      <c r="AI24" s="44"/>
      <c r="AJ24" s="40" t="s">
        <v>150</v>
      </c>
      <c r="AK24" s="40" t="s">
        <v>150</v>
      </c>
      <c r="AL24" s="40" t="s">
        <v>150</v>
      </c>
      <c r="AM24" s="40" t="s">
        <v>150</v>
      </c>
      <c r="AN24" s="40" t="s">
        <v>150</v>
      </c>
      <c r="AO24" s="39" t="s">
        <v>150</v>
      </c>
      <c r="AP24" s="44"/>
      <c r="AQ24" s="40" t="s">
        <v>150</v>
      </c>
      <c r="AR24" s="47" t="s">
        <v>149</v>
      </c>
      <c r="AS24" s="47" t="s">
        <v>149</v>
      </c>
      <c r="AT24" s="40" t="s">
        <v>150</v>
      </c>
      <c r="AU24" s="40" t="s">
        <v>150</v>
      </c>
      <c r="AV24" s="40" t="s">
        <v>150</v>
      </c>
      <c r="AW24" s="24"/>
      <c r="AX24" s="40" t="s">
        <v>150</v>
      </c>
      <c r="AY24" s="40" t="s">
        <v>150</v>
      </c>
      <c r="AZ24" s="40" t="s">
        <v>150</v>
      </c>
      <c r="BA24" s="40" t="s">
        <v>150</v>
      </c>
      <c r="BB24" s="40" t="s">
        <v>150</v>
      </c>
      <c r="BC24" s="24"/>
      <c r="BD24" s="40" t="s">
        <v>150</v>
      </c>
      <c r="BE24" s="2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</row>
    <row r="25">
      <c r="A25" s="5">
        <v>22.0</v>
      </c>
      <c r="B25" s="32" t="s">
        <v>192</v>
      </c>
      <c r="C25" s="32" t="s">
        <v>193</v>
      </c>
      <c r="D25" s="5">
        <f t="shared" si="4"/>
        <v>29</v>
      </c>
      <c r="E25" s="5">
        <f t="shared" si="5"/>
        <v>3</v>
      </c>
      <c r="F25" s="3">
        <f t="shared" si="2"/>
        <v>32</v>
      </c>
      <c r="G25" s="36">
        <f t="shared" si="3"/>
        <v>90.625</v>
      </c>
      <c r="H25" s="20" t="s">
        <v>149</v>
      </c>
      <c r="I25" s="43" t="s">
        <v>150</v>
      </c>
      <c r="J25" s="43" t="s">
        <v>150</v>
      </c>
      <c r="K25" s="43" t="s">
        <v>150</v>
      </c>
      <c r="L25" s="43" t="s">
        <v>150</v>
      </c>
      <c r="M25" s="37" t="s">
        <v>150</v>
      </c>
      <c r="N25" s="44"/>
      <c r="O25" s="43" t="s">
        <v>150</v>
      </c>
      <c r="P25" s="43" t="s">
        <v>150</v>
      </c>
      <c r="Q25" s="43" t="s">
        <v>150</v>
      </c>
      <c r="R25" s="43" t="s">
        <v>150</v>
      </c>
      <c r="S25" s="43" t="s">
        <v>150</v>
      </c>
      <c r="T25" s="37" t="s">
        <v>150</v>
      </c>
      <c r="U25" s="44"/>
      <c r="V25" s="43" t="s">
        <v>150</v>
      </c>
      <c r="W25" s="43" t="s">
        <v>150</v>
      </c>
      <c r="X25" s="40" t="s">
        <v>150</v>
      </c>
      <c r="Y25" s="40" t="s">
        <v>150</v>
      </c>
      <c r="Z25" s="40" t="s">
        <v>150</v>
      </c>
      <c r="AA25" s="39" t="s">
        <v>150</v>
      </c>
      <c r="AB25" s="44"/>
      <c r="AC25" s="40" t="s">
        <v>150</v>
      </c>
      <c r="AD25" s="40" t="s">
        <v>150</v>
      </c>
      <c r="AE25" s="40" t="s">
        <v>150</v>
      </c>
      <c r="AF25" s="40" t="s">
        <v>150</v>
      </c>
      <c r="AG25" s="40" t="s">
        <v>150</v>
      </c>
      <c r="AH25" s="39" t="s">
        <v>150</v>
      </c>
      <c r="AI25" s="44"/>
      <c r="AJ25" s="47" t="s">
        <v>149</v>
      </c>
      <c r="AK25" s="40" t="s">
        <v>150</v>
      </c>
      <c r="AL25" s="40" t="s">
        <v>150</v>
      </c>
      <c r="AM25" s="47" t="s">
        <v>149</v>
      </c>
      <c r="AN25" s="40" t="s">
        <v>150</v>
      </c>
      <c r="AO25" s="39" t="s">
        <v>150</v>
      </c>
      <c r="AP25" s="44"/>
      <c r="AQ25" s="40" t="s">
        <v>150</v>
      </c>
      <c r="AR25" s="40" t="s">
        <v>150</v>
      </c>
      <c r="AS25" s="40" t="s">
        <v>150</v>
      </c>
      <c r="AT25" s="40" t="s">
        <v>150</v>
      </c>
      <c r="AU25" s="40" t="s">
        <v>150</v>
      </c>
      <c r="AV25" s="40" t="s">
        <v>150</v>
      </c>
      <c r="AW25" s="24"/>
      <c r="AX25" s="40" t="s">
        <v>150</v>
      </c>
      <c r="AY25" s="40" t="s">
        <v>150</v>
      </c>
      <c r="AZ25" s="40" t="s">
        <v>150</v>
      </c>
      <c r="BA25" s="40" t="s">
        <v>150</v>
      </c>
      <c r="BB25" s="40" t="s">
        <v>150</v>
      </c>
      <c r="BC25" s="24"/>
      <c r="BD25" s="40" t="s">
        <v>150</v>
      </c>
      <c r="BE25" s="2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</row>
    <row r="26">
      <c r="A26" s="5">
        <v>23.0</v>
      </c>
      <c r="B26" s="3" t="s">
        <v>198</v>
      </c>
      <c r="C26" s="2" t="s">
        <v>199</v>
      </c>
      <c r="D26" s="5">
        <f t="shared" si="4"/>
        <v>29</v>
      </c>
      <c r="E26" s="5">
        <f t="shared" si="5"/>
        <v>3</v>
      </c>
      <c r="F26" s="3">
        <f t="shared" si="2"/>
        <v>32</v>
      </c>
      <c r="G26" s="36">
        <f t="shared" si="3"/>
        <v>90.625</v>
      </c>
      <c r="H26" s="51" t="s">
        <v>149</v>
      </c>
      <c r="I26" s="49" t="s">
        <v>150</v>
      </c>
      <c r="J26" s="49" t="s">
        <v>150</v>
      </c>
      <c r="K26" s="49" t="s">
        <v>150</v>
      </c>
      <c r="L26" s="49" t="s">
        <v>150</v>
      </c>
      <c r="M26" s="50" t="s">
        <v>150</v>
      </c>
      <c r="N26" s="44"/>
      <c r="O26" s="49" t="s">
        <v>150</v>
      </c>
      <c r="P26" s="49" t="s">
        <v>150</v>
      </c>
      <c r="Q26" s="51" t="s">
        <v>149</v>
      </c>
      <c r="R26" s="49" t="s">
        <v>150</v>
      </c>
      <c r="S26" s="49" t="s">
        <v>150</v>
      </c>
      <c r="T26" s="50" t="s">
        <v>150</v>
      </c>
      <c r="U26" s="44"/>
      <c r="V26" s="43" t="s">
        <v>150</v>
      </c>
      <c r="W26" s="43" t="s">
        <v>150</v>
      </c>
      <c r="X26" s="46" t="s">
        <v>150</v>
      </c>
      <c r="Y26" s="46" t="s">
        <v>150</v>
      </c>
      <c r="Z26" s="46" t="s">
        <v>150</v>
      </c>
      <c r="AA26" s="69" t="s">
        <v>150</v>
      </c>
      <c r="AB26" s="44"/>
      <c r="AC26" s="40" t="s">
        <v>150</v>
      </c>
      <c r="AD26" s="40" t="s">
        <v>150</v>
      </c>
      <c r="AE26" s="40" t="s">
        <v>150</v>
      </c>
      <c r="AF26" s="40" t="s">
        <v>150</v>
      </c>
      <c r="AG26" s="40" t="s">
        <v>150</v>
      </c>
      <c r="AH26" s="39" t="s">
        <v>150</v>
      </c>
      <c r="AI26" s="44"/>
      <c r="AJ26" s="40" t="s">
        <v>150</v>
      </c>
      <c r="AK26" s="40" t="s">
        <v>150</v>
      </c>
      <c r="AL26" s="40" t="s">
        <v>150</v>
      </c>
      <c r="AM26" s="40" t="s">
        <v>150</v>
      </c>
      <c r="AN26" s="40" t="s">
        <v>150</v>
      </c>
      <c r="AO26" s="48" t="s">
        <v>149</v>
      </c>
      <c r="AP26" s="44"/>
      <c r="AQ26" s="40" t="s">
        <v>150</v>
      </c>
      <c r="AR26" s="40" t="s">
        <v>150</v>
      </c>
      <c r="AS26" s="40" t="s">
        <v>150</v>
      </c>
      <c r="AT26" s="40" t="s">
        <v>150</v>
      </c>
      <c r="AU26" s="40" t="s">
        <v>150</v>
      </c>
      <c r="AV26" s="40" t="s">
        <v>150</v>
      </c>
      <c r="AW26" s="24"/>
      <c r="AX26" s="40" t="s">
        <v>150</v>
      </c>
      <c r="AY26" s="40" t="s">
        <v>150</v>
      </c>
      <c r="AZ26" s="40" t="s">
        <v>150</v>
      </c>
      <c r="BA26" s="40" t="s">
        <v>150</v>
      </c>
      <c r="BB26" s="40" t="s">
        <v>150</v>
      </c>
      <c r="BC26" s="24"/>
      <c r="BD26" s="40" t="s">
        <v>150</v>
      </c>
      <c r="BE26" s="2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</row>
    <row r="27">
      <c r="A27" s="5">
        <v>24.0</v>
      </c>
      <c r="B27" s="32" t="s">
        <v>204</v>
      </c>
      <c r="C27" s="32" t="s">
        <v>205</v>
      </c>
      <c r="D27" s="5">
        <f t="shared" si="4"/>
        <v>30</v>
      </c>
      <c r="E27" s="5">
        <f t="shared" si="5"/>
        <v>2</v>
      </c>
      <c r="F27" s="3">
        <f t="shared" si="2"/>
        <v>32</v>
      </c>
      <c r="G27" s="36">
        <f t="shared" si="3"/>
        <v>93.75</v>
      </c>
      <c r="H27" s="20" t="s">
        <v>149</v>
      </c>
      <c r="I27" s="43" t="s">
        <v>150</v>
      </c>
      <c r="J27" s="43" t="s">
        <v>150</v>
      </c>
      <c r="K27" s="43" t="s">
        <v>150</v>
      </c>
      <c r="L27" s="43" t="s">
        <v>150</v>
      </c>
      <c r="M27" s="21" t="s">
        <v>149</v>
      </c>
      <c r="N27" s="44"/>
      <c r="O27" s="43" t="s">
        <v>150</v>
      </c>
      <c r="P27" s="43" t="s">
        <v>150</v>
      </c>
      <c r="Q27" s="43" t="s">
        <v>150</v>
      </c>
      <c r="R27" s="43" t="s">
        <v>150</v>
      </c>
      <c r="S27" s="43" t="s">
        <v>150</v>
      </c>
      <c r="T27" s="37" t="s">
        <v>150</v>
      </c>
      <c r="U27" s="44"/>
      <c r="V27" s="43" t="s">
        <v>150</v>
      </c>
      <c r="W27" s="43" t="s">
        <v>150</v>
      </c>
      <c r="X27" s="43" t="s">
        <v>150</v>
      </c>
      <c r="Y27" s="43" t="s">
        <v>150</v>
      </c>
      <c r="Z27" s="43" t="s">
        <v>150</v>
      </c>
      <c r="AA27" s="37" t="s">
        <v>150</v>
      </c>
      <c r="AB27" s="44"/>
      <c r="AC27" s="40" t="s">
        <v>150</v>
      </c>
      <c r="AD27" s="40" t="s">
        <v>150</v>
      </c>
      <c r="AE27" s="40" t="s">
        <v>150</v>
      </c>
      <c r="AF27" s="40" t="s">
        <v>150</v>
      </c>
      <c r="AG27" s="40" t="s">
        <v>150</v>
      </c>
      <c r="AH27" s="39" t="s">
        <v>150</v>
      </c>
      <c r="AI27" s="44"/>
      <c r="AJ27" s="40" t="s">
        <v>150</v>
      </c>
      <c r="AK27" s="40" t="s">
        <v>150</v>
      </c>
      <c r="AL27" s="40" t="s">
        <v>150</v>
      </c>
      <c r="AM27" s="40" t="s">
        <v>150</v>
      </c>
      <c r="AN27" s="40" t="s">
        <v>150</v>
      </c>
      <c r="AO27" s="39" t="s">
        <v>150</v>
      </c>
      <c r="AP27" s="44"/>
      <c r="AQ27" s="40" t="s">
        <v>150</v>
      </c>
      <c r="AR27" s="40" t="s">
        <v>150</v>
      </c>
      <c r="AS27" s="40" t="s">
        <v>150</v>
      </c>
      <c r="AT27" s="47" t="s">
        <v>149</v>
      </c>
      <c r="AU27" s="47" t="s">
        <v>149</v>
      </c>
      <c r="AV27" s="47" t="s">
        <v>149</v>
      </c>
      <c r="AW27" s="24"/>
      <c r="AX27" s="47" t="s">
        <v>149</v>
      </c>
      <c r="AY27" s="47" t="s">
        <v>149</v>
      </c>
      <c r="AZ27" s="47" t="s">
        <v>149</v>
      </c>
      <c r="BA27" s="47" t="s">
        <v>149</v>
      </c>
      <c r="BB27" s="47" t="s">
        <v>149</v>
      </c>
      <c r="BC27" s="24"/>
      <c r="BD27" s="47" t="s">
        <v>149</v>
      </c>
      <c r="BE27" s="2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</row>
    <row r="28">
      <c r="A28" s="5">
        <v>25.0</v>
      </c>
      <c r="B28" s="32" t="s">
        <v>209</v>
      </c>
      <c r="C28" s="32" t="s">
        <v>210</v>
      </c>
      <c r="D28" s="5">
        <f t="shared" si="4"/>
        <v>25</v>
      </c>
      <c r="E28" s="5">
        <f t="shared" si="5"/>
        <v>7</v>
      </c>
      <c r="F28" s="3">
        <f t="shared" si="2"/>
        <v>32</v>
      </c>
      <c r="G28" s="36">
        <f t="shared" si="3"/>
        <v>78.125</v>
      </c>
      <c r="H28" s="20" t="s">
        <v>149</v>
      </c>
      <c r="I28" s="43" t="s">
        <v>150</v>
      </c>
      <c r="J28" s="43" t="s">
        <v>150</v>
      </c>
      <c r="K28" s="43" t="s">
        <v>150</v>
      </c>
      <c r="L28" s="43" t="s">
        <v>150</v>
      </c>
      <c r="M28" s="37" t="s">
        <v>150</v>
      </c>
      <c r="N28" s="44"/>
      <c r="O28" s="43" t="s">
        <v>150</v>
      </c>
      <c r="P28" s="20" t="s">
        <v>149</v>
      </c>
      <c r="Q28" s="43" t="s">
        <v>150</v>
      </c>
      <c r="R28" s="43" t="s">
        <v>150</v>
      </c>
      <c r="S28" s="43" t="s">
        <v>150</v>
      </c>
      <c r="T28" s="37" t="s">
        <v>150</v>
      </c>
      <c r="U28" s="44"/>
      <c r="V28" s="43" t="s">
        <v>150</v>
      </c>
      <c r="W28" s="43" t="s">
        <v>150</v>
      </c>
      <c r="X28" s="40" t="s">
        <v>182</v>
      </c>
      <c r="Y28" s="40" t="s">
        <v>182</v>
      </c>
      <c r="Z28" s="47" t="s">
        <v>149</v>
      </c>
      <c r="AA28" s="48" t="s">
        <v>149</v>
      </c>
      <c r="AB28" s="44"/>
      <c r="AC28" s="40" t="s">
        <v>150</v>
      </c>
      <c r="AD28" s="40" t="s">
        <v>150</v>
      </c>
      <c r="AE28" s="40" t="s">
        <v>150</v>
      </c>
      <c r="AF28" s="40" t="s">
        <v>150</v>
      </c>
      <c r="AG28" s="40" t="s">
        <v>150</v>
      </c>
      <c r="AH28" s="39" t="s">
        <v>150</v>
      </c>
      <c r="AI28" s="44"/>
      <c r="AJ28" s="47" t="s">
        <v>149</v>
      </c>
      <c r="AK28" s="47" t="s">
        <v>149</v>
      </c>
      <c r="AL28" s="47" t="s">
        <v>149</v>
      </c>
      <c r="AM28" s="40" t="s">
        <v>150</v>
      </c>
      <c r="AN28" s="40" t="s">
        <v>150</v>
      </c>
      <c r="AO28" s="39" t="s">
        <v>150</v>
      </c>
      <c r="AP28" s="44"/>
      <c r="AQ28" s="40" t="s">
        <v>150</v>
      </c>
      <c r="AR28" s="40" t="s">
        <v>150</v>
      </c>
      <c r="AS28" s="40" t="s">
        <v>150</v>
      </c>
      <c r="AT28" s="47" t="s">
        <v>149</v>
      </c>
      <c r="AU28" s="47" t="s">
        <v>149</v>
      </c>
      <c r="AV28" s="47" t="s">
        <v>149</v>
      </c>
      <c r="AW28" s="24"/>
      <c r="AX28" s="47" t="s">
        <v>149</v>
      </c>
      <c r="AY28" s="47" t="s">
        <v>149</v>
      </c>
      <c r="AZ28" s="47" t="s">
        <v>149</v>
      </c>
      <c r="BA28" s="47" t="s">
        <v>149</v>
      </c>
      <c r="BB28" s="47" t="s">
        <v>149</v>
      </c>
      <c r="BC28" s="24"/>
      <c r="BD28" s="47" t="s">
        <v>149</v>
      </c>
      <c r="BE28" s="2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</row>
    <row r="29">
      <c r="A29" s="5">
        <v>26.0</v>
      </c>
      <c r="B29" s="3" t="s">
        <v>214</v>
      </c>
      <c r="C29" s="14"/>
      <c r="D29" s="5">
        <f t="shared" si="4"/>
        <v>11</v>
      </c>
      <c r="E29" s="5">
        <f t="shared" si="5"/>
        <v>21</v>
      </c>
      <c r="F29" s="3">
        <f t="shared" si="2"/>
        <v>32</v>
      </c>
      <c r="G29" s="36">
        <f t="shared" si="3"/>
        <v>34.375</v>
      </c>
      <c r="H29" s="49" t="s">
        <v>150</v>
      </c>
      <c r="I29" s="49" t="s">
        <v>150</v>
      </c>
      <c r="J29" s="49" t="s">
        <v>150</v>
      </c>
      <c r="K29" s="49" t="s">
        <v>150</v>
      </c>
      <c r="L29" s="49" t="s">
        <v>150</v>
      </c>
      <c r="M29" s="50" t="s">
        <v>150</v>
      </c>
      <c r="N29" s="44"/>
      <c r="O29" s="49" t="s">
        <v>150</v>
      </c>
      <c r="P29" s="51" t="s">
        <v>149</v>
      </c>
      <c r="Q29" s="51" t="s">
        <v>149</v>
      </c>
      <c r="R29" s="49" t="s">
        <v>150</v>
      </c>
      <c r="S29" s="49" t="s">
        <v>150</v>
      </c>
      <c r="T29" s="50" t="s">
        <v>150</v>
      </c>
      <c r="U29" s="44"/>
      <c r="V29" s="43" t="s">
        <v>150</v>
      </c>
      <c r="W29" s="20" t="s">
        <v>149</v>
      </c>
      <c r="X29" s="52" t="s">
        <v>149</v>
      </c>
      <c r="Y29" s="52" t="s">
        <v>149</v>
      </c>
      <c r="Z29" s="52" t="s">
        <v>149</v>
      </c>
      <c r="AA29" s="53" t="s">
        <v>149</v>
      </c>
      <c r="AB29" s="44"/>
      <c r="AC29" s="47" t="s">
        <v>149</v>
      </c>
      <c r="AD29" s="47" t="s">
        <v>149</v>
      </c>
      <c r="AE29" s="47" t="s">
        <v>149</v>
      </c>
      <c r="AF29" s="47" t="s">
        <v>149</v>
      </c>
      <c r="AG29" s="47" t="s">
        <v>149</v>
      </c>
      <c r="AH29" s="48" t="s">
        <v>149</v>
      </c>
      <c r="AI29" s="44"/>
      <c r="AJ29" s="47" t="s">
        <v>149</v>
      </c>
      <c r="AK29" s="47" t="s">
        <v>149</v>
      </c>
      <c r="AL29" s="47" t="s">
        <v>149</v>
      </c>
      <c r="AM29" s="47" t="s">
        <v>149</v>
      </c>
      <c r="AN29" s="47" t="s">
        <v>149</v>
      </c>
      <c r="AO29" s="48" t="s">
        <v>149</v>
      </c>
      <c r="AP29" s="44"/>
      <c r="AQ29" s="47" t="s">
        <v>149</v>
      </c>
      <c r="AR29" s="47" t="s">
        <v>149</v>
      </c>
      <c r="AS29" s="47" t="s">
        <v>149</v>
      </c>
      <c r="AT29" s="47" t="s">
        <v>149</v>
      </c>
      <c r="AU29" s="47" t="s">
        <v>149</v>
      </c>
      <c r="AV29" s="47" t="s">
        <v>149</v>
      </c>
      <c r="AW29" s="24"/>
      <c r="AX29" s="47" t="s">
        <v>149</v>
      </c>
      <c r="AY29" s="47" t="s">
        <v>149</v>
      </c>
      <c r="AZ29" s="47" t="s">
        <v>149</v>
      </c>
      <c r="BA29" s="47" t="s">
        <v>149</v>
      </c>
      <c r="BB29" s="47" t="s">
        <v>149</v>
      </c>
      <c r="BC29" s="24"/>
      <c r="BD29" s="47" t="s">
        <v>149</v>
      </c>
      <c r="BE29" s="2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</row>
    <row r="30">
      <c r="A30" s="5">
        <v>27.0</v>
      </c>
      <c r="B30" s="32" t="s">
        <v>217</v>
      </c>
      <c r="C30" s="32" t="s">
        <v>218</v>
      </c>
      <c r="D30" s="5">
        <f t="shared" si="4"/>
        <v>28</v>
      </c>
      <c r="E30" s="5">
        <f t="shared" si="5"/>
        <v>4</v>
      </c>
      <c r="F30" s="3">
        <f t="shared" si="2"/>
        <v>32</v>
      </c>
      <c r="G30" s="36">
        <f t="shared" si="3"/>
        <v>87.5</v>
      </c>
      <c r="H30" s="20" t="s">
        <v>149</v>
      </c>
      <c r="I30" s="20" t="s">
        <v>149</v>
      </c>
      <c r="J30" s="20" t="s">
        <v>149</v>
      </c>
      <c r="K30" s="43" t="s">
        <v>150</v>
      </c>
      <c r="L30" s="43" t="s">
        <v>150</v>
      </c>
      <c r="M30" s="37" t="s">
        <v>150</v>
      </c>
      <c r="N30" s="44"/>
      <c r="O30" s="43" t="s">
        <v>150</v>
      </c>
      <c r="P30" s="43" t="s">
        <v>150</v>
      </c>
      <c r="Q30" s="43" t="s">
        <v>150</v>
      </c>
      <c r="R30" s="43" t="s">
        <v>150</v>
      </c>
      <c r="S30" s="43" t="s">
        <v>150</v>
      </c>
      <c r="T30" s="37" t="s">
        <v>150</v>
      </c>
      <c r="U30" s="44"/>
      <c r="V30" s="43" t="s">
        <v>182</v>
      </c>
      <c r="W30" s="43" t="s">
        <v>182</v>
      </c>
      <c r="X30" s="40" t="s">
        <v>182</v>
      </c>
      <c r="Y30" s="40" t="s">
        <v>182</v>
      </c>
      <c r="Z30" s="46" t="s">
        <v>182</v>
      </c>
      <c r="AA30" s="39" t="s">
        <v>150</v>
      </c>
      <c r="AB30" s="44"/>
      <c r="AC30" s="40" t="s">
        <v>182</v>
      </c>
      <c r="AD30" s="40" t="s">
        <v>182</v>
      </c>
      <c r="AE30" s="40" t="s">
        <v>150</v>
      </c>
      <c r="AF30" s="40" t="s">
        <v>182</v>
      </c>
      <c r="AG30" s="40" t="s">
        <v>182</v>
      </c>
      <c r="AH30" s="39" t="s">
        <v>150</v>
      </c>
      <c r="AI30" s="44"/>
      <c r="AJ30" s="40" t="s">
        <v>150</v>
      </c>
      <c r="AK30" s="40" t="s">
        <v>150</v>
      </c>
      <c r="AL30" s="40" t="s">
        <v>182</v>
      </c>
      <c r="AM30" s="40" t="s">
        <v>182</v>
      </c>
      <c r="AN30" s="40" t="s">
        <v>150</v>
      </c>
      <c r="AO30" s="39" t="s">
        <v>150</v>
      </c>
      <c r="AP30" s="44"/>
      <c r="AQ30" s="47" t="s">
        <v>149</v>
      </c>
      <c r="AR30" s="40" t="s">
        <v>150</v>
      </c>
      <c r="AS30" s="40" t="s">
        <v>150</v>
      </c>
      <c r="AT30" s="47" t="s">
        <v>149</v>
      </c>
      <c r="AU30" s="47" t="s">
        <v>149</v>
      </c>
      <c r="AV30" s="47" t="s">
        <v>149</v>
      </c>
      <c r="AW30" s="24"/>
      <c r="AX30" s="47" t="s">
        <v>149</v>
      </c>
      <c r="AY30" s="47" t="s">
        <v>149</v>
      </c>
      <c r="AZ30" s="47" t="s">
        <v>149</v>
      </c>
      <c r="BA30" s="47" t="s">
        <v>149</v>
      </c>
      <c r="BB30" s="47" t="s">
        <v>149</v>
      </c>
      <c r="BC30" s="24"/>
      <c r="BD30" s="47" t="s">
        <v>149</v>
      </c>
      <c r="BE30" s="2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</row>
    <row r="31">
      <c r="A31" s="5">
        <v>28.0</v>
      </c>
      <c r="B31" s="32" t="s">
        <v>220</v>
      </c>
      <c r="C31" s="32" t="s">
        <v>222</v>
      </c>
      <c r="D31" s="5">
        <f t="shared" si="4"/>
        <v>14</v>
      </c>
      <c r="E31" s="5">
        <f t="shared" si="5"/>
        <v>18</v>
      </c>
      <c r="F31" s="3">
        <f t="shared" si="2"/>
        <v>32</v>
      </c>
      <c r="G31" s="36">
        <f t="shared" si="3"/>
        <v>43.75</v>
      </c>
      <c r="H31" s="20" t="s">
        <v>149</v>
      </c>
      <c r="I31" s="20" t="s">
        <v>149</v>
      </c>
      <c r="J31" s="20" t="s">
        <v>149</v>
      </c>
      <c r="K31" s="20" t="s">
        <v>149</v>
      </c>
      <c r="L31" s="43" t="s">
        <v>150</v>
      </c>
      <c r="M31" s="37" t="s">
        <v>150</v>
      </c>
      <c r="N31" s="44"/>
      <c r="O31" s="43" t="s">
        <v>150</v>
      </c>
      <c r="P31" s="43" t="s">
        <v>150</v>
      </c>
      <c r="Q31" s="43" t="s">
        <v>150</v>
      </c>
      <c r="R31" s="20" t="s">
        <v>149</v>
      </c>
      <c r="S31" s="43" t="s">
        <v>150</v>
      </c>
      <c r="T31" s="37" t="s">
        <v>150</v>
      </c>
      <c r="U31" s="44"/>
      <c r="V31" s="43" t="s">
        <v>150</v>
      </c>
      <c r="W31" s="20" t="s">
        <v>149</v>
      </c>
      <c r="X31" s="47" t="s">
        <v>149</v>
      </c>
      <c r="Y31" s="47" t="s">
        <v>149</v>
      </c>
      <c r="Z31" s="47" t="s">
        <v>149</v>
      </c>
      <c r="AA31" s="48" t="s">
        <v>149</v>
      </c>
      <c r="AB31" s="44"/>
      <c r="AC31" s="47" t="s">
        <v>149</v>
      </c>
      <c r="AD31" s="40" t="s">
        <v>150</v>
      </c>
      <c r="AE31" s="47" t="s">
        <v>149</v>
      </c>
      <c r="AF31" s="40" t="s">
        <v>150</v>
      </c>
      <c r="AG31" s="47" t="s">
        <v>149</v>
      </c>
      <c r="AH31" s="48" t="s">
        <v>149</v>
      </c>
      <c r="AI31" s="44"/>
      <c r="AJ31" s="47" t="s">
        <v>149</v>
      </c>
      <c r="AK31" s="47" t="s">
        <v>149</v>
      </c>
      <c r="AL31" s="40" t="s">
        <v>150</v>
      </c>
      <c r="AM31" s="47" t="s">
        <v>149</v>
      </c>
      <c r="AN31" s="47" t="s">
        <v>149</v>
      </c>
      <c r="AO31" s="39" t="s">
        <v>150</v>
      </c>
      <c r="AP31" s="44"/>
      <c r="AQ31" s="40" t="s">
        <v>150</v>
      </c>
      <c r="AR31" s="40" t="s">
        <v>150</v>
      </c>
      <c r="AS31" s="47" t="s">
        <v>149</v>
      </c>
      <c r="AT31" s="47" t="s">
        <v>149</v>
      </c>
      <c r="AU31" s="47" t="s">
        <v>149</v>
      </c>
      <c r="AV31" s="47" t="s">
        <v>149</v>
      </c>
      <c r="AW31" s="24"/>
      <c r="AX31" s="47" t="s">
        <v>149</v>
      </c>
      <c r="AY31" s="47" t="s">
        <v>149</v>
      </c>
      <c r="AZ31" s="47" t="s">
        <v>149</v>
      </c>
      <c r="BA31" s="47" t="s">
        <v>149</v>
      </c>
      <c r="BB31" s="47" t="s">
        <v>149</v>
      </c>
      <c r="BC31" s="24"/>
      <c r="BD31" s="47" t="s">
        <v>149</v>
      </c>
      <c r="BE31" s="2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</row>
    <row r="32">
      <c r="A32" s="5">
        <v>29.0</v>
      </c>
      <c r="B32" s="33" t="s">
        <v>224</v>
      </c>
      <c r="C32" s="33" t="s">
        <v>225</v>
      </c>
      <c r="D32" s="5">
        <f t="shared" si="4"/>
        <v>28</v>
      </c>
      <c r="E32" s="5">
        <f t="shared" si="5"/>
        <v>4</v>
      </c>
      <c r="F32" s="3">
        <f t="shared" si="2"/>
        <v>32</v>
      </c>
      <c r="G32" s="36">
        <f t="shared" si="3"/>
        <v>87.5</v>
      </c>
      <c r="H32" s="43" t="s">
        <v>150</v>
      </c>
      <c r="I32" s="43" t="s">
        <v>150</v>
      </c>
      <c r="J32" s="43" t="s">
        <v>150</v>
      </c>
      <c r="K32" s="43" t="s">
        <v>150</v>
      </c>
      <c r="L32" s="43" t="s">
        <v>150</v>
      </c>
      <c r="M32" s="37" t="s">
        <v>150</v>
      </c>
      <c r="N32" s="44"/>
      <c r="O32" s="43" t="s">
        <v>150</v>
      </c>
      <c r="P32" s="43" t="s">
        <v>150</v>
      </c>
      <c r="Q32" s="43" t="s">
        <v>150</v>
      </c>
      <c r="R32" s="43" t="s">
        <v>150</v>
      </c>
      <c r="S32" s="43" t="s">
        <v>150</v>
      </c>
      <c r="T32" s="37" t="s">
        <v>150</v>
      </c>
      <c r="U32" s="44"/>
      <c r="V32" s="43" t="s">
        <v>150</v>
      </c>
      <c r="W32" s="43" t="s">
        <v>150</v>
      </c>
      <c r="X32" s="47" t="s">
        <v>149</v>
      </c>
      <c r="Y32" s="47" t="s">
        <v>149</v>
      </c>
      <c r="Z32" s="47" t="s">
        <v>149</v>
      </c>
      <c r="AA32" s="48" t="s">
        <v>149</v>
      </c>
      <c r="AB32" s="44"/>
      <c r="AC32" s="40" t="s">
        <v>150</v>
      </c>
      <c r="AD32" s="40" t="s">
        <v>150</v>
      </c>
      <c r="AE32" s="40" t="s">
        <v>150</v>
      </c>
      <c r="AF32" s="40" t="s">
        <v>150</v>
      </c>
      <c r="AG32" s="40" t="s">
        <v>150</v>
      </c>
      <c r="AH32" s="39" t="s">
        <v>150</v>
      </c>
      <c r="AI32" s="44"/>
      <c r="AJ32" s="40" t="s">
        <v>150</v>
      </c>
      <c r="AK32" s="40" t="s">
        <v>150</v>
      </c>
      <c r="AL32" s="40" t="s">
        <v>150</v>
      </c>
      <c r="AM32" s="40" t="s">
        <v>150</v>
      </c>
      <c r="AN32" s="40" t="s">
        <v>150</v>
      </c>
      <c r="AO32" s="39" t="s">
        <v>150</v>
      </c>
      <c r="AP32" s="44"/>
      <c r="AQ32" s="40" t="s">
        <v>150</v>
      </c>
      <c r="AR32" s="40" t="s">
        <v>150</v>
      </c>
      <c r="AS32" s="40" t="s">
        <v>150</v>
      </c>
      <c r="AT32" s="47" t="s">
        <v>149</v>
      </c>
      <c r="AU32" s="47" t="s">
        <v>149</v>
      </c>
      <c r="AV32" s="47" t="s">
        <v>149</v>
      </c>
      <c r="AW32" s="24"/>
      <c r="AX32" s="47" t="s">
        <v>149</v>
      </c>
      <c r="AY32" s="47" t="s">
        <v>149</v>
      </c>
      <c r="AZ32" s="47" t="s">
        <v>149</v>
      </c>
      <c r="BA32" s="47" t="s">
        <v>149</v>
      </c>
      <c r="BB32" s="47" t="s">
        <v>149</v>
      </c>
      <c r="BC32" s="24"/>
      <c r="BD32" s="47" t="s">
        <v>149</v>
      </c>
      <c r="BE32" s="2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</row>
    <row r="33">
      <c r="A33" s="5">
        <v>30.0</v>
      </c>
      <c r="B33" s="32" t="s">
        <v>230</v>
      </c>
      <c r="C33" s="32" t="s">
        <v>231</v>
      </c>
      <c r="D33" s="5">
        <f t="shared" si="4"/>
        <v>26</v>
      </c>
      <c r="E33" s="5">
        <f t="shared" si="5"/>
        <v>6</v>
      </c>
      <c r="F33" s="3">
        <f t="shared" si="2"/>
        <v>32</v>
      </c>
      <c r="G33" s="36">
        <f t="shared" si="3"/>
        <v>81.25</v>
      </c>
      <c r="H33" s="20" t="s">
        <v>149</v>
      </c>
      <c r="I33" s="43" t="s">
        <v>150</v>
      </c>
      <c r="J33" s="43" t="s">
        <v>150</v>
      </c>
      <c r="K33" s="43" t="s">
        <v>150</v>
      </c>
      <c r="L33" s="43" t="s">
        <v>150</v>
      </c>
      <c r="M33" s="21" t="s">
        <v>149</v>
      </c>
      <c r="N33" s="44"/>
      <c r="O33" s="43" t="s">
        <v>150</v>
      </c>
      <c r="P33" s="43" t="s">
        <v>150</v>
      </c>
      <c r="Q33" s="20" t="s">
        <v>149</v>
      </c>
      <c r="R33" s="43" t="s">
        <v>150</v>
      </c>
      <c r="S33" s="43" t="s">
        <v>150</v>
      </c>
      <c r="T33" s="37" t="s">
        <v>150</v>
      </c>
      <c r="U33" s="44"/>
      <c r="V33" s="43" t="s">
        <v>150</v>
      </c>
      <c r="W33" s="43" t="s">
        <v>150</v>
      </c>
      <c r="X33" s="40" t="s">
        <v>182</v>
      </c>
      <c r="Y33" s="40" t="s">
        <v>182</v>
      </c>
      <c r="Z33" s="46" t="s">
        <v>182</v>
      </c>
      <c r="AA33" s="39" t="s">
        <v>150</v>
      </c>
      <c r="AB33" s="44"/>
      <c r="AC33" s="47" t="s">
        <v>149</v>
      </c>
      <c r="AD33" s="47" t="s">
        <v>149</v>
      </c>
      <c r="AE33" s="40" t="s">
        <v>150</v>
      </c>
      <c r="AF33" s="40" t="s">
        <v>150</v>
      </c>
      <c r="AG33" s="40" t="s">
        <v>150</v>
      </c>
      <c r="AH33" s="39" t="s">
        <v>150</v>
      </c>
      <c r="AI33" s="44"/>
      <c r="AJ33" s="40" t="s">
        <v>150</v>
      </c>
      <c r="AK33" s="40" t="s">
        <v>150</v>
      </c>
      <c r="AL33" s="40" t="s">
        <v>150</v>
      </c>
      <c r="AM33" s="40" t="s">
        <v>150</v>
      </c>
      <c r="AN33" s="40" t="s">
        <v>150</v>
      </c>
      <c r="AO33" s="39" t="s">
        <v>150</v>
      </c>
      <c r="AP33" s="44"/>
      <c r="AQ33" s="47" t="s">
        <v>149</v>
      </c>
      <c r="AR33" s="40" t="s">
        <v>150</v>
      </c>
      <c r="AS33" s="40" t="s">
        <v>150</v>
      </c>
      <c r="AT33" s="40" t="s">
        <v>150</v>
      </c>
      <c r="AU33" s="40" t="s">
        <v>150</v>
      </c>
      <c r="AV33" s="40" t="s">
        <v>150</v>
      </c>
      <c r="AW33" s="24"/>
      <c r="AX33" s="40" t="s">
        <v>150</v>
      </c>
      <c r="AY33" s="40" t="s">
        <v>150</v>
      </c>
      <c r="AZ33" s="40" t="s">
        <v>150</v>
      </c>
      <c r="BA33" s="40" t="s">
        <v>150</v>
      </c>
      <c r="BB33" s="40" t="s">
        <v>150</v>
      </c>
      <c r="BC33" s="24"/>
      <c r="BD33" s="40" t="s">
        <v>150</v>
      </c>
      <c r="BE33" s="2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</row>
    <row r="34">
      <c r="A34" s="5">
        <v>31.0</v>
      </c>
      <c r="B34" s="32" t="s">
        <v>236</v>
      </c>
      <c r="C34" s="32" t="s">
        <v>237</v>
      </c>
      <c r="D34" s="5">
        <f t="shared" si="4"/>
        <v>27</v>
      </c>
      <c r="E34" s="5">
        <f t="shared" si="5"/>
        <v>5</v>
      </c>
      <c r="F34" s="3">
        <f t="shared" si="2"/>
        <v>32</v>
      </c>
      <c r="G34" s="36">
        <f t="shared" si="3"/>
        <v>84.375</v>
      </c>
      <c r="H34" s="43" t="s">
        <v>150</v>
      </c>
      <c r="I34" s="43" t="s">
        <v>150</v>
      </c>
      <c r="J34" s="43" t="s">
        <v>150</v>
      </c>
      <c r="K34" s="43" t="s">
        <v>150</v>
      </c>
      <c r="L34" s="43" t="s">
        <v>150</v>
      </c>
      <c r="M34" s="37" t="s">
        <v>150</v>
      </c>
      <c r="N34" s="44"/>
      <c r="O34" s="43" t="s">
        <v>150</v>
      </c>
      <c r="P34" s="43" t="s">
        <v>150</v>
      </c>
      <c r="Q34" s="43" t="s">
        <v>150</v>
      </c>
      <c r="R34" s="43" t="s">
        <v>150</v>
      </c>
      <c r="S34" s="20" t="s">
        <v>149</v>
      </c>
      <c r="T34" s="37" t="s">
        <v>150</v>
      </c>
      <c r="U34" s="44"/>
      <c r="V34" s="43" t="s">
        <v>150</v>
      </c>
      <c r="W34" s="43" t="s">
        <v>150</v>
      </c>
      <c r="X34" s="40" t="s">
        <v>150</v>
      </c>
      <c r="Y34" s="40" t="s">
        <v>150</v>
      </c>
      <c r="Z34" s="47" t="s">
        <v>149</v>
      </c>
      <c r="AA34" s="39" t="s">
        <v>150</v>
      </c>
      <c r="AB34" s="44"/>
      <c r="AC34" s="47" t="s">
        <v>149</v>
      </c>
      <c r="AD34" s="47" t="s">
        <v>149</v>
      </c>
      <c r="AE34" s="40" t="s">
        <v>150</v>
      </c>
      <c r="AF34" s="40" t="s">
        <v>150</v>
      </c>
      <c r="AG34" s="40" t="s">
        <v>150</v>
      </c>
      <c r="AH34" s="39" t="s">
        <v>150</v>
      </c>
      <c r="AI34" s="44"/>
      <c r="AJ34" s="40" t="s">
        <v>150</v>
      </c>
      <c r="AK34" s="40" t="s">
        <v>150</v>
      </c>
      <c r="AL34" s="40" t="s">
        <v>150</v>
      </c>
      <c r="AM34" s="40" t="s">
        <v>150</v>
      </c>
      <c r="AN34" s="40" t="s">
        <v>150</v>
      </c>
      <c r="AO34" s="39" t="s">
        <v>150</v>
      </c>
      <c r="AP34" s="44"/>
      <c r="AQ34" s="47" t="s">
        <v>149</v>
      </c>
      <c r="AR34" s="40" t="s">
        <v>150</v>
      </c>
      <c r="AS34" s="47" t="s">
        <v>149</v>
      </c>
      <c r="AT34" s="47" t="s">
        <v>149</v>
      </c>
      <c r="AU34" s="47" t="s">
        <v>149</v>
      </c>
      <c r="AV34" s="47" t="s">
        <v>149</v>
      </c>
      <c r="AW34" s="24"/>
      <c r="AX34" s="47" t="s">
        <v>149</v>
      </c>
      <c r="AY34" s="47" t="s">
        <v>149</v>
      </c>
      <c r="AZ34" s="47" t="s">
        <v>149</v>
      </c>
      <c r="BA34" s="47" t="s">
        <v>149</v>
      </c>
      <c r="BB34" s="47" t="s">
        <v>149</v>
      </c>
      <c r="BC34" s="24"/>
      <c r="BD34" s="47" t="s">
        <v>149</v>
      </c>
      <c r="BE34" s="2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</row>
    <row r="35">
      <c r="A35" s="5">
        <v>32.0</v>
      </c>
      <c r="B35" s="33" t="s">
        <v>242</v>
      </c>
      <c r="C35" s="33" t="s">
        <v>243</v>
      </c>
      <c r="D35" s="5">
        <f t="shared" si="4"/>
        <v>0</v>
      </c>
      <c r="E35" s="5">
        <f t="shared" si="5"/>
        <v>32</v>
      </c>
      <c r="F35" s="3">
        <f t="shared" si="2"/>
        <v>32</v>
      </c>
      <c r="G35" s="36">
        <f t="shared" si="3"/>
        <v>0</v>
      </c>
      <c r="H35" s="20" t="s">
        <v>149</v>
      </c>
      <c r="I35" s="20" t="s">
        <v>149</v>
      </c>
      <c r="J35" s="20" t="s">
        <v>149</v>
      </c>
      <c r="K35" s="20" t="s">
        <v>149</v>
      </c>
      <c r="L35" s="20" t="s">
        <v>149</v>
      </c>
      <c r="M35" s="21" t="s">
        <v>149</v>
      </c>
      <c r="N35" s="44"/>
      <c r="O35" s="20" t="s">
        <v>149</v>
      </c>
      <c r="P35" s="20" t="s">
        <v>149</v>
      </c>
      <c r="Q35" s="20" t="s">
        <v>149</v>
      </c>
      <c r="R35" s="20" t="s">
        <v>149</v>
      </c>
      <c r="S35" s="20" t="s">
        <v>149</v>
      </c>
      <c r="T35" s="21" t="s">
        <v>149</v>
      </c>
      <c r="U35" s="44"/>
      <c r="V35" s="20" t="s">
        <v>149</v>
      </c>
      <c r="W35" s="20" t="s">
        <v>149</v>
      </c>
      <c r="X35" s="47" t="s">
        <v>149</v>
      </c>
      <c r="Y35" s="47" t="s">
        <v>149</v>
      </c>
      <c r="Z35" s="47" t="s">
        <v>149</v>
      </c>
      <c r="AA35" s="48" t="s">
        <v>149</v>
      </c>
      <c r="AB35" s="44"/>
      <c r="AC35" s="47" t="s">
        <v>149</v>
      </c>
      <c r="AD35" s="47" t="s">
        <v>149</v>
      </c>
      <c r="AE35" s="47" t="s">
        <v>149</v>
      </c>
      <c r="AF35" s="47" t="s">
        <v>149</v>
      </c>
      <c r="AG35" s="47" t="s">
        <v>149</v>
      </c>
      <c r="AH35" s="48" t="s">
        <v>149</v>
      </c>
      <c r="AI35" s="44"/>
      <c r="AJ35" s="47" t="s">
        <v>149</v>
      </c>
      <c r="AK35" s="47" t="s">
        <v>149</v>
      </c>
      <c r="AL35" s="47" t="s">
        <v>149</v>
      </c>
      <c r="AM35" s="47" t="s">
        <v>149</v>
      </c>
      <c r="AN35" s="47" t="s">
        <v>149</v>
      </c>
      <c r="AO35" s="48" t="s">
        <v>149</v>
      </c>
      <c r="AP35" s="44"/>
      <c r="AQ35" s="47" t="s">
        <v>149</v>
      </c>
      <c r="AR35" s="47" t="s">
        <v>149</v>
      </c>
      <c r="AS35" s="47" t="s">
        <v>149</v>
      </c>
      <c r="AT35" s="40" t="s">
        <v>150</v>
      </c>
      <c r="AU35" s="40" t="s">
        <v>150</v>
      </c>
      <c r="AV35" s="40" t="s">
        <v>150</v>
      </c>
      <c r="AW35" s="24"/>
      <c r="AX35" s="40" t="s">
        <v>150</v>
      </c>
      <c r="AY35" s="40" t="s">
        <v>150</v>
      </c>
      <c r="AZ35" s="40" t="s">
        <v>150</v>
      </c>
      <c r="BA35" s="40" t="s">
        <v>150</v>
      </c>
      <c r="BB35" s="40" t="s">
        <v>150</v>
      </c>
      <c r="BC35" s="24"/>
      <c r="BD35" s="40" t="s">
        <v>150</v>
      </c>
      <c r="BE35" s="2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</row>
    <row r="36">
      <c r="A36" s="5">
        <v>33.0</v>
      </c>
      <c r="B36" s="32" t="s">
        <v>247</v>
      </c>
      <c r="C36" s="32" t="s">
        <v>248</v>
      </c>
      <c r="D36" s="5">
        <f t="shared" si="4"/>
        <v>27</v>
      </c>
      <c r="E36" s="5">
        <f t="shared" si="5"/>
        <v>5</v>
      </c>
      <c r="F36" s="3">
        <f t="shared" si="2"/>
        <v>32</v>
      </c>
      <c r="G36" s="36">
        <f t="shared" si="3"/>
        <v>84.375</v>
      </c>
      <c r="H36" s="43" t="s">
        <v>182</v>
      </c>
      <c r="I36" s="43" t="s">
        <v>182</v>
      </c>
      <c r="J36" s="43" t="s">
        <v>182</v>
      </c>
      <c r="K36" s="43" t="s">
        <v>182</v>
      </c>
      <c r="L36" s="43" t="s">
        <v>182</v>
      </c>
      <c r="M36" s="37" t="s">
        <v>182</v>
      </c>
      <c r="N36" s="44"/>
      <c r="O36" s="43" t="s">
        <v>182</v>
      </c>
      <c r="P36" s="43" t="s">
        <v>182</v>
      </c>
      <c r="Q36" s="43" t="s">
        <v>182</v>
      </c>
      <c r="R36" s="43" t="s">
        <v>182</v>
      </c>
      <c r="S36" s="43" t="s">
        <v>182</v>
      </c>
      <c r="T36" s="37" t="s">
        <v>182</v>
      </c>
      <c r="U36" s="44"/>
      <c r="V36" s="43" t="s">
        <v>182</v>
      </c>
      <c r="W36" s="43" t="s">
        <v>182</v>
      </c>
      <c r="X36" s="40" t="s">
        <v>182</v>
      </c>
      <c r="Y36" s="40" t="s">
        <v>182</v>
      </c>
      <c r="Z36" s="40" t="s">
        <v>182</v>
      </c>
      <c r="AA36" s="39" t="s">
        <v>150</v>
      </c>
      <c r="AB36" s="44"/>
      <c r="AC36" s="40" t="s">
        <v>182</v>
      </c>
      <c r="AD36" s="47" t="s">
        <v>149</v>
      </c>
      <c r="AE36" s="40" t="s">
        <v>150</v>
      </c>
      <c r="AF36" s="47" t="s">
        <v>149</v>
      </c>
      <c r="AG36" s="47" t="s">
        <v>149</v>
      </c>
      <c r="AH36" s="39" t="s">
        <v>150</v>
      </c>
      <c r="AI36" s="44"/>
      <c r="AJ36" s="40" t="s">
        <v>150</v>
      </c>
      <c r="AK36" s="40" t="s">
        <v>150</v>
      </c>
      <c r="AL36" s="40" t="s">
        <v>182</v>
      </c>
      <c r="AM36" s="40" t="s">
        <v>182</v>
      </c>
      <c r="AN36" s="47" t="s">
        <v>149</v>
      </c>
      <c r="AO36" s="39" t="s">
        <v>150</v>
      </c>
      <c r="AP36" s="44"/>
      <c r="AQ36" s="47" t="s">
        <v>149</v>
      </c>
      <c r="AR36" s="40" t="s">
        <v>150</v>
      </c>
      <c r="AS36" s="40" t="s">
        <v>150</v>
      </c>
      <c r="AT36" s="40" t="s">
        <v>150</v>
      </c>
      <c r="AU36" s="40" t="s">
        <v>150</v>
      </c>
      <c r="AV36" s="40" t="s">
        <v>150</v>
      </c>
      <c r="AW36" s="24"/>
      <c r="AX36" s="40" t="s">
        <v>150</v>
      </c>
      <c r="AY36" s="40" t="s">
        <v>150</v>
      </c>
      <c r="AZ36" s="40" t="s">
        <v>150</v>
      </c>
      <c r="BA36" s="40" t="s">
        <v>150</v>
      </c>
      <c r="BB36" s="40" t="s">
        <v>150</v>
      </c>
      <c r="BC36" s="24"/>
      <c r="BD36" s="40" t="s">
        <v>150</v>
      </c>
      <c r="BE36" s="2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</row>
    <row r="37">
      <c r="A37" s="5">
        <v>34.0</v>
      </c>
      <c r="B37" s="32" t="s">
        <v>251</v>
      </c>
      <c r="C37" s="19" t="s">
        <v>253</v>
      </c>
      <c r="D37" s="5">
        <f t="shared" si="4"/>
        <v>30</v>
      </c>
      <c r="E37" s="5">
        <f t="shared" si="5"/>
        <v>2</v>
      </c>
      <c r="F37" s="3">
        <f t="shared" si="2"/>
        <v>32</v>
      </c>
      <c r="G37" s="36">
        <f t="shared" si="3"/>
        <v>93.75</v>
      </c>
      <c r="H37" s="43" t="s">
        <v>150</v>
      </c>
      <c r="I37" s="43" t="s">
        <v>150</v>
      </c>
      <c r="J37" s="43" t="s">
        <v>150</v>
      </c>
      <c r="K37" s="43" t="s">
        <v>182</v>
      </c>
      <c r="L37" s="43" t="s">
        <v>182</v>
      </c>
      <c r="M37" s="37" t="s">
        <v>182</v>
      </c>
      <c r="N37" s="44"/>
      <c r="O37" s="43" t="s">
        <v>182</v>
      </c>
      <c r="P37" s="43" t="s">
        <v>182</v>
      </c>
      <c r="Q37" s="43" t="s">
        <v>182</v>
      </c>
      <c r="R37" s="43" t="s">
        <v>182</v>
      </c>
      <c r="S37" s="43" t="s">
        <v>182</v>
      </c>
      <c r="T37" s="37" t="s">
        <v>182</v>
      </c>
      <c r="U37" s="44"/>
      <c r="V37" s="43" t="s">
        <v>182</v>
      </c>
      <c r="W37" s="43" t="s">
        <v>182</v>
      </c>
      <c r="X37" s="40" t="s">
        <v>150</v>
      </c>
      <c r="Y37" s="40" t="s">
        <v>150</v>
      </c>
      <c r="Z37" s="40" t="s">
        <v>150</v>
      </c>
      <c r="AA37" s="39" t="s">
        <v>150</v>
      </c>
      <c r="AB37" s="44"/>
      <c r="AC37" s="40" t="s">
        <v>150</v>
      </c>
      <c r="AD37" s="40" t="s">
        <v>150</v>
      </c>
      <c r="AE37" s="40" t="s">
        <v>150</v>
      </c>
      <c r="AF37" s="40" t="s">
        <v>150</v>
      </c>
      <c r="AG37" s="40" t="s">
        <v>150</v>
      </c>
      <c r="AH37" s="39" t="s">
        <v>150</v>
      </c>
      <c r="AI37" s="44"/>
      <c r="AJ37" s="40" t="s">
        <v>150</v>
      </c>
      <c r="AK37" s="40" t="s">
        <v>150</v>
      </c>
      <c r="AL37" s="40" t="s">
        <v>150</v>
      </c>
      <c r="AM37" s="40" t="s">
        <v>150</v>
      </c>
      <c r="AN37" s="40" t="s">
        <v>150</v>
      </c>
      <c r="AO37" s="48" t="s">
        <v>149</v>
      </c>
      <c r="AP37" s="44"/>
      <c r="AQ37" s="40" t="s">
        <v>150</v>
      </c>
      <c r="AR37" s="47" t="s">
        <v>149</v>
      </c>
      <c r="AS37" s="40" t="s">
        <v>150</v>
      </c>
      <c r="AT37" s="40" t="s">
        <v>150</v>
      </c>
      <c r="AU37" s="40" t="s">
        <v>150</v>
      </c>
      <c r="AV37" s="40" t="s">
        <v>150</v>
      </c>
      <c r="AW37" s="24"/>
      <c r="AX37" s="40" t="s">
        <v>150</v>
      </c>
      <c r="AY37" s="40" t="s">
        <v>150</v>
      </c>
      <c r="AZ37" s="40" t="s">
        <v>150</v>
      </c>
      <c r="BA37" s="40" t="s">
        <v>150</v>
      </c>
      <c r="BB37" s="40" t="s">
        <v>150</v>
      </c>
      <c r="BC37" s="24"/>
      <c r="BD37" s="40" t="s">
        <v>150</v>
      </c>
      <c r="BE37" s="2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</row>
    <row r="38">
      <c r="A38" s="5">
        <v>35.0</v>
      </c>
      <c r="B38" s="32" t="s">
        <v>256</v>
      </c>
      <c r="C38" s="14"/>
      <c r="D38" s="5">
        <f t="shared" si="4"/>
        <v>10</v>
      </c>
      <c r="E38" s="5">
        <f t="shared" si="5"/>
        <v>22</v>
      </c>
      <c r="F38" s="3">
        <f t="shared" si="2"/>
        <v>32</v>
      </c>
      <c r="G38" s="36">
        <f t="shared" si="3"/>
        <v>31.25</v>
      </c>
      <c r="H38" s="51" t="s">
        <v>149</v>
      </c>
      <c r="I38" s="51" t="s">
        <v>149</v>
      </c>
      <c r="J38" s="51" t="s">
        <v>149</v>
      </c>
      <c r="K38" s="51" t="s">
        <v>149</v>
      </c>
      <c r="L38" s="49" t="s">
        <v>150</v>
      </c>
      <c r="M38" s="50" t="s">
        <v>150</v>
      </c>
      <c r="N38" s="44"/>
      <c r="O38" s="49" t="s">
        <v>150</v>
      </c>
      <c r="P38" s="49" t="s">
        <v>150</v>
      </c>
      <c r="Q38" s="51" t="s">
        <v>149</v>
      </c>
      <c r="R38" s="49" t="s">
        <v>150</v>
      </c>
      <c r="S38" s="51" t="s">
        <v>149</v>
      </c>
      <c r="T38" s="50" t="s">
        <v>150</v>
      </c>
      <c r="U38" s="44"/>
      <c r="V38" s="43" t="s">
        <v>150</v>
      </c>
      <c r="W38" s="43" t="s">
        <v>150</v>
      </c>
      <c r="X38" s="46" t="s">
        <v>150</v>
      </c>
      <c r="Y38" s="46" t="s">
        <v>150</v>
      </c>
      <c r="Z38" s="52" t="s">
        <v>149</v>
      </c>
      <c r="AA38" s="53" t="s">
        <v>149</v>
      </c>
      <c r="AB38" s="44"/>
      <c r="AC38" s="47" t="s">
        <v>149</v>
      </c>
      <c r="AD38" s="47" t="s">
        <v>149</v>
      </c>
      <c r="AE38" s="47" t="s">
        <v>149</v>
      </c>
      <c r="AF38" s="47" t="s">
        <v>149</v>
      </c>
      <c r="AG38" s="47" t="s">
        <v>149</v>
      </c>
      <c r="AH38" s="48" t="s">
        <v>149</v>
      </c>
      <c r="AI38" s="44"/>
      <c r="AJ38" s="47" t="s">
        <v>149</v>
      </c>
      <c r="AK38" s="47" t="s">
        <v>149</v>
      </c>
      <c r="AL38" s="47" t="s">
        <v>149</v>
      </c>
      <c r="AM38" s="47" t="s">
        <v>149</v>
      </c>
      <c r="AN38" s="47" t="s">
        <v>149</v>
      </c>
      <c r="AO38" s="48" t="s">
        <v>149</v>
      </c>
      <c r="AP38" s="44"/>
      <c r="AQ38" s="47" t="s">
        <v>149</v>
      </c>
      <c r="AR38" s="47" t="s">
        <v>149</v>
      </c>
      <c r="AS38" s="47" t="s">
        <v>149</v>
      </c>
      <c r="AT38" s="47" t="s">
        <v>149</v>
      </c>
      <c r="AU38" s="47" t="s">
        <v>149</v>
      </c>
      <c r="AV38" s="47" t="s">
        <v>149</v>
      </c>
      <c r="AW38" s="24"/>
      <c r="AX38" s="47" t="s">
        <v>149</v>
      </c>
      <c r="AY38" s="47" t="s">
        <v>149</v>
      </c>
      <c r="AZ38" s="47" t="s">
        <v>149</v>
      </c>
      <c r="BA38" s="47" t="s">
        <v>149</v>
      </c>
      <c r="BB38" s="47" t="s">
        <v>149</v>
      </c>
      <c r="BC38" s="24"/>
      <c r="BD38" s="47" t="s">
        <v>149</v>
      </c>
      <c r="BE38" s="2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</row>
    <row r="39">
      <c r="A39" s="5">
        <v>36.0</v>
      </c>
      <c r="B39" s="32" t="s">
        <v>259</v>
      </c>
      <c r="C39" s="32" t="s">
        <v>260</v>
      </c>
      <c r="D39" s="5">
        <f t="shared" si="4"/>
        <v>25</v>
      </c>
      <c r="E39" s="5">
        <f t="shared" si="5"/>
        <v>7</v>
      </c>
      <c r="F39" s="3">
        <f t="shared" si="2"/>
        <v>32</v>
      </c>
      <c r="G39" s="36">
        <f t="shared" si="3"/>
        <v>78.125</v>
      </c>
      <c r="H39" s="20" t="s">
        <v>149</v>
      </c>
      <c r="I39" s="20" t="s">
        <v>149</v>
      </c>
      <c r="J39" s="20" t="s">
        <v>149</v>
      </c>
      <c r="K39" s="43" t="s">
        <v>150</v>
      </c>
      <c r="L39" s="43" t="s">
        <v>150</v>
      </c>
      <c r="M39" s="21" t="s">
        <v>149</v>
      </c>
      <c r="N39" s="44"/>
      <c r="O39" s="43" t="s">
        <v>150</v>
      </c>
      <c r="P39" s="43" t="s">
        <v>150</v>
      </c>
      <c r="Q39" s="43" t="s">
        <v>150</v>
      </c>
      <c r="R39" s="43" t="s">
        <v>150</v>
      </c>
      <c r="S39" s="43" t="s">
        <v>150</v>
      </c>
      <c r="T39" s="37" t="s">
        <v>150</v>
      </c>
      <c r="U39" s="44"/>
      <c r="V39" s="43" t="s">
        <v>150</v>
      </c>
      <c r="W39" s="43" t="s">
        <v>150</v>
      </c>
      <c r="X39" s="40" t="s">
        <v>150</v>
      </c>
      <c r="Y39" s="40" t="s">
        <v>150</v>
      </c>
      <c r="Z39" s="40" t="s">
        <v>150</v>
      </c>
      <c r="AA39" s="39" t="s">
        <v>150</v>
      </c>
      <c r="AB39" s="44"/>
      <c r="AC39" s="47" t="s">
        <v>149</v>
      </c>
      <c r="AD39" s="40" t="s">
        <v>150</v>
      </c>
      <c r="AE39" s="40" t="s">
        <v>150</v>
      </c>
      <c r="AF39" s="40" t="s">
        <v>150</v>
      </c>
      <c r="AG39" s="47" t="s">
        <v>149</v>
      </c>
      <c r="AH39" s="39" t="s">
        <v>150</v>
      </c>
      <c r="AI39" s="44"/>
      <c r="AJ39" s="40" t="s">
        <v>150</v>
      </c>
      <c r="AK39" s="40" t="s">
        <v>150</v>
      </c>
      <c r="AL39" s="40" t="s">
        <v>150</v>
      </c>
      <c r="AM39" s="40" t="s">
        <v>150</v>
      </c>
      <c r="AN39" s="40" t="s">
        <v>150</v>
      </c>
      <c r="AO39" s="48" t="s">
        <v>149</v>
      </c>
      <c r="AP39" s="44"/>
      <c r="AQ39" s="40" t="s">
        <v>150</v>
      </c>
      <c r="AR39" s="40" t="s">
        <v>150</v>
      </c>
      <c r="AS39" s="40" t="s">
        <v>150</v>
      </c>
      <c r="AT39" s="40" t="s">
        <v>150</v>
      </c>
      <c r="AU39" s="40" t="s">
        <v>150</v>
      </c>
      <c r="AV39" s="40" t="s">
        <v>150</v>
      </c>
      <c r="AW39" s="24"/>
      <c r="AX39" s="40" t="s">
        <v>150</v>
      </c>
      <c r="AY39" s="40" t="s">
        <v>150</v>
      </c>
      <c r="AZ39" s="40" t="s">
        <v>150</v>
      </c>
      <c r="BA39" s="40" t="s">
        <v>150</v>
      </c>
      <c r="BB39" s="40" t="s">
        <v>150</v>
      </c>
      <c r="BC39" s="24"/>
      <c r="BD39" s="40" t="s">
        <v>150</v>
      </c>
      <c r="BE39" s="2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</row>
    <row r="40">
      <c r="A40" s="5">
        <v>37.0</v>
      </c>
      <c r="B40" s="32" t="s">
        <v>262</v>
      </c>
      <c r="C40" s="32" t="s">
        <v>263</v>
      </c>
      <c r="D40" s="5">
        <f t="shared" si="4"/>
        <v>32</v>
      </c>
      <c r="E40" s="5">
        <f t="shared" si="5"/>
        <v>0</v>
      </c>
      <c r="F40" s="3">
        <f t="shared" si="2"/>
        <v>32</v>
      </c>
      <c r="G40" s="36">
        <f t="shared" si="3"/>
        <v>100</v>
      </c>
      <c r="H40" s="43" t="s">
        <v>150</v>
      </c>
      <c r="I40" s="43" t="s">
        <v>150</v>
      </c>
      <c r="J40" s="43" t="s">
        <v>150</v>
      </c>
      <c r="K40" s="43" t="s">
        <v>150</v>
      </c>
      <c r="L40" s="43" t="s">
        <v>150</v>
      </c>
      <c r="M40" s="37" t="s">
        <v>150</v>
      </c>
      <c r="N40" s="44"/>
      <c r="O40" s="43" t="s">
        <v>150</v>
      </c>
      <c r="P40" s="43" t="s">
        <v>150</v>
      </c>
      <c r="Q40" s="43" t="s">
        <v>150</v>
      </c>
      <c r="R40" s="43" t="s">
        <v>150</v>
      </c>
      <c r="S40" s="43" t="s">
        <v>150</v>
      </c>
      <c r="T40" s="37" t="s">
        <v>150</v>
      </c>
      <c r="U40" s="44"/>
      <c r="V40" s="43" t="s">
        <v>150</v>
      </c>
      <c r="W40" s="43" t="s">
        <v>150</v>
      </c>
      <c r="X40" s="40" t="s">
        <v>150</v>
      </c>
      <c r="Y40" s="40" t="s">
        <v>150</v>
      </c>
      <c r="Z40" s="40" t="s">
        <v>150</v>
      </c>
      <c r="AA40" s="39" t="s">
        <v>150</v>
      </c>
      <c r="AB40" s="44"/>
      <c r="AC40" s="40" t="s">
        <v>150</v>
      </c>
      <c r="AD40" s="40" t="s">
        <v>150</v>
      </c>
      <c r="AE40" s="40" t="s">
        <v>150</v>
      </c>
      <c r="AF40" s="40" t="s">
        <v>150</v>
      </c>
      <c r="AG40" s="40" t="s">
        <v>150</v>
      </c>
      <c r="AH40" s="39" t="s">
        <v>150</v>
      </c>
      <c r="AI40" s="44"/>
      <c r="AJ40" s="40" t="s">
        <v>150</v>
      </c>
      <c r="AK40" s="40" t="s">
        <v>150</v>
      </c>
      <c r="AL40" s="40" t="s">
        <v>150</v>
      </c>
      <c r="AM40" s="40" t="s">
        <v>150</v>
      </c>
      <c r="AN40" s="40" t="s">
        <v>150</v>
      </c>
      <c r="AO40" s="39" t="s">
        <v>150</v>
      </c>
      <c r="AP40" s="44"/>
      <c r="AQ40" s="40" t="s">
        <v>150</v>
      </c>
      <c r="AR40" s="40" t="s">
        <v>150</v>
      </c>
      <c r="AS40" s="40" t="s">
        <v>150</v>
      </c>
      <c r="AT40" s="40" t="s">
        <v>150</v>
      </c>
      <c r="AU40" s="40" t="s">
        <v>150</v>
      </c>
      <c r="AV40" s="40" t="s">
        <v>150</v>
      </c>
      <c r="AW40" s="24"/>
      <c r="AX40" s="40" t="s">
        <v>150</v>
      </c>
      <c r="AY40" s="40" t="s">
        <v>150</v>
      </c>
      <c r="AZ40" s="40" t="s">
        <v>150</v>
      </c>
      <c r="BA40" s="40" t="s">
        <v>150</v>
      </c>
      <c r="BB40" s="40" t="s">
        <v>150</v>
      </c>
      <c r="BC40" s="24"/>
      <c r="BD40" s="40" t="s">
        <v>150</v>
      </c>
      <c r="BE40" s="2"/>
      <c r="BF40" s="41"/>
      <c r="BG40" s="41"/>
      <c r="BH40" s="41"/>
      <c r="BI40" s="41"/>
      <c r="BJ40" s="41"/>
      <c r="BK40" s="41"/>
      <c r="BL40" s="41"/>
      <c r="BM40" s="41"/>
      <c r="BN40" s="41"/>
      <c r="BO40" s="41"/>
      <c r="BP40" s="41"/>
      <c r="BQ40" s="41"/>
      <c r="BR40" s="41"/>
      <c r="BS40" s="41"/>
      <c r="BT40" s="41"/>
      <c r="BU40" s="41"/>
      <c r="BV40" s="41"/>
    </row>
    <row r="41">
      <c r="A41" s="5">
        <v>38.0</v>
      </c>
      <c r="B41" s="32" t="s">
        <v>266</v>
      </c>
      <c r="C41" s="2" t="s">
        <v>527</v>
      </c>
      <c r="D41" s="5">
        <f t="shared" si="4"/>
        <v>20</v>
      </c>
      <c r="E41" s="5">
        <f t="shared" si="5"/>
        <v>12</v>
      </c>
      <c r="F41" s="3">
        <f t="shared" si="2"/>
        <v>32</v>
      </c>
      <c r="G41" s="36">
        <f t="shared" si="3"/>
        <v>62.5</v>
      </c>
      <c r="H41" s="20" t="s">
        <v>149</v>
      </c>
      <c r="I41" s="20" t="s">
        <v>149</v>
      </c>
      <c r="J41" s="20" t="s">
        <v>149</v>
      </c>
      <c r="K41" s="43" t="s">
        <v>150</v>
      </c>
      <c r="L41" s="43" t="s">
        <v>150</v>
      </c>
      <c r="M41" s="37" t="s">
        <v>150</v>
      </c>
      <c r="N41" s="44"/>
      <c r="O41" s="43" t="s">
        <v>150</v>
      </c>
      <c r="P41" s="43" t="s">
        <v>150</v>
      </c>
      <c r="Q41" s="43" t="s">
        <v>150</v>
      </c>
      <c r="R41" s="43" t="s">
        <v>150</v>
      </c>
      <c r="S41" s="43" t="s">
        <v>150</v>
      </c>
      <c r="T41" s="37" t="s">
        <v>150</v>
      </c>
      <c r="U41" s="44"/>
      <c r="V41" s="43" t="s">
        <v>150</v>
      </c>
      <c r="W41" s="43" t="s">
        <v>150</v>
      </c>
      <c r="X41" s="47" t="s">
        <v>149</v>
      </c>
      <c r="Y41" s="47" t="s">
        <v>149</v>
      </c>
      <c r="Z41" s="40" t="s">
        <v>150</v>
      </c>
      <c r="AA41" s="48" t="s">
        <v>149</v>
      </c>
      <c r="AB41" s="44"/>
      <c r="AC41" s="47" t="s">
        <v>149</v>
      </c>
      <c r="AD41" s="47" t="s">
        <v>149</v>
      </c>
      <c r="AE41" s="47" t="s">
        <v>149</v>
      </c>
      <c r="AF41" s="47" t="s">
        <v>149</v>
      </c>
      <c r="AG41" s="47" t="s">
        <v>149</v>
      </c>
      <c r="AH41" s="48" t="s">
        <v>149</v>
      </c>
      <c r="AI41" s="44"/>
      <c r="AJ41" s="40" t="s">
        <v>150</v>
      </c>
      <c r="AK41" s="40" t="s">
        <v>150</v>
      </c>
      <c r="AL41" s="40" t="s">
        <v>150</v>
      </c>
      <c r="AM41" s="40" t="s">
        <v>150</v>
      </c>
      <c r="AN41" s="40" t="s">
        <v>150</v>
      </c>
      <c r="AO41" s="39" t="s">
        <v>150</v>
      </c>
      <c r="AP41" s="44"/>
      <c r="AQ41" s="40" t="s">
        <v>150</v>
      </c>
      <c r="AR41" s="40" t="s">
        <v>150</v>
      </c>
      <c r="AS41" s="40" t="s">
        <v>150</v>
      </c>
      <c r="AT41" s="47" t="s">
        <v>149</v>
      </c>
      <c r="AU41" s="47" t="s">
        <v>149</v>
      </c>
      <c r="AV41" s="47" t="s">
        <v>149</v>
      </c>
      <c r="AW41" s="24"/>
      <c r="AX41" s="47" t="s">
        <v>149</v>
      </c>
      <c r="AY41" s="47" t="s">
        <v>149</v>
      </c>
      <c r="AZ41" s="47" t="s">
        <v>149</v>
      </c>
      <c r="BA41" s="47" t="s">
        <v>149</v>
      </c>
      <c r="BB41" s="47" t="s">
        <v>149</v>
      </c>
      <c r="BC41" s="24"/>
      <c r="BD41" s="47" t="s">
        <v>149</v>
      </c>
      <c r="BE41" s="2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</row>
    <row r="42">
      <c r="A42" s="5">
        <v>39.0</v>
      </c>
      <c r="B42" s="32" t="s">
        <v>271</v>
      </c>
      <c r="C42" s="32" t="s">
        <v>272</v>
      </c>
      <c r="D42" s="5">
        <f t="shared" si="4"/>
        <v>25</v>
      </c>
      <c r="E42" s="5">
        <f t="shared" si="5"/>
        <v>7</v>
      </c>
      <c r="F42" s="3">
        <f t="shared" si="2"/>
        <v>32</v>
      </c>
      <c r="G42" s="36">
        <f t="shared" si="3"/>
        <v>78.125</v>
      </c>
      <c r="H42" s="43" t="s">
        <v>150</v>
      </c>
      <c r="I42" s="20" t="s">
        <v>149</v>
      </c>
      <c r="J42" s="43" t="s">
        <v>150</v>
      </c>
      <c r="K42" s="43" t="s">
        <v>150</v>
      </c>
      <c r="L42" s="43" t="s">
        <v>150</v>
      </c>
      <c r="M42" s="37" t="s">
        <v>150</v>
      </c>
      <c r="N42" s="44"/>
      <c r="O42" s="43" t="s">
        <v>150</v>
      </c>
      <c r="P42" s="43" t="s">
        <v>150</v>
      </c>
      <c r="Q42" s="20" t="s">
        <v>149</v>
      </c>
      <c r="R42" s="43" t="s">
        <v>150</v>
      </c>
      <c r="S42" s="43" t="s">
        <v>150</v>
      </c>
      <c r="T42" s="37" t="s">
        <v>150</v>
      </c>
      <c r="U42" s="44"/>
      <c r="V42" s="43" t="s">
        <v>150</v>
      </c>
      <c r="W42" s="43" t="s">
        <v>150</v>
      </c>
      <c r="X42" s="40" t="s">
        <v>150</v>
      </c>
      <c r="Y42" s="40" t="s">
        <v>150</v>
      </c>
      <c r="Z42" s="40" t="s">
        <v>150</v>
      </c>
      <c r="AA42" s="39" t="s">
        <v>150</v>
      </c>
      <c r="AB42" s="44"/>
      <c r="AC42" s="47" t="s">
        <v>149</v>
      </c>
      <c r="AD42" s="40" t="s">
        <v>150</v>
      </c>
      <c r="AE42" s="40" t="s">
        <v>150</v>
      </c>
      <c r="AF42" s="40" t="s">
        <v>150</v>
      </c>
      <c r="AG42" s="40" t="s">
        <v>150</v>
      </c>
      <c r="AH42" s="48" t="s">
        <v>149</v>
      </c>
      <c r="AI42" s="44"/>
      <c r="AJ42" s="47" t="s">
        <v>149</v>
      </c>
      <c r="AK42" s="40" t="s">
        <v>150</v>
      </c>
      <c r="AL42" s="40" t="s">
        <v>150</v>
      </c>
      <c r="AM42" s="47" t="s">
        <v>149</v>
      </c>
      <c r="AN42" s="40" t="s">
        <v>150</v>
      </c>
      <c r="AO42" s="48" t="s">
        <v>149</v>
      </c>
      <c r="AP42" s="44"/>
      <c r="AQ42" s="40" t="s">
        <v>150</v>
      </c>
      <c r="AR42" s="40" t="s">
        <v>150</v>
      </c>
      <c r="AS42" s="47" t="s">
        <v>149</v>
      </c>
      <c r="AT42" s="40" t="s">
        <v>150</v>
      </c>
      <c r="AU42" s="40" t="s">
        <v>150</v>
      </c>
      <c r="AV42" s="40" t="s">
        <v>150</v>
      </c>
      <c r="AW42" s="24"/>
      <c r="AX42" s="40" t="s">
        <v>150</v>
      </c>
      <c r="AY42" s="40" t="s">
        <v>150</v>
      </c>
      <c r="AZ42" s="40" t="s">
        <v>150</v>
      </c>
      <c r="BA42" s="40" t="s">
        <v>150</v>
      </c>
      <c r="BB42" s="40" t="s">
        <v>150</v>
      </c>
      <c r="BC42" s="24"/>
      <c r="BD42" s="40" t="s">
        <v>150</v>
      </c>
      <c r="BE42" s="2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</row>
    <row r="43">
      <c r="A43" s="5">
        <v>40.0</v>
      </c>
      <c r="B43" s="32" t="s">
        <v>274</v>
      </c>
      <c r="C43" s="32" t="s">
        <v>275</v>
      </c>
      <c r="D43" s="5">
        <f t="shared" si="4"/>
        <v>30</v>
      </c>
      <c r="E43" s="5">
        <f t="shared" si="5"/>
        <v>2</v>
      </c>
      <c r="F43" s="3">
        <f t="shared" si="2"/>
        <v>32</v>
      </c>
      <c r="G43" s="36">
        <f t="shared" si="3"/>
        <v>93.75</v>
      </c>
      <c r="H43" s="43" t="s">
        <v>150</v>
      </c>
      <c r="I43" s="43" t="s">
        <v>150</v>
      </c>
      <c r="J43" s="43" t="s">
        <v>150</v>
      </c>
      <c r="K43" s="43" t="s">
        <v>150</v>
      </c>
      <c r="L43" s="43" t="s">
        <v>150</v>
      </c>
      <c r="M43" s="37" t="s">
        <v>150</v>
      </c>
      <c r="N43" s="44"/>
      <c r="O43" s="43" t="s">
        <v>150</v>
      </c>
      <c r="P43" s="43" t="s">
        <v>150</v>
      </c>
      <c r="Q43" s="43" t="s">
        <v>150</v>
      </c>
      <c r="R43" s="43" t="s">
        <v>150</v>
      </c>
      <c r="S43" s="43" t="s">
        <v>150</v>
      </c>
      <c r="T43" s="37" t="s">
        <v>150</v>
      </c>
      <c r="U43" s="44"/>
      <c r="V43" s="20" t="s">
        <v>149</v>
      </c>
      <c r="W43" s="43" t="s">
        <v>150</v>
      </c>
      <c r="X43" s="40" t="s">
        <v>150</v>
      </c>
      <c r="Y43" s="40" t="s">
        <v>150</v>
      </c>
      <c r="Z43" s="40" t="s">
        <v>150</v>
      </c>
      <c r="AA43" s="39" t="s">
        <v>150</v>
      </c>
      <c r="AB43" s="44"/>
      <c r="AC43" s="40" t="s">
        <v>150</v>
      </c>
      <c r="AD43" s="40" t="s">
        <v>150</v>
      </c>
      <c r="AE43" s="40" t="s">
        <v>150</v>
      </c>
      <c r="AF43" s="40" t="s">
        <v>150</v>
      </c>
      <c r="AG43" s="40" t="s">
        <v>150</v>
      </c>
      <c r="AH43" s="39" t="s">
        <v>150</v>
      </c>
      <c r="AI43" s="44"/>
      <c r="AJ43" s="40" t="s">
        <v>150</v>
      </c>
      <c r="AK43" s="40" t="s">
        <v>150</v>
      </c>
      <c r="AL43" s="40" t="s">
        <v>150</v>
      </c>
      <c r="AM43" s="47" t="s">
        <v>149</v>
      </c>
      <c r="AN43" s="40" t="s">
        <v>150</v>
      </c>
      <c r="AO43" s="39" t="s">
        <v>150</v>
      </c>
      <c r="AP43" s="44"/>
      <c r="AQ43" s="40" t="s">
        <v>150</v>
      </c>
      <c r="AR43" s="40" t="s">
        <v>150</v>
      </c>
      <c r="AS43" s="40" t="s">
        <v>150</v>
      </c>
      <c r="AT43" s="40" t="s">
        <v>150</v>
      </c>
      <c r="AU43" s="40" t="s">
        <v>150</v>
      </c>
      <c r="AV43" s="40" t="s">
        <v>150</v>
      </c>
      <c r="AW43" s="24"/>
      <c r="AX43" s="40" t="s">
        <v>150</v>
      </c>
      <c r="AY43" s="40" t="s">
        <v>150</v>
      </c>
      <c r="AZ43" s="40" t="s">
        <v>150</v>
      </c>
      <c r="BA43" s="40" t="s">
        <v>150</v>
      </c>
      <c r="BB43" s="40" t="s">
        <v>150</v>
      </c>
      <c r="BC43" s="24"/>
      <c r="BD43" s="40" t="s">
        <v>150</v>
      </c>
      <c r="BE43" s="2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</row>
    <row r="44">
      <c r="A44" s="5">
        <v>41.0</v>
      </c>
      <c r="B44" s="32" t="s">
        <v>277</v>
      </c>
      <c r="C44" s="32" t="s">
        <v>278</v>
      </c>
      <c r="D44" s="5">
        <f t="shared" si="4"/>
        <v>18</v>
      </c>
      <c r="E44" s="5">
        <f t="shared" si="5"/>
        <v>14</v>
      </c>
      <c r="F44" s="3">
        <f t="shared" si="2"/>
        <v>32</v>
      </c>
      <c r="G44" s="36">
        <f t="shared" si="3"/>
        <v>56.25</v>
      </c>
      <c r="H44" s="20" t="s">
        <v>149</v>
      </c>
      <c r="I44" s="20" t="s">
        <v>149</v>
      </c>
      <c r="J44" s="20" t="s">
        <v>149</v>
      </c>
      <c r="K44" s="43" t="s">
        <v>150</v>
      </c>
      <c r="L44" s="43" t="s">
        <v>150</v>
      </c>
      <c r="M44" s="37" t="s">
        <v>150</v>
      </c>
      <c r="N44" s="44"/>
      <c r="O44" s="43" t="s">
        <v>150</v>
      </c>
      <c r="P44" s="43" t="s">
        <v>150</v>
      </c>
      <c r="Q44" s="43" t="s">
        <v>150</v>
      </c>
      <c r="R44" s="43" t="s">
        <v>150</v>
      </c>
      <c r="S44" s="43" t="s">
        <v>150</v>
      </c>
      <c r="T44" s="37" t="s">
        <v>150</v>
      </c>
      <c r="U44" s="44"/>
      <c r="V44" s="43" t="s">
        <v>150</v>
      </c>
      <c r="W44" s="20" t="s">
        <v>149</v>
      </c>
      <c r="X44" s="47" t="s">
        <v>149</v>
      </c>
      <c r="Y44" s="47" t="s">
        <v>149</v>
      </c>
      <c r="Z44" s="47" t="s">
        <v>149</v>
      </c>
      <c r="AA44" s="48" t="s">
        <v>149</v>
      </c>
      <c r="AB44" s="44"/>
      <c r="AC44" s="47" t="s">
        <v>149</v>
      </c>
      <c r="AD44" s="47" t="s">
        <v>149</v>
      </c>
      <c r="AE44" s="47" t="s">
        <v>149</v>
      </c>
      <c r="AF44" s="47" t="s">
        <v>149</v>
      </c>
      <c r="AG44" s="47" t="s">
        <v>149</v>
      </c>
      <c r="AH44" s="39" t="s">
        <v>150</v>
      </c>
      <c r="AI44" s="44"/>
      <c r="AJ44" s="40" t="s">
        <v>150</v>
      </c>
      <c r="AK44" s="40" t="s">
        <v>150</v>
      </c>
      <c r="AL44" s="40" t="s">
        <v>150</v>
      </c>
      <c r="AM44" s="47" t="s">
        <v>149</v>
      </c>
      <c r="AN44" s="40" t="s">
        <v>150</v>
      </c>
      <c r="AO44" s="39" t="s">
        <v>150</v>
      </c>
      <c r="AP44" s="44"/>
      <c r="AQ44" s="40" t="s">
        <v>150</v>
      </c>
      <c r="AR44" s="40" t="s">
        <v>150</v>
      </c>
      <c r="AS44" s="40" t="s">
        <v>150</v>
      </c>
      <c r="AT44" s="40" t="s">
        <v>150</v>
      </c>
      <c r="AU44" s="40" t="s">
        <v>150</v>
      </c>
      <c r="AV44" s="40" t="s">
        <v>150</v>
      </c>
      <c r="AW44" s="24"/>
      <c r="AX44" s="40" t="s">
        <v>150</v>
      </c>
      <c r="AY44" s="40" t="s">
        <v>150</v>
      </c>
      <c r="AZ44" s="40" t="s">
        <v>150</v>
      </c>
      <c r="BA44" s="40" t="s">
        <v>150</v>
      </c>
      <c r="BB44" s="40" t="s">
        <v>150</v>
      </c>
      <c r="BC44" s="24"/>
      <c r="BD44" s="40" t="s">
        <v>150</v>
      </c>
      <c r="BE44" s="2"/>
      <c r="BF44" s="41"/>
      <c r="BG44" s="41"/>
      <c r="BH44" s="41"/>
      <c r="BI44" s="41"/>
      <c r="BJ44" s="41"/>
      <c r="BK44" s="41"/>
      <c r="BL44" s="41"/>
      <c r="BM44" s="41"/>
      <c r="BN44" s="41"/>
      <c r="BO44" s="41"/>
      <c r="BP44" s="41"/>
      <c r="BQ44" s="41"/>
      <c r="BR44" s="41"/>
      <c r="BS44" s="41"/>
      <c r="BT44" s="41"/>
      <c r="BU44" s="41"/>
      <c r="BV44" s="41"/>
    </row>
    <row r="45">
      <c r="A45" s="5">
        <v>42.0</v>
      </c>
      <c r="B45" s="32" t="s">
        <v>281</v>
      </c>
      <c r="C45" s="32" t="s">
        <v>282</v>
      </c>
      <c r="D45" s="5">
        <f t="shared" si="4"/>
        <v>28</v>
      </c>
      <c r="E45" s="5">
        <f t="shared" si="5"/>
        <v>4</v>
      </c>
      <c r="F45" s="3">
        <f t="shared" si="2"/>
        <v>32</v>
      </c>
      <c r="G45" s="36">
        <f t="shared" si="3"/>
        <v>87.5</v>
      </c>
      <c r="H45" s="20" t="s">
        <v>149</v>
      </c>
      <c r="I45" s="20" t="s">
        <v>149</v>
      </c>
      <c r="J45" s="20" t="s">
        <v>149</v>
      </c>
      <c r="K45" s="43" t="s">
        <v>182</v>
      </c>
      <c r="L45" s="43" t="s">
        <v>182</v>
      </c>
      <c r="M45" s="37" t="s">
        <v>182</v>
      </c>
      <c r="N45" s="44"/>
      <c r="O45" s="43" t="s">
        <v>182</v>
      </c>
      <c r="P45" s="43" t="s">
        <v>182</v>
      </c>
      <c r="Q45" s="43" t="s">
        <v>182</v>
      </c>
      <c r="R45" s="43" t="s">
        <v>182</v>
      </c>
      <c r="S45" s="43" t="s">
        <v>182</v>
      </c>
      <c r="T45" s="37" t="s">
        <v>182</v>
      </c>
      <c r="U45" s="44"/>
      <c r="V45" s="43" t="s">
        <v>182</v>
      </c>
      <c r="W45" s="43" t="s">
        <v>182</v>
      </c>
      <c r="X45" s="40" t="s">
        <v>182</v>
      </c>
      <c r="Y45" s="40" t="s">
        <v>182</v>
      </c>
      <c r="Z45" s="46" t="s">
        <v>182</v>
      </c>
      <c r="AA45" s="48" t="s">
        <v>149</v>
      </c>
      <c r="AB45" s="44"/>
      <c r="AC45" s="40" t="s">
        <v>150</v>
      </c>
      <c r="AD45" s="40" t="s">
        <v>150</v>
      </c>
      <c r="AE45" s="40" t="s">
        <v>150</v>
      </c>
      <c r="AF45" s="40" t="s">
        <v>150</v>
      </c>
      <c r="AG45" s="40" t="s">
        <v>150</v>
      </c>
      <c r="AH45" s="39" t="s">
        <v>150</v>
      </c>
      <c r="AI45" s="44"/>
      <c r="AJ45" s="40" t="s">
        <v>150</v>
      </c>
      <c r="AK45" s="40" t="s">
        <v>150</v>
      </c>
      <c r="AL45" s="40" t="s">
        <v>150</v>
      </c>
      <c r="AM45" s="40" t="s">
        <v>150</v>
      </c>
      <c r="AN45" s="40" t="s">
        <v>150</v>
      </c>
      <c r="AO45" s="39" t="s">
        <v>150</v>
      </c>
      <c r="AP45" s="44"/>
      <c r="AQ45" s="40" t="s">
        <v>150</v>
      </c>
      <c r="AR45" s="40" t="s">
        <v>150</v>
      </c>
      <c r="AS45" s="40" t="s">
        <v>150</v>
      </c>
      <c r="AT45" s="40" t="s">
        <v>150</v>
      </c>
      <c r="AU45" s="40" t="s">
        <v>150</v>
      </c>
      <c r="AV45" s="40" t="s">
        <v>150</v>
      </c>
      <c r="AW45" s="24"/>
      <c r="AX45" s="40" t="s">
        <v>150</v>
      </c>
      <c r="AY45" s="40" t="s">
        <v>150</v>
      </c>
      <c r="AZ45" s="40" t="s">
        <v>150</v>
      </c>
      <c r="BA45" s="40" t="s">
        <v>150</v>
      </c>
      <c r="BB45" s="40" t="s">
        <v>150</v>
      </c>
      <c r="BC45" s="24"/>
      <c r="BD45" s="40" t="s">
        <v>150</v>
      </c>
      <c r="BE45" s="2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</row>
    <row r="46">
      <c r="A46" s="5">
        <v>43.0</v>
      </c>
      <c r="B46" s="32" t="s">
        <v>284</v>
      </c>
      <c r="C46" s="74" t="s">
        <v>285</v>
      </c>
      <c r="D46" s="5">
        <f t="shared" si="4"/>
        <v>21</v>
      </c>
      <c r="E46" s="5">
        <f t="shared" si="5"/>
        <v>11</v>
      </c>
      <c r="F46" s="3">
        <f t="shared" si="2"/>
        <v>32</v>
      </c>
      <c r="G46" s="36">
        <f t="shared" si="3"/>
        <v>65.625</v>
      </c>
      <c r="H46" s="51" t="s">
        <v>149</v>
      </c>
      <c r="I46" s="51" t="s">
        <v>149</v>
      </c>
      <c r="J46" s="51" t="s">
        <v>149</v>
      </c>
      <c r="K46" s="51" t="s">
        <v>149</v>
      </c>
      <c r="L46" s="51" t="s">
        <v>149</v>
      </c>
      <c r="M46" s="50" t="s">
        <v>150</v>
      </c>
      <c r="N46" s="44"/>
      <c r="O46" s="51" t="s">
        <v>149</v>
      </c>
      <c r="P46" s="51" t="s">
        <v>149</v>
      </c>
      <c r="Q46" s="43" t="s">
        <v>150</v>
      </c>
      <c r="R46" s="49" t="s">
        <v>150</v>
      </c>
      <c r="S46" s="51" t="s">
        <v>149</v>
      </c>
      <c r="T46" s="50" t="s">
        <v>150</v>
      </c>
      <c r="U46" s="44"/>
      <c r="V46" s="20" t="s">
        <v>149</v>
      </c>
      <c r="W46" s="43" t="s">
        <v>150</v>
      </c>
      <c r="X46" s="46" t="s">
        <v>150</v>
      </c>
      <c r="Y46" s="46" t="s">
        <v>150</v>
      </c>
      <c r="Z46" s="46" t="s">
        <v>150</v>
      </c>
      <c r="AA46" s="46" t="s">
        <v>150</v>
      </c>
      <c r="AB46" s="44"/>
      <c r="AC46" s="40" t="s">
        <v>150</v>
      </c>
      <c r="AD46" s="47" t="s">
        <v>149</v>
      </c>
      <c r="AE46" s="40" t="s">
        <v>150</v>
      </c>
      <c r="AF46" s="40" t="s">
        <v>150</v>
      </c>
      <c r="AG46" s="47" t="s">
        <v>149</v>
      </c>
      <c r="AH46" s="40" t="s">
        <v>150</v>
      </c>
      <c r="AI46" s="44"/>
      <c r="AJ46" s="40" t="s">
        <v>150</v>
      </c>
      <c r="AK46" s="40" t="s">
        <v>150</v>
      </c>
      <c r="AL46" s="40" t="s">
        <v>150</v>
      </c>
      <c r="AM46" s="40" t="s">
        <v>150</v>
      </c>
      <c r="AN46" s="40" t="s">
        <v>150</v>
      </c>
      <c r="AO46" s="40" t="s">
        <v>150</v>
      </c>
      <c r="AP46" s="44"/>
      <c r="AQ46" s="40" t="s">
        <v>150</v>
      </c>
      <c r="AR46" s="40" t="s">
        <v>150</v>
      </c>
      <c r="AS46" s="40" t="s">
        <v>150</v>
      </c>
      <c r="AT46" s="40" t="s">
        <v>150</v>
      </c>
      <c r="AU46" s="40" t="s">
        <v>150</v>
      </c>
      <c r="AV46" s="40" t="s">
        <v>150</v>
      </c>
      <c r="AW46" s="24"/>
      <c r="AX46" s="40" t="s">
        <v>150</v>
      </c>
      <c r="AY46" s="40" t="s">
        <v>150</v>
      </c>
      <c r="AZ46" s="40" t="s">
        <v>150</v>
      </c>
      <c r="BA46" s="40" t="s">
        <v>150</v>
      </c>
      <c r="BB46" s="40" t="s">
        <v>150</v>
      </c>
      <c r="BC46" s="24"/>
      <c r="BD46" s="40" t="s">
        <v>150</v>
      </c>
      <c r="BE46" s="2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</row>
    <row r="47">
      <c r="A47" s="5">
        <v>44.0</v>
      </c>
      <c r="B47" s="42" t="s">
        <v>287</v>
      </c>
      <c r="C47" s="42" t="s">
        <v>288</v>
      </c>
      <c r="D47" s="5">
        <f t="shared" si="4"/>
        <v>26</v>
      </c>
      <c r="E47" s="5">
        <f t="shared" si="5"/>
        <v>6</v>
      </c>
      <c r="F47" s="3">
        <f t="shared" si="2"/>
        <v>32</v>
      </c>
      <c r="G47" s="36">
        <f t="shared" si="3"/>
        <v>81.25</v>
      </c>
      <c r="H47" s="51" t="s">
        <v>149</v>
      </c>
      <c r="I47" s="51" t="s">
        <v>149</v>
      </c>
      <c r="J47" s="51" t="s">
        <v>149</v>
      </c>
      <c r="K47" s="43" t="s">
        <v>150</v>
      </c>
      <c r="L47" s="51" t="s">
        <v>149</v>
      </c>
      <c r="M47" s="50" t="s">
        <v>150</v>
      </c>
      <c r="N47" s="44"/>
      <c r="O47" s="51" t="s">
        <v>149</v>
      </c>
      <c r="P47" s="49" t="s">
        <v>150</v>
      </c>
      <c r="Q47" s="49" t="s">
        <v>150</v>
      </c>
      <c r="R47" s="49" t="s">
        <v>150</v>
      </c>
      <c r="S47" s="49" t="s">
        <v>150</v>
      </c>
      <c r="T47" s="50" t="s">
        <v>150</v>
      </c>
      <c r="U47" s="44"/>
      <c r="V47" s="20" t="s">
        <v>149</v>
      </c>
      <c r="W47" s="43" t="s">
        <v>150</v>
      </c>
      <c r="X47" s="46" t="s">
        <v>150</v>
      </c>
      <c r="Y47" s="46" t="s">
        <v>150</v>
      </c>
      <c r="Z47" s="46" t="s">
        <v>150</v>
      </c>
      <c r="AA47" s="69" t="s">
        <v>150</v>
      </c>
      <c r="AB47" s="44"/>
      <c r="AC47" s="40" t="s">
        <v>150</v>
      </c>
      <c r="AD47" s="40" t="s">
        <v>150</v>
      </c>
      <c r="AE47" s="40" t="s">
        <v>150</v>
      </c>
      <c r="AF47" s="40" t="s">
        <v>150</v>
      </c>
      <c r="AG47" s="40" t="s">
        <v>150</v>
      </c>
      <c r="AH47" s="39" t="s">
        <v>150</v>
      </c>
      <c r="AI47" s="44"/>
      <c r="AJ47" s="40" t="s">
        <v>150</v>
      </c>
      <c r="AK47" s="40" t="s">
        <v>150</v>
      </c>
      <c r="AL47" s="40" t="s">
        <v>150</v>
      </c>
      <c r="AM47" s="40" t="s">
        <v>150</v>
      </c>
      <c r="AN47" s="40" t="s">
        <v>150</v>
      </c>
      <c r="AO47" s="39" t="s">
        <v>150</v>
      </c>
      <c r="AP47" s="44"/>
      <c r="AQ47" s="40" t="s">
        <v>150</v>
      </c>
      <c r="AR47" s="40" t="s">
        <v>150</v>
      </c>
      <c r="AS47" s="40" t="s">
        <v>150</v>
      </c>
      <c r="AT47" s="40" t="s">
        <v>150</v>
      </c>
      <c r="AU47" s="40" t="s">
        <v>150</v>
      </c>
      <c r="AV47" s="40" t="s">
        <v>150</v>
      </c>
      <c r="AW47" s="24"/>
      <c r="AX47" s="40" t="s">
        <v>150</v>
      </c>
      <c r="AY47" s="40" t="s">
        <v>150</v>
      </c>
      <c r="AZ47" s="40" t="s">
        <v>150</v>
      </c>
      <c r="BA47" s="40" t="s">
        <v>150</v>
      </c>
      <c r="BB47" s="40" t="s">
        <v>150</v>
      </c>
      <c r="BC47" s="24"/>
      <c r="BD47" s="40" t="s">
        <v>150</v>
      </c>
      <c r="BE47" s="2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</row>
    <row r="48">
      <c r="A48" s="5">
        <v>45.0</v>
      </c>
      <c r="B48" s="32" t="s">
        <v>291</v>
      </c>
      <c r="C48" s="32" t="s">
        <v>292</v>
      </c>
      <c r="D48" s="5">
        <f t="shared" si="4"/>
        <v>26</v>
      </c>
      <c r="E48" s="5">
        <f t="shared" si="5"/>
        <v>6</v>
      </c>
      <c r="F48" s="3">
        <f t="shared" si="2"/>
        <v>32</v>
      </c>
      <c r="G48" s="36">
        <f t="shared" si="3"/>
        <v>81.25</v>
      </c>
      <c r="H48" s="43" t="s">
        <v>150</v>
      </c>
      <c r="I48" s="43" t="s">
        <v>150</v>
      </c>
      <c r="J48" s="43" t="s">
        <v>150</v>
      </c>
      <c r="K48" s="43" t="s">
        <v>150</v>
      </c>
      <c r="L48" s="43" t="s">
        <v>150</v>
      </c>
      <c r="M48" s="37" t="s">
        <v>150</v>
      </c>
      <c r="N48" s="44"/>
      <c r="O48" s="43" t="s">
        <v>150</v>
      </c>
      <c r="P48" s="43" t="s">
        <v>150</v>
      </c>
      <c r="Q48" s="43" t="s">
        <v>150</v>
      </c>
      <c r="R48" s="20" t="s">
        <v>149</v>
      </c>
      <c r="S48" s="43" t="s">
        <v>150</v>
      </c>
      <c r="T48" s="37" t="s">
        <v>150</v>
      </c>
      <c r="U48" s="44"/>
      <c r="V48" s="43" t="s">
        <v>150</v>
      </c>
      <c r="W48" s="43" t="s">
        <v>150</v>
      </c>
      <c r="X48" s="47" t="s">
        <v>149</v>
      </c>
      <c r="Y48" s="40" t="s">
        <v>150</v>
      </c>
      <c r="Z48" s="47" t="s">
        <v>149</v>
      </c>
      <c r="AA48" s="39" t="s">
        <v>150</v>
      </c>
      <c r="AB48" s="44"/>
      <c r="AC48" s="47" t="s">
        <v>149</v>
      </c>
      <c r="AD48" s="40" t="s">
        <v>150</v>
      </c>
      <c r="AE48" s="40" t="s">
        <v>150</v>
      </c>
      <c r="AF48" s="40" t="s">
        <v>150</v>
      </c>
      <c r="AG48" s="40" t="s">
        <v>150</v>
      </c>
      <c r="AH48" s="48" t="s">
        <v>149</v>
      </c>
      <c r="AI48" s="44"/>
      <c r="AJ48" s="47" t="s">
        <v>149</v>
      </c>
      <c r="AK48" s="40" t="s">
        <v>150</v>
      </c>
      <c r="AL48" s="40" t="s">
        <v>150</v>
      </c>
      <c r="AM48" s="40" t="s">
        <v>150</v>
      </c>
      <c r="AN48" s="40" t="s">
        <v>150</v>
      </c>
      <c r="AO48" s="39" t="s">
        <v>150</v>
      </c>
      <c r="AP48" s="44"/>
      <c r="AQ48" s="40" t="s">
        <v>150</v>
      </c>
      <c r="AR48" s="40" t="s">
        <v>150</v>
      </c>
      <c r="AS48" s="40" t="s">
        <v>150</v>
      </c>
      <c r="AT48" s="40" t="s">
        <v>150</v>
      </c>
      <c r="AU48" s="40" t="s">
        <v>150</v>
      </c>
      <c r="AV48" s="40" t="s">
        <v>150</v>
      </c>
      <c r="AW48" s="24"/>
      <c r="AX48" s="40" t="s">
        <v>150</v>
      </c>
      <c r="AY48" s="40" t="s">
        <v>150</v>
      </c>
      <c r="AZ48" s="40" t="s">
        <v>150</v>
      </c>
      <c r="BA48" s="40" t="s">
        <v>150</v>
      </c>
      <c r="BB48" s="40" t="s">
        <v>150</v>
      </c>
      <c r="BC48" s="24"/>
      <c r="BD48" s="40" t="s">
        <v>150</v>
      </c>
      <c r="BE48" s="2"/>
      <c r="BF48" s="41"/>
      <c r="BG48" s="41"/>
      <c r="BH48" s="41"/>
      <c r="BI48" s="41"/>
      <c r="BJ48" s="41"/>
      <c r="BK48" s="41"/>
      <c r="BL48" s="41"/>
      <c r="BM48" s="41"/>
      <c r="BN48" s="41"/>
      <c r="BO48" s="41"/>
      <c r="BP48" s="41"/>
      <c r="BQ48" s="41"/>
      <c r="BR48" s="41"/>
      <c r="BS48" s="41"/>
      <c r="BT48" s="41"/>
      <c r="BU48" s="41"/>
      <c r="BV48" s="41"/>
    </row>
    <row r="49">
      <c r="A49" s="5">
        <v>46.0</v>
      </c>
      <c r="B49" s="63" t="s">
        <v>294</v>
      </c>
      <c r="C49" s="63" t="s">
        <v>295</v>
      </c>
      <c r="D49" s="5">
        <f t="shared" si="4"/>
        <v>25</v>
      </c>
      <c r="E49" s="5">
        <f t="shared" si="5"/>
        <v>7</v>
      </c>
      <c r="F49" s="3">
        <f t="shared" si="2"/>
        <v>32</v>
      </c>
      <c r="G49" s="36">
        <f t="shared" si="3"/>
        <v>78.125</v>
      </c>
      <c r="H49" s="51" t="s">
        <v>149</v>
      </c>
      <c r="I49" s="51" t="s">
        <v>149</v>
      </c>
      <c r="J49" s="49" t="s">
        <v>150</v>
      </c>
      <c r="K49" s="49" t="s">
        <v>150</v>
      </c>
      <c r="L49" s="49" t="s">
        <v>150</v>
      </c>
      <c r="M49" s="50" t="s">
        <v>150</v>
      </c>
      <c r="N49" s="44"/>
      <c r="O49" s="49" t="s">
        <v>150</v>
      </c>
      <c r="P49" s="49" t="s">
        <v>150</v>
      </c>
      <c r="Q49" s="51" t="s">
        <v>149</v>
      </c>
      <c r="R49" s="49" t="s">
        <v>150</v>
      </c>
      <c r="S49" s="49" t="s">
        <v>150</v>
      </c>
      <c r="T49" s="50" t="s">
        <v>150</v>
      </c>
      <c r="U49" s="44"/>
      <c r="V49" s="43" t="s">
        <v>150</v>
      </c>
      <c r="W49" s="43" t="s">
        <v>150</v>
      </c>
      <c r="X49" s="46" t="s">
        <v>150</v>
      </c>
      <c r="Y49" s="46" t="s">
        <v>150</v>
      </c>
      <c r="Z49" s="46" t="s">
        <v>150</v>
      </c>
      <c r="AA49" s="48" t="s">
        <v>149</v>
      </c>
      <c r="AB49" s="44"/>
      <c r="AC49" s="40" t="s">
        <v>150</v>
      </c>
      <c r="AD49" s="40" t="s">
        <v>150</v>
      </c>
      <c r="AE49" s="47" t="s">
        <v>149</v>
      </c>
      <c r="AF49" s="40" t="s">
        <v>150</v>
      </c>
      <c r="AG49" s="40" t="s">
        <v>150</v>
      </c>
      <c r="AH49" s="39" t="s">
        <v>150</v>
      </c>
      <c r="AI49" s="44"/>
      <c r="AJ49" s="40" t="s">
        <v>150</v>
      </c>
      <c r="AK49" s="40" t="s">
        <v>150</v>
      </c>
      <c r="AL49" s="40" t="s">
        <v>150</v>
      </c>
      <c r="AM49" s="47" t="s">
        <v>149</v>
      </c>
      <c r="AN49" s="40" t="s">
        <v>150</v>
      </c>
      <c r="AO49" s="48" t="s">
        <v>149</v>
      </c>
      <c r="AP49" s="44"/>
      <c r="AQ49" s="40" t="s">
        <v>150</v>
      </c>
      <c r="AR49" s="40" t="s">
        <v>150</v>
      </c>
      <c r="AS49" s="47" t="s">
        <v>149</v>
      </c>
      <c r="AT49" s="40" t="s">
        <v>150</v>
      </c>
      <c r="AU49" s="40" t="s">
        <v>150</v>
      </c>
      <c r="AV49" s="40" t="s">
        <v>150</v>
      </c>
      <c r="AW49" s="24"/>
      <c r="AX49" s="40" t="s">
        <v>150</v>
      </c>
      <c r="AY49" s="40" t="s">
        <v>150</v>
      </c>
      <c r="AZ49" s="40" t="s">
        <v>150</v>
      </c>
      <c r="BA49" s="40" t="s">
        <v>150</v>
      </c>
      <c r="BB49" s="40" t="s">
        <v>150</v>
      </c>
      <c r="BC49" s="24"/>
      <c r="BD49" s="40" t="s">
        <v>150</v>
      </c>
      <c r="BE49" s="2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</row>
    <row r="50">
      <c r="A50" s="5">
        <v>47.0</v>
      </c>
      <c r="B50" s="42" t="s">
        <v>299</v>
      </c>
      <c r="C50" s="42" t="s">
        <v>300</v>
      </c>
      <c r="D50" s="5">
        <f t="shared" si="4"/>
        <v>26</v>
      </c>
      <c r="E50" s="5">
        <f t="shared" si="5"/>
        <v>6</v>
      </c>
      <c r="F50" s="3">
        <f t="shared" si="2"/>
        <v>32</v>
      </c>
      <c r="G50" s="36">
        <f t="shared" si="3"/>
        <v>81.25</v>
      </c>
      <c r="H50" s="49" t="s">
        <v>150</v>
      </c>
      <c r="I50" s="49" t="s">
        <v>150</v>
      </c>
      <c r="J50" s="49" t="s">
        <v>150</v>
      </c>
      <c r="K50" s="49" t="s">
        <v>150</v>
      </c>
      <c r="L50" s="49" t="s">
        <v>150</v>
      </c>
      <c r="M50" s="50" t="s">
        <v>150</v>
      </c>
      <c r="N50" s="44"/>
      <c r="O50" s="51" t="s">
        <v>149</v>
      </c>
      <c r="P50" s="51" t="s">
        <v>149</v>
      </c>
      <c r="Q50" s="43" t="s">
        <v>150</v>
      </c>
      <c r="R50" s="49" t="s">
        <v>150</v>
      </c>
      <c r="S50" s="49" t="s">
        <v>150</v>
      </c>
      <c r="T50" s="50" t="s">
        <v>150</v>
      </c>
      <c r="U50" s="44"/>
      <c r="V50" s="20" t="s">
        <v>149</v>
      </c>
      <c r="W50" s="43" t="s">
        <v>150</v>
      </c>
      <c r="X50" s="46" t="s">
        <v>150</v>
      </c>
      <c r="Y50" s="46" t="s">
        <v>150</v>
      </c>
      <c r="Z50" s="46" t="s">
        <v>150</v>
      </c>
      <c r="AA50" s="69" t="s">
        <v>150</v>
      </c>
      <c r="AB50" s="44"/>
      <c r="AC50" s="40" t="s">
        <v>150</v>
      </c>
      <c r="AD50" s="40" t="s">
        <v>150</v>
      </c>
      <c r="AE50" s="40" t="s">
        <v>150</v>
      </c>
      <c r="AF50" s="40" t="s">
        <v>150</v>
      </c>
      <c r="AG50" s="47" t="s">
        <v>149</v>
      </c>
      <c r="AH50" s="39" t="s">
        <v>150</v>
      </c>
      <c r="AI50" s="44"/>
      <c r="AJ50" s="40" t="s">
        <v>150</v>
      </c>
      <c r="AK50" s="40" t="s">
        <v>150</v>
      </c>
      <c r="AL50" s="40" t="s">
        <v>150</v>
      </c>
      <c r="AM50" s="40" t="s">
        <v>150</v>
      </c>
      <c r="AN50" s="47" t="s">
        <v>149</v>
      </c>
      <c r="AO50" s="39" t="s">
        <v>150</v>
      </c>
      <c r="AP50" s="44"/>
      <c r="AQ50" s="47" t="s">
        <v>149</v>
      </c>
      <c r="AR50" s="40" t="s">
        <v>150</v>
      </c>
      <c r="AS50" s="47" t="s">
        <v>149</v>
      </c>
      <c r="AT50" s="40" t="s">
        <v>150</v>
      </c>
      <c r="AU50" s="40" t="s">
        <v>150</v>
      </c>
      <c r="AV50" s="40" t="s">
        <v>150</v>
      </c>
      <c r="AW50" s="24"/>
      <c r="AX50" s="40" t="s">
        <v>150</v>
      </c>
      <c r="AY50" s="40" t="s">
        <v>150</v>
      </c>
      <c r="AZ50" s="40" t="s">
        <v>150</v>
      </c>
      <c r="BA50" s="40" t="s">
        <v>150</v>
      </c>
      <c r="BB50" s="40" t="s">
        <v>150</v>
      </c>
      <c r="BC50" s="24"/>
      <c r="BD50" s="40" t="s">
        <v>150</v>
      </c>
      <c r="BE50" s="2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</row>
    <row r="51">
      <c r="A51" s="5">
        <v>48.0</v>
      </c>
      <c r="B51" s="32" t="s">
        <v>303</v>
      </c>
      <c r="C51" s="32" t="s">
        <v>305</v>
      </c>
      <c r="D51" s="5">
        <f t="shared" si="4"/>
        <v>25</v>
      </c>
      <c r="E51" s="5">
        <f t="shared" si="5"/>
        <v>7</v>
      </c>
      <c r="F51" s="3">
        <f t="shared" si="2"/>
        <v>32</v>
      </c>
      <c r="G51" s="36">
        <f t="shared" si="3"/>
        <v>78.125</v>
      </c>
      <c r="H51" s="20" t="s">
        <v>149</v>
      </c>
      <c r="I51" s="20" t="s">
        <v>149</v>
      </c>
      <c r="J51" s="20" t="s">
        <v>149</v>
      </c>
      <c r="K51" s="43" t="s">
        <v>150</v>
      </c>
      <c r="L51" s="43" t="s">
        <v>150</v>
      </c>
      <c r="M51" s="37" t="s">
        <v>150</v>
      </c>
      <c r="N51" s="44"/>
      <c r="O51" s="43" t="s">
        <v>150</v>
      </c>
      <c r="P51" s="43" t="s">
        <v>150</v>
      </c>
      <c r="Q51" s="43" t="s">
        <v>150</v>
      </c>
      <c r="R51" s="43" t="s">
        <v>150</v>
      </c>
      <c r="S51" s="43" t="s">
        <v>150</v>
      </c>
      <c r="T51" s="37" t="s">
        <v>150</v>
      </c>
      <c r="U51" s="44"/>
      <c r="V51" s="43" t="s">
        <v>150</v>
      </c>
      <c r="W51" s="43" t="s">
        <v>150</v>
      </c>
      <c r="X51" s="40" t="s">
        <v>150</v>
      </c>
      <c r="Y51" s="40" t="s">
        <v>150</v>
      </c>
      <c r="Z51" s="40" t="s">
        <v>150</v>
      </c>
      <c r="AA51" s="39" t="s">
        <v>150</v>
      </c>
      <c r="AB51" s="44"/>
      <c r="AC51" s="40" t="s">
        <v>150</v>
      </c>
      <c r="AD51" s="40" t="s">
        <v>150</v>
      </c>
      <c r="AE51" s="40" t="s">
        <v>150</v>
      </c>
      <c r="AF51" s="40" t="s">
        <v>150</v>
      </c>
      <c r="AG51" s="40" t="s">
        <v>150</v>
      </c>
      <c r="AH51" s="39" t="s">
        <v>150</v>
      </c>
      <c r="AI51" s="44"/>
      <c r="AJ51" s="40" t="s">
        <v>150</v>
      </c>
      <c r="AK51" s="47" t="s">
        <v>149</v>
      </c>
      <c r="AL51" s="40" t="s">
        <v>150</v>
      </c>
      <c r="AM51" s="40" t="s">
        <v>150</v>
      </c>
      <c r="AN51" s="40" t="s">
        <v>150</v>
      </c>
      <c r="AO51" s="48" t="s">
        <v>149</v>
      </c>
      <c r="AP51" s="44"/>
      <c r="AQ51" s="47" t="s">
        <v>149</v>
      </c>
      <c r="AR51" s="47" t="s">
        <v>149</v>
      </c>
      <c r="AS51" s="47" t="s">
        <v>149</v>
      </c>
      <c r="AT51" s="40" t="s">
        <v>150</v>
      </c>
      <c r="AU51" s="40" t="s">
        <v>150</v>
      </c>
      <c r="AV51" s="40" t="s">
        <v>150</v>
      </c>
      <c r="AW51" s="24"/>
      <c r="AX51" s="40" t="s">
        <v>150</v>
      </c>
      <c r="AY51" s="40" t="s">
        <v>150</v>
      </c>
      <c r="AZ51" s="40" t="s">
        <v>150</v>
      </c>
      <c r="BA51" s="40" t="s">
        <v>150</v>
      </c>
      <c r="BB51" s="40" t="s">
        <v>150</v>
      </c>
      <c r="BC51" s="24"/>
      <c r="BD51" s="40" t="s">
        <v>150</v>
      </c>
      <c r="BE51" s="2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</row>
    <row r="52">
      <c r="A52" s="5">
        <v>49.0</v>
      </c>
      <c r="B52" s="32" t="s">
        <v>307</v>
      </c>
      <c r="C52" s="32" t="s">
        <v>308</v>
      </c>
      <c r="D52" s="5">
        <f t="shared" si="4"/>
        <v>32</v>
      </c>
      <c r="E52" s="5">
        <f t="shared" si="5"/>
        <v>0</v>
      </c>
      <c r="F52" s="3">
        <f t="shared" si="2"/>
        <v>32</v>
      </c>
      <c r="G52" s="36">
        <f t="shared" si="3"/>
        <v>100</v>
      </c>
      <c r="H52" s="43" t="s">
        <v>150</v>
      </c>
      <c r="I52" s="43" t="s">
        <v>150</v>
      </c>
      <c r="J52" s="43" t="s">
        <v>150</v>
      </c>
      <c r="K52" s="43" t="s">
        <v>150</v>
      </c>
      <c r="L52" s="43" t="s">
        <v>150</v>
      </c>
      <c r="M52" s="37" t="s">
        <v>150</v>
      </c>
      <c r="N52" s="44"/>
      <c r="O52" s="43" t="s">
        <v>150</v>
      </c>
      <c r="P52" s="43" t="s">
        <v>150</v>
      </c>
      <c r="Q52" s="43" t="s">
        <v>150</v>
      </c>
      <c r="R52" s="43" t="s">
        <v>150</v>
      </c>
      <c r="S52" s="43" t="s">
        <v>150</v>
      </c>
      <c r="T52" s="37" t="s">
        <v>150</v>
      </c>
      <c r="U52" s="44"/>
      <c r="V52" s="43" t="s">
        <v>150</v>
      </c>
      <c r="W52" s="43" t="s">
        <v>150</v>
      </c>
      <c r="X52" s="40" t="s">
        <v>150</v>
      </c>
      <c r="Y52" s="40" t="s">
        <v>150</v>
      </c>
      <c r="Z52" s="40" t="s">
        <v>150</v>
      </c>
      <c r="AA52" s="39" t="s">
        <v>150</v>
      </c>
      <c r="AB52" s="44"/>
      <c r="AC52" s="40" t="s">
        <v>150</v>
      </c>
      <c r="AD52" s="40" t="s">
        <v>150</v>
      </c>
      <c r="AE52" s="40" t="s">
        <v>150</v>
      </c>
      <c r="AF52" s="40" t="s">
        <v>150</v>
      </c>
      <c r="AG52" s="40" t="s">
        <v>150</v>
      </c>
      <c r="AH52" s="39" t="s">
        <v>150</v>
      </c>
      <c r="AI52" s="44"/>
      <c r="AJ52" s="40" t="s">
        <v>150</v>
      </c>
      <c r="AK52" s="40" t="s">
        <v>150</v>
      </c>
      <c r="AL52" s="40" t="s">
        <v>150</v>
      </c>
      <c r="AM52" s="40" t="s">
        <v>150</v>
      </c>
      <c r="AN52" s="40" t="s">
        <v>150</v>
      </c>
      <c r="AO52" s="39" t="s">
        <v>150</v>
      </c>
      <c r="AP52" s="44"/>
      <c r="AQ52" s="40" t="s">
        <v>150</v>
      </c>
      <c r="AR52" s="40" t="s">
        <v>150</v>
      </c>
      <c r="AS52" s="40" t="s">
        <v>150</v>
      </c>
      <c r="AT52" s="40" t="s">
        <v>150</v>
      </c>
      <c r="AU52" s="40" t="s">
        <v>150</v>
      </c>
      <c r="AV52" s="40" t="s">
        <v>150</v>
      </c>
      <c r="AW52" s="24"/>
      <c r="AX52" s="40" t="s">
        <v>150</v>
      </c>
      <c r="AY52" s="40" t="s">
        <v>150</v>
      </c>
      <c r="AZ52" s="40" t="s">
        <v>150</v>
      </c>
      <c r="BA52" s="40" t="s">
        <v>150</v>
      </c>
      <c r="BB52" s="40" t="s">
        <v>150</v>
      </c>
      <c r="BC52" s="24"/>
      <c r="BD52" s="40" t="s">
        <v>150</v>
      </c>
      <c r="BE52" s="2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</row>
    <row r="53">
      <c r="A53" s="5">
        <v>50.0</v>
      </c>
      <c r="B53" s="32" t="s">
        <v>312</v>
      </c>
      <c r="C53" s="32" t="s">
        <v>313</v>
      </c>
      <c r="D53" s="5">
        <f t="shared" si="4"/>
        <v>10</v>
      </c>
      <c r="E53" s="5">
        <f t="shared" si="5"/>
        <v>22</v>
      </c>
      <c r="F53" s="3">
        <f t="shared" si="2"/>
        <v>32</v>
      </c>
      <c r="G53" s="36">
        <f t="shared" si="3"/>
        <v>31.25</v>
      </c>
      <c r="H53" s="20" t="s">
        <v>149</v>
      </c>
      <c r="I53" s="20" t="s">
        <v>149</v>
      </c>
      <c r="J53" s="20" t="s">
        <v>149</v>
      </c>
      <c r="K53" s="43" t="s">
        <v>150</v>
      </c>
      <c r="L53" s="43" t="s">
        <v>150</v>
      </c>
      <c r="M53" s="37" t="s">
        <v>150</v>
      </c>
      <c r="N53" s="44"/>
      <c r="O53" s="43" t="s">
        <v>150</v>
      </c>
      <c r="P53" s="43" t="s">
        <v>150</v>
      </c>
      <c r="Q53" s="43" t="s">
        <v>150</v>
      </c>
      <c r="R53" s="43" t="s">
        <v>150</v>
      </c>
      <c r="S53" s="43" t="s">
        <v>150</v>
      </c>
      <c r="T53" s="37" t="s">
        <v>150</v>
      </c>
      <c r="U53" s="44"/>
      <c r="V53" s="20" t="s">
        <v>149</v>
      </c>
      <c r="W53" s="43" t="s">
        <v>150</v>
      </c>
      <c r="X53" s="47" t="s">
        <v>149</v>
      </c>
      <c r="Y53" s="47" t="s">
        <v>149</v>
      </c>
      <c r="Z53" s="47" t="s">
        <v>149</v>
      </c>
      <c r="AA53" s="48" t="s">
        <v>149</v>
      </c>
      <c r="AB53" s="44"/>
      <c r="AC53" s="47" t="s">
        <v>149</v>
      </c>
      <c r="AD53" s="47" t="s">
        <v>149</v>
      </c>
      <c r="AE53" s="47" t="s">
        <v>149</v>
      </c>
      <c r="AF53" s="47" t="s">
        <v>149</v>
      </c>
      <c r="AG53" s="47" t="s">
        <v>149</v>
      </c>
      <c r="AH53" s="48" t="s">
        <v>149</v>
      </c>
      <c r="AI53" s="44"/>
      <c r="AJ53" s="47" t="s">
        <v>149</v>
      </c>
      <c r="AK53" s="47" t="s">
        <v>149</v>
      </c>
      <c r="AL53" s="47" t="s">
        <v>149</v>
      </c>
      <c r="AM53" s="47" t="s">
        <v>149</v>
      </c>
      <c r="AN53" s="47" t="s">
        <v>149</v>
      </c>
      <c r="AO53" s="48" t="s">
        <v>149</v>
      </c>
      <c r="AP53" s="44"/>
      <c r="AQ53" s="47" t="s">
        <v>149</v>
      </c>
      <c r="AR53" s="47" t="s">
        <v>149</v>
      </c>
      <c r="AS53" s="47" t="s">
        <v>149</v>
      </c>
      <c r="AT53" s="47" t="s">
        <v>149</v>
      </c>
      <c r="AU53" s="47" t="s">
        <v>149</v>
      </c>
      <c r="AV53" s="47" t="s">
        <v>149</v>
      </c>
      <c r="AW53" s="24"/>
      <c r="AX53" s="47" t="s">
        <v>149</v>
      </c>
      <c r="AY53" s="47" t="s">
        <v>149</v>
      </c>
      <c r="AZ53" s="47" t="s">
        <v>149</v>
      </c>
      <c r="BA53" s="47" t="s">
        <v>149</v>
      </c>
      <c r="BB53" s="47" t="s">
        <v>149</v>
      </c>
      <c r="BC53" s="24"/>
      <c r="BD53" s="47" t="s">
        <v>149</v>
      </c>
      <c r="BE53" s="2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</row>
    <row r="54" ht="18.75" customHeight="1">
      <c r="A54" s="5">
        <v>51.0</v>
      </c>
      <c r="B54" s="32" t="s">
        <v>315</v>
      </c>
      <c r="C54" s="32" t="s">
        <v>316</v>
      </c>
      <c r="D54" s="5">
        <f t="shared" si="4"/>
        <v>29</v>
      </c>
      <c r="E54" s="5">
        <f t="shared" si="5"/>
        <v>3</v>
      </c>
      <c r="F54" s="3">
        <f t="shared" si="2"/>
        <v>32</v>
      </c>
      <c r="G54" s="36">
        <f t="shared" si="3"/>
        <v>90.625</v>
      </c>
      <c r="H54" s="49" t="s">
        <v>150</v>
      </c>
      <c r="I54" s="49" t="s">
        <v>150</v>
      </c>
      <c r="J54" s="49" t="s">
        <v>150</v>
      </c>
      <c r="K54" s="49" t="s">
        <v>150</v>
      </c>
      <c r="L54" s="49" t="s">
        <v>150</v>
      </c>
      <c r="M54" s="50" t="s">
        <v>150</v>
      </c>
      <c r="N54" s="44"/>
      <c r="O54" s="49" t="s">
        <v>150</v>
      </c>
      <c r="P54" s="49" t="s">
        <v>150</v>
      </c>
      <c r="Q54" s="49" t="s">
        <v>150</v>
      </c>
      <c r="R54" s="49" t="s">
        <v>150</v>
      </c>
      <c r="S54" s="49" t="s">
        <v>150</v>
      </c>
      <c r="T54" s="50" t="s">
        <v>150</v>
      </c>
      <c r="U54" s="44"/>
      <c r="V54" s="43" t="s">
        <v>150</v>
      </c>
      <c r="W54" s="43" t="s">
        <v>150</v>
      </c>
      <c r="X54" s="43" t="s">
        <v>150</v>
      </c>
      <c r="Y54" s="43" t="s">
        <v>150</v>
      </c>
      <c r="Z54" s="43" t="s">
        <v>150</v>
      </c>
      <c r="AA54" s="48" t="s">
        <v>149</v>
      </c>
      <c r="AB54" s="44"/>
      <c r="AC54" s="40" t="s">
        <v>150</v>
      </c>
      <c r="AD54" s="40" t="s">
        <v>150</v>
      </c>
      <c r="AE54" s="40" t="s">
        <v>150</v>
      </c>
      <c r="AF54" s="40" t="s">
        <v>150</v>
      </c>
      <c r="AG54" s="40" t="s">
        <v>150</v>
      </c>
      <c r="AH54" s="39" t="s">
        <v>150</v>
      </c>
      <c r="AI54" s="44"/>
      <c r="AJ54" s="40" t="s">
        <v>150</v>
      </c>
      <c r="AK54" s="40" t="s">
        <v>150</v>
      </c>
      <c r="AL54" s="40" t="s">
        <v>150</v>
      </c>
      <c r="AM54" s="40" t="s">
        <v>150</v>
      </c>
      <c r="AN54" s="40" t="s">
        <v>150</v>
      </c>
      <c r="AO54" s="39" t="s">
        <v>150</v>
      </c>
      <c r="AP54" s="44"/>
      <c r="AQ54" s="47" t="s">
        <v>149</v>
      </c>
      <c r="AR54" s="47" t="s">
        <v>149</v>
      </c>
      <c r="AS54" s="47" t="s">
        <v>149</v>
      </c>
      <c r="AT54" s="47" t="s">
        <v>149</v>
      </c>
      <c r="AU54" s="47" t="s">
        <v>149</v>
      </c>
      <c r="AV54" s="47" t="s">
        <v>149</v>
      </c>
      <c r="AW54" s="24"/>
      <c r="AX54" s="47" t="s">
        <v>149</v>
      </c>
      <c r="AY54" s="47" t="s">
        <v>149</v>
      </c>
      <c r="AZ54" s="47" t="s">
        <v>149</v>
      </c>
      <c r="BA54" s="47" t="s">
        <v>149</v>
      </c>
      <c r="BB54" s="47" t="s">
        <v>149</v>
      </c>
      <c r="BC54" s="24"/>
      <c r="BD54" s="47" t="s">
        <v>149</v>
      </c>
      <c r="BE54" s="2"/>
      <c r="BF54" s="41"/>
      <c r="BG54" s="41"/>
      <c r="BH54" s="41"/>
      <c r="BI54" s="41"/>
      <c r="BJ54" s="41"/>
      <c r="BK54" s="41"/>
      <c r="BL54" s="41"/>
      <c r="BM54" s="41"/>
      <c r="BN54" s="41"/>
      <c r="BO54" s="41"/>
      <c r="BP54" s="41"/>
      <c r="BQ54" s="41"/>
      <c r="BR54" s="41"/>
      <c r="BS54" s="41"/>
      <c r="BT54" s="41"/>
      <c r="BU54" s="41"/>
      <c r="BV54" s="41"/>
    </row>
    <row r="55" ht="22.5" customHeight="1">
      <c r="A55" s="5">
        <v>52.0</v>
      </c>
      <c r="B55" s="32" t="s">
        <v>319</v>
      </c>
      <c r="C55" s="32" t="s">
        <v>320</v>
      </c>
      <c r="D55" s="5">
        <f t="shared" si="4"/>
        <v>25</v>
      </c>
      <c r="E55" s="5">
        <f t="shared" si="5"/>
        <v>7</v>
      </c>
      <c r="F55" s="3">
        <f t="shared" si="2"/>
        <v>32</v>
      </c>
      <c r="G55" s="36">
        <f t="shared" si="3"/>
        <v>78.125</v>
      </c>
      <c r="H55" s="20" t="s">
        <v>149</v>
      </c>
      <c r="I55" s="20" t="s">
        <v>149</v>
      </c>
      <c r="J55" s="49" t="s">
        <v>150</v>
      </c>
      <c r="K55" s="43" t="s">
        <v>150</v>
      </c>
      <c r="L55" s="43" t="s">
        <v>150</v>
      </c>
      <c r="M55" s="37" t="s">
        <v>150</v>
      </c>
      <c r="N55" s="77" t="s">
        <v>29</v>
      </c>
      <c r="O55" s="43" t="s">
        <v>150</v>
      </c>
      <c r="P55" s="43" t="s">
        <v>150</v>
      </c>
      <c r="Q55" s="43" t="s">
        <v>150</v>
      </c>
      <c r="R55" s="43" t="s">
        <v>150</v>
      </c>
      <c r="S55" s="43" t="s">
        <v>150</v>
      </c>
      <c r="T55" s="37" t="s">
        <v>150</v>
      </c>
      <c r="U55" s="77" t="s">
        <v>600</v>
      </c>
      <c r="V55" s="43" t="s">
        <v>150</v>
      </c>
      <c r="W55" s="20" t="s">
        <v>149</v>
      </c>
      <c r="X55" s="47" t="s">
        <v>149</v>
      </c>
      <c r="Y55" s="47" t="s">
        <v>149</v>
      </c>
      <c r="Z55" s="47" t="s">
        <v>149</v>
      </c>
      <c r="AA55" s="39" t="s">
        <v>150</v>
      </c>
      <c r="AB55" s="77" t="s">
        <v>600</v>
      </c>
      <c r="AC55" s="40" t="s">
        <v>150</v>
      </c>
      <c r="AD55" s="40" t="s">
        <v>150</v>
      </c>
      <c r="AE55" s="40" t="s">
        <v>150</v>
      </c>
      <c r="AF55" s="40" t="s">
        <v>150</v>
      </c>
      <c r="AG55" s="40" t="s">
        <v>150</v>
      </c>
      <c r="AH55" s="39" t="s">
        <v>150</v>
      </c>
      <c r="AI55" s="77" t="s">
        <v>600</v>
      </c>
      <c r="AJ55" s="40" t="s">
        <v>150</v>
      </c>
      <c r="AK55" s="47" t="s">
        <v>149</v>
      </c>
      <c r="AL55" s="40" t="s">
        <v>150</v>
      </c>
      <c r="AM55" s="40" t="s">
        <v>150</v>
      </c>
      <c r="AN55" s="40" t="s">
        <v>150</v>
      </c>
      <c r="AO55" s="39" t="s">
        <v>150</v>
      </c>
      <c r="AP55" s="77" t="s">
        <v>600</v>
      </c>
      <c r="AQ55" s="40" t="s">
        <v>150</v>
      </c>
      <c r="AR55" s="40" t="s">
        <v>150</v>
      </c>
      <c r="AS55" s="40" t="s">
        <v>150</v>
      </c>
      <c r="AT55" s="40" t="s">
        <v>150</v>
      </c>
      <c r="AU55" s="40" t="s">
        <v>150</v>
      </c>
      <c r="AV55" s="40" t="s">
        <v>150</v>
      </c>
      <c r="AW55" s="24"/>
      <c r="AX55" s="40" t="s">
        <v>150</v>
      </c>
      <c r="AY55" s="40" t="s">
        <v>150</v>
      </c>
      <c r="AZ55" s="40" t="s">
        <v>150</v>
      </c>
      <c r="BA55" s="40" t="s">
        <v>150</v>
      </c>
      <c r="BB55" s="40" t="s">
        <v>150</v>
      </c>
      <c r="BC55" s="24"/>
      <c r="BD55" s="40" t="s">
        <v>150</v>
      </c>
      <c r="BE55" s="2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</row>
    <row r="56">
      <c r="A56" s="5">
        <v>53.0</v>
      </c>
      <c r="B56" s="32" t="s">
        <v>322</v>
      </c>
      <c r="C56" s="32" t="s">
        <v>323</v>
      </c>
      <c r="D56" s="5">
        <f t="shared" si="4"/>
        <v>27</v>
      </c>
      <c r="E56" s="5">
        <f t="shared" si="5"/>
        <v>5</v>
      </c>
      <c r="F56" s="3">
        <f t="shared" si="2"/>
        <v>32</v>
      </c>
      <c r="G56" s="36">
        <f t="shared" si="3"/>
        <v>84.375</v>
      </c>
      <c r="H56" s="20" t="s">
        <v>149</v>
      </c>
      <c r="I56" s="20" t="s">
        <v>149</v>
      </c>
      <c r="J56" s="20" t="s">
        <v>149</v>
      </c>
      <c r="K56" s="43" t="s">
        <v>150</v>
      </c>
      <c r="L56" s="43" t="s">
        <v>150</v>
      </c>
      <c r="M56" s="21" t="s">
        <v>149</v>
      </c>
      <c r="N56" s="44"/>
      <c r="O56" s="43" t="s">
        <v>150</v>
      </c>
      <c r="P56" s="43" t="s">
        <v>150</v>
      </c>
      <c r="Q56" s="43" t="s">
        <v>150</v>
      </c>
      <c r="R56" s="43" t="s">
        <v>150</v>
      </c>
      <c r="S56" s="43" t="s">
        <v>150</v>
      </c>
      <c r="T56" s="37" t="s">
        <v>150</v>
      </c>
      <c r="U56" s="44"/>
      <c r="V56" s="43" t="s">
        <v>150</v>
      </c>
      <c r="W56" s="20" t="s">
        <v>149</v>
      </c>
      <c r="X56" s="40" t="s">
        <v>150</v>
      </c>
      <c r="Y56" s="40" t="s">
        <v>150</v>
      </c>
      <c r="Z56" s="40" t="s">
        <v>150</v>
      </c>
      <c r="AA56" s="39" t="s">
        <v>150</v>
      </c>
      <c r="AB56" s="44"/>
      <c r="AC56" s="40" t="s">
        <v>150</v>
      </c>
      <c r="AD56" s="40" t="s">
        <v>150</v>
      </c>
      <c r="AE56" s="40" t="s">
        <v>150</v>
      </c>
      <c r="AF56" s="40" t="s">
        <v>150</v>
      </c>
      <c r="AG56" s="40" t="s">
        <v>150</v>
      </c>
      <c r="AH56" s="39" t="s">
        <v>150</v>
      </c>
      <c r="AI56" s="44"/>
      <c r="AJ56" s="40" t="s">
        <v>150</v>
      </c>
      <c r="AK56" s="40" t="s">
        <v>150</v>
      </c>
      <c r="AL56" s="40" t="s">
        <v>150</v>
      </c>
      <c r="AM56" s="40" t="s">
        <v>150</v>
      </c>
      <c r="AN56" s="40" t="s">
        <v>150</v>
      </c>
      <c r="AO56" s="39" t="s">
        <v>150</v>
      </c>
      <c r="AP56" s="44"/>
      <c r="AQ56" s="40" t="s">
        <v>150</v>
      </c>
      <c r="AR56" s="40" t="s">
        <v>150</v>
      </c>
      <c r="AS56" s="40" t="s">
        <v>150</v>
      </c>
      <c r="AT56" s="40" t="s">
        <v>150</v>
      </c>
      <c r="AU56" s="40" t="s">
        <v>150</v>
      </c>
      <c r="AV56" s="40" t="s">
        <v>150</v>
      </c>
      <c r="AW56" s="24"/>
      <c r="AX56" s="40" t="s">
        <v>150</v>
      </c>
      <c r="AY56" s="40" t="s">
        <v>150</v>
      </c>
      <c r="AZ56" s="40" t="s">
        <v>150</v>
      </c>
      <c r="BA56" s="40" t="s">
        <v>150</v>
      </c>
      <c r="BB56" s="40" t="s">
        <v>150</v>
      </c>
      <c r="BC56" s="24"/>
      <c r="BD56" s="40" t="s">
        <v>150</v>
      </c>
      <c r="BE56" s="2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</row>
    <row r="57">
      <c r="A57" s="5">
        <v>54.0</v>
      </c>
      <c r="B57" s="32" t="s">
        <v>325</v>
      </c>
      <c r="C57" s="32" t="s">
        <v>326</v>
      </c>
      <c r="D57" s="5">
        <f t="shared" si="4"/>
        <v>29</v>
      </c>
      <c r="E57" s="5">
        <f t="shared" si="5"/>
        <v>3</v>
      </c>
      <c r="F57" s="3">
        <f t="shared" si="2"/>
        <v>32</v>
      </c>
      <c r="G57" s="36">
        <f t="shared" si="3"/>
        <v>90.625</v>
      </c>
      <c r="H57" s="43" t="s">
        <v>182</v>
      </c>
      <c r="I57" s="43" t="s">
        <v>182</v>
      </c>
      <c r="J57" s="43" t="s">
        <v>182</v>
      </c>
      <c r="K57" s="43" t="s">
        <v>182</v>
      </c>
      <c r="L57" s="43" t="s">
        <v>182</v>
      </c>
      <c r="M57" s="37" t="s">
        <v>182</v>
      </c>
      <c r="N57" s="44"/>
      <c r="O57" s="43" t="s">
        <v>182</v>
      </c>
      <c r="P57" s="43" t="s">
        <v>182</v>
      </c>
      <c r="Q57" s="43" t="s">
        <v>182</v>
      </c>
      <c r="R57" s="43" t="s">
        <v>182</v>
      </c>
      <c r="S57" s="43" t="s">
        <v>182</v>
      </c>
      <c r="T57" s="37" t="s">
        <v>182</v>
      </c>
      <c r="U57" s="44"/>
      <c r="V57" s="43" t="s">
        <v>182</v>
      </c>
      <c r="W57" s="43" t="s">
        <v>182</v>
      </c>
      <c r="X57" s="40" t="s">
        <v>182</v>
      </c>
      <c r="Y57" s="40" t="s">
        <v>182</v>
      </c>
      <c r="Z57" s="40" t="s">
        <v>182</v>
      </c>
      <c r="AA57" s="39" t="s">
        <v>150</v>
      </c>
      <c r="AB57" s="44"/>
      <c r="AC57" s="40" t="s">
        <v>182</v>
      </c>
      <c r="AD57" s="40" t="s">
        <v>150</v>
      </c>
      <c r="AE57" s="40" t="s">
        <v>150</v>
      </c>
      <c r="AF57" s="40" t="s">
        <v>182</v>
      </c>
      <c r="AG57" s="40" t="s">
        <v>182</v>
      </c>
      <c r="AH57" s="39" t="s">
        <v>182</v>
      </c>
      <c r="AI57" s="44"/>
      <c r="AJ57" s="40" t="s">
        <v>150</v>
      </c>
      <c r="AK57" s="40" t="s">
        <v>150</v>
      </c>
      <c r="AL57" s="40" t="s">
        <v>182</v>
      </c>
      <c r="AM57" s="40" t="s">
        <v>182</v>
      </c>
      <c r="AN57" s="47" t="s">
        <v>149</v>
      </c>
      <c r="AO57" s="48" t="s">
        <v>149</v>
      </c>
      <c r="AP57" s="44"/>
      <c r="AQ57" s="47" t="s">
        <v>149</v>
      </c>
      <c r="AR57" s="40" t="s">
        <v>150</v>
      </c>
      <c r="AS57" s="40" t="s">
        <v>150</v>
      </c>
      <c r="AT57" s="40" t="s">
        <v>150</v>
      </c>
      <c r="AU57" s="40" t="s">
        <v>150</v>
      </c>
      <c r="AV57" s="40" t="s">
        <v>150</v>
      </c>
      <c r="AW57" s="24"/>
      <c r="AX57" s="40" t="s">
        <v>150</v>
      </c>
      <c r="AY57" s="40" t="s">
        <v>150</v>
      </c>
      <c r="AZ57" s="40" t="s">
        <v>150</v>
      </c>
      <c r="BA57" s="40" t="s">
        <v>150</v>
      </c>
      <c r="BB57" s="40" t="s">
        <v>150</v>
      </c>
      <c r="BC57" s="24"/>
      <c r="BD57" s="40" t="s">
        <v>150</v>
      </c>
      <c r="BE57" s="2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</row>
    <row r="58">
      <c r="A58" s="5">
        <v>55.0</v>
      </c>
      <c r="B58" s="32" t="s">
        <v>328</v>
      </c>
      <c r="C58" s="32" t="s">
        <v>329</v>
      </c>
      <c r="D58" s="5">
        <f t="shared" si="4"/>
        <v>22</v>
      </c>
      <c r="E58" s="5">
        <f t="shared" si="5"/>
        <v>10</v>
      </c>
      <c r="F58" s="3">
        <f t="shared" si="2"/>
        <v>32</v>
      </c>
      <c r="G58" s="36">
        <f t="shared" si="3"/>
        <v>68.75</v>
      </c>
      <c r="H58" s="43" t="s">
        <v>150</v>
      </c>
      <c r="I58" s="43" t="s">
        <v>150</v>
      </c>
      <c r="J58" s="43" t="s">
        <v>150</v>
      </c>
      <c r="K58" s="43" t="s">
        <v>150</v>
      </c>
      <c r="L58" s="43" t="s">
        <v>150</v>
      </c>
      <c r="M58" s="37" t="s">
        <v>150</v>
      </c>
      <c r="N58" s="44"/>
      <c r="O58" s="43" t="s">
        <v>150</v>
      </c>
      <c r="P58" s="43" t="s">
        <v>150</v>
      </c>
      <c r="Q58" s="43" t="s">
        <v>150</v>
      </c>
      <c r="R58" s="43" t="s">
        <v>150</v>
      </c>
      <c r="S58" s="43" t="s">
        <v>150</v>
      </c>
      <c r="T58" s="37" t="s">
        <v>150</v>
      </c>
      <c r="U58" s="44"/>
      <c r="V58" s="43" t="s">
        <v>150</v>
      </c>
      <c r="W58" s="43" t="s">
        <v>150</v>
      </c>
      <c r="X58" s="47" t="s">
        <v>149</v>
      </c>
      <c r="Y58" s="47" t="s">
        <v>149</v>
      </c>
      <c r="Z58" s="47" t="s">
        <v>149</v>
      </c>
      <c r="AA58" s="48" t="s">
        <v>149</v>
      </c>
      <c r="AB58" s="44"/>
      <c r="AC58" s="47" t="s">
        <v>149</v>
      </c>
      <c r="AD58" s="47" t="s">
        <v>149</v>
      </c>
      <c r="AE58" s="40" t="s">
        <v>150</v>
      </c>
      <c r="AF58" s="40" t="s">
        <v>150</v>
      </c>
      <c r="AG58" s="40" t="s">
        <v>150</v>
      </c>
      <c r="AH58" s="48" t="s">
        <v>149</v>
      </c>
      <c r="AI58" s="44"/>
      <c r="AJ58" s="40" t="s">
        <v>150</v>
      </c>
      <c r="AK58" s="40" t="s">
        <v>150</v>
      </c>
      <c r="AL58" s="40" t="s">
        <v>150</v>
      </c>
      <c r="AM58" s="47" t="s">
        <v>149</v>
      </c>
      <c r="AN58" s="47" t="s">
        <v>149</v>
      </c>
      <c r="AO58" s="48" t="s">
        <v>149</v>
      </c>
      <c r="AP58" s="44"/>
      <c r="AQ58" s="40" t="s">
        <v>150</v>
      </c>
      <c r="AR58" s="40" t="s">
        <v>150</v>
      </c>
      <c r="AS58" s="47" t="s">
        <v>149</v>
      </c>
      <c r="AT58" s="40" t="s">
        <v>150</v>
      </c>
      <c r="AU58" s="40" t="s">
        <v>150</v>
      </c>
      <c r="AV58" s="40" t="s">
        <v>150</v>
      </c>
      <c r="AW58" s="24"/>
      <c r="AX58" s="40" t="s">
        <v>150</v>
      </c>
      <c r="AY58" s="40" t="s">
        <v>150</v>
      </c>
      <c r="AZ58" s="40" t="s">
        <v>150</v>
      </c>
      <c r="BA58" s="40" t="s">
        <v>150</v>
      </c>
      <c r="BB58" s="40" t="s">
        <v>150</v>
      </c>
      <c r="BC58" s="24"/>
      <c r="BD58" s="40" t="s">
        <v>150</v>
      </c>
      <c r="BE58" s="2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</row>
    <row r="59">
      <c r="A59" s="5">
        <v>56.0</v>
      </c>
      <c r="B59" s="32" t="s">
        <v>332</v>
      </c>
      <c r="C59" s="32" t="s">
        <v>333</v>
      </c>
      <c r="D59" s="5">
        <f t="shared" si="4"/>
        <v>31</v>
      </c>
      <c r="E59" s="5">
        <f t="shared" si="5"/>
        <v>1</v>
      </c>
      <c r="F59" s="3">
        <f t="shared" si="2"/>
        <v>32</v>
      </c>
      <c r="G59" s="36">
        <f t="shared" si="3"/>
        <v>96.875</v>
      </c>
      <c r="H59" s="43" t="s">
        <v>150</v>
      </c>
      <c r="I59" s="43" t="s">
        <v>150</v>
      </c>
      <c r="J59" s="43" t="s">
        <v>150</v>
      </c>
      <c r="K59" s="43" t="s">
        <v>150</v>
      </c>
      <c r="L59" s="43" t="s">
        <v>150</v>
      </c>
      <c r="M59" s="37" t="s">
        <v>150</v>
      </c>
      <c r="N59" s="44"/>
      <c r="O59" s="43" t="s">
        <v>150</v>
      </c>
      <c r="P59" s="20" t="s">
        <v>149</v>
      </c>
      <c r="Q59" s="43" t="s">
        <v>150</v>
      </c>
      <c r="R59" s="43" t="s">
        <v>150</v>
      </c>
      <c r="S59" s="43" t="s">
        <v>150</v>
      </c>
      <c r="T59" s="37" t="s">
        <v>150</v>
      </c>
      <c r="U59" s="44"/>
      <c r="V59" s="43" t="s">
        <v>150</v>
      </c>
      <c r="W59" s="43" t="s">
        <v>150</v>
      </c>
      <c r="X59" s="40" t="s">
        <v>150</v>
      </c>
      <c r="Y59" s="40" t="s">
        <v>150</v>
      </c>
      <c r="Z59" s="40" t="s">
        <v>150</v>
      </c>
      <c r="AA59" s="39" t="s">
        <v>150</v>
      </c>
      <c r="AB59" s="44"/>
      <c r="AC59" s="40" t="s">
        <v>150</v>
      </c>
      <c r="AD59" s="40" t="s">
        <v>150</v>
      </c>
      <c r="AE59" s="40" t="s">
        <v>150</v>
      </c>
      <c r="AF59" s="40" t="s">
        <v>150</v>
      </c>
      <c r="AG59" s="40" t="s">
        <v>150</v>
      </c>
      <c r="AH59" s="39" t="s">
        <v>150</v>
      </c>
      <c r="AI59" s="44"/>
      <c r="AJ59" s="40" t="s">
        <v>150</v>
      </c>
      <c r="AK59" s="40" t="s">
        <v>150</v>
      </c>
      <c r="AL59" s="40" t="s">
        <v>150</v>
      </c>
      <c r="AM59" s="40" t="s">
        <v>150</v>
      </c>
      <c r="AN59" s="40" t="s">
        <v>150</v>
      </c>
      <c r="AO59" s="39" t="s">
        <v>150</v>
      </c>
      <c r="AP59" s="44"/>
      <c r="AQ59" s="40" t="s">
        <v>150</v>
      </c>
      <c r="AR59" s="40" t="s">
        <v>150</v>
      </c>
      <c r="AS59" s="40" t="s">
        <v>150</v>
      </c>
      <c r="AT59" s="40" t="s">
        <v>150</v>
      </c>
      <c r="AU59" s="40" t="s">
        <v>150</v>
      </c>
      <c r="AV59" s="40" t="s">
        <v>150</v>
      </c>
      <c r="AW59" s="24"/>
      <c r="AX59" s="40" t="s">
        <v>150</v>
      </c>
      <c r="AY59" s="40" t="s">
        <v>150</v>
      </c>
      <c r="AZ59" s="40" t="s">
        <v>150</v>
      </c>
      <c r="BA59" s="40" t="s">
        <v>150</v>
      </c>
      <c r="BB59" s="40" t="s">
        <v>150</v>
      </c>
      <c r="BC59" s="24"/>
      <c r="BD59" s="40" t="s">
        <v>150</v>
      </c>
      <c r="BE59" s="2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</row>
    <row r="60">
      <c r="A60" s="5">
        <v>57.0</v>
      </c>
      <c r="B60" s="32" t="s">
        <v>335</v>
      </c>
      <c r="C60" s="74"/>
      <c r="D60" s="5">
        <f t="shared" si="4"/>
        <v>9</v>
      </c>
      <c r="E60" s="5">
        <f t="shared" si="5"/>
        <v>23</v>
      </c>
      <c r="F60" s="3">
        <f t="shared" si="2"/>
        <v>32</v>
      </c>
      <c r="G60" s="36">
        <f t="shared" si="3"/>
        <v>28.125</v>
      </c>
      <c r="H60" s="51" t="s">
        <v>149</v>
      </c>
      <c r="I60" s="51" t="s">
        <v>149</v>
      </c>
      <c r="J60" s="51" t="s">
        <v>149</v>
      </c>
      <c r="K60" s="51" t="s">
        <v>149</v>
      </c>
      <c r="L60" s="49" t="s">
        <v>150</v>
      </c>
      <c r="M60" s="50" t="s">
        <v>150</v>
      </c>
      <c r="N60" s="44"/>
      <c r="O60" s="51" t="s">
        <v>149</v>
      </c>
      <c r="P60" s="51" t="s">
        <v>149</v>
      </c>
      <c r="Q60" s="51" t="s">
        <v>149</v>
      </c>
      <c r="R60" s="49" t="s">
        <v>150</v>
      </c>
      <c r="S60" s="49" t="s">
        <v>150</v>
      </c>
      <c r="T60" s="50" t="s">
        <v>150</v>
      </c>
      <c r="U60" s="44"/>
      <c r="V60" s="43" t="s">
        <v>150</v>
      </c>
      <c r="W60" s="43" t="s">
        <v>150</v>
      </c>
      <c r="X60" s="46" t="s">
        <v>150</v>
      </c>
      <c r="Y60" s="46" t="s">
        <v>150</v>
      </c>
      <c r="Z60" s="52" t="s">
        <v>149</v>
      </c>
      <c r="AA60" s="53" t="s">
        <v>149</v>
      </c>
      <c r="AB60" s="44"/>
      <c r="AC60" s="47" t="s">
        <v>149</v>
      </c>
      <c r="AD60" s="47" t="s">
        <v>149</v>
      </c>
      <c r="AE60" s="47" t="s">
        <v>149</v>
      </c>
      <c r="AF60" s="47" t="s">
        <v>149</v>
      </c>
      <c r="AG60" s="47" t="s">
        <v>149</v>
      </c>
      <c r="AH60" s="48" t="s">
        <v>149</v>
      </c>
      <c r="AI60" s="44"/>
      <c r="AJ60" s="47" t="s">
        <v>149</v>
      </c>
      <c r="AK60" s="47" t="s">
        <v>149</v>
      </c>
      <c r="AL60" s="47" t="s">
        <v>149</v>
      </c>
      <c r="AM60" s="47" t="s">
        <v>149</v>
      </c>
      <c r="AN60" s="47" t="s">
        <v>149</v>
      </c>
      <c r="AO60" s="48" t="s">
        <v>149</v>
      </c>
      <c r="AP60" s="44"/>
      <c r="AQ60" s="47" t="s">
        <v>149</v>
      </c>
      <c r="AR60" s="47" t="s">
        <v>149</v>
      </c>
      <c r="AS60" s="47" t="s">
        <v>149</v>
      </c>
      <c r="AT60" s="47" t="s">
        <v>149</v>
      </c>
      <c r="AU60" s="47" t="s">
        <v>149</v>
      </c>
      <c r="AV60" s="47" t="s">
        <v>149</v>
      </c>
      <c r="AW60" s="24"/>
      <c r="AX60" s="47" t="s">
        <v>149</v>
      </c>
      <c r="AY60" s="47" t="s">
        <v>149</v>
      </c>
      <c r="AZ60" s="47" t="s">
        <v>149</v>
      </c>
      <c r="BA60" s="47" t="s">
        <v>149</v>
      </c>
      <c r="BB60" s="47" t="s">
        <v>149</v>
      </c>
      <c r="BC60" s="24"/>
      <c r="BD60" s="47" t="s">
        <v>149</v>
      </c>
      <c r="BE60" s="2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</row>
    <row r="61">
      <c r="A61" s="5">
        <v>58.0</v>
      </c>
      <c r="B61" s="32" t="s">
        <v>338</v>
      </c>
      <c r="C61" s="32" t="s">
        <v>339</v>
      </c>
      <c r="D61" s="5">
        <f t="shared" si="4"/>
        <v>30</v>
      </c>
      <c r="E61" s="5">
        <f t="shared" si="5"/>
        <v>2</v>
      </c>
      <c r="F61" s="3">
        <f t="shared" si="2"/>
        <v>32</v>
      </c>
      <c r="G61" s="36">
        <f t="shared" si="3"/>
        <v>93.75</v>
      </c>
      <c r="H61" s="43" t="s">
        <v>150</v>
      </c>
      <c r="I61" s="43" t="s">
        <v>150</v>
      </c>
      <c r="J61" s="43" t="s">
        <v>150</v>
      </c>
      <c r="K61" s="43" t="s">
        <v>150</v>
      </c>
      <c r="L61" s="43" t="s">
        <v>150</v>
      </c>
      <c r="M61" s="37" t="s">
        <v>150</v>
      </c>
      <c r="N61" s="44"/>
      <c r="O61" s="43" t="s">
        <v>150</v>
      </c>
      <c r="P61" s="20" t="s">
        <v>149</v>
      </c>
      <c r="Q61" s="43" t="s">
        <v>150</v>
      </c>
      <c r="R61" s="43" t="s">
        <v>150</v>
      </c>
      <c r="S61" s="43" t="s">
        <v>150</v>
      </c>
      <c r="T61" s="37" t="s">
        <v>150</v>
      </c>
      <c r="U61" s="44"/>
      <c r="V61" s="43" t="s">
        <v>150</v>
      </c>
      <c r="W61" s="43" t="s">
        <v>150</v>
      </c>
      <c r="X61" s="40" t="s">
        <v>150</v>
      </c>
      <c r="Y61" s="40" t="s">
        <v>150</v>
      </c>
      <c r="Z61" s="40" t="s">
        <v>150</v>
      </c>
      <c r="AA61" s="39" t="s">
        <v>150</v>
      </c>
      <c r="AB61" s="44"/>
      <c r="AC61" s="40" t="s">
        <v>150</v>
      </c>
      <c r="AD61" s="40" t="s">
        <v>150</v>
      </c>
      <c r="AE61" s="40" t="s">
        <v>150</v>
      </c>
      <c r="AF61" s="47" t="s">
        <v>149</v>
      </c>
      <c r="AG61" s="40" t="s">
        <v>150</v>
      </c>
      <c r="AH61" s="39" t="s">
        <v>150</v>
      </c>
      <c r="AI61" s="44"/>
      <c r="AJ61" s="40" t="s">
        <v>150</v>
      </c>
      <c r="AK61" s="40" t="s">
        <v>150</v>
      </c>
      <c r="AL61" s="40" t="s">
        <v>150</v>
      </c>
      <c r="AM61" s="40" t="s">
        <v>150</v>
      </c>
      <c r="AN61" s="40" t="s">
        <v>150</v>
      </c>
      <c r="AO61" s="39" t="s">
        <v>150</v>
      </c>
      <c r="AP61" s="44"/>
      <c r="AQ61" s="40" t="s">
        <v>150</v>
      </c>
      <c r="AR61" s="40" t="s">
        <v>150</v>
      </c>
      <c r="AS61" s="47" t="s">
        <v>149</v>
      </c>
      <c r="AT61" s="47" t="s">
        <v>149</v>
      </c>
      <c r="AU61" s="47" t="s">
        <v>149</v>
      </c>
      <c r="AV61" s="47" t="s">
        <v>149</v>
      </c>
      <c r="AW61" s="24"/>
      <c r="AX61" s="47" t="s">
        <v>149</v>
      </c>
      <c r="AY61" s="47" t="s">
        <v>149</v>
      </c>
      <c r="AZ61" s="47" t="s">
        <v>149</v>
      </c>
      <c r="BA61" s="47" t="s">
        <v>149</v>
      </c>
      <c r="BB61" s="47" t="s">
        <v>149</v>
      </c>
      <c r="BC61" s="24"/>
      <c r="BD61" s="47" t="s">
        <v>149</v>
      </c>
      <c r="BE61" s="2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</row>
    <row r="62">
      <c r="A62" s="5">
        <v>59.0</v>
      </c>
      <c r="B62" s="32" t="s">
        <v>342</v>
      </c>
      <c r="C62" s="32" t="s">
        <v>343</v>
      </c>
      <c r="D62" s="5">
        <f t="shared" si="4"/>
        <v>26</v>
      </c>
      <c r="E62" s="5">
        <f t="shared" si="5"/>
        <v>6</v>
      </c>
      <c r="F62" s="3">
        <f t="shared" si="2"/>
        <v>32</v>
      </c>
      <c r="G62" s="36">
        <f t="shared" si="3"/>
        <v>81.25</v>
      </c>
      <c r="H62" s="43" t="s">
        <v>150</v>
      </c>
      <c r="I62" s="43" t="s">
        <v>150</v>
      </c>
      <c r="J62" s="43" t="s">
        <v>150</v>
      </c>
      <c r="K62" s="43" t="s">
        <v>150</v>
      </c>
      <c r="L62" s="43" t="s">
        <v>150</v>
      </c>
      <c r="M62" s="37" t="s">
        <v>150</v>
      </c>
      <c r="N62" s="44"/>
      <c r="O62" s="43" t="s">
        <v>150</v>
      </c>
      <c r="P62" s="43" t="s">
        <v>150</v>
      </c>
      <c r="Q62" s="43" t="s">
        <v>150</v>
      </c>
      <c r="R62" s="43" t="s">
        <v>150</v>
      </c>
      <c r="S62" s="43" t="s">
        <v>150</v>
      </c>
      <c r="T62" s="37" t="s">
        <v>150</v>
      </c>
      <c r="U62" s="44"/>
      <c r="V62" s="43" t="s">
        <v>150</v>
      </c>
      <c r="W62" s="43" t="s">
        <v>150</v>
      </c>
      <c r="X62" s="40" t="s">
        <v>150</v>
      </c>
      <c r="Y62" s="40" t="s">
        <v>150</v>
      </c>
      <c r="Z62" s="40" t="s">
        <v>150</v>
      </c>
      <c r="AA62" s="48" t="s">
        <v>149</v>
      </c>
      <c r="AB62" s="44"/>
      <c r="AC62" s="47" t="s">
        <v>149</v>
      </c>
      <c r="AD62" s="40" t="s">
        <v>150</v>
      </c>
      <c r="AE62" s="40" t="s">
        <v>150</v>
      </c>
      <c r="AF62" s="40" t="s">
        <v>150</v>
      </c>
      <c r="AG62" s="47" t="s">
        <v>149</v>
      </c>
      <c r="AH62" s="39" t="s">
        <v>150</v>
      </c>
      <c r="AI62" s="44"/>
      <c r="AJ62" s="40" t="s">
        <v>150</v>
      </c>
      <c r="AK62" s="40" t="s">
        <v>150</v>
      </c>
      <c r="AL62" s="47" t="s">
        <v>149</v>
      </c>
      <c r="AM62" s="47" t="s">
        <v>149</v>
      </c>
      <c r="AN62" s="40" t="s">
        <v>150</v>
      </c>
      <c r="AO62" s="39" t="s">
        <v>150</v>
      </c>
      <c r="AP62" s="44"/>
      <c r="AQ62" s="40" t="s">
        <v>150</v>
      </c>
      <c r="AR62" s="47" t="s">
        <v>149</v>
      </c>
      <c r="AS62" s="40" t="s">
        <v>150</v>
      </c>
      <c r="AT62" s="40" t="s">
        <v>150</v>
      </c>
      <c r="AU62" s="40" t="s">
        <v>150</v>
      </c>
      <c r="AV62" s="40" t="s">
        <v>150</v>
      </c>
      <c r="AW62" s="24"/>
      <c r="AX62" s="40" t="s">
        <v>150</v>
      </c>
      <c r="AY62" s="40" t="s">
        <v>150</v>
      </c>
      <c r="AZ62" s="40" t="s">
        <v>150</v>
      </c>
      <c r="BA62" s="40" t="s">
        <v>150</v>
      </c>
      <c r="BB62" s="40" t="s">
        <v>150</v>
      </c>
      <c r="BC62" s="24"/>
      <c r="BD62" s="40" t="s">
        <v>150</v>
      </c>
      <c r="BE62" s="2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</row>
    <row r="63">
      <c r="A63" s="5">
        <v>60.0</v>
      </c>
      <c r="B63" s="32" t="s">
        <v>345</v>
      </c>
      <c r="C63" s="32" t="s">
        <v>346</v>
      </c>
      <c r="D63" s="5">
        <f t="shared" si="4"/>
        <v>31</v>
      </c>
      <c r="E63" s="5">
        <f t="shared" si="5"/>
        <v>1</v>
      </c>
      <c r="F63" s="3">
        <f t="shared" si="2"/>
        <v>32</v>
      </c>
      <c r="G63" s="36">
        <f t="shared" si="3"/>
        <v>96.875</v>
      </c>
      <c r="H63" s="43" t="s">
        <v>150</v>
      </c>
      <c r="I63" s="43" t="s">
        <v>150</v>
      </c>
      <c r="J63" s="43" t="s">
        <v>150</v>
      </c>
      <c r="K63" s="43" t="s">
        <v>150</v>
      </c>
      <c r="L63" s="43" t="s">
        <v>150</v>
      </c>
      <c r="M63" s="37" t="s">
        <v>150</v>
      </c>
      <c r="N63" s="44"/>
      <c r="O63" s="43" t="s">
        <v>150</v>
      </c>
      <c r="P63" s="43" t="s">
        <v>150</v>
      </c>
      <c r="Q63" s="43" t="s">
        <v>150</v>
      </c>
      <c r="R63" s="20" t="s">
        <v>149</v>
      </c>
      <c r="S63" s="43" t="s">
        <v>150</v>
      </c>
      <c r="T63" s="37" t="s">
        <v>150</v>
      </c>
      <c r="U63" s="44"/>
      <c r="V63" s="43" t="s">
        <v>150</v>
      </c>
      <c r="W63" s="43" t="s">
        <v>150</v>
      </c>
      <c r="X63" s="40" t="s">
        <v>150</v>
      </c>
      <c r="Y63" s="40" t="s">
        <v>150</v>
      </c>
      <c r="Z63" s="40" t="s">
        <v>150</v>
      </c>
      <c r="AA63" s="39" t="s">
        <v>150</v>
      </c>
      <c r="AB63" s="44"/>
      <c r="AC63" s="40" t="s">
        <v>150</v>
      </c>
      <c r="AD63" s="40" t="s">
        <v>150</v>
      </c>
      <c r="AE63" s="40" t="s">
        <v>150</v>
      </c>
      <c r="AF63" s="40" t="s">
        <v>150</v>
      </c>
      <c r="AG63" s="40" t="s">
        <v>150</v>
      </c>
      <c r="AH63" s="39" t="s">
        <v>150</v>
      </c>
      <c r="AI63" s="44"/>
      <c r="AJ63" s="40" t="s">
        <v>150</v>
      </c>
      <c r="AK63" s="40" t="s">
        <v>150</v>
      </c>
      <c r="AL63" s="40" t="s">
        <v>150</v>
      </c>
      <c r="AM63" s="40" t="s">
        <v>150</v>
      </c>
      <c r="AN63" s="40" t="s">
        <v>150</v>
      </c>
      <c r="AO63" s="39" t="s">
        <v>150</v>
      </c>
      <c r="AP63" s="44"/>
      <c r="AQ63" s="40" t="s">
        <v>150</v>
      </c>
      <c r="AR63" s="40" t="s">
        <v>150</v>
      </c>
      <c r="AS63" s="40" t="s">
        <v>150</v>
      </c>
      <c r="AT63" s="40" t="s">
        <v>150</v>
      </c>
      <c r="AU63" s="40" t="s">
        <v>150</v>
      </c>
      <c r="AV63" s="40" t="s">
        <v>150</v>
      </c>
      <c r="AW63" s="24"/>
      <c r="AX63" s="40" t="s">
        <v>150</v>
      </c>
      <c r="AY63" s="40" t="s">
        <v>150</v>
      </c>
      <c r="AZ63" s="40" t="s">
        <v>150</v>
      </c>
      <c r="BA63" s="40" t="s">
        <v>150</v>
      </c>
      <c r="BB63" s="40" t="s">
        <v>150</v>
      </c>
      <c r="BC63" s="24"/>
      <c r="BD63" s="40" t="s">
        <v>150</v>
      </c>
      <c r="BE63" s="2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</row>
    <row r="64">
      <c r="A64" s="5">
        <v>61.0</v>
      </c>
      <c r="B64" s="32" t="s">
        <v>348</v>
      </c>
      <c r="C64" s="32" t="s">
        <v>349</v>
      </c>
      <c r="D64" s="5">
        <f t="shared" si="4"/>
        <v>28</v>
      </c>
      <c r="E64" s="5">
        <f t="shared" si="5"/>
        <v>4</v>
      </c>
      <c r="F64" s="3">
        <f t="shared" si="2"/>
        <v>32</v>
      </c>
      <c r="G64" s="36">
        <f t="shared" si="3"/>
        <v>87.5</v>
      </c>
      <c r="H64" s="49" t="s">
        <v>150</v>
      </c>
      <c r="I64" s="49" t="s">
        <v>150</v>
      </c>
      <c r="J64" s="49" t="s">
        <v>150</v>
      </c>
      <c r="K64" s="43" t="s">
        <v>150</v>
      </c>
      <c r="L64" s="43" t="s">
        <v>150</v>
      </c>
      <c r="M64" s="21" t="s">
        <v>149</v>
      </c>
      <c r="N64" s="44"/>
      <c r="O64" s="43" t="s">
        <v>150</v>
      </c>
      <c r="P64" s="43" t="s">
        <v>150</v>
      </c>
      <c r="Q64" s="43" t="s">
        <v>150</v>
      </c>
      <c r="R64" s="43" t="s">
        <v>150</v>
      </c>
      <c r="S64" s="43" t="s">
        <v>150</v>
      </c>
      <c r="T64" s="37" t="s">
        <v>150</v>
      </c>
      <c r="U64" s="44"/>
      <c r="V64" s="43" t="s">
        <v>150</v>
      </c>
      <c r="W64" s="43" t="s">
        <v>150</v>
      </c>
      <c r="X64" s="47" t="s">
        <v>149</v>
      </c>
      <c r="Y64" s="40" t="s">
        <v>150</v>
      </c>
      <c r="Z64" s="40" t="s">
        <v>150</v>
      </c>
      <c r="AA64" s="48" t="s">
        <v>149</v>
      </c>
      <c r="AB64" s="44"/>
      <c r="AC64" s="47" t="s">
        <v>149</v>
      </c>
      <c r="AD64" s="40" t="s">
        <v>150</v>
      </c>
      <c r="AE64" s="40" t="s">
        <v>150</v>
      </c>
      <c r="AF64" s="40" t="s">
        <v>150</v>
      </c>
      <c r="AG64" s="40" t="s">
        <v>150</v>
      </c>
      <c r="AH64" s="39" t="s">
        <v>150</v>
      </c>
      <c r="AI64" s="44"/>
      <c r="AJ64" s="40" t="s">
        <v>150</v>
      </c>
      <c r="AK64" s="40" t="s">
        <v>150</v>
      </c>
      <c r="AL64" s="40" t="s">
        <v>150</v>
      </c>
      <c r="AM64" s="40" t="s">
        <v>150</v>
      </c>
      <c r="AN64" s="40" t="s">
        <v>150</v>
      </c>
      <c r="AO64" s="39" t="s">
        <v>150</v>
      </c>
      <c r="AP64" s="44"/>
      <c r="AQ64" s="40" t="s">
        <v>150</v>
      </c>
      <c r="AR64" s="40" t="s">
        <v>150</v>
      </c>
      <c r="AS64" s="40" t="s">
        <v>150</v>
      </c>
      <c r="AT64" s="40" t="s">
        <v>150</v>
      </c>
      <c r="AU64" s="40" t="s">
        <v>150</v>
      </c>
      <c r="AV64" s="40" t="s">
        <v>150</v>
      </c>
      <c r="AW64" s="24"/>
      <c r="AX64" s="40" t="s">
        <v>150</v>
      </c>
      <c r="AY64" s="40" t="s">
        <v>150</v>
      </c>
      <c r="AZ64" s="40" t="s">
        <v>150</v>
      </c>
      <c r="BA64" s="40" t="s">
        <v>150</v>
      </c>
      <c r="BB64" s="40" t="s">
        <v>150</v>
      </c>
      <c r="BC64" s="24"/>
      <c r="BD64" s="40" t="s">
        <v>150</v>
      </c>
      <c r="BE64" s="2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</row>
    <row r="65">
      <c r="A65" s="5">
        <v>62.0</v>
      </c>
      <c r="B65" s="32" t="s">
        <v>352</v>
      </c>
      <c r="C65" s="32" t="s">
        <v>353</v>
      </c>
      <c r="D65" s="5">
        <f t="shared" si="4"/>
        <v>25</v>
      </c>
      <c r="E65" s="5">
        <f t="shared" si="5"/>
        <v>7</v>
      </c>
      <c r="F65" s="3">
        <f t="shared" si="2"/>
        <v>32</v>
      </c>
      <c r="G65" s="36">
        <f t="shared" si="3"/>
        <v>78.125</v>
      </c>
      <c r="H65" s="20" t="s">
        <v>149</v>
      </c>
      <c r="I65" s="20" t="s">
        <v>149</v>
      </c>
      <c r="J65" s="49" t="s">
        <v>150</v>
      </c>
      <c r="K65" s="43" t="s">
        <v>150</v>
      </c>
      <c r="L65" s="43" t="s">
        <v>150</v>
      </c>
      <c r="M65" s="21" t="s">
        <v>149</v>
      </c>
      <c r="N65" s="44"/>
      <c r="O65" s="43" t="s">
        <v>150</v>
      </c>
      <c r="P65" s="43" t="s">
        <v>150</v>
      </c>
      <c r="Q65" s="43" t="s">
        <v>150</v>
      </c>
      <c r="R65" s="43" t="s">
        <v>150</v>
      </c>
      <c r="S65" s="20" t="s">
        <v>149</v>
      </c>
      <c r="T65" s="37" t="s">
        <v>150</v>
      </c>
      <c r="U65" s="44"/>
      <c r="V65" s="43" t="s">
        <v>150</v>
      </c>
      <c r="W65" s="43" t="s">
        <v>150</v>
      </c>
      <c r="X65" s="47" t="s">
        <v>149</v>
      </c>
      <c r="Y65" s="47" t="s">
        <v>149</v>
      </c>
      <c r="Z65" s="40" t="s">
        <v>150</v>
      </c>
      <c r="AA65" s="39" t="s">
        <v>150</v>
      </c>
      <c r="AB65" s="44"/>
      <c r="AC65" s="47" t="s">
        <v>149</v>
      </c>
      <c r="AD65" s="40" t="s">
        <v>150</v>
      </c>
      <c r="AE65" s="40" t="s">
        <v>150</v>
      </c>
      <c r="AF65" s="40" t="s">
        <v>150</v>
      </c>
      <c r="AG65" s="40" t="s">
        <v>150</v>
      </c>
      <c r="AH65" s="39" t="s">
        <v>150</v>
      </c>
      <c r="AI65" s="44"/>
      <c r="AJ65" s="40" t="s">
        <v>150</v>
      </c>
      <c r="AK65" s="40" t="s">
        <v>150</v>
      </c>
      <c r="AL65" s="40" t="s">
        <v>150</v>
      </c>
      <c r="AM65" s="40" t="s">
        <v>150</v>
      </c>
      <c r="AN65" s="40" t="s">
        <v>150</v>
      </c>
      <c r="AO65" s="39" t="s">
        <v>150</v>
      </c>
      <c r="AP65" s="44"/>
      <c r="AQ65" s="40" t="s">
        <v>150</v>
      </c>
      <c r="AR65" s="40" t="s">
        <v>150</v>
      </c>
      <c r="AS65" s="47" t="s">
        <v>149</v>
      </c>
      <c r="AT65" s="40" t="s">
        <v>150</v>
      </c>
      <c r="AU65" s="40" t="s">
        <v>150</v>
      </c>
      <c r="AV65" s="40" t="s">
        <v>150</v>
      </c>
      <c r="AW65" s="24"/>
      <c r="AX65" s="40" t="s">
        <v>150</v>
      </c>
      <c r="AY65" s="40" t="s">
        <v>150</v>
      </c>
      <c r="AZ65" s="40" t="s">
        <v>150</v>
      </c>
      <c r="BA65" s="40" t="s">
        <v>150</v>
      </c>
      <c r="BB65" s="40" t="s">
        <v>150</v>
      </c>
      <c r="BC65" s="24"/>
      <c r="BD65" s="40" t="s">
        <v>150</v>
      </c>
      <c r="BE65" s="2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</row>
    <row r="66">
      <c r="A66" s="5">
        <v>63.0</v>
      </c>
      <c r="B66" s="32" t="s">
        <v>356</v>
      </c>
      <c r="C66" s="32" t="s">
        <v>357</v>
      </c>
      <c r="D66" s="5">
        <f t="shared" si="4"/>
        <v>29</v>
      </c>
      <c r="E66" s="5">
        <f t="shared" si="5"/>
        <v>3</v>
      </c>
      <c r="F66" s="3">
        <f t="shared" si="2"/>
        <v>32</v>
      </c>
      <c r="G66" s="36">
        <f t="shared" si="3"/>
        <v>90.625</v>
      </c>
      <c r="H66" s="43" t="s">
        <v>150</v>
      </c>
      <c r="I66" s="43" t="s">
        <v>150</v>
      </c>
      <c r="J66" s="43" t="s">
        <v>150</v>
      </c>
      <c r="K66" s="43" t="s">
        <v>150</v>
      </c>
      <c r="L66" s="43" t="s">
        <v>150</v>
      </c>
      <c r="M66" s="37" t="s">
        <v>150</v>
      </c>
      <c r="N66" s="44"/>
      <c r="O66" s="43" t="s">
        <v>150</v>
      </c>
      <c r="P66" s="43" t="s">
        <v>150</v>
      </c>
      <c r="Q66" s="43" t="s">
        <v>150</v>
      </c>
      <c r="R66" s="20" t="s">
        <v>149</v>
      </c>
      <c r="S66" s="20" t="s">
        <v>149</v>
      </c>
      <c r="T66" s="37" t="s">
        <v>150</v>
      </c>
      <c r="U66" s="44"/>
      <c r="V66" s="43" t="s">
        <v>150</v>
      </c>
      <c r="W66" s="43" t="s">
        <v>150</v>
      </c>
      <c r="X66" s="40" t="s">
        <v>150</v>
      </c>
      <c r="Y66" s="40" t="s">
        <v>150</v>
      </c>
      <c r="Z66" s="40" t="s">
        <v>150</v>
      </c>
      <c r="AA66" s="48" t="s">
        <v>149</v>
      </c>
      <c r="AB66" s="44"/>
      <c r="AC66" s="40" t="s">
        <v>150</v>
      </c>
      <c r="AD66" s="40" t="s">
        <v>150</v>
      </c>
      <c r="AE66" s="40" t="s">
        <v>150</v>
      </c>
      <c r="AF66" s="40" t="s">
        <v>150</v>
      </c>
      <c r="AG66" s="40" t="s">
        <v>150</v>
      </c>
      <c r="AH66" s="39" t="s">
        <v>150</v>
      </c>
      <c r="AI66" s="44"/>
      <c r="AJ66" s="40" t="s">
        <v>150</v>
      </c>
      <c r="AK66" s="40" t="s">
        <v>150</v>
      </c>
      <c r="AL66" s="40" t="s">
        <v>150</v>
      </c>
      <c r="AM66" s="40" t="s">
        <v>150</v>
      </c>
      <c r="AN66" s="40" t="s">
        <v>150</v>
      </c>
      <c r="AO66" s="39" t="s">
        <v>150</v>
      </c>
      <c r="AP66" s="44"/>
      <c r="AQ66" s="40" t="s">
        <v>150</v>
      </c>
      <c r="AR66" s="40" t="s">
        <v>150</v>
      </c>
      <c r="AS66" s="40" t="s">
        <v>150</v>
      </c>
      <c r="AT66" s="40" t="s">
        <v>150</v>
      </c>
      <c r="AU66" s="40" t="s">
        <v>150</v>
      </c>
      <c r="AV66" s="40" t="s">
        <v>150</v>
      </c>
      <c r="AW66" s="24"/>
      <c r="AX66" s="40" t="s">
        <v>150</v>
      </c>
      <c r="AY66" s="40" t="s">
        <v>150</v>
      </c>
      <c r="AZ66" s="40" t="s">
        <v>150</v>
      </c>
      <c r="BA66" s="40" t="s">
        <v>150</v>
      </c>
      <c r="BB66" s="40" t="s">
        <v>150</v>
      </c>
      <c r="BC66" s="24"/>
      <c r="BD66" s="40" t="s">
        <v>150</v>
      </c>
      <c r="BE66" s="2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</row>
    <row r="67">
      <c r="A67" s="5">
        <v>64.0</v>
      </c>
      <c r="B67" s="32" t="s">
        <v>358</v>
      </c>
      <c r="C67" s="32" t="s">
        <v>360</v>
      </c>
      <c r="D67" s="5">
        <f t="shared" si="4"/>
        <v>28</v>
      </c>
      <c r="E67" s="5">
        <f t="shared" si="5"/>
        <v>4</v>
      </c>
      <c r="F67" s="3">
        <f t="shared" si="2"/>
        <v>32</v>
      </c>
      <c r="G67" s="36">
        <f t="shared" si="3"/>
        <v>87.5</v>
      </c>
      <c r="H67" s="20" t="s">
        <v>149</v>
      </c>
      <c r="I67" s="20" t="s">
        <v>149</v>
      </c>
      <c r="J67" s="20" t="s">
        <v>149</v>
      </c>
      <c r="K67" s="43" t="s">
        <v>150</v>
      </c>
      <c r="L67" s="43" t="s">
        <v>150</v>
      </c>
      <c r="M67" s="21" t="s">
        <v>149</v>
      </c>
      <c r="N67" s="44"/>
      <c r="O67" s="43" t="s">
        <v>150</v>
      </c>
      <c r="P67" s="43" t="s">
        <v>150</v>
      </c>
      <c r="Q67" s="43" t="s">
        <v>150</v>
      </c>
      <c r="R67" s="43" t="s">
        <v>150</v>
      </c>
      <c r="S67" s="43" t="s">
        <v>150</v>
      </c>
      <c r="T67" s="37" t="s">
        <v>150</v>
      </c>
      <c r="U67" s="44"/>
      <c r="V67" s="43" t="s">
        <v>150</v>
      </c>
      <c r="W67" s="43" t="s">
        <v>150</v>
      </c>
      <c r="X67" s="40" t="s">
        <v>150</v>
      </c>
      <c r="Y67" s="40" t="s">
        <v>150</v>
      </c>
      <c r="Z67" s="40" t="s">
        <v>150</v>
      </c>
      <c r="AA67" s="39" t="s">
        <v>150</v>
      </c>
      <c r="AB67" s="44"/>
      <c r="AC67" s="40" t="s">
        <v>150</v>
      </c>
      <c r="AD67" s="40" t="s">
        <v>150</v>
      </c>
      <c r="AE67" s="40" t="s">
        <v>150</v>
      </c>
      <c r="AF67" s="40" t="s">
        <v>150</v>
      </c>
      <c r="AG67" s="40" t="s">
        <v>150</v>
      </c>
      <c r="AH67" s="39" t="s">
        <v>150</v>
      </c>
      <c r="AI67" s="44"/>
      <c r="AJ67" s="40" t="s">
        <v>150</v>
      </c>
      <c r="AK67" s="40" t="s">
        <v>150</v>
      </c>
      <c r="AL67" s="40" t="s">
        <v>150</v>
      </c>
      <c r="AM67" s="40" t="s">
        <v>150</v>
      </c>
      <c r="AN67" s="40" t="s">
        <v>150</v>
      </c>
      <c r="AO67" s="39" t="s">
        <v>150</v>
      </c>
      <c r="AP67" s="44"/>
      <c r="AQ67" s="40" t="s">
        <v>150</v>
      </c>
      <c r="AR67" s="40" t="s">
        <v>150</v>
      </c>
      <c r="AS67" s="40" t="s">
        <v>150</v>
      </c>
      <c r="AT67" s="40" t="s">
        <v>150</v>
      </c>
      <c r="AU67" s="40" t="s">
        <v>150</v>
      </c>
      <c r="AV67" s="40" t="s">
        <v>150</v>
      </c>
      <c r="AW67" s="24"/>
      <c r="AX67" s="40" t="s">
        <v>150</v>
      </c>
      <c r="AY67" s="40" t="s">
        <v>150</v>
      </c>
      <c r="AZ67" s="40" t="s">
        <v>150</v>
      </c>
      <c r="BA67" s="40" t="s">
        <v>150</v>
      </c>
      <c r="BB67" s="40" t="s">
        <v>150</v>
      </c>
      <c r="BC67" s="24"/>
      <c r="BD67" s="40" t="s">
        <v>150</v>
      </c>
      <c r="BE67" s="2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</row>
    <row r="68">
      <c r="A68" s="5">
        <v>65.0</v>
      </c>
      <c r="B68" s="32" t="s">
        <v>362</v>
      </c>
      <c r="C68" s="32" t="s">
        <v>363</v>
      </c>
      <c r="D68" s="5">
        <f t="shared" si="4"/>
        <v>31</v>
      </c>
      <c r="E68" s="5">
        <f t="shared" si="5"/>
        <v>1</v>
      </c>
      <c r="F68" s="3">
        <f t="shared" si="2"/>
        <v>32</v>
      </c>
      <c r="G68" s="36">
        <f t="shared" si="3"/>
        <v>96.875</v>
      </c>
      <c r="H68" s="43" t="s">
        <v>150</v>
      </c>
      <c r="I68" s="43" t="s">
        <v>150</v>
      </c>
      <c r="J68" s="43" t="s">
        <v>150</v>
      </c>
      <c r="K68" s="43" t="s">
        <v>150</v>
      </c>
      <c r="L68" s="43" t="s">
        <v>150</v>
      </c>
      <c r="M68" s="37" t="s">
        <v>150</v>
      </c>
      <c r="N68" s="44"/>
      <c r="O68" s="43" t="s">
        <v>150</v>
      </c>
      <c r="P68" s="43" t="s">
        <v>150</v>
      </c>
      <c r="Q68" s="43" t="s">
        <v>150</v>
      </c>
      <c r="R68" s="43" t="s">
        <v>150</v>
      </c>
      <c r="S68" s="43" t="s">
        <v>150</v>
      </c>
      <c r="T68" s="37" t="s">
        <v>150</v>
      </c>
      <c r="U68" s="44"/>
      <c r="V68" s="43" t="s">
        <v>150</v>
      </c>
      <c r="W68" s="43" t="s">
        <v>150</v>
      </c>
      <c r="X68" s="40" t="s">
        <v>150</v>
      </c>
      <c r="Y68" s="40" t="s">
        <v>150</v>
      </c>
      <c r="Z68" s="40" t="s">
        <v>150</v>
      </c>
      <c r="AA68" s="39" t="s">
        <v>150</v>
      </c>
      <c r="AB68" s="44"/>
      <c r="AC68" s="40" t="s">
        <v>150</v>
      </c>
      <c r="AD68" s="40" t="s">
        <v>150</v>
      </c>
      <c r="AE68" s="40" t="s">
        <v>150</v>
      </c>
      <c r="AF68" s="40" t="s">
        <v>150</v>
      </c>
      <c r="AG68" s="40" t="s">
        <v>150</v>
      </c>
      <c r="AH68" s="39" t="s">
        <v>150</v>
      </c>
      <c r="AI68" s="44"/>
      <c r="AJ68" s="40" t="s">
        <v>150</v>
      </c>
      <c r="AK68" s="40" t="s">
        <v>150</v>
      </c>
      <c r="AL68" s="40" t="s">
        <v>150</v>
      </c>
      <c r="AM68" s="40" t="s">
        <v>150</v>
      </c>
      <c r="AN68" s="40" t="s">
        <v>150</v>
      </c>
      <c r="AO68" s="48" t="s">
        <v>149</v>
      </c>
      <c r="AP68" s="44"/>
      <c r="AQ68" s="40" t="s">
        <v>150</v>
      </c>
      <c r="AR68" s="40" t="s">
        <v>150</v>
      </c>
      <c r="AS68" s="40" t="s">
        <v>150</v>
      </c>
      <c r="AT68" s="40" t="s">
        <v>150</v>
      </c>
      <c r="AU68" s="40" t="s">
        <v>150</v>
      </c>
      <c r="AV68" s="40" t="s">
        <v>150</v>
      </c>
      <c r="AW68" s="24"/>
      <c r="AX68" s="40" t="s">
        <v>150</v>
      </c>
      <c r="AY68" s="40" t="s">
        <v>150</v>
      </c>
      <c r="AZ68" s="40" t="s">
        <v>150</v>
      </c>
      <c r="BA68" s="40" t="s">
        <v>150</v>
      </c>
      <c r="BB68" s="40" t="s">
        <v>150</v>
      </c>
      <c r="BC68" s="24"/>
      <c r="BD68" s="40" t="s">
        <v>150</v>
      </c>
      <c r="BE68" s="2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</row>
    <row r="69" ht="15.75" customHeight="1">
      <c r="A69" s="5">
        <v>66.0</v>
      </c>
      <c r="B69" s="32" t="s">
        <v>367</v>
      </c>
      <c r="C69" s="32" t="s">
        <v>369</v>
      </c>
      <c r="D69" s="5">
        <f t="shared" si="4"/>
        <v>31</v>
      </c>
      <c r="E69" s="5">
        <f t="shared" si="5"/>
        <v>1</v>
      </c>
      <c r="F69" s="3">
        <f t="shared" si="2"/>
        <v>32</v>
      </c>
      <c r="G69" s="36">
        <f t="shared" si="3"/>
        <v>96.875</v>
      </c>
      <c r="H69" s="43" t="s">
        <v>150</v>
      </c>
      <c r="I69" s="43" t="s">
        <v>150</v>
      </c>
      <c r="J69" s="43" t="s">
        <v>150</v>
      </c>
      <c r="K69" s="43" t="s">
        <v>150</v>
      </c>
      <c r="L69" s="43" t="s">
        <v>150</v>
      </c>
      <c r="M69" s="37" t="s">
        <v>150</v>
      </c>
      <c r="N69" s="44"/>
      <c r="O69" s="43" t="s">
        <v>150</v>
      </c>
      <c r="P69" s="43" t="s">
        <v>150</v>
      </c>
      <c r="Q69" s="43" t="s">
        <v>150</v>
      </c>
      <c r="R69" s="43" t="s">
        <v>150</v>
      </c>
      <c r="S69" s="43" t="s">
        <v>150</v>
      </c>
      <c r="T69" s="37" t="s">
        <v>150</v>
      </c>
      <c r="U69" s="44"/>
      <c r="V69" s="20" t="s">
        <v>149</v>
      </c>
      <c r="W69" s="43" t="s">
        <v>150</v>
      </c>
      <c r="X69" s="40" t="s">
        <v>150</v>
      </c>
      <c r="Y69" s="40" t="s">
        <v>150</v>
      </c>
      <c r="Z69" s="40" t="s">
        <v>150</v>
      </c>
      <c r="AA69" s="39" t="s">
        <v>150</v>
      </c>
      <c r="AB69" s="44"/>
      <c r="AC69" s="40" t="s">
        <v>150</v>
      </c>
      <c r="AD69" s="40" t="s">
        <v>150</v>
      </c>
      <c r="AE69" s="40" t="s">
        <v>150</v>
      </c>
      <c r="AF69" s="40" t="s">
        <v>150</v>
      </c>
      <c r="AG69" s="40" t="s">
        <v>150</v>
      </c>
      <c r="AH69" s="39" t="s">
        <v>150</v>
      </c>
      <c r="AI69" s="44"/>
      <c r="AJ69" s="40" t="s">
        <v>150</v>
      </c>
      <c r="AK69" s="40" t="s">
        <v>150</v>
      </c>
      <c r="AL69" s="40" t="s">
        <v>150</v>
      </c>
      <c r="AM69" s="40" t="s">
        <v>150</v>
      </c>
      <c r="AN69" s="40" t="s">
        <v>150</v>
      </c>
      <c r="AO69" s="39" t="s">
        <v>150</v>
      </c>
      <c r="AP69" s="44"/>
      <c r="AQ69" s="40" t="s">
        <v>150</v>
      </c>
      <c r="AR69" s="40" t="s">
        <v>150</v>
      </c>
      <c r="AS69" s="40" t="s">
        <v>150</v>
      </c>
      <c r="AT69" s="40" t="s">
        <v>150</v>
      </c>
      <c r="AU69" s="40" t="s">
        <v>150</v>
      </c>
      <c r="AV69" s="40" t="s">
        <v>150</v>
      </c>
      <c r="AW69" s="24"/>
      <c r="AX69" s="40" t="s">
        <v>150</v>
      </c>
      <c r="AY69" s="40" t="s">
        <v>150</v>
      </c>
      <c r="AZ69" s="40" t="s">
        <v>150</v>
      </c>
      <c r="BA69" s="40" t="s">
        <v>150</v>
      </c>
      <c r="BB69" s="40" t="s">
        <v>150</v>
      </c>
      <c r="BC69" s="24"/>
      <c r="BD69" s="40" t="s">
        <v>150</v>
      </c>
      <c r="BE69" s="2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</row>
    <row r="70" ht="20.25" customHeight="1">
      <c r="A70" s="5">
        <v>67.0</v>
      </c>
      <c r="B70" s="70" t="s">
        <v>371</v>
      </c>
      <c r="C70" s="71" t="s">
        <v>372</v>
      </c>
      <c r="D70" s="5">
        <f t="shared" si="4"/>
        <v>24</v>
      </c>
      <c r="E70" s="5">
        <f t="shared" si="5"/>
        <v>8</v>
      </c>
      <c r="F70" s="3">
        <f t="shared" si="2"/>
        <v>32</v>
      </c>
      <c r="G70" s="36">
        <f t="shared" si="3"/>
        <v>75</v>
      </c>
      <c r="H70" s="49" t="s">
        <v>150</v>
      </c>
      <c r="I70" s="49" t="s">
        <v>150</v>
      </c>
      <c r="J70" s="49" t="s">
        <v>150</v>
      </c>
      <c r="K70" s="49" t="s">
        <v>150</v>
      </c>
      <c r="L70" s="49" t="s">
        <v>150</v>
      </c>
      <c r="M70" s="50" t="s">
        <v>150</v>
      </c>
      <c r="N70" s="44"/>
      <c r="O70" s="51" t="s">
        <v>149</v>
      </c>
      <c r="P70" s="51" t="s">
        <v>149</v>
      </c>
      <c r="Q70" s="51" t="s">
        <v>149</v>
      </c>
      <c r="R70" s="49" t="s">
        <v>150</v>
      </c>
      <c r="S70" s="49" t="s">
        <v>150</v>
      </c>
      <c r="T70" s="50" t="s">
        <v>150</v>
      </c>
      <c r="U70" s="77" t="s">
        <v>673</v>
      </c>
      <c r="V70" s="43" t="s">
        <v>150</v>
      </c>
      <c r="W70" s="20" t="s">
        <v>149</v>
      </c>
      <c r="X70" s="52" t="s">
        <v>149</v>
      </c>
      <c r="Y70" s="52" t="s">
        <v>149</v>
      </c>
      <c r="Z70" s="52" t="s">
        <v>149</v>
      </c>
      <c r="AA70" s="39" t="s">
        <v>150</v>
      </c>
      <c r="AB70" s="77" t="s">
        <v>673</v>
      </c>
      <c r="AC70" s="40" t="s">
        <v>150</v>
      </c>
      <c r="AD70" s="40" t="s">
        <v>150</v>
      </c>
      <c r="AE70" s="40" t="s">
        <v>150</v>
      </c>
      <c r="AF70" s="40" t="s">
        <v>150</v>
      </c>
      <c r="AG70" s="40" t="s">
        <v>150</v>
      </c>
      <c r="AH70" s="39" t="s">
        <v>150</v>
      </c>
      <c r="AI70" s="77" t="s">
        <v>673</v>
      </c>
      <c r="AJ70" s="40" t="s">
        <v>150</v>
      </c>
      <c r="AK70" s="40" t="s">
        <v>150</v>
      </c>
      <c r="AL70" s="40" t="s">
        <v>150</v>
      </c>
      <c r="AM70" s="40" t="s">
        <v>150</v>
      </c>
      <c r="AN70" s="40" t="s">
        <v>150</v>
      </c>
      <c r="AO70" s="48" t="s">
        <v>149</v>
      </c>
      <c r="AP70" s="77" t="s">
        <v>673</v>
      </c>
      <c r="AQ70" s="40" t="s">
        <v>150</v>
      </c>
      <c r="AR70" s="40" t="s">
        <v>150</v>
      </c>
      <c r="AS70" s="40" t="s">
        <v>150</v>
      </c>
      <c r="AT70" s="40" t="s">
        <v>150</v>
      </c>
      <c r="AU70" s="40" t="s">
        <v>150</v>
      </c>
      <c r="AV70" s="40" t="s">
        <v>150</v>
      </c>
      <c r="AW70" s="24"/>
      <c r="AX70" s="40" t="s">
        <v>150</v>
      </c>
      <c r="AY70" s="40" t="s">
        <v>150</v>
      </c>
      <c r="AZ70" s="40" t="s">
        <v>150</v>
      </c>
      <c r="BA70" s="40" t="s">
        <v>150</v>
      </c>
      <c r="BB70" s="40" t="s">
        <v>150</v>
      </c>
      <c r="BC70" s="24"/>
      <c r="BD70" s="40" t="s">
        <v>150</v>
      </c>
      <c r="BE70" s="2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</row>
    <row r="71">
      <c r="A71" s="5">
        <v>68.0</v>
      </c>
      <c r="B71" s="32" t="s">
        <v>376</v>
      </c>
      <c r="C71" s="32" t="s">
        <v>377</v>
      </c>
      <c r="D71" s="5">
        <f t="shared" si="4"/>
        <v>29</v>
      </c>
      <c r="E71" s="5">
        <f t="shared" si="5"/>
        <v>3</v>
      </c>
      <c r="F71" s="3">
        <f t="shared" si="2"/>
        <v>32</v>
      </c>
      <c r="G71" s="36">
        <f t="shared" si="3"/>
        <v>90.625</v>
      </c>
      <c r="H71" s="43" t="s">
        <v>150</v>
      </c>
      <c r="I71" s="43" t="s">
        <v>150</v>
      </c>
      <c r="J71" s="43" t="s">
        <v>150</v>
      </c>
      <c r="K71" s="43" t="s">
        <v>150</v>
      </c>
      <c r="L71" s="43" t="s">
        <v>150</v>
      </c>
      <c r="M71" s="37" t="s">
        <v>150</v>
      </c>
      <c r="N71" s="44"/>
      <c r="O71" s="43" t="s">
        <v>150</v>
      </c>
      <c r="P71" s="43" t="s">
        <v>150</v>
      </c>
      <c r="Q71" s="43" t="s">
        <v>150</v>
      </c>
      <c r="R71" s="43" t="s">
        <v>150</v>
      </c>
      <c r="S71" s="43" t="s">
        <v>150</v>
      </c>
      <c r="T71" s="37" t="s">
        <v>150</v>
      </c>
      <c r="U71" s="44"/>
      <c r="V71" s="20" t="s">
        <v>149</v>
      </c>
      <c r="W71" s="43" t="s">
        <v>150</v>
      </c>
      <c r="X71" s="47" t="s">
        <v>149</v>
      </c>
      <c r="Y71" s="47" t="s">
        <v>149</v>
      </c>
      <c r="Z71" s="40" t="s">
        <v>150</v>
      </c>
      <c r="AA71" s="39" t="s">
        <v>150</v>
      </c>
      <c r="AB71" s="44"/>
      <c r="AC71" s="40" t="s">
        <v>150</v>
      </c>
      <c r="AD71" s="40" t="s">
        <v>150</v>
      </c>
      <c r="AE71" s="40" t="s">
        <v>150</v>
      </c>
      <c r="AF71" s="40" t="s">
        <v>150</v>
      </c>
      <c r="AG71" s="40" t="s">
        <v>150</v>
      </c>
      <c r="AH71" s="39" t="s">
        <v>150</v>
      </c>
      <c r="AI71" s="44"/>
      <c r="AJ71" s="40" t="s">
        <v>150</v>
      </c>
      <c r="AK71" s="40" t="s">
        <v>150</v>
      </c>
      <c r="AL71" s="40" t="s">
        <v>150</v>
      </c>
      <c r="AM71" s="40" t="s">
        <v>150</v>
      </c>
      <c r="AN71" s="40" t="s">
        <v>150</v>
      </c>
      <c r="AO71" s="39" t="s">
        <v>150</v>
      </c>
      <c r="AP71" s="44"/>
      <c r="AQ71" s="40" t="s">
        <v>150</v>
      </c>
      <c r="AR71" s="40" t="s">
        <v>150</v>
      </c>
      <c r="AS71" s="40" t="s">
        <v>150</v>
      </c>
      <c r="AT71" s="40" t="s">
        <v>150</v>
      </c>
      <c r="AU71" s="40" t="s">
        <v>150</v>
      </c>
      <c r="AV71" s="40" t="s">
        <v>150</v>
      </c>
      <c r="AW71" s="24"/>
      <c r="AX71" s="40" t="s">
        <v>150</v>
      </c>
      <c r="AY71" s="40" t="s">
        <v>150</v>
      </c>
      <c r="AZ71" s="40" t="s">
        <v>150</v>
      </c>
      <c r="BA71" s="40" t="s">
        <v>150</v>
      </c>
      <c r="BB71" s="40" t="s">
        <v>150</v>
      </c>
      <c r="BC71" s="24"/>
      <c r="BD71" s="40" t="s">
        <v>150</v>
      </c>
      <c r="BE71" s="2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</row>
    <row r="72">
      <c r="A72" s="5">
        <v>69.0</v>
      </c>
      <c r="B72" s="32" t="s">
        <v>379</v>
      </c>
      <c r="C72" s="32" t="s">
        <v>380</v>
      </c>
      <c r="D72" s="5">
        <f t="shared" si="4"/>
        <v>26</v>
      </c>
      <c r="E72" s="5">
        <f t="shared" si="5"/>
        <v>6</v>
      </c>
      <c r="F72" s="3">
        <f t="shared" si="2"/>
        <v>32</v>
      </c>
      <c r="G72" s="36">
        <f t="shared" si="3"/>
        <v>81.25</v>
      </c>
      <c r="H72" s="20" t="s">
        <v>149</v>
      </c>
      <c r="I72" s="20" t="s">
        <v>149</v>
      </c>
      <c r="J72" s="49" t="s">
        <v>150</v>
      </c>
      <c r="K72" s="43" t="s">
        <v>150</v>
      </c>
      <c r="L72" s="43" t="s">
        <v>150</v>
      </c>
      <c r="M72" s="37" t="s">
        <v>150</v>
      </c>
      <c r="N72" s="44"/>
      <c r="O72" s="43" t="s">
        <v>150</v>
      </c>
      <c r="P72" s="43" t="s">
        <v>150</v>
      </c>
      <c r="Q72" s="43" t="s">
        <v>150</v>
      </c>
      <c r="R72" s="43" t="s">
        <v>150</v>
      </c>
      <c r="S72" s="43" t="s">
        <v>150</v>
      </c>
      <c r="T72" s="37" t="s">
        <v>150</v>
      </c>
      <c r="U72" s="44"/>
      <c r="V72" s="43" t="s">
        <v>150</v>
      </c>
      <c r="W72" s="43" t="s">
        <v>150</v>
      </c>
      <c r="X72" s="40" t="s">
        <v>150</v>
      </c>
      <c r="Y72" s="40" t="s">
        <v>150</v>
      </c>
      <c r="Z72" s="40" t="s">
        <v>150</v>
      </c>
      <c r="AA72" s="48" t="s">
        <v>149</v>
      </c>
      <c r="AB72" s="44"/>
      <c r="AC72" s="40" t="s">
        <v>150</v>
      </c>
      <c r="AD72" s="40" t="s">
        <v>150</v>
      </c>
      <c r="AE72" s="47" t="s">
        <v>149</v>
      </c>
      <c r="AF72" s="40" t="s">
        <v>150</v>
      </c>
      <c r="AG72" s="47" t="s">
        <v>149</v>
      </c>
      <c r="AH72" s="39" t="s">
        <v>150</v>
      </c>
      <c r="AI72" s="44"/>
      <c r="AJ72" s="47" t="s">
        <v>149</v>
      </c>
      <c r="AK72" s="40" t="s">
        <v>150</v>
      </c>
      <c r="AL72" s="40" t="s">
        <v>150</v>
      </c>
      <c r="AM72" s="40" t="s">
        <v>150</v>
      </c>
      <c r="AN72" s="40" t="s">
        <v>150</v>
      </c>
      <c r="AO72" s="39" t="s">
        <v>150</v>
      </c>
      <c r="AP72" s="44"/>
      <c r="AQ72" s="40" t="s">
        <v>150</v>
      </c>
      <c r="AR72" s="40" t="s">
        <v>150</v>
      </c>
      <c r="AS72" s="40" t="s">
        <v>150</v>
      </c>
      <c r="AT72" s="40" t="s">
        <v>150</v>
      </c>
      <c r="AU72" s="40" t="s">
        <v>150</v>
      </c>
      <c r="AV72" s="40" t="s">
        <v>150</v>
      </c>
      <c r="AW72" s="24"/>
      <c r="AX72" s="40" t="s">
        <v>150</v>
      </c>
      <c r="AY72" s="40" t="s">
        <v>150</v>
      </c>
      <c r="AZ72" s="40" t="s">
        <v>150</v>
      </c>
      <c r="BA72" s="40" t="s">
        <v>150</v>
      </c>
      <c r="BB72" s="40" t="s">
        <v>150</v>
      </c>
      <c r="BC72" s="24"/>
      <c r="BD72" s="40" t="s">
        <v>150</v>
      </c>
      <c r="BE72" s="2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</row>
    <row r="73">
      <c r="A73" s="5">
        <v>70.0</v>
      </c>
      <c r="B73" s="32" t="s">
        <v>383</v>
      </c>
      <c r="C73" s="32" t="s">
        <v>384</v>
      </c>
      <c r="D73" s="5">
        <f t="shared" si="4"/>
        <v>27</v>
      </c>
      <c r="E73" s="5">
        <f t="shared" si="5"/>
        <v>5</v>
      </c>
      <c r="F73" s="3">
        <f t="shared" si="2"/>
        <v>32</v>
      </c>
      <c r="G73" s="36">
        <f t="shared" si="3"/>
        <v>84.375</v>
      </c>
      <c r="H73" s="43" t="s">
        <v>150</v>
      </c>
      <c r="I73" s="43" t="s">
        <v>150</v>
      </c>
      <c r="J73" s="43" t="s">
        <v>150</v>
      </c>
      <c r="K73" s="43" t="s">
        <v>150</v>
      </c>
      <c r="L73" s="43" t="s">
        <v>150</v>
      </c>
      <c r="M73" s="37" t="s">
        <v>150</v>
      </c>
      <c r="N73" s="44"/>
      <c r="O73" s="43" t="s">
        <v>150</v>
      </c>
      <c r="P73" s="43" t="s">
        <v>150</v>
      </c>
      <c r="Q73" s="43" t="s">
        <v>150</v>
      </c>
      <c r="R73" s="20" t="s">
        <v>149</v>
      </c>
      <c r="S73" s="43" t="s">
        <v>150</v>
      </c>
      <c r="T73" s="21" t="s">
        <v>149</v>
      </c>
      <c r="U73" s="44"/>
      <c r="V73" s="43" t="s">
        <v>150</v>
      </c>
      <c r="W73" s="43" t="s">
        <v>150</v>
      </c>
      <c r="X73" s="47" t="s">
        <v>149</v>
      </c>
      <c r="Y73" s="47" t="s">
        <v>149</v>
      </c>
      <c r="Z73" s="49" t="s">
        <v>150</v>
      </c>
      <c r="AA73" s="39" t="s">
        <v>150</v>
      </c>
      <c r="AB73" s="44"/>
      <c r="AC73" s="47" t="s">
        <v>149</v>
      </c>
      <c r="AD73" s="40" t="s">
        <v>150</v>
      </c>
      <c r="AE73" s="40" t="s">
        <v>150</v>
      </c>
      <c r="AF73" s="40" t="s">
        <v>150</v>
      </c>
      <c r="AG73" s="40" t="s">
        <v>150</v>
      </c>
      <c r="AH73" s="39" t="s">
        <v>150</v>
      </c>
      <c r="AI73" s="44"/>
      <c r="AJ73" s="40" t="s">
        <v>150</v>
      </c>
      <c r="AK73" s="40" t="s">
        <v>150</v>
      </c>
      <c r="AL73" s="40" t="s">
        <v>150</v>
      </c>
      <c r="AM73" s="40" t="s">
        <v>150</v>
      </c>
      <c r="AN73" s="40" t="s">
        <v>150</v>
      </c>
      <c r="AO73" s="39" t="s">
        <v>150</v>
      </c>
      <c r="AP73" s="44"/>
      <c r="AQ73" s="40" t="s">
        <v>150</v>
      </c>
      <c r="AR73" s="40" t="s">
        <v>150</v>
      </c>
      <c r="AS73" s="40" t="s">
        <v>150</v>
      </c>
      <c r="AT73" s="40" t="s">
        <v>150</v>
      </c>
      <c r="AU73" s="40" t="s">
        <v>150</v>
      </c>
      <c r="AV73" s="40" t="s">
        <v>150</v>
      </c>
      <c r="AW73" s="24"/>
      <c r="AX73" s="40" t="s">
        <v>150</v>
      </c>
      <c r="AY73" s="40" t="s">
        <v>150</v>
      </c>
      <c r="AZ73" s="40" t="s">
        <v>150</v>
      </c>
      <c r="BA73" s="40" t="s">
        <v>150</v>
      </c>
      <c r="BB73" s="40" t="s">
        <v>150</v>
      </c>
      <c r="BC73" s="24"/>
      <c r="BD73" s="40" t="s">
        <v>150</v>
      </c>
      <c r="BE73" s="2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</row>
    <row r="74">
      <c r="A74" s="5">
        <v>71.0</v>
      </c>
      <c r="B74" s="32" t="s">
        <v>386</v>
      </c>
      <c r="C74" s="32" t="s">
        <v>387</v>
      </c>
      <c r="D74" s="5">
        <f t="shared" si="4"/>
        <v>25</v>
      </c>
      <c r="E74" s="5">
        <f t="shared" si="5"/>
        <v>7</v>
      </c>
      <c r="F74" s="3">
        <f t="shared" si="2"/>
        <v>32</v>
      </c>
      <c r="G74" s="36">
        <f t="shared" si="3"/>
        <v>78.125</v>
      </c>
      <c r="H74" s="43" t="s">
        <v>150</v>
      </c>
      <c r="I74" s="43" t="s">
        <v>150</v>
      </c>
      <c r="J74" s="43" t="s">
        <v>150</v>
      </c>
      <c r="K74" s="43" t="s">
        <v>150</v>
      </c>
      <c r="L74" s="43" t="s">
        <v>150</v>
      </c>
      <c r="M74" s="37" t="s">
        <v>150</v>
      </c>
      <c r="N74" s="44"/>
      <c r="O74" s="43" t="s">
        <v>150</v>
      </c>
      <c r="P74" s="43" t="s">
        <v>150</v>
      </c>
      <c r="Q74" s="43" t="s">
        <v>150</v>
      </c>
      <c r="R74" s="43" t="s">
        <v>150</v>
      </c>
      <c r="S74" s="43" t="s">
        <v>150</v>
      </c>
      <c r="T74" s="37" t="s">
        <v>150</v>
      </c>
      <c r="U74" s="44"/>
      <c r="V74" s="43" t="s">
        <v>150</v>
      </c>
      <c r="W74" s="43" t="s">
        <v>150</v>
      </c>
      <c r="X74" s="47" t="s">
        <v>149</v>
      </c>
      <c r="Y74" s="47" t="s">
        <v>149</v>
      </c>
      <c r="Z74" s="40" t="s">
        <v>150</v>
      </c>
      <c r="AA74" s="39" t="s">
        <v>150</v>
      </c>
      <c r="AB74" s="44"/>
      <c r="AC74" s="40" t="s">
        <v>150</v>
      </c>
      <c r="AD74" s="40" t="s">
        <v>150</v>
      </c>
      <c r="AE74" s="40" t="s">
        <v>150</v>
      </c>
      <c r="AF74" s="40" t="s">
        <v>150</v>
      </c>
      <c r="AG74" s="40" t="s">
        <v>150</v>
      </c>
      <c r="AH74" s="48" t="s">
        <v>149</v>
      </c>
      <c r="AI74" s="44"/>
      <c r="AJ74" s="47" t="s">
        <v>149</v>
      </c>
      <c r="AK74" s="40" t="s">
        <v>150</v>
      </c>
      <c r="AL74" s="40" t="s">
        <v>150</v>
      </c>
      <c r="AM74" s="40" t="s">
        <v>150</v>
      </c>
      <c r="AN74" s="47" t="s">
        <v>149</v>
      </c>
      <c r="AO74" s="48" t="s">
        <v>149</v>
      </c>
      <c r="AP74" s="44"/>
      <c r="AQ74" s="47" t="s">
        <v>149</v>
      </c>
      <c r="AR74" s="40" t="s">
        <v>150</v>
      </c>
      <c r="AS74" s="40" t="s">
        <v>150</v>
      </c>
      <c r="AT74" s="40" t="s">
        <v>150</v>
      </c>
      <c r="AU74" s="40" t="s">
        <v>150</v>
      </c>
      <c r="AV74" s="40" t="s">
        <v>150</v>
      </c>
      <c r="AW74" s="24"/>
      <c r="AX74" s="40" t="s">
        <v>150</v>
      </c>
      <c r="AY74" s="40" t="s">
        <v>150</v>
      </c>
      <c r="AZ74" s="40" t="s">
        <v>150</v>
      </c>
      <c r="BA74" s="40" t="s">
        <v>150</v>
      </c>
      <c r="BB74" s="40" t="s">
        <v>150</v>
      </c>
      <c r="BC74" s="24"/>
      <c r="BD74" s="40" t="s">
        <v>150</v>
      </c>
      <c r="BE74" s="2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  <c r="BR74" s="41"/>
      <c r="BS74" s="41"/>
      <c r="BT74" s="41"/>
      <c r="BU74" s="41"/>
      <c r="BV74" s="41"/>
    </row>
    <row r="75">
      <c r="A75" s="5">
        <v>72.0</v>
      </c>
      <c r="B75" s="32" t="s">
        <v>390</v>
      </c>
      <c r="C75" s="32" t="s">
        <v>391</v>
      </c>
      <c r="D75" s="5">
        <f t="shared" si="4"/>
        <v>26</v>
      </c>
      <c r="E75" s="5">
        <f t="shared" si="5"/>
        <v>6</v>
      </c>
      <c r="F75" s="3">
        <f t="shared" si="2"/>
        <v>32</v>
      </c>
      <c r="G75" s="36">
        <f t="shared" si="3"/>
        <v>81.25</v>
      </c>
      <c r="H75" s="20" t="s">
        <v>149</v>
      </c>
      <c r="I75" s="20" t="s">
        <v>149</v>
      </c>
      <c r="J75" s="49" t="s">
        <v>150</v>
      </c>
      <c r="K75" s="43" t="s">
        <v>150</v>
      </c>
      <c r="L75" s="43" t="s">
        <v>150</v>
      </c>
      <c r="M75" s="37" t="s">
        <v>150</v>
      </c>
      <c r="N75" s="44"/>
      <c r="O75" s="43" t="s">
        <v>150</v>
      </c>
      <c r="P75" s="43" t="s">
        <v>150</v>
      </c>
      <c r="Q75" s="43" t="s">
        <v>150</v>
      </c>
      <c r="R75" s="43" t="s">
        <v>150</v>
      </c>
      <c r="S75" s="20" t="s">
        <v>149</v>
      </c>
      <c r="T75" s="37" t="s">
        <v>150</v>
      </c>
      <c r="U75" s="44"/>
      <c r="V75" s="20" t="s">
        <v>149</v>
      </c>
      <c r="W75" s="43" t="s">
        <v>150</v>
      </c>
      <c r="X75" s="40" t="s">
        <v>150</v>
      </c>
      <c r="Y75" s="40" t="s">
        <v>150</v>
      </c>
      <c r="Z75" s="40" t="s">
        <v>150</v>
      </c>
      <c r="AA75" s="39" t="s">
        <v>150</v>
      </c>
      <c r="AB75" s="44"/>
      <c r="AC75" s="40" t="s">
        <v>150</v>
      </c>
      <c r="AD75" s="40" t="s">
        <v>150</v>
      </c>
      <c r="AE75" s="47" t="s">
        <v>149</v>
      </c>
      <c r="AF75" s="40" t="s">
        <v>150</v>
      </c>
      <c r="AG75" s="40" t="s">
        <v>150</v>
      </c>
      <c r="AH75" s="39" t="s">
        <v>150</v>
      </c>
      <c r="AI75" s="44"/>
      <c r="AJ75" s="40" t="s">
        <v>150</v>
      </c>
      <c r="AK75" s="40" t="s">
        <v>150</v>
      </c>
      <c r="AL75" s="40" t="s">
        <v>150</v>
      </c>
      <c r="AM75" s="47" t="s">
        <v>149</v>
      </c>
      <c r="AN75" s="40" t="s">
        <v>150</v>
      </c>
      <c r="AO75" s="39" t="s">
        <v>150</v>
      </c>
      <c r="AP75" s="44"/>
      <c r="AQ75" s="40" t="s">
        <v>150</v>
      </c>
      <c r="AR75" s="40" t="s">
        <v>150</v>
      </c>
      <c r="AS75" s="40" t="s">
        <v>150</v>
      </c>
      <c r="AT75" s="40" t="s">
        <v>150</v>
      </c>
      <c r="AU75" s="40" t="s">
        <v>150</v>
      </c>
      <c r="AV75" s="40" t="s">
        <v>150</v>
      </c>
      <c r="AW75" s="24"/>
      <c r="AX75" s="40" t="s">
        <v>150</v>
      </c>
      <c r="AY75" s="40" t="s">
        <v>150</v>
      </c>
      <c r="AZ75" s="40" t="s">
        <v>150</v>
      </c>
      <c r="BA75" s="40" t="s">
        <v>150</v>
      </c>
      <c r="BB75" s="40" t="s">
        <v>150</v>
      </c>
      <c r="BC75" s="24"/>
      <c r="BD75" s="40" t="s">
        <v>150</v>
      </c>
      <c r="BE75" s="2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  <c r="BR75" s="41"/>
      <c r="BS75" s="41"/>
      <c r="BT75" s="41"/>
      <c r="BU75" s="41"/>
      <c r="BV75" s="41"/>
    </row>
    <row r="76">
      <c r="A76" s="5">
        <v>73.0</v>
      </c>
      <c r="B76" s="78" t="s">
        <v>394</v>
      </c>
      <c r="C76" s="63" t="s">
        <v>395</v>
      </c>
      <c r="D76" s="5">
        <f t="shared" si="4"/>
        <v>31</v>
      </c>
      <c r="E76" s="5">
        <f t="shared" si="5"/>
        <v>1</v>
      </c>
      <c r="F76" s="3">
        <f t="shared" si="2"/>
        <v>32</v>
      </c>
      <c r="G76" s="36">
        <f t="shared" si="3"/>
        <v>96.875</v>
      </c>
      <c r="H76" s="49" t="s">
        <v>150</v>
      </c>
      <c r="I76" s="49" t="s">
        <v>150</v>
      </c>
      <c r="J76" s="49" t="s">
        <v>150</v>
      </c>
      <c r="K76" s="49" t="s">
        <v>150</v>
      </c>
      <c r="L76" s="49" t="s">
        <v>150</v>
      </c>
      <c r="M76" s="50" t="s">
        <v>150</v>
      </c>
      <c r="N76" s="44"/>
      <c r="O76" s="49" t="s">
        <v>150</v>
      </c>
      <c r="P76" s="49" t="s">
        <v>150</v>
      </c>
      <c r="Q76" s="49" t="s">
        <v>150</v>
      </c>
      <c r="R76" s="49" t="s">
        <v>150</v>
      </c>
      <c r="S76" s="49" t="s">
        <v>150</v>
      </c>
      <c r="T76" s="50" t="s">
        <v>150</v>
      </c>
      <c r="U76" s="44"/>
      <c r="V76" s="43" t="s">
        <v>150</v>
      </c>
      <c r="W76" s="43" t="s">
        <v>150</v>
      </c>
      <c r="X76" s="40" t="s">
        <v>182</v>
      </c>
      <c r="Y76" s="40" t="s">
        <v>182</v>
      </c>
      <c r="Z76" s="40" t="s">
        <v>150</v>
      </c>
      <c r="AA76" s="39" t="s">
        <v>150</v>
      </c>
      <c r="AB76" s="44"/>
      <c r="AC76" s="40" t="s">
        <v>150</v>
      </c>
      <c r="AD76" s="40" t="s">
        <v>150</v>
      </c>
      <c r="AE76" s="40" t="s">
        <v>150</v>
      </c>
      <c r="AF76" s="40" t="s">
        <v>150</v>
      </c>
      <c r="AG76" s="40" t="s">
        <v>150</v>
      </c>
      <c r="AH76" s="39" t="s">
        <v>150</v>
      </c>
      <c r="AI76" s="44"/>
      <c r="AJ76" s="40" t="s">
        <v>150</v>
      </c>
      <c r="AK76" s="40" t="s">
        <v>150</v>
      </c>
      <c r="AL76" s="40" t="s">
        <v>150</v>
      </c>
      <c r="AM76" s="40" t="s">
        <v>150</v>
      </c>
      <c r="AN76" s="40" t="s">
        <v>150</v>
      </c>
      <c r="AO76" s="39" t="s">
        <v>150</v>
      </c>
      <c r="AP76" s="44"/>
      <c r="AQ76" s="47" t="s">
        <v>149</v>
      </c>
      <c r="AR76" s="40" t="s">
        <v>150</v>
      </c>
      <c r="AS76" s="40" t="s">
        <v>150</v>
      </c>
      <c r="AT76" s="40" t="s">
        <v>150</v>
      </c>
      <c r="AU76" s="40" t="s">
        <v>150</v>
      </c>
      <c r="AV76" s="40" t="s">
        <v>150</v>
      </c>
      <c r="AW76" s="24"/>
      <c r="AX76" s="40" t="s">
        <v>150</v>
      </c>
      <c r="AY76" s="40" t="s">
        <v>150</v>
      </c>
      <c r="AZ76" s="40" t="s">
        <v>150</v>
      </c>
      <c r="BA76" s="40" t="s">
        <v>150</v>
      </c>
      <c r="BB76" s="40" t="s">
        <v>150</v>
      </c>
      <c r="BC76" s="24"/>
      <c r="BD76" s="40" t="s">
        <v>150</v>
      </c>
      <c r="BE76" s="2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  <c r="BR76" s="41"/>
      <c r="BS76" s="41"/>
      <c r="BT76" s="41"/>
      <c r="BU76" s="41"/>
      <c r="BV76" s="41"/>
    </row>
    <row r="77">
      <c r="A77" s="5">
        <v>74.0</v>
      </c>
      <c r="B77" s="32" t="s">
        <v>397</v>
      </c>
      <c r="C77" s="32" t="s">
        <v>398</v>
      </c>
      <c r="D77" s="5">
        <f t="shared" si="4"/>
        <v>28</v>
      </c>
      <c r="E77" s="5">
        <f t="shared" si="5"/>
        <v>4</v>
      </c>
      <c r="F77" s="3">
        <f t="shared" si="2"/>
        <v>32</v>
      </c>
      <c r="G77" s="36">
        <f t="shared" si="3"/>
        <v>87.5</v>
      </c>
      <c r="H77" s="43" t="s">
        <v>150</v>
      </c>
      <c r="I77" s="43" t="s">
        <v>150</v>
      </c>
      <c r="J77" s="43" t="s">
        <v>150</v>
      </c>
      <c r="K77" s="43" t="s">
        <v>150</v>
      </c>
      <c r="L77" s="43" t="s">
        <v>150</v>
      </c>
      <c r="M77" s="37" t="s">
        <v>150</v>
      </c>
      <c r="N77" s="44"/>
      <c r="O77" s="43" t="s">
        <v>150</v>
      </c>
      <c r="P77" s="20" t="s">
        <v>149</v>
      </c>
      <c r="Q77" s="43" t="s">
        <v>150</v>
      </c>
      <c r="R77" s="43" t="s">
        <v>150</v>
      </c>
      <c r="S77" s="43" t="s">
        <v>150</v>
      </c>
      <c r="T77" s="37" t="s">
        <v>150</v>
      </c>
      <c r="U77" s="44"/>
      <c r="V77" s="43" t="s">
        <v>150</v>
      </c>
      <c r="W77" s="43" t="s">
        <v>150</v>
      </c>
      <c r="X77" s="47" t="s">
        <v>149</v>
      </c>
      <c r="Y77" s="47" t="s">
        <v>149</v>
      </c>
      <c r="Z77" s="40" t="s">
        <v>150</v>
      </c>
      <c r="AA77" s="39" t="s">
        <v>150</v>
      </c>
      <c r="AB77" s="44"/>
      <c r="AC77" s="40" t="s">
        <v>150</v>
      </c>
      <c r="AD77" s="40" t="s">
        <v>150</v>
      </c>
      <c r="AE77" s="47" t="s">
        <v>149</v>
      </c>
      <c r="AF77" s="40" t="s">
        <v>150</v>
      </c>
      <c r="AG77" s="40" t="s">
        <v>150</v>
      </c>
      <c r="AH77" s="39" t="s">
        <v>150</v>
      </c>
      <c r="AI77" s="44"/>
      <c r="AJ77" s="40" t="s">
        <v>150</v>
      </c>
      <c r="AK77" s="40" t="s">
        <v>150</v>
      </c>
      <c r="AL77" s="40" t="s">
        <v>150</v>
      </c>
      <c r="AM77" s="40" t="s">
        <v>150</v>
      </c>
      <c r="AN77" s="40" t="s">
        <v>150</v>
      </c>
      <c r="AO77" s="39" t="s">
        <v>150</v>
      </c>
      <c r="AP77" s="44"/>
      <c r="AQ77" s="40" t="s">
        <v>150</v>
      </c>
      <c r="AR77" s="40" t="s">
        <v>150</v>
      </c>
      <c r="AS77" s="40" t="s">
        <v>150</v>
      </c>
      <c r="AT77" s="40" t="s">
        <v>150</v>
      </c>
      <c r="AU77" s="40" t="s">
        <v>150</v>
      </c>
      <c r="AV77" s="40" t="s">
        <v>150</v>
      </c>
      <c r="AW77" s="24"/>
      <c r="AX77" s="40" t="s">
        <v>150</v>
      </c>
      <c r="AY77" s="40" t="s">
        <v>150</v>
      </c>
      <c r="AZ77" s="40" t="s">
        <v>150</v>
      </c>
      <c r="BA77" s="40" t="s">
        <v>150</v>
      </c>
      <c r="BB77" s="40" t="s">
        <v>150</v>
      </c>
      <c r="BC77" s="24"/>
      <c r="BD77" s="40" t="s">
        <v>150</v>
      </c>
      <c r="BE77" s="2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  <c r="BR77" s="41"/>
      <c r="BS77" s="41"/>
      <c r="BT77" s="41"/>
      <c r="BU77" s="41"/>
      <c r="BV77" s="41"/>
    </row>
    <row r="78">
      <c r="A78" s="5">
        <v>75.0</v>
      </c>
      <c r="B78" s="32" t="s">
        <v>400</v>
      </c>
      <c r="C78" s="32" t="s">
        <v>402</v>
      </c>
      <c r="D78" s="5">
        <f t="shared" si="4"/>
        <v>31</v>
      </c>
      <c r="E78" s="5">
        <f t="shared" si="5"/>
        <v>1</v>
      </c>
      <c r="F78" s="3">
        <f t="shared" si="2"/>
        <v>32</v>
      </c>
      <c r="G78" s="36">
        <f t="shared" si="3"/>
        <v>96.875</v>
      </c>
      <c r="H78" s="43" t="s">
        <v>150</v>
      </c>
      <c r="I78" s="43" t="s">
        <v>150</v>
      </c>
      <c r="J78" s="43" t="s">
        <v>150</v>
      </c>
      <c r="K78" s="43" t="s">
        <v>150</v>
      </c>
      <c r="L78" s="43" t="s">
        <v>150</v>
      </c>
      <c r="M78" s="37" t="s">
        <v>150</v>
      </c>
      <c r="N78" s="44"/>
      <c r="O78" s="43" t="s">
        <v>150</v>
      </c>
      <c r="P78" s="43" t="s">
        <v>150</v>
      </c>
      <c r="Q78" s="20" t="s">
        <v>149</v>
      </c>
      <c r="R78" s="43" t="s">
        <v>150</v>
      </c>
      <c r="S78" s="43" t="s">
        <v>150</v>
      </c>
      <c r="T78" s="37" t="s">
        <v>150</v>
      </c>
      <c r="U78" s="44"/>
      <c r="V78" s="43" t="s">
        <v>150</v>
      </c>
      <c r="W78" s="43" t="s">
        <v>150</v>
      </c>
      <c r="X78" s="40" t="s">
        <v>150</v>
      </c>
      <c r="Y78" s="40" t="s">
        <v>150</v>
      </c>
      <c r="Z78" s="40" t="s">
        <v>150</v>
      </c>
      <c r="AA78" s="39" t="s">
        <v>150</v>
      </c>
      <c r="AB78" s="44"/>
      <c r="AC78" s="40" t="s">
        <v>150</v>
      </c>
      <c r="AD78" s="40" t="s">
        <v>150</v>
      </c>
      <c r="AE78" s="40" t="s">
        <v>150</v>
      </c>
      <c r="AF78" s="40" t="s">
        <v>150</v>
      </c>
      <c r="AG78" s="40" t="s">
        <v>150</v>
      </c>
      <c r="AH78" s="39" t="s">
        <v>150</v>
      </c>
      <c r="AI78" s="44"/>
      <c r="AJ78" s="40" t="s">
        <v>150</v>
      </c>
      <c r="AK78" s="40" t="s">
        <v>150</v>
      </c>
      <c r="AL78" s="40" t="s">
        <v>150</v>
      </c>
      <c r="AM78" s="40" t="s">
        <v>150</v>
      </c>
      <c r="AN78" s="40" t="s">
        <v>150</v>
      </c>
      <c r="AO78" s="39" t="s">
        <v>150</v>
      </c>
      <c r="AP78" s="44"/>
      <c r="AQ78" s="40" t="s">
        <v>150</v>
      </c>
      <c r="AR78" s="40" t="s">
        <v>150</v>
      </c>
      <c r="AS78" s="40" t="s">
        <v>150</v>
      </c>
      <c r="AT78" s="40" t="s">
        <v>150</v>
      </c>
      <c r="AU78" s="40" t="s">
        <v>150</v>
      </c>
      <c r="AV78" s="40" t="s">
        <v>150</v>
      </c>
      <c r="AW78" s="24"/>
      <c r="AX78" s="40" t="s">
        <v>150</v>
      </c>
      <c r="AY78" s="40" t="s">
        <v>150</v>
      </c>
      <c r="AZ78" s="40" t="s">
        <v>150</v>
      </c>
      <c r="BA78" s="40" t="s">
        <v>150</v>
      </c>
      <c r="BB78" s="40" t="s">
        <v>150</v>
      </c>
      <c r="BC78" s="24"/>
      <c r="BD78" s="40" t="s">
        <v>150</v>
      </c>
      <c r="BE78" s="2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</row>
    <row r="79">
      <c r="A79" s="5">
        <v>76.0</v>
      </c>
      <c r="B79" s="32" t="s">
        <v>404</v>
      </c>
      <c r="C79" s="32" t="s">
        <v>405</v>
      </c>
      <c r="D79" s="5">
        <f t="shared" si="4"/>
        <v>31</v>
      </c>
      <c r="E79" s="5">
        <f t="shared" si="5"/>
        <v>1</v>
      </c>
      <c r="F79" s="3">
        <f t="shared" si="2"/>
        <v>32</v>
      </c>
      <c r="G79" s="36">
        <f t="shared" si="3"/>
        <v>96.875</v>
      </c>
      <c r="H79" s="43" t="s">
        <v>150</v>
      </c>
      <c r="I79" s="43" t="s">
        <v>150</v>
      </c>
      <c r="J79" s="43" t="s">
        <v>150</v>
      </c>
      <c r="K79" s="43" t="s">
        <v>150</v>
      </c>
      <c r="L79" s="43" t="s">
        <v>150</v>
      </c>
      <c r="M79" s="37" t="s">
        <v>150</v>
      </c>
      <c r="N79" s="44"/>
      <c r="O79" s="43" t="s">
        <v>150</v>
      </c>
      <c r="P79" s="43" t="s">
        <v>150</v>
      </c>
      <c r="Q79" s="43" t="s">
        <v>150</v>
      </c>
      <c r="R79" s="43" t="s">
        <v>150</v>
      </c>
      <c r="S79" s="43" t="s">
        <v>150</v>
      </c>
      <c r="T79" s="37" t="s">
        <v>150</v>
      </c>
      <c r="U79" s="44"/>
      <c r="V79" s="43" t="s">
        <v>150</v>
      </c>
      <c r="W79" s="43" t="s">
        <v>150</v>
      </c>
      <c r="X79" s="40" t="s">
        <v>150</v>
      </c>
      <c r="Y79" s="40" t="s">
        <v>150</v>
      </c>
      <c r="Z79" s="40" t="s">
        <v>150</v>
      </c>
      <c r="AA79" s="39" t="s">
        <v>150</v>
      </c>
      <c r="AB79" s="44"/>
      <c r="AC79" s="40" t="s">
        <v>150</v>
      </c>
      <c r="AD79" s="40" t="s">
        <v>150</v>
      </c>
      <c r="AE79" s="40" t="s">
        <v>150</v>
      </c>
      <c r="AF79" s="40" t="s">
        <v>150</v>
      </c>
      <c r="AG79" s="47" t="s">
        <v>149</v>
      </c>
      <c r="AH79" s="39" t="s">
        <v>150</v>
      </c>
      <c r="AI79" s="44"/>
      <c r="AJ79" s="40" t="s">
        <v>150</v>
      </c>
      <c r="AK79" s="40" t="s">
        <v>150</v>
      </c>
      <c r="AL79" s="40" t="s">
        <v>150</v>
      </c>
      <c r="AM79" s="40" t="s">
        <v>150</v>
      </c>
      <c r="AN79" s="40" t="s">
        <v>150</v>
      </c>
      <c r="AO79" s="39" t="s">
        <v>150</v>
      </c>
      <c r="AP79" s="44"/>
      <c r="AQ79" s="40" t="s">
        <v>150</v>
      </c>
      <c r="AR79" s="40" t="s">
        <v>150</v>
      </c>
      <c r="AS79" s="47" t="s">
        <v>149</v>
      </c>
      <c r="AT79" s="47" t="s">
        <v>149</v>
      </c>
      <c r="AU79" s="47" t="s">
        <v>149</v>
      </c>
      <c r="AV79" s="47" t="s">
        <v>149</v>
      </c>
      <c r="AW79" s="24"/>
      <c r="AX79" s="47" t="s">
        <v>149</v>
      </c>
      <c r="AY79" s="47" t="s">
        <v>149</v>
      </c>
      <c r="AZ79" s="47" t="s">
        <v>149</v>
      </c>
      <c r="BA79" s="47" t="s">
        <v>149</v>
      </c>
      <c r="BB79" s="47" t="s">
        <v>149</v>
      </c>
      <c r="BC79" s="24"/>
      <c r="BD79" s="47" t="s">
        <v>149</v>
      </c>
      <c r="BE79" s="2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</row>
    <row r="80">
      <c r="A80" s="5">
        <v>77.0</v>
      </c>
      <c r="B80" s="32" t="s">
        <v>407</v>
      </c>
      <c r="C80" s="32" t="s">
        <v>408</v>
      </c>
      <c r="D80" s="5">
        <f t="shared" si="4"/>
        <v>26</v>
      </c>
      <c r="E80" s="5">
        <f t="shared" si="5"/>
        <v>6</v>
      </c>
      <c r="F80" s="3">
        <f t="shared" si="2"/>
        <v>32</v>
      </c>
      <c r="G80" s="36">
        <f t="shared" si="3"/>
        <v>81.25</v>
      </c>
      <c r="H80" s="43" t="s">
        <v>150</v>
      </c>
      <c r="I80" s="43" t="s">
        <v>150</v>
      </c>
      <c r="J80" s="49" t="s">
        <v>150</v>
      </c>
      <c r="K80" s="43" t="s">
        <v>150</v>
      </c>
      <c r="L80" s="43" t="s">
        <v>150</v>
      </c>
      <c r="M80" s="37" t="s">
        <v>150</v>
      </c>
      <c r="N80" s="44"/>
      <c r="O80" s="43" t="s">
        <v>150</v>
      </c>
      <c r="P80" s="43" t="s">
        <v>150</v>
      </c>
      <c r="Q80" s="43" t="s">
        <v>150</v>
      </c>
      <c r="R80" s="43" t="s">
        <v>150</v>
      </c>
      <c r="S80" s="43" t="s">
        <v>150</v>
      </c>
      <c r="T80" s="37" t="s">
        <v>150</v>
      </c>
      <c r="U80" s="44"/>
      <c r="V80" s="20" t="s">
        <v>149</v>
      </c>
      <c r="W80" s="43" t="s">
        <v>150</v>
      </c>
      <c r="X80" s="47" t="s">
        <v>149</v>
      </c>
      <c r="Y80" s="40" t="s">
        <v>150</v>
      </c>
      <c r="Z80" s="49" t="s">
        <v>150</v>
      </c>
      <c r="AA80" s="39" t="s">
        <v>150</v>
      </c>
      <c r="AB80" s="44"/>
      <c r="AC80" s="40" t="s">
        <v>150</v>
      </c>
      <c r="AD80" s="40" t="s">
        <v>150</v>
      </c>
      <c r="AE80" s="47" t="s">
        <v>149</v>
      </c>
      <c r="AF80" s="40" t="s">
        <v>150</v>
      </c>
      <c r="AG80" s="47" t="s">
        <v>149</v>
      </c>
      <c r="AH80" s="48" t="s">
        <v>149</v>
      </c>
      <c r="AI80" s="44"/>
      <c r="AJ80" s="47" t="s">
        <v>149</v>
      </c>
      <c r="AK80" s="40" t="s">
        <v>150</v>
      </c>
      <c r="AL80" s="40" t="s">
        <v>150</v>
      </c>
      <c r="AM80" s="40" t="s">
        <v>150</v>
      </c>
      <c r="AN80" s="40" t="s">
        <v>150</v>
      </c>
      <c r="AO80" s="39" t="s">
        <v>150</v>
      </c>
      <c r="AP80" s="44"/>
      <c r="AQ80" s="40" t="s">
        <v>150</v>
      </c>
      <c r="AR80" s="40" t="s">
        <v>150</v>
      </c>
      <c r="AS80" s="40" t="s">
        <v>150</v>
      </c>
      <c r="AT80" s="40" t="s">
        <v>150</v>
      </c>
      <c r="AU80" s="40" t="s">
        <v>150</v>
      </c>
      <c r="AV80" s="40" t="s">
        <v>150</v>
      </c>
      <c r="AW80" s="24"/>
      <c r="AX80" s="40" t="s">
        <v>150</v>
      </c>
      <c r="AY80" s="40" t="s">
        <v>150</v>
      </c>
      <c r="AZ80" s="40" t="s">
        <v>150</v>
      </c>
      <c r="BA80" s="40" t="s">
        <v>150</v>
      </c>
      <c r="BB80" s="40" t="s">
        <v>150</v>
      </c>
      <c r="BC80" s="24"/>
      <c r="BD80" s="40" t="s">
        <v>150</v>
      </c>
      <c r="BE80" s="2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</row>
    <row r="81">
      <c r="A81" s="5">
        <v>78.0</v>
      </c>
      <c r="B81" s="33" t="s">
        <v>411</v>
      </c>
      <c r="C81" s="33" t="s">
        <v>412</v>
      </c>
      <c r="D81" s="5">
        <f t="shared" si="4"/>
        <v>30</v>
      </c>
      <c r="E81" s="5">
        <f t="shared" si="5"/>
        <v>2</v>
      </c>
      <c r="F81" s="3">
        <f t="shared" si="2"/>
        <v>32</v>
      </c>
      <c r="G81" s="36">
        <f t="shared" si="3"/>
        <v>93.75</v>
      </c>
      <c r="H81" s="43" t="s">
        <v>150</v>
      </c>
      <c r="I81" s="43" t="s">
        <v>150</v>
      </c>
      <c r="J81" s="43" t="s">
        <v>150</v>
      </c>
      <c r="K81" s="43" t="s">
        <v>150</v>
      </c>
      <c r="L81" s="43" t="s">
        <v>150</v>
      </c>
      <c r="M81" s="37" t="s">
        <v>150</v>
      </c>
      <c r="N81" s="44"/>
      <c r="O81" s="43" t="s">
        <v>150</v>
      </c>
      <c r="P81" s="20" t="s">
        <v>149</v>
      </c>
      <c r="Q81" s="43" t="s">
        <v>150</v>
      </c>
      <c r="R81" s="43" t="s">
        <v>150</v>
      </c>
      <c r="S81" s="43" t="s">
        <v>150</v>
      </c>
      <c r="T81" s="37" t="s">
        <v>150</v>
      </c>
      <c r="U81" s="44"/>
      <c r="V81" s="43" t="s">
        <v>150</v>
      </c>
      <c r="W81" s="43" t="s">
        <v>150</v>
      </c>
      <c r="X81" s="40" t="s">
        <v>150</v>
      </c>
      <c r="Y81" s="40" t="s">
        <v>150</v>
      </c>
      <c r="Z81" s="47" t="s">
        <v>149</v>
      </c>
      <c r="AA81" s="39" t="s">
        <v>150</v>
      </c>
      <c r="AB81" s="44"/>
      <c r="AC81" s="40" t="s">
        <v>150</v>
      </c>
      <c r="AD81" s="40" t="s">
        <v>150</v>
      </c>
      <c r="AE81" s="40" t="s">
        <v>150</v>
      </c>
      <c r="AF81" s="40" t="s">
        <v>150</v>
      </c>
      <c r="AG81" s="40" t="s">
        <v>150</v>
      </c>
      <c r="AH81" s="39" t="s">
        <v>150</v>
      </c>
      <c r="AI81" s="44"/>
      <c r="AJ81" s="40" t="s">
        <v>150</v>
      </c>
      <c r="AK81" s="40" t="s">
        <v>150</v>
      </c>
      <c r="AL81" s="40" t="s">
        <v>150</v>
      </c>
      <c r="AM81" s="40" t="s">
        <v>150</v>
      </c>
      <c r="AN81" s="40" t="s">
        <v>150</v>
      </c>
      <c r="AO81" s="39" t="s">
        <v>150</v>
      </c>
      <c r="AP81" s="44"/>
      <c r="AQ81" s="40" t="s">
        <v>150</v>
      </c>
      <c r="AR81" s="40" t="s">
        <v>150</v>
      </c>
      <c r="AS81" s="40" t="s">
        <v>150</v>
      </c>
      <c r="AT81" s="40" t="s">
        <v>150</v>
      </c>
      <c r="AU81" s="40" t="s">
        <v>150</v>
      </c>
      <c r="AV81" s="40" t="s">
        <v>150</v>
      </c>
      <c r="AW81" s="24"/>
      <c r="AX81" s="40" t="s">
        <v>150</v>
      </c>
      <c r="AY81" s="40" t="s">
        <v>150</v>
      </c>
      <c r="AZ81" s="40" t="s">
        <v>150</v>
      </c>
      <c r="BA81" s="40" t="s">
        <v>150</v>
      </c>
      <c r="BB81" s="40" t="s">
        <v>150</v>
      </c>
      <c r="BC81" s="24"/>
      <c r="BD81" s="40" t="s">
        <v>150</v>
      </c>
      <c r="BE81" s="2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</row>
    <row r="82">
      <c r="A82" s="5">
        <v>79.0</v>
      </c>
      <c r="B82" s="32" t="s">
        <v>414</v>
      </c>
      <c r="C82" s="32" t="s">
        <v>416</v>
      </c>
      <c r="D82" s="5">
        <f t="shared" si="4"/>
        <v>27</v>
      </c>
      <c r="E82" s="5">
        <f t="shared" si="5"/>
        <v>5</v>
      </c>
      <c r="F82" s="3">
        <f t="shared" si="2"/>
        <v>32</v>
      </c>
      <c r="G82" s="36">
        <f t="shared" si="3"/>
        <v>84.375</v>
      </c>
      <c r="H82" s="43" t="s">
        <v>150</v>
      </c>
      <c r="I82" s="43" t="s">
        <v>150</v>
      </c>
      <c r="J82" s="43" t="s">
        <v>150</v>
      </c>
      <c r="K82" s="43" t="s">
        <v>150</v>
      </c>
      <c r="L82" s="43" t="s">
        <v>150</v>
      </c>
      <c r="M82" s="37" t="s">
        <v>150</v>
      </c>
      <c r="N82" s="44"/>
      <c r="O82" s="43" t="s">
        <v>150</v>
      </c>
      <c r="P82" s="43" t="s">
        <v>150</v>
      </c>
      <c r="Q82" s="43" t="s">
        <v>150</v>
      </c>
      <c r="R82" s="43" t="s">
        <v>150</v>
      </c>
      <c r="S82" s="43" t="s">
        <v>150</v>
      </c>
      <c r="T82" s="37" t="s">
        <v>150</v>
      </c>
      <c r="U82" s="44"/>
      <c r="V82" s="43" t="s">
        <v>150</v>
      </c>
      <c r="W82" s="43" t="s">
        <v>150</v>
      </c>
      <c r="X82" s="47" t="s">
        <v>149</v>
      </c>
      <c r="Y82" s="47" t="s">
        <v>149</v>
      </c>
      <c r="Z82" s="47" t="s">
        <v>149</v>
      </c>
      <c r="AA82" s="39" t="s">
        <v>150</v>
      </c>
      <c r="AB82" s="44"/>
      <c r="AC82" s="40" t="s">
        <v>150</v>
      </c>
      <c r="AD82" s="40" t="s">
        <v>150</v>
      </c>
      <c r="AE82" s="40" t="s">
        <v>150</v>
      </c>
      <c r="AF82" s="40" t="s">
        <v>150</v>
      </c>
      <c r="AG82" s="40" t="s">
        <v>150</v>
      </c>
      <c r="AH82" s="39" t="s">
        <v>150</v>
      </c>
      <c r="AI82" s="44"/>
      <c r="AJ82" s="40" t="s">
        <v>150</v>
      </c>
      <c r="AK82" s="40" t="s">
        <v>150</v>
      </c>
      <c r="AL82" s="40" t="s">
        <v>150</v>
      </c>
      <c r="AM82" s="47" t="s">
        <v>149</v>
      </c>
      <c r="AN82" s="40" t="s">
        <v>150</v>
      </c>
      <c r="AO82" s="48" t="s">
        <v>149</v>
      </c>
      <c r="AP82" s="44"/>
      <c r="AQ82" s="40" t="s">
        <v>150</v>
      </c>
      <c r="AR82" s="40" t="s">
        <v>150</v>
      </c>
      <c r="AS82" s="40" t="s">
        <v>150</v>
      </c>
      <c r="AT82" s="40" t="s">
        <v>150</v>
      </c>
      <c r="AU82" s="40" t="s">
        <v>150</v>
      </c>
      <c r="AV82" s="40" t="s">
        <v>150</v>
      </c>
      <c r="AW82" s="24"/>
      <c r="AX82" s="40" t="s">
        <v>150</v>
      </c>
      <c r="AY82" s="40" t="s">
        <v>150</v>
      </c>
      <c r="AZ82" s="40" t="s">
        <v>150</v>
      </c>
      <c r="BA82" s="40" t="s">
        <v>150</v>
      </c>
      <c r="BB82" s="40" t="s">
        <v>150</v>
      </c>
      <c r="BC82" s="24"/>
      <c r="BD82" s="40" t="s">
        <v>150</v>
      </c>
      <c r="BE82" s="2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</row>
    <row r="83">
      <c r="A83" s="5">
        <v>80.0</v>
      </c>
      <c r="B83" s="32" t="s">
        <v>418</v>
      </c>
      <c r="C83" s="32" t="s">
        <v>420</v>
      </c>
      <c r="D83" s="5">
        <f t="shared" si="4"/>
        <v>31</v>
      </c>
      <c r="E83" s="5">
        <f t="shared" si="5"/>
        <v>1</v>
      </c>
      <c r="F83" s="3">
        <f t="shared" si="2"/>
        <v>32</v>
      </c>
      <c r="G83" s="36">
        <f t="shared" si="3"/>
        <v>96.875</v>
      </c>
      <c r="H83" s="43" t="s">
        <v>150</v>
      </c>
      <c r="I83" s="43" t="s">
        <v>150</v>
      </c>
      <c r="J83" s="43" t="s">
        <v>150</v>
      </c>
      <c r="K83" s="43" t="s">
        <v>150</v>
      </c>
      <c r="L83" s="43" t="s">
        <v>150</v>
      </c>
      <c r="M83" s="37" t="s">
        <v>150</v>
      </c>
      <c r="N83" s="44"/>
      <c r="O83" s="43" t="s">
        <v>150</v>
      </c>
      <c r="P83" s="20" t="s">
        <v>149</v>
      </c>
      <c r="Q83" s="43" t="s">
        <v>150</v>
      </c>
      <c r="R83" s="43" t="s">
        <v>150</v>
      </c>
      <c r="S83" s="43" t="s">
        <v>150</v>
      </c>
      <c r="T83" s="37" t="s">
        <v>150</v>
      </c>
      <c r="U83" s="44"/>
      <c r="V83" s="43" t="s">
        <v>150</v>
      </c>
      <c r="W83" s="43" t="s">
        <v>150</v>
      </c>
      <c r="X83" s="40" t="s">
        <v>150</v>
      </c>
      <c r="Y83" s="40" t="s">
        <v>150</v>
      </c>
      <c r="Z83" s="40" t="s">
        <v>150</v>
      </c>
      <c r="AA83" s="39" t="s">
        <v>150</v>
      </c>
      <c r="AB83" s="44"/>
      <c r="AC83" s="40" t="s">
        <v>150</v>
      </c>
      <c r="AD83" s="40" t="s">
        <v>150</v>
      </c>
      <c r="AE83" s="40" t="s">
        <v>150</v>
      </c>
      <c r="AF83" s="40" t="s">
        <v>150</v>
      </c>
      <c r="AG83" s="40" t="s">
        <v>150</v>
      </c>
      <c r="AH83" s="39" t="s">
        <v>150</v>
      </c>
      <c r="AI83" s="44"/>
      <c r="AJ83" s="40" t="s">
        <v>150</v>
      </c>
      <c r="AK83" s="40" t="s">
        <v>150</v>
      </c>
      <c r="AL83" s="40" t="s">
        <v>150</v>
      </c>
      <c r="AM83" s="40" t="s">
        <v>150</v>
      </c>
      <c r="AN83" s="40" t="s">
        <v>150</v>
      </c>
      <c r="AO83" s="39" t="s">
        <v>150</v>
      </c>
      <c r="AP83" s="44"/>
      <c r="AQ83" s="40" t="s">
        <v>150</v>
      </c>
      <c r="AR83" s="40" t="s">
        <v>150</v>
      </c>
      <c r="AS83" s="40" t="s">
        <v>150</v>
      </c>
      <c r="AT83" s="40" t="s">
        <v>150</v>
      </c>
      <c r="AU83" s="40" t="s">
        <v>150</v>
      </c>
      <c r="AV83" s="40" t="s">
        <v>150</v>
      </c>
      <c r="AW83" s="24"/>
      <c r="AX83" s="40" t="s">
        <v>150</v>
      </c>
      <c r="AY83" s="40" t="s">
        <v>150</v>
      </c>
      <c r="AZ83" s="40" t="s">
        <v>150</v>
      </c>
      <c r="BA83" s="40" t="s">
        <v>150</v>
      </c>
      <c r="BB83" s="40" t="s">
        <v>150</v>
      </c>
      <c r="BC83" s="24"/>
      <c r="BD83" s="40" t="s">
        <v>150</v>
      </c>
      <c r="BE83" s="2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</row>
    <row r="84">
      <c r="A84" s="5">
        <v>81.0</v>
      </c>
      <c r="B84" s="32" t="s">
        <v>422</v>
      </c>
      <c r="C84" s="32" t="s">
        <v>423</v>
      </c>
      <c r="D84" s="5">
        <f t="shared" si="4"/>
        <v>30</v>
      </c>
      <c r="E84" s="5">
        <f t="shared" si="5"/>
        <v>2</v>
      </c>
      <c r="F84" s="3">
        <f t="shared" si="2"/>
        <v>32</v>
      </c>
      <c r="G84" s="36">
        <f t="shared" si="3"/>
        <v>93.75</v>
      </c>
      <c r="H84" s="43" t="s">
        <v>150</v>
      </c>
      <c r="I84" s="43" t="s">
        <v>150</v>
      </c>
      <c r="J84" s="43" t="s">
        <v>150</v>
      </c>
      <c r="K84" s="43" t="s">
        <v>150</v>
      </c>
      <c r="L84" s="43" t="s">
        <v>150</v>
      </c>
      <c r="M84" s="37" t="s">
        <v>150</v>
      </c>
      <c r="N84" s="44"/>
      <c r="O84" s="43" t="s">
        <v>150</v>
      </c>
      <c r="P84" s="43" t="s">
        <v>150</v>
      </c>
      <c r="Q84" s="43" t="s">
        <v>150</v>
      </c>
      <c r="R84" s="43" t="s">
        <v>150</v>
      </c>
      <c r="S84" s="43" t="s">
        <v>150</v>
      </c>
      <c r="T84" s="37" t="s">
        <v>150</v>
      </c>
      <c r="U84" s="44"/>
      <c r="V84" s="20" t="s">
        <v>149</v>
      </c>
      <c r="W84" s="43" t="s">
        <v>150</v>
      </c>
      <c r="X84" s="40" t="s">
        <v>150</v>
      </c>
      <c r="Y84" s="40" t="s">
        <v>150</v>
      </c>
      <c r="Z84" s="40" t="s">
        <v>150</v>
      </c>
      <c r="AA84" s="39" t="s">
        <v>150</v>
      </c>
      <c r="AB84" s="44"/>
      <c r="AC84" s="40" t="s">
        <v>150</v>
      </c>
      <c r="AD84" s="40" t="s">
        <v>150</v>
      </c>
      <c r="AE84" s="47" t="s">
        <v>149</v>
      </c>
      <c r="AF84" s="40" t="s">
        <v>150</v>
      </c>
      <c r="AG84" s="40" t="s">
        <v>150</v>
      </c>
      <c r="AH84" s="39" t="s">
        <v>150</v>
      </c>
      <c r="AI84" s="44"/>
      <c r="AJ84" s="40" t="s">
        <v>150</v>
      </c>
      <c r="AK84" s="40" t="s">
        <v>150</v>
      </c>
      <c r="AL84" s="40" t="s">
        <v>150</v>
      </c>
      <c r="AM84" s="40" t="s">
        <v>150</v>
      </c>
      <c r="AN84" s="40" t="s">
        <v>150</v>
      </c>
      <c r="AO84" s="39" t="s">
        <v>150</v>
      </c>
      <c r="AP84" s="44"/>
      <c r="AQ84" s="40" t="s">
        <v>150</v>
      </c>
      <c r="AR84" s="40" t="s">
        <v>150</v>
      </c>
      <c r="AS84" s="40" t="s">
        <v>150</v>
      </c>
      <c r="AT84" s="40" t="s">
        <v>150</v>
      </c>
      <c r="AU84" s="40" t="s">
        <v>150</v>
      </c>
      <c r="AV84" s="40" t="s">
        <v>150</v>
      </c>
      <c r="AW84" s="24"/>
      <c r="AX84" s="40" t="s">
        <v>150</v>
      </c>
      <c r="AY84" s="40" t="s">
        <v>150</v>
      </c>
      <c r="AZ84" s="40" t="s">
        <v>150</v>
      </c>
      <c r="BA84" s="40" t="s">
        <v>150</v>
      </c>
      <c r="BB84" s="40" t="s">
        <v>150</v>
      </c>
      <c r="BC84" s="24"/>
      <c r="BD84" s="40" t="s">
        <v>150</v>
      </c>
      <c r="BE84" s="2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</row>
    <row r="85">
      <c r="A85" s="5">
        <v>82.0</v>
      </c>
      <c r="B85" s="33" t="s">
        <v>426</v>
      </c>
      <c r="C85" s="33" t="s">
        <v>427</v>
      </c>
      <c r="D85" s="5">
        <f t="shared" si="4"/>
        <v>28</v>
      </c>
      <c r="E85" s="5">
        <f t="shared" si="5"/>
        <v>4</v>
      </c>
      <c r="F85" s="3">
        <f t="shared" si="2"/>
        <v>32</v>
      </c>
      <c r="G85" s="36">
        <f t="shared" si="3"/>
        <v>87.5</v>
      </c>
      <c r="H85" s="20" t="s">
        <v>149</v>
      </c>
      <c r="I85" s="20" t="s">
        <v>149</v>
      </c>
      <c r="J85" s="20" t="s">
        <v>149</v>
      </c>
      <c r="K85" s="43" t="s">
        <v>150</v>
      </c>
      <c r="L85" s="43" t="s">
        <v>150</v>
      </c>
      <c r="M85" s="37" t="s">
        <v>150</v>
      </c>
      <c r="N85" s="44"/>
      <c r="O85" s="43" t="s">
        <v>150</v>
      </c>
      <c r="P85" s="43" t="s">
        <v>150</v>
      </c>
      <c r="Q85" s="43" t="s">
        <v>150</v>
      </c>
      <c r="R85" s="43" t="s">
        <v>150</v>
      </c>
      <c r="S85" s="43" t="s">
        <v>150</v>
      </c>
      <c r="T85" s="37" t="s">
        <v>150</v>
      </c>
      <c r="U85" s="44"/>
      <c r="V85" s="20" t="s">
        <v>149</v>
      </c>
      <c r="W85" s="43" t="s">
        <v>150</v>
      </c>
      <c r="X85" s="40" t="s">
        <v>150</v>
      </c>
      <c r="Y85" s="40" t="s">
        <v>150</v>
      </c>
      <c r="Z85" s="40" t="s">
        <v>150</v>
      </c>
      <c r="AA85" s="39" t="s">
        <v>150</v>
      </c>
      <c r="AB85" s="44"/>
      <c r="AC85" s="40" t="s">
        <v>150</v>
      </c>
      <c r="AD85" s="40" t="s">
        <v>150</v>
      </c>
      <c r="AE85" s="40" t="s">
        <v>150</v>
      </c>
      <c r="AF85" s="40" t="s">
        <v>150</v>
      </c>
      <c r="AG85" s="40" t="s">
        <v>150</v>
      </c>
      <c r="AH85" s="39" t="s">
        <v>150</v>
      </c>
      <c r="AI85" s="44"/>
      <c r="AJ85" s="40" t="s">
        <v>150</v>
      </c>
      <c r="AK85" s="40" t="s">
        <v>150</v>
      </c>
      <c r="AL85" s="40" t="s">
        <v>150</v>
      </c>
      <c r="AM85" s="40" t="s">
        <v>150</v>
      </c>
      <c r="AN85" s="40" t="s">
        <v>150</v>
      </c>
      <c r="AO85" s="39" t="s">
        <v>150</v>
      </c>
      <c r="AP85" s="44"/>
      <c r="AQ85" s="40" t="s">
        <v>150</v>
      </c>
      <c r="AR85" s="40" t="s">
        <v>150</v>
      </c>
      <c r="AS85" s="40" t="s">
        <v>150</v>
      </c>
      <c r="AT85" s="40" t="s">
        <v>150</v>
      </c>
      <c r="AU85" s="40" t="s">
        <v>150</v>
      </c>
      <c r="AV85" s="40" t="s">
        <v>150</v>
      </c>
      <c r="AW85" s="24"/>
      <c r="AX85" s="40" t="s">
        <v>150</v>
      </c>
      <c r="AY85" s="40" t="s">
        <v>150</v>
      </c>
      <c r="AZ85" s="40" t="s">
        <v>150</v>
      </c>
      <c r="BA85" s="40" t="s">
        <v>150</v>
      </c>
      <c r="BB85" s="40" t="s">
        <v>150</v>
      </c>
      <c r="BC85" s="24"/>
      <c r="BD85" s="40" t="s">
        <v>150</v>
      </c>
      <c r="BE85" s="2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</row>
    <row r="86">
      <c r="A86" s="5">
        <v>83.0</v>
      </c>
      <c r="B86" s="32" t="s">
        <v>429</v>
      </c>
      <c r="C86" s="32" t="s">
        <v>430</v>
      </c>
      <c r="D86" s="5">
        <f t="shared" si="4"/>
        <v>25</v>
      </c>
      <c r="E86" s="5">
        <f t="shared" si="5"/>
        <v>7</v>
      </c>
      <c r="F86" s="3">
        <f t="shared" si="2"/>
        <v>32</v>
      </c>
      <c r="G86" s="36">
        <f t="shared" si="3"/>
        <v>78.125</v>
      </c>
      <c r="H86" s="43" t="s">
        <v>150</v>
      </c>
      <c r="I86" s="43" t="s">
        <v>150</v>
      </c>
      <c r="J86" s="43" t="s">
        <v>150</v>
      </c>
      <c r="K86" s="43" t="s">
        <v>150</v>
      </c>
      <c r="L86" s="43" t="s">
        <v>150</v>
      </c>
      <c r="M86" s="37" t="s">
        <v>150</v>
      </c>
      <c r="N86" s="44"/>
      <c r="O86" s="43" t="s">
        <v>182</v>
      </c>
      <c r="P86" s="43" t="s">
        <v>182</v>
      </c>
      <c r="Q86" s="43" t="s">
        <v>182</v>
      </c>
      <c r="R86" s="43" t="s">
        <v>182</v>
      </c>
      <c r="S86" s="43" t="s">
        <v>182</v>
      </c>
      <c r="T86" s="37" t="s">
        <v>182</v>
      </c>
      <c r="U86" s="44"/>
      <c r="V86" s="43" t="s">
        <v>182</v>
      </c>
      <c r="W86" s="43" t="s">
        <v>182</v>
      </c>
      <c r="X86" s="40" t="s">
        <v>182</v>
      </c>
      <c r="Y86" s="40" t="s">
        <v>182</v>
      </c>
      <c r="Z86" s="43" t="s">
        <v>182</v>
      </c>
      <c r="AA86" s="39" t="s">
        <v>150</v>
      </c>
      <c r="AB86" s="44"/>
      <c r="AC86" s="40" t="s">
        <v>182</v>
      </c>
      <c r="AD86" s="47" t="s">
        <v>149</v>
      </c>
      <c r="AE86" s="40" t="s">
        <v>150</v>
      </c>
      <c r="AF86" s="40" t="s">
        <v>182</v>
      </c>
      <c r="AG86" s="47" t="s">
        <v>149</v>
      </c>
      <c r="AH86" s="48" t="s">
        <v>149</v>
      </c>
      <c r="AI86" s="44"/>
      <c r="AJ86" s="40" t="s">
        <v>150</v>
      </c>
      <c r="AK86" s="40" t="s">
        <v>150</v>
      </c>
      <c r="AL86" s="40" t="s">
        <v>150</v>
      </c>
      <c r="AM86" s="40" t="s">
        <v>182</v>
      </c>
      <c r="AN86" s="47" t="s">
        <v>149</v>
      </c>
      <c r="AO86" s="48" t="s">
        <v>149</v>
      </c>
      <c r="AP86" s="44"/>
      <c r="AQ86" s="47" t="s">
        <v>149</v>
      </c>
      <c r="AR86" s="47" t="s">
        <v>149</v>
      </c>
      <c r="AS86" s="47" t="s">
        <v>149</v>
      </c>
      <c r="AT86" s="40" t="s">
        <v>150</v>
      </c>
      <c r="AU86" s="40" t="s">
        <v>150</v>
      </c>
      <c r="AV86" s="40" t="s">
        <v>150</v>
      </c>
      <c r="AW86" s="24"/>
      <c r="AX86" s="40" t="s">
        <v>150</v>
      </c>
      <c r="AY86" s="40" t="s">
        <v>150</v>
      </c>
      <c r="AZ86" s="40" t="s">
        <v>150</v>
      </c>
      <c r="BA86" s="40" t="s">
        <v>150</v>
      </c>
      <c r="BB86" s="40" t="s">
        <v>150</v>
      </c>
      <c r="BC86" s="24"/>
      <c r="BD86" s="40" t="s">
        <v>150</v>
      </c>
      <c r="BE86" s="2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</row>
    <row r="87">
      <c r="A87" s="5">
        <v>84.0</v>
      </c>
      <c r="B87" s="32" t="s">
        <v>432</v>
      </c>
      <c r="C87" s="32" t="s">
        <v>433</v>
      </c>
      <c r="D87" s="5">
        <f t="shared" si="4"/>
        <v>30</v>
      </c>
      <c r="E87" s="5">
        <f t="shared" si="5"/>
        <v>2</v>
      </c>
      <c r="F87" s="3">
        <f t="shared" si="2"/>
        <v>32</v>
      </c>
      <c r="G87" s="36">
        <f t="shared" si="3"/>
        <v>93.75</v>
      </c>
      <c r="H87" s="43" t="s">
        <v>150</v>
      </c>
      <c r="I87" s="43" t="s">
        <v>150</v>
      </c>
      <c r="J87" s="43" t="s">
        <v>150</v>
      </c>
      <c r="K87" s="43" t="s">
        <v>150</v>
      </c>
      <c r="L87" s="43" t="s">
        <v>150</v>
      </c>
      <c r="M87" s="37" t="s">
        <v>150</v>
      </c>
      <c r="N87" s="44"/>
      <c r="O87" s="43" t="s">
        <v>150</v>
      </c>
      <c r="P87" s="43" t="s">
        <v>150</v>
      </c>
      <c r="Q87" s="43" t="s">
        <v>150</v>
      </c>
      <c r="R87" s="43" t="s">
        <v>150</v>
      </c>
      <c r="S87" s="43" t="s">
        <v>150</v>
      </c>
      <c r="T87" s="37" t="s">
        <v>150</v>
      </c>
      <c r="U87" s="44"/>
      <c r="V87" s="43" t="s">
        <v>150</v>
      </c>
      <c r="W87" s="43" t="s">
        <v>150</v>
      </c>
      <c r="X87" s="47" t="s">
        <v>149</v>
      </c>
      <c r="Y87" s="47" t="s">
        <v>149</v>
      </c>
      <c r="Z87" s="40" t="s">
        <v>150</v>
      </c>
      <c r="AA87" s="39" t="s">
        <v>150</v>
      </c>
      <c r="AB87" s="44"/>
      <c r="AC87" s="40" t="s">
        <v>150</v>
      </c>
      <c r="AD87" s="40" t="s">
        <v>150</v>
      </c>
      <c r="AE87" s="40" t="s">
        <v>150</v>
      </c>
      <c r="AF87" s="40" t="s">
        <v>150</v>
      </c>
      <c r="AG87" s="40" t="s">
        <v>150</v>
      </c>
      <c r="AH87" s="39" t="s">
        <v>150</v>
      </c>
      <c r="AI87" s="44"/>
      <c r="AJ87" s="40" t="s">
        <v>150</v>
      </c>
      <c r="AK87" s="40" t="s">
        <v>150</v>
      </c>
      <c r="AL87" s="40" t="s">
        <v>150</v>
      </c>
      <c r="AM87" s="40" t="s">
        <v>150</v>
      </c>
      <c r="AN87" s="40" t="s">
        <v>150</v>
      </c>
      <c r="AO87" s="39" t="s">
        <v>150</v>
      </c>
      <c r="AP87" s="44"/>
      <c r="AQ87" s="40" t="s">
        <v>150</v>
      </c>
      <c r="AR87" s="40" t="s">
        <v>150</v>
      </c>
      <c r="AS87" s="40" t="s">
        <v>150</v>
      </c>
      <c r="AT87" s="40" t="s">
        <v>150</v>
      </c>
      <c r="AU87" s="40" t="s">
        <v>150</v>
      </c>
      <c r="AV87" s="40" t="s">
        <v>150</v>
      </c>
      <c r="AW87" s="24"/>
      <c r="AX87" s="40" t="s">
        <v>150</v>
      </c>
      <c r="AY87" s="40" t="s">
        <v>150</v>
      </c>
      <c r="AZ87" s="40" t="s">
        <v>150</v>
      </c>
      <c r="BA87" s="40" t="s">
        <v>150</v>
      </c>
      <c r="BB87" s="40" t="s">
        <v>150</v>
      </c>
      <c r="BC87" s="24"/>
      <c r="BD87" s="40" t="s">
        <v>150</v>
      </c>
      <c r="BE87" s="2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</row>
    <row r="88">
      <c r="A88" s="5">
        <v>85.0</v>
      </c>
      <c r="B88" s="32" t="s">
        <v>436</v>
      </c>
      <c r="C88" s="32" t="s">
        <v>437</v>
      </c>
      <c r="D88" s="5">
        <f t="shared" si="4"/>
        <v>30</v>
      </c>
      <c r="E88" s="5">
        <f t="shared" si="5"/>
        <v>2</v>
      </c>
      <c r="F88" s="3">
        <f t="shared" si="2"/>
        <v>32</v>
      </c>
      <c r="G88" s="36">
        <f t="shared" si="3"/>
        <v>93.75</v>
      </c>
      <c r="H88" s="43" t="s">
        <v>150</v>
      </c>
      <c r="I88" s="43" t="s">
        <v>150</v>
      </c>
      <c r="J88" s="43" t="s">
        <v>150</v>
      </c>
      <c r="K88" s="43" t="s">
        <v>150</v>
      </c>
      <c r="L88" s="43" t="s">
        <v>150</v>
      </c>
      <c r="M88" s="37" t="s">
        <v>150</v>
      </c>
      <c r="N88" s="44"/>
      <c r="O88" s="43" t="s">
        <v>150</v>
      </c>
      <c r="P88" s="43" t="s">
        <v>150</v>
      </c>
      <c r="Q88" s="43" t="s">
        <v>150</v>
      </c>
      <c r="R88" s="43" t="s">
        <v>150</v>
      </c>
      <c r="S88" s="43" t="s">
        <v>150</v>
      </c>
      <c r="T88" s="37" t="s">
        <v>150</v>
      </c>
      <c r="U88" s="44"/>
      <c r="V88" s="43" t="s">
        <v>150</v>
      </c>
      <c r="W88" s="43" t="s">
        <v>150</v>
      </c>
      <c r="X88" s="47" t="s">
        <v>149</v>
      </c>
      <c r="Y88" s="47" t="s">
        <v>149</v>
      </c>
      <c r="Z88" s="40" t="s">
        <v>150</v>
      </c>
      <c r="AA88" s="39" t="s">
        <v>150</v>
      </c>
      <c r="AB88" s="44"/>
      <c r="AC88" s="40" t="s">
        <v>150</v>
      </c>
      <c r="AD88" s="40" t="s">
        <v>150</v>
      </c>
      <c r="AE88" s="40" t="s">
        <v>150</v>
      </c>
      <c r="AF88" s="40" t="s">
        <v>150</v>
      </c>
      <c r="AG88" s="40" t="s">
        <v>150</v>
      </c>
      <c r="AH88" s="39" t="s">
        <v>150</v>
      </c>
      <c r="AI88" s="44"/>
      <c r="AJ88" s="40" t="s">
        <v>150</v>
      </c>
      <c r="AK88" s="40" t="s">
        <v>150</v>
      </c>
      <c r="AL88" s="40" t="s">
        <v>150</v>
      </c>
      <c r="AM88" s="40" t="s">
        <v>150</v>
      </c>
      <c r="AN88" s="40" t="s">
        <v>150</v>
      </c>
      <c r="AO88" s="39" t="s">
        <v>150</v>
      </c>
      <c r="AP88" s="44"/>
      <c r="AQ88" s="40" t="s">
        <v>150</v>
      </c>
      <c r="AR88" s="40" t="s">
        <v>150</v>
      </c>
      <c r="AS88" s="40" t="s">
        <v>150</v>
      </c>
      <c r="AT88" s="40" t="s">
        <v>150</v>
      </c>
      <c r="AU88" s="40" t="s">
        <v>150</v>
      </c>
      <c r="AV88" s="40" t="s">
        <v>150</v>
      </c>
      <c r="AW88" s="24"/>
      <c r="AX88" s="40" t="s">
        <v>150</v>
      </c>
      <c r="AY88" s="40" t="s">
        <v>150</v>
      </c>
      <c r="AZ88" s="40" t="s">
        <v>150</v>
      </c>
      <c r="BA88" s="40" t="s">
        <v>150</v>
      </c>
      <c r="BB88" s="40" t="s">
        <v>150</v>
      </c>
      <c r="BC88" s="24"/>
      <c r="BD88" s="40" t="s">
        <v>150</v>
      </c>
      <c r="BE88" s="2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</row>
    <row r="89">
      <c r="A89" s="5">
        <v>86.0</v>
      </c>
      <c r="B89" s="32" t="s">
        <v>439</v>
      </c>
      <c r="C89" s="32" t="s">
        <v>440</v>
      </c>
      <c r="D89" s="5">
        <f t="shared" si="4"/>
        <v>22</v>
      </c>
      <c r="E89" s="5">
        <f t="shared" si="5"/>
        <v>10</v>
      </c>
      <c r="F89" s="3">
        <f t="shared" si="2"/>
        <v>32</v>
      </c>
      <c r="G89" s="36">
        <f t="shared" si="3"/>
        <v>68.75</v>
      </c>
      <c r="H89" s="20" t="s">
        <v>149</v>
      </c>
      <c r="I89" s="20" t="s">
        <v>149</v>
      </c>
      <c r="J89" s="49" t="s">
        <v>150</v>
      </c>
      <c r="K89" s="43" t="s">
        <v>150</v>
      </c>
      <c r="L89" s="43" t="s">
        <v>150</v>
      </c>
      <c r="M89" s="21" t="s">
        <v>149</v>
      </c>
      <c r="N89" s="44"/>
      <c r="O89" s="43" t="s">
        <v>150</v>
      </c>
      <c r="P89" s="43" t="s">
        <v>150</v>
      </c>
      <c r="Q89" s="43" t="s">
        <v>150</v>
      </c>
      <c r="R89" s="43" t="s">
        <v>150</v>
      </c>
      <c r="S89" s="43" t="s">
        <v>150</v>
      </c>
      <c r="T89" s="37" t="s">
        <v>150</v>
      </c>
      <c r="U89" s="44"/>
      <c r="V89" s="20" t="s">
        <v>149</v>
      </c>
      <c r="W89" s="43" t="s">
        <v>150</v>
      </c>
      <c r="X89" s="47" t="s">
        <v>149</v>
      </c>
      <c r="Y89" s="40" t="s">
        <v>150</v>
      </c>
      <c r="Z89" s="40" t="s">
        <v>150</v>
      </c>
      <c r="AA89" s="39" t="s">
        <v>150</v>
      </c>
      <c r="AB89" s="44"/>
      <c r="AC89" s="40" t="s">
        <v>150</v>
      </c>
      <c r="AD89" s="40" t="s">
        <v>150</v>
      </c>
      <c r="AE89" s="40" t="s">
        <v>150</v>
      </c>
      <c r="AF89" s="40" t="s">
        <v>150</v>
      </c>
      <c r="AG89" s="40" t="s">
        <v>150</v>
      </c>
      <c r="AH89" s="48" t="s">
        <v>149</v>
      </c>
      <c r="AI89" s="44"/>
      <c r="AJ89" s="40" t="s">
        <v>150</v>
      </c>
      <c r="AK89" s="40" t="s">
        <v>150</v>
      </c>
      <c r="AL89" s="40" t="s">
        <v>150</v>
      </c>
      <c r="AM89" s="47" t="s">
        <v>149</v>
      </c>
      <c r="AN89" s="40" t="s">
        <v>150</v>
      </c>
      <c r="AO89" s="48" t="s">
        <v>149</v>
      </c>
      <c r="AP89" s="44"/>
      <c r="AQ89" s="47" t="s">
        <v>149</v>
      </c>
      <c r="AR89" s="47" t="s">
        <v>149</v>
      </c>
      <c r="AS89" s="40" t="s">
        <v>150</v>
      </c>
      <c r="AT89" s="47" t="s">
        <v>149</v>
      </c>
      <c r="AU89" s="47" t="s">
        <v>149</v>
      </c>
      <c r="AV89" s="47" t="s">
        <v>149</v>
      </c>
      <c r="AW89" s="24"/>
      <c r="AX89" s="47" t="s">
        <v>149</v>
      </c>
      <c r="AY89" s="47" t="s">
        <v>149</v>
      </c>
      <c r="AZ89" s="47" t="s">
        <v>149</v>
      </c>
      <c r="BA89" s="47" t="s">
        <v>149</v>
      </c>
      <c r="BB89" s="47" t="s">
        <v>149</v>
      </c>
      <c r="BC89" s="24"/>
      <c r="BD89" s="47" t="s">
        <v>149</v>
      </c>
      <c r="BE89" s="2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</row>
    <row r="90">
      <c r="A90" s="5">
        <v>87.0</v>
      </c>
      <c r="B90" s="32" t="s">
        <v>442</v>
      </c>
      <c r="C90" s="32" t="s">
        <v>443</v>
      </c>
      <c r="D90" s="5">
        <f t="shared" si="4"/>
        <v>5</v>
      </c>
      <c r="E90" s="5">
        <f t="shared" si="5"/>
        <v>27</v>
      </c>
      <c r="F90" s="3">
        <f t="shared" si="2"/>
        <v>32</v>
      </c>
      <c r="G90" s="36">
        <f t="shared" si="3"/>
        <v>15.625</v>
      </c>
      <c r="H90" s="20" t="s">
        <v>149</v>
      </c>
      <c r="I90" s="20" t="s">
        <v>149</v>
      </c>
      <c r="J90" s="20" t="s">
        <v>149</v>
      </c>
      <c r="K90" s="20" t="s">
        <v>149</v>
      </c>
      <c r="L90" s="20" t="s">
        <v>149</v>
      </c>
      <c r="M90" s="21" t="s">
        <v>149</v>
      </c>
      <c r="N90" s="44"/>
      <c r="O90" s="20" t="s">
        <v>149</v>
      </c>
      <c r="P90" s="20" t="s">
        <v>149</v>
      </c>
      <c r="Q90" s="20" t="s">
        <v>149</v>
      </c>
      <c r="R90" s="20" t="s">
        <v>149</v>
      </c>
      <c r="S90" s="20" t="s">
        <v>149</v>
      </c>
      <c r="T90" s="21" t="s">
        <v>149</v>
      </c>
      <c r="U90" s="44"/>
      <c r="V90" s="20" t="s">
        <v>149</v>
      </c>
      <c r="W90" s="20" t="s">
        <v>149</v>
      </c>
      <c r="X90" s="47" t="s">
        <v>149</v>
      </c>
      <c r="Y90" s="47" t="s">
        <v>149</v>
      </c>
      <c r="Z90" s="47" t="s">
        <v>149</v>
      </c>
      <c r="AA90" s="48" t="s">
        <v>149</v>
      </c>
      <c r="AB90" s="44"/>
      <c r="AC90" s="47" t="s">
        <v>149</v>
      </c>
      <c r="AD90" s="47" t="s">
        <v>149</v>
      </c>
      <c r="AE90" s="47" t="s">
        <v>149</v>
      </c>
      <c r="AF90" s="47" t="s">
        <v>149</v>
      </c>
      <c r="AG90" s="47" t="s">
        <v>149</v>
      </c>
      <c r="AH90" s="48" t="s">
        <v>149</v>
      </c>
      <c r="AI90" s="44"/>
      <c r="AJ90" s="47" t="s">
        <v>149</v>
      </c>
      <c r="AK90" s="47" t="s">
        <v>149</v>
      </c>
      <c r="AL90" s="40" t="s">
        <v>150</v>
      </c>
      <c r="AM90" s="40" t="s">
        <v>150</v>
      </c>
      <c r="AN90" s="40" t="s">
        <v>150</v>
      </c>
      <c r="AO90" s="39" t="s">
        <v>150</v>
      </c>
      <c r="AP90" s="44"/>
      <c r="AQ90" s="40" t="s">
        <v>150</v>
      </c>
      <c r="AR90" s="47" t="s">
        <v>149</v>
      </c>
      <c r="AS90" s="40" t="s">
        <v>150</v>
      </c>
      <c r="AT90" s="40" t="s">
        <v>150</v>
      </c>
      <c r="AU90" s="40" t="s">
        <v>150</v>
      </c>
      <c r="AV90" s="40" t="s">
        <v>150</v>
      </c>
      <c r="AW90" s="24"/>
      <c r="AX90" s="40" t="s">
        <v>150</v>
      </c>
      <c r="AY90" s="40" t="s">
        <v>150</v>
      </c>
      <c r="AZ90" s="40" t="s">
        <v>150</v>
      </c>
      <c r="BA90" s="40" t="s">
        <v>150</v>
      </c>
      <c r="BB90" s="40" t="s">
        <v>150</v>
      </c>
      <c r="BC90" s="24"/>
      <c r="BD90" s="40" t="s">
        <v>150</v>
      </c>
      <c r="BE90" s="2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</row>
    <row r="91">
      <c r="A91" s="5">
        <v>88.0</v>
      </c>
      <c r="B91" s="32" t="s">
        <v>445</v>
      </c>
      <c r="C91" s="2" t="s">
        <v>446</v>
      </c>
      <c r="D91" s="5">
        <f t="shared" si="4"/>
        <v>21</v>
      </c>
      <c r="E91" s="5">
        <f t="shared" si="5"/>
        <v>11</v>
      </c>
      <c r="F91" s="3">
        <f t="shared" si="2"/>
        <v>32</v>
      </c>
      <c r="G91" s="36">
        <f t="shared" si="3"/>
        <v>65.625</v>
      </c>
      <c r="H91" s="43" t="s">
        <v>150</v>
      </c>
      <c r="I91" s="43" t="s">
        <v>150</v>
      </c>
      <c r="J91" s="43" t="s">
        <v>150</v>
      </c>
      <c r="K91" s="43" t="s">
        <v>150</v>
      </c>
      <c r="L91" s="43" t="s">
        <v>150</v>
      </c>
      <c r="M91" s="37" t="s">
        <v>150</v>
      </c>
      <c r="N91" s="44"/>
      <c r="O91" s="43" t="s">
        <v>150</v>
      </c>
      <c r="P91" s="43" t="s">
        <v>150</v>
      </c>
      <c r="Q91" s="43" t="s">
        <v>150</v>
      </c>
      <c r="R91" s="20" t="s">
        <v>149</v>
      </c>
      <c r="S91" s="43" t="s">
        <v>150</v>
      </c>
      <c r="T91" s="37" t="s">
        <v>150</v>
      </c>
      <c r="U91" s="44"/>
      <c r="V91" s="43" t="s">
        <v>150</v>
      </c>
      <c r="W91" s="43" t="s">
        <v>150</v>
      </c>
      <c r="X91" s="47" t="s">
        <v>149</v>
      </c>
      <c r="Y91" s="47" t="s">
        <v>149</v>
      </c>
      <c r="Z91" s="47" t="s">
        <v>149</v>
      </c>
      <c r="AA91" s="48" t="s">
        <v>149</v>
      </c>
      <c r="AB91" s="44"/>
      <c r="AC91" s="47" t="s">
        <v>149</v>
      </c>
      <c r="AD91" s="47" t="s">
        <v>149</v>
      </c>
      <c r="AE91" s="47" t="s">
        <v>149</v>
      </c>
      <c r="AF91" s="47" t="s">
        <v>149</v>
      </c>
      <c r="AG91" s="40" t="s">
        <v>150</v>
      </c>
      <c r="AH91" s="39" t="s">
        <v>150</v>
      </c>
      <c r="AI91" s="44"/>
      <c r="AJ91" s="47" t="s">
        <v>149</v>
      </c>
      <c r="AK91" s="40" t="s">
        <v>150</v>
      </c>
      <c r="AL91" s="40" t="s">
        <v>150</v>
      </c>
      <c r="AM91" s="40" t="s">
        <v>150</v>
      </c>
      <c r="AN91" s="40" t="s">
        <v>150</v>
      </c>
      <c r="AO91" s="39" t="s">
        <v>150</v>
      </c>
      <c r="AP91" s="44"/>
      <c r="AQ91" s="40" t="s">
        <v>150</v>
      </c>
      <c r="AR91" s="47" t="s">
        <v>149</v>
      </c>
      <c r="AS91" s="47" t="s">
        <v>149</v>
      </c>
      <c r="AT91" s="40" t="s">
        <v>150</v>
      </c>
      <c r="AU91" s="40" t="s">
        <v>150</v>
      </c>
      <c r="AV91" s="40" t="s">
        <v>150</v>
      </c>
      <c r="AW91" s="24"/>
      <c r="AX91" s="40" t="s">
        <v>150</v>
      </c>
      <c r="AY91" s="40" t="s">
        <v>150</v>
      </c>
      <c r="AZ91" s="40" t="s">
        <v>150</v>
      </c>
      <c r="BA91" s="40" t="s">
        <v>150</v>
      </c>
      <c r="BB91" s="40" t="s">
        <v>150</v>
      </c>
      <c r="BC91" s="24"/>
      <c r="BD91" s="40" t="s">
        <v>150</v>
      </c>
      <c r="BE91" s="2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</row>
    <row r="92">
      <c r="A92" s="5">
        <v>89.0</v>
      </c>
      <c r="B92" s="32" t="s">
        <v>448</v>
      </c>
      <c r="C92" s="32" t="s">
        <v>449</v>
      </c>
      <c r="D92" s="5">
        <f t="shared" si="4"/>
        <v>19</v>
      </c>
      <c r="E92" s="5">
        <f t="shared" si="5"/>
        <v>13</v>
      </c>
      <c r="F92" s="3">
        <f t="shared" si="2"/>
        <v>32</v>
      </c>
      <c r="G92" s="36">
        <f t="shared" si="3"/>
        <v>59.375</v>
      </c>
      <c r="H92" s="20" t="s">
        <v>149</v>
      </c>
      <c r="I92" s="20" t="s">
        <v>149</v>
      </c>
      <c r="J92" s="20" t="s">
        <v>149</v>
      </c>
      <c r="K92" s="20" t="s">
        <v>149</v>
      </c>
      <c r="L92" s="43" t="s">
        <v>150</v>
      </c>
      <c r="M92" s="21" t="s">
        <v>149</v>
      </c>
      <c r="N92" s="44"/>
      <c r="O92" s="43" t="s">
        <v>150</v>
      </c>
      <c r="P92" s="43" t="s">
        <v>150</v>
      </c>
      <c r="Q92" s="43" t="s">
        <v>150</v>
      </c>
      <c r="R92" s="43" t="s">
        <v>150</v>
      </c>
      <c r="S92" s="20" t="s">
        <v>149</v>
      </c>
      <c r="T92" s="37" t="s">
        <v>150</v>
      </c>
      <c r="U92" s="44"/>
      <c r="V92" s="43" t="s">
        <v>150</v>
      </c>
      <c r="W92" s="20" t="s">
        <v>149</v>
      </c>
      <c r="X92" s="40" t="s">
        <v>150</v>
      </c>
      <c r="Y92" s="40" t="s">
        <v>150</v>
      </c>
      <c r="Z92" s="40" t="s">
        <v>150</v>
      </c>
      <c r="AA92" s="39" t="s">
        <v>150</v>
      </c>
      <c r="AB92" s="44"/>
      <c r="AC92" s="47" t="s">
        <v>149</v>
      </c>
      <c r="AD92" s="47" t="s">
        <v>149</v>
      </c>
      <c r="AE92" s="47" t="s">
        <v>149</v>
      </c>
      <c r="AF92" s="47" t="s">
        <v>149</v>
      </c>
      <c r="AG92" s="47" t="s">
        <v>149</v>
      </c>
      <c r="AH92" s="39" t="s">
        <v>150</v>
      </c>
      <c r="AI92" s="44"/>
      <c r="AJ92" s="40" t="s">
        <v>150</v>
      </c>
      <c r="AK92" s="40" t="s">
        <v>150</v>
      </c>
      <c r="AL92" s="40" t="s">
        <v>150</v>
      </c>
      <c r="AM92" s="40" t="s">
        <v>150</v>
      </c>
      <c r="AN92" s="40" t="s">
        <v>150</v>
      </c>
      <c r="AO92" s="48" t="s">
        <v>149</v>
      </c>
      <c r="AP92" s="44"/>
      <c r="AQ92" s="40" t="s">
        <v>150</v>
      </c>
      <c r="AR92" s="40" t="s">
        <v>150</v>
      </c>
      <c r="AS92" s="40" t="s">
        <v>150</v>
      </c>
      <c r="AT92" s="40" t="s">
        <v>150</v>
      </c>
      <c r="AU92" s="40" t="s">
        <v>150</v>
      </c>
      <c r="AV92" s="40" t="s">
        <v>150</v>
      </c>
      <c r="AW92" s="24"/>
      <c r="AX92" s="40" t="s">
        <v>150</v>
      </c>
      <c r="AY92" s="40" t="s">
        <v>150</v>
      </c>
      <c r="AZ92" s="40" t="s">
        <v>150</v>
      </c>
      <c r="BA92" s="40" t="s">
        <v>150</v>
      </c>
      <c r="BB92" s="40" t="s">
        <v>150</v>
      </c>
      <c r="BC92" s="24"/>
      <c r="BD92" s="40" t="s">
        <v>150</v>
      </c>
      <c r="BE92" s="2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  <c r="BR92" s="41"/>
      <c r="BS92" s="41"/>
      <c r="BT92" s="41"/>
      <c r="BU92" s="41"/>
      <c r="BV92" s="41"/>
    </row>
    <row r="93">
      <c r="A93" s="5">
        <v>90.0</v>
      </c>
      <c r="B93" s="32" t="s">
        <v>452</v>
      </c>
      <c r="C93" s="32" t="s">
        <v>453</v>
      </c>
      <c r="D93" s="5">
        <f t="shared" si="4"/>
        <v>26</v>
      </c>
      <c r="E93" s="5">
        <f t="shared" si="5"/>
        <v>6</v>
      </c>
      <c r="F93" s="3">
        <f t="shared" si="2"/>
        <v>32</v>
      </c>
      <c r="G93" s="36">
        <f t="shared" si="3"/>
        <v>81.25</v>
      </c>
      <c r="H93" s="20" t="s">
        <v>149</v>
      </c>
      <c r="I93" s="20" t="s">
        <v>149</v>
      </c>
      <c r="J93" s="49" t="s">
        <v>150</v>
      </c>
      <c r="K93" s="43" t="s">
        <v>150</v>
      </c>
      <c r="L93" s="43" t="s">
        <v>150</v>
      </c>
      <c r="M93" s="37" t="s">
        <v>150</v>
      </c>
      <c r="N93" s="44"/>
      <c r="O93" s="43" t="s">
        <v>150</v>
      </c>
      <c r="P93" s="43" t="s">
        <v>150</v>
      </c>
      <c r="Q93" s="43" t="s">
        <v>150</v>
      </c>
      <c r="R93" s="43" t="s">
        <v>150</v>
      </c>
      <c r="S93" s="43" t="s">
        <v>150</v>
      </c>
      <c r="T93" s="37" t="s">
        <v>150</v>
      </c>
      <c r="U93" s="44"/>
      <c r="V93" s="20" t="s">
        <v>149</v>
      </c>
      <c r="W93" s="43" t="s">
        <v>150</v>
      </c>
      <c r="X93" s="40" t="s">
        <v>150</v>
      </c>
      <c r="Y93" s="40" t="s">
        <v>150</v>
      </c>
      <c r="Z93" s="40" t="s">
        <v>150</v>
      </c>
      <c r="AA93" s="48" t="s">
        <v>149</v>
      </c>
      <c r="AB93" s="44"/>
      <c r="AC93" s="40" t="s">
        <v>150</v>
      </c>
      <c r="AD93" s="40" t="s">
        <v>150</v>
      </c>
      <c r="AE93" s="40" t="s">
        <v>150</v>
      </c>
      <c r="AF93" s="40" t="s">
        <v>150</v>
      </c>
      <c r="AG93" s="40" t="s">
        <v>150</v>
      </c>
      <c r="AH93" s="39" t="s">
        <v>150</v>
      </c>
      <c r="AI93" s="44"/>
      <c r="AJ93" s="40" t="s">
        <v>150</v>
      </c>
      <c r="AK93" s="40" t="s">
        <v>150</v>
      </c>
      <c r="AL93" s="40" t="s">
        <v>150</v>
      </c>
      <c r="AM93" s="47" t="s">
        <v>149</v>
      </c>
      <c r="AN93" s="47" t="s">
        <v>149</v>
      </c>
      <c r="AO93" s="39" t="s">
        <v>150</v>
      </c>
      <c r="AP93" s="44"/>
      <c r="AQ93" s="40" t="s">
        <v>150</v>
      </c>
      <c r="AR93" s="40" t="s">
        <v>150</v>
      </c>
      <c r="AS93" s="40" t="s">
        <v>150</v>
      </c>
      <c r="AT93" s="40" t="s">
        <v>150</v>
      </c>
      <c r="AU93" s="40" t="s">
        <v>150</v>
      </c>
      <c r="AV93" s="40" t="s">
        <v>150</v>
      </c>
      <c r="AW93" s="24"/>
      <c r="AX93" s="40" t="s">
        <v>150</v>
      </c>
      <c r="AY93" s="40" t="s">
        <v>150</v>
      </c>
      <c r="AZ93" s="40" t="s">
        <v>150</v>
      </c>
      <c r="BA93" s="40" t="s">
        <v>150</v>
      </c>
      <c r="BB93" s="40" t="s">
        <v>150</v>
      </c>
      <c r="BC93" s="24"/>
      <c r="BD93" s="40" t="s">
        <v>150</v>
      </c>
      <c r="BE93" s="2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</row>
    <row r="94">
      <c r="A94" s="5">
        <v>91.0</v>
      </c>
      <c r="B94" s="32" t="s">
        <v>455</v>
      </c>
      <c r="C94" s="32" t="s">
        <v>456</v>
      </c>
      <c r="D94" s="5">
        <f t="shared" si="4"/>
        <v>27</v>
      </c>
      <c r="E94" s="5">
        <f t="shared" si="5"/>
        <v>5</v>
      </c>
      <c r="F94" s="3">
        <f t="shared" si="2"/>
        <v>32</v>
      </c>
      <c r="G94" s="36">
        <f t="shared" si="3"/>
        <v>84.375</v>
      </c>
      <c r="H94" s="20" t="s">
        <v>149</v>
      </c>
      <c r="I94" s="20" t="s">
        <v>149</v>
      </c>
      <c r="J94" s="49" t="s">
        <v>150</v>
      </c>
      <c r="K94" s="20" t="s">
        <v>149</v>
      </c>
      <c r="L94" s="43" t="s">
        <v>150</v>
      </c>
      <c r="M94" s="37" t="s">
        <v>150</v>
      </c>
      <c r="N94" s="44"/>
      <c r="O94" s="43" t="s">
        <v>150</v>
      </c>
      <c r="P94" s="43" t="s">
        <v>150</v>
      </c>
      <c r="Q94" s="43" t="s">
        <v>150</v>
      </c>
      <c r="R94" s="43" t="s">
        <v>150</v>
      </c>
      <c r="S94" s="43" t="s">
        <v>150</v>
      </c>
      <c r="T94" s="37" t="s">
        <v>150</v>
      </c>
      <c r="U94" s="44"/>
      <c r="V94" s="43" t="s">
        <v>150</v>
      </c>
      <c r="W94" s="43" t="s">
        <v>150</v>
      </c>
      <c r="X94" s="47" t="s">
        <v>149</v>
      </c>
      <c r="Y94" s="47" t="s">
        <v>149</v>
      </c>
      <c r="Z94" s="40" t="s">
        <v>150</v>
      </c>
      <c r="AA94" s="39" t="s">
        <v>150</v>
      </c>
      <c r="AB94" s="44"/>
      <c r="AC94" s="40" t="s">
        <v>150</v>
      </c>
      <c r="AD94" s="40" t="s">
        <v>150</v>
      </c>
      <c r="AE94" s="40" t="s">
        <v>150</v>
      </c>
      <c r="AF94" s="40" t="s">
        <v>150</v>
      </c>
      <c r="AG94" s="40" t="s">
        <v>150</v>
      </c>
      <c r="AH94" s="39" t="s">
        <v>150</v>
      </c>
      <c r="AI94" s="44"/>
      <c r="AJ94" s="40" t="s">
        <v>150</v>
      </c>
      <c r="AK94" s="40" t="s">
        <v>150</v>
      </c>
      <c r="AL94" s="40" t="s">
        <v>150</v>
      </c>
      <c r="AM94" s="40" t="s">
        <v>150</v>
      </c>
      <c r="AN94" s="40" t="s">
        <v>150</v>
      </c>
      <c r="AO94" s="39" t="s">
        <v>150</v>
      </c>
      <c r="AP94" s="44"/>
      <c r="AQ94" s="40" t="s">
        <v>150</v>
      </c>
      <c r="AR94" s="40" t="s">
        <v>150</v>
      </c>
      <c r="AS94" s="40" t="s">
        <v>150</v>
      </c>
      <c r="AT94" s="40" t="s">
        <v>150</v>
      </c>
      <c r="AU94" s="40" t="s">
        <v>150</v>
      </c>
      <c r="AV94" s="40" t="s">
        <v>150</v>
      </c>
      <c r="AW94" s="24"/>
      <c r="AX94" s="40" t="s">
        <v>150</v>
      </c>
      <c r="AY94" s="40" t="s">
        <v>150</v>
      </c>
      <c r="AZ94" s="40" t="s">
        <v>150</v>
      </c>
      <c r="BA94" s="40" t="s">
        <v>150</v>
      </c>
      <c r="BB94" s="40" t="s">
        <v>150</v>
      </c>
      <c r="BC94" s="24"/>
      <c r="BD94" s="40" t="s">
        <v>150</v>
      </c>
      <c r="BE94" s="2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</row>
    <row r="95">
      <c r="A95" s="5">
        <v>92.0</v>
      </c>
      <c r="B95" s="32" t="s">
        <v>462</v>
      </c>
      <c r="C95" s="32" t="s">
        <v>463</v>
      </c>
      <c r="D95" s="5">
        <f t="shared" si="4"/>
        <v>29</v>
      </c>
      <c r="E95" s="5">
        <f t="shared" si="5"/>
        <v>3</v>
      </c>
      <c r="F95" s="3">
        <f t="shared" si="2"/>
        <v>32</v>
      </c>
      <c r="G95" s="36">
        <f t="shared" si="3"/>
        <v>90.625</v>
      </c>
      <c r="H95" s="43" t="s">
        <v>150</v>
      </c>
      <c r="I95" s="43" t="s">
        <v>150</v>
      </c>
      <c r="J95" s="43" t="s">
        <v>150</v>
      </c>
      <c r="K95" s="43" t="s">
        <v>150</v>
      </c>
      <c r="L95" s="43" t="s">
        <v>150</v>
      </c>
      <c r="M95" s="37" t="s">
        <v>150</v>
      </c>
      <c r="N95" s="44"/>
      <c r="O95" s="43" t="s">
        <v>150</v>
      </c>
      <c r="P95" s="43" t="s">
        <v>150</v>
      </c>
      <c r="Q95" s="43" t="s">
        <v>150</v>
      </c>
      <c r="R95" s="43" t="s">
        <v>150</v>
      </c>
      <c r="S95" s="43" t="s">
        <v>150</v>
      </c>
      <c r="T95" s="37" t="s">
        <v>150</v>
      </c>
      <c r="U95" s="44"/>
      <c r="V95" s="43" t="s">
        <v>150</v>
      </c>
      <c r="W95" s="20" t="s">
        <v>149</v>
      </c>
      <c r="X95" s="40" t="s">
        <v>150</v>
      </c>
      <c r="Y95" s="40" t="s">
        <v>150</v>
      </c>
      <c r="Z95" s="40" t="s">
        <v>150</v>
      </c>
      <c r="AA95" s="39" t="s">
        <v>150</v>
      </c>
      <c r="AB95" s="44"/>
      <c r="AC95" s="47" t="s">
        <v>149</v>
      </c>
      <c r="AD95" s="47" t="s">
        <v>149</v>
      </c>
      <c r="AE95" s="40" t="s">
        <v>150</v>
      </c>
      <c r="AF95" s="40" t="s">
        <v>150</v>
      </c>
      <c r="AG95" s="40" t="s">
        <v>150</v>
      </c>
      <c r="AH95" s="39" t="s">
        <v>150</v>
      </c>
      <c r="AI95" s="44"/>
      <c r="AJ95" s="40" t="s">
        <v>150</v>
      </c>
      <c r="AK95" s="40" t="s">
        <v>150</v>
      </c>
      <c r="AL95" s="40" t="s">
        <v>150</v>
      </c>
      <c r="AM95" s="40" t="s">
        <v>150</v>
      </c>
      <c r="AN95" s="40" t="s">
        <v>150</v>
      </c>
      <c r="AO95" s="39" t="s">
        <v>150</v>
      </c>
      <c r="AP95" s="44"/>
      <c r="AQ95" s="40" t="s">
        <v>150</v>
      </c>
      <c r="AR95" s="40" t="s">
        <v>150</v>
      </c>
      <c r="AS95" s="47" t="s">
        <v>149</v>
      </c>
      <c r="AT95" s="40" t="s">
        <v>150</v>
      </c>
      <c r="AU95" s="40" t="s">
        <v>150</v>
      </c>
      <c r="AV95" s="40" t="s">
        <v>150</v>
      </c>
      <c r="AW95" s="24"/>
      <c r="AX95" s="40" t="s">
        <v>150</v>
      </c>
      <c r="AY95" s="40" t="s">
        <v>150</v>
      </c>
      <c r="AZ95" s="40" t="s">
        <v>150</v>
      </c>
      <c r="BA95" s="40" t="s">
        <v>150</v>
      </c>
      <c r="BB95" s="40" t="s">
        <v>150</v>
      </c>
      <c r="BC95" s="24"/>
      <c r="BD95" s="40" t="s">
        <v>150</v>
      </c>
      <c r="BE95" s="2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</row>
    <row r="96">
      <c r="A96" s="5">
        <v>93.0</v>
      </c>
      <c r="B96" s="32" t="s">
        <v>466</v>
      </c>
      <c r="C96" s="32" t="s">
        <v>467</v>
      </c>
      <c r="D96" s="5">
        <f t="shared" si="4"/>
        <v>18</v>
      </c>
      <c r="E96" s="5">
        <f t="shared" si="5"/>
        <v>14</v>
      </c>
      <c r="F96" s="3">
        <f t="shared" si="2"/>
        <v>32</v>
      </c>
      <c r="G96" s="36">
        <f t="shared" si="3"/>
        <v>56.25</v>
      </c>
      <c r="H96" s="20" t="s">
        <v>149</v>
      </c>
      <c r="I96" s="20" t="s">
        <v>149</v>
      </c>
      <c r="J96" s="20" t="s">
        <v>149</v>
      </c>
      <c r="K96" s="20" t="s">
        <v>149</v>
      </c>
      <c r="L96" s="20" t="s">
        <v>149</v>
      </c>
      <c r="M96" s="21" t="s">
        <v>149</v>
      </c>
      <c r="N96" s="44"/>
      <c r="O96" s="20" t="s">
        <v>149</v>
      </c>
      <c r="P96" s="20" t="s">
        <v>149</v>
      </c>
      <c r="Q96" s="20" t="s">
        <v>149</v>
      </c>
      <c r="R96" s="20" t="s">
        <v>149</v>
      </c>
      <c r="S96" s="20" t="s">
        <v>149</v>
      </c>
      <c r="T96" s="21" t="s">
        <v>149</v>
      </c>
      <c r="U96" s="44"/>
      <c r="V96" s="20" t="s">
        <v>149</v>
      </c>
      <c r="W96" s="20" t="s">
        <v>149</v>
      </c>
      <c r="X96" s="40" t="s">
        <v>150</v>
      </c>
      <c r="Y96" s="40" t="s">
        <v>150</v>
      </c>
      <c r="Z96" s="40" t="s">
        <v>150</v>
      </c>
      <c r="AA96" s="39" t="s">
        <v>150</v>
      </c>
      <c r="AB96" s="44"/>
      <c r="AC96" s="40" t="s">
        <v>150</v>
      </c>
      <c r="AD96" s="40" t="s">
        <v>150</v>
      </c>
      <c r="AE96" s="40" t="s">
        <v>150</v>
      </c>
      <c r="AF96" s="40" t="s">
        <v>150</v>
      </c>
      <c r="AG96" s="40" t="s">
        <v>150</v>
      </c>
      <c r="AH96" s="39" t="s">
        <v>150</v>
      </c>
      <c r="AI96" s="44"/>
      <c r="AJ96" s="40" t="s">
        <v>150</v>
      </c>
      <c r="AK96" s="40" t="s">
        <v>150</v>
      </c>
      <c r="AL96" s="40" t="s">
        <v>150</v>
      </c>
      <c r="AM96" s="40" t="s">
        <v>150</v>
      </c>
      <c r="AN96" s="40" t="s">
        <v>150</v>
      </c>
      <c r="AO96" s="39" t="s">
        <v>150</v>
      </c>
      <c r="AP96" s="44"/>
      <c r="AQ96" s="40" t="s">
        <v>150</v>
      </c>
      <c r="AR96" s="40" t="s">
        <v>150</v>
      </c>
      <c r="AS96" s="40" t="s">
        <v>150</v>
      </c>
      <c r="AT96" s="40" t="s">
        <v>150</v>
      </c>
      <c r="AU96" s="40" t="s">
        <v>150</v>
      </c>
      <c r="AV96" s="40" t="s">
        <v>150</v>
      </c>
      <c r="AW96" s="24"/>
      <c r="AX96" s="40" t="s">
        <v>150</v>
      </c>
      <c r="AY96" s="40" t="s">
        <v>150</v>
      </c>
      <c r="AZ96" s="40" t="s">
        <v>150</v>
      </c>
      <c r="BA96" s="40" t="s">
        <v>150</v>
      </c>
      <c r="BB96" s="40" t="s">
        <v>150</v>
      </c>
      <c r="BC96" s="24"/>
      <c r="BD96" s="40" t="s">
        <v>150</v>
      </c>
      <c r="BE96" s="2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</row>
    <row r="97">
      <c r="A97" s="5">
        <v>94.0</v>
      </c>
      <c r="B97" s="32" t="s">
        <v>469</v>
      </c>
      <c r="C97" s="32" t="s">
        <v>470</v>
      </c>
      <c r="D97" s="5">
        <f t="shared" si="4"/>
        <v>28</v>
      </c>
      <c r="E97" s="5">
        <f t="shared" si="5"/>
        <v>4</v>
      </c>
      <c r="F97" s="3">
        <f t="shared" si="2"/>
        <v>32</v>
      </c>
      <c r="G97" s="36">
        <f t="shared" si="3"/>
        <v>87.5</v>
      </c>
      <c r="H97" s="20" t="s">
        <v>149</v>
      </c>
      <c r="I97" s="43" t="s">
        <v>150</v>
      </c>
      <c r="J97" s="43" t="s">
        <v>150</v>
      </c>
      <c r="K97" s="43" t="s">
        <v>150</v>
      </c>
      <c r="L97" s="43" t="s">
        <v>150</v>
      </c>
      <c r="M97" s="37" t="s">
        <v>150</v>
      </c>
      <c r="N97" s="44"/>
      <c r="O97" s="43" t="s">
        <v>150</v>
      </c>
      <c r="P97" s="43" t="s">
        <v>150</v>
      </c>
      <c r="Q97" s="20" t="s">
        <v>149</v>
      </c>
      <c r="R97" s="43" t="s">
        <v>150</v>
      </c>
      <c r="S97" s="43" t="s">
        <v>150</v>
      </c>
      <c r="T97" s="37" t="s">
        <v>150</v>
      </c>
      <c r="U97" s="44"/>
      <c r="V97" s="43" t="s">
        <v>150</v>
      </c>
      <c r="W97" s="43" t="s">
        <v>150</v>
      </c>
      <c r="X97" s="40" t="s">
        <v>150</v>
      </c>
      <c r="Y97" s="40" t="s">
        <v>150</v>
      </c>
      <c r="Z97" s="40" t="s">
        <v>150</v>
      </c>
      <c r="AA97" s="39" t="s">
        <v>150</v>
      </c>
      <c r="AB97" s="44"/>
      <c r="AC97" s="40" t="s">
        <v>150</v>
      </c>
      <c r="AD97" s="40" t="s">
        <v>150</v>
      </c>
      <c r="AE97" s="40" t="s">
        <v>150</v>
      </c>
      <c r="AF97" s="40" t="s">
        <v>150</v>
      </c>
      <c r="AG97" s="40" t="s">
        <v>150</v>
      </c>
      <c r="AH97" s="39" t="s">
        <v>150</v>
      </c>
      <c r="AI97" s="44"/>
      <c r="AJ97" s="40" t="s">
        <v>150</v>
      </c>
      <c r="AK97" s="40" t="s">
        <v>150</v>
      </c>
      <c r="AL97" s="40" t="s">
        <v>150</v>
      </c>
      <c r="AM97" s="47" t="s">
        <v>149</v>
      </c>
      <c r="AN97" s="40" t="s">
        <v>150</v>
      </c>
      <c r="AO97" s="48" t="s">
        <v>149</v>
      </c>
      <c r="AP97" s="44"/>
      <c r="AQ97" s="40" t="s">
        <v>150</v>
      </c>
      <c r="AR97" s="40" t="s">
        <v>150</v>
      </c>
      <c r="AS97" s="40" t="s">
        <v>150</v>
      </c>
      <c r="AT97" s="40" t="s">
        <v>150</v>
      </c>
      <c r="AU97" s="40" t="s">
        <v>150</v>
      </c>
      <c r="AV97" s="40" t="s">
        <v>150</v>
      </c>
      <c r="AW97" s="24"/>
      <c r="AX97" s="40" t="s">
        <v>150</v>
      </c>
      <c r="AY97" s="40" t="s">
        <v>150</v>
      </c>
      <c r="AZ97" s="40" t="s">
        <v>150</v>
      </c>
      <c r="BA97" s="40" t="s">
        <v>150</v>
      </c>
      <c r="BB97" s="40" t="s">
        <v>150</v>
      </c>
      <c r="BC97" s="24"/>
      <c r="BD97" s="40" t="s">
        <v>150</v>
      </c>
      <c r="BE97" s="2"/>
      <c r="BF97" s="41"/>
      <c r="BG97" s="41"/>
      <c r="BH97" s="41"/>
      <c r="BI97" s="41"/>
      <c r="BJ97" s="41"/>
      <c r="BK97" s="41"/>
      <c r="BL97" s="41"/>
      <c r="BM97" s="41"/>
      <c r="BN97" s="41"/>
      <c r="BO97" s="41"/>
      <c r="BP97" s="41"/>
      <c r="BQ97" s="41"/>
      <c r="BR97" s="41"/>
      <c r="BS97" s="41"/>
      <c r="BT97" s="41"/>
      <c r="BU97" s="41"/>
      <c r="BV97" s="41"/>
    </row>
    <row r="98">
      <c r="A98" s="5">
        <v>95.0</v>
      </c>
      <c r="B98" s="32" t="s">
        <v>473</v>
      </c>
      <c r="C98" s="32" t="s">
        <v>474</v>
      </c>
      <c r="D98" s="5">
        <f t="shared" si="4"/>
        <v>32</v>
      </c>
      <c r="E98" s="5">
        <f t="shared" si="5"/>
        <v>0</v>
      </c>
      <c r="F98" s="3">
        <f t="shared" si="2"/>
        <v>32</v>
      </c>
      <c r="G98" s="36">
        <f t="shared" si="3"/>
        <v>100</v>
      </c>
      <c r="H98" s="43" t="s">
        <v>150</v>
      </c>
      <c r="I98" s="43" t="s">
        <v>150</v>
      </c>
      <c r="J98" s="43" t="s">
        <v>150</v>
      </c>
      <c r="K98" s="43" t="s">
        <v>150</v>
      </c>
      <c r="L98" s="43" t="s">
        <v>150</v>
      </c>
      <c r="M98" s="37" t="s">
        <v>150</v>
      </c>
      <c r="N98" s="44"/>
      <c r="O98" s="43" t="s">
        <v>150</v>
      </c>
      <c r="P98" s="43" t="s">
        <v>150</v>
      </c>
      <c r="Q98" s="43" t="s">
        <v>150</v>
      </c>
      <c r="R98" s="43" t="s">
        <v>150</v>
      </c>
      <c r="S98" s="43" t="s">
        <v>150</v>
      </c>
      <c r="T98" s="37" t="s">
        <v>150</v>
      </c>
      <c r="U98" s="44"/>
      <c r="V98" s="43" t="s">
        <v>150</v>
      </c>
      <c r="W98" s="43" t="s">
        <v>150</v>
      </c>
      <c r="X98" s="40" t="s">
        <v>150</v>
      </c>
      <c r="Y98" s="40" t="s">
        <v>150</v>
      </c>
      <c r="Z98" s="40" t="s">
        <v>150</v>
      </c>
      <c r="AA98" s="39" t="s">
        <v>150</v>
      </c>
      <c r="AB98" s="44"/>
      <c r="AC98" s="40" t="s">
        <v>150</v>
      </c>
      <c r="AD98" s="40" t="s">
        <v>150</v>
      </c>
      <c r="AE98" s="40" t="s">
        <v>150</v>
      </c>
      <c r="AF98" s="40" t="s">
        <v>150</v>
      </c>
      <c r="AG98" s="40" t="s">
        <v>150</v>
      </c>
      <c r="AH98" s="39" t="s">
        <v>150</v>
      </c>
      <c r="AI98" s="44"/>
      <c r="AJ98" s="40" t="s">
        <v>150</v>
      </c>
      <c r="AK98" s="40" t="s">
        <v>150</v>
      </c>
      <c r="AL98" s="40" t="s">
        <v>150</v>
      </c>
      <c r="AM98" s="40" t="s">
        <v>150</v>
      </c>
      <c r="AN98" s="40" t="s">
        <v>150</v>
      </c>
      <c r="AO98" s="39" t="s">
        <v>150</v>
      </c>
      <c r="AP98" s="44"/>
      <c r="AQ98" s="40" t="s">
        <v>150</v>
      </c>
      <c r="AR98" s="40" t="s">
        <v>150</v>
      </c>
      <c r="AS98" s="40" t="s">
        <v>150</v>
      </c>
      <c r="AT98" s="40" t="s">
        <v>150</v>
      </c>
      <c r="AU98" s="40" t="s">
        <v>150</v>
      </c>
      <c r="AV98" s="40" t="s">
        <v>150</v>
      </c>
      <c r="AW98" s="24"/>
      <c r="AX98" s="40" t="s">
        <v>150</v>
      </c>
      <c r="AY98" s="40" t="s">
        <v>150</v>
      </c>
      <c r="AZ98" s="40" t="s">
        <v>150</v>
      </c>
      <c r="BA98" s="40" t="s">
        <v>150</v>
      </c>
      <c r="BB98" s="40" t="s">
        <v>150</v>
      </c>
      <c r="BC98" s="24"/>
      <c r="BD98" s="40" t="s">
        <v>150</v>
      </c>
      <c r="BE98" s="2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</row>
    <row r="99">
      <c r="A99" s="5">
        <v>96.0</v>
      </c>
      <c r="B99" s="33" t="s">
        <v>476</v>
      </c>
      <c r="C99" s="33" t="s">
        <v>477</v>
      </c>
      <c r="D99" s="5">
        <f t="shared" si="4"/>
        <v>28</v>
      </c>
      <c r="E99" s="5">
        <f t="shared" si="5"/>
        <v>4</v>
      </c>
      <c r="F99" s="3">
        <f t="shared" si="2"/>
        <v>32</v>
      </c>
      <c r="G99" s="36">
        <f t="shared" si="3"/>
        <v>87.5</v>
      </c>
      <c r="H99" s="20" t="s">
        <v>149</v>
      </c>
      <c r="I99" s="43" t="s">
        <v>150</v>
      </c>
      <c r="J99" s="43" t="s">
        <v>150</v>
      </c>
      <c r="K99" s="43" t="s">
        <v>150</v>
      </c>
      <c r="L99" s="43" t="s">
        <v>150</v>
      </c>
      <c r="M99" s="37" t="s">
        <v>150</v>
      </c>
      <c r="N99" s="44"/>
      <c r="O99" s="43" t="s">
        <v>150</v>
      </c>
      <c r="P99" s="43" t="s">
        <v>150</v>
      </c>
      <c r="Q99" s="43" t="s">
        <v>150</v>
      </c>
      <c r="R99" s="43" t="s">
        <v>150</v>
      </c>
      <c r="S99" s="43" t="s">
        <v>150</v>
      </c>
      <c r="T99" s="37" t="s">
        <v>150</v>
      </c>
      <c r="U99" s="44"/>
      <c r="V99" s="20" t="s">
        <v>149</v>
      </c>
      <c r="W99" s="20" t="s">
        <v>149</v>
      </c>
      <c r="X99" s="40" t="s">
        <v>150</v>
      </c>
      <c r="Y99" s="40" t="s">
        <v>150</v>
      </c>
      <c r="Z99" s="40" t="s">
        <v>150</v>
      </c>
      <c r="AA99" s="48" t="s">
        <v>149</v>
      </c>
      <c r="AB99" s="44"/>
      <c r="AC99" s="40" t="s">
        <v>150</v>
      </c>
      <c r="AD99" s="40" t="s">
        <v>150</v>
      </c>
      <c r="AE99" s="40" t="s">
        <v>150</v>
      </c>
      <c r="AF99" s="40" t="s">
        <v>150</v>
      </c>
      <c r="AG99" s="40" t="s">
        <v>150</v>
      </c>
      <c r="AH99" s="39" t="s">
        <v>150</v>
      </c>
      <c r="AI99" s="44"/>
      <c r="AJ99" s="40" t="s">
        <v>150</v>
      </c>
      <c r="AK99" s="40" t="s">
        <v>150</v>
      </c>
      <c r="AL99" s="40" t="s">
        <v>150</v>
      </c>
      <c r="AM99" s="40" t="s">
        <v>150</v>
      </c>
      <c r="AN99" s="40" t="s">
        <v>150</v>
      </c>
      <c r="AO99" s="39" t="s">
        <v>150</v>
      </c>
      <c r="AP99" s="44"/>
      <c r="AQ99" s="40" t="s">
        <v>150</v>
      </c>
      <c r="AR99" s="40" t="s">
        <v>150</v>
      </c>
      <c r="AS99" s="40" t="s">
        <v>150</v>
      </c>
      <c r="AT99" s="40" t="s">
        <v>150</v>
      </c>
      <c r="AU99" s="40" t="s">
        <v>150</v>
      </c>
      <c r="AV99" s="40" t="s">
        <v>150</v>
      </c>
      <c r="AW99" s="24"/>
      <c r="AX99" s="40" t="s">
        <v>150</v>
      </c>
      <c r="AY99" s="40" t="s">
        <v>150</v>
      </c>
      <c r="AZ99" s="40" t="s">
        <v>150</v>
      </c>
      <c r="BA99" s="40" t="s">
        <v>150</v>
      </c>
      <c r="BB99" s="40" t="s">
        <v>150</v>
      </c>
      <c r="BC99" s="24"/>
      <c r="BD99" s="40" t="s">
        <v>150</v>
      </c>
      <c r="BE99" s="2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</row>
    <row r="100">
      <c r="A100" s="5">
        <v>97.0</v>
      </c>
      <c r="B100" s="33" t="s">
        <v>479</v>
      </c>
      <c r="C100" s="33" t="s">
        <v>480</v>
      </c>
      <c r="D100" s="5">
        <f t="shared" si="4"/>
        <v>32</v>
      </c>
      <c r="E100" s="5">
        <f t="shared" si="5"/>
        <v>0</v>
      </c>
      <c r="F100" s="3">
        <f t="shared" si="2"/>
        <v>32</v>
      </c>
      <c r="G100" s="36">
        <f t="shared" si="3"/>
        <v>100</v>
      </c>
      <c r="H100" s="43" t="s">
        <v>150</v>
      </c>
      <c r="I100" s="43" t="s">
        <v>150</v>
      </c>
      <c r="J100" s="43" t="s">
        <v>150</v>
      </c>
      <c r="K100" s="43" t="s">
        <v>150</v>
      </c>
      <c r="L100" s="43" t="s">
        <v>150</v>
      </c>
      <c r="M100" s="37" t="s">
        <v>150</v>
      </c>
      <c r="N100" s="44"/>
      <c r="O100" s="43" t="s">
        <v>150</v>
      </c>
      <c r="P100" s="43" t="s">
        <v>150</v>
      </c>
      <c r="Q100" s="43" t="s">
        <v>150</v>
      </c>
      <c r="R100" s="43" t="s">
        <v>150</v>
      </c>
      <c r="S100" s="43" t="s">
        <v>150</v>
      </c>
      <c r="T100" s="37" t="s">
        <v>150</v>
      </c>
      <c r="U100" s="44"/>
      <c r="V100" s="43" t="s">
        <v>150</v>
      </c>
      <c r="W100" s="40" t="s">
        <v>150</v>
      </c>
      <c r="X100" s="40" t="s">
        <v>150</v>
      </c>
      <c r="Y100" s="40" t="s">
        <v>150</v>
      </c>
      <c r="Z100" s="40" t="s">
        <v>150</v>
      </c>
      <c r="AA100" s="39" t="s">
        <v>150</v>
      </c>
      <c r="AB100" s="44"/>
      <c r="AC100" s="40" t="s">
        <v>150</v>
      </c>
      <c r="AD100" s="40" t="s">
        <v>150</v>
      </c>
      <c r="AE100" s="40" t="s">
        <v>150</v>
      </c>
      <c r="AF100" s="40" t="s">
        <v>150</v>
      </c>
      <c r="AG100" s="40" t="s">
        <v>150</v>
      </c>
      <c r="AH100" s="39" t="s">
        <v>150</v>
      </c>
      <c r="AI100" s="44"/>
      <c r="AJ100" s="40" t="s">
        <v>150</v>
      </c>
      <c r="AK100" s="40" t="s">
        <v>150</v>
      </c>
      <c r="AL100" s="40" t="s">
        <v>150</v>
      </c>
      <c r="AM100" s="40" t="s">
        <v>150</v>
      </c>
      <c r="AN100" s="40" t="s">
        <v>150</v>
      </c>
      <c r="AO100" s="39" t="s">
        <v>150</v>
      </c>
      <c r="AP100" s="44"/>
      <c r="AQ100" s="40" t="s">
        <v>150</v>
      </c>
      <c r="AR100" s="40" t="s">
        <v>150</v>
      </c>
      <c r="AS100" s="40" t="s">
        <v>150</v>
      </c>
      <c r="AT100" s="40" t="s">
        <v>150</v>
      </c>
      <c r="AU100" s="40" t="s">
        <v>150</v>
      </c>
      <c r="AV100" s="40" t="s">
        <v>150</v>
      </c>
      <c r="AW100" s="24"/>
      <c r="AX100" s="40" t="s">
        <v>150</v>
      </c>
      <c r="AY100" s="40" t="s">
        <v>150</v>
      </c>
      <c r="AZ100" s="40" t="s">
        <v>150</v>
      </c>
      <c r="BA100" s="40" t="s">
        <v>150</v>
      </c>
      <c r="BB100" s="40" t="s">
        <v>150</v>
      </c>
      <c r="BC100" s="24"/>
      <c r="BD100" s="40" t="s">
        <v>150</v>
      </c>
      <c r="BE100" s="2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</row>
    <row r="101">
      <c r="A101" s="5">
        <v>98.0</v>
      </c>
      <c r="B101" s="33" t="s">
        <v>482</v>
      </c>
      <c r="C101" s="33" t="s">
        <v>483</v>
      </c>
      <c r="D101" s="5">
        <f t="shared" si="4"/>
        <v>32</v>
      </c>
      <c r="E101" s="5">
        <f t="shared" si="5"/>
        <v>0</v>
      </c>
      <c r="F101" s="3">
        <f t="shared" si="2"/>
        <v>32</v>
      </c>
      <c r="G101" s="36">
        <f t="shared" si="3"/>
        <v>100</v>
      </c>
      <c r="H101" s="43" t="s">
        <v>150</v>
      </c>
      <c r="I101" s="43" t="s">
        <v>150</v>
      </c>
      <c r="J101" s="43" t="s">
        <v>150</v>
      </c>
      <c r="K101" s="43" t="s">
        <v>150</v>
      </c>
      <c r="L101" s="43" t="s">
        <v>150</v>
      </c>
      <c r="M101" s="37" t="s">
        <v>150</v>
      </c>
      <c r="N101" s="44"/>
      <c r="O101" s="43" t="s">
        <v>150</v>
      </c>
      <c r="P101" s="43" t="s">
        <v>150</v>
      </c>
      <c r="Q101" s="43" t="s">
        <v>150</v>
      </c>
      <c r="R101" s="43" t="s">
        <v>150</v>
      </c>
      <c r="S101" s="43" t="s">
        <v>150</v>
      </c>
      <c r="T101" s="37" t="s">
        <v>150</v>
      </c>
      <c r="U101" s="44"/>
      <c r="V101" s="43" t="s">
        <v>150</v>
      </c>
      <c r="W101" s="43" t="s">
        <v>150</v>
      </c>
      <c r="X101" s="40" t="s">
        <v>182</v>
      </c>
      <c r="Y101" s="40" t="s">
        <v>182</v>
      </c>
      <c r="Z101" s="40" t="s">
        <v>150</v>
      </c>
      <c r="AA101" s="39" t="s">
        <v>150</v>
      </c>
      <c r="AB101" s="44"/>
      <c r="AC101" s="40" t="s">
        <v>150</v>
      </c>
      <c r="AD101" s="40" t="s">
        <v>150</v>
      </c>
      <c r="AE101" s="40" t="s">
        <v>150</v>
      </c>
      <c r="AF101" s="40" t="s">
        <v>150</v>
      </c>
      <c r="AG101" s="40" t="s">
        <v>150</v>
      </c>
      <c r="AH101" s="39" t="s">
        <v>150</v>
      </c>
      <c r="AI101" s="44"/>
      <c r="AJ101" s="40" t="s">
        <v>150</v>
      </c>
      <c r="AK101" s="40" t="s">
        <v>150</v>
      </c>
      <c r="AL101" s="40" t="s">
        <v>150</v>
      </c>
      <c r="AM101" s="40" t="s">
        <v>150</v>
      </c>
      <c r="AN101" s="40" t="s">
        <v>150</v>
      </c>
      <c r="AO101" s="39" t="s">
        <v>150</v>
      </c>
      <c r="AP101" s="44"/>
      <c r="AQ101" s="40" t="s">
        <v>150</v>
      </c>
      <c r="AR101" s="40" t="s">
        <v>150</v>
      </c>
      <c r="AS101" s="40" t="s">
        <v>150</v>
      </c>
      <c r="AT101" s="40" t="s">
        <v>150</v>
      </c>
      <c r="AU101" s="40" t="s">
        <v>150</v>
      </c>
      <c r="AV101" s="40" t="s">
        <v>150</v>
      </c>
      <c r="AW101" s="24"/>
      <c r="AX101" s="40" t="s">
        <v>150</v>
      </c>
      <c r="AY101" s="40" t="s">
        <v>150</v>
      </c>
      <c r="AZ101" s="40" t="s">
        <v>150</v>
      </c>
      <c r="BA101" s="40" t="s">
        <v>150</v>
      </c>
      <c r="BB101" s="40" t="s">
        <v>150</v>
      </c>
      <c r="BC101" s="24"/>
      <c r="BD101" s="40" t="s">
        <v>150</v>
      </c>
      <c r="BE101" s="2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</row>
    <row r="102">
      <c r="A102" s="5">
        <v>99.0</v>
      </c>
      <c r="B102" s="32" t="s">
        <v>487</v>
      </c>
      <c r="C102" s="32" t="s">
        <v>488</v>
      </c>
      <c r="D102" s="5">
        <f t="shared" si="4"/>
        <v>31</v>
      </c>
      <c r="E102" s="5">
        <f t="shared" si="5"/>
        <v>1</v>
      </c>
      <c r="F102" s="3">
        <f t="shared" si="2"/>
        <v>32</v>
      </c>
      <c r="G102" s="36">
        <f t="shared" si="3"/>
        <v>96.875</v>
      </c>
      <c r="H102" s="43" t="s">
        <v>150</v>
      </c>
      <c r="I102" s="43" t="s">
        <v>150</v>
      </c>
      <c r="J102" s="43" t="s">
        <v>150</v>
      </c>
      <c r="K102" s="43" t="s">
        <v>150</v>
      </c>
      <c r="L102" s="43" t="s">
        <v>150</v>
      </c>
      <c r="M102" s="37" t="s">
        <v>150</v>
      </c>
      <c r="N102" s="44"/>
      <c r="O102" s="43" t="s">
        <v>150</v>
      </c>
      <c r="P102" s="43" t="s">
        <v>150</v>
      </c>
      <c r="Q102" s="43" t="s">
        <v>150</v>
      </c>
      <c r="R102" s="20" t="s">
        <v>149</v>
      </c>
      <c r="S102" s="43" t="s">
        <v>150</v>
      </c>
      <c r="T102" s="37" t="s">
        <v>150</v>
      </c>
      <c r="U102" s="44"/>
      <c r="V102" s="43" t="s">
        <v>150</v>
      </c>
      <c r="W102" s="43" t="s">
        <v>150</v>
      </c>
      <c r="X102" s="40" t="s">
        <v>150</v>
      </c>
      <c r="Y102" s="40" t="s">
        <v>150</v>
      </c>
      <c r="Z102" s="40" t="s">
        <v>150</v>
      </c>
      <c r="AA102" s="39" t="s">
        <v>150</v>
      </c>
      <c r="AB102" s="44"/>
      <c r="AC102" s="40" t="s">
        <v>150</v>
      </c>
      <c r="AD102" s="40" t="s">
        <v>150</v>
      </c>
      <c r="AE102" s="40" t="s">
        <v>150</v>
      </c>
      <c r="AF102" s="40" t="s">
        <v>150</v>
      </c>
      <c r="AG102" s="40" t="s">
        <v>150</v>
      </c>
      <c r="AH102" s="39" t="s">
        <v>150</v>
      </c>
      <c r="AI102" s="44"/>
      <c r="AJ102" s="40" t="s">
        <v>150</v>
      </c>
      <c r="AK102" s="40" t="s">
        <v>150</v>
      </c>
      <c r="AL102" s="40" t="s">
        <v>150</v>
      </c>
      <c r="AM102" s="40" t="s">
        <v>150</v>
      </c>
      <c r="AN102" s="40" t="s">
        <v>150</v>
      </c>
      <c r="AO102" s="39" t="s">
        <v>150</v>
      </c>
      <c r="AP102" s="44"/>
      <c r="AQ102" s="40" t="s">
        <v>150</v>
      </c>
      <c r="AR102" s="40" t="s">
        <v>150</v>
      </c>
      <c r="AS102" s="40" t="s">
        <v>150</v>
      </c>
      <c r="AT102" s="40" t="s">
        <v>150</v>
      </c>
      <c r="AU102" s="40" t="s">
        <v>150</v>
      </c>
      <c r="AV102" s="40" t="s">
        <v>150</v>
      </c>
      <c r="AW102" s="24"/>
      <c r="AX102" s="40" t="s">
        <v>150</v>
      </c>
      <c r="AY102" s="40" t="s">
        <v>150</v>
      </c>
      <c r="AZ102" s="40" t="s">
        <v>150</v>
      </c>
      <c r="BA102" s="40" t="s">
        <v>150</v>
      </c>
      <c r="BB102" s="40" t="s">
        <v>150</v>
      </c>
      <c r="BC102" s="24"/>
      <c r="BD102" s="40" t="s">
        <v>150</v>
      </c>
      <c r="BE102" s="2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</row>
    <row r="103">
      <c r="A103" s="5">
        <v>100.0</v>
      </c>
      <c r="B103" s="32" t="s">
        <v>491</v>
      </c>
      <c r="C103" s="32" t="s">
        <v>492</v>
      </c>
      <c r="D103" s="5">
        <f t="shared" si="4"/>
        <v>31</v>
      </c>
      <c r="E103" s="5">
        <f t="shared" si="5"/>
        <v>1</v>
      </c>
      <c r="F103" s="3">
        <f t="shared" si="2"/>
        <v>32</v>
      </c>
      <c r="G103" s="36">
        <f t="shared" si="3"/>
        <v>96.875</v>
      </c>
      <c r="H103" s="43" t="s">
        <v>150</v>
      </c>
      <c r="I103" s="43" t="s">
        <v>150</v>
      </c>
      <c r="J103" s="43" t="s">
        <v>150</v>
      </c>
      <c r="K103" s="43" t="s">
        <v>150</v>
      </c>
      <c r="L103" s="43" t="s">
        <v>150</v>
      </c>
      <c r="M103" s="37" t="s">
        <v>150</v>
      </c>
      <c r="N103" s="44"/>
      <c r="O103" s="43" t="s">
        <v>150</v>
      </c>
      <c r="P103" s="43" t="s">
        <v>150</v>
      </c>
      <c r="Q103" s="43" t="s">
        <v>150</v>
      </c>
      <c r="R103" s="43" t="s">
        <v>150</v>
      </c>
      <c r="S103" s="43" t="s">
        <v>150</v>
      </c>
      <c r="T103" s="37" t="s">
        <v>150</v>
      </c>
      <c r="U103" s="44"/>
      <c r="V103" s="20" t="s">
        <v>149</v>
      </c>
      <c r="W103" s="43" t="s">
        <v>150</v>
      </c>
      <c r="X103" s="40" t="s">
        <v>182</v>
      </c>
      <c r="Y103" s="40" t="s">
        <v>182</v>
      </c>
      <c r="Z103" s="40" t="s">
        <v>150</v>
      </c>
      <c r="AA103" s="39" t="s">
        <v>150</v>
      </c>
      <c r="AB103" s="44"/>
      <c r="AC103" s="40" t="s">
        <v>150</v>
      </c>
      <c r="AD103" s="40" t="s">
        <v>150</v>
      </c>
      <c r="AE103" s="40" t="s">
        <v>150</v>
      </c>
      <c r="AF103" s="40" t="s">
        <v>150</v>
      </c>
      <c r="AG103" s="40" t="s">
        <v>150</v>
      </c>
      <c r="AH103" s="39" t="s">
        <v>150</v>
      </c>
      <c r="AI103" s="44"/>
      <c r="AJ103" s="40" t="s">
        <v>150</v>
      </c>
      <c r="AK103" s="40" t="s">
        <v>150</v>
      </c>
      <c r="AL103" s="40" t="s">
        <v>150</v>
      </c>
      <c r="AM103" s="40" t="s">
        <v>150</v>
      </c>
      <c r="AN103" s="40" t="s">
        <v>150</v>
      </c>
      <c r="AO103" s="39" t="s">
        <v>150</v>
      </c>
      <c r="AP103" s="44"/>
      <c r="AQ103" s="40" t="s">
        <v>150</v>
      </c>
      <c r="AR103" s="40" t="s">
        <v>150</v>
      </c>
      <c r="AS103" s="40" t="s">
        <v>150</v>
      </c>
      <c r="AT103" s="40" t="s">
        <v>150</v>
      </c>
      <c r="AU103" s="40" t="s">
        <v>150</v>
      </c>
      <c r="AV103" s="40" t="s">
        <v>150</v>
      </c>
      <c r="AW103" s="24"/>
      <c r="AX103" s="40" t="s">
        <v>150</v>
      </c>
      <c r="AY103" s="40" t="s">
        <v>150</v>
      </c>
      <c r="AZ103" s="40" t="s">
        <v>150</v>
      </c>
      <c r="BA103" s="40" t="s">
        <v>150</v>
      </c>
      <c r="BB103" s="40" t="s">
        <v>150</v>
      </c>
      <c r="BC103" s="24"/>
      <c r="BD103" s="40" t="s">
        <v>150</v>
      </c>
      <c r="BE103" s="2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</row>
    <row r="104">
      <c r="A104" s="5">
        <v>101.0</v>
      </c>
      <c r="B104" s="33" t="s">
        <v>495</v>
      </c>
      <c r="C104" s="33" t="s">
        <v>496</v>
      </c>
      <c r="D104" s="5">
        <f t="shared" si="4"/>
        <v>27</v>
      </c>
      <c r="E104" s="5">
        <f t="shared" si="5"/>
        <v>5</v>
      </c>
      <c r="F104" s="3">
        <f t="shared" si="2"/>
        <v>32</v>
      </c>
      <c r="G104" s="36">
        <f t="shared" si="3"/>
        <v>84.375</v>
      </c>
      <c r="H104" s="43" t="s">
        <v>150</v>
      </c>
      <c r="I104" s="43" t="s">
        <v>150</v>
      </c>
      <c r="J104" s="43" t="s">
        <v>150</v>
      </c>
      <c r="K104" s="43" t="s">
        <v>150</v>
      </c>
      <c r="L104" s="43" t="s">
        <v>150</v>
      </c>
      <c r="M104" s="37" t="s">
        <v>150</v>
      </c>
      <c r="N104" s="44"/>
      <c r="O104" s="43" t="s">
        <v>150</v>
      </c>
      <c r="P104" s="43" t="s">
        <v>150</v>
      </c>
      <c r="Q104" s="43" t="s">
        <v>150</v>
      </c>
      <c r="R104" s="43" t="s">
        <v>150</v>
      </c>
      <c r="S104" s="43" t="s">
        <v>150</v>
      </c>
      <c r="T104" s="37" t="s">
        <v>150</v>
      </c>
      <c r="U104" s="44"/>
      <c r="V104" s="43" t="s">
        <v>150</v>
      </c>
      <c r="W104" s="43" t="s">
        <v>150</v>
      </c>
      <c r="X104" s="43" t="s">
        <v>150</v>
      </c>
      <c r="Y104" s="43" t="s">
        <v>150</v>
      </c>
      <c r="Z104" s="43" t="s">
        <v>150</v>
      </c>
      <c r="AA104" s="39" t="s">
        <v>150</v>
      </c>
      <c r="AB104" s="44"/>
      <c r="AC104" s="47" t="s">
        <v>149</v>
      </c>
      <c r="AD104" s="47" t="s">
        <v>149</v>
      </c>
      <c r="AE104" s="47" t="s">
        <v>149</v>
      </c>
      <c r="AF104" s="40" t="s">
        <v>150</v>
      </c>
      <c r="AG104" s="47" t="s">
        <v>149</v>
      </c>
      <c r="AH104" s="39" t="s">
        <v>150</v>
      </c>
      <c r="AI104" s="44"/>
      <c r="AJ104" s="40" t="s">
        <v>150</v>
      </c>
      <c r="AK104" s="40" t="s">
        <v>150</v>
      </c>
      <c r="AL104" s="40" t="s">
        <v>150</v>
      </c>
      <c r="AM104" s="40" t="s">
        <v>150</v>
      </c>
      <c r="AN104" s="40" t="s">
        <v>150</v>
      </c>
      <c r="AO104" s="48" t="s">
        <v>149</v>
      </c>
      <c r="AP104" s="44"/>
      <c r="AQ104" s="40" t="s">
        <v>150</v>
      </c>
      <c r="AR104" s="40" t="s">
        <v>150</v>
      </c>
      <c r="AS104" s="40" t="s">
        <v>150</v>
      </c>
      <c r="AT104" s="40" t="s">
        <v>150</v>
      </c>
      <c r="AU104" s="40" t="s">
        <v>150</v>
      </c>
      <c r="AV104" s="40" t="s">
        <v>150</v>
      </c>
      <c r="AW104" s="24"/>
      <c r="AX104" s="40" t="s">
        <v>150</v>
      </c>
      <c r="AY104" s="40" t="s">
        <v>150</v>
      </c>
      <c r="AZ104" s="40" t="s">
        <v>150</v>
      </c>
      <c r="BA104" s="40" t="s">
        <v>150</v>
      </c>
      <c r="BB104" s="40" t="s">
        <v>150</v>
      </c>
      <c r="BC104" s="24"/>
      <c r="BD104" s="40" t="s">
        <v>150</v>
      </c>
      <c r="BE104" s="2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/>
      <c r="BP104" s="41"/>
      <c r="BQ104" s="41"/>
      <c r="BR104" s="41"/>
      <c r="BS104" s="41"/>
      <c r="BT104" s="41"/>
      <c r="BU104" s="41"/>
      <c r="BV104" s="41"/>
    </row>
    <row r="105">
      <c r="A105" s="5">
        <v>102.0</v>
      </c>
      <c r="B105" s="32" t="s">
        <v>499</v>
      </c>
      <c r="C105" s="32" t="s">
        <v>500</v>
      </c>
      <c r="D105" s="5">
        <f t="shared" si="4"/>
        <v>11</v>
      </c>
      <c r="E105" s="5">
        <f t="shared" si="5"/>
        <v>21</v>
      </c>
      <c r="F105" s="3">
        <f t="shared" si="2"/>
        <v>32</v>
      </c>
      <c r="G105" s="36">
        <f t="shared" si="3"/>
        <v>34.375</v>
      </c>
      <c r="H105" s="20" t="s">
        <v>149</v>
      </c>
      <c r="I105" s="20" t="s">
        <v>149</v>
      </c>
      <c r="J105" s="20" t="s">
        <v>149</v>
      </c>
      <c r="K105" s="43" t="s">
        <v>150</v>
      </c>
      <c r="L105" s="43" t="s">
        <v>150</v>
      </c>
      <c r="M105" s="37" t="s">
        <v>150</v>
      </c>
      <c r="N105" s="44"/>
      <c r="O105" s="43" t="s">
        <v>150</v>
      </c>
      <c r="P105" s="43" t="s">
        <v>150</v>
      </c>
      <c r="Q105" s="43" t="s">
        <v>150</v>
      </c>
      <c r="R105" s="43" t="s">
        <v>150</v>
      </c>
      <c r="S105" s="43" t="s">
        <v>150</v>
      </c>
      <c r="T105" s="37" t="s">
        <v>150</v>
      </c>
      <c r="U105" s="44"/>
      <c r="V105" s="43" t="s">
        <v>150</v>
      </c>
      <c r="W105" s="43" t="s">
        <v>150</v>
      </c>
      <c r="X105" s="47" t="s">
        <v>149</v>
      </c>
      <c r="Y105" s="47" t="s">
        <v>149</v>
      </c>
      <c r="Z105" s="47" t="s">
        <v>149</v>
      </c>
      <c r="AA105" s="48" t="s">
        <v>149</v>
      </c>
      <c r="AB105" s="44"/>
      <c r="AC105" s="47" t="s">
        <v>149</v>
      </c>
      <c r="AD105" s="47" t="s">
        <v>149</v>
      </c>
      <c r="AE105" s="47" t="s">
        <v>149</v>
      </c>
      <c r="AF105" s="47" t="s">
        <v>149</v>
      </c>
      <c r="AG105" s="47" t="s">
        <v>149</v>
      </c>
      <c r="AH105" s="48" t="s">
        <v>149</v>
      </c>
      <c r="AI105" s="44"/>
      <c r="AJ105" s="47" t="s">
        <v>149</v>
      </c>
      <c r="AK105" s="47" t="s">
        <v>149</v>
      </c>
      <c r="AL105" s="47" t="s">
        <v>149</v>
      </c>
      <c r="AM105" s="47" t="s">
        <v>149</v>
      </c>
      <c r="AN105" s="47" t="s">
        <v>149</v>
      </c>
      <c r="AO105" s="48" t="s">
        <v>149</v>
      </c>
      <c r="AP105" s="44"/>
      <c r="AQ105" s="47" t="s">
        <v>149</v>
      </c>
      <c r="AR105" s="47" t="s">
        <v>149</v>
      </c>
      <c r="AS105" s="47" t="s">
        <v>149</v>
      </c>
      <c r="AT105" s="47" t="s">
        <v>149</v>
      </c>
      <c r="AU105" s="47" t="s">
        <v>149</v>
      </c>
      <c r="AV105" s="47" t="s">
        <v>149</v>
      </c>
      <c r="AW105" s="24"/>
      <c r="AX105" s="47" t="s">
        <v>149</v>
      </c>
      <c r="AY105" s="47" t="s">
        <v>149</v>
      </c>
      <c r="AZ105" s="47" t="s">
        <v>149</v>
      </c>
      <c r="BA105" s="47" t="s">
        <v>149</v>
      </c>
      <c r="BB105" s="47" t="s">
        <v>149</v>
      </c>
      <c r="BC105" s="24"/>
      <c r="BD105" s="47" t="s">
        <v>149</v>
      </c>
      <c r="BE105" s="2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</row>
    <row r="106">
      <c r="A106" s="5">
        <v>103.0</v>
      </c>
      <c r="B106" s="32" t="s">
        <v>502</v>
      </c>
      <c r="C106" s="32" t="s">
        <v>503</v>
      </c>
      <c r="D106" s="5">
        <f t="shared" si="4"/>
        <v>29</v>
      </c>
      <c r="E106" s="5">
        <f t="shared" si="5"/>
        <v>3</v>
      </c>
      <c r="F106" s="3">
        <f t="shared" si="2"/>
        <v>32</v>
      </c>
      <c r="G106" s="36">
        <f t="shared" si="3"/>
        <v>90.625</v>
      </c>
      <c r="H106" s="43" t="s">
        <v>150</v>
      </c>
      <c r="I106" s="43" t="s">
        <v>150</v>
      </c>
      <c r="J106" s="43" t="s">
        <v>150</v>
      </c>
      <c r="K106" s="43" t="s">
        <v>150</v>
      </c>
      <c r="L106" s="43" t="s">
        <v>150</v>
      </c>
      <c r="M106" s="37" t="s">
        <v>150</v>
      </c>
      <c r="N106" s="44"/>
      <c r="O106" s="43" t="s">
        <v>150</v>
      </c>
      <c r="P106" s="43" t="s">
        <v>150</v>
      </c>
      <c r="Q106" s="43" t="s">
        <v>150</v>
      </c>
      <c r="R106" s="43" t="s">
        <v>150</v>
      </c>
      <c r="S106" s="43" t="s">
        <v>150</v>
      </c>
      <c r="T106" s="37" t="s">
        <v>150</v>
      </c>
      <c r="U106" s="44"/>
      <c r="V106" s="43" t="s">
        <v>150</v>
      </c>
      <c r="W106" s="43" t="s">
        <v>150</v>
      </c>
      <c r="X106" s="40" t="s">
        <v>150</v>
      </c>
      <c r="Y106" s="40" t="s">
        <v>150</v>
      </c>
      <c r="Z106" s="40" t="s">
        <v>150</v>
      </c>
      <c r="AA106" s="39" t="s">
        <v>150</v>
      </c>
      <c r="AB106" s="44"/>
      <c r="AC106" s="40" t="s">
        <v>150</v>
      </c>
      <c r="AD106" s="40" t="s">
        <v>150</v>
      </c>
      <c r="AE106" s="40" t="s">
        <v>150</v>
      </c>
      <c r="AF106" s="40" t="s">
        <v>150</v>
      </c>
      <c r="AG106" s="47" t="s">
        <v>149</v>
      </c>
      <c r="AH106" s="39" t="s">
        <v>150</v>
      </c>
      <c r="AI106" s="44"/>
      <c r="AJ106" s="40" t="s">
        <v>150</v>
      </c>
      <c r="AK106" s="40" t="s">
        <v>150</v>
      </c>
      <c r="AL106" s="40" t="s">
        <v>150</v>
      </c>
      <c r="AM106" s="47" t="s">
        <v>149</v>
      </c>
      <c r="AN106" s="40" t="s">
        <v>150</v>
      </c>
      <c r="AO106" s="48" t="s">
        <v>149</v>
      </c>
      <c r="AP106" s="44"/>
      <c r="AQ106" s="40" t="s">
        <v>150</v>
      </c>
      <c r="AR106" s="40" t="s">
        <v>150</v>
      </c>
      <c r="AS106" s="47" t="s">
        <v>149</v>
      </c>
      <c r="AT106" s="40" t="s">
        <v>150</v>
      </c>
      <c r="AU106" s="40" t="s">
        <v>150</v>
      </c>
      <c r="AV106" s="40" t="s">
        <v>150</v>
      </c>
      <c r="AW106" s="24"/>
      <c r="AX106" s="40" t="s">
        <v>150</v>
      </c>
      <c r="AY106" s="40" t="s">
        <v>150</v>
      </c>
      <c r="AZ106" s="40" t="s">
        <v>150</v>
      </c>
      <c r="BA106" s="40" t="s">
        <v>150</v>
      </c>
      <c r="BB106" s="40" t="s">
        <v>150</v>
      </c>
      <c r="BC106" s="24"/>
      <c r="BD106" s="40" t="s">
        <v>150</v>
      </c>
      <c r="BE106" s="2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</row>
    <row r="107">
      <c r="A107" s="5">
        <v>104.0</v>
      </c>
      <c r="B107" s="32" t="s">
        <v>505</v>
      </c>
      <c r="C107" s="32" t="s">
        <v>506</v>
      </c>
      <c r="D107" s="5">
        <f t="shared" si="4"/>
        <v>31</v>
      </c>
      <c r="E107" s="5">
        <f t="shared" si="5"/>
        <v>1</v>
      </c>
      <c r="F107" s="3">
        <f t="shared" si="2"/>
        <v>32</v>
      </c>
      <c r="G107" s="36">
        <f t="shared" si="3"/>
        <v>96.875</v>
      </c>
      <c r="H107" s="43" t="s">
        <v>150</v>
      </c>
      <c r="I107" s="43" t="s">
        <v>150</v>
      </c>
      <c r="J107" s="43" t="s">
        <v>150</v>
      </c>
      <c r="K107" s="43" t="s">
        <v>150</v>
      </c>
      <c r="L107" s="43" t="s">
        <v>150</v>
      </c>
      <c r="M107" s="37" t="s">
        <v>150</v>
      </c>
      <c r="N107" s="44"/>
      <c r="O107" s="43" t="s">
        <v>150</v>
      </c>
      <c r="P107" s="43" t="s">
        <v>150</v>
      </c>
      <c r="Q107" s="43" t="s">
        <v>150</v>
      </c>
      <c r="R107" s="43" t="s">
        <v>150</v>
      </c>
      <c r="S107" s="43" t="s">
        <v>150</v>
      </c>
      <c r="T107" s="37" t="s">
        <v>150</v>
      </c>
      <c r="U107" s="44"/>
      <c r="V107" s="43" t="s">
        <v>150</v>
      </c>
      <c r="W107" s="43" t="s">
        <v>150</v>
      </c>
      <c r="X107" s="40" t="s">
        <v>150</v>
      </c>
      <c r="Y107" s="40" t="s">
        <v>150</v>
      </c>
      <c r="Z107" s="40" t="s">
        <v>150</v>
      </c>
      <c r="AA107" s="39" t="s">
        <v>150</v>
      </c>
      <c r="AB107" s="44"/>
      <c r="AC107" s="40" t="s">
        <v>150</v>
      </c>
      <c r="AD107" s="40" t="s">
        <v>150</v>
      </c>
      <c r="AE107" s="40" t="s">
        <v>150</v>
      </c>
      <c r="AF107" s="40" t="s">
        <v>150</v>
      </c>
      <c r="AG107" s="40" t="s">
        <v>150</v>
      </c>
      <c r="AH107" s="39" t="s">
        <v>150</v>
      </c>
      <c r="AI107" s="44"/>
      <c r="AJ107" s="40" t="s">
        <v>150</v>
      </c>
      <c r="AK107" s="47" t="s">
        <v>149</v>
      </c>
      <c r="AL107" s="40" t="s">
        <v>150</v>
      </c>
      <c r="AM107" s="40" t="s">
        <v>150</v>
      </c>
      <c r="AN107" s="40" t="s">
        <v>150</v>
      </c>
      <c r="AO107" s="39" t="s">
        <v>150</v>
      </c>
      <c r="AP107" s="44"/>
      <c r="AQ107" s="40" t="s">
        <v>150</v>
      </c>
      <c r="AR107" s="40" t="s">
        <v>150</v>
      </c>
      <c r="AS107" s="40" t="s">
        <v>150</v>
      </c>
      <c r="AT107" s="40" t="s">
        <v>150</v>
      </c>
      <c r="AU107" s="40" t="s">
        <v>150</v>
      </c>
      <c r="AV107" s="40" t="s">
        <v>150</v>
      </c>
      <c r="AW107" s="24"/>
      <c r="AX107" s="40" t="s">
        <v>150</v>
      </c>
      <c r="AY107" s="40" t="s">
        <v>150</v>
      </c>
      <c r="AZ107" s="40" t="s">
        <v>150</v>
      </c>
      <c r="BA107" s="40" t="s">
        <v>150</v>
      </c>
      <c r="BB107" s="40" t="s">
        <v>150</v>
      </c>
      <c r="BC107" s="24"/>
      <c r="BD107" s="40" t="s">
        <v>150</v>
      </c>
      <c r="BE107" s="2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</row>
    <row r="108">
      <c r="A108" s="5">
        <v>105.0</v>
      </c>
      <c r="B108" s="32" t="s">
        <v>508</v>
      </c>
      <c r="C108" s="32" t="s">
        <v>509</v>
      </c>
      <c r="D108" s="5">
        <f t="shared" si="4"/>
        <v>9</v>
      </c>
      <c r="E108" s="5">
        <f t="shared" si="5"/>
        <v>23</v>
      </c>
      <c r="F108" s="3">
        <f t="shared" si="2"/>
        <v>32</v>
      </c>
      <c r="G108" s="36">
        <f t="shared" si="3"/>
        <v>28.125</v>
      </c>
      <c r="H108" s="20" t="s">
        <v>149</v>
      </c>
      <c r="I108" s="20" t="s">
        <v>149</v>
      </c>
      <c r="J108" s="20" t="s">
        <v>149</v>
      </c>
      <c r="K108" s="43" t="s">
        <v>150</v>
      </c>
      <c r="L108" s="43" t="s">
        <v>150</v>
      </c>
      <c r="M108" s="37" t="s">
        <v>150</v>
      </c>
      <c r="N108" s="44"/>
      <c r="O108" s="43" t="s">
        <v>150</v>
      </c>
      <c r="P108" s="43" t="s">
        <v>150</v>
      </c>
      <c r="Q108" s="43" t="s">
        <v>150</v>
      </c>
      <c r="R108" s="20" t="s">
        <v>149</v>
      </c>
      <c r="S108" s="43" t="s">
        <v>150</v>
      </c>
      <c r="T108" s="37" t="s">
        <v>150</v>
      </c>
      <c r="U108" s="44"/>
      <c r="V108" s="20" t="s">
        <v>149</v>
      </c>
      <c r="W108" s="20" t="s">
        <v>149</v>
      </c>
      <c r="X108" s="47" t="s">
        <v>149</v>
      </c>
      <c r="Y108" s="47" t="s">
        <v>149</v>
      </c>
      <c r="Z108" s="47" t="s">
        <v>149</v>
      </c>
      <c r="AA108" s="39" t="s">
        <v>150</v>
      </c>
      <c r="AB108" s="44"/>
      <c r="AC108" s="47" t="s">
        <v>149</v>
      </c>
      <c r="AD108" s="47" t="s">
        <v>149</v>
      </c>
      <c r="AE108" s="47" t="s">
        <v>149</v>
      </c>
      <c r="AF108" s="47" t="s">
        <v>149</v>
      </c>
      <c r="AG108" s="47" t="s">
        <v>149</v>
      </c>
      <c r="AH108" s="48" t="s">
        <v>149</v>
      </c>
      <c r="AI108" s="44"/>
      <c r="AJ108" s="47" t="s">
        <v>149</v>
      </c>
      <c r="AK108" s="47" t="s">
        <v>149</v>
      </c>
      <c r="AL108" s="47" t="s">
        <v>149</v>
      </c>
      <c r="AM108" s="47" t="s">
        <v>149</v>
      </c>
      <c r="AN108" s="47" t="s">
        <v>149</v>
      </c>
      <c r="AO108" s="48" t="s">
        <v>149</v>
      </c>
      <c r="AP108" s="44"/>
      <c r="AQ108" s="47" t="s">
        <v>149</v>
      </c>
      <c r="AR108" s="47" t="s">
        <v>149</v>
      </c>
      <c r="AS108" s="47" t="s">
        <v>149</v>
      </c>
      <c r="AT108" s="47" t="s">
        <v>149</v>
      </c>
      <c r="AU108" s="47" t="s">
        <v>149</v>
      </c>
      <c r="AV108" s="47" t="s">
        <v>149</v>
      </c>
      <c r="AW108" s="24"/>
      <c r="AX108" s="47" t="s">
        <v>149</v>
      </c>
      <c r="AY108" s="47" t="s">
        <v>149</v>
      </c>
      <c r="AZ108" s="47" t="s">
        <v>149</v>
      </c>
      <c r="BA108" s="47" t="s">
        <v>149</v>
      </c>
      <c r="BB108" s="47" t="s">
        <v>149</v>
      </c>
      <c r="BC108" s="24"/>
      <c r="BD108" s="47" t="s">
        <v>149</v>
      </c>
      <c r="BE108" s="2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</row>
    <row r="109">
      <c r="A109" s="5">
        <v>106.0</v>
      </c>
      <c r="B109" s="32" t="s">
        <v>511</v>
      </c>
      <c r="C109" s="32" t="s">
        <v>512</v>
      </c>
      <c r="D109" s="5">
        <f t="shared" si="4"/>
        <v>30</v>
      </c>
      <c r="E109" s="5">
        <f t="shared" si="5"/>
        <v>2</v>
      </c>
      <c r="F109" s="3">
        <f t="shared" si="2"/>
        <v>32</v>
      </c>
      <c r="G109" s="36">
        <f t="shared" si="3"/>
        <v>93.75</v>
      </c>
      <c r="H109" s="43" t="s">
        <v>150</v>
      </c>
      <c r="I109" s="43" t="s">
        <v>150</v>
      </c>
      <c r="J109" s="43" t="s">
        <v>150</v>
      </c>
      <c r="K109" s="43" t="s">
        <v>150</v>
      </c>
      <c r="L109" s="43" t="s">
        <v>150</v>
      </c>
      <c r="M109" s="37" t="s">
        <v>150</v>
      </c>
      <c r="N109" s="44"/>
      <c r="O109" s="43" t="s">
        <v>150</v>
      </c>
      <c r="P109" s="43" t="s">
        <v>150</v>
      </c>
      <c r="Q109" s="43" t="s">
        <v>150</v>
      </c>
      <c r="R109" s="43" t="s">
        <v>150</v>
      </c>
      <c r="S109" s="43" t="s">
        <v>150</v>
      </c>
      <c r="T109" s="37" t="s">
        <v>150</v>
      </c>
      <c r="U109" s="44"/>
      <c r="V109" s="43" t="s">
        <v>150</v>
      </c>
      <c r="W109" s="43" t="s">
        <v>150</v>
      </c>
      <c r="X109" s="40" t="s">
        <v>150</v>
      </c>
      <c r="Y109" s="40" t="s">
        <v>150</v>
      </c>
      <c r="Z109" s="40" t="s">
        <v>150</v>
      </c>
      <c r="AA109" s="48" t="s">
        <v>149</v>
      </c>
      <c r="AB109" s="44"/>
      <c r="AC109" s="40" t="s">
        <v>150</v>
      </c>
      <c r="AD109" s="40" t="s">
        <v>150</v>
      </c>
      <c r="AE109" s="40" t="s">
        <v>150</v>
      </c>
      <c r="AF109" s="40" t="s">
        <v>150</v>
      </c>
      <c r="AG109" s="40" t="s">
        <v>150</v>
      </c>
      <c r="AH109" s="39" t="s">
        <v>150</v>
      </c>
      <c r="AI109" s="44"/>
      <c r="AJ109" s="40" t="s">
        <v>150</v>
      </c>
      <c r="AK109" s="40" t="s">
        <v>150</v>
      </c>
      <c r="AL109" s="40" t="s">
        <v>150</v>
      </c>
      <c r="AM109" s="40" t="s">
        <v>150</v>
      </c>
      <c r="AN109" s="40" t="s">
        <v>150</v>
      </c>
      <c r="AO109" s="48" t="s">
        <v>149</v>
      </c>
      <c r="AP109" s="44"/>
      <c r="AQ109" s="40" t="s">
        <v>150</v>
      </c>
      <c r="AR109" s="40" t="s">
        <v>150</v>
      </c>
      <c r="AS109" s="40" t="s">
        <v>150</v>
      </c>
      <c r="AT109" s="40" t="s">
        <v>150</v>
      </c>
      <c r="AU109" s="40" t="s">
        <v>150</v>
      </c>
      <c r="AV109" s="40" t="s">
        <v>150</v>
      </c>
      <c r="AW109" s="24"/>
      <c r="AX109" s="40" t="s">
        <v>150</v>
      </c>
      <c r="AY109" s="40" t="s">
        <v>150</v>
      </c>
      <c r="AZ109" s="40" t="s">
        <v>150</v>
      </c>
      <c r="BA109" s="40" t="s">
        <v>150</v>
      </c>
      <c r="BB109" s="40" t="s">
        <v>150</v>
      </c>
      <c r="BC109" s="24"/>
      <c r="BD109" s="40" t="s">
        <v>150</v>
      </c>
      <c r="BE109" s="2"/>
      <c r="BF109" s="41"/>
      <c r="BG109" s="41"/>
      <c r="BH109" s="41"/>
      <c r="BI109" s="41"/>
      <c r="BJ109" s="41"/>
      <c r="BK109" s="41"/>
      <c r="BL109" s="41"/>
      <c r="BM109" s="41"/>
      <c r="BN109" s="41"/>
      <c r="BO109" s="41"/>
      <c r="BP109" s="41"/>
      <c r="BQ109" s="41"/>
      <c r="BR109" s="41"/>
      <c r="BS109" s="41"/>
      <c r="BT109" s="41"/>
      <c r="BU109" s="41"/>
      <c r="BV109" s="41"/>
    </row>
    <row r="110">
      <c r="A110" s="5">
        <v>107.0</v>
      </c>
      <c r="B110" s="32" t="s">
        <v>514</v>
      </c>
      <c r="C110" s="32" t="s">
        <v>515</v>
      </c>
      <c r="D110" s="5">
        <f t="shared" si="4"/>
        <v>31</v>
      </c>
      <c r="E110" s="5">
        <f t="shared" si="5"/>
        <v>1</v>
      </c>
      <c r="F110" s="3">
        <f t="shared" si="2"/>
        <v>32</v>
      </c>
      <c r="G110" s="36">
        <f t="shared" si="3"/>
        <v>96.875</v>
      </c>
      <c r="H110" s="43" t="s">
        <v>150</v>
      </c>
      <c r="I110" s="43" t="s">
        <v>150</v>
      </c>
      <c r="J110" s="43" t="s">
        <v>150</v>
      </c>
      <c r="K110" s="43" t="s">
        <v>150</v>
      </c>
      <c r="L110" s="43" t="s">
        <v>150</v>
      </c>
      <c r="M110" s="37" t="s">
        <v>150</v>
      </c>
      <c r="N110" s="44"/>
      <c r="O110" s="43" t="s">
        <v>150</v>
      </c>
      <c r="P110" s="43" t="s">
        <v>150</v>
      </c>
      <c r="Q110" s="43" t="s">
        <v>150</v>
      </c>
      <c r="R110" s="43" t="s">
        <v>150</v>
      </c>
      <c r="S110" s="43" t="s">
        <v>150</v>
      </c>
      <c r="T110" s="37" t="s">
        <v>150</v>
      </c>
      <c r="U110" s="44"/>
      <c r="V110" s="20" t="s">
        <v>149</v>
      </c>
      <c r="W110" s="43" t="s">
        <v>150</v>
      </c>
      <c r="X110" s="40" t="s">
        <v>150</v>
      </c>
      <c r="Y110" s="40" t="s">
        <v>150</v>
      </c>
      <c r="Z110" s="40" t="s">
        <v>150</v>
      </c>
      <c r="AA110" s="39" t="s">
        <v>150</v>
      </c>
      <c r="AB110" s="44"/>
      <c r="AC110" s="40" t="s">
        <v>150</v>
      </c>
      <c r="AD110" s="40" t="s">
        <v>150</v>
      </c>
      <c r="AE110" s="40" t="s">
        <v>150</v>
      </c>
      <c r="AF110" s="40" t="s">
        <v>150</v>
      </c>
      <c r="AG110" s="40" t="s">
        <v>150</v>
      </c>
      <c r="AH110" s="39" t="s">
        <v>150</v>
      </c>
      <c r="AI110" s="44"/>
      <c r="AJ110" s="40" t="s">
        <v>150</v>
      </c>
      <c r="AK110" s="40" t="s">
        <v>150</v>
      </c>
      <c r="AL110" s="40" t="s">
        <v>150</v>
      </c>
      <c r="AM110" s="40" t="s">
        <v>150</v>
      </c>
      <c r="AN110" s="40" t="s">
        <v>150</v>
      </c>
      <c r="AO110" s="39" t="s">
        <v>150</v>
      </c>
      <c r="AP110" s="44"/>
      <c r="AQ110" s="40" t="s">
        <v>150</v>
      </c>
      <c r="AR110" s="40" t="s">
        <v>150</v>
      </c>
      <c r="AS110" s="40" t="s">
        <v>150</v>
      </c>
      <c r="AT110" s="40" t="s">
        <v>150</v>
      </c>
      <c r="AU110" s="40" t="s">
        <v>150</v>
      </c>
      <c r="AV110" s="40" t="s">
        <v>150</v>
      </c>
      <c r="AW110" s="24"/>
      <c r="AX110" s="40" t="s">
        <v>150</v>
      </c>
      <c r="AY110" s="40" t="s">
        <v>150</v>
      </c>
      <c r="AZ110" s="40" t="s">
        <v>150</v>
      </c>
      <c r="BA110" s="40" t="s">
        <v>150</v>
      </c>
      <c r="BB110" s="40" t="s">
        <v>150</v>
      </c>
      <c r="BC110" s="24"/>
      <c r="BD110" s="40" t="s">
        <v>150</v>
      </c>
      <c r="BE110" s="2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</row>
    <row r="111">
      <c r="A111" s="5">
        <v>108.0</v>
      </c>
      <c r="B111" s="32" t="s">
        <v>517</v>
      </c>
      <c r="C111" s="32" t="s">
        <v>518</v>
      </c>
      <c r="D111" s="5">
        <f t="shared" si="4"/>
        <v>31</v>
      </c>
      <c r="E111" s="5">
        <f t="shared" si="5"/>
        <v>1</v>
      </c>
      <c r="F111" s="3">
        <f t="shared" si="2"/>
        <v>32</v>
      </c>
      <c r="G111" s="36">
        <f t="shared" si="3"/>
        <v>96.875</v>
      </c>
      <c r="H111" s="43" t="s">
        <v>150</v>
      </c>
      <c r="I111" s="43" t="s">
        <v>150</v>
      </c>
      <c r="J111" s="43" t="s">
        <v>150</v>
      </c>
      <c r="K111" s="43" t="s">
        <v>150</v>
      </c>
      <c r="L111" s="43" t="s">
        <v>150</v>
      </c>
      <c r="M111" s="37" t="s">
        <v>150</v>
      </c>
      <c r="N111" s="44"/>
      <c r="O111" s="43" t="s">
        <v>150</v>
      </c>
      <c r="P111" s="43" t="s">
        <v>150</v>
      </c>
      <c r="Q111" s="20" t="s">
        <v>149</v>
      </c>
      <c r="R111" s="43" t="s">
        <v>150</v>
      </c>
      <c r="S111" s="43" t="s">
        <v>150</v>
      </c>
      <c r="T111" s="37" t="s">
        <v>150</v>
      </c>
      <c r="U111" s="44"/>
      <c r="V111" s="43" t="s">
        <v>150</v>
      </c>
      <c r="W111" s="43" t="s">
        <v>150</v>
      </c>
      <c r="X111" s="40" t="s">
        <v>150</v>
      </c>
      <c r="Y111" s="40" t="s">
        <v>150</v>
      </c>
      <c r="Z111" s="40" t="s">
        <v>150</v>
      </c>
      <c r="AA111" s="39" t="s">
        <v>150</v>
      </c>
      <c r="AB111" s="44"/>
      <c r="AC111" s="40" t="s">
        <v>150</v>
      </c>
      <c r="AD111" s="40" t="s">
        <v>150</v>
      </c>
      <c r="AE111" s="40" t="s">
        <v>150</v>
      </c>
      <c r="AF111" s="40" t="s">
        <v>150</v>
      </c>
      <c r="AG111" s="40" t="s">
        <v>150</v>
      </c>
      <c r="AH111" s="39" t="s">
        <v>150</v>
      </c>
      <c r="AI111" s="44"/>
      <c r="AJ111" s="40" t="s">
        <v>150</v>
      </c>
      <c r="AK111" s="40" t="s">
        <v>150</v>
      </c>
      <c r="AL111" s="40" t="s">
        <v>150</v>
      </c>
      <c r="AM111" s="40" t="s">
        <v>150</v>
      </c>
      <c r="AN111" s="40" t="s">
        <v>150</v>
      </c>
      <c r="AO111" s="39" t="s">
        <v>150</v>
      </c>
      <c r="AP111" s="44"/>
      <c r="AQ111" s="40" t="s">
        <v>150</v>
      </c>
      <c r="AR111" s="40" t="s">
        <v>150</v>
      </c>
      <c r="AS111" s="40" t="s">
        <v>150</v>
      </c>
      <c r="AT111" s="40" t="s">
        <v>150</v>
      </c>
      <c r="AU111" s="40" t="s">
        <v>150</v>
      </c>
      <c r="AV111" s="40" t="s">
        <v>150</v>
      </c>
      <c r="AW111" s="24"/>
      <c r="AX111" s="40" t="s">
        <v>150</v>
      </c>
      <c r="AY111" s="40" t="s">
        <v>150</v>
      </c>
      <c r="AZ111" s="40" t="s">
        <v>150</v>
      </c>
      <c r="BA111" s="40" t="s">
        <v>150</v>
      </c>
      <c r="BB111" s="40" t="s">
        <v>150</v>
      </c>
      <c r="BC111" s="24"/>
      <c r="BD111" s="40" t="s">
        <v>150</v>
      </c>
      <c r="BE111" s="2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</row>
    <row r="112">
      <c r="A112" s="5">
        <v>109.0</v>
      </c>
      <c r="B112" s="32" t="s">
        <v>521</v>
      </c>
      <c r="C112" s="32" t="s">
        <v>522</v>
      </c>
      <c r="D112" s="5">
        <f t="shared" si="4"/>
        <v>30</v>
      </c>
      <c r="E112" s="5">
        <f t="shared" si="5"/>
        <v>2</v>
      </c>
      <c r="F112" s="3">
        <f t="shared" si="2"/>
        <v>32</v>
      </c>
      <c r="G112" s="36">
        <f t="shared" si="3"/>
        <v>93.75</v>
      </c>
      <c r="H112" s="43" t="s">
        <v>150</v>
      </c>
      <c r="I112" s="43" t="s">
        <v>150</v>
      </c>
      <c r="J112" s="43" t="s">
        <v>150</v>
      </c>
      <c r="K112" s="43" t="s">
        <v>150</v>
      </c>
      <c r="L112" s="43" t="s">
        <v>150</v>
      </c>
      <c r="M112" s="21" t="s">
        <v>149</v>
      </c>
      <c r="N112" s="44"/>
      <c r="O112" s="43" t="s">
        <v>150</v>
      </c>
      <c r="P112" s="43" t="s">
        <v>150</v>
      </c>
      <c r="Q112" s="43" t="s">
        <v>150</v>
      </c>
      <c r="R112" s="43" t="s">
        <v>150</v>
      </c>
      <c r="S112" s="43" t="s">
        <v>150</v>
      </c>
      <c r="T112" s="37" t="s">
        <v>150</v>
      </c>
      <c r="U112" s="44"/>
      <c r="V112" s="43" t="s">
        <v>150</v>
      </c>
      <c r="W112" s="43" t="s">
        <v>150</v>
      </c>
      <c r="X112" s="40" t="s">
        <v>182</v>
      </c>
      <c r="Y112" s="40" t="s">
        <v>182</v>
      </c>
      <c r="Z112" s="40" t="s">
        <v>150</v>
      </c>
      <c r="AA112" s="39" t="s">
        <v>150</v>
      </c>
      <c r="AB112" s="44"/>
      <c r="AC112" s="40" t="s">
        <v>150</v>
      </c>
      <c r="AD112" s="40" t="s">
        <v>150</v>
      </c>
      <c r="AE112" s="40" t="s">
        <v>150</v>
      </c>
      <c r="AF112" s="47" t="s">
        <v>149</v>
      </c>
      <c r="AG112" s="40" t="s">
        <v>150</v>
      </c>
      <c r="AH112" s="39" t="s">
        <v>150</v>
      </c>
      <c r="AI112" s="44"/>
      <c r="AJ112" s="40" t="s">
        <v>150</v>
      </c>
      <c r="AK112" s="40" t="s">
        <v>150</v>
      </c>
      <c r="AL112" s="40" t="s">
        <v>150</v>
      </c>
      <c r="AM112" s="40" t="s">
        <v>150</v>
      </c>
      <c r="AN112" s="40" t="s">
        <v>150</v>
      </c>
      <c r="AO112" s="39" t="s">
        <v>150</v>
      </c>
      <c r="AP112" s="44"/>
      <c r="AQ112" s="40" t="s">
        <v>150</v>
      </c>
      <c r="AR112" s="40" t="s">
        <v>150</v>
      </c>
      <c r="AS112" s="40" t="s">
        <v>150</v>
      </c>
      <c r="AT112" s="40" t="s">
        <v>150</v>
      </c>
      <c r="AU112" s="40" t="s">
        <v>150</v>
      </c>
      <c r="AV112" s="40" t="s">
        <v>150</v>
      </c>
      <c r="AW112" s="24"/>
      <c r="AX112" s="40" t="s">
        <v>150</v>
      </c>
      <c r="AY112" s="40" t="s">
        <v>150</v>
      </c>
      <c r="AZ112" s="40" t="s">
        <v>150</v>
      </c>
      <c r="BA112" s="40" t="s">
        <v>150</v>
      </c>
      <c r="BB112" s="40" t="s">
        <v>150</v>
      </c>
      <c r="BC112" s="24"/>
      <c r="BD112" s="40" t="s">
        <v>150</v>
      </c>
      <c r="BE112" s="2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</row>
    <row r="113">
      <c r="A113" s="5">
        <v>110.0</v>
      </c>
      <c r="B113" s="63" t="s">
        <v>525</v>
      </c>
      <c r="C113" s="63" t="s">
        <v>526</v>
      </c>
      <c r="D113" s="5">
        <f t="shared" si="4"/>
        <v>31</v>
      </c>
      <c r="E113" s="5">
        <f t="shared" si="5"/>
        <v>1</v>
      </c>
      <c r="F113" s="3">
        <f t="shared" si="2"/>
        <v>32</v>
      </c>
      <c r="G113" s="36">
        <f t="shared" si="3"/>
        <v>96.875</v>
      </c>
      <c r="H113" s="49" t="s">
        <v>150</v>
      </c>
      <c r="I113" s="49" t="s">
        <v>150</v>
      </c>
      <c r="J113" s="49" t="s">
        <v>150</v>
      </c>
      <c r="K113" s="49" t="s">
        <v>150</v>
      </c>
      <c r="L113" s="49" t="s">
        <v>150</v>
      </c>
      <c r="M113" s="50" t="s">
        <v>150</v>
      </c>
      <c r="N113" s="44"/>
      <c r="O113" s="49" t="s">
        <v>150</v>
      </c>
      <c r="P113" s="49" t="s">
        <v>150</v>
      </c>
      <c r="Q113" s="49" t="s">
        <v>150</v>
      </c>
      <c r="R113" s="49" t="s">
        <v>150</v>
      </c>
      <c r="S113" s="49" t="s">
        <v>150</v>
      </c>
      <c r="T113" s="50" t="s">
        <v>150</v>
      </c>
      <c r="U113" s="44"/>
      <c r="V113" s="20" t="s">
        <v>149</v>
      </c>
      <c r="W113" s="43" t="s">
        <v>150</v>
      </c>
      <c r="X113" s="46" t="s">
        <v>150</v>
      </c>
      <c r="Y113" s="46" t="s">
        <v>150</v>
      </c>
      <c r="Z113" s="46" t="s">
        <v>150</v>
      </c>
      <c r="AA113" s="69" t="s">
        <v>150</v>
      </c>
      <c r="AB113" s="44"/>
      <c r="AC113" s="40" t="s">
        <v>150</v>
      </c>
      <c r="AD113" s="40" t="s">
        <v>150</v>
      </c>
      <c r="AE113" s="40" t="s">
        <v>150</v>
      </c>
      <c r="AF113" s="40" t="s">
        <v>150</v>
      </c>
      <c r="AG113" s="40" t="s">
        <v>150</v>
      </c>
      <c r="AH113" s="39" t="s">
        <v>150</v>
      </c>
      <c r="AI113" s="44"/>
      <c r="AJ113" s="40" t="s">
        <v>150</v>
      </c>
      <c r="AK113" s="40" t="s">
        <v>150</v>
      </c>
      <c r="AL113" s="40" t="s">
        <v>150</v>
      </c>
      <c r="AM113" s="40" t="s">
        <v>150</v>
      </c>
      <c r="AN113" s="40" t="s">
        <v>150</v>
      </c>
      <c r="AO113" s="39" t="s">
        <v>150</v>
      </c>
      <c r="AP113" s="44"/>
      <c r="AQ113" s="40" t="s">
        <v>150</v>
      </c>
      <c r="AR113" s="40" t="s">
        <v>150</v>
      </c>
      <c r="AS113" s="40" t="s">
        <v>150</v>
      </c>
      <c r="AT113" s="40" t="s">
        <v>150</v>
      </c>
      <c r="AU113" s="40" t="s">
        <v>150</v>
      </c>
      <c r="AV113" s="40" t="s">
        <v>150</v>
      </c>
      <c r="AW113" s="24"/>
      <c r="AX113" s="40" t="s">
        <v>150</v>
      </c>
      <c r="AY113" s="40" t="s">
        <v>150</v>
      </c>
      <c r="AZ113" s="40" t="s">
        <v>150</v>
      </c>
      <c r="BA113" s="40" t="s">
        <v>150</v>
      </c>
      <c r="BB113" s="40" t="s">
        <v>150</v>
      </c>
      <c r="BC113" s="24"/>
      <c r="BD113" s="40" t="s">
        <v>150</v>
      </c>
      <c r="BE113" s="2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</row>
    <row r="114">
      <c r="A114" s="5">
        <v>111.0</v>
      </c>
      <c r="B114" s="32" t="s">
        <v>528</v>
      </c>
      <c r="C114" s="32" t="s">
        <v>529</v>
      </c>
      <c r="D114" s="5">
        <f t="shared" si="4"/>
        <v>27</v>
      </c>
      <c r="E114" s="5">
        <f t="shared" si="5"/>
        <v>5</v>
      </c>
      <c r="F114" s="3">
        <f t="shared" si="2"/>
        <v>32</v>
      </c>
      <c r="G114" s="36">
        <f t="shared" si="3"/>
        <v>84.375</v>
      </c>
      <c r="H114" s="20" t="s">
        <v>149</v>
      </c>
      <c r="I114" s="20" t="s">
        <v>149</v>
      </c>
      <c r="J114" s="20" t="s">
        <v>149</v>
      </c>
      <c r="K114" s="43" t="s">
        <v>182</v>
      </c>
      <c r="L114" s="43" t="s">
        <v>182</v>
      </c>
      <c r="M114" s="37" t="s">
        <v>182</v>
      </c>
      <c r="N114" s="44"/>
      <c r="O114" s="43" t="s">
        <v>182</v>
      </c>
      <c r="P114" s="43" t="s">
        <v>182</v>
      </c>
      <c r="Q114" s="43" t="s">
        <v>182</v>
      </c>
      <c r="R114" s="43" t="s">
        <v>182</v>
      </c>
      <c r="S114" s="43" t="s">
        <v>182</v>
      </c>
      <c r="T114" s="37" t="s">
        <v>182</v>
      </c>
      <c r="U114" s="44"/>
      <c r="V114" s="43" t="s">
        <v>182</v>
      </c>
      <c r="W114" s="43" t="s">
        <v>182</v>
      </c>
      <c r="X114" s="40" t="s">
        <v>150</v>
      </c>
      <c r="Y114" s="40" t="s">
        <v>150</v>
      </c>
      <c r="Z114" s="40" t="s">
        <v>150</v>
      </c>
      <c r="AA114" s="39" t="s">
        <v>150</v>
      </c>
      <c r="AB114" s="44"/>
      <c r="AC114" s="47" t="s">
        <v>149</v>
      </c>
      <c r="AD114" s="40" t="s">
        <v>150</v>
      </c>
      <c r="AE114" s="40" t="s">
        <v>150</v>
      </c>
      <c r="AF114" s="40" t="s">
        <v>150</v>
      </c>
      <c r="AG114" s="40" t="s">
        <v>150</v>
      </c>
      <c r="AH114" s="39" t="s">
        <v>150</v>
      </c>
      <c r="AI114" s="44"/>
      <c r="AJ114" s="40" t="s">
        <v>150</v>
      </c>
      <c r="AK114" s="47" t="s">
        <v>149</v>
      </c>
      <c r="AL114" s="40" t="s">
        <v>150</v>
      </c>
      <c r="AM114" s="40" t="s">
        <v>150</v>
      </c>
      <c r="AN114" s="40" t="s">
        <v>150</v>
      </c>
      <c r="AO114" s="39" t="s">
        <v>150</v>
      </c>
      <c r="AP114" s="44"/>
      <c r="AQ114" s="40" t="s">
        <v>150</v>
      </c>
      <c r="AR114" s="40" t="s">
        <v>150</v>
      </c>
      <c r="AS114" s="40" t="s">
        <v>150</v>
      </c>
      <c r="AT114" s="40" t="s">
        <v>150</v>
      </c>
      <c r="AU114" s="40" t="s">
        <v>150</v>
      </c>
      <c r="AV114" s="40" t="s">
        <v>150</v>
      </c>
      <c r="AW114" s="24"/>
      <c r="AX114" s="40" t="s">
        <v>150</v>
      </c>
      <c r="AY114" s="40" t="s">
        <v>150</v>
      </c>
      <c r="AZ114" s="40" t="s">
        <v>150</v>
      </c>
      <c r="BA114" s="40" t="s">
        <v>150</v>
      </c>
      <c r="BB114" s="40" t="s">
        <v>150</v>
      </c>
      <c r="BC114" s="24"/>
      <c r="BD114" s="40" t="s">
        <v>150</v>
      </c>
      <c r="BE114" s="2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</row>
    <row r="115">
      <c r="A115" s="5">
        <v>112.0</v>
      </c>
      <c r="B115" s="32" t="s">
        <v>532</v>
      </c>
      <c r="C115" s="2" t="s">
        <v>533</v>
      </c>
      <c r="D115" s="5">
        <f t="shared" si="4"/>
        <v>26</v>
      </c>
      <c r="E115" s="5">
        <f t="shared" si="5"/>
        <v>6</v>
      </c>
      <c r="F115" s="3">
        <f t="shared" si="2"/>
        <v>32</v>
      </c>
      <c r="G115" s="36">
        <f t="shared" si="3"/>
        <v>81.25</v>
      </c>
      <c r="H115" s="43" t="s">
        <v>150</v>
      </c>
      <c r="I115" s="43" t="s">
        <v>150</v>
      </c>
      <c r="J115" s="43" t="s">
        <v>150</v>
      </c>
      <c r="K115" s="43" t="s">
        <v>150</v>
      </c>
      <c r="L115" s="43" t="s">
        <v>150</v>
      </c>
      <c r="M115" s="37" t="s">
        <v>150</v>
      </c>
      <c r="N115" s="44"/>
      <c r="O115" s="43" t="s">
        <v>150</v>
      </c>
      <c r="P115" s="43" t="s">
        <v>150</v>
      </c>
      <c r="Q115" s="43" t="s">
        <v>150</v>
      </c>
      <c r="R115" s="43" t="s">
        <v>150</v>
      </c>
      <c r="S115" s="43" t="s">
        <v>150</v>
      </c>
      <c r="T115" s="37" t="s">
        <v>150</v>
      </c>
      <c r="U115" s="44"/>
      <c r="V115" s="20" t="s">
        <v>149</v>
      </c>
      <c r="W115" s="20" t="s">
        <v>149</v>
      </c>
      <c r="X115" s="40" t="s">
        <v>150</v>
      </c>
      <c r="Y115" s="40" t="s">
        <v>150</v>
      </c>
      <c r="Z115" s="47" t="s">
        <v>149</v>
      </c>
      <c r="AA115" s="48" t="s">
        <v>149</v>
      </c>
      <c r="AB115" s="44"/>
      <c r="AC115" s="40" t="s">
        <v>150</v>
      </c>
      <c r="AD115" s="40" t="s">
        <v>150</v>
      </c>
      <c r="AE115" s="40" t="s">
        <v>150</v>
      </c>
      <c r="AF115" s="40" t="s">
        <v>150</v>
      </c>
      <c r="AG115" s="40" t="s">
        <v>150</v>
      </c>
      <c r="AH115" s="39" t="s">
        <v>150</v>
      </c>
      <c r="AI115" s="44"/>
      <c r="AJ115" s="40" t="s">
        <v>150</v>
      </c>
      <c r="AK115" s="40" t="s">
        <v>150</v>
      </c>
      <c r="AL115" s="40" t="s">
        <v>150</v>
      </c>
      <c r="AM115" s="47" t="s">
        <v>149</v>
      </c>
      <c r="AN115" s="40" t="s">
        <v>150</v>
      </c>
      <c r="AO115" s="48" t="s">
        <v>149</v>
      </c>
      <c r="AP115" s="44"/>
      <c r="AQ115" s="40" t="s">
        <v>150</v>
      </c>
      <c r="AR115" s="40" t="s">
        <v>150</v>
      </c>
      <c r="AS115" s="40" t="s">
        <v>150</v>
      </c>
      <c r="AT115" s="40" t="s">
        <v>150</v>
      </c>
      <c r="AU115" s="40" t="s">
        <v>150</v>
      </c>
      <c r="AV115" s="40" t="s">
        <v>150</v>
      </c>
      <c r="AW115" s="24"/>
      <c r="AX115" s="40" t="s">
        <v>150</v>
      </c>
      <c r="AY115" s="40" t="s">
        <v>150</v>
      </c>
      <c r="AZ115" s="40" t="s">
        <v>150</v>
      </c>
      <c r="BA115" s="40" t="s">
        <v>150</v>
      </c>
      <c r="BB115" s="40" t="s">
        <v>150</v>
      </c>
      <c r="BC115" s="24"/>
      <c r="BD115" s="40" t="s">
        <v>150</v>
      </c>
      <c r="BE115" s="2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</row>
    <row r="116">
      <c r="A116" s="5">
        <v>113.0</v>
      </c>
      <c r="B116" s="32" t="s">
        <v>535</v>
      </c>
      <c r="C116" s="32" t="s">
        <v>536</v>
      </c>
      <c r="D116" s="5">
        <f t="shared" si="4"/>
        <v>25</v>
      </c>
      <c r="E116" s="5">
        <f t="shared" si="5"/>
        <v>7</v>
      </c>
      <c r="F116" s="3">
        <f t="shared" si="2"/>
        <v>32</v>
      </c>
      <c r="G116" s="36">
        <f t="shared" si="3"/>
        <v>78.125</v>
      </c>
      <c r="H116" s="20" t="s">
        <v>149</v>
      </c>
      <c r="I116" s="20" t="s">
        <v>149</v>
      </c>
      <c r="J116" s="49" t="s">
        <v>150</v>
      </c>
      <c r="K116" s="43" t="s">
        <v>150</v>
      </c>
      <c r="L116" s="43" t="s">
        <v>150</v>
      </c>
      <c r="M116" s="37" t="s">
        <v>150</v>
      </c>
      <c r="N116" s="44"/>
      <c r="O116" s="43" t="s">
        <v>150</v>
      </c>
      <c r="P116" s="43" t="s">
        <v>150</v>
      </c>
      <c r="Q116" s="43" t="s">
        <v>150</v>
      </c>
      <c r="R116" s="43" t="s">
        <v>150</v>
      </c>
      <c r="S116" s="43" t="s">
        <v>150</v>
      </c>
      <c r="T116" s="37" t="s">
        <v>150</v>
      </c>
      <c r="U116" s="85"/>
      <c r="V116" s="43" t="s">
        <v>150</v>
      </c>
      <c r="W116" s="43" t="s">
        <v>150</v>
      </c>
      <c r="X116" s="47" t="s">
        <v>149</v>
      </c>
      <c r="Y116" s="47" t="s">
        <v>149</v>
      </c>
      <c r="Z116" s="47" t="s">
        <v>149</v>
      </c>
      <c r="AA116" s="39" t="s">
        <v>150</v>
      </c>
      <c r="AB116" s="85"/>
      <c r="AC116" s="47" t="s">
        <v>149</v>
      </c>
      <c r="AD116" s="40" t="s">
        <v>150</v>
      </c>
      <c r="AE116" s="40" t="s">
        <v>150</v>
      </c>
      <c r="AF116" s="40" t="s">
        <v>150</v>
      </c>
      <c r="AG116" s="40" t="s">
        <v>150</v>
      </c>
      <c r="AH116" s="39" t="s">
        <v>150</v>
      </c>
      <c r="AI116" s="85"/>
      <c r="AJ116" s="40" t="s">
        <v>150</v>
      </c>
      <c r="AK116" s="40" t="s">
        <v>150</v>
      </c>
      <c r="AL116" s="40" t="s">
        <v>150</v>
      </c>
      <c r="AM116" s="47" t="s">
        <v>149</v>
      </c>
      <c r="AN116" s="40" t="s">
        <v>150</v>
      </c>
      <c r="AO116" s="39" t="s">
        <v>150</v>
      </c>
      <c r="AP116" s="85"/>
      <c r="AQ116" s="40" t="s">
        <v>150</v>
      </c>
      <c r="AR116" s="40" t="s">
        <v>150</v>
      </c>
      <c r="AS116" s="40" t="s">
        <v>150</v>
      </c>
      <c r="AT116" s="40" t="s">
        <v>150</v>
      </c>
      <c r="AU116" s="40" t="s">
        <v>150</v>
      </c>
      <c r="AV116" s="40" t="s">
        <v>150</v>
      </c>
      <c r="AW116" s="24"/>
      <c r="AX116" s="40" t="s">
        <v>150</v>
      </c>
      <c r="AY116" s="40" t="s">
        <v>150</v>
      </c>
      <c r="AZ116" s="40" t="s">
        <v>150</v>
      </c>
      <c r="BA116" s="40" t="s">
        <v>150</v>
      </c>
      <c r="BB116" s="40" t="s">
        <v>150</v>
      </c>
      <c r="BC116" s="24"/>
      <c r="BD116" s="40" t="s">
        <v>150</v>
      </c>
      <c r="BE116" s="2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</row>
    <row r="117">
      <c r="A117" s="5">
        <v>114.0</v>
      </c>
      <c r="B117" s="73" t="s">
        <v>538</v>
      </c>
      <c r="C117" s="73" t="s">
        <v>540</v>
      </c>
      <c r="D117" s="5">
        <f t="shared" si="4"/>
        <v>31</v>
      </c>
      <c r="E117" s="5">
        <f t="shared" si="5"/>
        <v>1</v>
      </c>
      <c r="F117" s="3">
        <f t="shared" si="2"/>
        <v>32</v>
      </c>
      <c r="G117" s="36">
        <f t="shared" si="3"/>
        <v>96.875</v>
      </c>
      <c r="H117" s="43" t="s">
        <v>150</v>
      </c>
      <c r="I117" s="43" t="s">
        <v>150</v>
      </c>
      <c r="J117" s="43" t="s">
        <v>150</v>
      </c>
      <c r="K117" s="43" t="s">
        <v>150</v>
      </c>
      <c r="L117" s="43" t="s">
        <v>150</v>
      </c>
      <c r="M117" s="37" t="s">
        <v>150</v>
      </c>
      <c r="N117" s="44"/>
      <c r="O117" s="43" t="s">
        <v>150</v>
      </c>
      <c r="P117" s="43" t="s">
        <v>150</v>
      </c>
      <c r="Q117" s="20" t="s">
        <v>149</v>
      </c>
      <c r="R117" s="43" t="s">
        <v>150</v>
      </c>
      <c r="S117" s="43" t="s">
        <v>150</v>
      </c>
      <c r="T117" s="37" t="s">
        <v>150</v>
      </c>
      <c r="U117" s="38"/>
      <c r="V117" s="43" t="s">
        <v>150</v>
      </c>
      <c r="W117" s="43" t="s">
        <v>150</v>
      </c>
      <c r="X117" s="49" t="s">
        <v>150</v>
      </c>
      <c r="Y117" s="49" t="s">
        <v>150</v>
      </c>
      <c r="Z117" s="49" t="s">
        <v>150</v>
      </c>
      <c r="AA117" s="39" t="s">
        <v>150</v>
      </c>
      <c r="AB117" s="38"/>
      <c r="AC117" s="40" t="s">
        <v>150</v>
      </c>
      <c r="AD117" s="40" t="s">
        <v>150</v>
      </c>
      <c r="AE117" s="40" t="s">
        <v>150</v>
      </c>
      <c r="AF117" s="40" t="s">
        <v>150</v>
      </c>
      <c r="AG117" s="40" t="s">
        <v>150</v>
      </c>
      <c r="AH117" s="39" t="s">
        <v>150</v>
      </c>
      <c r="AI117" s="38"/>
      <c r="AJ117" s="40" t="s">
        <v>150</v>
      </c>
      <c r="AK117" s="40" t="s">
        <v>150</v>
      </c>
      <c r="AL117" s="40" t="s">
        <v>150</v>
      </c>
      <c r="AM117" s="40" t="s">
        <v>150</v>
      </c>
      <c r="AN117" s="40" t="s">
        <v>150</v>
      </c>
      <c r="AO117" s="39" t="s">
        <v>150</v>
      </c>
      <c r="AP117" s="38"/>
      <c r="AQ117" s="40" t="s">
        <v>150</v>
      </c>
      <c r="AR117" s="40" t="s">
        <v>150</v>
      </c>
      <c r="AS117" s="40" t="s">
        <v>150</v>
      </c>
      <c r="AT117" s="40" t="s">
        <v>150</v>
      </c>
      <c r="AU117" s="40" t="s">
        <v>150</v>
      </c>
      <c r="AV117" s="40" t="s">
        <v>150</v>
      </c>
      <c r="AW117" s="24"/>
      <c r="AX117" s="40" t="s">
        <v>150</v>
      </c>
      <c r="AY117" s="40" t="s">
        <v>150</v>
      </c>
      <c r="AZ117" s="40" t="s">
        <v>150</v>
      </c>
      <c r="BA117" s="40" t="s">
        <v>150</v>
      </c>
      <c r="BB117" s="40" t="s">
        <v>150</v>
      </c>
      <c r="BC117" s="24"/>
      <c r="BD117" s="40" t="s">
        <v>150</v>
      </c>
      <c r="BE117" s="2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</row>
    <row r="118">
      <c r="A118" s="5">
        <v>115.0</v>
      </c>
      <c r="B118" s="32" t="s">
        <v>542</v>
      </c>
      <c r="C118" s="32" t="s">
        <v>543</v>
      </c>
      <c r="D118" s="5">
        <f t="shared" si="4"/>
        <v>29</v>
      </c>
      <c r="E118" s="5">
        <f t="shared" si="5"/>
        <v>3</v>
      </c>
      <c r="F118" s="3">
        <f t="shared" si="2"/>
        <v>32</v>
      </c>
      <c r="G118" s="36">
        <f t="shared" si="3"/>
        <v>90.625</v>
      </c>
      <c r="H118" s="20" t="s">
        <v>149</v>
      </c>
      <c r="I118" s="20" t="s">
        <v>149</v>
      </c>
      <c r="J118" s="20" t="s">
        <v>149</v>
      </c>
      <c r="K118" s="43" t="s">
        <v>150</v>
      </c>
      <c r="L118" s="43" t="s">
        <v>150</v>
      </c>
      <c r="M118" s="37" t="s">
        <v>150</v>
      </c>
      <c r="N118" s="44"/>
      <c r="O118" s="37" t="s">
        <v>150</v>
      </c>
      <c r="P118" s="43" t="s">
        <v>150</v>
      </c>
      <c r="Q118" s="43" t="s">
        <v>150</v>
      </c>
      <c r="R118" s="43" t="s">
        <v>150</v>
      </c>
      <c r="S118" s="43" t="s">
        <v>150</v>
      </c>
      <c r="T118" s="37" t="s">
        <v>150</v>
      </c>
      <c r="U118" s="44"/>
      <c r="V118" s="43" t="s">
        <v>150</v>
      </c>
      <c r="W118" s="43" t="s">
        <v>150</v>
      </c>
      <c r="X118" s="49" t="s">
        <v>150</v>
      </c>
      <c r="Y118" s="49" t="s">
        <v>150</v>
      </c>
      <c r="Z118" s="49" t="s">
        <v>150</v>
      </c>
      <c r="AA118" s="49" t="s">
        <v>150</v>
      </c>
      <c r="AB118" s="44"/>
      <c r="AC118" s="40" t="s">
        <v>150</v>
      </c>
      <c r="AD118" s="40" t="s">
        <v>150</v>
      </c>
      <c r="AE118" s="40" t="s">
        <v>150</v>
      </c>
      <c r="AF118" s="40" t="s">
        <v>150</v>
      </c>
      <c r="AG118" s="40" t="s">
        <v>150</v>
      </c>
      <c r="AH118" s="40" t="s">
        <v>150</v>
      </c>
      <c r="AI118" s="44"/>
      <c r="AJ118" s="40" t="s">
        <v>150</v>
      </c>
      <c r="AK118" s="40" t="s">
        <v>150</v>
      </c>
      <c r="AL118" s="40" t="s">
        <v>150</v>
      </c>
      <c r="AM118" s="40" t="s">
        <v>150</v>
      </c>
      <c r="AN118" s="40" t="s">
        <v>150</v>
      </c>
      <c r="AO118" s="40" t="s">
        <v>150</v>
      </c>
      <c r="AP118" s="44"/>
      <c r="AQ118" s="40" t="s">
        <v>150</v>
      </c>
      <c r="AR118" s="40" t="s">
        <v>150</v>
      </c>
      <c r="AS118" s="40" t="s">
        <v>150</v>
      </c>
      <c r="AT118" s="40" t="s">
        <v>150</v>
      </c>
      <c r="AU118" s="40" t="s">
        <v>150</v>
      </c>
      <c r="AV118" s="40" t="s">
        <v>150</v>
      </c>
      <c r="AW118" s="24"/>
      <c r="AX118" s="40" t="s">
        <v>150</v>
      </c>
      <c r="AY118" s="40" t="s">
        <v>150</v>
      </c>
      <c r="AZ118" s="40" t="s">
        <v>150</v>
      </c>
      <c r="BA118" s="40" t="s">
        <v>150</v>
      </c>
      <c r="BB118" s="40" t="s">
        <v>150</v>
      </c>
      <c r="BC118" s="24"/>
      <c r="BD118" s="40" t="s">
        <v>150</v>
      </c>
      <c r="BE118" s="2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</row>
    <row r="119">
      <c r="A119" s="5">
        <v>116.0</v>
      </c>
      <c r="B119" s="32" t="s">
        <v>544</v>
      </c>
      <c r="C119" s="32" t="s">
        <v>545</v>
      </c>
      <c r="D119" s="5">
        <f t="shared" si="4"/>
        <v>29</v>
      </c>
      <c r="E119" s="5">
        <f t="shared" si="5"/>
        <v>3</v>
      </c>
      <c r="F119" s="3">
        <f t="shared" si="2"/>
        <v>32</v>
      </c>
      <c r="G119" s="36">
        <f t="shared" si="3"/>
        <v>90.625</v>
      </c>
      <c r="H119" s="43" t="s">
        <v>150</v>
      </c>
      <c r="I119" s="43" t="s">
        <v>150</v>
      </c>
      <c r="J119" s="43" t="s">
        <v>150</v>
      </c>
      <c r="K119" s="43" t="s">
        <v>150</v>
      </c>
      <c r="L119" s="43" t="s">
        <v>150</v>
      </c>
      <c r="M119" s="37" t="s">
        <v>150</v>
      </c>
      <c r="N119" s="44"/>
      <c r="O119" s="43" t="s">
        <v>150</v>
      </c>
      <c r="P119" s="43" t="s">
        <v>150</v>
      </c>
      <c r="Q119" s="43" t="s">
        <v>150</v>
      </c>
      <c r="R119" s="43" t="s">
        <v>150</v>
      </c>
      <c r="S119" s="43" t="s">
        <v>150</v>
      </c>
      <c r="T119" s="37" t="s">
        <v>150</v>
      </c>
      <c r="U119" s="44"/>
      <c r="V119" s="43" t="s">
        <v>150</v>
      </c>
      <c r="W119" s="43" t="s">
        <v>150</v>
      </c>
      <c r="X119" s="49" t="s">
        <v>150</v>
      </c>
      <c r="Y119" s="49" t="s">
        <v>150</v>
      </c>
      <c r="Z119" s="49" t="s">
        <v>150</v>
      </c>
      <c r="AA119" s="51" t="s">
        <v>149</v>
      </c>
      <c r="AB119" s="44"/>
      <c r="AC119" s="40" t="s">
        <v>150</v>
      </c>
      <c r="AD119" s="40" t="s">
        <v>150</v>
      </c>
      <c r="AE119" s="40" t="s">
        <v>150</v>
      </c>
      <c r="AF119" s="40" t="s">
        <v>150</v>
      </c>
      <c r="AG119" s="40" t="s">
        <v>150</v>
      </c>
      <c r="AH119" s="47" t="s">
        <v>149</v>
      </c>
      <c r="AI119" s="44"/>
      <c r="AJ119" s="40" t="s">
        <v>150</v>
      </c>
      <c r="AK119" s="40" t="s">
        <v>150</v>
      </c>
      <c r="AL119" s="40" t="s">
        <v>150</v>
      </c>
      <c r="AM119" s="47" t="s">
        <v>149</v>
      </c>
      <c r="AN119" s="40" t="s">
        <v>150</v>
      </c>
      <c r="AO119" s="40" t="s">
        <v>150</v>
      </c>
      <c r="AP119" s="44"/>
      <c r="AQ119" s="40" t="s">
        <v>150</v>
      </c>
      <c r="AR119" s="40" t="s">
        <v>150</v>
      </c>
      <c r="AS119" s="47" t="s">
        <v>149</v>
      </c>
      <c r="AT119" s="40" t="s">
        <v>150</v>
      </c>
      <c r="AU119" s="40" t="s">
        <v>150</v>
      </c>
      <c r="AV119" s="40" t="s">
        <v>150</v>
      </c>
      <c r="AW119" s="24"/>
      <c r="AX119" s="40" t="s">
        <v>150</v>
      </c>
      <c r="AY119" s="40" t="s">
        <v>150</v>
      </c>
      <c r="AZ119" s="40" t="s">
        <v>150</v>
      </c>
      <c r="BA119" s="40" t="s">
        <v>150</v>
      </c>
      <c r="BB119" s="40" t="s">
        <v>150</v>
      </c>
      <c r="BC119" s="24"/>
      <c r="BD119" s="40" t="s">
        <v>150</v>
      </c>
      <c r="BE119" s="2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</row>
    <row r="120">
      <c r="A120" s="5">
        <v>117.0</v>
      </c>
      <c r="B120" s="32" t="s">
        <v>547</v>
      </c>
      <c r="C120" s="32" t="s">
        <v>548</v>
      </c>
      <c r="D120" s="5">
        <f t="shared" si="4"/>
        <v>29</v>
      </c>
      <c r="E120" s="5">
        <f t="shared" si="5"/>
        <v>3</v>
      </c>
      <c r="F120" s="3">
        <f t="shared" si="2"/>
        <v>32</v>
      </c>
      <c r="G120" s="36">
        <f t="shared" si="3"/>
        <v>90.625</v>
      </c>
      <c r="H120" s="43" t="s">
        <v>150</v>
      </c>
      <c r="I120" s="43" t="s">
        <v>150</v>
      </c>
      <c r="J120" s="43" t="s">
        <v>150</v>
      </c>
      <c r="K120" s="43" t="s">
        <v>150</v>
      </c>
      <c r="L120" s="43" t="s">
        <v>150</v>
      </c>
      <c r="M120" s="37" t="s">
        <v>150</v>
      </c>
      <c r="N120" s="44"/>
      <c r="O120" s="43" t="s">
        <v>150</v>
      </c>
      <c r="P120" s="43" t="s">
        <v>150</v>
      </c>
      <c r="Q120" s="43" t="s">
        <v>150</v>
      </c>
      <c r="R120" s="43" t="s">
        <v>150</v>
      </c>
      <c r="S120" s="43" t="s">
        <v>150</v>
      </c>
      <c r="T120" s="37" t="s">
        <v>150</v>
      </c>
      <c r="U120" s="44"/>
      <c r="V120" s="43" t="s">
        <v>150</v>
      </c>
      <c r="W120" s="43" t="s">
        <v>150</v>
      </c>
      <c r="X120" s="49" t="s">
        <v>150</v>
      </c>
      <c r="Y120" s="49" t="s">
        <v>150</v>
      </c>
      <c r="Z120" s="49" t="s">
        <v>150</v>
      </c>
      <c r="AA120" s="49" t="s">
        <v>150</v>
      </c>
      <c r="AB120" s="44"/>
      <c r="AC120" s="40" t="s">
        <v>150</v>
      </c>
      <c r="AD120" s="40" t="s">
        <v>150</v>
      </c>
      <c r="AE120" s="47" t="s">
        <v>149</v>
      </c>
      <c r="AF120" s="40" t="s">
        <v>150</v>
      </c>
      <c r="AG120" s="40" t="s">
        <v>150</v>
      </c>
      <c r="AH120" s="47" t="s">
        <v>149</v>
      </c>
      <c r="AI120" s="44"/>
      <c r="AJ120" s="40" t="s">
        <v>150</v>
      </c>
      <c r="AK120" s="40" t="s">
        <v>150</v>
      </c>
      <c r="AL120" s="40" t="s">
        <v>150</v>
      </c>
      <c r="AM120" s="40" t="s">
        <v>150</v>
      </c>
      <c r="AN120" s="47" t="s">
        <v>149</v>
      </c>
      <c r="AO120" s="40" t="s">
        <v>150</v>
      </c>
      <c r="AP120" s="44"/>
      <c r="AQ120" s="40" t="s">
        <v>150</v>
      </c>
      <c r="AR120" s="40" t="s">
        <v>150</v>
      </c>
      <c r="AS120" s="40" t="s">
        <v>150</v>
      </c>
      <c r="AT120" s="40" t="s">
        <v>150</v>
      </c>
      <c r="AU120" s="40" t="s">
        <v>150</v>
      </c>
      <c r="AV120" s="40" t="s">
        <v>150</v>
      </c>
      <c r="AW120" s="24"/>
      <c r="AX120" s="40" t="s">
        <v>150</v>
      </c>
      <c r="AY120" s="40" t="s">
        <v>150</v>
      </c>
      <c r="AZ120" s="40" t="s">
        <v>150</v>
      </c>
      <c r="BA120" s="40" t="s">
        <v>150</v>
      </c>
      <c r="BB120" s="40" t="s">
        <v>150</v>
      </c>
      <c r="BC120" s="24"/>
      <c r="BD120" s="40" t="s">
        <v>150</v>
      </c>
      <c r="BE120" s="2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</row>
    <row r="121">
      <c r="A121" s="5">
        <v>118.0</v>
      </c>
      <c r="B121" s="73" t="s">
        <v>550</v>
      </c>
      <c r="C121" s="73" t="s">
        <v>551</v>
      </c>
      <c r="D121" s="5">
        <f t="shared" si="4"/>
        <v>30</v>
      </c>
      <c r="E121" s="5">
        <f t="shared" si="5"/>
        <v>2</v>
      </c>
      <c r="F121" s="3">
        <f t="shared" si="2"/>
        <v>32</v>
      </c>
      <c r="G121" s="36">
        <f t="shared" si="3"/>
        <v>93.75</v>
      </c>
      <c r="H121" s="43" t="s">
        <v>150</v>
      </c>
      <c r="I121" s="43" t="s">
        <v>150</v>
      </c>
      <c r="J121" s="43" t="s">
        <v>150</v>
      </c>
      <c r="K121" s="43" t="s">
        <v>150</v>
      </c>
      <c r="L121" s="43" t="s">
        <v>150</v>
      </c>
      <c r="M121" s="37" t="s">
        <v>150</v>
      </c>
      <c r="N121" s="44"/>
      <c r="O121" s="43" t="s">
        <v>150</v>
      </c>
      <c r="P121" s="43" t="s">
        <v>150</v>
      </c>
      <c r="Q121" s="43" t="s">
        <v>150</v>
      </c>
      <c r="R121" s="43" t="s">
        <v>150</v>
      </c>
      <c r="S121" s="43" t="s">
        <v>150</v>
      </c>
      <c r="T121" s="37" t="s">
        <v>150</v>
      </c>
      <c r="U121" s="44"/>
      <c r="V121" s="20" t="s">
        <v>149</v>
      </c>
      <c r="W121" s="43" t="s">
        <v>150</v>
      </c>
      <c r="X121" s="40" t="s">
        <v>150</v>
      </c>
      <c r="Y121" s="40" t="s">
        <v>150</v>
      </c>
      <c r="Z121" s="40" t="s">
        <v>150</v>
      </c>
      <c r="AA121" s="40" t="s">
        <v>150</v>
      </c>
      <c r="AB121" s="44"/>
      <c r="AC121" s="40" t="s">
        <v>150</v>
      </c>
      <c r="AD121" s="40" t="s">
        <v>150</v>
      </c>
      <c r="AE121" s="40" t="s">
        <v>150</v>
      </c>
      <c r="AF121" s="40" t="s">
        <v>150</v>
      </c>
      <c r="AG121" s="40" t="s">
        <v>150</v>
      </c>
      <c r="AH121" s="40" t="s">
        <v>150</v>
      </c>
      <c r="AI121" s="44"/>
      <c r="AJ121" s="40" t="s">
        <v>150</v>
      </c>
      <c r="AK121" s="40" t="s">
        <v>150</v>
      </c>
      <c r="AL121" s="40" t="s">
        <v>150</v>
      </c>
      <c r="AM121" s="40" t="s">
        <v>150</v>
      </c>
      <c r="AN121" s="47" t="s">
        <v>149</v>
      </c>
      <c r="AO121" s="40" t="s">
        <v>150</v>
      </c>
      <c r="AP121" s="44"/>
      <c r="AQ121" s="40" t="s">
        <v>150</v>
      </c>
      <c r="AR121" s="40" t="s">
        <v>150</v>
      </c>
      <c r="AS121" s="40" t="s">
        <v>150</v>
      </c>
      <c r="AT121" s="40" t="s">
        <v>150</v>
      </c>
      <c r="AU121" s="40" t="s">
        <v>150</v>
      </c>
      <c r="AV121" s="40" t="s">
        <v>150</v>
      </c>
      <c r="AW121" s="24"/>
      <c r="AX121" s="40" t="s">
        <v>150</v>
      </c>
      <c r="AY121" s="40" t="s">
        <v>150</v>
      </c>
      <c r="AZ121" s="40" t="s">
        <v>150</v>
      </c>
      <c r="BA121" s="40" t="s">
        <v>150</v>
      </c>
      <c r="BB121" s="40" t="s">
        <v>150</v>
      </c>
      <c r="BC121" s="24"/>
      <c r="BD121" s="40" t="s">
        <v>150</v>
      </c>
      <c r="BE121" s="2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</row>
    <row r="122">
      <c r="A122" s="5">
        <v>119.0</v>
      </c>
      <c r="B122" s="73" t="s">
        <v>553</v>
      </c>
      <c r="C122" s="73" t="s">
        <v>554</v>
      </c>
      <c r="D122" s="5">
        <f t="shared" si="4"/>
        <v>31</v>
      </c>
      <c r="E122" s="5">
        <f t="shared" si="5"/>
        <v>1</v>
      </c>
      <c r="F122" s="3">
        <f t="shared" si="2"/>
        <v>32</v>
      </c>
      <c r="G122" s="36">
        <f t="shared" si="3"/>
        <v>96.875</v>
      </c>
      <c r="H122" s="43" t="s">
        <v>150</v>
      </c>
      <c r="I122" s="43" t="s">
        <v>150</v>
      </c>
      <c r="J122" s="43" t="s">
        <v>150</v>
      </c>
      <c r="K122" s="43" t="s">
        <v>150</v>
      </c>
      <c r="L122" s="43" t="s">
        <v>150</v>
      </c>
      <c r="M122" s="37" t="s">
        <v>150</v>
      </c>
      <c r="N122" s="44"/>
      <c r="O122" s="37" t="s">
        <v>150</v>
      </c>
      <c r="P122" s="43" t="s">
        <v>150</v>
      </c>
      <c r="Q122" s="43" t="s">
        <v>150</v>
      </c>
      <c r="R122" s="43" t="s">
        <v>150</v>
      </c>
      <c r="S122" s="43" t="s">
        <v>150</v>
      </c>
      <c r="T122" s="37" t="s">
        <v>150</v>
      </c>
      <c r="U122" s="44"/>
      <c r="V122" s="43" t="s">
        <v>150</v>
      </c>
      <c r="W122" s="43" t="s">
        <v>150</v>
      </c>
      <c r="X122" s="49" t="s">
        <v>150</v>
      </c>
      <c r="Y122" s="49" t="s">
        <v>150</v>
      </c>
      <c r="Z122" s="49" t="s">
        <v>150</v>
      </c>
      <c r="AA122" s="40" t="s">
        <v>150</v>
      </c>
      <c r="AB122" s="44"/>
      <c r="AC122" s="40" t="s">
        <v>150</v>
      </c>
      <c r="AD122" s="40" t="s">
        <v>150</v>
      </c>
      <c r="AE122" s="40" t="s">
        <v>150</v>
      </c>
      <c r="AF122" s="40" t="s">
        <v>150</v>
      </c>
      <c r="AG122" s="40" t="s">
        <v>150</v>
      </c>
      <c r="AH122" s="40" t="s">
        <v>150</v>
      </c>
      <c r="AI122" s="44"/>
      <c r="AJ122" s="40" t="s">
        <v>150</v>
      </c>
      <c r="AK122" s="40" t="s">
        <v>150</v>
      </c>
      <c r="AL122" s="40" t="s">
        <v>150</v>
      </c>
      <c r="AM122" s="40" t="s">
        <v>150</v>
      </c>
      <c r="AN122" s="40" t="s">
        <v>150</v>
      </c>
      <c r="AO122" s="47" t="s">
        <v>149</v>
      </c>
      <c r="AP122" s="44"/>
      <c r="AQ122" s="40" t="s">
        <v>150</v>
      </c>
      <c r="AR122" s="40" t="s">
        <v>150</v>
      </c>
      <c r="AS122" s="40" t="s">
        <v>150</v>
      </c>
      <c r="AT122" s="40" t="s">
        <v>150</v>
      </c>
      <c r="AU122" s="40" t="s">
        <v>150</v>
      </c>
      <c r="AV122" s="40" t="s">
        <v>150</v>
      </c>
      <c r="AW122" s="24"/>
      <c r="AX122" s="40" t="s">
        <v>150</v>
      </c>
      <c r="AY122" s="40" t="s">
        <v>150</v>
      </c>
      <c r="AZ122" s="40" t="s">
        <v>150</v>
      </c>
      <c r="BA122" s="40" t="s">
        <v>150</v>
      </c>
      <c r="BB122" s="40" t="s">
        <v>150</v>
      </c>
      <c r="BC122" s="24"/>
      <c r="BD122" s="40" t="s">
        <v>150</v>
      </c>
      <c r="BE122" s="2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</row>
    <row r="123">
      <c r="A123" s="5">
        <v>120.0</v>
      </c>
      <c r="B123" s="32" t="s">
        <v>557</v>
      </c>
      <c r="C123" s="32" t="s">
        <v>558</v>
      </c>
      <c r="D123" s="5">
        <f t="shared" si="4"/>
        <v>16</v>
      </c>
      <c r="E123" s="5">
        <f t="shared" si="5"/>
        <v>16</v>
      </c>
      <c r="F123" s="3">
        <f t="shared" si="2"/>
        <v>32</v>
      </c>
      <c r="G123" s="36">
        <f t="shared" si="3"/>
        <v>50</v>
      </c>
      <c r="H123" s="43" t="s">
        <v>150</v>
      </c>
      <c r="I123" s="43" t="s">
        <v>150</v>
      </c>
      <c r="J123" s="43" t="s">
        <v>150</v>
      </c>
      <c r="K123" s="43" t="s">
        <v>150</v>
      </c>
      <c r="L123" s="43" t="s">
        <v>150</v>
      </c>
      <c r="M123" s="37" t="s">
        <v>150</v>
      </c>
      <c r="N123" s="44"/>
      <c r="O123" s="43" t="s">
        <v>150</v>
      </c>
      <c r="P123" s="43" t="s">
        <v>150</v>
      </c>
      <c r="Q123" s="43" t="s">
        <v>150</v>
      </c>
      <c r="R123" s="43" t="s">
        <v>150</v>
      </c>
      <c r="S123" s="43" t="s">
        <v>150</v>
      </c>
      <c r="T123" s="37" t="s">
        <v>150</v>
      </c>
      <c r="U123" s="44"/>
      <c r="V123" s="43" t="s">
        <v>150</v>
      </c>
      <c r="W123" s="43" t="s">
        <v>150</v>
      </c>
      <c r="X123" s="49" t="s">
        <v>150</v>
      </c>
      <c r="Y123" s="49" t="s">
        <v>150</v>
      </c>
      <c r="Z123" s="51" t="s">
        <v>149</v>
      </c>
      <c r="AA123" s="51" t="s">
        <v>149</v>
      </c>
      <c r="AB123" s="44"/>
      <c r="AC123" s="47" t="s">
        <v>149</v>
      </c>
      <c r="AD123" s="47" t="s">
        <v>149</v>
      </c>
      <c r="AE123" s="47" t="s">
        <v>149</v>
      </c>
      <c r="AF123" s="47" t="s">
        <v>149</v>
      </c>
      <c r="AG123" s="47" t="s">
        <v>149</v>
      </c>
      <c r="AH123" s="47" t="s">
        <v>149</v>
      </c>
      <c r="AI123" s="44"/>
      <c r="AJ123" s="47" t="s">
        <v>149</v>
      </c>
      <c r="AK123" s="47" t="s">
        <v>149</v>
      </c>
      <c r="AL123" s="47" t="s">
        <v>149</v>
      </c>
      <c r="AM123" s="47" t="s">
        <v>149</v>
      </c>
      <c r="AN123" s="47" t="s">
        <v>149</v>
      </c>
      <c r="AO123" s="47" t="s">
        <v>149</v>
      </c>
      <c r="AP123" s="44"/>
      <c r="AQ123" s="47" t="s">
        <v>149</v>
      </c>
      <c r="AR123" s="47" t="s">
        <v>149</v>
      </c>
      <c r="AS123" s="47" t="s">
        <v>149</v>
      </c>
      <c r="AT123" s="47" t="s">
        <v>149</v>
      </c>
      <c r="AU123" s="47" t="s">
        <v>149</v>
      </c>
      <c r="AV123" s="47" t="s">
        <v>149</v>
      </c>
      <c r="AW123" s="24"/>
      <c r="AX123" s="47" t="s">
        <v>149</v>
      </c>
      <c r="AY123" s="47" t="s">
        <v>149</v>
      </c>
      <c r="AZ123" s="47" t="s">
        <v>149</v>
      </c>
      <c r="BA123" s="47" t="s">
        <v>149</v>
      </c>
      <c r="BB123" s="47" t="s">
        <v>149</v>
      </c>
      <c r="BC123" s="24"/>
      <c r="BD123" s="47" t="s">
        <v>149</v>
      </c>
      <c r="BE123" s="2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</row>
    <row r="124">
      <c r="A124" s="5">
        <v>121.0</v>
      </c>
      <c r="B124" s="35" t="s">
        <v>560</v>
      </c>
      <c r="C124" s="35" t="s">
        <v>561</v>
      </c>
      <c r="D124" s="5">
        <f t="shared" si="4"/>
        <v>29</v>
      </c>
      <c r="E124" s="5">
        <f t="shared" si="5"/>
        <v>3</v>
      </c>
      <c r="F124" s="3">
        <f t="shared" si="2"/>
        <v>32</v>
      </c>
      <c r="G124" s="36">
        <f t="shared" si="3"/>
        <v>90.625</v>
      </c>
      <c r="H124" s="43" t="s">
        <v>150</v>
      </c>
      <c r="I124" s="43" t="s">
        <v>150</v>
      </c>
      <c r="J124" s="43" t="s">
        <v>150</v>
      </c>
      <c r="K124" s="43" t="s">
        <v>150</v>
      </c>
      <c r="L124" s="43" t="s">
        <v>150</v>
      </c>
      <c r="M124" s="37" t="s">
        <v>150</v>
      </c>
      <c r="N124" s="44"/>
      <c r="O124" s="43" t="s">
        <v>150</v>
      </c>
      <c r="P124" s="43" t="s">
        <v>150</v>
      </c>
      <c r="Q124" s="43" t="s">
        <v>150</v>
      </c>
      <c r="R124" s="43" t="s">
        <v>150</v>
      </c>
      <c r="S124" s="43" t="s">
        <v>150</v>
      </c>
      <c r="T124" s="37" t="s">
        <v>150</v>
      </c>
      <c r="U124" s="44"/>
      <c r="V124" s="20" t="s">
        <v>149</v>
      </c>
      <c r="W124" s="43" t="s">
        <v>150</v>
      </c>
      <c r="X124" s="49" t="s">
        <v>150</v>
      </c>
      <c r="Y124" s="49" t="s">
        <v>150</v>
      </c>
      <c r="Z124" s="49" t="s">
        <v>150</v>
      </c>
      <c r="AA124" s="49" t="s">
        <v>150</v>
      </c>
      <c r="AB124" s="44"/>
      <c r="AC124" s="40" t="s">
        <v>150</v>
      </c>
      <c r="AD124" s="40" t="s">
        <v>150</v>
      </c>
      <c r="AE124" s="40" t="s">
        <v>150</v>
      </c>
      <c r="AF124" s="40" t="s">
        <v>150</v>
      </c>
      <c r="AG124" s="40" t="s">
        <v>150</v>
      </c>
      <c r="AH124" s="40" t="s">
        <v>150</v>
      </c>
      <c r="AI124" s="44"/>
      <c r="AJ124" s="40" t="s">
        <v>150</v>
      </c>
      <c r="AK124" s="40" t="s">
        <v>150</v>
      </c>
      <c r="AL124" s="47" t="s">
        <v>149</v>
      </c>
      <c r="AM124" s="40" t="s">
        <v>150</v>
      </c>
      <c r="AN124" s="40" t="s">
        <v>150</v>
      </c>
      <c r="AO124" s="40" t="s">
        <v>150</v>
      </c>
      <c r="AP124" s="44"/>
      <c r="AQ124" s="47" t="s">
        <v>149</v>
      </c>
      <c r="AR124" s="40" t="s">
        <v>150</v>
      </c>
      <c r="AS124" s="40" t="s">
        <v>150</v>
      </c>
      <c r="AT124" s="40" t="s">
        <v>150</v>
      </c>
      <c r="AU124" s="40" t="s">
        <v>150</v>
      </c>
      <c r="AV124" s="40" t="s">
        <v>150</v>
      </c>
      <c r="AW124" s="24"/>
      <c r="AX124" s="40" t="s">
        <v>150</v>
      </c>
      <c r="AY124" s="40" t="s">
        <v>150</v>
      </c>
      <c r="AZ124" s="40" t="s">
        <v>150</v>
      </c>
      <c r="BA124" s="40" t="s">
        <v>150</v>
      </c>
      <c r="BB124" s="40" t="s">
        <v>150</v>
      </c>
      <c r="BC124" s="24"/>
      <c r="BD124" s="40" t="s">
        <v>150</v>
      </c>
      <c r="BE124" s="2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</row>
    <row r="125">
      <c r="A125" s="5">
        <v>122.0</v>
      </c>
      <c r="B125" s="75" t="s">
        <v>564</v>
      </c>
      <c r="C125" s="86" t="s">
        <v>565</v>
      </c>
      <c r="D125" s="5">
        <f t="shared" si="4"/>
        <v>31</v>
      </c>
      <c r="E125" s="5">
        <f t="shared" si="5"/>
        <v>1</v>
      </c>
      <c r="F125" s="3">
        <f t="shared" si="2"/>
        <v>32</v>
      </c>
      <c r="G125" s="36">
        <f t="shared" si="3"/>
        <v>96.875</v>
      </c>
      <c r="H125" s="43" t="s">
        <v>150</v>
      </c>
      <c r="I125" s="43" t="s">
        <v>150</v>
      </c>
      <c r="J125" s="43" t="s">
        <v>150</v>
      </c>
      <c r="K125" s="43" t="s">
        <v>150</v>
      </c>
      <c r="L125" s="43" t="s">
        <v>150</v>
      </c>
      <c r="M125" s="37" t="s">
        <v>150</v>
      </c>
      <c r="N125" s="44"/>
      <c r="O125" s="43" t="s">
        <v>150</v>
      </c>
      <c r="P125" s="43" t="s">
        <v>150</v>
      </c>
      <c r="Q125" s="43" t="s">
        <v>150</v>
      </c>
      <c r="R125" s="43" t="s">
        <v>150</v>
      </c>
      <c r="S125" s="43" t="s">
        <v>150</v>
      </c>
      <c r="T125" s="37" t="s">
        <v>150</v>
      </c>
      <c r="U125" s="44"/>
      <c r="V125" s="43" t="s">
        <v>150</v>
      </c>
      <c r="W125" s="43" t="s">
        <v>150</v>
      </c>
      <c r="X125" s="49" t="s">
        <v>150</v>
      </c>
      <c r="Y125" s="49" t="s">
        <v>150</v>
      </c>
      <c r="Z125" s="49" t="s">
        <v>150</v>
      </c>
      <c r="AA125" s="49" t="s">
        <v>150</v>
      </c>
      <c r="AB125" s="44"/>
      <c r="AC125" s="40" t="s">
        <v>150</v>
      </c>
      <c r="AD125" s="40" t="s">
        <v>150</v>
      </c>
      <c r="AE125" s="40" t="s">
        <v>150</v>
      </c>
      <c r="AF125" s="40" t="s">
        <v>150</v>
      </c>
      <c r="AG125" s="40" t="s">
        <v>150</v>
      </c>
      <c r="AH125" s="40" t="s">
        <v>150</v>
      </c>
      <c r="AI125" s="44"/>
      <c r="AJ125" s="40" t="s">
        <v>150</v>
      </c>
      <c r="AK125" s="40" t="s">
        <v>150</v>
      </c>
      <c r="AL125" s="40" t="s">
        <v>150</v>
      </c>
      <c r="AM125" s="40" t="s">
        <v>150</v>
      </c>
      <c r="AN125" s="40" t="s">
        <v>150</v>
      </c>
      <c r="AO125" s="40" t="s">
        <v>150</v>
      </c>
      <c r="AP125" s="44"/>
      <c r="AQ125" s="47" t="s">
        <v>149</v>
      </c>
      <c r="AR125" s="40" t="s">
        <v>150</v>
      </c>
      <c r="AS125" s="40" t="s">
        <v>150</v>
      </c>
      <c r="AT125" s="40" t="s">
        <v>150</v>
      </c>
      <c r="AU125" s="40" t="s">
        <v>150</v>
      </c>
      <c r="AV125" s="40" t="s">
        <v>150</v>
      </c>
      <c r="AW125" s="24"/>
      <c r="AX125" s="40" t="s">
        <v>150</v>
      </c>
      <c r="AY125" s="40" t="s">
        <v>150</v>
      </c>
      <c r="AZ125" s="40" t="s">
        <v>150</v>
      </c>
      <c r="BA125" s="40" t="s">
        <v>150</v>
      </c>
      <c r="BB125" s="40" t="s">
        <v>150</v>
      </c>
      <c r="BC125" s="24"/>
      <c r="BD125" s="40" t="s">
        <v>150</v>
      </c>
      <c r="BE125" s="2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</row>
    <row r="126">
      <c r="A126" s="5">
        <v>123.0</v>
      </c>
      <c r="B126" s="76" t="s">
        <v>567</v>
      </c>
      <c r="C126" s="87" t="s">
        <v>568</v>
      </c>
      <c r="D126" s="5">
        <f t="shared" si="4"/>
        <v>25</v>
      </c>
      <c r="E126" s="5">
        <f t="shared" si="5"/>
        <v>7</v>
      </c>
      <c r="F126" s="3">
        <f t="shared" si="2"/>
        <v>32</v>
      </c>
      <c r="G126" s="36">
        <f t="shared" si="3"/>
        <v>78.125</v>
      </c>
      <c r="H126" s="43" t="s">
        <v>150</v>
      </c>
      <c r="I126" s="43" t="s">
        <v>150</v>
      </c>
      <c r="J126" s="43" t="s">
        <v>150</v>
      </c>
      <c r="K126" s="43" t="s">
        <v>150</v>
      </c>
      <c r="L126" s="43" t="s">
        <v>150</v>
      </c>
      <c r="M126" s="37" t="s">
        <v>150</v>
      </c>
      <c r="N126" s="44"/>
      <c r="O126" s="43" t="s">
        <v>150</v>
      </c>
      <c r="P126" s="43" t="s">
        <v>150</v>
      </c>
      <c r="Q126" s="43" t="s">
        <v>150</v>
      </c>
      <c r="R126" s="43" t="s">
        <v>150</v>
      </c>
      <c r="S126" s="43" t="s">
        <v>150</v>
      </c>
      <c r="T126" s="37" t="s">
        <v>150</v>
      </c>
      <c r="U126" s="44"/>
      <c r="V126" s="43" t="s">
        <v>150</v>
      </c>
      <c r="W126" s="43" t="s">
        <v>150</v>
      </c>
      <c r="X126" s="49" t="s">
        <v>150</v>
      </c>
      <c r="Y126" s="49" t="s">
        <v>150</v>
      </c>
      <c r="Z126" s="49" t="s">
        <v>150</v>
      </c>
      <c r="AA126" s="49" t="s">
        <v>150</v>
      </c>
      <c r="AB126" s="44"/>
      <c r="AC126" s="40" t="s">
        <v>150</v>
      </c>
      <c r="AD126" s="40" t="s">
        <v>150</v>
      </c>
      <c r="AE126" s="47" t="s">
        <v>149</v>
      </c>
      <c r="AF126" s="47" t="s">
        <v>149</v>
      </c>
      <c r="AG126" s="40" t="s">
        <v>150</v>
      </c>
      <c r="AH126" s="47" t="s">
        <v>149</v>
      </c>
      <c r="AI126" s="44"/>
      <c r="AJ126" s="40" t="s">
        <v>150</v>
      </c>
      <c r="AK126" s="40" t="s">
        <v>150</v>
      </c>
      <c r="AL126" s="40" t="s">
        <v>150</v>
      </c>
      <c r="AM126" s="40" t="s">
        <v>150</v>
      </c>
      <c r="AN126" s="47" t="s">
        <v>149</v>
      </c>
      <c r="AO126" s="47" t="s">
        <v>149</v>
      </c>
      <c r="AP126" s="44"/>
      <c r="AQ126" s="47" t="s">
        <v>149</v>
      </c>
      <c r="AR126" s="47" t="s">
        <v>149</v>
      </c>
      <c r="AS126" s="47" t="s">
        <v>149</v>
      </c>
      <c r="AT126" s="47" t="s">
        <v>149</v>
      </c>
      <c r="AU126" s="47" t="s">
        <v>149</v>
      </c>
      <c r="AV126" s="47" t="s">
        <v>149</v>
      </c>
      <c r="AW126" s="24"/>
      <c r="AX126" s="47" t="s">
        <v>149</v>
      </c>
      <c r="AY126" s="47" t="s">
        <v>149</v>
      </c>
      <c r="AZ126" s="47" t="s">
        <v>149</v>
      </c>
      <c r="BA126" s="47" t="s">
        <v>149</v>
      </c>
      <c r="BB126" s="47" t="s">
        <v>149</v>
      </c>
      <c r="BC126" s="24"/>
      <c r="BD126" s="47" t="s">
        <v>149</v>
      </c>
      <c r="BE126" s="2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</row>
    <row r="127">
      <c r="A127" s="5">
        <v>124.0</v>
      </c>
      <c r="B127" s="32" t="s">
        <v>570</v>
      </c>
      <c r="C127" s="19" t="s">
        <v>571</v>
      </c>
      <c r="D127" s="5">
        <f t="shared" si="4"/>
        <v>29</v>
      </c>
      <c r="E127" s="5">
        <f t="shared" si="5"/>
        <v>3</v>
      </c>
      <c r="F127" s="3">
        <f t="shared" si="2"/>
        <v>32</v>
      </c>
      <c r="G127" s="36">
        <f t="shared" si="3"/>
        <v>90.625</v>
      </c>
      <c r="H127" s="43" t="s">
        <v>150</v>
      </c>
      <c r="I127" s="43" t="s">
        <v>150</v>
      </c>
      <c r="J127" s="43" t="s">
        <v>150</v>
      </c>
      <c r="K127" s="43" t="s">
        <v>150</v>
      </c>
      <c r="L127" s="43" t="s">
        <v>150</v>
      </c>
      <c r="M127" s="37" t="s">
        <v>150</v>
      </c>
      <c r="N127" s="44"/>
      <c r="O127" s="43" t="s">
        <v>182</v>
      </c>
      <c r="P127" s="43" t="s">
        <v>182</v>
      </c>
      <c r="Q127" s="43" t="s">
        <v>182</v>
      </c>
      <c r="R127" s="43" t="s">
        <v>182</v>
      </c>
      <c r="S127" s="43" t="s">
        <v>182</v>
      </c>
      <c r="T127" s="37" t="s">
        <v>182</v>
      </c>
      <c r="U127" s="44"/>
      <c r="V127" s="43" t="s">
        <v>182</v>
      </c>
      <c r="W127" s="43" t="s">
        <v>182</v>
      </c>
      <c r="X127" s="49" t="s">
        <v>182</v>
      </c>
      <c r="Y127" s="49" t="s">
        <v>182</v>
      </c>
      <c r="Z127" s="49" t="s">
        <v>150</v>
      </c>
      <c r="AA127" s="49" t="s">
        <v>150</v>
      </c>
      <c r="AB127" s="44"/>
      <c r="AC127" s="40" t="s">
        <v>182</v>
      </c>
      <c r="AD127" s="40" t="s">
        <v>182</v>
      </c>
      <c r="AE127" s="40" t="s">
        <v>182</v>
      </c>
      <c r="AF127" s="40" t="s">
        <v>182</v>
      </c>
      <c r="AG127" s="40" t="s">
        <v>182</v>
      </c>
      <c r="AH127" s="40" t="s">
        <v>150</v>
      </c>
      <c r="AI127" s="44"/>
      <c r="AJ127" s="40" t="s">
        <v>150</v>
      </c>
      <c r="AK127" s="40" t="s">
        <v>182</v>
      </c>
      <c r="AL127" s="40" t="s">
        <v>182</v>
      </c>
      <c r="AM127" s="40" t="s">
        <v>182</v>
      </c>
      <c r="AN127" s="47" t="s">
        <v>149</v>
      </c>
      <c r="AO127" s="47" t="s">
        <v>149</v>
      </c>
      <c r="AP127" s="44"/>
      <c r="AQ127" s="47" t="s">
        <v>149</v>
      </c>
      <c r="AR127" s="40" t="s">
        <v>150</v>
      </c>
      <c r="AS127" s="40" t="s">
        <v>150</v>
      </c>
      <c r="AT127" s="47" t="s">
        <v>149</v>
      </c>
      <c r="AU127" s="47" t="s">
        <v>149</v>
      </c>
      <c r="AV127" s="47" t="s">
        <v>149</v>
      </c>
      <c r="AW127" s="24"/>
      <c r="AX127" s="47" t="s">
        <v>149</v>
      </c>
      <c r="AY127" s="47" t="s">
        <v>149</v>
      </c>
      <c r="AZ127" s="47" t="s">
        <v>149</v>
      </c>
      <c r="BA127" s="47" t="s">
        <v>149</v>
      </c>
      <c r="BB127" s="47" t="s">
        <v>149</v>
      </c>
      <c r="BC127" s="24"/>
      <c r="BD127" s="47" t="s">
        <v>149</v>
      </c>
      <c r="BE127" s="2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  <c r="BT127" s="41"/>
      <c r="BU127" s="41"/>
      <c r="BV127" s="41"/>
    </row>
    <row r="128">
      <c r="A128" s="5">
        <v>125.0</v>
      </c>
      <c r="B128" s="76" t="s">
        <v>574</v>
      </c>
      <c r="C128" s="87" t="s">
        <v>575</v>
      </c>
      <c r="D128" s="5">
        <f t="shared" si="4"/>
        <v>25</v>
      </c>
      <c r="E128" s="5">
        <f t="shared" si="5"/>
        <v>7</v>
      </c>
      <c r="F128" s="3">
        <f t="shared" si="2"/>
        <v>32</v>
      </c>
      <c r="G128" s="36">
        <f t="shared" si="3"/>
        <v>78.125</v>
      </c>
      <c r="H128" s="20" t="s">
        <v>149</v>
      </c>
      <c r="I128" s="20" t="s">
        <v>149</v>
      </c>
      <c r="J128" s="49" t="s">
        <v>150</v>
      </c>
      <c r="K128" s="43" t="s">
        <v>150</v>
      </c>
      <c r="L128" s="43" t="s">
        <v>150</v>
      </c>
      <c r="M128" s="37" t="s">
        <v>150</v>
      </c>
      <c r="N128" s="44"/>
      <c r="O128" s="43" t="s">
        <v>150</v>
      </c>
      <c r="P128" s="43" t="s">
        <v>150</v>
      </c>
      <c r="Q128" s="43" t="s">
        <v>150</v>
      </c>
      <c r="R128" s="43" t="s">
        <v>150</v>
      </c>
      <c r="S128" s="43" t="s">
        <v>150</v>
      </c>
      <c r="T128" s="37" t="s">
        <v>150</v>
      </c>
      <c r="U128" s="44"/>
      <c r="V128" s="43" t="s">
        <v>150</v>
      </c>
      <c r="W128" s="43" t="s">
        <v>150</v>
      </c>
      <c r="X128" s="51" t="s">
        <v>149</v>
      </c>
      <c r="Y128" s="51" t="s">
        <v>149</v>
      </c>
      <c r="Z128" s="49" t="s">
        <v>150</v>
      </c>
      <c r="AA128" s="49" t="s">
        <v>150</v>
      </c>
      <c r="AB128" s="44"/>
      <c r="AC128" s="40" t="s">
        <v>150</v>
      </c>
      <c r="AD128" s="40" t="s">
        <v>150</v>
      </c>
      <c r="AE128" s="40" t="s">
        <v>150</v>
      </c>
      <c r="AF128" s="40" t="s">
        <v>150</v>
      </c>
      <c r="AG128" s="40" t="s">
        <v>150</v>
      </c>
      <c r="AH128" s="47" t="s">
        <v>149</v>
      </c>
      <c r="AI128" s="44"/>
      <c r="AJ128" s="40" t="s">
        <v>150</v>
      </c>
      <c r="AK128" s="47" t="s">
        <v>149</v>
      </c>
      <c r="AL128" s="40" t="s">
        <v>150</v>
      </c>
      <c r="AM128" s="40" t="s">
        <v>150</v>
      </c>
      <c r="AN128" s="47" t="s">
        <v>149</v>
      </c>
      <c r="AO128" s="40" t="s">
        <v>150</v>
      </c>
      <c r="AP128" s="44"/>
      <c r="AQ128" s="40" t="s">
        <v>150</v>
      </c>
      <c r="AR128" s="40" t="s">
        <v>150</v>
      </c>
      <c r="AS128" s="40" t="s">
        <v>150</v>
      </c>
      <c r="AT128" s="40" t="s">
        <v>150</v>
      </c>
      <c r="AU128" s="40" t="s">
        <v>150</v>
      </c>
      <c r="AV128" s="40" t="s">
        <v>150</v>
      </c>
      <c r="AW128" s="24"/>
      <c r="AX128" s="40" t="s">
        <v>150</v>
      </c>
      <c r="AY128" s="40" t="s">
        <v>150</v>
      </c>
      <c r="AZ128" s="40" t="s">
        <v>150</v>
      </c>
      <c r="BA128" s="40" t="s">
        <v>150</v>
      </c>
      <c r="BB128" s="40" t="s">
        <v>150</v>
      </c>
      <c r="BC128" s="24"/>
      <c r="BD128" s="40" t="s">
        <v>150</v>
      </c>
      <c r="BE128" s="2"/>
      <c r="BF128" s="41"/>
      <c r="BG128" s="41"/>
      <c r="BH128" s="41"/>
      <c r="BI128" s="41"/>
      <c r="BJ128" s="41"/>
      <c r="BK128" s="41"/>
      <c r="BL128" s="41"/>
      <c r="BM128" s="41"/>
      <c r="BN128" s="41"/>
      <c r="BO128" s="41"/>
      <c r="BP128" s="41"/>
      <c r="BQ128" s="41"/>
      <c r="BR128" s="41"/>
      <c r="BS128" s="41"/>
      <c r="BT128" s="41"/>
      <c r="BU128" s="41"/>
      <c r="BV128" s="41"/>
    </row>
    <row r="129">
      <c r="A129" s="5">
        <v>126.0</v>
      </c>
      <c r="B129" s="76" t="s">
        <v>579</v>
      </c>
      <c r="C129" s="87" t="s">
        <v>580</v>
      </c>
      <c r="D129" s="5">
        <f t="shared" si="4"/>
        <v>30</v>
      </c>
      <c r="E129" s="5">
        <f t="shared" si="5"/>
        <v>2</v>
      </c>
      <c r="F129" s="3">
        <f t="shared" si="2"/>
        <v>32</v>
      </c>
      <c r="G129" s="36">
        <f t="shared" si="3"/>
        <v>93.75</v>
      </c>
      <c r="H129" s="43" t="s">
        <v>150</v>
      </c>
      <c r="I129" s="43" t="s">
        <v>150</v>
      </c>
      <c r="J129" s="43" t="s">
        <v>150</v>
      </c>
      <c r="K129" s="43" t="s">
        <v>150</v>
      </c>
      <c r="L129" s="43" t="s">
        <v>150</v>
      </c>
      <c r="M129" s="37" t="s">
        <v>150</v>
      </c>
      <c r="N129" s="85"/>
      <c r="O129" s="43" t="s">
        <v>150</v>
      </c>
      <c r="P129" s="43" t="s">
        <v>150</v>
      </c>
      <c r="Q129" s="43" t="s">
        <v>150</v>
      </c>
      <c r="R129" s="43" t="s">
        <v>150</v>
      </c>
      <c r="S129" s="43" t="s">
        <v>150</v>
      </c>
      <c r="T129" s="37" t="s">
        <v>150</v>
      </c>
      <c r="U129" s="44"/>
      <c r="V129" s="43" t="s">
        <v>150</v>
      </c>
      <c r="W129" s="43" t="s">
        <v>150</v>
      </c>
      <c r="X129" s="49" t="s">
        <v>150</v>
      </c>
      <c r="Y129" s="49" t="s">
        <v>150</v>
      </c>
      <c r="Z129" s="49" t="s">
        <v>150</v>
      </c>
      <c r="AA129" s="49" t="s">
        <v>150</v>
      </c>
      <c r="AB129" s="44"/>
      <c r="AC129" s="40" t="s">
        <v>150</v>
      </c>
      <c r="AD129" s="40" t="s">
        <v>150</v>
      </c>
      <c r="AE129" s="40" t="s">
        <v>150</v>
      </c>
      <c r="AF129" s="40" t="s">
        <v>150</v>
      </c>
      <c r="AG129" s="40" t="s">
        <v>150</v>
      </c>
      <c r="AH129" s="40" t="s">
        <v>150</v>
      </c>
      <c r="AI129" s="44"/>
      <c r="AJ129" s="40" t="s">
        <v>150</v>
      </c>
      <c r="AK129" s="40" t="s">
        <v>150</v>
      </c>
      <c r="AL129" s="40" t="s">
        <v>150</v>
      </c>
      <c r="AM129" s="47" t="s">
        <v>149</v>
      </c>
      <c r="AN129" s="40" t="s">
        <v>150</v>
      </c>
      <c r="AO129" s="47" t="s">
        <v>149</v>
      </c>
      <c r="AP129" s="44"/>
      <c r="AQ129" s="40" t="s">
        <v>150</v>
      </c>
      <c r="AR129" s="40" t="s">
        <v>150</v>
      </c>
      <c r="AS129" s="40" t="s">
        <v>150</v>
      </c>
      <c r="AT129" s="40" t="s">
        <v>150</v>
      </c>
      <c r="AU129" s="40" t="s">
        <v>150</v>
      </c>
      <c r="AV129" s="40" t="s">
        <v>150</v>
      </c>
      <c r="AW129" s="24"/>
      <c r="AX129" s="40" t="s">
        <v>150</v>
      </c>
      <c r="AY129" s="40" t="s">
        <v>150</v>
      </c>
      <c r="AZ129" s="40" t="s">
        <v>150</v>
      </c>
      <c r="BA129" s="40" t="s">
        <v>150</v>
      </c>
      <c r="BB129" s="40" t="s">
        <v>150</v>
      </c>
      <c r="BC129" s="24"/>
      <c r="BD129" s="40" t="s">
        <v>150</v>
      </c>
      <c r="BE129" s="2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  <c r="BT129" s="41"/>
      <c r="BU129" s="41"/>
      <c r="BV129" s="41"/>
    </row>
    <row r="130">
      <c r="A130" s="5">
        <v>127.0</v>
      </c>
      <c r="B130" s="88" t="s">
        <v>721</v>
      </c>
      <c r="C130" s="89" t="s">
        <v>722</v>
      </c>
      <c r="D130" s="5">
        <f t="shared" si="4"/>
        <v>31</v>
      </c>
      <c r="E130" s="5">
        <f t="shared" si="5"/>
        <v>1</v>
      </c>
      <c r="F130" s="3">
        <f t="shared" si="2"/>
        <v>32</v>
      </c>
      <c r="G130" s="36">
        <f t="shared" si="3"/>
        <v>96.875</v>
      </c>
      <c r="H130" s="43" t="s">
        <v>150</v>
      </c>
      <c r="I130" s="43" t="s">
        <v>150</v>
      </c>
      <c r="J130" s="43" t="s">
        <v>150</v>
      </c>
      <c r="K130" s="43" t="s">
        <v>150</v>
      </c>
      <c r="L130" s="43" t="s">
        <v>150</v>
      </c>
      <c r="M130" s="37" t="s">
        <v>150</v>
      </c>
      <c r="N130" s="85"/>
      <c r="O130" s="43" t="s">
        <v>150</v>
      </c>
      <c r="P130" s="43" t="s">
        <v>150</v>
      </c>
      <c r="Q130" s="43" t="s">
        <v>150</v>
      </c>
      <c r="R130" s="43" t="s">
        <v>150</v>
      </c>
      <c r="S130" s="43" t="s">
        <v>150</v>
      </c>
      <c r="T130" s="37" t="s">
        <v>150</v>
      </c>
      <c r="U130" s="44"/>
      <c r="V130" s="43" t="s">
        <v>150</v>
      </c>
      <c r="W130" s="43" t="s">
        <v>150</v>
      </c>
      <c r="X130" s="49" t="s">
        <v>150</v>
      </c>
      <c r="Y130" s="49" t="s">
        <v>150</v>
      </c>
      <c r="Z130" s="49" t="s">
        <v>150</v>
      </c>
      <c r="AA130" s="49" t="s">
        <v>150</v>
      </c>
      <c r="AB130" s="44"/>
      <c r="AC130" s="40" t="s">
        <v>150</v>
      </c>
      <c r="AD130" s="40" t="s">
        <v>150</v>
      </c>
      <c r="AE130" s="40" t="s">
        <v>150</v>
      </c>
      <c r="AF130" s="40" t="s">
        <v>150</v>
      </c>
      <c r="AG130" s="40" t="s">
        <v>150</v>
      </c>
      <c r="AH130" s="40" t="s">
        <v>150</v>
      </c>
      <c r="AI130" s="44"/>
      <c r="AJ130" s="40" t="s">
        <v>150</v>
      </c>
      <c r="AK130" s="40" t="s">
        <v>150</v>
      </c>
      <c r="AL130" s="40" t="s">
        <v>150</v>
      </c>
      <c r="AM130" s="47" t="s">
        <v>149</v>
      </c>
      <c r="AN130" s="40" t="s">
        <v>150</v>
      </c>
      <c r="AO130" s="40" t="s">
        <v>150</v>
      </c>
      <c r="AP130" s="44"/>
      <c r="AQ130" s="40" t="s">
        <v>150</v>
      </c>
      <c r="AR130" s="40" t="s">
        <v>150</v>
      </c>
      <c r="AS130" s="40" t="s">
        <v>150</v>
      </c>
      <c r="AT130" s="40" t="s">
        <v>150</v>
      </c>
      <c r="AU130" s="40" t="s">
        <v>150</v>
      </c>
      <c r="AV130" s="40" t="s">
        <v>150</v>
      </c>
      <c r="AW130" s="24"/>
      <c r="AX130" s="40" t="s">
        <v>150</v>
      </c>
      <c r="AY130" s="40" t="s">
        <v>150</v>
      </c>
      <c r="AZ130" s="40" t="s">
        <v>150</v>
      </c>
      <c r="BA130" s="40" t="s">
        <v>150</v>
      </c>
      <c r="BB130" s="40" t="s">
        <v>150</v>
      </c>
      <c r="BC130" s="24"/>
      <c r="BD130" s="40" t="s">
        <v>150</v>
      </c>
      <c r="BE130" s="2"/>
      <c r="BF130" s="78"/>
      <c r="BG130" s="78"/>
      <c r="BH130" s="78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</row>
    <row r="131">
      <c r="A131" s="5">
        <v>128.0</v>
      </c>
      <c r="B131" s="90" t="s">
        <v>723</v>
      </c>
      <c r="C131" s="91" t="s">
        <v>724</v>
      </c>
      <c r="D131" s="5">
        <f t="shared" si="4"/>
        <v>31</v>
      </c>
      <c r="E131" s="5">
        <f t="shared" si="5"/>
        <v>1</v>
      </c>
      <c r="F131" s="3">
        <f t="shared" si="2"/>
        <v>32</v>
      </c>
      <c r="G131" s="36">
        <f t="shared" si="3"/>
        <v>96.875</v>
      </c>
      <c r="H131" s="43" t="s">
        <v>150</v>
      </c>
      <c r="I131" s="43" t="s">
        <v>150</v>
      </c>
      <c r="J131" s="43" t="s">
        <v>150</v>
      </c>
      <c r="K131" s="43" t="s">
        <v>150</v>
      </c>
      <c r="L131" s="43" t="s">
        <v>150</v>
      </c>
      <c r="M131" s="37" t="s">
        <v>150</v>
      </c>
      <c r="N131" s="85"/>
      <c r="O131" s="43" t="s">
        <v>150</v>
      </c>
      <c r="P131" s="43" t="s">
        <v>150</v>
      </c>
      <c r="Q131" s="43" t="s">
        <v>150</v>
      </c>
      <c r="R131" s="43" t="s">
        <v>150</v>
      </c>
      <c r="S131" s="43" t="s">
        <v>150</v>
      </c>
      <c r="T131" s="37" t="s">
        <v>150</v>
      </c>
      <c r="U131" s="44"/>
      <c r="V131" s="43" t="s">
        <v>150</v>
      </c>
      <c r="W131" s="43" t="s">
        <v>150</v>
      </c>
      <c r="X131" s="49" t="s">
        <v>150</v>
      </c>
      <c r="Y131" s="49" t="s">
        <v>150</v>
      </c>
      <c r="Z131" s="49" t="s">
        <v>150</v>
      </c>
      <c r="AA131" s="49" t="s">
        <v>150</v>
      </c>
      <c r="AB131" s="44"/>
      <c r="AC131" s="40" t="s">
        <v>150</v>
      </c>
      <c r="AD131" s="40" t="s">
        <v>150</v>
      </c>
      <c r="AE131" s="40" t="s">
        <v>150</v>
      </c>
      <c r="AF131" s="40" t="s">
        <v>150</v>
      </c>
      <c r="AG131" s="40" t="s">
        <v>150</v>
      </c>
      <c r="AH131" s="40" t="s">
        <v>150</v>
      </c>
      <c r="AI131" s="44"/>
      <c r="AJ131" s="40" t="s">
        <v>150</v>
      </c>
      <c r="AK131" s="40" t="s">
        <v>150</v>
      </c>
      <c r="AL131" s="40" t="s">
        <v>150</v>
      </c>
      <c r="AM131" s="47" t="s">
        <v>149</v>
      </c>
      <c r="AN131" s="40" t="s">
        <v>150</v>
      </c>
      <c r="AO131" s="40" t="s">
        <v>150</v>
      </c>
      <c r="AP131" s="44"/>
      <c r="AQ131" s="40" t="s">
        <v>150</v>
      </c>
      <c r="AR131" s="40" t="s">
        <v>150</v>
      </c>
      <c r="AS131" s="40" t="s">
        <v>150</v>
      </c>
      <c r="AT131" s="40" t="s">
        <v>150</v>
      </c>
      <c r="AU131" s="40" t="s">
        <v>150</v>
      </c>
      <c r="AV131" s="40" t="s">
        <v>150</v>
      </c>
      <c r="AW131" s="92"/>
      <c r="AX131" s="40" t="s">
        <v>150</v>
      </c>
      <c r="AY131" s="40" t="s">
        <v>150</v>
      </c>
      <c r="AZ131" s="40" t="s">
        <v>150</v>
      </c>
      <c r="BA131" s="40" t="s">
        <v>150</v>
      </c>
      <c r="BB131" s="40" t="s">
        <v>150</v>
      </c>
      <c r="BC131" s="92"/>
      <c r="BD131" s="40" t="s">
        <v>150</v>
      </c>
      <c r="BE131" s="2"/>
      <c r="BF131" s="78"/>
      <c r="BG131" s="78"/>
      <c r="BH131" s="78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</row>
  </sheetData>
  <mergeCells count="12">
    <mergeCell ref="H1:N1"/>
    <mergeCell ref="O1:AR1"/>
    <mergeCell ref="AS1:BV1"/>
    <mergeCell ref="AW4:AW131"/>
    <mergeCell ref="BC4:BC131"/>
    <mergeCell ref="A1:A3"/>
    <mergeCell ref="B1:B3"/>
    <mergeCell ref="C1:C3"/>
    <mergeCell ref="D1:D3"/>
    <mergeCell ref="E1:E3"/>
    <mergeCell ref="F1:F3"/>
    <mergeCell ref="G1:G3"/>
  </mergeCells>
  <conditionalFormatting sqref="H5:M131 O5:T131 V5:AA131 AC5:AH131 AJ5:AO131 AQ5:AV131 AX5:BB131 BD5:BV131 N130:N131 U130:U131 AB130:AB131 AI130:AI131 AP130:AP131">
    <cfRule type="beginsWith" dxfId="3" priority="1" operator="beginsWith" text="A">
      <formula>LEFT((H5),LEN("A"))=("A")</formula>
    </cfRule>
  </conditionalFormatting>
  <conditionalFormatting sqref="H5:M131 O5:T131 V5:AA131 AC5:AH131 AJ5:AO131 AQ5:AV131 AX5:BB131 BD5:BV131 N130:N131 U130:U131 AB130:AB131 AI130:AI131 AP130:AP131">
    <cfRule type="beginsWith" dxfId="4" priority="2" operator="beginsWith" text="p">
      <formula>LEFT((H5),LEN("p"))=("p")</formula>
    </cfRule>
  </conditionalFormatting>
  <conditionalFormatting sqref="H5:M131 O5:T131 V5:AA131 AC5:AH131 AJ5:AO131 AQ5:AV131 AX5:BB131 BD5:BV131 N130:N131 U130:U131 AB130:AB131 AI130:AI131 AP130:AP131">
    <cfRule type="beginsWith" dxfId="5" priority="3" operator="beginsWith" text="op">
      <formula>LEFT((H5),LEN("op"))=("op")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38"/>
    <col customWidth="1" min="4" max="4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>
        <v>46167.0</v>
      </c>
      <c r="C2" s="5" t="s">
        <v>5</v>
      </c>
      <c r="D2" s="5">
        <v>106.0</v>
      </c>
      <c r="E2" s="5" t="s">
        <v>6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4">
        <v>46168.0</v>
      </c>
      <c r="C3" s="5" t="s">
        <v>7</v>
      </c>
      <c r="D3" s="5">
        <v>105.0</v>
      </c>
      <c r="E3" s="5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4">
        <v>46169.0</v>
      </c>
      <c r="C4" s="5" t="s">
        <v>8</v>
      </c>
      <c r="D4" s="5">
        <v>106.0</v>
      </c>
      <c r="E4" s="5" t="s">
        <v>6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4">
        <v>46170.0</v>
      </c>
      <c r="C5" s="3" t="s">
        <v>10</v>
      </c>
      <c r="D5" s="3">
        <v>103.0</v>
      </c>
      <c r="E5" s="5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4">
        <v>46171.0</v>
      </c>
      <c r="C6" s="3" t="s">
        <v>13</v>
      </c>
      <c r="D6" s="3">
        <v>106.0</v>
      </c>
      <c r="E6" s="3" t="s">
        <v>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4">
        <v>46172.0</v>
      </c>
      <c r="C7" s="3" t="s">
        <v>20</v>
      </c>
      <c r="D7" s="3">
        <v>104.0</v>
      </c>
      <c r="E7" s="3" t="s">
        <v>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4">
        <v>46173.0</v>
      </c>
      <c r="C8" s="3" t="s">
        <v>27</v>
      </c>
      <c r="D8" s="3" t="s">
        <v>29</v>
      </c>
      <c r="E8" s="3" t="s">
        <v>29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4">
        <v>46174.0</v>
      </c>
      <c r="C9" s="5" t="s">
        <v>46</v>
      </c>
      <c r="D9" s="3">
        <v>107.0</v>
      </c>
      <c r="E9" s="3" t="s">
        <v>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4">
        <v>46175.0</v>
      </c>
      <c r="C10" s="5" t="s">
        <v>47</v>
      </c>
      <c r="D10" s="5">
        <v>104.0</v>
      </c>
      <c r="E10" s="3" t="s">
        <v>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4">
        <v>46176.0</v>
      </c>
      <c r="C11" s="3" t="s">
        <v>53</v>
      </c>
      <c r="D11" s="3">
        <v>104.0</v>
      </c>
      <c r="E11" s="3" t="s">
        <v>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4">
        <v>46177.0</v>
      </c>
      <c r="C12" s="3" t="s">
        <v>56</v>
      </c>
      <c r="D12" s="3">
        <v>106.0</v>
      </c>
      <c r="E12" s="3" t="s">
        <v>6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4">
        <v>46178.0</v>
      </c>
      <c r="C13" s="3" t="s">
        <v>56</v>
      </c>
      <c r="D13" s="3">
        <v>103.0</v>
      </c>
      <c r="E13" s="3" t="s">
        <v>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4">
        <v>46179.0</v>
      </c>
      <c r="C14" s="3" t="s">
        <v>61</v>
      </c>
      <c r="D14" s="3">
        <v>102.0</v>
      </c>
      <c r="E14" s="3" t="s">
        <v>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4">
        <v>46180.0</v>
      </c>
      <c r="C15" s="3" t="s">
        <v>29</v>
      </c>
      <c r="D15" s="3" t="s">
        <v>29</v>
      </c>
      <c r="E15" s="3" t="s">
        <v>29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4">
        <v>46181.0</v>
      </c>
      <c r="C16" s="3" t="s">
        <v>66</v>
      </c>
      <c r="D16" s="3">
        <v>90.0</v>
      </c>
      <c r="E16" s="3" t="s">
        <v>6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4">
        <v>46182.0</v>
      </c>
      <c r="C17" s="3" t="s">
        <v>69</v>
      </c>
      <c r="D17" s="3">
        <v>102.0</v>
      </c>
      <c r="E17" s="3" t="s">
        <v>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4">
        <v>46183.0</v>
      </c>
      <c r="C18" s="3" t="s">
        <v>70</v>
      </c>
      <c r="D18" s="3">
        <v>103.0</v>
      </c>
      <c r="E18" s="3" t="s">
        <v>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4">
        <v>46184.0</v>
      </c>
      <c r="C19" s="3" t="s">
        <v>76</v>
      </c>
      <c r="D19" s="3">
        <v>98.0</v>
      </c>
      <c r="E19" s="14" t="s">
        <v>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4">
        <v>46185.0</v>
      </c>
      <c r="C20" s="3" t="s">
        <v>78</v>
      </c>
      <c r="D20" s="3">
        <v>102.0</v>
      </c>
      <c r="E20" s="14" t="s">
        <v>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4">
        <v>46186.0</v>
      </c>
      <c r="C21" s="3" t="s">
        <v>84</v>
      </c>
      <c r="D21" s="3">
        <v>106.0</v>
      </c>
      <c r="E21" s="14" t="s">
        <v>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21.0</v>
      </c>
      <c r="B22" s="4">
        <v>46187.0</v>
      </c>
      <c r="C22" s="3" t="s">
        <v>29</v>
      </c>
      <c r="D22" s="3" t="s">
        <v>29</v>
      </c>
      <c r="E22" s="14" t="s">
        <v>29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4">
        <v>46188.0</v>
      </c>
      <c r="C23" s="3" t="s">
        <v>87</v>
      </c>
      <c r="D23" s="3">
        <v>100.0</v>
      </c>
      <c r="E23" s="14" t="s">
        <v>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4">
        <v>46189.0</v>
      </c>
      <c r="C24" s="3" t="s">
        <v>92</v>
      </c>
      <c r="D24" s="3">
        <v>102.0</v>
      </c>
      <c r="E24" s="14" t="s">
        <v>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24.0</v>
      </c>
      <c r="B25" s="4">
        <v>46190.0</v>
      </c>
      <c r="C25" s="3" t="s">
        <v>94</v>
      </c>
      <c r="D25" s="3">
        <v>104.0</v>
      </c>
      <c r="E25" s="14" t="s">
        <v>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25.0</v>
      </c>
      <c r="B26" s="4">
        <v>46191.0</v>
      </c>
      <c r="C26" s="3" t="s">
        <v>101</v>
      </c>
      <c r="D26" s="3">
        <v>106.0</v>
      </c>
      <c r="E26" s="14" t="s">
        <v>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26.0</v>
      </c>
      <c r="B27" s="4">
        <v>46192.0</v>
      </c>
      <c r="C27" s="3" t="s">
        <v>103</v>
      </c>
      <c r="D27" s="3">
        <v>102.0</v>
      </c>
      <c r="E27" s="14" t="s">
        <v>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27.0</v>
      </c>
      <c r="B28" s="4">
        <v>46193.0</v>
      </c>
      <c r="C28" s="3" t="s">
        <v>108</v>
      </c>
      <c r="D28" s="3">
        <v>104.0</v>
      </c>
      <c r="E28" s="14" t="s">
        <v>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28.0</v>
      </c>
      <c r="B29" s="4">
        <v>46194.0</v>
      </c>
      <c r="C29" s="3" t="s">
        <v>29</v>
      </c>
      <c r="D29" s="3" t="s">
        <v>29</v>
      </c>
      <c r="E29" s="14" t="s">
        <v>29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29.0</v>
      </c>
      <c r="B30" s="4">
        <v>46195.0</v>
      </c>
      <c r="C30" s="3" t="s">
        <v>115</v>
      </c>
      <c r="D30" s="3">
        <v>106.0</v>
      </c>
      <c r="E30" s="14" t="s">
        <v>6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30.0</v>
      </c>
      <c r="B31" s="4">
        <v>46196.0</v>
      </c>
      <c r="C31" s="3" t="s">
        <v>116</v>
      </c>
      <c r="D31" s="3">
        <v>108.0</v>
      </c>
      <c r="E31" s="14" t="s">
        <v>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31.0</v>
      </c>
      <c r="B32" s="4">
        <v>46197.0</v>
      </c>
      <c r="C32" s="3" t="s">
        <v>120</v>
      </c>
      <c r="D32" s="3">
        <v>116.0</v>
      </c>
      <c r="E32" s="14" t="s">
        <v>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32.0</v>
      </c>
      <c r="B33" s="4">
        <v>46198.0</v>
      </c>
      <c r="C33" s="3" t="s">
        <v>122</v>
      </c>
      <c r="D33" s="3">
        <v>104.0</v>
      </c>
      <c r="E33" s="14" t="s">
        <v>6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33.0</v>
      </c>
      <c r="B34" s="4">
        <v>46199.0</v>
      </c>
      <c r="C34" s="3" t="s">
        <v>125</v>
      </c>
      <c r="D34" s="3">
        <v>112.0</v>
      </c>
      <c r="E34" s="3" t="s">
        <v>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34.0</v>
      </c>
      <c r="B35" s="4">
        <v>46200.0</v>
      </c>
      <c r="C35" s="3" t="s">
        <v>129</v>
      </c>
      <c r="D35" s="3">
        <v>118.0</v>
      </c>
      <c r="E35" s="3" t="s">
        <v>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35.0</v>
      </c>
      <c r="B36" s="4">
        <v>46201.0</v>
      </c>
      <c r="C36" s="3" t="s">
        <v>29</v>
      </c>
      <c r="D36" s="3" t="s">
        <v>29</v>
      </c>
      <c r="E36" s="14" t="s">
        <v>29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36.0</v>
      </c>
      <c r="B37" s="4">
        <v>46202.0</v>
      </c>
      <c r="C37" s="3" t="s">
        <v>152</v>
      </c>
      <c r="D37" s="3">
        <v>121.0</v>
      </c>
      <c r="E37" s="3" t="s">
        <v>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37.0</v>
      </c>
      <c r="B38" s="4">
        <v>46203.0</v>
      </c>
      <c r="C38" s="3" t="s">
        <v>154</v>
      </c>
      <c r="D38" s="3">
        <v>115.0</v>
      </c>
      <c r="E38" s="3" t="s">
        <v>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38.0</v>
      </c>
      <c r="B39" s="4">
        <v>46204.0</v>
      </c>
      <c r="C39" s="3" t="s">
        <v>158</v>
      </c>
      <c r="D39" s="3">
        <v>107.0</v>
      </c>
      <c r="E39" s="3" t="s">
        <v>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39.0</v>
      </c>
      <c r="B40" s="4">
        <v>46205.0</v>
      </c>
      <c r="C40" s="3" t="s">
        <v>159</v>
      </c>
      <c r="D40" s="3">
        <v>119.0</v>
      </c>
      <c r="E40" s="3" t="s">
        <v>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40.0</v>
      </c>
      <c r="B41" s="4">
        <v>46206.0</v>
      </c>
      <c r="C41" s="3" t="s">
        <v>166</v>
      </c>
      <c r="D41" s="3">
        <v>123.0</v>
      </c>
      <c r="E41" s="3" t="s">
        <v>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41.0</v>
      </c>
      <c r="B42" s="4">
        <v>46207.0</v>
      </c>
      <c r="C42" s="3" t="s">
        <v>168</v>
      </c>
      <c r="D42" s="3">
        <v>117.0</v>
      </c>
      <c r="E42" s="3" t="s">
        <v>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42.0</v>
      </c>
      <c r="B43" s="4">
        <v>46208.0</v>
      </c>
      <c r="C43" s="3" t="s">
        <v>29</v>
      </c>
      <c r="D43" s="3" t="s">
        <v>29</v>
      </c>
      <c r="E43" s="14" t="s">
        <v>29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43.0</v>
      </c>
      <c r="B44" s="4">
        <v>46209.0</v>
      </c>
      <c r="C44" s="3" t="s">
        <v>173</v>
      </c>
      <c r="D44" s="3">
        <v>114.0</v>
      </c>
      <c r="E44" s="3" t="s">
        <v>6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44.0</v>
      </c>
      <c r="B45" s="4">
        <v>46210.0</v>
      </c>
      <c r="C45" s="3" t="s">
        <v>177</v>
      </c>
      <c r="D45" s="3">
        <v>129.0</v>
      </c>
      <c r="E45" s="3" t="s">
        <v>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45.0</v>
      </c>
      <c r="B46" s="4">
        <v>46211.0</v>
      </c>
      <c r="C46" s="3" t="s">
        <v>179</v>
      </c>
      <c r="D46" s="3">
        <v>111.0</v>
      </c>
      <c r="E46" s="3" t="s">
        <v>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46.0</v>
      </c>
      <c r="B47" s="4">
        <v>46212.0</v>
      </c>
      <c r="C47" s="3" t="s">
        <v>180</v>
      </c>
      <c r="D47" s="3">
        <v>120.0</v>
      </c>
      <c r="E47" s="3" t="s">
        <v>6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47.0</v>
      </c>
      <c r="B48" s="4">
        <v>46213.0</v>
      </c>
      <c r="C48" s="3" t="s">
        <v>185</v>
      </c>
      <c r="D48" s="45">
        <v>112.0</v>
      </c>
      <c r="E48" s="3" t="s">
        <v>6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10" max="10" width="22.13"/>
    <col customWidth="1" min="11" max="11" width="22.25"/>
  </cols>
  <sheetData>
    <row r="1" ht="49.5" customHeight="1">
      <c r="A1" s="7" t="s">
        <v>11</v>
      </c>
      <c r="B1" s="7" t="s">
        <v>12</v>
      </c>
      <c r="C1" s="7" t="s">
        <v>14</v>
      </c>
      <c r="D1" s="8" t="s">
        <v>15</v>
      </c>
      <c r="E1" s="8" t="s">
        <v>16</v>
      </c>
      <c r="F1" s="8" t="s">
        <v>18</v>
      </c>
      <c r="G1" s="8" t="s">
        <v>19</v>
      </c>
      <c r="H1" s="8" t="s">
        <v>21</v>
      </c>
      <c r="I1" s="8" t="s">
        <v>22</v>
      </c>
      <c r="J1" s="11" t="s">
        <v>23</v>
      </c>
      <c r="K1" s="8" t="s">
        <v>24</v>
      </c>
      <c r="L1" s="11" t="s">
        <v>25</v>
      </c>
      <c r="M1" s="11" t="s">
        <v>28</v>
      </c>
      <c r="N1" s="12" t="s">
        <v>31</v>
      </c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ht="49.5" customHeight="1">
      <c r="A2" s="5">
        <v>1.0</v>
      </c>
      <c r="B2" s="19" t="s">
        <v>36</v>
      </c>
      <c r="C2" s="19" t="s">
        <v>37</v>
      </c>
      <c r="D2" s="3" t="s">
        <v>39</v>
      </c>
      <c r="E2" s="3" t="s">
        <v>40</v>
      </c>
      <c r="F2" s="20" t="s">
        <v>41</v>
      </c>
      <c r="G2" s="3" t="s">
        <v>42</v>
      </c>
      <c r="H2" s="20" t="s">
        <v>41</v>
      </c>
      <c r="I2" s="21" t="s">
        <v>41</v>
      </c>
      <c r="J2" s="20" t="s">
        <v>41</v>
      </c>
      <c r="K2" s="5">
        <v>6.0</v>
      </c>
      <c r="L2" s="20" t="s">
        <v>41</v>
      </c>
      <c r="M2" s="3">
        <v>6.0</v>
      </c>
      <c r="N2" s="25">
        <f t="shared" ref="N2:N127" si="1">Countif(D2:M2,"Absent")</f>
        <v>5</v>
      </c>
      <c r="O2" s="13"/>
      <c r="P2" s="14"/>
      <c r="Q2" s="14"/>
      <c r="R2" s="14"/>
      <c r="S2" s="14"/>
      <c r="T2" s="14"/>
      <c r="U2" s="14"/>
      <c r="V2" s="14"/>
      <c r="W2" s="14"/>
      <c r="X2" s="14"/>
      <c r="Y2" s="14"/>
    </row>
    <row r="3">
      <c r="A3" s="5">
        <v>2.0</v>
      </c>
      <c r="B3" s="19" t="s">
        <v>48</v>
      </c>
      <c r="C3" s="19" t="s">
        <v>49</v>
      </c>
      <c r="D3" s="3" t="s">
        <v>50</v>
      </c>
      <c r="E3" s="3" t="s">
        <v>50</v>
      </c>
      <c r="F3" s="3" t="s">
        <v>52</v>
      </c>
      <c r="G3" s="3" t="s">
        <v>54</v>
      </c>
      <c r="H3" s="3">
        <v>24.0</v>
      </c>
      <c r="I3" s="3">
        <v>24.0</v>
      </c>
      <c r="J3" s="3">
        <v>24.0</v>
      </c>
      <c r="K3" s="3">
        <v>8.0</v>
      </c>
      <c r="L3" s="3">
        <v>10.0</v>
      </c>
      <c r="M3" s="3">
        <v>7.0</v>
      </c>
      <c r="N3" s="25">
        <f t="shared" si="1"/>
        <v>0</v>
      </c>
      <c r="O3" s="13"/>
      <c r="P3" s="14"/>
      <c r="Q3" s="14"/>
      <c r="R3" s="14"/>
      <c r="S3" s="14"/>
      <c r="T3" s="14"/>
      <c r="U3" s="14"/>
      <c r="V3" s="14"/>
      <c r="W3" s="14"/>
      <c r="X3" s="30"/>
      <c r="Y3" s="30"/>
    </row>
    <row r="4">
      <c r="A4" s="5">
        <v>3.0</v>
      </c>
      <c r="B4" s="3" t="s">
        <v>58</v>
      </c>
      <c r="C4" s="14" t="s">
        <v>59</v>
      </c>
      <c r="D4" s="20" t="s">
        <v>41</v>
      </c>
      <c r="E4" s="3" t="s">
        <v>60</v>
      </c>
      <c r="F4" s="20" t="s">
        <v>41</v>
      </c>
      <c r="G4" s="20" t="s">
        <v>41</v>
      </c>
      <c r="H4" s="20" t="s">
        <v>41</v>
      </c>
      <c r="I4" s="3">
        <v>27.0</v>
      </c>
      <c r="J4" s="3">
        <v>27.0</v>
      </c>
      <c r="K4" s="3">
        <v>6.0</v>
      </c>
      <c r="L4" s="3">
        <v>5.0</v>
      </c>
      <c r="M4" s="3">
        <v>10.0</v>
      </c>
      <c r="N4" s="25">
        <f t="shared" si="1"/>
        <v>4</v>
      </c>
      <c r="O4" s="13"/>
      <c r="P4" s="14"/>
      <c r="Q4" s="14"/>
      <c r="R4" s="14"/>
      <c r="S4" s="14"/>
      <c r="T4" s="14"/>
      <c r="U4" s="14"/>
      <c r="V4" s="14"/>
      <c r="W4" s="14"/>
      <c r="X4" s="31"/>
      <c r="Y4" s="31"/>
    </row>
    <row r="5">
      <c r="A5" s="5">
        <v>4.0</v>
      </c>
      <c r="B5" s="32" t="s">
        <v>64</v>
      </c>
      <c r="C5" s="32" t="s">
        <v>65</v>
      </c>
      <c r="D5" s="3" t="s">
        <v>60</v>
      </c>
      <c r="E5" s="3" t="s">
        <v>39</v>
      </c>
      <c r="F5" s="20" t="s">
        <v>41</v>
      </c>
      <c r="G5" s="3" t="s">
        <v>67</v>
      </c>
      <c r="H5" s="3">
        <v>27.0</v>
      </c>
      <c r="I5" s="3">
        <v>24.0</v>
      </c>
      <c r="J5" s="3">
        <v>24.0</v>
      </c>
      <c r="K5" s="3">
        <v>9.0</v>
      </c>
      <c r="L5" s="3">
        <v>8.0</v>
      </c>
      <c r="M5" s="3">
        <v>5.0</v>
      </c>
      <c r="N5" s="25">
        <f t="shared" si="1"/>
        <v>1</v>
      </c>
      <c r="O5" s="13"/>
      <c r="P5" s="14"/>
      <c r="Q5" s="14"/>
      <c r="R5" s="14"/>
      <c r="S5" s="14"/>
      <c r="T5" s="14"/>
      <c r="U5" s="14"/>
      <c r="V5" s="14"/>
      <c r="W5" s="14"/>
      <c r="X5" s="31"/>
      <c r="Y5" s="31"/>
    </row>
    <row r="6">
      <c r="A6" s="5">
        <v>5.0</v>
      </c>
      <c r="B6" s="33" t="s">
        <v>72</v>
      </c>
      <c r="C6" s="33" t="s">
        <v>73</v>
      </c>
      <c r="D6" s="3" t="s">
        <v>74</v>
      </c>
      <c r="E6" s="3" t="s">
        <v>75</v>
      </c>
      <c r="F6" s="20" t="s">
        <v>41</v>
      </c>
      <c r="G6" s="20" t="s">
        <v>41</v>
      </c>
      <c r="H6" s="3">
        <v>30.0</v>
      </c>
      <c r="I6" s="3">
        <v>29.0</v>
      </c>
      <c r="J6" s="3">
        <v>29.0</v>
      </c>
      <c r="K6" s="3">
        <v>7.0</v>
      </c>
      <c r="L6" s="3">
        <v>6.0</v>
      </c>
      <c r="M6" s="3">
        <v>8.0</v>
      </c>
      <c r="N6" s="25">
        <f t="shared" si="1"/>
        <v>2</v>
      </c>
      <c r="O6" s="13"/>
      <c r="P6" s="14"/>
      <c r="Q6" s="14"/>
      <c r="R6" s="14"/>
      <c r="S6" s="14"/>
      <c r="T6" s="14"/>
      <c r="U6" s="14"/>
      <c r="V6" s="14"/>
      <c r="W6" s="14"/>
      <c r="X6" s="31"/>
      <c r="Y6" s="31"/>
    </row>
    <row r="7">
      <c r="A7" s="5">
        <v>6.0</v>
      </c>
      <c r="B7" s="32" t="s">
        <v>79</v>
      </c>
      <c r="C7" s="32" t="s">
        <v>80</v>
      </c>
      <c r="D7" s="3" t="s">
        <v>81</v>
      </c>
      <c r="E7" s="3" t="s">
        <v>82</v>
      </c>
      <c r="F7" s="3" t="s">
        <v>52</v>
      </c>
      <c r="G7" s="3" t="s">
        <v>85</v>
      </c>
      <c r="H7" s="3">
        <v>25.0</v>
      </c>
      <c r="I7" s="3">
        <v>22.0</v>
      </c>
      <c r="J7" s="3">
        <v>22.0</v>
      </c>
      <c r="K7" s="3">
        <v>10.0</v>
      </c>
      <c r="L7" s="3">
        <v>9.0</v>
      </c>
      <c r="M7" s="3">
        <v>6.0</v>
      </c>
      <c r="N7" s="25">
        <f t="shared" si="1"/>
        <v>0</v>
      </c>
      <c r="O7" s="13"/>
      <c r="P7" s="14"/>
      <c r="Q7" s="14"/>
      <c r="R7" s="14"/>
      <c r="S7" s="14"/>
      <c r="T7" s="14"/>
      <c r="U7" s="14"/>
      <c r="V7" s="14"/>
      <c r="W7" s="14"/>
      <c r="X7" s="31"/>
      <c r="Y7" s="31"/>
    </row>
    <row r="8">
      <c r="A8" s="5">
        <v>7.0</v>
      </c>
      <c r="B8" s="32" t="s">
        <v>86</v>
      </c>
      <c r="C8" s="32" t="s">
        <v>89</v>
      </c>
      <c r="D8" s="3" t="s">
        <v>90</v>
      </c>
      <c r="E8" s="3" t="s">
        <v>90</v>
      </c>
      <c r="F8" s="3" t="s">
        <v>91</v>
      </c>
      <c r="G8" s="3" t="s">
        <v>85</v>
      </c>
      <c r="H8" s="3">
        <v>27.0</v>
      </c>
      <c r="I8" s="3">
        <v>30.0</v>
      </c>
      <c r="J8" s="3">
        <v>30.0</v>
      </c>
      <c r="K8" s="3">
        <v>5.0</v>
      </c>
      <c r="L8" s="3">
        <v>7.0</v>
      </c>
      <c r="M8" s="3">
        <v>9.0</v>
      </c>
      <c r="N8" s="25">
        <f t="shared" si="1"/>
        <v>0</v>
      </c>
      <c r="O8" s="13"/>
      <c r="P8" s="14"/>
      <c r="Q8" s="14"/>
      <c r="R8" s="14"/>
      <c r="S8" s="14"/>
      <c r="T8" s="14"/>
      <c r="U8" s="14"/>
      <c r="V8" s="14"/>
      <c r="W8" s="14"/>
      <c r="X8" s="31"/>
      <c r="Y8" s="31"/>
    </row>
    <row r="9">
      <c r="A9" s="5">
        <v>8.0</v>
      </c>
      <c r="B9" s="32" t="s">
        <v>95</v>
      </c>
      <c r="C9" s="32" t="s">
        <v>96</v>
      </c>
      <c r="D9" s="3" t="s">
        <v>97</v>
      </c>
      <c r="E9" s="3" t="s">
        <v>98</v>
      </c>
      <c r="F9" s="3" t="s">
        <v>99</v>
      </c>
      <c r="G9" s="3" t="s">
        <v>100</v>
      </c>
      <c r="H9" s="3">
        <v>23.0</v>
      </c>
      <c r="I9" s="3">
        <v>25.0</v>
      </c>
      <c r="J9" s="3">
        <v>25.0</v>
      </c>
      <c r="K9" s="3">
        <v>8.0</v>
      </c>
      <c r="L9" s="3">
        <v>10.0</v>
      </c>
      <c r="M9" s="3">
        <v>7.0</v>
      </c>
      <c r="N9" s="25">
        <f t="shared" si="1"/>
        <v>0</v>
      </c>
      <c r="O9" s="13"/>
      <c r="P9" s="14"/>
      <c r="Q9" s="14"/>
      <c r="R9" s="14"/>
      <c r="S9" s="14"/>
      <c r="T9" s="14"/>
      <c r="U9" s="14"/>
      <c r="V9" s="14"/>
      <c r="W9" s="14"/>
      <c r="X9" s="31"/>
      <c r="Y9" s="31"/>
    </row>
    <row r="10">
      <c r="A10" s="5">
        <v>9.0</v>
      </c>
      <c r="B10" s="32" t="s">
        <v>104</v>
      </c>
      <c r="C10" s="32" t="s">
        <v>105</v>
      </c>
      <c r="D10" s="3" t="s">
        <v>106</v>
      </c>
      <c r="E10" s="3" t="s">
        <v>107</v>
      </c>
      <c r="F10" s="20" t="s">
        <v>41</v>
      </c>
      <c r="G10" s="20" t="s">
        <v>41</v>
      </c>
      <c r="H10" s="20" t="s">
        <v>41</v>
      </c>
      <c r="I10" s="20" t="s">
        <v>41</v>
      </c>
      <c r="J10" s="20" t="s">
        <v>41</v>
      </c>
      <c r="K10" s="20" t="s">
        <v>41</v>
      </c>
      <c r="L10" s="20" t="s">
        <v>41</v>
      </c>
      <c r="M10" s="20" t="s">
        <v>41</v>
      </c>
      <c r="N10" s="25">
        <f t="shared" si="1"/>
        <v>8</v>
      </c>
      <c r="O10" s="13"/>
      <c r="P10" s="14"/>
      <c r="Q10" s="14"/>
      <c r="R10" s="14"/>
      <c r="S10" s="14"/>
      <c r="T10" s="14"/>
      <c r="U10" s="14"/>
      <c r="V10" s="14"/>
      <c r="W10" s="14"/>
      <c r="X10" s="31"/>
      <c r="Y10" s="31"/>
    </row>
    <row r="11">
      <c r="A11" s="5">
        <v>10.0</v>
      </c>
      <c r="B11" s="32" t="s">
        <v>110</v>
      </c>
      <c r="C11" s="32" t="s">
        <v>111</v>
      </c>
      <c r="D11" s="20" t="s">
        <v>41</v>
      </c>
      <c r="E11" s="3" t="s">
        <v>112</v>
      </c>
      <c r="F11" s="20" t="s">
        <v>41</v>
      </c>
      <c r="G11" s="3" t="s">
        <v>113</v>
      </c>
      <c r="H11" s="3">
        <v>28.0</v>
      </c>
      <c r="I11" s="3">
        <v>23.0</v>
      </c>
      <c r="J11" s="3">
        <v>28.0</v>
      </c>
      <c r="K11" s="3">
        <v>9.0</v>
      </c>
      <c r="L11" s="3">
        <v>5.0</v>
      </c>
      <c r="M11" s="3">
        <v>10.0</v>
      </c>
      <c r="N11" s="25">
        <f t="shared" si="1"/>
        <v>2</v>
      </c>
      <c r="O11" s="13"/>
      <c r="P11" s="14"/>
      <c r="Q11" s="14"/>
      <c r="R11" s="14"/>
      <c r="S11" s="14"/>
      <c r="T11" s="14"/>
      <c r="U11" s="14"/>
      <c r="V11" s="14"/>
      <c r="W11" s="14"/>
      <c r="X11" s="31"/>
      <c r="Y11" s="31"/>
    </row>
    <row r="12">
      <c r="A12" s="5">
        <v>11.0</v>
      </c>
      <c r="B12" s="32" t="s">
        <v>117</v>
      </c>
      <c r="C12" s="32" t="s">
        <v>118</v>
      </c>
      <c r="D12" s="3" t="s">
        <v>75</v>
      </c>
      <c r="E12" s="3" t="s">
        <v>74</v>
      </c>
      <c r="F12" s="3" t="s">
        <v>52</v>
      </c>
      <c r="G12" s="3" t="s">
        <v>119</v>
      </c>
      <c r="H12" s="3">
        <v>23.0</v>
      </c>
      <c r="I12" s="3">
        <v>28.0</v>
      </c>
      <c r="J12" s="3">
        <v>23.0</v>
      </c>
      <c r="K12" s="3">
        <v>6.0</v>
      </c>
      <c r="L12" s="3">
        <v>9.0</v>
      </c>
      <c r="M12" s="3">
        <v>6.0</v>
      </c>
      <c r="N12" s="25">
        <f t="shared" si="1"/>
        <v>0</v>
      </c>
      <c r="O12" s="13"/>
      <c r="P12" s="14"/>
      <c r="Q12" s="14"/>
      <c r="R12" s="14"/>
      <c r="S12" s="14"/>
      <c r="T12" s="14"/>
      <c r="U12" s="14"/>
      <c r="V12" s="14"/>
      <c r="W12" s="14"/>
      <c r="X12" s="31"/>
      <c r="Y12" s="31"/>
    </row>
    <row r="13">
      <c r="A13" s="5">
        <v>12.0</v>
      </c>
      <c r="B13" s="32" t="s">
        <v>124</v>
      </c>
      <c r="C13" s="32" t="s">
        <v>126</v>
      </c>
      <c r="D13" s="3" t="s">
        <v>112</v>
      </c>
      <c r="E13" s="3" t="s">
        <v>127</v>
      </c>
      <c r="F13" s="3" t="s">
        <v>52</v>
      </c>
      <c r="G13" s="3" t="s">
        <v>128</v>
      </c>
      <c r="H13" s="3">
        <v>26.0</v>
      </c>
      <c r="I13" s="3">
        <v>26.0</v>
      </c>
      <c r="J13" s="3">
        <v>26.0</v>
      </c>
      <c r="K13" s="3">
        <v>7.0</v>
      </c>
      <c r="L13" s="3">
        <v>6.0</v>
      </c>
      <c r="M13" s="3">
        <v>8.0</v>
      </c>
      <c r="N13" s="25">
        <f t="shared" si="1"/>
        <v>0</v>
      </c>
      <c r="O13" s="13"/>
      <c r="P13" s="14"/>
      <c r="Q13" s="14"/>
      <c r="R13" s="14"/>
      <c r="S13" s="14"/>
      <c r="T13" s="14"/>
      <c r="U13" s="14"/>
      <c r="V13" s="14"/>
      <c r="W13" s="14"/>
      <c r="X13" s="31"/>
      <c r="Y13" s="31"/>
    </row>
    <row r="14">
      <c r="A14" s="5">
        <v>13.0</v>
      </c>
      <c r="B14" s="32" t="s">
        <v>132</v>
      </c>
      <c r="C14" s="32" t="s">
        <v>133</v>
      </c>
      <c r="D14" s="3" t="s">
        <v>134</v>
      </c>
      <c r="E14" s="3" t="s">
        <v>135</v>
      </c>
      <c r="F14" s="3" t="s">
        <v>52</v>
      </c>
      <c r="G14" s="3" t="s">
        <v>136</v>
      </c>
      <c r="H14" s="3">
        <v>29.0</v>
      </c>
      <c r="I14" s="3">
        <v>24.0</v>
      </c>
      <c r="J14" s="3">
        <v>29.0</v>
      </c>
      <c r="K14" s="3">
        <v>8.0</v>
      </c>
      <c r="L14" s="3">
        <v>8.0</v>
      </c>
      <c r="M14" s="3">
        <v>5.0</v>
      </c>
      <c r="N14" s="25">
        <f t="shared" si="1"/>
        <v>0</v>
      </c>
      <c r="O14" s="13"/>
      <c r="P14" s="14"/>
      <c r="Q14" s="14"/>
      <c r="R14" s="14"/>
      <c r="S14" s="14"/>
      <c r="T14" s="14"/>
      <c r="U14" s="14"/>
      <c r="V14" s="14"/>
      <c r="W14" s="14"/>
      <c r="X14" s="31"/>
      <c r="Y14" s="31"/>
    </row>
    <row r="15">
      <c r="A15" s="5">
        <v>14.0</v>
      </c>
      <c r="B15" s="35" t="s">
        <v>140</v>
      </c>
      <c r="C15" s="35" t="s">
        <v>141</v>
      </c>
      <c r="D15" s="3" t="s">
        <v>142</v>
      </c>
      <c r="E15" s="3" t="s">
        <v>142</v>
      </c>
      <c r="F15" s="20" t="s">
        <v>41</v>
      </c>
      <c r="G15" s="3" t="s">
        <v>119</v>
      </c>
      <c r="H15" s="20" t="s">
        <v>41</v>
      </c>
      <c r="I15" s="3">
        <v>29.0</v>
      </c>
      <c r="J15" s="3">
        <v>27.0</v>
      </c>
      <c r="K15" s="3">
        <v>10.0</v>
      </c>
      <c r="L15" s="3">
        <v>10.0</v>
      </c>
      <c r="M15" s="3">
        <v>9.0</v>
      </c>
      <c r="N15" s="25">
        <f t="shared" si="1"/>
        <v>2</v>
      </c>
      <c r="O15" s="13"/>
      <c r="P15" s="14"/>
      <c r="Q15" s="14"/>
      <c r="R15" s="14"/>
      <c r="S15" s="14"/>
      <c r="T15" s="14"/>
      <c r="U15" s="14"/>
      <c r="V15" s="14"/>
      <c r="W15" s="14"/>
      <c r="X15" s="31"/>
      <c r="Y15" s="31"/>
    </row>
    <row r="16">
      <c r="A16" s="5">
        <v>15.0</v>
      </c>
      <c r="B16" s="32" t="s">
        <v>145</v>
      </c>
      <c r="C16" s="32" t="s">
        <v>146</v>
      </c>
      <c r="D16" s="3" t="s">
        <v>147</v>
      </c>
      <c r="E16" s="3" t="s">
        <v>147</v>
      </c>
      <c r="F16" s="3" t="s">
        <v>52</v>
      </c>
      <c r="G16" s="3" t="s">
        <v>148</v>
      </c>
      <c r="H16" s="3">
        <v>24.0</v>
      </c>
      <c r="I16" s="3">
        <v>30.0</v>
      </c>
      <c r="J16" s="3">
        <v>24.0</v>
      </c>
      <c r="K16" s="3">
        <v>9.0</v>
      </c>
      <c r="L16" s="3">
        <v>7.0</v>
      </c>
      <c r="M16" s="3">
        <v>7.0</v>
      </c>
      <c r="N16" s="25">
        <f t="shared" si="1"/>
        <v>0</v>
      </c>
      <c r="O16" s="13"/>
      <c r="P16" s="14"/>
      <c r="Q16" s="14"/>
      <c r="R16" s="14"/>
      <c r="S16" s="14"/>
      <c r="T16" s="14"/>
      <c r="U16" s="14"/>
      <c r="V16" s="14"/>
      <c r="W16" s="14"/>
      <c r="X16" s="31"/>
      <c r="Y16" s="31"/>
    </row>
    <row r="17">
      <c r="A17" s="5">
        <v>16.0</v>
      </c>
      <c r="B17" s="32" t="s">
        <v>155</v>
      </c>
      <c r="C17" s="32" t="s">
        <v>156</v>
      </c>
      <c r="D17" s="3" t="s">
        <v>127</v>
      </c>
      <c r="E17" s="3" t="s">
        <v>106</v>
      </c>
      <c r="F17" s="3" t="s">
        <v>91</v>
      </c>
      <c r="G17" s="3" t="s">
        <v>85</v>
      </c>
      <c r="H17" s="3">
        <v>30.0</v>
      </c>
      <c r="I17" s="3">
        <v>22.0</v>
      </c>
      <c r="J17" s="3">
        <v>30.0</v>
      </c>
      <c r="K17" s="3">
        <v>5.0</v>
      </c>
      <c r="L17" s="3">
        <v>5.0</v>
      </c>
      <c r="M17" s="3">
        <v>10.0</v>
      </c>
      <c r="N17" s="25">
        <f t="shared" si="1"/>
        <v>0</v>
      </c>
      <c r="O17" s="13"/>
      <c r="P17" s="14"/>
      <c r="Q17" s="14"/>
      <c r="R17" s="14"/>
      <c r="S17" s="14"/>
      <c r="T17" s="14"/>
      <c r="U17" s="14"/>
      <c r="V17" s="14"/>
      <c r="W17" s="14"/>
      <c r="X17" s="31"/>
      <c r="Y17" s="31"/>
    </row>
    <row r="18">
      <c r="A18" s="5">
        <v>17.0</v>
      </c>
      <c r="B18" s="32" t="s">
        <v>161</v>
      </c>
      <c r="C18" s="32" t="s">
        <v>162</v>
      </c>
      <c r="D18" s="3" t="s">
        <v>98</v>
      </c>
      <c r="E18" s="3" t="s">
        <v>97</v>
      </c>
      <c r="F18" s="3" t="s">
        <v>164</v>
      </c>
      <c r="G18" s="3" t="s">
        <v>165</v>
      </c>
      <c r="H18" s="3">
        <v>22.0</v>
      </c>
      <c r="I18" s="3">
        <v>27.0</v>
      </c>
      <c r="J18" s="3">
        <v>22.0</v>
      </c>
      <c r="K18" s="3">
        <v>6.0</v>
      </c>
      <c r="L18" s="3">
        <v>9.0</v>
      </c>
      <c r="M18" s="3">
        <v>5.0</v>
      </c>
      <c r="N18" s="25">
        <f t="shared" si="1"/>
        <v>0</v>
      </c>
      <c r="O18" s="13"/>
      <c r="P18" s="14"/>
      <c r="Q18" s="14"/>
      <c r="R18" s="14"/>
      <c r="S18" s="14"/>
      <c r="T18" s="14"/>
      <c r="U18" s="14"/>
      <c r="V18" s="14"/>
      <c r="W18" s="14"/>
      <c r="X18" s="31"/>
      <c r="Y18" s="31"/>
    </row>
    <row r="19">
      <c r="A19" s="5">
        <v>18.0</v>
      </c>
      <c r="B19" s="32" t="s">
        <v>169</v>
      </c>
      <c r="C19" s="32" t="s">
        <v>170</v>
      </c>
      <c r="D19" s="3" t="s">
        <v>39</v>
      </c>
      <c r="E19" s="3" t="s">
        <v>112</v>
      </c>
      <c r="F19" s="3" t="s">
        <v>52</v>
      </c>
      <c r="G19" s="3" t="s">
        <v>172</v>
      </c>
      <c r="H19" s="3">
        <v>27.0</v>
      </c>
      <c r="I19" s="3">
        <v>25.0</v>
      </c>
      <c r="J19" s="3">
        <v>27.0</v>
      </c>
      <c r="K19" s="3">
        <v>8.0</v>
      </c>
      <c r="L19" s="3">
        <v>6.0</v>
      </c>
      <c r="M19" s="3">
        <v>8.0</v>
      </c>
      <c r="N19" s="25">
        <f t="shared" si="1"/>
        <v>0</v>
      </c>
      <c r="O19" s="13"/>
      <c r="P19" s="14"/>
      <c r="Q19" s="14"/>
      <c r="R19" s="14"/>
      <c r="S19" s="14"/>
      <c r="T19" s="14"/>
      <c r="U19" s="14"/>
      <c r="V19" s="14"/>
      <c r="W19" s="14"/>
      <c r="X19" s="31"/>
      <c r="Y19" s="31"/>
    </row>
    <row r="20">
      <c r="A20" s="5">
        <v>19.0</v>
      </c>
      <c r="B20" s="42" t="s">
        <v>175</v>
      </c>
      <c r="C20" s="42" t="s">
        <v>176</v>
      </c>
      <c r="D20" s="3" t="s">
        <v>107</v>
      </c>
      <c r="E20" s="3" t="s">
        <v>81</v>
      </c>
      <c r="F20" s="3" t="s">
        <v>52</v>
      </c>
      <c r="G20" s="3" t="s">
        <v>165</v>
      </c>
      <c r="H20" s="3">
        <v>25.0</v>
      </c>
      <c r="I20" s="3">
        <v>28.0</v>
      </c>
      <c r="J20" s="3">
        <v>25.0</v>
      </c>
      <c r="K20" s="3">
        <v>7.0</v>
      </c>
      <c r="L20" s="3">
        <v>8.0</v>
      </c>
      <c r="M20" s="3">
        <v>6.0</v>
      </c>
      <c r="N20" s="25">
        <f t="shared" si="1"/>
        <v>0</v>
      </c>
      <c r="O20" s="13"/>
      <c r="P20" s="14"/>
      <c r="Q20" s="14"/>
      <c r="R20" s="14"/>
      <c r="S20" s="14"/>
      <c r="T20" s="14"/>
      <c r="U20" s="14"/>
      <c r="V20" s="14"/>
      <c r="W20" s="14"/>
      <c r="X20" s="31"/>
      <c r="Y20" s="31"/>
    </row>
    <row r="21">
      <c r="A21" s="5">
        <v>20.0</v>
      </c>
      <c r="B21" s="32" t="s">
        <v>183</v>
      </c>
      <c r="C21" s="32" t="s">
        <v>184</v>
      </c>
      <c r="D21" s="3" t="s">
        <v>50</v>
      </c>
      <c r="E21" s="3" t="s">
        <v>50</v>
      </c>
      <c r="F21" s="20" t="s">
        <v>41</v>
      </c>
      <c r="G21" s="3" t="s">
        <v>148</v>
      </c>
      <c r="H21" s="3">
        <v>25.0</v>
      </c>
      <c r="I21" s="3">
        <v>28.0</v>
      </c>
      <c r="J21" s="3">
        <v>25.0</v>
      </c>
      <c r="K21" s="3">
        <v>9.0</v>
      </c>
      <c r="L21" s="3">
        <v>7.0</v>
      </c>
      <c r="M21" s="3">
        <v>9.0</v>
      </c>
      <c r="N21" s="25">
        <f t="shared" si="1"/>
        <v>1</v>
      </c>
      <c r="O21" s="13"/>
      <c r="P21" s="14"/>
      <c r="Q21" s="14"/>
      <c r="R21" s="14"/>
      <c r="S21" s="14"/>
      <c r="T21" s="14"/>
      <c r="U21" s="14"/>
      <c r="V21" s="14"/>
      <c r="W21" s="14"/>
      <c r="X21" s="31"/>
      <c r="Y21" s="31"/>
    </row>
    <row r="22">
      <c r="A22" s="5">
        <v>21.0</v>
      </c>
      <c r="B22" s="32" t="s">
        <v>188</v>
      </c>
      <c r="C22" s="19" t="s">
        <v>189</v>
      </c>
      <c r="D22" s="3" t="s">
        <v>40</v>
      </c>
      <c r="E22" s="3" t="s">
        <v>134</v>
      </c>
      <c r="F22" s="3" t="s">
        <v>91</v>
      </c>
      <c r="G22" s="3" t="s">
        <v>54</v>
      </c>
      <c r="H22" s="3">
        <v>28.0</v>
      </c>
      <c r="I22" s="3">
        <v>26.0</v>
      </c>
      <c r="J22" s="3">
        <v>26.0</v>
      </c>
      <c r="K22" s="3">
        <v>10.0</v>
      </c>
      <c r="L22" s="3">
        <v>9.0</v>
      </c>
      <c r="M22" s="3">
        <v>7.0</v>
      </c>
      <c r="N22" s="25">
        <f t="shared" si="1"/>
        <v>0</v>
      </c>
      <c r="O22" s="13"/>
      <c r="P22" s="14"/>
      <c r="Q22" s="14"/>
      <c r="R22" s="14"/>
      <c r="S22" s="14"/>
      <c r="T22" s="14"/>
      <c r="U22" s="14"/>
      <c r="V22" s="14"/>
      <c r="W22" s="14"/>
      <c r="X22" s="31"/>
      <c r="Y22" s="31"/>
    </row>
    <row r="23">
      <c r="A23" s="5">
        <v>22.0</v>
      </c>
      <c r="B23" s="32" t="s">
        <v>192</v>
      </c>
      <c r="C23" s="32" t="s">
        <v>193</v>
      </c>
      <c r="D23" s="20" t="s">
        <v>41</v>
      </c>
      <c r="E23" s="3" t="s">
        <v>60</v>
      </c>
      <c r="F23" s="20" t="s">
        <v>41</v>
      </c>
      <c r="G23" s="3" t="s">
        <v>195</v>
      </c>
      <c r="H23" s="3">
        <v>23.0</v>
      </c>
      <c r="I23" s="3">
        <v>24.0</v>
      </c>
      <c r="J23" s="3">
        <v>24.0</v>
      </c>
      <c r="K23" s="3">
        <v>7.0</v>
      </c>
      <c r="L23" s="3">
        <v>5.0</v>
      </c>
      <c r="M23" s="3">
        <v>10.0</v>
      </c>
      <c r="N23" s="25">
        <f t="shared" si="1"/>
        <v>2</v>
      </c>
      <c r="O23" s="13"/>
      <c r="P23" s="14"/>
      <c r="Q23" s="14"/>
      <c r="R23" s="14"/>
      <c r="S23" s="14"/>
      <c r="T23" s="14"/>
      <c r="U23" s="14"/>
      <c r="V23" s="14"/>
      <c r="W23" s="14"/>
      <c r="X23" s="31"/>
      <c r="Y23" s="31"/>
    </row>
    <row r="24">
      <c r="A24" s="5">
        <v>23.0</v>
      </c>
      <c r="B24" s="3" t="s">
        <v>198</v>
      </c>
      <c r="C24" s="14" t="s">
        <v>199</v>
      </c>
      <c r="D24" s="3" t="s">
        <v>200</v>
      </c>
      <c r="E24" s="3" t="s">
        <v>200</v>
      </c>
      <c r="F24" s="3" t="s">
        <v>201</v>
      </c>
      <c r="G24" s="20" t="s">
        <v>41</v>
      </c>
      <c r="H24" s="20" t="s">
        <v>41</v>
      </c>
      <c r="I24" s="20" t="s">
        <v>41</v>
      </c>
      <c r="J24" s="20" t="s">
        <v>41</v>
      </c>
      <c r="K24" s="20">
        <v>6.0</v>
      </c>
      <c r="L24" s="20">
        <v>10.0</v>
      </c>
      <c r="M24" s="20">
        <v>5.0</v>
      </c>
      <c r="N24" s="25">
        <f t="shared" si="1"/>
        <v>4</v>
      </c>
      <c r="O24" s="13"/>
      <c r="P24" s="14"/>
      <c r="Q24" s="14"/>
      <c r="R24" s="14"/>
      <c r="S24" s="14"/>
      <c r="T24" s="14"/>
      <c r="U24" s="14"/>
      <c r="V24" s="14"/>
      <c r="W24" s="14"/>
      <c r="X24" s="31"/>
      <c r="Y24" s="31"/>
    </row>
    <row r="25">
      <c r="A25" s="5">
        <v>24.0</v>
      </c>
      <c r="B25" s="32" t="s">
        <v>204</v>
      </c>
      <c r="C25" s="32" t="s">
        <v>205</v>
      </c>
      <c r="D25" s="3" t="s">
        <v>74</v>
      </c>
      <c r="E25" s="3" t="s">
        <v>74</v>
      </c>
      <c r="F25" s="3" t="s">
        <v>201</v>
      </c>
      <c r="G25" s="3" t="s">
        <v>206</v>
      </c>
      <c r="H25" s="3">
        <v>30.0</v>
      </c>
      <c r="I25" s="3">
        <v>30.0</v>
      </c>
      <c r="J25" s="3">
        <v>30.0</v>
      </c>
      <c r="K25" s="3" t="s">
        <v>41</v>
      </c>
      <c r="L25" s="3" t="s">
        <v>41</v>
      </c>
      <c r="M25" s="3" t="s">
        <v>41</v>
      </c>
      <c r="N25" s="25">
        <f t="shared" si="1"/>
        <v>3</v>
      </c>
      <c r="O25" s="13"/>
      <c r="P25" s="14"/>
      <c r="Q25" s="14"/>
      <c r="R25" s="14"/>
      <c r="S25" s="14"/>
      <c r="T25" s="14"/>
      <c r="U25" s="14"/>
      <c r="V25" s="14"/>
      <c r="W25" s="14"/>
      <c r="X25" s="31"/>
      <c r="Y25" s="31"/>
    </row>
    <row r="26">
      <c r="A26" s="5">
        <v>25.0</v>
      </c>
      <c r="B26" s="32" t="s">
        <v>209</v>
      </c>
      <c r="C26" s="32" t="s">
        <v>210</v>
      </c>
      <c r="D26" s="3" t="s">
        <v>60</v>
      </c>
      <c r="E26" s="3" t="s">
        <v>127</v>
      </c>
      <c r="F26" s="20" t="s">
        <v>41</v>
      </c>
      <c r="G26" s="3" t="s">
        <v>128</v>
      </c>
      <c r="H26" s="3">
        <v>22.0</v>
      </c>
      <c r="I26" s="3">
        <v>22.0</v>
      </c>
      <c r="J26" s="3">
        <v>22.0</v>
      </c>
      <c r="K26" s="3">
        <v>9.0</v>
      </c>
      <c r="L26" s="3">
        <v>6.0</v>
      </c>
      <c r="M26" s="3">
        <v>8.0</v>
      </c>
      <c r="N26" s="25">
        <f t="shared" si="1"/>
        <v>1</v>
      </c>
      <c r="O26" s="13"/>
      <c r="P26" s="14"/>
      <c r="Q26" s="14"/>
      <c r="R26" s="14"/>
      <c r="S26" s="14"/>
      <c r="T26" s="14"/>
      <c r="U26" s="14"/>
      <c r="V26" s="14"/>
      <c r="W26" s="14"/>
      <c r="X26" s="31"/>
      <c r="Y26" s="31"/>
    </row>
    <row r="27">
      <c r="A27" s="5">
        <v>26.0</v>
      </c>
      <c r="B27" s="3" t="s">
        <v>214</v>
      </c>
      <c r="C27" s="14"/>
      <c r="D27" s="20" t="s">
        <v>41</v>
      </c>
      <c r="E27" s="3" t="s">
        <v>39</v>
      </c>
      <c r="F27" s="20" t="s">
        <v>41</v>
      </c>
      <c r="G27" s="20" t="s">
        <v>41</v>
      </c>
      <c r="H27" s="20" t="s">
        <v>41</v>
      </c>
      <c r="I27" s="14"/>
      <c r="J27" s="14"/>
      <c r="K27" s="3">
        <v>5.0</v>
      </c>
      <c r="L27" s="3">
        <v>8.0</v>
      </c>
      <c r="M27" s="3">
        <v>6.0</v>
      </c>
      <c r="N27" s="25">
        <f t="shared" si="1"/>
        <v>4</v>
      </c>
      <c r="O27" s="13"/>
      <c r="P27" s="14"/>
      <c r="Q27" s="14"/>
      <c r="R27" s="14"/>
      <c r="S27" s="14"/>
      <c r="T27" s="14"/>
      <c r="U27" s="14"/>
      <c r="V27" s="14"/>
      <c r="W27" s="14"/>
      <c r="X27" s="31"/>
      <c r="Y27" s="31"/>
    </row>
    <row r="28">
      <c r="A28" s="5">
        <v>27.0</v>
      </c>
      <c r="B28" s="32" t="s">
        <v>217</v>
      </c>
      <c r="C28" s="32" t="s">
        <v>218</v>
      </c>
      <c r="D28" s="20" t="s">
        <v>41</v>
      </c>
      <c r="E28" s="3" t="s">
        <v>107</v>
      </c>
      <c r="F28" s="3" t="s">
        <v>52</v>
      </c>
      <c r="G28" s="3" t="s">
        <v>119</v>
      </c>
      <c r="H28" s="3">
        <v>29.0</v>
      </c>
      <c r="I28" s="3">
        <v>29.0</v>
      </c>
      <c r="J28" s="3">
        <v>29.0</v>
      </c>
      <c r="K28" s="3">
        <v>10.0</v>
      </c>
      <c r="L28" s="3">
        <v>9.0</v>
      </c>
      <c r="M28" s="3">
        <v>9.0</v>
      </c>
      <c r="N28" s="25">
        <f t="shared" si="1"/>
        <v>1</v>
      </c>
      <c r="O28" s="13"/>
      <c r="P28" s="14"/>
      <c r="Q28" s="14"/>
      <c r="R28" s="14"/>
      <c r="S28" s="14"/>
      <c r="T28" s="14"/>
      <c r="U28" s="14"/>
      <c r="V28" s="14"/>
      <c r="W28" s="14"/>
      <c r="X28" s="31"/>
      <c r="Y28" s="31"/>
    </row>
    <row r="29">
      <c r="A29" s="5">
        <v>28.0</v>
      </c>
      <c r="B29" s="32" t="s">
        <v>220</v>
      </c>
      <c r="C29" s="32" t="s">
        <v>222</v>
      </c>
      <c r="D29" s="20" t="s">
        <v>41</v>
      </c>
      <c r="E29" s="3" t="s">
        <v>75</v>
      </c>
      <c r="F29" s="20" t="s">
        <v>41</v>
      </c>
      <c r="G29" s="20" t="s">
        <v>41</v>
      </c>
      <c r="H29" s="20" t="s">
        <v>41</v>
      </c>
      <c r="I29" s="20" t="s">
        <v>41</v>
      </c>
      <c r="J29" s="20" t="s">
        <v>41</v>
      </c>
      <c r="K29" s="20" t="s">
        <v>41</v>
      </c>
      <c r="L29" s="20" t="s">
        <v>41</v>
      </c>
      <c r="M29" s="20" t="s">
        <v>41</v>
      </c>
      <c r="N29" s="25">
        <f t="shared" si="1"/>
        <v>9</v>
      </c>
      <c r="O29" s="13"/>
      <c r="P29" s="14"/>
      <c r="Q29" s="14"/>
      <c r="R29" s="14"/>
      <c r="S29" s="14"/>
      <c r="T29" s="14"/>
      <c r="U29" s="14"/>
      <c r="V29" s="14"/>
      <c r="W29" s="14"/>
      <c r="X29" s="31"/>
      <c r="Y29" s="31"/>
    </row>
    <row r="30">
      <c r="A30" s="5">
        <v>29.0</v>
      </c>
      <c r="B30" s="33" t="s">
        <v>224</v>
      </c>
      <c r="C30" s="33" t="s">
        <v>225</v>
      </c>
      <c r="D30" s="3" t="s">
        <v>97</v>
      </c>
      <c r="E30" s="3" t="s">
        <v>97</v>
      </c>
      <c r="F30" s="3" t="s">
        <v>201</v>
      </c>
      <c r="G30" s="3" t="s">
        <v>227</v>
      </c>
      <c r="H30" s="20" t="s">
        <v>41</v>
      </c>
      <c r="I30" s="20" t="s">
        <v>41</v>
      </c>
      <c r="J30" s="20" t="s">
        <v>41</v>
      </c>
      <c r="K30" s="20" t="s">
        <v>41</v>
      </c>
      <c r="L30" s="20" t="s">
        <v>41</v>
      </c>
      <c r="M30" s="20" t="s">
        <v>41</v>
      </c>
      <c r="N30" s="25">
        <f t="shared" si="1"/>
        <v>6</v>
      </c>
      <c r="O30" s="13"/>
      <c r="P30" s="14"/>
      <c r="Q30" s="14"/>
      <c r="R30" s="14"/>
      <c r="S30" s="14"/>
      <c r="T30" s="14"/>
      <c r="U30" s="14"/>
      <c r="V30" s="14"/>
      <c r="W30" s="14"/>
      <c r="X30" s="31"/>
      <c r="Y30" s="31"/>
    </row>
    <row r="31">
      <c r="A31" s="5">
        <v>30.0</v>
      </c>
      <c r="B31" s="32" t="s">
        <v>230</v>
      </c>
      <c r="C31" s="32" t="s">
        <v>231</v>
      </c>
      <c r="D31" s="3" t="s">
        <v>147</v>
      </c>
      <c r="E31" s="3" t="s">
        <v>147</v>
      </c>
      <c r="F31" s="3" t="s">
        <v>91</v>
      </c>
      <c r="G31" s="3" t="s">
        <v>232</v>
      </c>
      <c r="H31" s="3">
        <v>24.0</v>
      </c>
      <c r="I31" s="3">
        <v>24.0</v>
      </c>
      <c r="J31" s="3">
        <v>24.0</v>
      </c>
      <c r="K31" s="3" t="s">
        <v>41</v>
      </c>
      <c r="L31" s="3" t="s">
        <v>41</v>
      </c>
      <c r="M31" s="3" t="s">
        <v>41</v>
      </c>
      <c r="N31" s="25">
        <f t="shared" si="1"/>
        <v>3</v>
      </c>
      <c r="O31" s="13"/>
      <c r="P31" s="14"/>
      <c r="Q31" s="14"/>
      <c r="R31" s="14"/>
      <c r="S31" s="14"/>
      <c r="T31" s="14"/>
      <c r="U31" s="14"/>
      <c r="V31" s="14"/>
      <c r="W31" s="14"/>
      <c r="X31" s="31"/>
      <c r="Y31" s="31"/>
    </row>
    <row r="32">
      <c r="A32" s="5">
        <v>31.0</v>
      </c>
      <c r="B32" s="32" t="s">
        <v>236</v>
      </c>
      <c r="C32" s="32" t="s">
        <v>237</v>
      </c>
      <c r="D32" s="3" t="s">
        <v>81</v>
      </c>
      <c r="E32" s="3" t="s">
        <v>40</v>
      </c>
      <c r="F32" s="20" t="s">
        <v>41</v>
      </c>
      <c r="G32" s="3" t="s">
        <v>239</v>
      </c>
      <c r="H32" s="3">
        <v>30.0</v>
      </c>
      <c r="I32" s="3">
        <v>23.0</v>
      </c>
      <c r="J32" s="3">
        <v>23.0</v>
      </c>
      <c r="K32" s="3">
        <v>6.0</v>
      </c>
      <c r="L32" s="3">
        <v>7.0</v>
      </c>
      <c r="M32" s="3">
        <v>10.0</v>
      </c>
      <c r="N32" s="25">
        <f t="shared" si="1"/>
        <v>1</v>
      </c>
      <c r="O32" s="13"/>
      <c r="P32" s="14"/>
      <c r="Q32" s="14"/>
      <c r="R32" s="14"/>
      <c r="S32" s="14"/>
      <c r="T32" s="14"/>
      <c r="U32" s="14"/>
      <c r="V32" s="14"/>
      <c r="W32" s="14"/>
      <c r="X32" s="31"/>
      <c r="Y32" s="31"/>
    </row>
    <row r="33">
      <c r="A33" s="5">
        <v>32.0</v>
      </c>
      <c r="B33" s="33" t="s">
        <v>242</v>
      </c>
      <c r="C33" s="33" t="s">
        <v>243</v>
      </c>
      <c r="D33" s="20" t="s">
        <v>41</v>
      </c>
      <c r="E33" s="3" t="s">
        <v>106</v>
      </c>
      <c r="F33" s="20" t="s">
        <v>41</v>
      </c>
      <c r="G33" s="20" t="s">
        <v>41</v>
      </c>
      <c r="H33" s="20" t="s">
        <v>41</v>
      </c>
      <c r="I33" s="20" t="s">
        <v>41</v>
      </c>
      <c r="J33" s="20" t="s">
        <v>41</v>
      </c>
      <c r="K33" s="20" t="s">
        <v>41</v>
      </c>
      <c r="L33" s="20" t="s">
        <v>41</v>
      </c>
      <c r="M33" s="20" t="s">
        <v>41</v>
      </c>
      <c r="N33" s="25">
        <f t="shared" si="1"/>
        <v>9</v>
      </c>
      <c r="O33" s="13"/>
      <c r="P33" s="14"/>
      <c r="Q33" s="14"/>
      <c r="R33" s="14"/>
      <c r="S33" s="14"/>
      <c r="T33" s="14"/>
      <c r="U33" s="14"/>
      <c r="V33" s="14"/>
      <c r="W33" s="14"/>
      <c r="X33" s="31"/>
      <c r="Y33" s="31"/>
    </row>
    <row r="34">
      <c r="A34" s="5">
        <v>33.0</v>
      </c>
      <c r="B34" s="32" t="s">
        <v>247</v>
      </c>
      <c r="C34" s="32" t="s">
        <v>248</v>
      </c>
      <c r="D34" s="3" t="s">
        <v>142</v>
      </c>
      <c r="E34" s="3" t="s">
        <v>142</v>
      </c>
      <c r="F34" s="3" t="s">
        <v>91</v>
      </c>
      <c r="G34" s="3" t="s">
        <v>128</v>
      </c>
      <c r="H34" s="3">
        <v>27.0</v>
      </c>
      <c r="I34" s="3">
        <v>27.0</v>
      </c>
      <c r="J34" s="3">
        <v>27.0</v>
      </c>
      <c r="K34" s="3" t="s">
        <v>41</v>
      </c>
      <c r="L34" s="3" t="s">
        <v>41</v>
      </c>
      <c r="M34" s="3" t="s">
        <v>41</v>
      </c>
      <c r="N34" s="25">
        <f t="shared" si="1"/>
        <v>3</v>
      </c>
      <c r="O34" s="13"/>
      <c r="P34" s="14"/>
      <c r="Q34" s="14"/>
      <c r="R34" s="14"/>
      <c r="S34" s="14"/>
      <c r="T34" s="14"/>
      <c r="U34" s="14"/>
      <c r="V34" s="14"/>
      <c r="W34" s="14"/>
      <c r="X34" s="31"/>
      <c r="Y34" s="31"/>
    </row>
    <row r="35">
      <c r="A35" s="5">
        <v>34.0</v>
      </c>
      <c r="B35" s="32" t="s">
        <v>251</v>
      </c>
      <c r="C35" s="32" t="s">
        <v>253</v>
      </c>
      <c r="D35" s="3" t="s">
        <v>127</v>
      </c>
      <c r="E35" s="3" t="s">
        <v>112</v>
      </c>
      <c r="F35" s="3" t="s">
        <v>91</v>
      </c>
      <c r="G35" s="3" t="s">
        <v>128</v>
      </c>
      <c r="H35" s="3">
        <v>22.0</v>
      </c>
      <c r="I35" s="3">
        <v>30.0</v>
      </c>
      <c r="J35" s="3">
        <v>30.0</v>
      </c>
      <c r="K35" s="3">
        <v>9.0</v>
      </c>
      <c r="L35" s="3">
        <v>10.0</v>
      </c>
      <c r="M35" s="3">
        <v>5.0</v>
      </c>
      <c r="N35" s="25">
        <f t="shared" si="1"/>
        <v>0</v>
      </c>
      <c r="O35" s="13"/>
      <c r="P35" s="14"/>
      <c r="Q35" s="14"/>
      <c r="R35" s="14"/>
      <c r="S35" s="14"/>
      <c r="T35" s="14"/>
      <c r="U35" s="14"/>
      <c r="V35" s="14"/>
      <c r="W35" s="14"/>
      <c r="X35" s="31"/>
      <c r="Y35" s="31"/>
    </row>
    <row r="36">
      <c r="A36" s="5">
        <v>35.0</v>
      </c>
      <c r="B36" s="32" t="s">
        <v>256</v>
      </c>
      <c r="C36" s="14"/>
      <c r="D36" s="20" t="s">
        <v>41</v>
      </c>
      <c r="E36" s="3" t="s">
        <v>98</v>
      </c>
      <c r="F36" s="20" t="s">
        <v>41</v>
      </c>
      <c r="G36" s="3" t="s">
        <v>165</v>
      </c>
      <c r="H36" s="20" t="s">
        <v>41</v>
      </c>
      <c r="I36" s="3">
        <v>24.0</v>
      </c>
      <c r="J36" s="3">
        <v>24.0</v>
      </c>
      <c r="K36" s="3">
        <v>7.0</v>
      </c>
      <c r="L36" s="3">
        <v>6.0</v>
      </c>
      <c r="M36" s="3">
        <v>8.0</v>
      </c>
      <c r="N36" s="25">
        <f t="shared" si="1"/>
        <v>3</v>
      </c>
      <c r="O36" s="13"/>
      <c r="P36" s="14"/>
      <c r="Q36" s="14"/>
      <c r="R36" s="14"/>
      <c r="S36" s="14"/>
      <c r="T36" s="14"/>
      <c r="U36" s="14"/>
      <c r="V36" s="14"/>
      <c r="W36" s="14"/>
      <c r="X36" s="31"/>
      <c r="Y36" s="31"/>
    </row>
    <row r="37">
      <c r="A37" s="5">
        <v>36.0</v>
      </c>
      <c r="B37" s="32" t="s">
        <v>259</v>
      </c>
      <c r="C37" s="19" t="s">
        <v>260</v>
      </c>
      <c r="D37" s="3" t="s">
        <v>98</v>
      </c>
      <c r="E37" s="3" t="s">
        <v>39</v>
      </c>
      <c r="F37" s="3" t="s">
        <v>164</v>
      </c>
      <c r="G37" s="3" t="s">
        <v>261</v>
      </c>
      <c r="H37" s="3">
        <v>26.0</v>
      </c>
      <c r="I37" s="3">
        <v>24.0</v>
      </c>
      <c r="J37" s="3">
        <v>24.0</v>
      </c>
      <c r="K37" s="3">
        <v>5.0</v>
      </c>
      <c r="L37" s="3">
        <v>8.0</v>
      </c>
      <c r="M37" s="3">
        <v>6.0</v>
      </c>
      <c r="N37" s="25">
        <f t="shared" si="1"/>
        <v>0</v>
      </c>
      <c r="O37" s="13"/>
      <c r="P37" s="14"/>
      <c r="Q37" s="14"/>
      <c r="R37" s="14"/>
      <c r="S37" s="14"/>
      <c r="T37" s="14"/>
      <c r="U37" s="14"/>
      <c r="V37" s="14"/>
      <c r="W37" s="14"/>
      <c r="X37" s="31"/>
      <c r="Y37" s="31"/>
    </row>
    <row r="38">
      <c r="A38" s="5">
        <v>37.0</v>
      </c>
      <c r="B38" s="32" t="s">
        <v>262</v>
      </c>
      <c r="C38" s="32" t="s">
        <v>263</v>
      </c>
      <c r="D38" s="3" t="s">
        <v>50</v>
      </c>
      <c r="E38" s="3" t="s">
        <v>50</v>
      </c>
      <c r="F38" s="3" t="s">
        <v>91</v>
      </c>
      <c r="G38" s="3" t="s">
        <v>172</v>
      </c>
      <c r="H38" s="3">
        <v>28.0</v>
      </c>
      <c r="I38" s="3">
        <v>28.0</v>
      </c>
      <c r="J38" s="3">
        <v>28.0</v>
      </c>
      <c r="K38" s="3">
        <v>5.0</v>
      </c>
      <c r="L38" s="3">
        <v>8.0</v>
      </c>
      <c r="M38" s="3">
        <v>6.0</v>
      </c>
      <c r="N38" s="25">
        <f t="shared" si="1"/>
        <v>0</v>
      </c>
      <c r="O38" s="13"/>
      <c r="P38" s="14"/>
      <c r="Q38" s="14"/>
      <c r="R38" s="14"/>
      <c r="S38" s="14"/>
      <c r="T38" s="14"/>
      <c r="U38" s="14"/>
      <c r="V38" s="14"/>
      <c r="W38" s="14"/>
      <c r="X38" s="31"/>
      <c r="Y38" s="31"/>
    </row>
    <row r="39">
      <c r="A39" s="5">
        <v>38.0</v>
      </c>
      <c r="B39" s="32" t="s">
        <v>266</v>
      </c>
      <c r="C39" s="32" t="s">
        <v>267</v>
      </c>
      <c r="D39" s="3" t="s">
        <v>135</v>
      </c>
      <c r="E39" s="3" t="s">
        <v>268</v>
      </c>
      <c r="F39" s="3" t="s">
        <v>91</v>
      </c>
      <c r="G39" s="20" t="s">
        <v>41</v>
      </c>
      <c r="H39" s="20" t="s">
        <v>41</v>
      </c>
      <c r="I39" s="20" t="s">
        <v>41</v>
      </c>
      <c r="J39" s="20" t="s">
        <v>41</v>
      </c>
      <c r="K39" s="20">
        <v>8.0</v>
      </c>
      <c r="L39" s="20">
        <v>9.0</v>
      </c>
      <c r="M39" s="20">
        <v>9.0</v>
      </c>
      <c r="N39" s="25">
        <f t="shared" si="1"/>
        <v>4</v>
      </c>
      <c r="O39" s="13"/>
      <c r="P39" s="14"/>
      <c r="Q39" s="14"/>
      <c r="R39" s="14"/>
      <c r="S39" s="14"/>
      <c r="T39" s="14"/>
      <c r="U39" s="14"/>
      <c r="V39" s="14"/>
      <c r="W39" s="14"/>
      <c r="X39" s="31"/>
      <c r="Y39" s="31"/>
    </row>
    <row r="40">
      <c r="A40" s="5">
        <v>39.0</v>
      </c>
      <c r="B40" s="32" t="s">
        <v>271</v>
      </c>
      <c r="C40" s="32" t="s">
        <v>272</v>
      </c>
      <c r="D40" s="3" t="s">
        <v>75</v>
      </c>
      <c r="E40" s="3" t="s">
        <v>75</v>
      </c>
      <c r="F40" s="3" t="s">
        <v>52</v>
      </c>
      <c r="G40" s="3" t="s">
        <v>136</v>
      </c>
      <c r="H40" s="3">
        <v>23.0</v>
      </c>
      <c r="I40" s="3">
        <v>23.0</v>
      </c>
      <c r="J40" s="3">
        <v>23.0</v>
      </c>
      <c r="K40" s="3" t="s">
        <v>41</v>
      </c>
      <c r="L40" s="3" t="s">
        <v>41</v>
      </c>
      <c r="M40" s="3" t="s">
        <v>41</v>
      </c>
      <c r="N40" s="25">
        <f t="shared" si="1"/>
        <v>3</v>
      </c>
      <c r="O40" s="13"/>
      <c r="P40" s="14"/>
      <c r="Q40" s="14"/>
      <c r="R40" s="14"/>
      <c r="S40" s="14"/>
      <c r="T40" s="14"/>
      <c r="U40" s="14"/>
      <c r="V40" s="14"/>
      <c r="W40" s="14"/>
      <c r="X40" s="31"/>
      <c r="Y40" s="31"/>
    </row>
    <row r="41">
      <c r="A41" s="5">
        <v>40.0</v>
      </c>
      <c r="B41" s="32" t="s">
        <v>274</v>
      </c>
      <c r="C41" s="32" t="s">
        <v>275</v>
      </c>
      <c r="D41" s="3" t="s">
        <v>112</v>
      </c>
      <c r="E41" s="3" t="s">
        <v>127</v>
      </c>
      <c r="F41" s="3" t="s">
        <v>91</v>
      </c>
      <c r="G41" s="3" t="s">
        <v>239</v>
      </c>
      <c r="H41" s="3">
        <v>29.0</v>
      </c>
      <c r="I41" s="3">
        <v>25.0</v>
      </c>
      <c r="J41" s="3">
        <v>25.0</v>
      </c>
      <c r="K41" s="3">
        <v>6.0</v>
      </c>
      <c r="L41" s="3">
        <v>5.0</v>
      </c>
      <c r="M41" s="3">
        <v>7.0</v>
      </c>
      <c r="N41" s="25">
        <f t="shared" si="1"/>
        <v>0</v>
      </c>
      <c r="O41" s="13"/>
      <c r="P41" s="14"/>
      <c r="Q41" s="14"/>
      <c r="R41" s="14"/>
      <c r="S41" s="14"/>
      <c r="T41" s="14"/>
      <c r="U41" s="14"/>
      <c r="V41" s="14"/>
      <c r="W41" s="14"/>
      <c r="X41" s="31"/>
      <c r="Y41" s="31"/>
    </row>
    <row r="42">
      <c r="A42" s="5">
        <v>41.0</v>
      </c>
      <c r="B42" s="32" t="s">
        <v>277</v>
      </c>
      <c r="C42" s="32" t="s">
        <v>278</v>
      </c>
      <c r="D42" s="3" t="s">
        <v>107</v>
      </c>
      <c r="E42" s="3" t="s">
        <v>81</v>
      </c>
      <c r="F42" s="20" t="s">
        <v>41</v>
      </c>
      <c r="G42" s="20" t="s">
        <v>41</v>
      </c>
      <c r="H42" s="20" t="s">
        <v>41</v>
      </c>
      <c r="I42" s="3">
        <v>22.0</v>
      </c>
      <c r="J42" s="3">
        <v>22.0</v>
      </c>
      <c r="K42" s="3">
        <v>9.0</v>
      </c>
      <c r="L42" s="3">
        <v>7.0</v>
      </c>
      <c r="M42" s="3">
        <v>10.0</v>
      </c>
      <c r="N42" s="25">
        <f t="shared" si="1"/>
        <v>3</v>
      </c>
      <c r="O42" s="13"/>
      <c r="P42" s="14"/>
      <c r="Q42" s="14"/>
      <c r="R42" s="14"/>
      <c r="S42" s="14"/>
      <c r="T42" s="14"/>
      <c r="U42" s="14"/>
      <c r="V42" s="14"/>
      <c r="W42" s="14"/>
      <c r="X42" s="31"/>
      <c r="Y42" s="31"/>
    </row>
    <row r="43">
      <c r="A43" s="5">
        <v>42.0</v>
      </c>
      <c r="B43" s="32" t="s">
        <v>281</v>
      </c>
      <c r="C43" s="32" t="s">
        <v>282</v>
      </c>
      <c r="D43" s="3" t="s">
        <v>90</v>
      </c>
      <c r="E43" s="3" t="s">
        <v>90</v>
      </c>
      <c r="F43" s="3" t="s">
        <v>52</v>
      </c>
      <c r="G43" s="3" t="s">
        <v>136</v>
      </c>
      <c r="H43" s="3">
        <v>27.0</v>
      </c>
      <c r="I43" s="3">
        <v>29.0</v>
      </c>
      <c r="J43" s="3">
        <v>29.0</v>
      </c>
      <c r="K43" s="3">
        <v>7.0</v>
      </c>
      <c r="L43" s="3">
        <v>10.0</v>
      </c>
      <c r="M43" s="3">
        <v>5.0</v>
      </c>
      <c r="N43" s="25">
        <f t="shared" si="1"/>
        <v>0</v>
      </c>
      <c r="O43" s="13"/>
      <c r="P43" s="14"/>
      <c r="Q43" s="14"/>
      <c r="R43" s="14"/>
      <c r="S43" s="14"/>
      <c r="T43" s="14"/>
      <c r="U43" s="14"/>
      <c r="V43" s="14"/>
      <c r="W43" s="14"/>
      <c r="X43" s="31"/>
      <c r="Y43" s="31"/>
    </row>
    <row r="44">
      <c r="A44" s="5">
        <v>43.0</v>
      </c>
      <c r="B44" s="32" t="s">
        <v>284</v>
      </c>
      <c r="C44" s="14" t="s">
        <v>285</v>
      </c>
      <c r="D44" s="3" t="s">
        <v>97</v>
      </c>
      <c r="E44" s="3" t="s">
        <v>97</v>
      </c>
      <c r="F44" s="20" t="s">
        <v>41</v>
      </c>
      <c r="G44" s="3" t="s">
        <v>128</v>
      </c>
      <c r="H44" s="3">
        <v>24.0</v>
      </c>
      <c r="I44" s="3">
        <v>30.0</v>
      </c>
      <c r="J44" s="3">
        <v>30.0</v>
      </c>
      <c r="K44" s="3">
        <v>10.0</v>
      </c>
      <c r="L44" s="3">
        <v>6.0</v>
      </c>
      <c r="M44" s="3">
        <v>8.0</v>
      </c>
      <c r="N44" s="25">
        <f t="shared" si="1"/>
        <v>1</v>
      </c>
      <c r="O44" s="13"/>
      <c r="P44" s="14"/>
      <c r="Q44" s="14"/>
      <c r="R44" s="14"/>
      <c r="S44" s="14"/>
      <c r="T44" s="14"/>
      <c r="U44" s="14"/>
      <c r="V44" s="14"/>
      <c r="W44" s="14"/>
      <c r="X44" s="31"/>
      <c r="Y44" s="31"/>
    </row>
    <row r="45">
      <c r="A45" s="5">
        <v>44.0</v>
      </c>
      <c r="B45" s="42" t="s">
        <v>287</v>
      </c>
      <c r="C45" s="62" t="s">
        <v>288</v>
      </c>
      <c r="D45" s="3" t="s">
        <v>74</v>
      </c>
      <c r="E45" s="3" t="s">
        <v>74</v>
      </c>
      <c r="F45" s="3" t="s">
        <v>52</v>
      </c>
      <c r="G45" s="3" t="s">
        <v>290</v>
      </c>
      <c r="H45" s="3">
        <v>26.0</v>
      </c>
      <c r="I45" s="3">
        <v>26.0</v>
      </c>
      <c r="J45" s="3">
        <v>26.0</v>
      </c>
      <c r="K45" s="3">
        <v>8.0</v>
      </c>
      <c r="L45" s="3">
        <v>8.0</v>
      </c>
      <c r="M45" s="3">
        <v>6.0</v>
      </c>
      <c r="N45" s="25">
        <f t="shared" si="1"/>
        <v>0</v>
      </c>
      <c r="O45" s="13"/>
      <c r="P45" s="14"/>
      <c r="Q45" s="14"/>
      <c r="R45" s="14"/>
      <c r="S45" s="14"/>
      <c r="T45" s="14"/>
      <c r="U45" s="14"/>
      <c r="V45" s="14"/>
      <c r="W45" s="14"/>
      <c r="X45" s="31"/>
      <c r="Y45" s="31"/>
    </row>
    <row r="46">
      <c r="A46" s="5">
        <v>45.0</v>
      </c>
      <c r="B46" s="32" t="s">
        <v>291</v>
      </c>
      <c r="C46" s="19" t="s">
        <v>292</v>
      </c>
      <c r="D46" s="20" t="s">
        <v>41</v>
      </c>
      <c r="E46" s="3" t="s">
        <v>60</v>
      </c>
      <c r="F46" s="20" t="s">
        <v>41</v>
      </c>
      <c r="G46" s="3" t="s">
        <v>136</v>
      </c>
      <c r="H46" s="3">
        <v>30.0</v>
      </c>
      <c r="I46" s="3">
        <v>29.0</v>
      </c>
      <c r="J46" s="3">
        <v>29.0</v>
      </c>
      <c r="K46" s="3">
        <v>5.0</v>
      </c>
      <c r="L46" s="3">
        <v>9.0</v>
      </c>
      <c r="M46" s="3">
        <v>9.0</v>
      </c>
      <c r="N46" s="25">
        <f t="shared" si="1"/>
        <v>2</v>
      </c>
      <c r="O46" s="13"/>
      <c r="P46" s="14"/>
      <c r="Q46" s="14"/>
      <c r="R46" s="14"/>
      <c r="S46" s="14"/>
      <c r="T46" s="14"/>
      <c r="U46" s="14"/>
      <c r="V46" s="14"/>
      <c r="W46" s="14"/>
      <c r="X46" s="31"/>
      <c r="Y46" s="31"/>
    </row>
    <row r="47">
      <c r="A47" s="5">
        <v>46.0</v>
      </c>
      <c r="B47" s="63" t="s">
        <v>294</v>
      </c>
      <c r="C47" s="64" t="s">
        <v>295</v>
      </c>
      <c r="D47" s="3" t="s">
        <v>106</v>
      </c>
      <c r="E47" s="3" t="s">
        <v>107</v>
      </c>
      <c r="F47" s="20" t="s">
        <v>41</v>
      </c>
      <c r="G47" s="20" t="s">
        <v>41</v>
      </c>
      <c r="H47" s="20" t="s">
        <v>41</v>
      </c>
      <c r="I47" s="3">
        <v>24.0</v>
      </c>
      <c r="J47" s="3">
        <v>24.0</v>
      </c>
      <c r="K47" s="3">
        <v>9.0</v>
      </c>
      <c r="L47" s="3">
        <v>5.0</v>
      </c>
      <c r="M47" s="3">
        <v>7.0</v>
      </c>
      <c r="N47" s="25">
        <f t="shared" si="1"/>
        <v>3</v>
      </c>
      <c r="O47" s="13"/>
      <c r="P47" s="14"/>
      <c r="Q47" s="14"/>
      <c r="R47" s="14"/>
      <c r="S47" s="14"/>
      <c r="T47" s="14"/>
      <c r="U47" s="14"/>
      <c r="V47" s="14"/>
      <c r="W47" s="14"/>
      <c r="X47" s="31"/>
      <c r="Y47" s="31"/>
    </row>
    <row r="48">
      <c r="A48" s="5">
        <v>47.0</v>
      </c>
      <c r="B48" s="42" t="s">
        <v>299</v>
      </c>
      <c r="C48" s="42" t="s">
        <v>300</v>
      </c>
      <c r="D48" s="3" t="s">
        <v>147</v>
      </c>
      <c r="E48" s="3" t="s">
        <v>147</v>
      </c>
      <c r="F48" s="3" t="s">
        <v>52</v>
      </c>
      <c r="G48" s="3" t="s">
        <v>301</v>
      </c>
      <c r="H48" s="3">
        <v>25.0</v>
      </c>
      <c r="I48" s="3">
        <v>27.0</v>
      </c>
      <c r="J48" s="3">
        <v>27.0</v>
      </c>
      <c r="K48" s="3">
        <v>6.0</v>
      </c>
      <c r="L48" s="3">
        <v>10.0</v>
      </c>
      <c r="M48" s="3">
        <v>10.0</v>
      </c>
      <c r="N48" s="25">
        <f t="shared" si="1"/>
        <v>0</v>
      </c>
      <c r="O48" s="13"/>
      <c r="P48" s="14"/>
      <c r="Q48" s="14"/>
      <c r="R48" s="14"/>
      <c r="S48" s="14"/>
      <c r="T48" s="14"/>
      <c r="U48" s="14"/>
      <c r="V48" s="14"/>
      <c r="W48" s="14"/>
      <c r="X48" s="31"/>
      <c r="Y48" s="31"/>
    </row>
    <row r="49">
      <c r="A49" s="5">
        <v>48.0</v>
      </c>
      <c r="B49" s="32" t="s">
        <v>303</v>
      </c>
      <c r="C49" s="32" t="s">
        <v>305</v>
      </c>
      <c r="D49" s="3" t="s">
        <v>39</v>
      </c>
      <c r="E49" s="3" t="s">
        <v>112</v>
      </c>
      <c r="F49" s="3" t="s">
        <v>201</v>
      </c>
      <c r="G49" s="3" t="s">
        <v>206</v>
      </c>
      <c r="H49" s="3">
        <v>22.0</v>
      </c>
      <c r="I49" s="3">
        <v>23.0</v>
      </c>
      <c r="J49" s="3">
        <v>23.0</v>
      </c>
      <c r="K49" s="3">
        <v>10.0</v>
      </c>
      <c r="L49" s="3">
        <v>6.0</v>
      </c>
      <c r="M49" s="3" t="s">
        <v>41</v>
      </c>
      <c r="N49" s="25">
        <f t="shared" si="1"/>
        <v>1</v>
      </c>
      <c r="O49" s="13"/>
      <c r="P49" s="14"/>
      <c r="Q49" s="14"/>
      <c r="R49" s="14"/>
      <c r="S49" s="14"/>
      <c r="T49" s="14"/>
      <c r="U49" s="14"/>
      <c r="V49" s="14"/>
      <c r="W49" s="14"/>
      <c r="X49" s="31"/>
      <c r="Y49" s="31"/>
    </row>
    <row r="50">
      <c r="A50" s="5">
        <v>49.0</v>
      </c>
      <c r="B50" s="32" t="s">
        <v>307</v>
      </c>
      <c r="C50" s="19" t="s">
        <v>308</v>
      </c>
      <c r="D50" s="3" t="s">
        <v>81</v>
      </c>
      <c r="E50" s="3" t="s">
        <v>40</v>
      </c>
      <c r="F50" s="3" t="s">
        <v>52</v>
      </c>
      <c r="G50" s="3" t="s">
        <v>148</v>
      </c>
      <c r="H50" s="3">
        <v>29.0</v>
      </c>
      <c r="I50" s="3">
        <v>28.0</v>
      </c>
      <c r="J50" s="3">
        <v>28.0</v>
      </c>
      <c r="K50" s="3" t="s">
        <v>41</v>
      </c>
      <c r="L50" s="3">
        <v>7.0</v>
      </c>
      <c r="M50" s="3">
        <v>5.0</v>
      </c>
      <c r="N50" s="25">
        <f t="shared" si="1"/>
        <v>1</v>
      </c>
      <c r="O50" s="13"/>
      <c r="P50" s="14"/>
      <c r="Q50" s="14"/>
      <c r="R50" s="14"/>
      <c r="S50" s="14"/>
      <c r="T50" s="14"/>
      <c r="U50" s="14"/>
      <c r="V50" s="14"/>
      <c r="W50" s="14"/>
      <c r="X50" s="31"/>
      <c r="Y50" s="31"/>
    </row>
    <row r="51">
      <c r="A51" s="5">
        <v>50.0</v>
      </c>
      <c r="B51" s="32" t="s">
        <v>312</v>
      </c>
      <c r="C51" s="32" t="s">
        <v>313</v>
      </c>
      <c r="D51" s="20" t="s">
        <v>41</v>
      </c>
      <c r="E51" s="20" t="s">
        <v>41</v>
      </c>
      <c r="F51" s="20" t="s">
        <v>41</v>
      </c>
      <c r="G51" s="20" t="s">
        <v>41</v>
      </c>
      <c r="H51" s="20" t="s">
        <v>41</v>
      </c>
      <c r="I51" s="20" t="s">
        <v>41</v>
      </c>
      <c r="J51" s="20" t="s">
        <v>41</v>
      </c>
      <c r="K51" s="20" t="s">
        <v>41</v>
      </c>
      <c r="L51" s="20" t="s">
        <v>41</v>
      </c>
      <c r="M51" s="20" t="s">
        <v>41</v>
      </c>
      <c r="N51" s="25">
        <f t="shared" si="1"/>
        <v>10</v>
      </c>
      <c r="O51" s="13"/>
      <c r="P51" s="14"/>
      <c r="Q51" s="14"/>
      <c r="R51" s="14"/>
      <c r="S51" s="14"/>
      <c r="T51" s="14"/>
      <c r="U51" s="14"/>
      <c r="V51" s="14"/>
      <c r="W51" s="14"/>
      <c r="X51" s="31"/>
      <c r="Y51" s="31"/>
    </row>
    <row r="52">
      <c r="A52" s="5">
        <v>51.0</v>
      </c>
      <c r="B52" s="32" t="s">
        <v>315</v>
      </c>
      <c r="C52" s="32" t="s">
        <v>316</v>
      </c>
      <c r="D52" s="3" t="s">
        <v>127</v>
      </c>
      <c r="E52" s="3" t="s">
        <v>127</v>
      </c>
      <c r="F52" s="20" t="s">
        <v>41</v>
      </c>
      <c r="G52" s="3" t="s">
        <v>318</v>
      </c>
      <c r="H52" s="3">
        <v>27.0</v>
      </c>
      <c r="I52" s="3">
        <v>26.0</v>
      </c>
      <c r="J52" s="3">
        <v>26.0</v>
      </c>
      <c r="K52" s="3">
        <v>8.0</v>
      </c>
      <c r="L52" s="3">
        <v>8.0</v>
      </c>
      <c r="M52" s="3">
        <v>6.0</v>
      </c>
      <c r="N52" s="25">
        <f t="shared" si="1"/>
        <v>1</v>
      </c>
      <c r="O52" s="13"/>
      <c r="P52" s="14"/>
      <c r="Q52" s="14"/>
      <c r="R52" s="14"/>
      <c r="S52" s="14"/>
      <c r="T52" s="14"/>
      <c r="U52" s="14"/>
      <c r="V52" s="14"/>
      <c r="W52" s="14"/>
      <c r="X52" s="31"/>
      <c r="Y52" s="31"/>
    </row>
    <row r="53">
      <c r="A53" s="5">
        <v>52.0</v>
      </c>
      <c r="B53" s="32" t="s">
        <v>319</v>
      </c>
      <c r="C53" s="32" t="s">
        <v>320</v>
      </c>
      <c r="D53" s="20" t="s">
        <v>41</v>
      </c>
      <c r="E53" s="3" t="s">
        <v>39</v>
      </c>
      <c r="F53" s="20" t="s">
        <v>41</v>
      </c>
      <c r="G53" s="3" t="s">
        <v>54</v>
      </c>
      <c r="H53" s="3">
        <v>28.0</v>
      </c>
      <c r="I53" s="3">
        <v>25.0</v>
      </c>
      <c r="J53" s="3">
        <v>25.0</v>
      </c>
      <c r="K53" s="3">
        <v>9.0</v>
      </c>
      <c r="L53" s="3">
        <v>5.0</v>
      </c>
      <c r="M53" s="3">
        <v>9.0</v>
      </c>
      <c r="N53" s="25">
        <f t="shared" si="1"/>
        <v>2</v>
      </c>
      <c r="O53" s="13"/>
      <c r="P53" s="14"/>
      <c r="Q53" s="14"/>
      <c r="R53" s="14"/>
      <c r="S53" s="14"/>
      <c r="T53" s="14"/>
      <c r="U53" s="14"/>
      <c r="V53" s="14"/>
      <c r="W53" s="14"/>
      <c r="X53" s="31"/>
      <c r="Y53" s="31"/>
    </row>
    <row r="54">
      <c r="A54" s="5">
        <v>53.0</v>
      </c>
      <c r="B54" s="32" t="s">
        <v>322</v>
      </c>
      <c r="C54" s="32" t="s">
        <v>323</v>
      </c>
      <c r="D54" s="3" t="s">
        <v>98</v>
      </c>
      <c r="E54" s="3" t="s">
        <v>98</v>
      </c>
      <c r="F54" s="3" t="s">
        <v>52</v>
      </c>
      <c r="G54" s="3" t="s">
        <v>165</v>
      </c>
      <c r="H54" s="3">
        <v>24.0</v>
      </c>
      <c r="I54" s="3">
        <v>30.0</v>
      </c>
      <c r="J54" s="3">
        <v>30.0</v>
      </c>
      <c r="K54" s="3">
        <v>10.0</v>
      </c>
      <c r="L54" s="3">
        <v>9.0</v>
      </c>
      <c r="M54" s="3">
        <v>7.0</v>
      </c>
      <c r="N54" s="25">
        <f t="shared" si="1"/>
        <v>0</v>
      </c>
      <c r="O54" s="13"/>
      <c r="P54" s="14"/>
      <c r="Q54" s="14"/>
      <c r="R54" s="14"/>
      <c r="S54" s="14"/>
      <c r="T54" s="14"/>
      <c r="U54" s="14"/>
      <c r="V54" s="14"/>
      <c r="W54" s="14"/>
      <c r="X54" s="31"/>
      <c r="Y54" s="31"/>
    </row>
    <row r="55">
      <c r="A55" s="5">
        <v>54.0</v>
      </c>
      <c r="B55" s="32" t="s">
        <v>325</v>
      </c>
      <c r="C55" s="32" t="s">
        <v>326</v>
      </c>
      <c r="D55" s="3" t="s">
        <v>50</v>
      </c>
      <c r="E55" s="3" t="s">
        <v>50</v>
      </c>
      <c r="F55" s="3" t="s">
        <v>52</v>
      </c>
      <c r="G55" s="3" t="s">
        <v>128</v>
      </c>
      <c r="H55" s="3">
        <v>27.0</v>
      </c>
      <c r="I55" s="3">
        <v>27.0</v>
      </c>
      <c r="J55" s="3">
        <v>27.0</v>
      </c>
      <c r="K55" s="3">
        <v>6.0</v>
      </c>
      <c r="L55" s="3">
        <v>6.0</v>
      </c>
      <c r="M55" s="3">
        <v>10.0</v>
      </c>
      <c r="N55" s="25">
        <f t="shared" si="1"/>
        <v>0</v>
      </c>
      <c r="O55" s="13"/>
      <c r="P55" s="14"/>
      <c r="Q55" s="14"/>
      <c r="R55" s="14"/>
      <c r="S55" s="14"/>
      <c r="T55" s="14"/>
      <c r="U55" s="14"/>
      <c r="V55" s="14"/>
      <c r="W55" s="14"/>
      <c r="X55" s="31"/>
      <c r="Y55" s="31"/>
    </row>
    <row r="56">
      <c r="A56" s="5">
        <v>55.0</v>
      </c>
      <c r="B56" s="32" t="s">
        <v>328</v>
      </c>
      <c r="C56" s="32" t="s">
        <v>329</v>
      </c>
      <c r="D56" s="20" t="s">
        <v>41</v>
      </c>
      <c r="E56" s="3" t="s">
        <v>81</v>
      </c>
      <c r="F56" s="20" t="s">
        <v>41</v>
      </c>
      <c r="G56" s="20" t="s">
        <v>41</v>
      </c>
      <c r="H56" s="3">
        <v>30.0</v>
      </c>
      <c r="I56" s="3">
        <v>30.0</v>
      </c>
      <c r="J56" s="3">
        <v>30.0</v>
      </c>
      <c r="K56" s="3">
        <v>5.0</v>
      </c>
      <c r="L56" s="3">
        <v>10.0</v>
      </c>
      <c r="M56" s="3">
        <v>5.0</v>
      </c>
      <c r="N56" s="25">
        <f t="shared" si="1"/>
        <v>3</v>
      </c>
      <c r="O56" s="13"/>
      <c r="P56" s="14"/>
      <c r="Q56" s="14"/>
      <c r="R56" s="14"/>
      <c r="S56" s="14"/>
      <c r="T56" s="14"/>
      <c r="U56" s="14"/>
      <c r="V56" s="14"/>
      <c r="W56" s="14"/>
      <c r="X56" s="31"/>
      <c r="Y56" s="31"/>
    </row>
    <row r="57">
      <c r="A57" s="5">
        <v>56.0</v>
      </c>
      <c r="B57" s="32" t="s">
        <v>332</v>
      </c>
      <c r="C57" s="32" t="s">
        <v>333</v>
      </c>
      <c r="D57" s="3" t="s">
        <v>75</v>
      </c>
      <c r="E57" s="3" t="s">
        <v>74</v>
      </c>
      <c r="F57" s="3" t="s">
        <v>52</v>
      </c>
      <c r="G57" s="3" t="s">
        <v>67</v>
      </c>
      <c r="H57" s="3">
        <v>26.0</v>
      </c>
      <c r="I57" s="3">
        <v>29.0</v>
      </c>
      <c r="J57" s="3">
        <v>29.0</v>
      </c>
      <c r="K57" s="3">
        <v>7.0</v>
      </c>
      <c r="L57" s="3">
        <v>7.0</v>
      </c>
      <c r="M57" s="3">
        <v>8.0</v>
      </c>
      <c r="N57" s="25">
        <f t="shared" si="1"/>
        <v>0</v>
      </c>
      <c r="O57" s="13"/>
      <c r="P57" s="14"/>
      <c r="Q57" s="14"/>
      <c r="R57" s="14"/>
      <c r="S57" s="14"/>
      <c r="T57" s="14"/>
      <c r="U57" s="14"/>
      <c r="V57" s="14"/>
      <c r="W57" s="14"/>
      <c r="X57" s="31"/>
      <c r="Y57" s="31"/>
    </row>
    <row r="58">
      <c r="A58" s="5">
        <v>57.0</v>
      </c>
      <c r="B58" s="32" t="s">
        <v>335</v>
      </c>
      <c r="C58" s="14"/>
      <c r="D58" s="3" t="s">
        <v>40</v>
      </c>
      <c r="E58" s="3" t="s">
        <v>134</v>
      </c>
      <c r="F58" s="20" t="s">
        <v>41</v>
      </c>
      <c r="G58" s="20" t="s">
        <v>41</v>
      </c>
      <c r="H58" s="20" t="s">
        <v>41</v>
      </c>
      <c r="I58" s="14"/>
      <c r="J58" s="14"/>
      <c r="K58" s="3">
        <v>8.0</v>
      </c>
      <c r="L58" s="3">
        <v>8.0</v>
      </c>
      <c r="M58" s="3">
        <v>9.0</v>
      </c>
      <c r="N58" s="25">
        <f t="shared" si="1"/>
        <v>3</v>
      </c>
      <c r="O58" s="13"/>
      <c r="P58" s="14"/>
      <c r="Q58" s="14"/>
      <c r="R58" s="14"/>
      <c r="S58" s="14"/>
      <c r="T58" s="14"/>
      <c r="U58" s="14"/>
      <c r="V58" s="14"/>
      <c r="W58" s="14"/>
      <c r="X58" s="31"/>
      <c r="Y58" s="31"/>
    </row>
    <row r="59">
      <c r="A59" s="5">
        <v>58.0</v>
      </c>
      <c r="B59" s="32" t="s">
        <v>338</v>
      </c>
      <c r="C59" s="32" t="s">
        <v>339</v>
      </c>
      <c r="D59" s="3" t="s">
        <v>60</v>
      </c>
      <c r="E59" s="3" t="s">
        <v>60</v>
      </c>
      <c r="F59" s="3" t="s">
        <v>52</v>
      </c>
      <c r="G59" s="3" t="s">
        <v>128</v>
      </c>
      <c r="H59" s="3">
        <v>23.0</v>
      </c>
      <c r="I59" s="3">
        <v>22.0</v>
      </c>
      <c r="J59" s="3">
        <v>22.0</v>
      </c>
      <c r="K59" s="3">
        <v>9.0</v>
      </c>
      <c r="L59" s="3">
        <v>5.0</v>
      </c>
      <c r="M59" s="3">
        <v>6.0</v>
      </c>
      <c r="N59" s="25">
        <f t="shared" si="1"/>
        <v>0</v>
      </c>
      <c r="O59" s="13"/>
      <c r="P59" s="14"/>
      <c r="Q59" s="14"/>
      <c r="R59" s="14"/>
      <c r="S59" s="14"/>
      <c r="T59" s="14"/>
      <c r="U59" s="14"/>
      <c r="V59" s="14"/>
      <c r="W59" s="14"/>
      <c r="X59" s="31"/>
      <c r="Y59" s="31"/>
    </row>
    <row r="60">
      <c r="A60" s="5">
        <v>59.0</v>
      </c>
      <c r="B60" s="32" t="s">
        <v>342</v>
      </c>
      <c r="C60" s="32" t="s">
        <v>343</v>
      </c>
      <c r="D60" s="3" t="s">
        <v>97</v>
      </c>
      <c r="E60" s="3" t="s">
        <v>97</v>
      </c>
      <c r="F60" s="3" t="s">
        <v>91</v>
      </c>
      <c r="G60" s="20" t="s">
        <v>41</v>
      </c>
      <c r="H60" s="3">
        <v>25.0</v>
      </c>
      <c r="I60" s="3">
        <v>24.0</v>
      </c>
      <c r="J60" s="3">
        <v>24.0</v>
      </c>
      <c r="K60" s="3">
        <v>6.0</v>
      </c>
      <c r="L60" s="3">
        <v>9.0</v>
      </c>
      <c r="M60" s="3">
        <v>7.0</v>
      </c>
      <c r="N60" s="25">
        <f t="shared" si="1"/>
        <v>1</v>
      </c>
      <c r="O60" s="13"/>
      <c r="P60" s="14"/>
      <c r="Q60" s="14"/>
      <c r="R60" s="14"/>
      <c r="S60" s="14"/>
      <c r="T60" s="14"/>
      <c r="U60" s="14"/>
      <c r="V60" s="14"/>
      <c r="W60" s="14"/>
      <c r="X60" s="31"/>
      <c r="Y60" s="31"/>
    </row>
    <row r="61">
      <c r="A61" s="5">
        <v>60.0</v>
      </c>
      <c r="B61" s="32" t="s">
        <v>345</v>
      </c>
      <c r="C61" s="32" t="s">
        <v>346</v>
      </c>
      <c r="D61" s="3" t="s">
        <v>200</v>
      </c>
      <c r="E61" s="3" t="s">
        <v>200</v>
      </c>
      <c r="F61" s="3" t="s">
        <v>52</v>
      </c>
      <c r="G61" s="3" t="s">
        <v>165</v>
      </c>
      <c r="H61" s="3">
        <v>28.0</v>
      </c>
      <c r="I61" s="3">
        <v>27.0</v>
      </c>
      <c r="J61" s="3">
        <v>27.0</v>
      </c>
      <c r="K61" s="3">
        <v>5.0</v>
      </c>
      <c r="L61" s="3">
        <v>10.0</v>
      </c>
      <c r="M61" s="3">
        <v>10.0</v>
      </c>
      <c r="N61" s="25">
        <f t="shared" si="1"/>
        <v>0</v>
      </c>
      <c r="O61" s="13"/>
      <c r="P61" s="14"/>
      <c r="Q61" s="14"/>
      <c r="R61" s="14"/>
      <c r="S61" s="14"/>
      <c r="T61" s="14"/>
      <c r="U61" s="14"/>
      <c r="V61" s="14"/>
      <c r="W61" s="14"/>
      <c r="X61" s="31"/>
      <c r="Y61" s="31"/>
    </row>
    <row r="62">
      <c r="A62" s="5">
        <v>61.0</v>
      </c>
      <c r="B62" s="32" t="s">
        <v>348</v>
      </c>
      <c r="C62" s="32" t="s">
        <v>349</v>
      </c>
      <c r="D62" s="3" t="s">
        <v>39</v>
      </c>
      <c r="E62" s="3" t="s">
        <v>112</v>
      </c>
      <c r="F62" s="3" t="s">
        <v>201</v>
      </c>
      <c r="G62" s="20" t="s">
        <v>41</v>
      </c>
      <c r="H62" s="3">
        <v>24.0</v>
      </c>
      <c r="I62" s="3">
        <v>30.0</v>
      </c>
      <c r="J62" s="3">
        <v>30.0</v>
      </c>
      <c r="K62" s="3">
        <v>10.0</v>
      </c>
      <c r="L62" s="3">
        <v>6.0</v>
      </c>
      <c r="M62" s="3">
        <v>5.0</v>
      </c>
      <c r="N62" s="25">
        <f t="shared" si="1"/>
        <v>1</v>
      </c>
      <c r="O62" s="13"/>
      <c r="P62" s="14"/>
      <c r="Q62" s="14"/>
      <c r="R62" s="14"/>
      <c r="S62" s="14"/>
      <c r="T62" s="14"/>
      <c r="U62" s="14"/>
      <c r="V62" s="14"/>
      <c r="W62" s="14"/>
      <c r="X62" s="31"/>
      <c r="Y62" s="31"/>
    </row>
    <row r="63">
      <c r="A63" s="5">
        <v>62.0</v>
      </c>
      <c r="B63" s="32" t="s">
        <v>352</v>
      </c>
      <c r="C63" s="32" t="s">
        <v>353</v>
      </c>
      <c r="D63" s="3" t="s">
        <v>74</v>
      </c>
      <c r="E63" s="3" t="s">
        <v>75</v>
      </c>
      <c r="F63" s="3" t="s">
        <v>91</v>
      </c>
      <c r="G63" s="3" t="s">
        <v>354</v>
      </c>
      <c r="H63" s="3">
        <v>29.0</v>
      </c>
      <c r="I63" s="3">
        <v>26.0</v>
      </c>
      <c r="J63" s="3">
        <v>26.0</v>
      </c>
      <c r="K63" s="3">
        <v>8.0</v>
      </c>
      <c r="L63" s="3">
        <v>7.0</v>
      </c>
      <c r="M63" s="3">
        <v>9.0</v>
      </c>
      <c r="N63" s="25">
        <f t="shared" si="1"/>
        <v>0</v>
      </c>
      <c r="O63" s="13"/>
      <c r="P63" s="14"/>
      <c r="Q63" s="14"/>
      <c r="R63" s="14"/>
      <c r="S63" s="14"/>
      <c r="T63" s="14"/>
      <c r="U63" s="14"/>
      <c r="V63" s="14"/>
      <c r="W63" s="14"/>
      <c r="X63" s="31"/>
      <c r="Y63" s="31"/>
    </row>
    <row r="64">
      <c r="A64" s="5">
        <v>63.0</v>
      </c>
      <c r="B64" s="32" t="s">
        <v>356</v>
      </c>
      <c r="C64" s="32" t="s">
        <v>357</v>
      </c>
      <c r="D64" s="20" t="s">
        <v>41</v>
      </c>
      <c r="E64" s="3" t="s">
        <v>106</v>
      </c>
      <c r="F64" s="3" t="s">
        <v>52</v>
      </c>
      <c r="G64" s="3" t="s">
        <v>172</v>
      </c>
      <c r="H64" s="20" t="s">
        <v>41</v>
      </c>
      <c r="I64" s="3">
        <v>25.0</v>
      </c>
      <c r="J64" s="3">
        <v>25.0</v>
      </c>
      <c r="K64" s="3">
        <v>7.0</v>
      </c>
      <c r="L64" s="3">
        <v>5.0</v>
      </c>
      <c r="M64" s="3">
        <v>8.0</v>
      </c>
      <c r="N64" s="25">
        <f t="shared" si="1"/>
        <v>2</v>
      </c>
      <c r="O64" s="13"/>
      <c r="P64" s="14"/>
      <c r="Q64" s="14"/>
      <c r="R64" s="14"/>
      <c r="S64" s="14"/>
      <c r="T64" s="14"/>
      <c r="U64" s="14"/>
      <c r="V64" s="14"/>
      <c r="W64" s="14"/>
      <c r="X64" s="31"/>
      <c r="Y64" s="31"/>
    </row>
    <row r="65">
      <c r="A65" s="5">
        <v>64.0</v>
      </c>
      <c r="B65" s="32" t="s">
        <v>358</v>
      </c>
      <c r="C65" s="32" t="s">
        <v>360</v>
      </c>
      <c r="D65" s="3" t="s">
        <v>142</v>
      </c>
      <c r="E65" s="3" t="s">
        <v>142</v>
      </c>
      <c r="F65" s="3" t="s">
        <v>91</v>
      </c>
      <c r="G65" s="3" t="s">
        <v>136</v>
      </c>
      <c r="H65" s="3">
        <v>30.0</v>
      </c>
      <c r="I65" s="3">
        <v>23.0</v>
      </c>
      <c r="J65" s="3">
        <v>23.0</v>
      </c>
      <c r="K65" s="3">
        <v>6.0</v>
      </c>
      <c r="L65" s="3">
        <v>8.0</v>
      </c>
      <c r="M65" s="3">
        <v>6.0</v>
      </c>
      <c r="N65" s="25">
        <f t="shared" si="1"/>
        <v>0</v>
      </c>
      <c r="O65" s="13"/>
      <c r="P65" s="14"/>
      <c r="Q65" s="14"/>
      <c r="R65" s="14"/>
      <c r="S65" s="14"/>
      <c r="T65" s="14"/>
      <c r="U65" s="14"/>
      <c r="V65" s="14"/>
      <c r="W65" s="14"/>
      <c r="X65" s="31"/>
      <c r="Y65" s="31"/>
    </row>
    <row r="66">
      <c r="A66" s="5">
        <v>65.0</v>
      </c>
      <c r="B66" s="32" t="s">
        <v>362</v>
      </c>
      <c r="C66" s="32" t="s">
        <v>363</v>
      </c>
      <c r="D66" s="3" t="s">
        <v>107</v>
      </c>
      <c r="E66" s="3" t="s">
        <v>107</v>
      </c>
      <c r="F66" s="3" t="s">
        <v>52</v>
      </c>
      <c r="G66" s="3" t="s">
        <v>364</v>
      </c>
      <c r="H66" s="3">
        <v>26.0</v>
      </c>
      <c r="I66" s="3">
        <v>28.0</v>
      </c>
      <c r="J66" s="3">
        <v>28.0</v>
      </c>
      <c r="K66" s="3">
        <v>9.0</v>
      </c>
      <c r="L66" s="3">
        <v>9.0</v>
      </c>
      <c r="M66" s="3">
        <v>7.0</v>
      </c>
      <c r="N66" s="25">
        <f t="shared" si="1"/>
        <v>0</v>
      </c>
      <c r="O66" s="13"/>
      <c r="P66" s="14"/>
      <c r="Q66" s="14"/>
      <c r="R66" s="14"/>
      <c r="S66" s="14"/>
      <c r="T66" s="14"/>
      <c r="U66" s="14"/>
      <c r="V66" s="14"/>
      <c r="W66" s="14"/>
      <c r="X66" s="31"/>
      <c r="Y66" s="31"/>
    </row>
    <row r="67">
      <c r="A67" s="5">
        <v>66.0</v>
      </c>
      <c r="B67" s="32" t="s">
        <v>367</v>
      </c>
      <c r="C67" s="32" t="s">
        <v>369</v>
      </c>
      <c r="D67" s="3" t="s">
        <v>50</v>
      </c>
      <c r="E67" s="3" t="s">
        <v>50</v>
      </c>
      <c r="F67" s="3" t="s">
        <v>52</v>
      </c>
      <c r="G67" s="3" t="s">
        <v>206</v>
      </c>
      <c r="H67" s="3">
        <v>22.0</v>
      </c>
      <c r="I67" s="3">
        <v>29.0</v>
      </c>
      <c r="J67" s="3">
        <v>29.0</v>
      </c>
      <c r="K67" s="3">
        <v>10.0</v>
      </c>
      <c r="L67" s="3">
        <v>10.0</v>
      </c>
      <c r="M67" s="3">
        <v>10.0</v>
      </c>
      <c r="N67" s="25">
        <f t="shared" si="1"/>
        <v>0</v>
      </c>
      <c r="O67" s="13"/>
      <c r="P67" s="14"/>
      <c r="Q67" s="14"/>
      <c r="R67" s="14"/>
      <c r="S67" s="14"/>
      <c r="T67" s="14"/>
      <c r="U67" s="14"/>
      <c r="V67" s="14"/>
      <c r="W67" s="14"/>
      <c r="X67" s="31"/>
      <c r="Y67" s="31"/>
    </row>
    <row r="68">
      <c r="A68" s="5">
        <v>67.0</v>
      </c>
      <c r="B68" s="70" t="s">
        <v>371</v>
      </c>
      <c r="C68" s="71" t="s">
        <v>372</v>
      </c>
      <c r="D68" s="3" t="s">
        <v>98</v>
      </c>
      <c r="E68" s="3" t="s">
        <v>97</v>
      </c>
      <c r="F68" s="3" t="s">
        <v>164</v>
      </c>
      <c r="G68" s="3" t="s">
        <v>373</v>
      </c>
      <c r="H68" s="3">
        <v>27.0</v>
      </c>
      <c r="I68" s="3">
        <v>24.0</v>
      </c>
      <c r="J68" s="3">
        <v>24.0</v>
      </c>
      <c r="K68" s="3">
        <v>7.0</v>
      </c>
      <c r="L68" s="3">
        <v>8.0</v>
      </c>
      <c r="M68" s="3">
        <v>9.0</v>
      </c>
      <c r="N68" s="25">
        <f t="shared" si="1"/>
        <v>0</v>
      </c>
      <c r="O68" s="13"/>
      <c r="P68" s="14"/>
      <c r="Q68" s="14"/>
      <c r="R68" s="14"/>
      <c r="S68" s="14"/>
      <c r="T68" s="14"/>
      <c r="U68" s="14"/>
      <c r="V68" s="14"/>
      <c r="W68" s="14"/>
      <c r="X68" s="31"/>
      <c r="Y68" s="31"/>
    </row>
    <row r="69">
      <c r="A69" s="5">
        <v>68.0</v>
      </c>
      <c r="B69" s="32" t="s">
        <v>376</v>
      </c>
      <c r="C69" s="32" t="s">
        <v>377</v>
      </c>
      <c r="D69" s="3" t="s">
        <v>75</v>
      </c>
      <c r="E69" s="3" t="s">
        <v>74</v>
      </c>
      <c r="F69" s="3" t="s">
        <v>52</v>
      </c>
      <c r="G69" s="3" t="s">
        <v>148</v>
      </c>
      <c r="H69" s="20" t="s">
        <v>41</v>
      </c>
      <c r="I69" s="3">
        <v>22.0</v>
      </c>
      <c r="J69" s="3">
        <v>22.0</v>
      </c>
      <c r="K69" s="3">
        <v>5.0</v>
      </c>
      <c r="L69" s="3">
        <v>6.0</v>
      </c>
      <c r="M69" s="3">
        <v>5.0</v>
      </c>
      <c r="N69" s="25">
        <f t="shared" si="1"/>
        <v>1</v>
      </c>
      <c r="O69" s="13"/>
      <c r="P69" s="14"/>
      <c r="Q69" s="14"/>
      <c r="R69" s="14"/>
      <c r="S69" s="14"/>
      <c r="T69" s="14"/>
      <c r="U69" s="14"/>
      <c r="V69" s="14"/>
      <c r="W69" s="14"/>
      <c r="X69" s="31"/>
      <c r="Y69" s="31"/>
    </row>
    <row r="70">
      <c r="A70" s="5">
        <v>69.0</v>
      </c>
      <c r="B70" s="32" t="s">
        <v>379</v>
      </c>
      <c r="C70" s="32" t="s">
        <v>380</v>
      </c>
      <c r="D70" s="3" t="s">
        <v>112</v>
      </c>
      <c r="E70" s="3" t="s">
        <v>127</v>
      </c>
      <c r="F70" s="3" t="s">
        <v>164</v>
      </c>
      <c r="G70" s="20" t="s">
        <v>41</v>
      </c>
      <c r="H70" s="3">
        <v>25.0</v>
      </c>
      <c r="I70" s="3">
        <v>30.0</v>
      </c>
      <c r="J70" s="3">
        <v>30.0</v>
      </c>
      <c r="K70" s="3">
        <v>7.0</v>
      </c>
      <c r="L70" s="3">
        <v>8.0</v>
      </c>
      <c r="M70" s="3">
        <v>9.0</v>
      </c>
      <c r="N70" s="25">
        <f t="shared" si="1"/>
        <v>1</v>
      </c>
      <c r="O70" s="13"/>
      <c r="P70" s="14"/>
      <c r="Q70" s="14"/>
      <c r="R70" s="14"/>
      <c r="S70" s="14"/>
      <c r="T70" s="14"/>
      <c r="U70" s="14"/>
      <c r="V70" s="14"/>
      <c r="W70" s="14"/>
      <c r="X70" s="31"/>
      <c r="Y70" s="31"/>
    </row>
    <row r="71">
      <c r="A71" s="5">
        <v>70.0</v>
      </c>
      <c r="B71" s="32" t="s">
        <v>383</v>
      </c>
      <c r="C71" s="32" t="s">
        <v>384</v>
      </c>
      <c r="D71" s="3" t="s">
        <v>127</v>
      </c>
      <c r="E71" s="3" t="s">
        <v>60</v>
      </c>
      <c r="F71" s="3" t="s">
        <v>91</v>
      </c>
      <c r="G71" s="3" t="s">
        <v>136</v>
      </c>
      <c r="H71" s="3">
        <v>23.0</v>
      </c>
      <c r="I71" s="3">
        <v>27.0</v>
      </c>
      <c r="J71" s="3">
        <v>27.0</v>
      </c>
      <c r="K71" s="3">
        <v>8.0</v>
      </c>
      <c r="L71" s="3">
        <v>10.0</v>
      </c>
      <c r="M71" s="3">
        <v>7.0</v>
      </c>
      <c r="N71" s="25">
        <f t="shared" si="1"/>
        <v>0</v>
      </c>
      <c r="O71" s="13"/>
      <c r="P71" s="14"/>
      <c r="Q71" s="14"/>
      <c r="R71" s="14"/>
      <c r="S71" s="14"/>
      <c r="T71" s="14"/>
      <c r="U71" s="14"/>
      <c r="V71" s="14"/>
      <c r="W71" s="14"/>
      <c r="X71" s="31"/>
      <c r="Y71" s="31"/>
    </row>
    <row r="72">
      <c r="A72" s="5">
        <v>71.0</v>
      </c>
      <c r="B72" s="32" t="s">
        <v>386</v>
      </c>
      <c r="C72" s="32" t="s">
        <v>387</v>
      </c>
      <c r="D72" s="3" t="s">
        <v>147</v>
      </c>
      <c r="E72" s="3" t="s">
        <v>147</v>
      </c>
      <c r="F72" s="3" t="s">
        <v>388</v>
      </c>
      <c r="G72" s="3" t="s">
        <v>195</v>
      </c>
      <c r="H72" s="3">
        <v>26.0</v>
      </c>
      <c r="I72" s="3">
        <v>26.0</v>
      </c>
      <c r="J72" s="3">
        <v>26.0</v>
      </c>
      <c r="K72" s="3">
        <v>10.0</v>
      </c>
      <c r="L72" s="3">
        <v>5.0</v>
      </c>
      <c r="M72" s="3">
        <v>8.0</v>
      </c>
      <c r="N72" s="25">
        <f t="shared" si="1"/>
        <v>0</v>
      </c>
      <c r="O72" s="13"/>
      <c r="P72" s="14"/>
      <c r="Q72" s="14"/>
      <c r="R72" s="14"/>
      <c r="S72" s="14"/>
      <c r="T72" s="14"/>
      <c r="U72" s="14"/>
      <c r="V72" s="14"/>
      <c r="W72" s="14"/>
      <c r="X72" s="31"/>
      <c r="Y72" s="31"/>
    </row>
    <row r="73">
      <c r="A73" s="5">
        <v>72.0</v>
      </c>
      <c r="B73" s="32" t="s">
        <v>390</v>
      </c>
      <c r="C73" s="32" t="s">
        <v>391</v>
      </c>
      <c r="D73" s="3" t="s">
        <v>74</v>
      </c>
      <c r="E73" s="3" t="s">
        <v>98</v>
      </c>
      <c r="F73" s="3" t="s">
        <v>52</v>
      </c>
      <c r="G73" s="3" t="s">
        <v>392</v>
      </c>
      <c r="H73" s="3">
        <v>24.0</v>
      </c>
      <c r="I73" s="3">
        <v>25.0</v>
      </c>
      <c r="J73" s="3">
        <v>25.0</v>
      </c>
      <c r="K73" s="3">
        <v>6.0</v>
      </c>
      <c r="L73" s="3">
        <v>7.0</v>
      </c>
      <c r="M73" s="3">
        <v>10.0</v>
      </c>
      <c r="N73" s="25">
        <f t="shared" si="1"/>
        <v>0</v>
      </c>
      <c r="O73" s="13"/>
      <c r="P73" s="14"/>
      <c r="Q73" s="14"/>
      <c r="R73" s="14"/>
      <c r="S73" s="14"/>
      <c r="T73" s="14"/>
      <c r="U73" s="14"/>
      <c r="V73" s="14"/>
      <c r="W73" s="14"/>
      <c r="X73" s="31"/>
      <c r="Y73" s="31"/>
    </row>
    <row r="74">
      <c r="A74" s="5">
        <v>73.0</v>
      </c>
      <c r="B74" s="3" t="s">
        <v>394</v>
      </c>
      <c r="C74" s="63" t="s">
        <v>395</v>
      </c>
      <c r="D74" s="3" t="s">
        <v>81</v>
      </c>
      <c r="E74" s="3" t="s">
        <v>81</v>
      </c>
      <c r="F74" s="3" t="s">
        <v>91</v>
      </c>
      <c r="G74" s="3" t="s">
        <v>290</v>
      </c>
      <c r="H74" s="3">
        <v>22.0</v>
      </c>
      <c r="I74" s="3">
        <v>26.0</v>
      </c>
      <c r="J74" s="3">
        <v>26.0</v>
      </c>
      <c r="K74" s="3">
        <v>9.0</v>
      </c>
      <c r="L74" s="3">
        <v>9.0</v>
      </c>
      <c r="M74" s="3">
        <v>6.0</v>
      </c>
      <c r="N74" s="25">
        <f t="shared" si="1"/>
        <v>0</v>
      </c>
      <c r="O74" s="13"/>
      <c r="P74" s="14"/>
      <c r="Q74" s="14"/>
      <c r="R74" s="14"/>
      <c r="S74" s="14"/>
      <c r="T74" s="14"/>
      <c r="U74" s="14"/>
      <c r="V74" s="14"/>
      <c r="W74" s="14"/>
      <c r="X74" s="31"/>
      <c r="Y74" s="31"/>
    </row>
    <row r="75">
      <c r="A75" s="5">
        <v>74.0</v>
      </c>
      <c r="B75" s="32" t="s">
        <v>397</v>
      </c>
      <c r="C75" s="32" t="s">
        <v>398</v>
      </c>
      <c r="D75" s="3" t="s">
        <v>97</v>
      </c>
      <c r="E75" s="3" t="s">
        <v>39</v>
      </c>
      <c r="F75" s="3" t="s">
        <v>388</v>
      </c>
      <c r="G75" s="3" t="s">
        <v>399</v>
      </c>
      <c r="H75" s="3">
        <v>28.0</v>
      </c>
      <c r="I75" s="3">
        <v>29.0</v>
      </c>
      <c r="J75" s="3">
        <v>29.0</v>
      </c>
      <c r="K75" s="3">
        <v>5.0</v>
      </c>
      <c r="L75" s="3">
        <v>6.0</v>
      </c>
      <c r="M75" s="3">
        <v>5.0</v>
      </c>
      <c r="N75" s="25">
        <f t="shared" si="1"/>
        <v>0</v>
      </c>
      <c r="O75" s="13"/>
      <c r="P75" s="14"/>
      <c r="Q75" s="14"/>
      <c r="R75" s="14"/>
      <c r="S75" s="14"/>
      <c r="T75" s="14"/>
      <c r="U75" s="14"/>
      <c r="V75" s="14"/>
      <c r="W75" s="14"/>
      <c r="X75" s="31"/>
      <c r="Y75" s="31"/>
    </row>
    <row r="76">
      <c r="A76" s="5">
        <v>75.0</v>
      </c>
      <c r="B76" s="32" t="s">
        <v>400</v>
      </c>
      <c r="C76" s="32" t="s">
        <v>402</v>
      </c>
      <c r="D76" s="3" t="s">
        <v>90</v>
      </c>
      <c r="E76" s="3" t="s">
        <v>90</v>
      </c>
      <c r="F76" s="3" t="s">
        <v>91</v>
      </c>
      <c r="G76" s="3" t="s">
        <v>136</v>
      </c>
      <c r="H76" s="3">
        <v>30.0</v>
      </c>
      <c r="I76" s="3">
        <v>24.0</v>
      </c>
      <c r="J76" s="3">
        <v>24.0</v>
      </c>
      <c r="K76" s="3">
        <v>8.0</v>
      </c>
      <c r="L76" s="3">
        <v>10.0</v>
      </c>
      <c r="M76" s="3">
        <v>9.0</v>
      </c>
      <c r="N76" s="25">
        <f t="shared" si="1"/>
        <v>0</v>
      </c>
      <c r="O76" s="13"/>
      <c r="P76" s="14"/>
      <c r="Q76" s="14"/>
      <c r="R76" s="14"/>
      <c r="S76" s="14"/>
      <c r="T76" s="14"/>
      <c r="U76" s="14"/>
      <c r="V76" s="14"/>
      <c r="W76" s="14"/>
      <c r="X76" s="31"/>
      <c r="Y76" s="31"/>
    </row>
    <row r="77">
      <c r="A77" s="5">
        <v>76.0</v>
      </c>
      <c r="B77" s="32" t="s">
        <v>404</v>
      </c>
      <c r="C77" s="32" t="s">
        <v>405</v>
      </c>
      <c r="D77" s="3" t="s">
        <v>106</v>
      </c>
      <c r="E77" s="3" t="s">
        <v>106</v>
      </c>
      <c r="F77" s="3" t="s">
        <v>52</v>
      </c>
      <c r="G77" s="3" t="s">
        <v>239</v>
      </c>
      <c r="H77" s="3">
        <v>27.0</v>
      </c>
      <c r="I77" s="3">
        <v>23.0</v>
      </c>
      <c r="J77" s="3">
        <v>23.0</v>
      </c>
      <c r="K77" s="3">
        <v>10.0</v>
      </c>
      <c r="L77" s="3">
        <v>8.0</v>
      </c>
      <c r="M77" s="3">
        <v>8.0</v>
      </c>
      <c r="N77" s="25">
        <f t="shared" si="1"/>
        <v>0</v>
      </c>
      <c r="O77" s="13"/>
      <c r="P77" s="14"/>
      <c r="Q77" s="14"/>
      <c r="R77" s="14"/>
      <c r="S77" s="14"/>
      <c r="T77" s="14"/>
      <c r="U77" s="14"/>
      <c r="V77" s="14"/>
      <c r="W77" s="14"/>
      <c r="X77" s="31"/>
      <c r="Y77" s="31"/>
    </row>
    <row r="78">
      <c r="A78" s="5">
        <v>77.0</v>
      </c>
      <c r="B78" s="32" t="s">
        <v>407</v>
      </c>
      <c r="C78" s="32" t="s">
        <v>408</v>
      </c>
      <c r="D78" s="3" t="s">
        <v>98</v>
      </c>
      <c r="E78" s="3" t="s">
        <v>97</v>
      </c>
      <c r="F78" s="3" t="s">
        <v>388</v>
      </c>
      <c r="G78" s="3" t="s">
        <v>409</v>
      </c>
      <c r="H78" s="3">
        <v>26.0</v>
      </c>
      <c r="I78" s="3">
        <v>26.0</v>
      </c>
      <c r="J78" s="3">
        <v>26.0</v>
      </c>
      <c r="K78" s="3">
        <v>7.0</v>
      </c>
      <c r="L78" s="3">
        <v>5.0</v>
      </c>
      <c r="M78" s="3">
        <v>7.0</v>
      </c>
      <c r="N78" s="25">
        <f t="shared" si="1"/>
        <v>0</v>
      </c>
      <c r="O78" s="13"/>
      <c r="P78" s="14"/>
      <c r="Q78" s="14"/>
      <c r="R78" s="14"/>
      <c r="S78" s="14"/>
      <c r="T78" s="14"/>
      <c r="U78" s="14"/>
      <c r="V78" s="14"/>
      <c r="W78" s="14"/>
      <c r="X78" s="31"/>
      <c r="Y78" s="31"/>
    </row>
    <row r="79">
      <c r="A79" s="5">
        <v>78.0</v>
      </c>
      <c r="B79" s="33" t="s">
        <v>411</v>
      </c>
      <c r="C79" s="33" t="s">
        <v>412</v>
      </c>
      <c r="D79" s="3" t="s">
        <v>39</v>
      </c>
      <c r="E79" s="3" t="s">
        <v>112</v>
      </c>
      <c r="F79" s="20" t="s">
        <v>41</v>
      </c>
      <c r="G79" s="3" t="s">
        <v>364</v>
      </c>
      <c r="H79" s="3">
        <v>24.0</v>
      </c>
      <c r="I79" s="3">
        <v>30.0</v>
      </c>
      <c r="J79" s="3">
        <v>30.0</v>
      </c>
      <c r="K79" s="3">
        <v>6.0</v>
      </c>
      <c r="L79" s="3">
        <v>9.0</v>
      </c>
      <c r="M79" s="3">
        <v>10.0</v>
      </c>
      <c r="N79" s="25">
        <f t="shared" si="1"/>
        <v>1</v>
      </c>
      <c r="O79" s="13"/>
      <c r="P79" s="14"/>
      <c r="Q79" s="14"/>
      <c r="R79" s="14"/>
      <c r="S79" s="14"/>
      <c r="T79" s="14"/>
      <c r="U79" s="14"/>
      <c r="V79" s="14"/>
      <c r="W79" s="14"/>
      <c r="X79" s="31"/>
      <c r="Y79" s="31"/>
    </row>
    <row r="80">
      <c r="A80" s="5">
        <v>79.0</v>
      </c>
      <c r="B80" s="32" t="s">
        <v>414</v>
      </c>
      <c r="C80" s="32" t="s">
        <v>416</v>
      </c>
      <c r="D80" s="3" t="s">
        <v>142</v>
      </c>
      <c r="E80" s="3" t="s">
        <v>142</v>
      </c>
      <c r="F80" s="20" t="s">
        <v>41</v>
      </c>
      <c r="G80" s="3" t="s">
        <v>417</v>
      </c>
      <c r="H80" s="3">
        <v>22.0</v>
      </c>
      <c r="I80" s="3">
        <v>28.0</v>
      </c>
      <c r="J80" s="3">
        <v>28.0</v>
      </c>
      <c r="K80" s="3">
        <v>9.0</v>
      </c>
      <c r="L80" s="3">
        <v>7.0</v>
      </c>
      <c r="M80" s="3">
        <v>6.0</v>
      </c>
      <c r="N80" s="25">
        <f t="shared" si="1"/>
        <v>1</v>
      </c>
      <c r="O80" s="13"/>
      <c r="P80" s="14"/>
      <c r="Q80" s="14"/>
      <c r="R80" s="14"/>
      <c r="S80" s="14"/>
      <c r="T80" s="14"/>
      <c r="U80" s="14"/>
      <c r="V80" s="14"/>
      <c r="W80" s="14"/>
      <c r="X80" s="31"/>
      <c r="Y80" s="31"/>
    </row>
    <row r="81">
      <c r="A81" s="5">
        <v>80.0</v>
      </c>
      <c r="B81" s="32" t="s">
        <v>418</v>
      </c>
      <c r="C81" s="32" t="s">
        <v>420</v>
      </c>
      <c r="D81" s="20" t="s">
        <v>41</v>
      </c>
      <c r="E81" s="20" t="s">
        <v>41</v>
      </c>
      <c r="F81" s="3" t="s">
        <v>388</v>
      </c>
      <c r="G81" s="3" t="s">
        <v>206</v>
      </c>
      <c r="H81" s="3">
        <v>27.0</v>
      </c>
      <c r="I81" s="3">
        <v>22.0</v>
      </c>
      <c r="J81" s="3">
        <v>22.0</v>
      </c>
      <c r="K81" s="3">
        <v>8.0</v>
      </c>
      <c r="L81" s="3">
        <v>10.0</v>
      </c>
      <c r="M81" s="3">
        <v>5.0</v>
      </c>
      <c r="N81" s="25">
        <f t="shared" si="1"/>
        <v>2</v>
      </c>
      <c r="O81" s="13"/>
      <c r="P81" s="14"/>
      <c r="Q81" s="14"/>
      <c r="R81" s="14"/>
      <c r="S81" s="14"/>
      <c r="T81" s="14"/>
      <c r="U81" s="14"/>
      <c r="V81" s="14"/>
      <c r="W81" s="14"/>
      <c r="X81" s="31"/>
      <c r="Y81" s="31"/>
    </row>
    <row r="82">
      <c r="A82" s="5">
        <v>81.0</v>
      </c>
      <c r="B82" s="32" t="s">
        <v>422</v>
      </c>
      <c r="C82" s="32" t="s">
        <v>423</v>
      </c>
      <c r="D82" s="3" t="s">
        <v>75</v>
      </c>
      <c r="E82" s="3" t="s">
        <v>75</v>
      </c>
      <c r="F82" s="3" t="s">
        <v>164</v>
      </c>
      <c r="G82" s="3" t="s">
        <v>67</v>
      </c>
      <c r="H82" s="3">
        <v>29.0</v>
      </c>
      <c r="I82" s="3">
        <v>27.0</v>
      </c>
      <c r="J82" s="3">
        <v>27.0</v>
      </c>
      <c r="K82" s="3">
        <v>5.0</v>
      </c>
      <c r="L82" s="3">
        <v>6.0</v>
      </c>
      <c r="M82" s="3">
        <v>9.0</v>
      </c>
      <c r="N82" s="25">
        <f t="shared" si="1"/>
        <v>0</v>
      </c>
      <c r="O82" s="13"/>
      <c r="P82" s="14"/>
      <c r="Q82" s="14"/>
      <c r="R82" s="14"/>
      <c r="S82" s="14"/>
      <c r="T82" s="14"/>
      <c r="U82" s="14"/>
      <c r="V82" s="14"/>
      <c r="W82" s="14"/>
      <c r="X82" s="31"/>
      <c r="Y82" s="31"/>
    </row>
    <row r="83">
      <c r="A83" s="5">
        <v>82.0</v>
      </c>
      <c r="B83" s="33" t="s">
        <v>426</v>
      </c>
      <c r="C83" s="33" t="s">
        <v>427</v>
      </c>
      <c r="D83" s="3" t="s">
        <v>50</v>
      </c>
      <c r="E83" s="3" t="s">
        <v>50</v>
      </c>
      <c r="F83" s="3" t="s">
        <v>91</v>
      </c>
      <c r="G83" s="3" t="s">
        <v>172</v>
      </c>
      <c r="H83" s="3">
        <v>25.0</v>
      </c>
      <c r="I83" s="3">
        <v>25.0</v>
      </c>
      <c r="J83" s="3">
        <v>25.0</v>
      </c>
      <c r="K83" s="3">
        <v>10.0</v>
      </c>
      <c r="L83" s="3">
        <v>5.0</v>
      </c>
      <c r="M83" s="3">
        <v>7.0</v>
      </c>
      <c r="N83" s="25">
        <f t="shared" si="1"/>
        <v>0</v>
      </c>
      <c r="O83" s="13"/>
      <c r="P83" s="14"/>
      <c r="Q83" s="14"/>
      <c r="R83" s="14"/>
      <c r="S83" s="14"/>
      <c r="T83" s="14"/>
      <c r="U83" s="14"/>
      <c r="V83" s="14"/>
      <c r="W83" s="14"/>
      <c r="X83" s="31"/>
      <c r="Y83" s="31"/>
    </row>
    <row r="84">
      <c r="A84" s="5">
        <v>83.0</v>
      </c>
      <c r="B84" s="32" t="s">
        <v>429</v>
      </c>
      <c r="C84" s="32" t="s">
        <v>430</v>
      </c>
      <c r="D84" s="3" t="s">
        <v>127</v>
      </c>
      <c r="E84" s="3" t="s">
        <v>127</v>
      </c>
      <c r="F84" s="3" t="s">
        <v>52</v>
      </c>
      <c r="G84" s="3" t="s">
        <v>67</v>
      </c>
      <c r="H84" s="3">
        <v>27.0</v>
      </c>
      <c r="I84" s="3">
        <v>28.0</v>
      </c>
      <c r="J84" s="3">
        <v>28.0</v>
      </c>
      <c r="K84" s="3">
        <v>7.0</v>
      </c>
      <c r="L84" s="3">
        <v>8.0</v>
      </c>
      <c r="M84" s="3">
        <v>8.0</v>
      </c>
      <c r="N84" s="25">
        <f t="shared" si="1"/>
        <v>0</v>
      </c>
      <c r="O84" s="13"/>
      <c r="P84" s="14"/>
      <c r="Q84" s="14"/>
      <c r="R84" s="14"/>
      <c r="S84" s="14"/>
      <c r="T84" s="14"/>
      <c r="U84" s="14"/>
      <c r="V84" s="14"/>
      <c r="W84" s="14"/>
      <c r="X84" s="31"/>
      <c r="Y84" s="31"/>
    </row>
    <row r="85">
      <c r="A85" s="5">
        <v>84.0</v>
      </c>
      <c r="B85" s="32" t="s">
        <v>432</v>
      </c>
      <c r="C85" s="32" t="s">
        <v>433</v>
      </c>
      <c r="D85" s="3" t="s">
        <v>74</v>
      </c>
      <c r="E85" s="3" t="s">
        <v>74</v>
      </c>
      <c r="F85" s="3" t="s">
        <v>52</v>
      </c>
      <c r="G85" s="3" t="s">
        <v>136</v>
      </c>
      <c r="H85" s="3">
        <v>30.0</v>
      </c>
      <c r="I85" s="3">
        <v>24.0</v>
      </c>
      <c r="J85" s="3">
        <v>24.0</v>
      </c>
      <c r="K85" s="3">
        <v>9.0</v>
      </c>
      <c r="L85" s="3">
        <v>9.0</v>
      </c>
      <c r="M85" s="3">
        <v>10.0</v>
      </c>
      <c r="N85" s="25">
        <f t="shared" si="1"/>
        <v>0</v>
      </c>
      <c r="O85" s="13"/>
      <c r="P85" s="14"/>
      <c r="Q85" s="14"/>
      <c r="R85" s="14"/>
      <c r="S85" s="14"/>
      <c r="T85" s="14"/>
      <c r="U85" s="14"/>
      <c r="V85" s="14"/>
      <c r="W85" s="14"/>
      <c r="X85" s="31"/>
      <c r="Y85" s="31"/>
    </row>
    <row r="86">
      <c r="A86" s="5">
        <v>85.0</v>
      </c>
      <c r="B86" s="32" t="s">
        <v>436</v>
      </c>
      <c r="C86" s="32" t="s">
        <v>437</v>
      </c>
      <c r="D86" s="20" t="s">
        <v>41</v>
      </c>
      <c r="E86" s="3" t="s">
        <v>107</v>
      </c>
      <c r="F86" s="3" t="s">
        <v>52</v>
      </c>
      <c r="G86" s="3" t="s">
        <v>128</v>
      </c>
      <c r="H86" s="3">
        <v>23.0</v>
      </c>
      <c r="I86" s="3">
        <v>29.0</v>
      </c>
      <c r="J86" s="3">
        <v>29.0</v>
      </c>
      <c r="K86" s="3">
        <v>6.0</v>
      </c>
      <c r="L86" s="3">
        <v>7.0</v>
      </c>
      <c r="M86" s="3">
        <v>6.0</v>
      </c>
      <c r="N86" s="25">
        <f t="shared" si="1"/>
        <v>1</v>
      </c>
      <c r="O86" s="13"/>
      <c r="P86" s="14"/>
      <c r="Q86" s="14"/>
      <c r="R86" s="14"/>
      <c r="S86" s="14"/>
      <c r="T86" s="14"/>
      <c r="U86" s="14"/>
      <c r="V86" s="14"/>
      <c r="W86" s="14"/>
      <c r="X86" s="31"/>
      <c r="Y86" s="31"/>
    </row>
    <row r="87">
      <c r="A87" s="5">
        <v>86.0</v>
      </c>
      <c r="B87" s="32" t="s">
        <v>439</v>
      </c>
      <c r="C87" s="32" t="s">
        <v>440</v>
      </c>
      <c r="D87" s="20" t="s">
        <v>41</v>
      </c>
      <c r="E87" s="3" t="s">
        <v>39</v>
      </c>
      <c r="F87" s="3" t="s">
        <v>52</v>
      </c>
      <c r="G87" s="3" t="s">
        <v>165</v>
      </c>
      <c r="H87" s="3">
        <v>27.0</v>
      </c>
      <c r="I87" s="3">
        <v>27.0</v>
      </c>
      <c r="J87" s="3">
        <v>27.0</v>
      </c>
      <c r="K87" s="3">
        <v>8.0</v>
      </c>
      <c r="L87" s="3">
        <v>10.0</v>
      </c>
      <c r="M87" s="3">
        <v>9.0</v>
      </c>
      <c r="N87" s="25">
        <f t="shared" si="1"/>
        <v>1</v>
      </c>
      <c r="O87" s="13"/>
      <c r="P87" s="14"/>
      <c r="Q87" s="14"/>
      <c r="R87" s="14"/>
      <c r="S87" s="14"/>
      <c r="T87" s="14"/>
      <c r="U87" s="14"/>
      <c r="V87" s="14"/>
      <c r="W87" s="14"/>
      <c r="X87" s="31"/>
      <c r="Y87" s="31"/>
    </row>
    <row r="88">
      <c r="A88" s="5">
        <v>87.0</v>
      </c>
      <c r="B88" s="32" t="s">
        <v>442</v>
      </c>
      <c r="C88" s="32" t="s">
        <v>443</v>
      </c>
      <c r="D88" s="3" t="s">
        <v>60</v>
      </c>
      <c r="E88" s="3" t="s">
        <v>60</v>
      </c>
      <c r="F88" s="20" t="s">
        <v>41</v>
      </c>
      <c r="G88" s="20" t="s">
        <v>41</v>
      </c>
      <c r="H88" s="20" t="s">
        <v>41</v>
      </c>
      <c r="I88" s="20" t="s">
        <v>41</v>
      </c>
      <c r="J88" s="20" t="s">
        <v>41</v>
      </c>
      <c r="K88" s="72">
        <v>5.0</v>
      </c>
      <c r="L88" s="72">
        <v>5.0</v>
      </c>
      <c r="M88" s="72">
        <v>5.0</v>
      </c>
      <c r="N88" s="25">
        <f t="shared" si="1"/>
        <v>5</v>
      </c>
      <c r="O88" s="13"/>
      <c r="P88" s="14"/>
      <c r="Q88" s="14"/>
      <c r="R88" s="14"/>
      <c r="S88" s="14"/>
      <c r="T88" s="14"/>
      <c r="U88" s="14"/>
      <c r="V88" s="14"/>
      <c r="W88" s="14"/>
      <c r="X88" s="31"/>
      <c r="Y88" s="31"/>
    </row>
    <row r="89">
      <c r="A89" s="5">
        <v>88.0</v>
      </c>
      <c r="B89" s="32" t="s">
        <v>445</v>
      </c>
      <c r="C89" s="14" t="s">
        <v>446</v>
      </c>
      <c r="D89" s="3" t="s">
        <v>97</v>
      </c>
      <c r="E89" s="3" t="s">
        <v>97</v>
      </c>
      <c r="F89" s="3" t="s">
        <v>91</v>
      </c>
      <c r="G89" s="3" t="s">
        <v>85</v>
      </c>
      <c r="H89" s="3">
        <v>29.0</v>
      </c>
      <c r="I89" s="3">
        <v>26.0</v>
      </c>
      <c r="J89" s="3">
        <v>26.0</v>
      </c>
      <c r="K89" s="3">
        <v>10.0</v>
      </c>
      <c r="L89" s="3">
        <v>8.0</v>
      </c>
      <c r="M89" s="3">
        <v>8.0</v>
      </c>
      <c r="N89" s="25">
        <f t="shared" si="1"/>
        <v>0</v>
      </c>
      <c r="O89" s="13"/>
      <c r="P89" s="14"/>
      <c r="Q89" s="14"/>
      <c r="R89" s="14"/>
      <c r="S89" s="14"/>
      <c r="T89" s="14"/>
      <c r="U89" s="14"/>
      <c r="V89" s="14"/>
      <c r="W89" s="14"/>
      <c r="X89" s="31"/>
      <c r="Y89" s="31"/>
    </row>
    <row r="90">
      <c r="A90" s="5">
        <v>89.0</v>
      </c>
      <c r="B90" s="32" t="s">
        <v>448</v>
      </c>
      <c r="C90" s="32" t="s">
        <v>449</v>
      </c>
      <c r="D90" s="3" t="s">
        <v>147</v>
      </c>
      <c r="E90" s="3" t="s">
        <v>147</v>
      </c>
      <c r="F90" s="3" t="s">
        <v>164</v>
      </c>
      <c r="G90" s="3" t="s">
        <v>54</v>
      </c>
      <c r="H90" s="3">
        <v>27.0</v>
      </c>
      <c r="I90" s="3">
        <v>23.0</v>
      </c>
      <c r="J90" s="3">
        <v>23.0</v>
      </c>
      <c r="K90" s="3">
        <v>9.0</v>
      </c>
      <c r="L90" s="3">
        <v>6.0</v>
      </c>
      <c r="M90" s="3">
        <v>7.0</v>
      </c>
      <c r="N90" s="25">
        <f t="shared" si="1"/>
        <v>0</v>
      </c>
      <c r="O90" s="13"/>
      <c r="P90" s="14"/>
      <c r="Q90" s="14"/>
      <c r="R90" s="14"/>
      <c r="S90" s="14"/>
      <c r="T90" s="14"/>
      <c r="U90" s="14"/>
      <c r="V90" s="14"/>
      <c r="W90" s="14"/>
      <c r="X90" s="31"/>
      <c r="Y90" s="31"/>
    </row>
    <row r="91">
      <c r="A91" s="5">
        <v>90.0</v>
      </c>
      <c r="B91" s="32" t="s">
        <v>452</v>
      </c>
      <c r="C91" s="32" t="s">
        <v>453</v>
      </c>
      <c r="D91" s="3" t="s">
        <v>81</v>
      </c>
      <c r="E91" s="3" t="s">
        <v>40</v>
      </c>
      <c r="F91" s="3" t="s">
        <v>52</v>
      </c>
      <c r="G91" s="20" t="s">
        <v>41</v>
      </c>
      <c r="H91" s="3">
        <v>24.0</v>
      </c>
      <c r="I91" s="3">
        <v>30.0</v>
      </c>
      <c r="J91" s="3">
        <v>30.0</v>
      </c>
      <c r="K91" s="3">
        <v>7.0</v>
      </c>
      <c r="L91" s="3">
        <v>9.0</v>
      </c>
      <c r="M91" s="3">
        <v>10.0</v>
      </c>
      <c r="N91" s="25">
        <f t="shared" si="1"/>
        <v>1</v>
      </c>
      <c r="O91" s="13"/>
      <c r="P91" s="14"/>
      <c r="Q91" s="14"/>
      <c r="R91" s="14"/>
      <c r="S91" s="14"/>
      <c r="T91" s="14"/>
      <c r="U91" s="14"/>
      <c r="V91" s="14"/>
      <c r="W91" s="14"/>
      <c r="X91" s="31"/>
      <c r="Y91" s="31"/>
    </row>
    <row r="92">
      <c r="A92" s="5">
        <v>91.0</v>
      </c>
      <c r="B92" s="32" t="s">
        <v>455</v>
      </c>
      <c r="C92" s="32" t="s">
        <v>456</v>
      </c>
      <c r="D92" s="20" t="s">
        <v>41</v>
      </c>
      <c r="E92" s="20" t="s">
        <v>41</v>
      </c>
      <c r="F92" s="3" t="s">
        <v>164</v>
      </c>
      <c r="G92" s="3" t="s">
        <v>458</v>
      </c>
      <c r="H92" s="3">
        <v>29.0</v>
      </c>
      <c r="I92" s="3">
        <v>27.0</v>
      </c>
      <c r="J92" s="3">
        <v>27.0</v>
      </c>
      <c r="K92" s="3">
        <v>6.0</v>
      </c>
      <c r="L92" s="3">
        <v>7.0</v>
      </c>
      <c r="M92" s="3">
        <v>6.0</v>
      </c>
      <c r="N92" s="25">
        <f t="shared" si="1"/>
        <v>2</v>
      </c>
      <c r="O92" s="13"/>
      <c r="P92" s="14"/>
      <c r="Q92" s="14"/>
      <c r="R92" s="14"/>
      <c r="S92" s="14"/>
      <c r="T92" s="14"/>
      <c r="U92" s="14"/>
      <c r="V92" s="14"/>
      <c r="W92" s="14"/>
      <c r="X92" s="31"/>
      <c r="Y92" s="31"/>
    </row>
    <row r="93">
      <c r="A93" s="5">
        <v>92.0</v>
      </c>
      <c r="B93" s="32" t="s">
        <v>462</v>
      </c>
      <c r="C93" s="32" t="s">
        <v>463</v>
      </c>
      <c r="D93" s="3" t="s">
        <v>112</v>
      </c>
      <c r="E93" s="3" t="s">
        <v>112</v>
      </c>
      <c r="F93" s="3" t="s">
        <v>52</v>
      </c>
      <c r="G93" s="3" t="s">
        <v>67</v>
      </c>
      <c r="H93" s="3">
        <v>27.0</v>
      </c>
      <c r="I93" s="3">
        <v>25.0</v>
      </c>
      <c r="J93" s="3">
        <v>25.0</v>
      </c>
      <c r="K93" s="3">
        <v>8.0</v>
      </c>
      <c r="L93" s="3">
        <v>10.0</v>
      </c>
      <c r="M93" s="3">
        <v>9.0</v>
      </c>
      <c r="N93" s="25">
        <f t="shared" si="1"/>
        <v>0</v>
      </c>
      <c r="O93" s="13"/>
      <c r="P93" s="14"/>
      <c r="Q93" s="14"/>
      <c r="R93" s="14"/>
      <c r="S93" s="14"/>
      <c r="T93" s="14"/>
      <c r="U93" s="14"/>
      <c r="V93" s="14"/>
      <c r="W93" s="14"/>
      <c r="X93" s="31"/>
      <c r="Y93" s="31"/>
    </row>
    <row r="94">
      <c r="A94" s="5">
        <v>93.0</v>
      </c>
      <c r="B94" s="32" t="s">
        <v>466</v>
      </c>
      <c r="C94" s="32" t="s">
        <v>467</v>
      </c>
      <c r="D94" s="3" t="s">
        <v>98</v>
      </c>
      <c r="E94" s="3" t="s">
        <v>98</v>
      </c>
      <c r="F94" s="3" t="s">
        <v>91</v>
      </c>
      <c r="G94" s="3" t="s">
        <v>119</v>
      </c>
      <c r="H94" s="3">
        <v>30.0</v>
      </c>
      <c r="I94" s="3">
        <v>24.0</v>
      </c>
      <c r="J94" s="3">
        <v>24.0</v>
      </c>
      <c r="K94" s="3">
        <v>10.0</v>
      </c>
      <c r="L94" s="3">
        <v>5.0</v>
      </c>
      <c r="M94" s="3">
        <v>5.0</v>
      </c>
      <c r="N94" s="25">
        <f t="shared" si="1"/>
        <v>0</v>
      </c>
      <c r="O94" s="13"/>
      <c r="P94" s="14"/>
      <c r="Q94" s="14"/>
      <c r="R94" s="14"/>
      <c r="S94" s="14"/>
      <c r="T94" s="14"/>
      <c r="U94" s="14"/>
      <c r="V94" s="14"/>
      <c r="W94" s="14"/>
      <c r="X94" s="31"/>
      <c r="Y94" s="31"/>
    </row>
    <row r="95">
      <c r="A95" s="5">
        <v>94.0</v>
      </c>
      <c r="B95" s="32" t="s">
        <v>469</v>
      </c>
      <c r="C95" s="32" t="s">
        <v>470</v>
      </c>
      <c r="D95" s="3" t="s">
        <v>50</v>
      </c>
      <c r="E95" s="3" t="s">
        <v>50</v>
      </c>
      <c r="F95" s="3" t="s">
        <v>164</v>
      </c>
      <c r="G95" s="3" t="s">
        <v>301</v>
      </c>
      <c r="H95" s="3">
        <v>22.0</v>
      </c>
      <c r="I95" s="3">
        <v>28.0</v>
      </c>
      <c r="J95" s="3">
        <v>28.0</v>
      </c>
      <c r="K95" s="3">
        <v>5.0</v>
      </c>
      <c r="L95" s="3">
        <v>8.0</v>
      </c>
      <c r="M95" s="3">
        <v>8.0</v>
      </c>
      <c r="N95" s="25">
        <f t="shared" si="1"/>
        <v>0</v>
      </c>
      <c r="O95" s="13"/>
      <c r="P95" s="14"/>
      <c r="Q95" s="14"/>
      <c r="R95" s="14"/>
      <c r="S95" s="14"/>
      <c r="T95" s="14"/>
      <c r="U95" s="14"/>
      <c r="V95" s="14"/>
      <c r="W95" s="14"/>
      <c r="X95" s="31"/>
      <c r="Y95" s="31"/>
    </row>
    <row r="96">
      <c r="A96" s="5">
        <v>95.0</v>
      </c>
      <c r="B96" s="32" t="s">
        <v>473</v>
      </c>
      <c r="C96" s="32" t="s">
        <v>474</v>
      </c>
      <c r="D96" s="3" t="s">
        <v>39</v>
      </c>
      <c r="E96" s="3" t="s">
        <v>39</v>
      </c>
      <c r="F96" s="3" t="s">
        <v>52</v>
      </c>
      <c r="G96" s="3" t="s">
        <v>136</v>
      </c>
      <c r="H96" s="20" t="s">
        <v>41</v>
      </c>
      <c r="I96" s="3">
        <v>29.0</v>
      </c>
      <c r="J96" s="3">
        <v>29.0</v>
      </c>
      <c r="K96" s="3">
        <v>9.0</v>
      </c>
      <c r="L96" s="3">
        <v>9.0</v>
      </c>
      <c r="M96" s="3">
        <v>7.0</v>
      </c>
      <c r="N96" s="25">
        <f t="shared" si="1"/>
        <v>1</v>
      </c>
      <c r="O96" s="13"/>
      <c r="P96" s="14"/>
      <c r="Q96" s="14"/>
      <c r="R96" s="14"/>
      <c r="S96" s="14"/>
      <c r="T96" s="14"/>
      <c r="U96" s="14"/>
      <c r="V96" s="14"/>
      <c r="W96" s="14"/>
      <c r="X96" s="31"/>
      <c r="Y96" s="31"/>
    </row>
    <row r="97">
      <c r="A97" s="5">
        <v>96.0</v>
      </c>
      <c r="B97" s="33" t="s">
        <v>476</v>
      </c>
      <c r="C97" s="33" t="s">
        <v>477</v>
      </c>
      <c r="D97" s="20" t="s">
        <v>41</v>
      </c>
      <c r="E97" s="3" t="s">
        <v>127</v>
      </c>
      <c r="F97" s="3" t="s">
        <v>164</v>
      </c>
      <c r="G97" s="20" t="s">
        <v>41</v>
      </c>
      <c r="H97" s="3">
        <v>25.0</v>
      </c>
      <c r="I97" s="3">
        <v>25.0</v>
      </c>
      <c r="J97" s="3">
        <v>25.0</v>
      </c>
      <c r="K97" s="3">
        <v>7.0</v>
      </c>
      <c r="L97" s="3">
        <v>6.0</v>
      </c>
      <c r="M97" s="3" t="s">
        <v>41</v>
      </c>
      <c r="N97" s="25">
        <f t="shared" si="1"/>
        <v>3</v>
      </c>
      <c r="O97" s="13"/>
      <c r="P97" s="14"/>
      <c r="Q97" s="14"/>
      <c r="R97" s="14"/>
      <c r="S97" s="14"/>
      <c r="T97" s="14"/>
      <c r="U97" s="14"/>
      <c r="V97" s="14"/>
      <c r="W97" s="14"/>
      <c r="X97" s="31"/>
      <c r="Y97" s="31"/>
    </row>
    <row r="98">
      <c r="A98" s="5">
        <v>97.0</v>
      </c>
      <c r="B98" s="33" t="s">
        <v>479</v>
      </c>
      <c r="C98" s="33" t="s">
        <v>480</v>
      </c>
      <c r="D98" s="3" t="s">
        <v>127</v>
      </c>
      <c r="E98" s="3" t="s">
        <v>60</v>
      </c>
      <c r="F98" s="3" t="s">
        <v>52</v>
      </c>
      <c r="G98" s="3" t="s">
        <v>136</v>
      </c>
      <c r="H98" s="3">
        <v>26.0</v>
      </c>
      <c r="I98" s="3">
        <v>22.0</v>
      </c>
      <c r="J98" s="3">
        <v>22.0</v>
      </c>
      <c r="K98" s="3" t="s">
        <v>41</v>
      </c>
      <c r="L98" s="3" t="s">
        <v>41</v>
      </c>
      <c r="M98" s="3">
        <v>10.0</v>
      </c>
      <c r="N98" s="25">
        <f t="shared" si="1"/>
        <v>2</v>
      </c>
      <c r="O98" s="13"/>
      <c r="P98" s="14"/>
      <c r="Q98" s="14"/>
      <c r="R98" s="14"/>
      <c r="S98" s="14"/>
      <c r="T98" s="14"/>
      <c r="U98" s="14"/>
      <c r="V98" s="14"/>
      <c r="W98" s="14"/>
      <c r="X98" s="31"/>
      <c r="Y98" s="31"/>
    </row>
    <row r="99">
      <c r="A99" s="5">
        <v>98.0</v>
      </c>
      <c r="B99" s="33" t="s">
        <v>482</v>
      </c>
      <c r="C99" s="33" t="s">
        <v>483</v>
      </c>
      <c r="D99" s="20" t="s">
        <v>41</v>
      </c>
      <c r="E99" s="20" t="s">
        <v>41</v>
      </c>
      <c r="F99" s="3" t="s">
        <v>91</v>
      </c>
      <c r="G99" s="3" t="s">
        <v>85</v>
      </c>
      <c r="H99" s="3">
        <v>28.0</v>
      </c>
      <c r="I99" s="3">
        <v>30.0</v>
      </c>
      <c r="J99" s="3">
        <v>30.0</v>
      </c>
      <c r="K99" s="3">
        <v>8.0</v>
      </c>
      <c r="L99" s="3">
        <v>7.0</v>
      </c>
      <c r="M99" s="3">
        <v>6.0</v>
      </c>
      <c r="N99" s="25">
        <f t="shared" si="1"/>
        <v>2</v>
      </c>
      <c r="O99" s="13"/>
      <c r="P99" s="14"/>
      <c r="Q99" s="14"/>
      <c r="R99" s="14"/>
      <c r="S99" s="14"/>
      <c r="T99" s="14"/>
      <c r="U99" s="14"/>
      <c r="V99" s="14"/>
      <c r="W99" s="14"/>
      <c r="X99" s="31"/>
      <c r="Y99" s="31"/>
    </row>
    <row r="100">
      <c r="A100" s="5">
        <v>99.0</v>
      </c>
      <c r="B100" s="32" t="s">
        <v>487</v>
      </c>
      <c r="C100" s="32" t="s">
        <v>488</v>
      </c>
      <c r="D100" s="20" t="s">
        <v>41</v>
      </c>
      <c r="E100" s="3" t="s">
        <v>74</v>
      </c>
      <c r="F100" s="3" t="s">
        <v>91</v>
      </c>
      <c r="G100" s="3" t="s">
        <v>67</v>
      </c>
      <c r="H100" s="3">
        <v>23.0</v>
      </c>
      <c r="I100" s="3">
        <v>26.0</v>
      </c>
      <c r="J100" s="3">
        <v>26.0</v>
      </c>
      <c r="K100" s="3">
        <v>6.0</v>
      </c>
      <c r="L100" s="3">
        <v>10.0</v>
      </c>
      <c r="M100" s="3">
        <v>9.0</v>
      </c>
      <c r="N100" s="25">
        <f t="shared" si="1"/>
        <v>1</v>
      </c>
      <c r="O100" s="13"/>
      <c r="P100" s="14"/>
      <c r="Q100" s="14"/>
      <c r="R100" s="14"/>
      <c r="S100" s="14"/>
      <c r="T100" s="14"/>
      <c r="U100" s="14"/>
      <c r="V100" s="14"/>
      <c r="W100" s="14"/>
      <c r="X100" s="31"/>
      <c r="Y100" s="31"/>
    </row>
    <row r="101">
      <c r="A101" s="5">
        <v>100.0</v>
      </c>
      <c r="B101" s="32" t="s">
        <v>491</v>
      </c>
      <c r="C101" s="32" t="s">
        <v>492</v>
      </c>
      <c r="D101" s="3" t="s">
        <v>74</v>
      </c>
      <c r="E101" s="3" t="s">
        <v>81</v>
      </c>
      <c r="F101" s="3" t="s">
        <v>52</v>
      </c>
      <c r="G101" s="3" t="s">
        <v>113</v>
      </c>
      <c r="H101" s="20" t="s">
        <v>41</v>
      </c>
      <c r="I101" s="3">
        <v>24.0</v>
      </c>
      <c r="J101" s="3">
        <v>24.0</v>
      </c>
      <c r="K101" s="3">
        <v>10.0</v>
      </c>
      <c r="L101" s="3">
        <v>5.0</v>
      </c>
      <c r="M101" s="3">
        <v>5.0</v>
      </c>
      <c r="N101" s="25">
        <f t="shared" si="1"/>
        <v>1</v>
      </c>
      <c r="O101" s="13"/>
      <c r="P101" s="14"/>
      <c r="Q101" s="14"/>
      <c r="R101" s="14"/>
      <c r="S101" s="14"/>
      <c r="T101" s="14"/>
      <c r="U101" s="14"/>
      <c r="V101" s="14"/>
      <c r="W101" s="14"/>
      <c r="X101" s="31"/>
      <c r="Y101" s="31"/>
    </row>
    <row r="102">
      <c r="A102" s="5">
        <v>101.0</v>
      </c>
      <c r="B102" s="33" t="s">
        <v>495</v>
      </c>
      <c r="C102" s="33" t="s">
        <v>496</v>
      </c>
      <c r="D102" s="3" t="s">
        <v>107</v>
      </c>
      <c r="E102" s="3" t="s">
        <v>75</v>
      </c>
      <c r="F102" s="20" t="s">
        <v>41</v>
      </c>
      <c r="G102" s="3" t="s">
        <v>136</v>
      </c>
      <c r="H102" s="20" t="s">
        <v>41</v>
      </c>
      <c r="I102" s="3">
        <v>25.0</v>
      </c>
      <c r="J102" s="3">
        <v>25.0</v>
      </c>
      <c r="K102" s="3">
        <v>7.0</v>
      </c>
      <c r="L102" s="3">
        <v>9.0</v>
      </c>
      <c r="M102" s="3">
        <v>8.0</v>
      </c>
      <c r="N102" s="25">
        <f t="shared" si="1"/>
        <v>2</v>
      </c>
      <c r="O102" s="13"/>
      <c r="P102" s="14"/>
      <c r="Q102" s="14"/>
      <c r="R102" s="14"/>
      <c r="S102" s="14"/>
      <c r="T102" s="14"/>
      <c r="U102" s="14"/>
      <c r="V102" s="14"/>
      <c r="W102" s="14"/>
      <c r="X102" s="31"/>
      <c r="Y102" s="31"/>
    </row>
    <row r="103">
      <c r="A103" s="5">
        <v>102.0</v>
      </c>
      <c r="B103" s="32" t="s">
        <v>499</v>
      </c>
      <c r="C103" s="32" t="s">
        <v>500</v>
      </c>
      <c r="D103" s="3" t="s">
        <v>75</v>
      </c>
      <c r="E103" s="3" t="s">
        <v>142</v>
      </c>
      <c r="F103" s="20" t="s">
        <v>41</v>
      </c>
      <c r="G103" s="20" t="s">
        <v>41</v>
      </c>
      <c r="H103" s="3">
        <v>24.0</v>
      </c>
      <c r="I103" s="3">
        <v>24.0</v>
      </c>
      <c r="J103" s="3">
        <v>24.0</v>
      </c>
      <c r="K103" s="3">
        <v>5.0</v>
      </c>
      <c r="L103" s="3">
        <v>6.0</v>
      </c>
      <c r="M103" s="3">
        <v>7.0</v>
      </c>
      <c r="N103" s="25">
        <f t="shared" si="1"/>
        <v>2</v>
      </c>
      <c r="O103" s="13"/>
      <c r="P103" s="14"/>
      <c r="Q103" s="14"/>
      <c r="R103" s="14"/>
      <c r="S103" s="14"/>
      <c r="T103" s="14"/>
      <c r="U103" s="14"/>
      <c r="V103" s="14"/>
      <c r="W103" s="14"/>
      <c r="X103" s="31"/>
      <c r="Y103" s="31"/>
    </row>
    <row r="104">
      <c r="A104" s="5">
        <v>103.0</v>
      </c>
      <c r="B104" s="32" t="s">
        <v>502</v>
      </c>
      <c r="C104" s="32" t="s">
        <v>503</v>
      </c>
      <c r="D104" s="3" t="s">
        <v>142</v>
      </c>
      <c r="E104" s="3" t="s">
        <v>106</v>
      </c>
      <c r="F104" s="3" t="s">
        <v>52</v>
      </c>
      <c r="G104" s="3" t="s">
        <v>172</v>
      </c>
      <c r="H104" s="3">
        <v>29.0</v>
      </c>
      <c r="I104" s="3">
        <v>29.0</v>
      </c>
      <c r="J104" s="3">
        <v>29.0</v>
      </c>
      <c r="K104" s="3">
        <v>9.0</v>
      </c>
      <c r="L104" s="3">
        <v>8.0</v>
      </c>
      <c r="M104" s="3">
        <v>10.0</v>
      </c>
      <c r="N104" s="25">
        <f t="shared" si="1"/>
        <v>0</v>
      </c>
      <c r="O104" s="13"/>
      <c r="P104" s="14"/>
      <c r="Q104" s="14"/>
      <c r="R104" s="14"/>
      <c r="S104" s="14"/>
      <c r="T104" s="14"/>
      <c r="U104" s="14"/>
      <c r="V104" s="14"/>
      <c r="W104" s="14"/>
      <c r="X104" s="31"/>
      <c r="Y104" s="31"/>
    </row>
    <row r="105">
      <c r="A105" s="5">
        <v>104.0</v>
      </c>
      <c r="B105" s="32" t="s">
        <v>505</v>
      </c>
      <c r="C105" s="32" t="s">
        <v>506</v>
      </c>
      <c r="D105" s="20" t="s">
        <v>41</v>
      </c>
      <c r="E105" s="3" t="s">
        <v>200</v>
      </c>
      <c r="F105" s="3" t="s">
        <v>52</v>
      </c>
      <c r="G105" s="3" t="s">
        <v>172</v>
      </c>
      <c r="H105" s="3">
        <v>28.0</v>
      </c>
      <c r="I105" s="3">
        <v>27.0</v>
      </c>
      <c r="J105" s="3">
        <v>27.0</v>
      </c>
      <c r="K105" s="3">
        <v>8.0</v>
      </c>
      <c r="L105" s="3">
        <v>10.0</v>
      </c>
      <c r="M105" s="3">
        <v>6.0</v>
      </c>
      <c r="N105" s="25">
        <f t="shared" si="1"/>
        <v>1</v>
      </c>
      <c r="O105" s="13"/>
      <c r="P105" s="14"/>
      <c r="Q105" s="14"/>
      <c r="R105" s="14"/>
      <c r="S105" s="14"/>
      <c r="T105" s="14"/>
      <c r="U105" s="14"/>
      <c r="V105" s="14"/>
      <c r="W105" s="14"/>
      <c r="X105" s="31"/>
      <c r="Y105" s="31"/>
    </row>
    <row r="106">
      <c r="A106" s="5">
        <v>105.0</v>
      </c>
      <c r="B106" s="32" t="s">
        <v>508</v>
      </c>
      <c r="C106" s="32" t="s">
        <v>509</v>
      </c>
      <c r="D106" s="3" t="s">
        <v>200</v>
      </c>
      <c r="E106" s="3" t="s">
        <v>97</v>
      </c>
      <c r="F106" s="20" t="s">
        <v>41</v>
      </c>
      <c r="G106" s="3" t="s">
        <v>165</v>
      </c>
      <c r="H106" s="3">
        <v>27.0</v>
      </c>
      <c r="I106" s="3">
        <v>27.0</v>
      </c>
      <c r="J106" s="3">
        <v>27.0</v>
      </c>
      <c r="K106" s="3">
        <v>10.0</v>
      </c>
      <c r="L106" s="3">
        <v>7.0</v>
      </c>
      <c r="M106" s="3">
        <v>9.0</v>
      </c>
      <c r="N106" s="25">
        <f t="shared" si="1"/>
        <v>1</v>
      </c>
      <c r="O106" s="13"/>
      <c r="P106" s="14"/>
      <c r="Q106" s="14"/>
      <c r="R106" s="14"/>
      <c r="S106" s="14"/>
      <c r="T106" s="14"/>
      <c r="U106" s="14"/>
      <c r="V106" s="14"/>
      <c r="W106" s="14"/>
      <c r="X106" s="31"/>
      <c r="Y106" s="31"/>
    </row>
    <row r="107">
      <c r="A107" s="5">
        <v>106.0</v>
      </c>
      <c r="B107" s="32" t="s">
        <v>511</v>
      </c>
      <c r="C107" s="32" t="s">
        <v>512</v>
      </c>
      <c r="D107" s="3" t="s">
        <v>98</v>
      </c>
      <c r="E107" s="3" t="s">
        <v>112</v>
      </c>
      <c r="F107" s="3" t="s">
        <v>52</v>
      </c>
      <c r="G107" s="20" t="s">
        <v>41</v>
      </c>
      <c r="H107" s="3">
        <v>22.0</v>
      </c>
      <c r="I107" s="3">
        <v>23.0</v>
      </c>
      <c r="J107" s="3">
        <v>23.0</v>
      </c>
      <c r="K107" s="3">
        <v>6.0</v>
      </c>
      <c r="L107" s="3">
        <v>5.0</v>
      </c>
      <c r="M107" s="3">
        <v>5.0</v>
      </c>
      <c r="N107" s="25">
        <f t="shared" si="1"/>
        <v>1</v>
      </c>
      <c r="O107" s="13"/>
      <c r="P107" s="14"/>
      <c r="Q107" s="14"/>
      <c r="R107" s="14"/>
      <c r="S107" s="14"/>
      <c r="T107" s="14"/>
      <c r="U107" s="14"/>
      <c r="V107" s="14"/>
      <c r="W107" s="14"/>
      <c r="X107" s="31"/>
      <c r="Y107" s="31"/>
    </row>
    <row r="108">
      <c r="A108" s="5">
        <v>107.0</v>
      </c>
      <c r="B108" s="32" t="s">
        <v>514</v>
      </c>
      <c r="C108" s="32" t="s">
        <v>515</v>
      </c>
      <c r="D108" s="3" t="s">
        <v>39</v>
      </c>
      <c r="E108" s="3" t="s">
        <v>50</v>
      </c>
      <c r="F108" s="3" t="s">
        <v>164</v>
      </c>
      <c r="G108" s="3" t="s">
        <v>54</v>
      </c>
      <c r="H108" s="3">
        <v>25.0</v>
      </c>
      <c r="I108" s="3">
        <v>28.0</v>
      </c>
      <c r="J108" s="3">
        <v>28.0</v>
      </c>
      <c r="K108" s="3">
        <v>5.0</v>
      </c>
      <c r="L108" s="3">
        <v>9.0</v>
      </c>
      <c r="M108" s="3">
        <v>8.0</v>
      </c>
      <c r="N108" s="25">
        <f t="shared" si="1"/>
        <v>0</v>
      </c>
      <c r="O108" s="13"/>
      <c r="P108" s="14"/>
      <c r="Q108" s="14"/>
      <c r="R108" s="14"/>
      <c r="S108" s="14"/>
      <c r="T108" s="14"/>
      <c r="U108" s="14"/>
      <c r="V108" s="14"/>
      <c r="W108" s="14"/>
      <c r="X108" s="31"/>
      <c r="Y108" s="31"/>
    </row>
    <row r="109">
      <c r="A109" s="5">
        <v>108.0</v>
      </c>
      <c r="B109" s="32" t="s">
        <v>517</v>
      </c>
      <c r="C109" s="32" t="s">
        <v>518</v>
      </c>
      <c r="D109" s="3" t="s">
        <v>50</v>
      </c>
      <c r="E109" s="3" t="s">
        <v>127</v>
      </c>
      <c r="F109" s="3" t="s">
        <v>52</v>
      </c>
      <c r="G109" s="3" t="s">
        <v>85</v>
      </c>
      <c r="H109" s="3">
        <v>28.0</v>
      </c>
      <c r="I109" s="3">
        <v>24.0</v>
      </c>
      <c r="J109" s="3">
        <v>24.0</v>
      </c>
      <c r="K109" s="3">
        <v>9.0</v>
      </c>
      <c r="L109" s="3">
        <v>6.0</v>
      </c>
      <c r="M109" s="3">
        <v>10.0</v>
      </c>
      <c r="N109" s="25">
        <f t="shared" si="1"/>
        <v>0</v>
      </c>
      <c r="O109" s="13"/>
      <c r="P109" s="14"/>
      <c r="Q109" s="14"/>
      <c r="R109" s="14"/>
      <c r="S109" s="14"/>
      <c r="T109" s="14"/>
      <c r="U109" s="14"/>
      <c r="V109" s="14"/>
      <c r="W109" s="14"/>
      <c r="X109" s="31"/>
      <c r="Y109" s="31"/>
    </row>
    <row r="110">
      <c r="A110" s="5">
        <v>109.0</v>
      </c>
      <c r="B110" s="32" t="s">
        <v>521</v>
      </c>
      <c r="C110" s="32" t="s">
        <v>522</v>
      </c>
      <c r="D110" s="3" t="s">
        <v>127</v>
      </c>
      <c r="E110" s="3" t="s">
        <v>98</v>
      </c>
      <c r="F110" s="3" t="s">
        <v>52</v>
      </c>
      <c r="G110" s="3" t="s">
        <v>113</v>
      </c>
      <c r="H110" s="3">
        <v>26.0</v>
      </c>
      <c r="I110" s="3">
        <v>30.0</v>
      </c>
      <c r="J110" s="3">
        <v>30.0</v>
      </c>
      <c r="K110" s="3">
        <v>7.0</v>
      </c>
      <c r="L110" s="3">
        <v>8.0</v>
      </c>
      <c r="M110" s="3">
        <v>7.0</v>
      </c>
      <c r="N110" s="25">
        <f t="shared" si="1"/>
        <v>0</v>
      </c>
      <c r="O110" s="13"/>
      <c r="P110" s="14"/>
      <c r="Q110" s="14"/>
      <c r="R110" s="14"/>
      <c r="S110" s="14"/>
      <c r="T110" s="14"/>
      <c r="U110" s="14"/>
      <c r="V110" s="14"/>
      <c r="W110" s="14"/>
      <c r="X110" s="31"/>
      <c r="Y110" s="31"/>
    </row>
    <row r="111">
      <c r="A111" s="5">
        <v>110.0</v>
      </c>
      <c r="B111" s="63" t="s">
        <v>525</v>
      </c>
      <c r="C111" s="63" t="s">
        <v>526</v>
      </c>
      <c r="D111" s="3" t="s">
        <v>97</v>
      </c>
      <c r="E111" s="3" t="s">
        <v>147</v>
      </c>
      <c r="F111" s="3" t="s">
        <v>52</v>
      </c>
      <c r="G111" s="3" t="s">
        <v>136</v>
      </c>
      <c r="H111" s="3">
        <v>30.0</v>
      </c>
      <c r="I111" s="3">
        <v>26.0</v>
      </c>
      <c r="J111" s="3">
        <v>26.0</v>
      </c>
      <c r="K111" s="3">
        <v>8.0</v>
      </c>
      <c r="L111" s="3">
        <v>7.0</v>
      </c>
      <c r="M111" s="3">
        <v>6.0</v>
      </c>
      <c r="N111" s="25">
        <f t="shared" si="1"/>
        <v>0</v>
      </c>
      <c r="O111" s="13"/>
      <c r="P111" s="14"/>
      <c r="Q111" s="14"/>
      <c r="R111" s="14"/>
      <c r="S111" s="14"/>
      <c r="T111" s="14"/>
      <c r="U111" s="14"/>
      <c r="V111" s="14"/>
      <c r="W111" s="14"/>
      <c r="X111" s="31"/>
      <c r="Y111" s="31"/>
    </row>
    <row r="112">
      <c r="A112" s="5">
        <v>111.0</v>
      </c>
      <c r="B112" s="32" t="s">
        <v>528</v>
      </c>
      <c r="C112" s="32" t="s">
        <v>529</v>
      </c>
      <c r="D112" s="3" t="s">
        <v>147</v>
      </c>
      <c r="E112" s="3" t="s">
        <v>60</v>
      </c>
      <c r="F112" s="3" t="s">
        <v>91</v>
      </c>
      <c r="G112" s="3" t="s">
        <v>136</v>
      </c>
      <c r="H112" s="20" t="s">
        <v>41</v>
      </c>
      <c r="I112" s="3">
        <v>25.0</v>
      </c>
      <c r="J112" s="3">
        <v>25.0</v>
      </c>
      <c r="K112" s="3">
        <v>6.0</v>
      </c>
      <c r="L112" s="3">
        <v>10.0</v>
      </c>
      <c r="M112" s="3">
        <v>9.0</v>
      </c>
      <c r="N112" s="25">
        <f t="shared" si="1"/>
        <v>1</v>
      </c>
      <c r="O112" s="13"/>
      <c r="P112" s="14"/>
      <c r="Q112" s="14"/>
      <c r="R112" s="14"/>
      <c r="S112" s="14"/>
      <c r="T112" s="14"/>
      <c r="U112" s="14"/>
      <c r="V112" s="14"/>
      <c r="W112" s="14"/>
      <c r="X112" s="31"/>
      <c r="Y112" s="31"/>
    </row>
    <row r="113">
      <c r="A113" s="5">
        <v>112.0</v>
      </c>
      <c r="B113" s="32" t="s">
        <v>532</v>
      </c>
      <c r="C113" s="19" t="s">
        <v>533</v>
      </c>
      <c r="D113" s="3" t="s">
        <v>60</v>
      </c>
      <c r="E113" s="3" t="s">
        <v>74</v>
      </c>
      <c r="F113" s="20" t="s">
        <v>41</v>
      </c>
      <c r="G113" s="20" t="s">
        <v>41</v>
      </c>
      <c r="H113" s="3">
        <v>23.0</v>
      </c>
      <c r="I113" s="3">
        <v>22.0</v>
      </c>
      <c r="J113" s="3">
        <v>22.0</v>
      </c>
      <c r="K113" s="3">
        <v>5.0</v>
      </c>
      <c r="L113" s="3">
        <v>5.0</v>
      </c>
      <c r="M113" s="3">
        <v>5.0</v>
      </c>
      <c r="N113" s="25">
        <f t="shared" si="1"/>
        <v>2</v>
      </c>
      <c r="O113" s="13"/>
      <c r="P113" s="14"/>
      <c r="Q113" s="14"/>
      <c r="R113" s="14"/>
      <c r="S113" s="14"/>
      <c r="T113" s="14"/>
      <c r="U113" s="14"/>
      <c r="V113" s="14"/>
      <c r="W113" s="14"/>
      <c r="X113" s="31"/>
      <c r="Y113" s="31"/>
    </row>
    <row r="114">
      <c r="A114" s="5">
        <v>113.0</v>
      </c>
      <c r="B114" s="32" t="s">
        <v>535</v>
      </c>
      <c r="C114" s="32" t="s">
        <v>536</v>
      </c>
      <c r="D114" s="3" t="s">
        <v>74</v>
      </c>
      <c r="E114" s="3" t="s">
        <v>107</v>
      </c>
      <c r="F114" s="20" t="s">
        <v>41</v>
      </c>
      <c r="G114" s="3" t="s">
        <v>148</v>
      </c>
      <c r="H114" s="3">
        <v>24.0</v>
      </c>
      <c r="I114" s="3">
        <v>29.0</v>
      </c>
      <c r="J114" s="3">
        <v>29.0</v>
      </c>
      <c r="K114" s="3">
        <v>10.0</v>
      </c>
      <c r="L114" s="3">
        <v>9.0</v>
      </c>
      <c r="M114" s="3">
        <v>8.0</v>
      </c>
      <c r="N114" s="25">
        <f t="shared" si="1"/>
        <v>1</v>
      </c>
      <c r="O114" s="13"/>
      <c r="P114" s="14"/>
      <c r="Q114" s="14"/>
      <c r="R114" s="14"/>
      <c r="S114" s="14"/>
      <c r="T114" s="14"/>
      <c r="U114" s="14"/>
      <c r="V114" s="14"/>
      <c r="W114" s="14"/>
      <c r="X114" s="31"/>
      <c r="Y114" s="31"/>
    </row>
    <row r="115">
      <c r="A115" s="5">
        <v>114.0</v>
      </c>
      <c r="B115" s="73" t="s">
        <v>538</v>
      </c>
      <c r="C115" s="73" t="s">
        <v>540</v>
      </c>
      <c r="D115" s="3" t="s">
        <v>106</v>
      </c>
      <c r="E115" s="3" t="s">
        <v>75</v>
      </c>
      <c r="F115" s="3" t="s">
        <v>52</v>
      </c>
      <c r="G115" s="3" t="s">
        <v>541</v>
      </c>
      <c r="H115" s="3">
        <v>29.0</v>
      </c>
      <c r="I115" s="3">
        <v>27.0</v>
      </c>
      <c r="J115" s="3">
        <v>27.0</v>
      </c>
      <c r="K115" s="3">
        <v>9.0</v>
      </c>
      <c r="L115" s="3">
        <v>6.0</v>
      </c>
      <c r="M115" s="3">
        <v>10.0</v>
      </c>
      <c r="N115" s="25">
        <f t="shared" si="1"/>
        <v>0</v>
      </c>
      <c r="O115" s="13"/>
      <c r="P115" s="14"/>
      <c r="Q115" s="14"/>
      <c r="R115" s="14"/>
      <c r="S115" s="14"/>
      <c r="T115" s="14"/>
      <c r="U115" s="14"/>
      <c r="V115" s="14"/>
      <c r="W115" s="14"/>
      <c r="X115" s="31"/>
      <c r="Y115" s="31"/>
    </row>
    <row r="116">
      <c r="A116" s="5">
        <v>115.0</v>
      </c>
      <c r="B116" s="32" t="s">
        <v>542</v>
      </c>
      <c r="C116" s="32" t="s">
        <v>543</v>
      </c>
      <c r="D116" s="3" t="s">
        <v>75</v>
      </c>
      <c r="E116" s="3" t="s">
        <v>39</v>
      </c>
      <c r="F116" s="3" t="s">
        <v>91</v>
      </c>
      <c r="G116" s="3" t="s">
        <v>119</v>
      </c>
      <c r="H116" s="3">
        <v>27.0</v>
      </c>
      <c r="I116" s="3">
        <v>24.0</v>
      </c>
      <c r="J116" s="3">
        <v>24.0</v>
      </c>
      <c r="K116" s="3">
        <v>7.0</v>
      </c>
      <c r="L116" s="3">
        <v>8.0</v>
      </c>
      <c r="M116" s="3">
        <v>7.0</v>
      </c>
      <c r="N116" s="25">
        <f t="shared" si="1"/>
        <v>0</v>
      </c>
      <c r="O116" s="13"/>
      <c r="P116" s="14"/>
      <c r="Q116" s="14"/>
      <c r="R116" s="14"/>
      <c r="S116" s="14"/>
      <c r="T116" s="14"/>
      <c r="U116" s="14"/>
      <c r="V116" s="14"/>
      <c r="W116" s="14"/>
      <c r="X116" s="31"/>
      <c r="Y116" s="31"/>
    </row>
    <row r="117">
      <c r="A117" s="5">
        <v>116.0</v>
      </c>
      <c r="B117" s="32" t="s">
        <v>544</v>
      </c>
      <c r="C117" s="32" t="s">
        <v>545</v>
      </c>
      <c r="D117" s="3" t="s">
        <v>112</v>
      </c>
      <c r="E117" s="20" t="s">
        <v>41</v>
      </c>
      <c r="F117" s="3" t="s">
        <v>201</v>
      </c>
      <c r="G117" s="20" t="s">
        <v>41</v>
      </c>
      <c r="H117" s="20" t="s">
        <v>41</v>
      </c>
      <c r="I117" s="20" t="s">
        <v>41</v>
      </c>
      <c r="J117" s="20" t="s">
        <v>41</v>
      </c>
      <c r="K117" s="20">
        <v>8.0</v>
      </c>
      <c r="L117" s="20">
        <v>10.0</v>
      </c>
      <c r="M117" s="20">
        <v>6.0</v>
      </c>
      <c r="N117" s="25">
        <f t="shared" si="1"/>
        <v>5</v>
      </c>
      <c r="O117" s="13"/>
      <c r="P117" s="14"/>
      <c r="Q117" s="14"/>
      <c r="R117" s="14"/>
      <c r="S117" s="14"/>
      <c r="T117" s="14"/>
      <c r="U117" s="14"/>
      <c r="V117" s="14"/>
      <c r="W117" s="14"/>
      <c r="X117" s="31"/>
      <c r="Y117" s="31"/>
    </row>
    <row r="118">
      <c r="A118" s="5">
        <v>117.0</v>
      </c>
      <c r="B118" s="32" t="s">
        <v>547</v>
      </c>
      <c r="C118" s="32" t="s">
        <v>548</v>
      </c>
      <c r="D118" s="20" t="s">
        <v>41</v>
      </c>
      <c r="E118" s="3" t="s">
        <v>142</v>
      </c>
      <c r="F118" s="3" t="s">
        <v>91</v>
      </c>
      <c r="G118" s="3" t="s">
        <v>206</v>
      </c>
      <c r="H118" s="3">
        <v>25.0</v>
      </c>
      <c r="I118" s="3">
        <v>25.0</v>
      </c>
      <c r="J118" s="3">
        <v>25.0</v>
      </c>
      <c r="K118" s="3">
        <v>6.0</v>
      </c>
      <c r="L118" s="3">
        <v>7.0</v>
      </c>
      <c r="M118" s="3">
        <v>9.0</v>
      </c>
      <c r="N118" s="25">
        <f t="shared" si="1"/>
        <v>1</v>
      </c>
      <c r="O118" s="13"/>
      <c r="P118" s="14"/>
      <c r="Q118" s="14"/>
      <c r="R118" s="14"/>
      <c r="S118" s="14"/>
      <c r="T118" s="14"/>
      <c r="U118" s="14"/>
      <c r="V118" s="14"/>
      <c r="W118" s="14"/>
      <c r="X118" s="31"/>
      <c r="Y118" s="31"/>
    </row>
    <row r="119">
      <c r="A119" s="5">
        <v>118.0</v>
      </c>
      <c r="B119" s="73" t="s">
        <v>550</v>
      </c>
      <c r="C119" s="73" t="s">
        <v>551</v>
      </c>
      <c r="D119" s="3" t="s">
        <v>142</v>
      </c>
      <c r="E119" s="3" t="s">
        <v>97</v>
      </c>
      <c r="F119" s="3" t="s">
        <v>164</v>
      </c>
      <c r="G119" s="3" t="s">
        <v>239</v>
      </c>
      <c r="H119" s="3">
        <v>28.0</v>
      </c>
      <c r="I119" s="3">
        <v>30.0</v>
      </c>
      <c r="J119" s="3">
        <v>30.0</v>
      </c>
      <c r="K119" s="3">
        <v>10.0</v>
      </c>
      <c r="L119" s="3">
        <v>5.0</v>
      </c>
      <c r="M119" s="3">
        <v>5.0</v>
      </c>
      <c r="N119" s="25">
        <f t="shared" si="1"/>
        <v>0</v>
      </c>
      <c r="O119" s="13"/>
      <c r="P119" s="14"/>
      <c r="Q119" s="14"/>
      <c r="R119" s="14"/>
      <c r="S119" s="14"/>
      <c r="T119" s="14"/>
      <c r="U119" s="14"/>
      <c r="V119" s="14"/>
      <c r="W119" s="14"/>
      <c r="X119" s="31"/>
      <c r="Y119" s="31"/>
    </row>
    <row r="120">
      <c r="A120" s="5">
        <v>119.0</v>
      </c>
      <c r="B120" s="73" t="s">
        <v>553</v>
      </c>
      <c r="C120" s="73" t="s">
        <v>554</v>
      </c>
      <c r="D120" s="3" t="s">
        <v>98</v>
      </c>
      <c r="E120" s="3" t="s">
        <v>112</v>
      </c>
      <c r="F120" s="3" t="s">
        <v>201</v>
      </c>
      <c r="G120" s="3" t="s">
        <v>555</v>
      </c>
      <c r="H120" s="20" t="s">
        <v>41</v>
      </c>
      <c r="I120" s="3">
        <v>26.0</v>
      </c>
      <c r="J120" s="3">
        <v>26.0</v>
      </c>
      <c r="K120" s="3">
        <v>5.0</v>
      </c>
      <c r="L120" s="3">
        <v>9.0</v>
      </c>
      <c r="M120" s="3">
        <v>8.0</v>
      </c>
      <c r="N120" s="25">
        <f t="shared" si="1"/>
        <v>1</v>
      </c>
      <c r="O120" s="13"/>
      <c r="P120" s="14"/>
      <c r="Q120" s="14"/>
      <c r="R120" s="14"/>
      <c r="S120" s="14"/>
      <c r="T120" s="14"/>
      <c r="U120" s="14"/>
      <c r="V120" s="14"/>
      <c r="W120" s="14"/>
      <c r="X120" s="31"/>
      <c r="Y120" s="31"/>
    </row>
    <row r="121">
      <c r="A121" s="5">
        <v>120.0</v>
      </c>
      <c r="B121" s="32" t="s">
        <v>557</v>
      </c>
      <c r="C121" s="32" t="s">
        <v>558</v>
      </c>
      <c r="D121" s="3" t="s">
        <v>39</v>
      </c>
      <c r="E121" s="20" t="s">
        <v>41</v>
      </c>
      <c r="F121" s="3" t="s">
        <v>164</v>
      </c>
      <c r="G121" s="3" t="s">
        <v>458</v>
      </c>
      <c r="H121" s="3">
        <v>30.0</v>
      </c>
      <c r="I121" s="3">
        <v>30.0</v>
      </c>
      <c r="J121" s="3">
        <v>30.0</v>
      </c>
      <c r="K121" s="3">
        <v>9.0</v>
      </c>
      <c r="L121" s="3">
        <v>6.0</v>
      </c>
      <c r="M121" s="3" t="s">
        <v>41</v>
      </c>
      <c r="N121" s="25">
        <f t="shared" si="1"/>
        <v>2</v>
      </c>
      <c r="O121" s="13"/>
      <c r="P121" s="14"/>
      <c r="Q121" s="14"/>
      <c r="R121" s="14"/>
      <c r="S121" s="14"/>
      <c r="T121" s="14"/>
      <c r="U121" s="14"/>
      <c r="V121" s="14"/>
      <c r="W121" s="14"/>
      <c r="X121" s="31"/>
      <c r="Y121" s="31"/>
    </row>
    <row r="122">
      <c r="A122" s="5">
        <v>121.0</v>
      </c>
      <c r="B122" s="35" t="s">
        <v>560</v>
      </c>
      <c r="C122" s="35" t="s">
        <v>561</v>
      </c>
      <c r="D122" s="20" t="s">
        <v>41</v>
      </c>
      <c r="E122" s="3" t="s">
        <v>39</v>
      </c>
      <c r="F122" s="3" t="s">
        <v>52</v>
      </c>
      <c r="G122" s="3" t="s">
        <v>119</v>
      </c>
      <c r="H122" s="3">
        <v>22.0</v>
      </c>
      <c r="I122" s="3">
        <v>22.0</v>
      </c>
      <c r="J122" s="3">
        <v>22.0</v>
      </c>
      <c r="K122" s="3">
        <v>7.0</v>
      </c>
      <c r="L122" s="3">
        <v>8.0</v>
      </c>
      <c r="M122" s="3">
        <v>7.0</v>
      </c>
      <c r="N122" s="25">
        <f t="shared" si="1"/>
        <v>1</v>
      </c>
      <c r="O122" s="13"/>
      <c r="P122" s="14"/>
      <c r="Q122" s="14"/>
      <c r="R122" s="14"/>
      <c r="S122" s="14"/>
      <c r="T122" s="14"/>
      <c r="U122" s="14"/>
      <c r="V122" s="14"/>
      <c r="W122" s="14"/>
      <c r="X122" s="31"/>
      <c r="Y122" s="31"/>
    </row>
    <row r="123">
      <c r="A123" s="5">
        <v>122.0</v>
      </c>
      <c r="B123" s="75" t="s">
        <v>564</v>
      </c>
      <c r="C123" s="75" t="s">
        <v>565</v>
      </c>
      <c r="D123" s="3" t="s">
        <v>39</v>
      </c>
      <c r="E123" s="3" t="s">
        <v>106</v>
      </c>
      <c r="F123" s="3" t="s">
        <v>52</v>
      </c>
      <c r="G123" s="3" t="s">
        <v>85</v>
      </c>
      <c r="H123" s="20" t="s">
        <v>41</v>
      </c>
      <c r="I123" s="3">
        <v>29.0</v>
      </c>
      <c r="J123" s="3">
        <v>29.0</v>
      </c>
      <c r="K123" s="3">
        <v>8.0</v>
      </c>
      <c r="L123" s="3" t="s">
        <v>41</v>
      </c>
      <c r="M123" s="3">
        <v>10.0</v>
      </c>
      <c r="N123" s="25">
        <f t="shared" si="1"/>
        <v>2</v>
      </c>
      <c r="O123" s="13"/>
      <c r="P123" s="14"/>
      <c r="Q123" s="14"/>
      <c r="R123" s="14"/>
      <c r="S123" s="14"/>
      <c r="T123" s="14"/>
      <c r="U123" s="14"/>
      <c r="V123" s="14"/>
      <c r="W123" s="14"/>
      <c r="X123" s="31"/>
      <c r="Y123" s="31"/>
    </row>
    <row r="124">
      <c r="A124" s="5">
        <v>123.0</v>
      </c>
      <c r="B124" s="76" t="s">
        <v>567</v>
      </c>
      <c r="C124" s="76" t="s">
        <v>568</v>
      </c>
      <c r="D124" s="20" t="s">
        <v>41</v>
      </c>
      <c r="E124" s="3" t="s">
        <v>98</v>
      </c>
      <c r="F124" s="3" t="s">
        <v>52</v>
      </c>
      <c r="G124" s="3" t="s">
        <v>128</v>
      </c>
      <c r="H124" s="3">
        <v>24.0</v>
      </c>
      <c r="I124" s="3">
        <v>24.0</v>
      </c>
      <c r="J124" s="3">
        <v>24.0</v>
      </c>
      <c r="K124" s="3" t="s">
        <v>41</v>
      </c>
      <c r="L124" s="3">
        <v>10.0</v>
      </c>
      <c r="M124" s="3">
        <v>6.0</v>
      </c>
      <c r="N124" s="25">
        <f t="shared" si="1"/>
        <v>2</v>
      </c>
      <c r="O124" s="13"/>
      <c r="P124" s="14"/>
      <c r="Q124" s="14"/>
      <c r="R124" s="14"/>
      <c r="S124" s="14"/>
      <c r="T124" s="14"/>
      <c r="U124" s="14"/>
      <c r="V124" s="14"/>
      <c r="W124" s="14"/>
      <c r="X124" s="31"/>
      <c r="Y124" s="31"/>
    </row>
    <row r="125">
      <c r="A125" s="5">
        <v>124.0</v>
      </c>
      <c r="B125" s="32" t="s">
        <v>570</v>
      </c>
      <c r="C125" s="32" t="s">
        <v>571</v>
      </c>
      <c r="D125" s="3" t="s">
        <v>39</v>
      </c>
      <c r="E125" s="3" t="s">
        <v>75</v>
      </c>
      <c r="F125" s="3" t="s">
        <v>201</v>
      </c>
      <c r="G125" s="3" t="s">
        <v>119</v>
      </c>
      <c r="H125" s="3">
        <v>26.0</v>
      </c>
      <c r="I125" s="3">
        <v>25.0</v>
      </c>
      <c r="J125" s="3">
        <v>25.0</v>
      </c>
      <c r="K125" s="3">
        <v>6.0</v>
      </c>
      <c r="L125" s="3">
        <v>7.0</v>
      </c>
      <c r="M125" s="3">
        <v>9.0</v>
      </c>
      <c r="N125" s="25">
        <f t="shared" si="1"/>
        <v>0</v>
      </c>
      <c r="O125" s="13"/>
      <c r="P125" s="14"/>
      <c r="Q125" s="14"/>
      <c r="R125" s="14"/>
      <c r="S125" s="14"/>
      <c r="T125" s="14"/>
      <c r="U125" s="14"/>
      <c r="V125" s="14"/>
      <c r="W125" s="14"/>
      <c r="X125" s="31"/>
      <c r="Y125" s="31"/>
    </row>
    <row r="126">
      <c r="A126" s="5">
        <v>125.0</v>
      </c>
      <c r="B126" s="76" t="s">
        <v>574</v>
      </c>
      <c r="C126" s="76" t="s">
        <v>575</v>
      </c>
      <c r="D126" s="3" t="s">
        <v>75</v>
      </c>
      <c r="E126" s="3" t="s">
        <v>112</v>
      </c>
      <c r="F126" s="3" t="s">
        <v>201</v>
      </c>
      <c r="G126" s="3" t="s">
        <v>458</v>
      </c>
      <c r="H126" s="3">
        <v>29.0</v>
      </c>
      <c r="I126" s="3">
        <v>29.0</v>
      </c>
      <c r="J126" s="3">
        <v>29.0</v>
      </c>
      <c r="K126" s="3">
        <v>10.0</v>
      </c>
      <c r="L126" s="3">
        <v>5.0</v>
      </c>
      <c r="M126" s="3">
        <v>5.0</v>
      </c>
      <c r="N126" s="25">
        <f t="shared" si="1"/>
        <v>0</v>
      </c>
      <c r="O126" s="13"/>
      <c r="P126" s="14"/>
      <c r="Q126" s="14"/>
      <c r="R126" s="14"/>
      <c r="S126" s="14"/>
      <c r="T126" s="14"/>
      <c r="U126" s="14"/>
      <c r="V126" s="14"/>
      <c r="W126" s="14"/>
      <c r="X126" s="31"/>
      <c r="Y126" s="31"/>
    </row>
    <row r="127">
      <c r="A127" s="5">
        <v>126.0</v>
      </c>
      <c r="B127" s="76" t="s">
        <v>579</v>
      </c>
      <c r="C127" s="76" t="s">
        <v>580</v>
      </c>
      <c r="D127" s="3" t="s">
        <v>112</v>
      </c>
      <c r="E127" s="20" t="s">
        <v>41</v>
      </c>
      <c r="F127" s="3" t="s">
        <v>91</v>
      </c>
      <c r="G127" s="20" t="s">
        <v>41</v>
      </c>
      <c r="H127" s="3">
        <v>28.0</v>
      </c>
      <c r="I127" s="3">
        <v>28.0</v>
      </c>
      <c r="J127" s="3">
        <v>28.0</v>
      </c>
      <c r="K127" s="3">
        <v>5.0</v>
      </c>
      <c r="L127" s="3">
        <v>9.0</v>
      </c>
      <c r="M127" s="3">
        <v>8.0</v>
      </c>
      <c r="N127" s="25">
        <f t="shared" si="1"/>
        <v>2</v>
      </c>
      <c r="O127" s="13"/>
      <c r="P127" s="14"/>
      <c r="Q127" s="14"/>
      <c r="R127" s="14"/>
      <c r="S127" s="14"/>
      <c r="T127" s="14"/>
      <c r="U127" s="14"/>
      <c r="V127" s="14"/>
      <c r="W127" s="14"/>
      <c r="X127" s="31"/>
      <c r="Y127" s="31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31"/>
      <c r="Y128" s="31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31"/>
      <c r="Y129" s="31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31"/>
      <c r="Y130" s="31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31"/>
      <c r="Y131" s="31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31"/>
      <c r="Y132" s="31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31"/>
      <c r="Y133" s="31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31"/>
      <c r="Y134" s="31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31"/>
      <c r="Y135" s="31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31"/>
      <c r="Y136" s="31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31"/>
      <c r="Y137" s="31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31"/>
      <c r="Y138" s="31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31"/>
      <c r="Y139" s="31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31"/>
      <c r="Y140" s="31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31"/>
      <c r="Y141" s="31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31"/>
      <c r="Y142" s="31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31"/>
      <c r="Y143" s="31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31"/>
      <c r="Y144" s="31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31"/>
      <c r="Y145" s="31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31"/>
      <c r="Y146" s="31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31"/>
      <c r="Y147" s="31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31"/>
      <c r="Y148" s="31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31"/>
      <c r="Y149" s="31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31"/>
      <c r="Y150" s="31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31"/>
      <c r="Y151" s="31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31"/>
      <c r="Y152" s="31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31"/>
      <c r="Y153" s="31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31"/>
      <c r="Y154" s="31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31"/>
      <c r="Y155" s="31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31"/>
      <c r="Y156" s="31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31"/>
      <c r="Y157" s="31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31"/>
      <c r="Y158" s="31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31"/>
      <c r="Y159" s="31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31"/>
      <c r="Y160" s="31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31"/>
      <c r="Y161" s="31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31"/>
      <c r="Y162" s="31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31"/>
      <c r="Y163" s="31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31"/>
      <c r="Y164" s="31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31"/>
      <c r="Y165" s="31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31"/>
      <c r="Y166" s="31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31"/>
      <c r="Y167" s="31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31"/>
      <c r="Y168" s="31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31"/>
      <c r="Y169" s="31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31"/>
      <c r="Y170" s="31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31"/>
      <c r="Y171" s="31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31"/>
      <c r="Y172" s="31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31"/>
      <c r="Y173" s="31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31"/>
      <c r="Y174" s="31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31"/>
      <c r="Y175" s="31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31"/>
      <c r="Y176" s="31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31"/>
      <c r="Y177" s="31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31"/>
      <c r="Y178" s="31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31"/>
      <c r="Y179" s="31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31"/>
      <c r="Y180" s="31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31"/>
      <c r="Y181" s="31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31"/>
      <c r="Y182" s="31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31"/>
      <c r="Y183" s="31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31"/>
      <c r="Y184" s="31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31"/>
      <c r="Y185" s="31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31"/>
      <c r="Y186" s="31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31"/>
      <c r="Y187" s="31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31"/>
      <c r="Y188" s="31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31"/>
      <c r="Y189" s="31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31"/>
      <c r="Y190" s="31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31"/>
      <c r="Y191" s="31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31"/>
      <c r="Y192" s="31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31"/>
      <c r="Y193" s="31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31"/>
      <c r="Y194" s="31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31"/>
      <c r="Y195" s="31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31"/>
      <c r="Y196" s="31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31"/>
      <c r="Y197" s="31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31"/>
      <c r="Y198" s="31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31"/>
      <c r="Y199" s="31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31"/>
      <c r="Y200" s="31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31"/>
      <c r="Y201" s="31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31"/>
      <c r="Y202" s="31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31"/>
      <c r="Y203" s="31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31"/>
      <c r="Y204" s="31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31"/>
      <c r="Y205" s="31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31"/>
      <c r="Y206" s="31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31"/>
      <c r="Y207" s="31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31"/>
      <c r="Y208" s="31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31"/>
      <c r="Y209" s="31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31"/>
      <c r="Y210" s="31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31"/>
      <c r="Y211" s="31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31"/>
      <c r="Y212" s="31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31"/>
      <c r="Y213" s="31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31"/>
      <c r="Y214" s="31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31"/>
      <c r="Y215" s="31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31"/>
      <c r="Y216" s="31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31"/>
      <c r="Y217" s="31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31"/>
      <c r="Y218" s="31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31"/>
      <c r="Y219" s="31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31"/>
      <c r="Y220" s="31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31"/>
      <c r="Y221" s="31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31"/>
      <c r="Y222" s="31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31"/>
      <c r="Y223" s="31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31"/>
      <c r="Y224" s="31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31"/>
      <c r="Y225" s="31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31"/>
      <c r="Y226" s="31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31"/>
      <c r="Y227" s="31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31"/>
      <c r="Y228" s="31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31"/>
      <c r="Y229" s="31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31"/>
      <c r="Y230" s="31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31"/>
      <c r="Y231" s="31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31"/>
      <c r="Y232" s="31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31"/>
      <c r="Y233" s="31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31"/>
      <c r="Y234" s="31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31"/>
      <c r="Y235" s="31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31"/>
      <c r="Y236" s="31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31"/>
      <c r="Y237" s="31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31"/>
      <c r="Y238" s="31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31"/>
      <c r="Y239" s="31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31"/>
      <c r="Y240" s="31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31"/>
      <c r="Y241" s="31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31"/>
      <c r="Y242" s="31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31"/>
      <c r="Y243" s="31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31"/>
      <c r="Y244" s="31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31"/>
      <c r="Y245" s="31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31"/>
      <c r="Y246" s="31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31"/>
      <c r="Y247" s="31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31"/>
      <c r="Y248" s="31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31"/>
      <c r="Y249" s="31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31"/>
      <c r="Y250" s="31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31"/>
      <c r="Y251" s="31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31"/>
      <c r="Y252" s="31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31"/>
      <c r="Y253" s="31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31"/>
      <c r="Y254" s="31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31"/>
      <c r="Y255" s="31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31"/>
      <c r="Y256" s="31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31"/>
      <c r="Y257" s="31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31"/>
      <c r="Y258" s="31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31"/>
      <c r="Y259" s="31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31"/>
      <c r="Y260" s="31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31"/>
      <c r="Y261" s="31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31"/>
      <c r="Y262" s="31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31"/>
      <c r="Y263" s="31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31"/>
      <c r="Y264" s="31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31"/>
      <c r="Y265" s="31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31"/>
      <c r="Y266" s="31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31"/>
      <c r="Y267" s="31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31"/>
      <c r="Y268" s="31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31"/>
      <c r="Y269" s="31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31"/>
      <c r="Y270" s="31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31"/>
      <c r="Y271" s="31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31"/>
      <c r="Y272" s="31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31"/>
      <c r="Y273" s="31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31"/>
      <c r="Y274" s="31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31"/>
      <c r="Y275" s="31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31"/>
      <c r="Y276" s="31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31"/>
      <c r="Y277" s="31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31"/>
      <c r="Y278" s="31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31"/>
      <c r="Y279" s="31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31"/>
      <c r="Y280" s="31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31"/>
      <c r="Y281" s="31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31"/>
      <c r="Y282" s="31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31"/>
      <c r="Y283" s="31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31"/>
      <c r="Y284" s="31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31"/>
      <c r="Y285" s="31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31"/>
      <c r="Y286" s="31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31"/>
      <c r="Y287" s="31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31"/>
      <c r="Y288" s="31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31"/>
      <c r="Y289" s="31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31"/>
      <c r="Y290" s="31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31"/>
      <c r="Y291" s="31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31"/>
      <c r="Y292" s="31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31"/>
      <c r="Y293" s="31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31"/>
      <c r="Y294" s="31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31"/>
      <c r="Y295" s="31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31"/>
      <c r="Y296" s="31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31"/>
      <c r="Y297" s="31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31"/>
      <c r="Y298" s="31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31"/>
      <c r="Y299" s="31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31"/>
      <c r="Y300" s="31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31"/>
      <c r="Y301" s="31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31"/>
      <c r="Y302" s="31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31"/>
      <c r="Y303" s="31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31"/>
      <c r="Y304" s="31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31"/>
      <c r="Y305" s="31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31"/>
      <c r="Y306" s="31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31"/>
      <c r="Y307" s="31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31"/>
      <c r="Y308" s="31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31"/>
      <c r="Y309" s="31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31"/>
      <c r="Y310" s="31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31"/>
      <c r="Y311" s="31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31"/>
      <c r="Y312" s="31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31"/>
      <c r="Y313" s="31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31"/>
      <c r="Y314" s="31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31"/>
      <c r="Y315" s="31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31"/>
      <c r="Y316" s="31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31"/>
      <c r="Y317" s="31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31"/>
      <c r="Y318" s="31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31"/>
      <c r="Y319" s="31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31"/>
      <c r="Y320" s="31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31"/>
      <c r="Y321" s="31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31"/>
      <c r="Y322" s="31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31"/>
      <c r="Y323" s="31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31"/>
      <c r="Y324" s="31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31"/>
      <c r="Y325" s="31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31"/>
      <c r="Y326" s="31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31"/>
      <c r="Y327" s="31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31"/>
      <c r="Y328" s="31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31"/>
      <c r="Y329" s="31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31"/>
      <c r="Y330" s="31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31"/>
      <c r="Y331" s="31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31"/>
      <c r="Y332" s="31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31"/>
      <c r="Y333" s="31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31"/>
      <c r="Y334" s="31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31"/>
      <c r="Y335" s="31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31"/>
      <c r="Y336" s="31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31"/>
      <c r="Y337" s="31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31"/>
      <c r="Y338" s="31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31"/>
      <c r="Y339" s="31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31"/>
      <c r="Y340" s="31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31"/>
      <c r="Y341" s="31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31"/>
      <c r="Y342" s="31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31"/>
      <c r="Y343" s="31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31"/>
      <c r="Y344" s="31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31"/>
      <c r="Y345" s="31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31"/>
      <c r="Y346" s="31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31"/>
      <c r="Y347" s="31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31"/>
      <c r="Y348" s="31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31"/>
      <c r="Y349" s="31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31"/>
      <c r="Y350" s="31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31"/>
      <c r="Y351" s="31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31"/>
      <c r="Y352" s="31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31"/>
      <c r="Y353" s="31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31"/>
      <c r="Y354" s="31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31"/>
      <c r="Y355" s="31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31"/>
      <c r="Y356" s="31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31"/>
      <c r="Y357" s="31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31"/>
      <c r="Y358" s="31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31"/>
      <c r="Y359" s="31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31"/>
      <c r="Y360" s="31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31"/>
      <c r="Y361" s="31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31"/>
      <c r="Y362" s="31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31"/>
      <c r="Y363" s="31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31"/>
      <c r="Y364" s="31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31"/>
      <c r="Y365" s="31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31"/>
      <c r="Y366" s="31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31"/>
      <c r="Y367" s="31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31"/>
      <c r="Y368" s="31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31"/>
      <c r="Y369" s="31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31"/>
      <c r="Y370" s="31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31"/>
      <c r="Y371" s="31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31"/>
      <c r="Y372" s="31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31"/>
      <c r="Y373" s="31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31"/>
      <c r="Y374" s="31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31"/>
      <c r="Y375" s="31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31"/>
      <c r="Y376" s="31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31"/>
      <c r="Y377" s="31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31"/>
      <c r="Y378" s="31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31"/>
      <c r="Y379" s="31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31"/>
      <c r="Y380" s="31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31"/>
      <c r="Y381" s="31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31"/>
      <c r="Y382" s="31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31"/>
      <c r="Y383" s="31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31"/>
      <c r="Y384" s="31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31"/>
      <c r="Y385" s="31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31"/>
      <c r="Y386" s="31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31"/>
      <c r="Y387" s="31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31"/>
      <c r="Y388" s="31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31"/>
      <c r="Y389" s="31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31"/>
      <c r="Y390" s="31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31"/>
      <c r="Y391" s="31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31"/>
      <c r="Y392" s="31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31"/>
      <c r="Y393" s="31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31"/>
      <c r="Y394" s="31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31"/>
      <c r="Y395" s="31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31"/>
      <c r="Y396" s="31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31"/>
      <c r="Y397" s="31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31"/>
      <c r="Y398" s="31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31"/>
      <c r="Y399" s="31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31"/>
      <c r="Y400" s="31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31"/>
      <c r="Y401" s="31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31"/>
      <c r="Y402" s="31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31"/>
      <c r="Y403" s="31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31"/>
      <c r="Y404" s="31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31"/>
      <c r="Y405" s="31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31"/>
      <c r="Y406" s="31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31"/>
      <c r="Y407" s="31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31"/>
      <c r="Y408" s="31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31"/>
      <c r="Y409" s="31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31"/>
      <c r="Y410" s="31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31"/>
      <c r="Y411" s="31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31"/>
      <c r="Y412" s="31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31"/>
      <c r="Y413" s="31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31"/>
      <c r="Y414" s="31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31"/>
      <c r="Y415" s="31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31"/>
      <c r="Y416" s="31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31"/>
      <c r="Y417" s="31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31"/>
      <c r="Y418" s="31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31"/>
      <c r="Y419" s="31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31"/>
      <c r="Y420" s="31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31"/>
      <c r="Y421" s="31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31"/>
      <c r="Y422" s="31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31"/>
      <c r="Y423" s="31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31"/>
      <c r="Y424" s="31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31"/>
      <c r="Y425" s="31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31"/>
      <c r="Y426" s="31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31"/>
      <c r="Y427" s="31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31"/>
      <c r="Y428" s="31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31"/>
      <c r="Y429" s="31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31"/>
      <c r="Y430" s="31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31"/>
      <c r="Y431" s="31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31"/>
      <c r="Y432" s="31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31"/>
      <c r="Y433" s="31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31"/>
      <c r="Y434" s="31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31"/>
      <c r="Y435" s="31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31"/>
      <c r="Y436" s="31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31"/>
      <c r="Y437" s="31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31"/>
      <c r="Y438" s="31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31"/>
      <c r="Y439" s="31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31"/>
      <c r="Y440" s="31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31"/>
      <c r="Y441" s="31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31"/>
      <c r="Y442" s="31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31"/>
      <c r="Y443" s="31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31"/>
      <c r="Y444" s="31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31"/>
      <c r="Y445" s="31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31"/>
      <c r="Y446" s="31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31"/>
      <c r="Y447" s="31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31"/>
      <c r="Y448" s="31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31"/>
      <c r="Y449" s="31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31"/>
      <c r="Y450" s="31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31"/>
      <c r="Y451" s="31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31"/>
      <c r="Y452" s="31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31"/>
      <c r="Y453" s="31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31"/>
      <c r="Y454" s="31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31"/>
      <c r="Y455" s="31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31"/>
      <c r="Y456" s="31"/>
    </row>
    <row r="457">
      <c r="A457" s="31"/>
      <c r="B457" s="93"/>
      <c r="C457" s="93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</row>
    <row r="458">
      <c r="A458" s="31"/>
      <c r="B458" s="93"/>
      <c r="C458" s="93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</row>
    <row r="459">
      <c r="A459" s="31"/>
      <c r="B459" s="93"/>
      <c r="C459" s="93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</row>
    <row r="460">
      <c r="A460" s="31"/>
      <c r="B460" s="93"/>
      <c r="C460" s="93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</row>
    <row r="461">
      <c r="A461" s="31"/>
      <c r="B461" s="93"/>
      <c r="C461" s="93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</row>
    <row r="462">
      <c r="A462" s="31"/>
      <c r="B462" s="93"/>
      <c r="C462" s="93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</row>
    <row r="463">
      <c r="A463" s="31"/>
      <c r="B463" s="93"/>
      <c r="C463" s="93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</row>
    <row r="464">
      <c r="A464" s="31"/>
      <c r="B464" s="93"/>
      <c r="C464" s="93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</row>
    <row r="465">
      <c r="A465" s="31"/>
      <c r="B465" s="93"/>
      <c r="C465" s="93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</row>
    <row r="466">
      <c r="A466" s="31"/>
      <c r="B466" s="93"/>
      <c r="C466" s="93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</row>
    <row r="467">
      <c r="A467" s="31"/>
      <c r="B467" s="93"/>
      <c r="C467" s="93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</row>
    <row r="468">
      <c r="A468" s="31"/>
      <c r="B468" s="93"/>
      <c r="C468" s="93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</row>
    <row r="469">
      <c r="A469" s="31"/>
      <c r="B469" s="93"/>
      <c r="C469" s="93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</row>
    <row r="470">
      <c r="A470" s="31"/>
      <c r="B470" s="93"/>
      <c r="C470" s="93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</row>
    <row r="471">
      <c r="A471" s="31"/>
      <c r="B471" s="93"/>
      <c r="C471" s="93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</row>
    <row r="472">
      <c r="A472" s="31"/>
      <c r="B472" s="93"/>
      <c r="C472" s="93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</row>
    <row r="473">
      <c r="A473" s="31"/>
      <c r="B473" s="93"/>
      <c r="C473" s="93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</row>
    <row r="474">
      <c r="A474" s="31"/>
      <c r="B474" s="93"/>
      <c r="C474" s="93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</row>
    <row r="475">
      <c r="A475" s="31"/>
      <c r="B475" s="93"/>
      <c r="C475" s="93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</row>
    <row r="476">
      <c r="A476" s="31"/>
      <c r="B476" s="93"/>
      <c r="C476" s="93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</row>
    <row r="477">
      <c r="A477" s="31"/>
      <c r="B477" s="93"/>
      <c r="C477" s="93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</row>
    <row r="478">
      <c r="A478" s="31"/>
      <c r="B478" s="93"/>
      <c r="C478" s="93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</row>
    <row r="479">
      <c r="A479" s="31"/>
      <c r="B479" s="93"/>
      <c r="C479" s="93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</row>
    <row r="480">
      <c r="A480" s="31"/>
      <c r="B480" s="93"/>
      <c r="C480" s="93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</row>
    <row r="481">
      <c r="A481" s="31"/>
      <c r="B481" s="93"/>
      <c r="C481" s="93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</row>
    <row r="482">
      <c r="A482" s="31"/>
      <c r="B482" s="93"/>
      <c r="C482" s="93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</row>
    <row r="483">
      <c r="A483" s="31"/>
      <c r="B483" s="93"/>
      <c r="C483" s="93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</row>
    <row r="484">
      <c r="A484" s="31"/>
      <c r="B484" s="93"/>
      <c r="C484" s="93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</row>
    <row r="485">
      <c r="A485" s="31"/>
      <c r="B485" s="93"/>
      <c r="C485" s="93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</row>
    <row r="486">
      <c r="A486" s="31"/>
      <c r="B486" s="93"/>
      <c r="C486" s="93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</row>
    <row r="487">
      <c r="A487" s="31"/>
      <c r="B487" s="93"/>
      <c r="C487" s="93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</row>
    <row r="488">
      <c r="A488" s="31"/>
      <c r="B488" s="93"/>
      <c r="C488" s="93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</row>
    <row r="489">
      <c r="A489" s="31"/>
      <c r="B489" s="93"/>
      <c r="C489" s="93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</row>
    <row r="490">
      <c r="A490" s="31"/>
      <c r="B490" s="93"/>
      <c r="C490" s="93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</row>
    <row r="491">
      <c r="A491" s="31"/>
      <c r="B491" s="93"/>
      <c r="C491" s="93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</row>
    <row r="492">
      <c r="A492" s="31"/>
      <c r="B492" s="93"/>
      <c r="C492" s="93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</row>
    <row r="493">
      <c r="A493" s="31"/>
      <c r="B493" s="93"/>
      <c r="C493" s="93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</row>
    <row r="494">
      <c r="A494" s="31"/>
      <c r="B494" s="93"/>
      <c r="C494" s="93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</row>
    <row r="495">
      <c r="A495" s="31"/>
      <c r="B495" s="93"/>
      <c r="C495" s="93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</row>
    <row r="496">
      <c r="A496" s="31"/>
      <c r="B496" s="93"/>
      <c r="C496" s="93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</row>
    <row r="497">
      <c r="A497" s="31"/>
      <c r="B497" s="93"/>
      <c r="C497" s="93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</row>
    <row r="498">
      <c r="A498" s="31"/>
      <c r="B498" s="93"/>
      <c r="C498" s="93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</row>
    <row r="499">
      <c r="A499" s="31"/>
      <c r="B499" s="93"/>
      <c r="C499" s="93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</row>
    <row r="500">
      <c r="A500" s="31"/>
      <c r="B500" s="93"/>
      <c r="C500" s="93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</row>
    <row r="501">
      <c r="A501" s="31"/>
      <c r="B501" s="93"/>
      <c r="C501" s="93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</row>
    <row r="502">
      <c r="A502" s="31"/>
      <c r="B502" s="93"/>
      <c r="C502" s="93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</row>
    <row r="503">
      <c r="A503" s="31"/>
      <c r="B503" s="93"/>
      <c r="C503" s="93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</row>
    <row r="504">
      <c r="A504" s="31"/>
      <c r="B504" s="93"/>
      <c r="C504" s="93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</row>
    <row r="505">
      <c r="A505" s="31"/>
      <c r="B505" s="93"/>
      <c r="C505" s="93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</row>
    <row r="506">
      <c r="A506" s="31"/>
      <c r="B506" s="93"/>
      <c r="C506" s="93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</row>
    <row r="507">
      <c r="A507" s="31"/>
      <c r="B507" s="93"/>
      <c r="C507" s="93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</row>
    <row r="508">
      <c r="A508" s="31"/>
      <c r="B508" s="93"/>
      <c r="C508" s="93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</row>
    <row r="509">
      <c r="A509" s="31"/>
      <c r="B509" s="93"/>
      <c r="C509" s="93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</row>
    <row r="510">
      <c r="A510" s="31"/>
      <c r="B510" s="93"/>
      <c r="C510" s="93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</row>
    <row r="511">
      <c r="A511" s="31"/>
      <c r="B511" s="93"/>
      <c r="C511" s="93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</row>
    <row r="512">
      <c r="A512" s="31"/>
      <c r="B512" s="93"/>
      <c r="C512" s="93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</row>
    <row r="513">
      <c r="A513" s="31"/>
      <c r="B513" s="93"/>
      <c r="C513" s="93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</row>
    <row r="514">
      <c r="A514" s="31"/>
      <c r="B514" s="93"/>
      <c r="C514" s="93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</row>
    <row r="515">
      <c r="A515" s="31"/>
      <c r="B515" s="93"/>
      <c r="C515" s="93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</row>
    <row r="516">
      <c r="A516" s="31"/>
      <c r="B516" s="93"/>
      <c r="C516" s="93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</row>
    <row r="517">
      <c r="A517" s="31"/>
      <c r="B517" s="93"/>
      <c r="C517" s="93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</row>
    <row r="518">
      <c r="A518" s="31"/>
      <c r="B518" s="93"/>
      <c r="C518" s="93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</row>
    <row r="519">
      <c r="A519" s="31"/>
      <c r="B519" s="93"/>
      <c r="C519" s="93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</row>
    <row r="520">
      <c r="A520" s="31"/>
      <c r="B520" s="93"/>
      <c r="C520" s="93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</row>
    <row r="521">
      <c r="A521" s="31"/>
      <c r="B521" s="93"/>
      <c r="C521" s="93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</row>
    <row r="522">
      <c r="A522" s="31"/>
      <c r="B522" s="93"/>
      <c r="C522" s="93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</row>
    <row r="523">
      <c r="A523" s="31"/>
      <c r="B523" s="93"/>
      <c r="C523" s="93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</row>
    <row r="524">
      <c r="A524" s="31"/>
      <c r="B524" s="93"/>
      <c r="C524" s="93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</row>
    <row r="525">
      <c r="A525" s="31"/>
      <c r="B525" s="93"/>
      <c r="C525" s="93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</row>
    <row r="526">
      <c r="A526" s="31"/>
      <c r="B526" s="93"/>
      <c r="C526" s="93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</row>
    <row r="527">
      <c r="A527" s="31"/>
      <c r="B527" s="93"/>
      <c r="C527" s="93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</row>
    <row r="528">
      <c r="A528" s="31"/>
      <c r="B528" s="93"/>
      <c r="C528" s="93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</row>
    <row r="529">
      <c r="A529" s="31"/>
      <c r="B529" s="93"/>
      <c r="C529" s="93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</row>
    <row r="530">
      <c r="A530" s="31"/>
      <c r="B530" s="93"/>
      <c r="C530" s="93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</row>
    <row r="531">
      <c r="A531" s="31"/>
      <c r="B531" s="93"/>
      <c r="C531" s="93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</row>
    <row r="532">
      <c r="A532" s="31"/>
      <c r="B532" s="93"/>
      <c r="C532" s="93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</row>
    <row r="533">
      <c r="A533" s="31"/>
      <c r="B533" s="93"/>
      <c r="C533" s="93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</row>
    <row r="534">
      <c r="A534" s="31"/>
      <c r="B534" s="93"/>
      <c r="C534" s="93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</row>
    <row r="535">
      <c r="A535" s="31"/>
      <c r="B535" s="93"/>
      <c r="C535" s="93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</row>
    <row r="536">
      <c r="A536" s="31"/>
      <c r="B536" s="93"/>
      <c r="C536" s="93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</row>
    <row r="537">
      <c r="A537" s="31"/>
      <c r="B537" s="93"/>
      <c r="C537" s="93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</row>
    <row r="538">
      <c r="A538" s="31"/>
      <c r="B538" s="93"/>
      <c r="C538" s="93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</row>
    <row r="539">
      <c r="A539" s="31"/>
      <c r="B539" s="93"/>
      <c r="C539" s="93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</row>
    <row r="540">
      <c r="A540" s="31"/>
      <c r="B540" s="93"/>
      <c r="C540" s="93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</row>
    <row r="541">
      <c r="A541" s="31"/>
      <c r="B541" s="93"/>
      <c r="C541" s="93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</row>
    <row r="542">
      <c r="A542" s="31"/>
      <c r="B542" s="93"/>
      <c r="C542" s="93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</row>
    <row r="543">
      <c r="A543" s="31"/>
      <c r="B543" s="93"/>
      <c r="C543" s="93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</row>
    <row r="544">
      <c r="A544" s="31"/>
      <c r="B544" s="93"/>
      <c r="C544" s="93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</row>
    <row r="545">
      <c r="A545" s="31"/>
      <c r="B545" s="93"/>
      <c r="C545" s="93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</row>
    <row r="546">
      <c r="A546" s="31"/>
      <c r="B546" s="93"/>
      <c r="C546" s="93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</row>
    <row r="547">
      <c r="A547" s="31"/>
      <c r="B547" s="93"/>
      <c r="C547" s="93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</row>
    <row r="548">
      <c r="A548" s="31"/>
      <c r="B548" s="93"/>
      <c r="C548" s="93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</row>
    <row r="549">
      <c r="A549" s="31"/>
      <c r="B549" s="93"/>
      <c r="C549" s="93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</row>
    <row r="550">
      <c r="A550" s="31"/>
      <c r="B550" s="93"/>
      <c r="C550" s="93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</row>
    <row r="551">
      <c r="A551" s="31"/>
      <c r="B551" s="93"/>
      <c r="C551" s="93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</row>
    <row r="552">
      <c r="A552" s="31"/>
      <c r="B552" s="93"/>
      <c r="C552" s="93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</row>
    <row r="553">
      <c r="A553" s="31"/>
      <c r="B553" s="93"/>
      <c r="C553" s="93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</row>
    <row r="554">
      <c r="A554" s="31"/>
      <c r="B554" s="93"/>
      <c r="C554" s="93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</row>
    <row r="555">
      <c r="A555" s="31"/>
      <c r="B555" s="93"/>
      <c r="C555" s="93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</row>
    <row r="556">
      <c r="A556" s="31"/>
      <c r="B556" s="93"/>
      <c r="C556" s="93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</row>
    <row r="557">
      <c r="A557" s="31"/>
      <c r="B557" s="93"/>
      <c r="C557" s="93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</row>
    <row r="558">
      <c r="A558" s="31"/>
      <c r="B558" s="93"/>
      <c r="C558" s="93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</row>
    <row r="559">
      <c r="A559" s="31"/>
      <c r="B559" s="93"/>
      <c r="C559" s="93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</row>
    <row r="560">
      <c r="A560" s="31"/>
      <c r="B560" s="93"/>
      <c r="C560" s="93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</row>
    <row r="561">
      <c r="A561" s="31"/>
      <c r="B561" s="93"/>
      <c r="C561" s="93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</row>
    <row r="562">
      <c r="A562" s="31"/>
      <c r="B562" s="93"/>
      <c r="C562" s="93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</row>
    <row r="563">
      <c r="A563" s="31"/>
      <c r="B563" s="93"/>
      <c r="C563" s="93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</row>
    <row r="564">
      <c r="A564" s="31"/>
      <c r="B564" s="93"/>
      <c r="C564" s="93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</row>
    <row r="565">
      <c r="A565" s="31"/>
      <c r="B565" s="93"/>
      <c r="C565" s="93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</row>
    <row r="566">
      <c r="A566" s="31"/>
      <c r="B566" s="93"/>
      <c r="C566" s="93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</row>
    <row r="567">
      <c r="A567" s="31"/>
      <c r="B567" s="93"/>
      <c r="C567" s="93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</row>
    <row r="568">
      <c r="A568" s="31"/>
      <c r="B568" s="93"/>
      <c r="C568" s="93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</row>
    <row r="569">
      <c r="A569" s="31"/>
      <c r="B569" s="93"/>
      <c r="C569" s="93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</row>
    <row r="570">
      <c r="A570" s="31"/>
      <c r="B570" s="93"/>
      <c r="C570" s="93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</row>
    <row r="571">
      <c r="A571" s="31"/>
      <c r="B571" s="93"/>
      <c r="C571" s="93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</row>
    <row r="572">
      <c r="A572" s="31"/>
      <c r="B572" s="93"/>
      <c r="C572" s="93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</row>
    <row r="573">
      <c r="A573" s="31"/>
      <c r="B573" s="93"/>
      <c r="C573" s="93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</row>
    <row r="574">
      <c r="A574" s="31"/>
      <c r="B574" s="93"/>
      <c r="C574" s="93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</row>
    <row r="575">
      <c r="A575" s="31"/>
      <c r="B575" s="93"/>
      <c r="C575" s="93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</row>
    <row r="576">
      <c r="A576" s="31"/>
      <c r="B576" s="93"/>
      <c r="C576" s="93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</row>
    <row r="577">
      <c r="A577" s="31"/>
      <c r="B577" s="93"/>
      <c r="C577" s="93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</row>
    <row r="578">
      <c r="A578" s="31"/>
      <c r="B578" s="93"/>
      <c r="C578" s="93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</row>
    <row r="579">
      <c r="A579" s="31"/>
      <c r="B579" s="93"/>
      <c r="C579" s="93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</row>
    <row r="580">
      <c r="A580" s="31"/>
      <c r="B580" s="93"/>
      <c r="C580" s="93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</row>
    <row r="581">
      <c r="A581" s="31"/>
      <c r="B581" s="93"/>
      <c r="C581" s="93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</row>
    <row r="582">
      <c r="A582" s="31"/>
      <c r="B582" s="93"/>
      <c r="C582" s="93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</row>
    <row r="583">
      <c r="A583" s="31"/>
      <c r="B583" s="93"/>
      <c r="C583" s="93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</row>
    <row r="584">
      <c r="A584" s="31"/>
      <c r="B584" s="93"/>
      <c r="C584" s="93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</row>
    <row r="585">
      <c r="A585" s="31"/>
      <c r="B585" s="93"/>
      <c r="C585" s="93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</row>
    <row r="586">
      <c r="A586" s="31"/>
      <c r="B586" s="93"/>
      <c r="C586" s="93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</row>
    <row r="587">
      <c r="A587" s="31"/>
      <c r="B587" s="93"/>
      <c r="C587" s="93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</row>
    <row r="588">
      <c r="A588" s="31"/>
      <c r="B588" s="93"/>
      <c r="C588" s="93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</row>
    <row r="589">
      <c r="A589" s="31"/>
      <c r="B589" s="93"/>
      <c r="C589" s="93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</row>
    <row r="590">
      <c r="A590" s="31"/>
      <c r="B590" s="93"/>
      <c r="C590" s="93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</row>
    <row r="591">
      <c r="A591" s="31"/>
      <c r="B591" s="93"/>
      <c r="C591" s="93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</row>
    <row r="592">
      <c r="A592" s="31"/>
      <c r="B592" s="93"/>
      <c r="C592" s="93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</row>
    <row r="593">
      <c r="A593" s="31"/>
      <c r="B593" s="93"/>
      <c r="C593" s="93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</row>
    <row r="594">
      <c r="A594" s="31"/>
      <c r="B594" s="93"/>
      <c r="C594" s="93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</row>
    <row r="595">
      <c r="A595" s="31"/>
      <c r="B595" s="93"/>
      <c r="C595" s="93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</row>
    <row r="596">
      <c r="A596" s="31"/>
      <c r="B596" s="93"/>
      <c r="C596" s="93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</row>
    <row r="597">
      <c r="A597" s="31"/>
      <c r="B597" s="93"/>
      <c r="C597" s="93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</row>
    <row r="598">
      <c r="A598" s="31"/>
      <c r="B598" s="93"/>
      <c r="C598" s="93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</row>
    <row r="599">
      <c r="A599" s="31"/>
      <c r="B599" s="93"/>
      <c r="C599" s="93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</row>
    <row r="600">
      <c r="A600" s="31"/>
      <c r="B600" s="93"/>
      <c r="C600" s="93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</row>
    <row r="601">
      <c r="A601" s="31"/>
      <c r="B601" s="93"/>
      <c r="C601" s="93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</row>
    <row r="602">
      <c r="A602" s="31"/>
      <c r="B602" s="93"/>
      <c r="C602" s="93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</row>
    <row r="603">
      <c r="A603" s="31"/>
      <c r="B603" s="93"/>
      <c r="C603" s="93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</row>
    <row r="604">
      <c r="A604" s="31"/>
      <c r="B604" s="93"/>
      <c r="C604" s="93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</row>
    <row r="605">
      <c r="A605" s="31"/>
      <c r="B605" s="93"/>
      <c r="C605" s="93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</row>
    <row r="606">
      <c r="A606" s="31"/>
      <c r="B606" s="93"/>
      <c r="C606" s="93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</row>
    <row r="607">
      <c r="A607" s="31"/>
      <c r="B607" s="93"/>
      <c r="C607" s="93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</row>
    <row r="608">
      <c r="A608" s="31"/>
      <c r="B608" s="93"/>
      <c r="C608" s="93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</row>
    <row r="609">
      <c r="A609" s="31"/>
      <c r="B609" s="93"/>
      <c r="C609" s="93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</row>
    <row r="610">
      <c r="A610" s="31"/>
      <c r="B610" s="93"/>
      <c r="C610" s="93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</row>
    <row r="611">
      <c r="A611" s="31"/>
      <c r="B611" s="93"/>
      <c r="C611" s="93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</row>
    <row r="612">
      <c r="A612" s="31"/>
      <c r="B612" s="93"/>
      <c r="C612" s="93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</row>
    <row r="613">
      <c r="A613" s="31"/>
      <c r="B613" s="93"/>
      <c r="C613" s="93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</row>
    <row r="614">
      <c r="A614" s="31"/>
      <c r="B614" s="93"/>
      <c r="C614" s="93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</row>
    <row r="615">
      <c r="A615" s="31"/>
      <c r="B615" s="93"/>
      <c r="C615" s="93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</row>
    <row r="616">
      <c r="A616" s="31"/>
      <c r="B616" s="93"/>
      <c r="C616" s="93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</row>
    <row r="617">
      <c r="A617" s="31"/>
      <c r="B617" s="93"/>
      <c r="C617" s="93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</row>
    <row r="618">
      <c r="A618" s="31"/>
      <c r="B618" s="93"/>
      <c r="C618" s="93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</row>
    <row r="619">
      <c r="A619" s="31"/>
      <c r="B619" s="93"/>
      <c r="C619" s="93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</row>
    <row r="620">
      <c r="A620" s="31"/>
      <c r="B620" s="93"/>
      <c r="C620" s="93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</row>
    <row r="621">
      <c r="A621" s="31"/>
      <c r="B621" s="93"/>
      <c r="C621" s="93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</row>
    <row r="622">
      <c r="A622" s="31"/>
      <c r="B622" s="93"/>
      <c r="C622" s="93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</row>
    <row r="623">
      <c r="A623" s="31"/>
      <c r="B623" s="93"/>
      <c r="C623" s="93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</row>
    <row r="624">
      <c r="A624" s="31"/>
      <c r="B624" s="93"/>
      <c r="C624" s="93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</row>
    <row r="625">
      <c r="A625" s="31"/>
      <c r="B625" s="93"/>
      <c r="C625" s="93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</row>
    <row r="626">
      <c r="A626" s="31"/>
      <c r="B626" s="93"/>
      <c r="C626" s="93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</row>
    <row r="627">
      <c r="A627" s="31"/>
      <c r="B627" s="93"/>
      <c r="C627" s="93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</row>
    <row r="628">
      <c r="A628" s="31"/>
      <c r="B628" s="93"/>
      <c r="C628" s="93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</row>
    <row r="629">
      <c r="A629" s="31"/>
      <c r="B629" s="93"/>
      <c r="C629" s="93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</row>
    <row r="630">
      <c r="A630" s="31"/>
      <c r="B630" s="93"/>
      <c r="C630" s="93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</row>
    <row r="631">
      <c r="A631" s="31"/>
      <c r="B631" s="93"/>
      <c r="C631" s="93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</row>
    <row r="632">
      <c r="A632" s="31"/>
      <c r="B632" s="93"/>
      <c r="C632" s="93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</row>
    <row r="633">
      <c r="A633" s="31"/>
      <c r="B633" s="93"/>
      <c r="C633" s="93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</row>
    <row r="634">
      <c r="A634" s="31"/>
      <c r="B634" s="93"/>
      <c r="C634" s="93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</row>
    <row r="635">
      <c r="A635" s="31"/>
      <c r="B635" s="93"/>
      <c r="C635" s="93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</row>
    <row r="636">
      <c r="A636" s="31"/>
      <c r="B636" s="93"/>
      <c r="C636" s="93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</row>
    <row r="637">
      <c r="A637" s="31"/>
      <c r="B637" s="93"/>
      <c r="C637" s="93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</row>
    <row r="638">
      <c r="A638" s="31"/>
      <c r="B638" s="93"/>
      <c r="C638" s="93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</row>
    <row r="639">
      <c r="A639" s="31"/>
      <c r="B639" s="93"/>
      <c r="C639" s="93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</row>
    <row r="640">
      <c r="A640" s="31"/>
      <c r="B640" s="93"/>
      <c r="C640" s="93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</row>
    <row r="641">
      <c r="A641" s="31"/>
      <c r="B641" s="93"/>
      <c r="C641" s="93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</row>
    <row r="642">
      <c r="A642" s="31"/>
      <c r="B642" s="93"/>
      <c r="C642" s="93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</row>
    <row r="643">
      <c r="A643" s="31"/>
      <c r="B643" s="93"/>
      <c r="C643" s="93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</row>
    <row r="644">
      <c r="A644" s="31"/>
      <c r="B644" s="93"/>
      <c r="C644" s="93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</row>
    <row r="645">
      <c r="A645" s="31"/>
      <c r="B645" s="93"/>
      <c r="C645" s="93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</row>
    <row r="646">
      <c r="A646" s="31"/>
      <c r="B646" s="93"/>
      <c r="C646" s="93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</row>
    <row r="647">
      <c r="A647" s="31"/>
      <c r="B647" s="93"/>
      <c r="C647" s="93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</row>
    <row r="648">
      <c r="A648" s="31"/>
      <c r="B648" s="93"/>
      <c r="C648" s="93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</row>
    <row r="649">
      <c r="A649" s="31"/>
      <c r="B649" s="93"/>
      <c r="C649" s="93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</row>
    <row r="650">
      <c r="A650" s="31"/>
      <c r="B650" s="93"/>
      <c r="C650" s="93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</row>
    <row r="651">
      <c r="A651" s="31"/>
      <c r="B651" s="93"/>
      <c r="C651" s="93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</row>
    <row r="652">
      <c r="A652" s="31"/>
      <c r="B652" s="93"/>
      <c r="C652" s="93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</row>
    <row r="653">
      <c r="A653" s="31"/>
      <c r="B653" s="93"/>
      <c r="C653" s="93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</row>
    <row r="654">
      <c r="A654" s="31"/>
      <c r="B654" s="93"/>
      <c r="C654" s="93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</row>
    <row r="655">
      <c r="A655" s="31"/>
      <c r="B655" s="93"/>
      <c r="C655" s="93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</row>
    <row r="656">
      <c r="A656" s="31"/>
      <c r="B656" s="93"/>
      <c r="C656" s="93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</row>
    <row r="657">
      <c r="A657" s="31"/>
      <c r="B657" s="93"/>
      <c r="C657" s="93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</row>
    <row r="658">
      <c r="A658" s="31"/>
      <c r="B658" s="93"/>
      <c r="C658" s="93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</row>
    <row r="659">
      <c r="A659" s="31"/>
      <c r="B659" s="93"/>
      <c r="C659" s="93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</row>
    <row r="660">
      <c r="A660" s="31"/>
      <c r="B660" s="93"/>
      <c r="C660" s="93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</row>
    <row r="661">
      <c r="A661" s="31"/>
      <c r="B661" s="93"/>
      <c r="C661" s="93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</row>
    <row r="662">
      <c r="A662" s="31"/>
      <c r="B662" s="93"/>
      <c r="C662" s="93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</row>
    <row r="663">
      <c r="A663" s="31"/>
      <c r="B663" s="93"/>
      <c r="C663" s="93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</row>
    <row r="664">
      <c r="A664" s="31"/>
      <c r="B664" s="93"/>
      <c r="C664" s="93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</row>
    <row r="665">
      <c r="A665" s="31"/>
      <c r="B665" s="93"/>
      <c r="C665" s="93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</row>
    <row r="666">
      <c r="A666" s="31"/>
      <c r="B666" s="93"/>
      <c r="C666" s="93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</row>
    <row r="667">
      <c r="A667" s="31"/>
      <c r="B667" s="93"/>
      <c r="C667" s="93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</row>
    <row r="668">
      <c r="A668" s="31"/>
      <c r="B668" s="93"/>
      <c r="C668" s="93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</row>
    <row r="669">
      <c r="A669" s="31"/>
      <c r="B669" s="93"/>
      <c r="C669" s="93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</row>
    <row r="670">
      <c r="A670" s="31"/>
      <c r="B670" s="93"/>
      <c r="C670" s="93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</row>
    <row r="671">
      <c r="A671" s="31"/>
      <c r="B671" s="93"/>
      <c r="C671" s="93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</row>
    <row r="672">
      <c r="A672" s="31"/>
      <c r="B672" s="93"/>
      <c r="C672" s="93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</row>
    <row r="673">
      <c r="A673" s="31"/>
      <c r="B673" s="93"/>
      <c r="C673" s="93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</row>
    <row r="674">
      <c r="A674" s="31"/>
      <c r="B674" s="93"/>
      <c r="C674" s="93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</row>
    <row r="675">
      <c r="A675" s="31"/>
      <c r="B675" s="93"/>
      <c r="C675" s="93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</row>
    <row r="676">
      <c r="A676" s="31"/>
      <c r="B676" s="93"/>
      <c r="C676" s="93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</row>
    <row r="677">
      <c r="A677" s="31"/>
      <c r="B677" s="93"/>
      <c r="C677" s="93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</row>
    <row r="678">
      <c r="A678" s="31"/>
      <c r="B678" s="93"/>
      <c r="C678" s="93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</row>
    <row r="679">
      <c r="A679" s="31"/>
      <c r="B679" s="93"/>
      <c r="C679" s="93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</row>
    <row r="680">
      <c r="A680" s="31"/>
      <c r="B680" s="93"/>
      <c r="C680" s="93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</row>
    <row r="681">
      <c r="A681" s="31"/>
      <c r="B681" s="93"/>
      <c r="C681" s="93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</row>
    <row r="682">
      <c r="A682" s="31"/>
      <c r="B682" s="93"/>
      <c r="C682" s="93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</row>
    <row r="683">
      <c r="A683" s="31"/>
      <c r="B683" s="93"/>
      <c r="C683" s="93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</row>
    <row r="684">
      <c r="A684" s="31"/>
      <c r="B684" s="93"/>
      <c r="C684" s="93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</row>
    <row r="685">
      <c r="A685" s="31"/>
      <c r="B685" s="93"/>
      <c r="C685" s="93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</row>
    <row r="686">
      <c r="A686" s="31"/>
      <c r="B686" s="93"/>
      <c r="C686" s="93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</row>
    <row r="687">
      <c r="A687" s="31"/>
      <c r="B687" s="93"/>
      <c r="C687" s="93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</row>
    <row r="688">
      <c r="A688" s="31"/>
      <c r="B688" s="93"/>
      <c r="C688" s="93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</row>
    <row r="689">
      <c r="A689" s="31"/>
      <c r="B689" s="93"/>
      <c r="C689" s="93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</row>
    <row r="690">
      <c r="A690" s="31"/>
      <c r="B690" s="93"/>
      <c r="C690" s="93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</row>
    <row r="691">
      <c r="A691" s="31"/>
      <c r="B691" s="93"/>
      <c r="C691" s="93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</row>
    <row r="692">
      <c r="A692" s="31"/>
      <c r="B692" s="93"/>
      <c r="C692" s="93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</row>
    <row r="693">
      <c r="A693" s="31"/>
      <c r="B693" s="93"/>
      <c r="C693" s="93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</row>
    <row r="694">
      <c r="A694" s="31"/>
      <c r="B694" s="93"/>
      <c r="C694" s="93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</row>
    <row r="695">
      <c r="A695" s="31"/>
      <c r="B695" s="93"/>
      <c r="C695" s="93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</row>
    <row r="696">
      <c r="A696" s="31"/>
      <c r="B696" s="93"/>
      <c r="C696" s="93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</row>
    <row r="697">
      <c r="A697" s="31"/>
      <c r="B697" s="93"/>
      <c r="C697" s="93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</row>
    <row r="698">
      <c r="A698" s="31"/>
      <c r="B698" s="93"/>
      <c r="C698" s="93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</row>
    <row r="699">
      <c r="A699" s="31"/>
      <c r="B699" s="93"/>
      <c r="C699" s="93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</row>
    <row r="700">
      <c r="A700" s="31"/>
      <c r="B700" s="93"/>
      <c r="C700" s="93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</row>
    <row r="701">
      <c r="A701" s="31"/>
      <c r="B701" s="93"/>
      <c r="C701" s="93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</row>
    <row r="702">
      <c r="A702" s="31"/>
      <c r="B702" s="93"/>
      <c r="C702" s="93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</row>
    <row r="703">
      <c r="A703" s="31"/>
      <c r="B703" s="93"/>
      <c r="C703" s="93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</row>
    <row r="704">
      <c r="A704" s="31"/>
      <c r="B704" s="93"/>
      <c r="C704" s="93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</row>
    <row r="705">
      <c r="A705" s="31"/>
      <c r="B705" s="93"/>
      <c r="C705" s="93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</row>
    <row r="706">
      <c r="A706" s="31"/>
      <c r="B706" s="93"/>
      <c r="C706" s="93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</row>
    <row r="707">
      <c r="A707" s="31"/>
      <c r="B707" s="93"/>
      <c r="C707" s="93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</row>
    <row r="708">
      <c r="A708" s="31"/>
      <c r="B708" s="93"/>
      <c r="C708" s="93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</row>
    <row r="709">
      <c r="A709" s="31"/>
      <c r="B709" s="93"/>
      <c r="C709" s="93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</row>
    <row r="710">
      <c r="A710" s="31"/>
      <c r="B710" s="93"/>
      <c r="C710" s="93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</row>
    <row r="711">
      <c r="A711" s="31"/>
      <c r="B711" s="93"/>
      <c r="C711" s="93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</row>
    <row r="712">
      <c r="A712" s="31"/>
      <c r="B712" s="93"/>
      <c r="C712" s="93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</row>
    <row r="713">
      <c r="A713" s="31"/>
      <c r="B713" s="93"/>
      <c r="C713" s="93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</row>
    <row r="714">
      <c r="A714" s="31"/>
      <c r="B714" s="93"/>
      <c r="C714" s="93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</row>
    <row r="715">
      <c r="A715" s="31"/>
      <c r="B715" s="93"/>
      <c r="C715" s="93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</row>
    <row r="716">
      <c r="A716" s="31"/>
      <c r="B716" s="93"/>
      <c r="C716" s="93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</row>
    <row r="717">
      <c r="A717" s="31"/>
      <c r="B717" s="93"/>
      <c r="C717" s="93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</row>
    <row r="718">
      <c r="A718" s="31"/>
      <c r="B718" s="93"/>
      <c r="C718" s="93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</row>
    <row r="719">
      <c r="A719" s="31"/>
      <c r="B719" s="93"/>
      <c r="C719" s="93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</row>
    <row r="720">
      <c r="A720" s="31"/>
      <c r="B720" s="93"/>
      <c r="C720" s="93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</row>
    <row r="721">
      <c r="A721" s="31"/>
      <c r="B721" s="93"/>
      <c r="C721" s="93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</row>
    <row r="722">
      <c r="A722" s="31"/>
      <c r="B722" s="93"/>
      <c r="C722" s="93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</row>
    <row r="723">
      <c r="A723" s="31"/>
      <c r="B723" s="93"/>
      <c r="C723" s="93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</row>
    <row r="724">
      <c r="A724" s="31"/>
      <c r="B724" s="93"/>
      <c r="C724" s="93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</row>
    <row r="725">
      <c r="A725" s="31"/>
      <c r="B725" s="93"/>
      <c r="C725" s="93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</row>
    <row r="726">
      <c r="A726" s="31"/>
      <c r="B726" s="93"/>
      <c r="C726" s="93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</row>
    <row r="727">
      <c r="A727" s="31"/>
      <c r="B727" s="93"/>
      <c r="C727" s="93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</row>
    <row r="728">
      <c r="A728" s="31"/>
      <c r="B728" s="93"/>
      <c r="C728" s="93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</row>
    <row r="729">
      <c r="A729" s="31"/>
      <c r="B729" s="93"/>
      <c r="C729" s="93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</row>
    <row r="730">
      <c r="A730" s="31"/>
      <c r="B730" s="93"/>
      <c r="C730" s="93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</row>
    <row r="731">
      <c r="A731" s="31"/>
      <c r="B731" s="93"/>
      <c r="C731" s="93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</row>
    <row r="732">
      <c r="A732" s="31"/>
      <c r="B732" s="93"/>
      <c r="C732" s="93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</row>
    <row r="733">
      <c r="A733" s="31"/>
      <c r="B733" s="93"/>
      <c r="C733" s="93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</row>
    <row r="734">
      <c r="A734" s="31"/>
      <c r="B734" s="93"/>
      <c r="C734" s="93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</row>
    <row r="735">
      <c r="A735" s="31"/>
      <c r="B735" s="93"/>
      <c r="C735" s="93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</row>
    <row r="736">
      <c r="A736" s="31"/>
      <c r="B736" s="93"/>
      <c r="C736" s="93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</row>
    <row r="737">
      <c r="A737" s="31"/>
      <c r="B737" s="93"/>
      <c r="C737" s="93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</row>
    <row r="738">
      <c r="A738" s="31"/>
      <c r="B738" s="93"/>
      <c r="C738" s="93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</row>
    <row r="739">
      <c r="A739" s="31"/>
      <c r="B739" s="93"/>
      <c r="C739" s="93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</row>
    <row r="740">
      <c r="A740" s="31"/>
      <c r="B740" s="93"/>
      <c r="C740" s="93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</row>
    <row r="741">
      <c r="A741" s="31"/>
      <c r="B741" s="93"/>
      <c r="C741" s="93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</row>
    <row r="742">
      <c r="A742" s="31"/>
      <c r="B742" s="93"/>
      <c r="C742" s="93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</row>
    <row r="743">
      <c r="A743" s="31"/>
      <c r="B743" s="93"/>
      <c r="C743" s="93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</row>
    <row r="744">
      <c r="A744" s="31"/>
      <c r="B744" s="93"/>
      <c r="C744" s="93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</row>
    <row r="745">
      <c r="A745" s="31"/>
      <c r="B745" s="93"/>
      <c r="C745" s="93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</row>
    <row r="746">
      <c r="A746" s="31"/>
      <c r="B746" s="93"/>
      <c r="C746" s="93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</row>
    <row r="747">
      <c r="A747" s="31"/>
      <c r="B747" s="93"/>
      <c r="C747" s="93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</row>
    <row r="748">
      <c r="A748" s="31"/>
      <c r="B748" s="93"/>
      <c r="C748" s="93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</row>
    <row r="749">
      <c r="A749" s="31"/>
      <c r="B749" s="93"/>
      <c r="C749" s="93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</row>
    <row r="750">
      <c r="A750" s="31"/>
      <c r="B750" s="93"/>
      <c r="C750" s="93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</row>
    <row r="751">
      <c r="A751" s="31"/>
      <c r="B751" s="93"/>
      <c r="C751" s="93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</row>
    <row r="752">
      <c r="A752" s="31"/>
      <c r="B752" s="93"/>
      <c r="C752" s="93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</row>
    <row r="753">
      <c r="A753" s="31"/>
      <c r="B753" s="93"/>
      <c r="C753" s="93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</row>
    <row r="754">
      <c r="A754" s="31"/>
      <c r="B754" s="93"/>
      <c r="C754" s="93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</row>
    <row r="755">
      <c r="A755" s="31"/>
      <c r="B755" s="93"/>
      <c r="C755" s="93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</row>
    <row r="756">
      <c r="A756" s="31"/>
      <c r="B756" s="93"/>
      <c r="C756" s="93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</row>
    <row r="757">
      <c r="A757" s="31"/>
      <c r="B757" s="93"/>
      <c r="C757" s="93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</row>
    <row r="758">
      <c r="A758" s="31"/>
      <c r="B758" s="93"/>
      <c r="C758" s="93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</row>
    <row r="759">
      <c r="A759" s="31"/>
      <c r="B759" s="93"/>
      <c r="C759" s="93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</row>
    <row r="760">
      <c r="A760" s="31"/>
      <c r="B760" s="93"/>
      <c r="C760" s="93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</row>
    <row r="761">
      <c r="A761" s="31"/>
      <c r="B761" s="93"/>
      <c r="C761" s="93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</row>
    <row r="762">
      <c r="A762" s="31"/>
      <c r="B762" s="93"/>
      <c r="C762" s="93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</row>
    <row r="763">
      <c r="A763" s="31"/>
      <c r="B763" s="93"/>
      <c r="C763" s="93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</row>
    <row r="764">
      <c r="A764" s="31"/>
      <c r="B764" s="93"/>
      <c r="C764" s="93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</row>
    <row r="765">
      <c r="A765" s="31"/>
      <c r="B765" s="93"/>
      <c r="C765" s="93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</row>
    <row r="766">
      <c r="A766" s="31"/>
      <c r="B766" s="93"/>
      <c r="C766" s="93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</row>
    <row r="767">
      <c r="A767" s="31"/>
      <c r="B767" s="93"/>
      <c r="C767" s="93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</row>
    <row r="768">
      <c r="A768" s="31"/>
      <c r="B768" s="93"/>
      <c r="C768" s="93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</row>
    <row r="769">
      <c r="A769" s="31"/>
      <c r="B769" s="93"/>
      <c r="C769" s="93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</row>
    <row r="770">
      <c r="A770" s="31"/>
      <c r="B770" s="93"/>
      <c r="C770" s="93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</row>
    <row r="771">
      <c r="A771" s="31"/>
      <c r="B771" s="93"/>
      <c r="C771" s="93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</row>
    <row r="772">
      <c r="A772" s="31"/>
      <c r="B772" s="93"/>
      <c r="C772" s="93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</row>
    <row r="773">
      <c r="A773" s="31"/>
      <c r="B773" s="93"/>
      <c r="C773" s="93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</row>
    <row r="774">
      <c r="A774" s="31"/>
      <c r="B774" s="93"/>
      <c r="C774" s="93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</row>
    <row r="775">
      <c r="A775" s="31"/>
      <c r="B775" s="93"/>
      <c r="C775" s="93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</row>
    <row r="776">
      <c r="A776" s="31"/>
      <c r="B776" s="93"/>
      <c r="C776" s="93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</row>
    <row r="777">
      <c r="A777" s="31"/>
      <c r="B777" s="93"/>
      <c r="C777" s="93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</row>
    <row r="778">
      <c r="A778" s="31"/>
      <c r="B778" s="93"/>
      <c r="C778" s="93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</row>
    <row r="779">
      <c r="A779" s="31"/>
      <c r="B779" s="93"/>
      <c r="C779" s="93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</row>
    <row r="780">
      <c r="A780" s="31"/>
      <c r="B780" s="93"/>
      <c r="C780" s="93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</row>
    <row r="781">
      <c r="A781" s="31"/>
      <c r="B781" s="93"/>
      <c r="C781" s="93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</row>
    <row r="782">
      <c r="A782" s="31"/>
      <c r="B782" s="93"/>
      <c r="C782" s="93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</row>
    <row r="783">
      <c r="A783" s="31"/>
      <c r="B783" s="93"/>
      <c r="C783" s="93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</row>
    <row r="784">
      <c r="A784" s="31"/>
      <c r="B784" s="93"/>
      <c r="C784" s="93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</row>
    <row r="785">
      <c r="A785" s="31"/>
      <c r="B785" s="93"/>
      <c r="C785" s="93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</row>
    <row r="786">
      <c r="A786" s="31"/>
      <c r="B786" s="93"/>
      <c r="C786" s="93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</row>
    <row r="787">
      <c r="A787" s="31"/>
      <c r="B787" s="93"/>
      <c r="C787" s="93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</row>
    <row r="788">
      <c r="A788" s="31"/>
      <c r="B788" s="93"/>
      <c r="C788" s="93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</row>
    <row r="789">
      <c r="A789" s="31"/>
      <c r="B789" s="93"/>
      <c r="C789" s="93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</row>
    <row r="790">
      <c r="A790" s="31"/>
      <c r="B790" s="93"/>
      <c r="C790" s="93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</row>
    <row r="791">
      <c r="A791" s="31"/>
      <c r="B791" s="93"/>
      <c r="C791" s="93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</row>
    <row r="792">
      <c r="A792" s="31"/>
      <c r="B792" s="93"/>
      <c r="C792" s="93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</row>
    <row r="793">
      <c r="A793" s="31"/>
      <c r="B793" s="93"/>
      <c r="C793" s="93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</row>
    <row r="794">
      <c r="A794" s="31"/>
      <c r="B794" s="93"/>
      <c r="C794" s="93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</row>
    <row r="795">
      <c r="A795" s="31"/>
      <c r="B795" s="93"/>
      <c r="C795" s="93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</row>
    <row r="796">
      <c r="A796" s="31"/>
      <c r="B796" s="93"/>
      <c r="C796" s="93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</row>
    <row r="797">
      <c r="A797" s="31"/>
      <c r="B797" s="93"/>
      <c r="C797" s="93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</row>
    <row r="798">
      <c r="A798" s="31"/>
      <c r="B798" s="93"/>
      <c r="C798" s="93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</row>
    <row r="799">
      <c r="A799" s="31"/>
      <c r="B799" s="93"/>
      <c r="C799" s="93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</row>
    <row r="800">
      <c r="A800" s="31"/>
      <c r="B800" s="93"/>
      <c r="C800" s="93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</row>
    <row r="801">
      <c r="A801" s="31"/>
      <c r="B801" s="93"/>
      <c r="C801" s="93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</row>
    <row r="802">
      <c r="A802" s="31"/>
      <c r="B802" s="93"/>
      <c r="C802" s="93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</row>
    <row r="803">
      <c r="A803" s="31"/>
      <c r="B803" s="93"/>
      <c r="C803" s="93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</row>
    <row r="804">
      <c r="A804" s="31"/>
      <c r="B804" s="93"/>
      <c r="C804" s="93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</row>
    <row r="805">
      <c r="A805" s="31"/>
      <c r="B805" s="93"/>
      <c r="C805" s="93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</row>
    <row r="806">
      <c r="A806" s="31"/>
      <c r="B806" s="93"/>
      <c r="C806" s="93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</row>
    <row r="807">
      <c r="A807" s="31"/>
      <c r="B807" s="93"/>
      <c r="C807" s="93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</row>
    <row r="808">
      <c r="A808" s="31"/>
      <c r="B808" s="93"/>
      <c r="C808" s="93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</row>
    <row r="809">
      <c r="A809" s="31"/>
      <c r="B809" s="93"/>
      <c r="C809" s="93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</row>
    <row r="810">
      <c r="A810" s="31"/>
      <c r="B810" s="93"/>
      <c r="C810" s="93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</row>
    <row r="811">
      <c r="A811" s="31"/>
      <c r="B811" s="93"/>
      <c r="C811" s="93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</row>
    <row r="812">
      <c r="A812" s="31"/>
      <c r="B812" s="93"/>
      <c r="C812" s="93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</row>
    <row r="813">
      <c r="A813" s="31"/>
      <c r="B813" s="93"/>
      <c r="C813" s="93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</row>
    <row r="814">
      <c r="A814" s="31"/>
      <c r="B814" s="93"/>
      <c r="C814" s="93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</row>
    <row r="815">
      <c r="A815" s="31"/>
      <c r="B815" s="93"/>
      <c r="C815" s="93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</row>
    <row r="816">
      <c r="A816" s="31"/>
      <c r="B816" s="93"/>
      <c r="C816" s="93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</row>
    <row r="817">
      <c r="A817" s="31"/>
      <c r="B817" s="93"/>
      <c r="C817" s="93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</row>
    <row r="818">
      <c r="A818" s="31"/>
      <c r="B818" s="93"/>
      <c r="C818" s="93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</row>
    <row r="819">
      <c r="A819" s="31"/>
      <c r="B819" s="93"/>
      <c r="C819" s="93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</row>
    <row r="820">
      <c r="A820" s="31"/>
      <c r="B820" s="93"/>
      <c r="C820" s="93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</row>
    <row r="821">
      <c r="A821" s="31"/>
      <c r="B821" s="93"/>
      <c r="C821" s="93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</row>
    <row r="822">
      <c r="A822" s="31"/>
      <c r="B822" s="93"/>
      <c r="C822" s="93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</row>
    <row r="823">
      <c r="A823" s="31"/>
      <c r="B823" s="93"/>
      <c r="C823" s="93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</row>
    <row r="824">
      <c r="A824" s="31"/>
      <c r="B824" s="93"/>
      <c r="C824" s="93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</row>
    <row r="825">
      <c r="A825" s="31"/>
      <c r="B825" s="93"/>
      <c r="C825" s="93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</row>
    <row r="826">
      <c r="A826" s="31"/>
      <c r="B826" s="93"/>
      <c r="C826" s="93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</row>
    <row r="827">
      <c r="A827" s="31"/>
      <c r="B827" s="93"/>
      <c r="C827" s="93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</row>
    <row r="828">
      <c r="A828" s="31"/>
      <c r="B828" s="93"/>
      <c r="C828" s="93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</row>
    <row r="829">
      <c r="A829" s="31"/>
      <c r="B829" s="93"/>
      <c r="C829" s="93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</row>
    <row r="830">
      <c r="A830" s="31"/>
      <c r="B830" s="93"/>
      <c r="C830" s="93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</row>
    <row r="831">
      <c r="A831" s="31"/>
      <c r="B831" s="93"/>
      <c r="C831" s="93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</row>
    <row r="832">
      <c r="A832" s="31"/>
      <c r="B832" s="93"/>
      <c r="C832" s="93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</row>
    <row r="833">
      <c r="A833" s="31"/>
      <c r="B833" s="93"/>
      <c r="C833" s="93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</row>
    <row r="834">
      <c r="A834" s="31"/>
      <c r="B834" s="93"/>
      <c r="C834" s="93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</row>
    <row r="835">
      <c r="A835" s="31"/>
      <c r="B835" s="93"/>
      <c r="C835" s="93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</row>
    <row r="836">
      <c r="A836" s="31"/>
      <c r="B836" s="93"/>
      <c r="C836" s="93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</row>
    <row r="837">
      <c r="A837" s="31"/>
      <c r="B837" s="93"/>
      <c r="C837" s="93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</row>
    <row r="838">
      <c r="A838" s="31"/>
      <c r="B838" s="93"/>
      <c r="C838" s="93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</row>
    <row r="839">
      <c r="A839" s="31"/>
      <c r="B839" s="93"/>
      <c r="C839" s="93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</row>
    <row r="840">
      <c r="A840" s="31"/>
      <c r="B840" s="93"/>
      <c r="C840" s="93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</row>
    <row r="841">
      <c r="A841" s="31"/>
      <c r="B841" s="93"/>
      <c r="C841" s="93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</row>
    <row r="842">
      <c r="A842" s="31"/>
      <c r="B842" s="93"/>
      <c r="C842" s="93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</row>
    <row r="843">
      <c r="A843" s="31"/>
      <c r="B843" s="93"/>
      <c r="C843" s="93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</row>
    <row r="844">
      <c r="A844" s="31"/>
      <c r="B844" s="93"/>
      <c r="C844" s="93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</row>
    <row r="845">
      <c r="A845" s="31"/>
      <c r="B845" s="93"/>
      <c r="C845" s="93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</row>
    <row r="846">
      <c r="A846" s="31"/>
      <c r="B846" s="93"/>
      <c r="C846" s="93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</row>
    <row r="847">
      <c r="A847" s="31"/>
      <c r="B847" s="93"/>
      <c r="C847" s="93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</row>
    <row r="848">
      <c r="A848" s="31"/>
      <c r="B848" s="93"/>
      <c r="C848" s="93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</row>
    <row r="849">
      <c r="A849" s="31"/>
      <c r="B849" s="93"/>
      <c r="C849" s="93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</row>
    <row r="850">
      <c r="A850" s="31"/>
      <c r="B850" s="93"/>
      <c r="C850" s="93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</row>
    <row r="851">
      <c r="A851" s="31"/>
      <c r="B851" s="93"/>
      <c r="C851" s="93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</row>
    <row r="852">
      <c r="A852" s="31"/>
      <c r="B852" s="93"/>
      <c r="C852" s="93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</row>
    <row r="853">
      <c r="A853" s="31"/>
      <c r="B853" s="93"/>
      <c r="C853" s="93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</row>
    <row r="854">
      <c r="A854" s="31"/>
      <c r="B854" s="93"/>
      <c r="C854" s="93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</row>
    <row r="855">
      <c r="A855" s="31"/>
      <c r="B855" s="93"/>
      <c r="C855" s="93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</row>
    <row r="856">
      <c r="A856" s="31"/>
      <c r="B856" s="93"/>
      <c r="C856" s="93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</row>
    <row r="857">
      <c r="A857" s="31"/>
      <c r="B857" s="93"/>
      <c r="C857" s="93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</row>
    <row r="858">
      <c r="A858" s="31"/>
      <c r="B858" s="93"/>
      <c r="C858" s="93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</row>
    <row r="859">
      <c r="A859" s="31"/>
      <c r="B859" s="93"/>
      <c r="C859" s="93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</row>
    <row r="860">
      <c r="A860" s="31"/>
      <c r="B860" s="93"/>
      <c r="C860" s="93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</row>
    <row r="861">
      <c r="A861" s="31"/>
      <c r="B861" s="93"/>
      <c r="C861" s="93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</row>
    <row r="862">
      <c r="A862" s="31"/>
      <c r="B862" s="93"/>
      <c r="C862" s="93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</row>
    <row r="863">
      <c r="A863" s="31"/>
      <c r="B863" s="93"/>
      <c r="C863" s="93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</row>
    <row r="864">
      <c r="A864" s="31"/>
      <c r="B864" s="93"/>
      <c r="C864" s="93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</row>
    <row r="865">
      <c r="A865" s="31"/>
      <c r="B865" s="93"/>
      <c r="C865" s="93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</row>
    <row r="866">
      <c r="A866" s="31"/>
      <c r="B866" s="93"/>
      <c r="C866" s="93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</row>
    <row r="867">
      <c r="A867" s="31"/>
      <c r="B867" s="93"/>
      <c r="C867" s="93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</row>
    <row r="868">
      <c r="A868" s="31"/>
      <c r="B868" s="93"/>
      <c r="C868" s="93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</row>
    <row r="869">
      <c r="A869" s="31"/>
      <c r="B869" s="93"/>
      <c r="C869" s="93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</row>
    <row r="870">
      <c r="A870" s="31"/>
      <c r="B870" s="93"/>
      <c r="C870" s="93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</row>
    <row r="871">
      <c r="A871" s="31"/>
      <c r="B871" s="93"/>
      <c r="C871" s="93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</row>
    <row r="872">
      <c r="A872" s="31"/>
      <c r="B872" s="93"/>
      <c r="C872" s="93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</row>
    <row r="873">
      <c r="A873" s="31"/>
      <c r="B873" s="93"/>
      <c r="C873" s="93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</row>
    <row r="874">
      <c r="A874" s="31"/>
      <c r="B874" s="93"/>
      <c r="C874" s="93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</row>
    <row r="875">
      <c r="A875" s="31"/>
      <c r="B875" s="93"/>
      <c r="C875" s="93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</row>
    <row r="876">
      <c r="A876" s="31"/>
      <c r="B876" s="93"/>
      <c r="C876" s="93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</row>
    <row r="877">
      <c r="A877" s="31"/>
      <c r="B877" s="93"/>
      <c r="C877" s="93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</row>
    <row r="878">
      <c r="A878" s="31"/>
      <c r="B878" s="93"/>
      <c r="C878" s="93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</row>
    <row r="879">
      <c r="A879" s="31"/>
      <c r="B879" s="93"/>
      <c r="C879" s="93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</row>
    <row r="880">
      <c r="A880" s="31"/>
      <c r="B880" s="93"/>
      <c r="C880" s="93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</row>
    <row r="881">
      <c r="A881" s="31"/>
      <c r="B881" s="93"/>
      <c r="C881" s="93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</row>
    <row r="882">
      <c r="A882" s="31"/>
      <c r="B882" s="93"/>
      <c r="C882" s="93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</row>
    <row r="883">
      <c r="A883" s="31"/>
      <c r="B883" s="93"/>
      <c r="C883" s="93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</row>
    <row r="884">
      <c r="A884" s="31"/>
      <c r="B884" s="93"/>
      <c r="C884" s="93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</row>
    <row r="885">
      <c r="A885" s="31"/>
      <c r="B885" s="93"/>
      <c r="C885" s="93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</row>
    <row r="886">
      <c r="A886" s="31"/>
      <c r="B886" s="93"/>
      <c r="C886" s="93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</row>
    <row r="887">
      <c r="A887" s="31"/>
      <c r="B887" s="93"/>
      <c r="C887" s="93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</row>
    <row r="888">
      <c r="A888" s="31"/>
      <c r="B888" s="93"/>
      <c r="C888" s="93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</row>
    <row r="889">
      <c r="A889" s="31"/>
      <c r="B889" s="93"/>
      <c r="C889" s="93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</row>
    <row r="890">
      <c r="A890" s="31"/>
      <c r="B890" s="93"/>
      <c r="C890" s="93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</row>
    <row r="891">
      <c r="A891" s="31"/>
      <c r="B891" s="93"/>
      <c r="C891" s="93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</row>
    <row r="892">
      <c r="A892" s="31"/>
      <c r="B892" s="93"/>
      <c r="C892" s="93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</row>
    <row r="893">
      <c r="A893" s="31"/>
      <c r="B893" s="93"/>
      <c r="C893" s="93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</row>
    <row r="894">
      <c r="A894" s="31"/>
      <c r="B894" s="93"/>
      <c r="C894" s="93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</row>
    <row r="895">
      <c r="A895" s="31"/>
      <c r="B895" s="93"/>
      <c r="C895" s="93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</row>
    <row r="896">
      <c r="A896" s="31"/>
      <c r="B896" s="93"/>
      <c r="C896" s="93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</row>
    <row r="897">
      <c r="A897" s="31"/>
      <c r="B897" s="93"/>
      <c r="C897" s="93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</row>
    <row r="898">
      <c r="A898" s="31"/>
      <c r="B898" s="93"/>
      <c r="C898" s="93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</row>
    <row r="899">
      <c r="A899" s="31"/>
      <c r="B899" s="93"/>
      <c r="C899" s="93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</row>
    <row r="900">
      <c r="A900" s="31"/>
      <c r="B900" s="93"/>
      <c r="C900" s="93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</row>
    <row r="901">
      <c r="A901" s="31"/>
      <c r="B901" s="93"/>
      <c r="C901" s="93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</row>
    <row r="902">
      <c r="A902" s="31"/>
      <c r="B902" s="93"/>
      <c r="C902" s="93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</row>
    <row r="903">
      <c r="A903" s="31"/>
      <c r="B903" s="93"/>
      <c r="C903" s="93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</row>
    <row r="904">
      <c r="A904" s="31"/>
      <c r="B904" s="93"/>
      <c r="C904" s="93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</row>
    <row r="905">
      <c r="A905" s="31"/>
      <c r="B905" s="93"/>
      <c r="C905" s="93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</row>
    <row r="906">
      <c r="A906" s="31"/>
      <c r="B906" s="93"/>
      <c r="C906" s="93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</row>
    <row r="907">
      <c r="A907" s="31"/>
      <c r="B907" s="93"/>
      <c r="C907" s="93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</row>
    <row r="908">
      <c r="A908" s="31"/>
      <c r="B908" s="93"/>
      <c r="C908" s="93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</row>
    <row r="909">
      <c r="A909" s="31"/>
      <c r="B909" s="93"/>
      <c r="C909" s="93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</row>
    <row r="910">
      <c r="A910" s="31"/>
      <c r="B910" s="93"/>
      <c r="C910" s="93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</row>
    <row r="911">
      <c r="A911" s="31"/>
      <c r="B911" s="93"/>
      <c r="C911" s="93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</row>
    <row r="912">
      <c r="A912" s="31"/>
      <c r="B912" s="93"/>
      <c r="C912" s="93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</row>
    <row r="913">
      <c r="A913" s="31"/>
      <c r="B913" s="93"/>
      <c r="C913" s="93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</row>
    <row r="914">
      <c r="A914" s="31"/>
      <c r="B914" s="93"/>
      <c r="C914" s="93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</row>
    <row r="915">
      <c r="A915" s="31"/>
      <c r="B915" s="93"/>
      <c r="C915" s="93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</row>
    <row r="916">
      <c r="A916" s="31"/>
      <c r="B916" s="93"/>
      <c r="C916" s="93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</row>
    <row r="917">
      <c r="A917" s="31"/>
      <c r="B917" s="93"/>
      <c r="C917" s="93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</row>
    <row r="918">
      <c r="A918" s="31"/>
      <c r="B918" s="93"/>
      <c r="C918" s="93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</row>
    <row r="919">
      <c r="A919" s="31"/>
      <c r="B919" s="93"/>
      <c r="C919" s="93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</row>
    <row r="920">
      <c r="A920" s="31"/>
      <c r="B920" s="93"/>
      <c r="C920" s="93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</row>
    <row r="921">
      <c r="A921" s="31"/>
      <c r="B921" s="93"/>
      <c r="C921" s="93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</row>
    <row r="922">
      <c r="A922" s="31"/>
      <c r="B922" s="93"/>
      <c r="C922" s="93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</row>
    <row r="923">
      <c r="A923" s="31"/>
      <c r="B923" s="93"/>
      <c r="C923" s="93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</row>
    <row r="924">
      <c r="A924" s="31"/>
      <c r="B924" s="93"/>
      <c r="C924" s="93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</row>
    <row r="925">
      <c r="A925" s="31"/>
      <c r="B925" s="93"/>
      <c r="C925" s="93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</row>
    <row r="926">
      <c r="A926" s="31"/>
      <c r="B926" s="93"/>
      <c r="C926" s="93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</row>
    <row r="927">
      <c r="A927" s="31"/>
      <c r="B927" s="93"/>
      <c r="C927" s="93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</row>
    <row r="928">
      <c r="A928" s="31"/>
      <c r="B928" s="93"/>
      <c r="C928" s="93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</row>
    <row r="929">
      <c r="A929" s="31"/>
      <c r="B929" s="93"/>
      <c r="C929" s="93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</row>
    <row r="930">
      <c r="A930" s="31"/>
      <c r="B930" s="93"/>
      <c r="C930" s="93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</row>
    <row r="931">
      <c r="A931" s="31"/>
      <c r="B931" s="93"/>
      <c r="C931" s="93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</row>
    <row r="932">
      <c r="A932" s="31"/>
      <c r="B932" s="93"/>
      <c r="C932" s="93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</row>
    <row r="933">
      <c r="A933" s="31"/>
      <c r="B933" s="93"/>
      <c r="C933" s="93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</row>
    <row r="934">
      <c r="A934" s="31"/>
      <c r="B934" s="93"/>
      <c r="C934" s="93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</row>
    <row r="935">
      <c r="A935" s="31"/>
      <c r="B935" s="93"/>
      <c r="C935" s="93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</row>
    <row r="936">
      <c r="A936" s="31"/>
      <c r="B936" s="93"/>
      <c r="C936" s="93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</row>
    <row r="937">
      <c r="A937" s="31"/>
      <c r="B937" s="93"/>
      <c r="C937" s="93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</row>
    <row r="938">
      <c r="A938" s="31"/>
      <c r="B938" s="93"/>
      <c r="C938" s="93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</row>
    <row r="939">
      <c r="A939" s="31"/>
      <c r="B939" s="93"/>
      <c r="C939" s="93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</row>
    <row r="940">
      <c r="A940" s="31"/>
      <c r="B940" s="93"/>
      <c r="C940" s="93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</row>
    <row r="941">
      <c r="A941" s="31"/>
      <c r="B941" s="93"/>
      <c r="C941" s="93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</row>
    <row r="942">
      <c r="A942" s="31"/>
      <c r="B942" s="93"/>
      <c r="C942" s="93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</row>
    <row r="943">
      <c r="A943" s="31"/>
      <c r="B943" s="93"/>
      <c r="C943" s="93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</row>
    <row r="944">
      <c r="A944" s="31"/>
      <c r="B944" s="93"/>
      <c r="C944" s="93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</row>
    <row r="945">
      <c r="A945" s="31"/>
      <c r="B945" s="93"/>
      <c r="C945" s="93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</row>
    <row r="946">
      <c r="A946" s="31"/>
      <c r="B946" s="93"/>
      <c r="C946" s="93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</row>
    <row r="947">
      <c r="A947" s="31"/>
      <c r="B947" s="93"/>
      <c r="C947" s="93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</row>
    <row r="948">
      <c r="A948" s="31"/>
      <c r="B948" s="93"/>
      <c r="C948" s="93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</row>
    <row r="949">
      <c r="A949" s="31"/>
      <c r="B949" s="93"/>
      <c r="C949" s="93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</row>
    <row r="950">
      <c r="A950" s="31"/>
      <c r="B950" s="93"/>
      <c r="C950" s="93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</row>
    <row r="951">
      <c r="A951" s="31"/>
      <c r="B951" s="93"/>
      <c r="C951" s="93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</row>
    <row r="952">
      <c r="A952" s="31"/>
      <c r="B952" s="93"/>
      <c r="C952" s="93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</row>
    <row r="953">
      <c r="A953" s="31"/>
      <c r="B953" s="93"/>
      <c r="C953" s="93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</row>
    <row r="954">
      <c r="A954" s="31"/>
      <c r="B954" s="93"/>
      <c r="C954" s="93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</row>
    <row r="955">
      <c r="A955" s="31"/>
      <c r="B955" s="93"/>
      <c r="C955" s="93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</row>
    <row r="956">
      <c r="A956" s="31"/>
      <c r="B956" s="93"/>
      <c r="C956" s="93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</row>
    <row r="957">
      <c r="A957" s="31"/>
      <c r="B957" s="93"/>
      <c r="C957" s="93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</row>
    <row r="958">
      <c r="A958" s="31"/>
      <c r="B958" s="93"/>
      <c r="C958" s="93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</row>
    <row r="959">
      <c r="A959" s="31"/>
      <c r="B959" s="93"/>
      <c r="C959" s="93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</row>
    <row r="960">
      <c r="A960" s="31"/>
      <c r="B960" s="93"/>
      <c r="C960" s="93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</row>
    <row r="961">
      <c r="A961" s="31"/>
      <c r="B961" s="93"/>
      <c r="C961" s="93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</row>
    <row r="962">
      <c r="A962" s="31"/>
      <c r="B962" s="93"/>
      <c r="C962" s="93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</row>
    <row r="963">
      <c r="A963" s="31"/>
      <c r="B963" s="93"/>
      <c r="C963" s="93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</row>
    <row r="964">
      <c r="A964" s="31"/>
      <c r="B964" s="93"/>
      <c r="C964" s="93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</row>
    <row r="965">
      <c r="A965" s="31"/>
      <c r="B965" s="93"/>
      <c r="C965" s="93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</row>
    <row r="966">
      <c r="A966" s="31"/>
      <c r="B966" s="93"/>
      <c r="C966" s="93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</row>
    <row r="967">
      <c r="A967" s="31"/>
      <c r="B967" s="93"/>
      <c r="C967" s="93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</row>
    <row r="968">
      <c r="A968" s="31"/>
      <c r="B968" s="93"/>
      <c r="C968" s="93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</row>
    <row r="969">
      <c r="A969" s="31"/>
      <c r="B969" s="93"/>
      <c r="C969" s="93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</row>
    <row r="970">
      <c r="A970" s="31"/>
      <c r="B970" s="93"/>
      <c r="C970" s="93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</row>
    <row r="971">
      <c r="A971" s="31"/>
      <c r="B971" s="93"/>
      <c r="C971" s="93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</row>
    <row r="972">
      <c r="A972" s="31"/>
      <c r="B972" s="93"/>
      <c r="C972" s="93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</row>
    <row r="973">
      <c r="A973" s="31"/>
      <c r="B973" s="93"/>
      <c r="C973" s="93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</row>
    <row r="974">
      <c r="A974" s="31"/>
      <c r="B974" s="93"/>
      <c r="C974" s="93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</row>
    <row r="975">
      <c r="A975" s="31"/>
      <c r="B975" s="93"/>
      <c r="C975" s="93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</row>
    <row r="976">
      <c r="A976" s="31"/>
      <c r="B976" s="93"/>
      <c r="C976" s="93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</row>
    <row r="977">
      <c r="A977" s="31"/>
      <c r="B977" s="93"/>
      <c r="C977" s="93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</row>
    <row r="978">
      <c r="A978" s="31"/>
      <c r="B978" s="93"/>
      <c r="C978" s="93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</row>
    <row r="979">
      <c r="A979" s="31"/>
      <c r="B979" s="93"/>
      <c r="C979" s="93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</row>
    <row r="980">
      <c r="A980" s="31"/>
      <c r="B980" s="93"/>
      <c r="C980" s="93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</row>
    <row r="981">
      <c r="A981" s="31"/>
      <c r="B981" s="93"/>
      <c r="C981" s="93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</row>
    <row r="982">
      <c r="A982" s="31"/>
      <c r="B982" s="93"/>
      <c r="C982" s="93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</row>
    <row r="983">
      <c r="A983" s="31"/>
      <c r="B983" s="93"/>
      <c r="C983" s="93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</row>
    <row r="984">
      <c r="A984" s="31"/>
      <c r="B984" s="93"/>
      <c r="C984" s="93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</row>
    <row r="985">
      <c r="A985" s="31"/>
      <c r="B985" s="93"/>
      <c r="C985" s="93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</row>
    <row r="986">
      <c r="A986" s="31"/>
      <c r="B986" s="93"/>
      <c r="C986" s="93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</row>
    <row r="987">
      <c r="A987" s="31"/>
      <c r="B987" s="93"/>
      <c r="C987" s="93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</row>
    <row r="988">
      <c r="A988" s="31"/>
      <c r="B988" s="93"/>
      <c r="C988" s="93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</row>
    <row r="989">
      <c r="A989" s="31"/>
      <c r="B989" s="93"/>
      <c r="C989" s="93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</row>
    <row r="990">
      <c r="A990" s="31"/>
      <c r="B990" s="93"/>
      <c r="C990" s="93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</row>
    <row r="991">
      <c r="A991" s="31"/>
      <c r="B991" s="93"/>
      <c r="C991" s="93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</row>
    <row r="992">
      <c r="A992" s="31"/>
      <c r="B992" s="93"/>
      <c r="C992" s="93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</row>
    <row r="993">
      <c r="A993" s="31"/>
      <c r="B993" s="93"/>
      <c r="C993" s="93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</row>
    <row r="994">
      <c r="A994" s="31"/>
      <c r="B994" s="93"/>
      <c r="C994" s="93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</row>
    <row r="995">
      <c r="A995" s="31"/>
      <c r="B995" s="93"/>
      <c r="C995" s="93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</row>
    <row r="996">
      <c r="A996" s="31"/>
      <c r="B996" s="93"/>
      <c r="C996" s="93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</row>
    <row r="997">
      <c r="A997" s="31"/>
      <c r="B997" s="93"/>
      <c r="C997" s="93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</row>
    <row r="998">
      <c r="A998" s="31"/>
      <c r="B998" s="93"/>
      <c r="C998" s="93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</row>
    <row r="999">
      <c r="A999" s="31"/>
      <c r="B999" s="93"/>
      <c r="C999" s="93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</row>
  </sheetData>
  <mergeCells count="127">
    <mergeCell ref="N1:O1"/>
    <mergeCell ref="N2:O2"/>
    <mergeCell ref="N3:O3"/>
    <mergeCell ref="N4:O4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O16"/>
    <mergeCell ref="N17:O17"/>
    <mergeCell ref="N18:O18"/>
    <mergeCell ref="N19:O19"/>
    <mergeCell ref="N20:O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  <mergeCell ref="N35:O35"/>
    <mergeCell ref="N36:O36"/>
    <mergeCell ref="N37:O37"/>
    <mergeCell ref="N38:O38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99:O99"/>
    <mergeCell ref="N100:O100"/>
    <mergeCell ref="N101:O101"/>
    <mergeCell ref="N102:O102"/>
    <mergeCell ref="N103:O103"/>
    <mergeCell ref="N104:O104"/>
    <mergeCell ref="N105:O105"/>
    <mergeCell ref="N106:O106"/>
    <mergeCell ref="N107:O107"/>
    <mergeCell ref="N108:O108"/>
    <mergeCell ref="N109:O109"/>
    <mergeCell ref="N110:O110"/>
    <mergeCell ref="N111:O111"/>
    <mergeCell ref="N112:O112"/>
    <mergeCell ref="N120:O120"/>
    <mergeCell ref="N121:O121"/>
    <mergeCell ref="N122:O122"/>
    <mergeCell ref="N123:O123"/>
    <mergeCell ref="N124:O124"/>
    <mergeCell ref="N125:O125"/>
    <mergeCell ref="N126:O126"/>
    <mergeCell ref="N127:O127"/>
    <mergeCell ref="N113:O113"/>
    <mergeCell ref="N114:O114"/>
    <mergeCell ref="N115:O115"/>
    <mergeCell ref="N116:O116"/>
    <mergeCell ref="N117:O117"/>
    <mergeCell ref="N118:O118"/>
    <mergeCell ref="N119:O119"/>
    <mergeCell ref="N50:O50"/>
    <mergeCell ref="N51:O51"/>
    <mergeCell ref="N52:O52"/>
    <mergeCell ref="N53:O53"/>
    <mergeCell ref="N54:O54"/>
    <mergeCell ref="N55:O55"/>
    <mergeCell ref="N56:O56"/>
    <mergeCell ref="N57:O57"/>
    <mergeCell ref="N58:O58"/>
    <mergeCell ref="N59:O59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86:O86"/>
    <mergeCell ref="N87:O87"/>
    <mergeCell ref="N88:O88"/>
    <mergeCell ref="N89:O89"/>
    <mergeCell ref="N90:O90"/>
    <mergeCell ref="N91:O91"/>
    <mergeCell ref="N92:O92"/>
    <mergeCell ref="N93:O93"/>
    <mergeCell ref="N94:O94"/>
    <mergeCell ref="N95:O95"/>
    <mergeCell ref="N96:O96"/>
    <mergeCell ref="N97:O97"/>
    <mergeCell ref="N98:O98"/>
  </mergeCells>
  <conditionalFormatting sqref="D3:I134 J11:J21">
    <cfRule type="beginsWith" dxfId="3" priority="1" operator="beginsWith" text="a">
      <formula>LEFT((D3),LEN("a"))=("a")</formula>
    </cfRule>
  </conditionalFormatting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63"/>
    <col customWidth="1" min="3" max="3" width="13.63"/>
  </cols>
  <sheetData>
    <row r="1">
      <c r="A1" s="6" t="s">
        <v>9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9" t="s">
        <v>17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9" t="s">
        <v>26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16" t="s">
        <v>35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16" t="s">
        <v>38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2" t="s">
        <v>43</v>
      </c>
      <c r="B7" s="22" t="s">
        <v>44</v>
      </c>
      <c r="C7" s="23" t="s">
        <v>45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7">
        <v>1.0</v>
      </c>
      <c r="B8" s="28" t="s">
        <v>51</v>
      </c>
      <c r="C8" s="14" t="s">
        <v>55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4"/>
      <c r="B9" s="29" t="s">
        <v>57</v>
      </c>
      <c r="C9" s="14" t="s">
        <v>55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4"/>
      <c r="B10" s="29" t="s">
        <v>62</v>
      </c>
      <c r="C10" s="14" t="s">
        <v>55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4"/>
      <c r="B11" s="29" t="s">
        <v>63</v>
      </c>
      <c r="C11" s="14" t="s">
        <v>55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4"/>
      <c r="B12" s="29" t="s">
        <v>68</v>
      </c>
      <c r="C12" s="14" t="s">
        <v>55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4"/>
      <c r="B13" s="29" t="s">
        <v>71</v>
      </c>
      <c r="C13" s="14" t="s">
        <v>55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4"/>
      <c r="B14" s="29" t="s">
        <v>77</v>
      </c>
      <c r="C14" s="14" t="s">
        <v>55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4"/>
      <c r="B15" s="29" t="s">
        <v>83</v>
      </c>
      <c r="C15" s="14" t="s">
        <v>55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4"/>
      <c r="B16" s="29" t="s">
        <v>88</v>
      </c>
      <c r="C16" s="14" t="s">
        <v>55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4"/>
      <c r="B17" s="29" t="s">
        <v>93</v>
      </c>
      <c r="C17" s="14" t="s">
        <v>55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4"/>
      <c r="B18" s="29" t="s">
        <v>102</v>
      </c>
      <c r="C18" s="14" t="s">
        <v>55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4"/>
      <c r="B19" s="29" t="s">
        <v>109</v>
      </c>
      <c r="C19" s="14" t="s">
        <v>55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4"/>
      <c r="B20" s="29" t="s">
        <v>114</v>
      </c>
      <c r="C20" s="14" t="s">
        <v>55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7">
        <v>2.0</v>
      </c>
      <c r="B21" s="29" t="s">
        <v>121</v>
      </c>
      <c r="C21" s="14" t="s">
        <v>55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4"/>
      <c r="B22" s="29" t="s">
        <v>123</v>
      </c>
      <c r="C22" s="14" t="s">
        <v>55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4"/>
      <c r="B23" s="29" t="s">
        <v>130</v>
      </c>
      <c r="C23" s="14" t="s">
        <v>55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4"/>
      <c r="B24" s="29" t="s">
        <v>131</v>
      </c>
      <c r="C24" s="14" t="s">
        <v>55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4"/>
      <c r="B25" s="29" t="s">
        <v>137</v>
      </c>
      <c r="C25" s="14" t="s">
        <v>55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4"/>
      <c r="B26" s="29" t="s">
        <v>138</v>
      </c>
      <c r="C26" s="14" t="s">
        <v>55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4"/>
      <c r="B27" s="29" t="s">
        <v>139</v>
      </c>
      <c r="C27" s="14" t="s">
        <v>55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4"/>
      <c r="B28" s="29" t="s">
        <v>143</v>
      </c>
      <c r="C28" s="14" t="s">
        <v>55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4"/>
      <c r="B29" s="29" t="s">
        <v>144</v>
      </c>
      <c r="C29" s="14" t="s">
        <v>55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4"/>
      <c r="B30" s="29" t="s">
        <v>151</v>
      </c>
      <c r="C30" s="14" t="s">
        <v>55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4"/>
      <c r="B31" s="29" t="s">
        <v>153</v>
      </c>
      <c r="C31" s="14" t="s">
        <v>55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7">
        <v>3.0</v>
      </c>
      <c r="B32" s="29" t="s">
        <v>157</v>
      </c>
      <c r="C32" s="14" t="s">
        <v>55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4"/>
      <c r="B33" s="29" t="s">
        <v>160</v>
      </c>
      <c r="C33" s="14" t="s">
        <v>55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4"/>
      <c r="B34" s="29" t="s">
        <v>163</v>
      </c>
      <c r="C34" s="14" t="s">
        <v>55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4"/>
      <c r="B35" s="29" t="s">
        <v>167</v>
      </c>
      <c r="C35" s="14" t="s">
        <v>55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4"/>
      <c r="B36" s="29" t="s">
        <v>171</v>
      </c>
      <c r="C36" s="14" t="s">
        <v>55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4"/>
      <c r="B37" s="29" t="s">
        <v>174</v>
      </c>
      <c r="C37" s="14" t="s">
        <v>55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4"/>
      <c r="B38" s="29" t="s">
        <v>178</v>
      </c>
      <c r="C38" s="14" t="s">
        <v>55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4"/>
      <c r="B39" s="29" t="s">
        <v>181</v>
      </c>
      <c r="C39" s="14" t="s">
        <v>55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4"/>
      <c r="B40" s="29" t="s">
        <v>186</v>
      </c>
      <c r="C40" s="14" t="s">
        <v>55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7">
        <v>4.0</v>
      </c>
      <c r="B41" s="29" t="s">
        <v>187</v>
      </c>
      <c r="C41" s="14" t="s">
        <v>55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4"/>
      <c r="B42" s="29" t="s">
        <v>190</v>
      </c>
      <c r="C42" s="14" t="s">
        <v>55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4"/>
      <c r="B43" s="29" t="s">
        <v>191</v>
      </c>
      <c r="C43" s="14" t="s">
        <v>55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4"/>
      <c r="B44" s="29" t="s">
        <v>194</v>
      </c>
      <c r="C44" s="14" t="s">
        <v>55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4"/>
      <c r="B45" s="29" t="s">
        <v>196</v>
      </c>
      <c r="C45" s="14" t="s">
        <v>55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4"/>
      <c r="B46" s="29" t="s">
        <v>197</v>
      </c>
      <c r="C46" s="14" t="s">
        <v>55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4"/>
      <c r="B47" s="29" t="s">
        <v>202</v>
      </c>
      <c r="C47" s="14" t="s">
        <v>55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4"/>
      <c r="B48" s="29" t="s">
        <v>203</v>
      </c>
      <c r="C48" s="14" t="s">
        <v>55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4"/>
      <c r="B49" s="29" t="s">
        <v>207</v>
      </c>
      <c r="C49" s="14" t="s">
        <v>55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4"/>
      <c r="B50" s="29" t="s">
        <v>208</v>
      </c>
      <c r="C50" s="14" t="s">
        <v>55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7">
        <v>5.0</v>
      </c>
      <c r="B51" s="29" t="s">
        <v>211</v>
      </c>
      <c r="C51" s="14" t="s">
        <v>55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4"/>
      <c r="B52" s="29" t="s">
        <v>212</v>
      </c>
      <c r="C52" s="14" t="s">
        <v>55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4"/>
      <c r="B53" s="29" t="s">
        <v>213</v>
      </c>
      <c r="C53" s="14" t="s">
        <v>55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4"/>
      <c r="B54" s="29" t="s">
        <v>215</v>
      </c>
      <c r="C54" s="14" t="s">
        <v>55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4"/>
      <c r="B55" s="29" t="s">
        <v>216</v>
      </c>
      <c r="C55" s="14" t="s">
        <v>55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4"/>
      <c r="B56" s="29" t="s">
        <v>219</v>
      </c>
      <c r="C56" s="14" t="s">
        <v>55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54">
        <v>6.0</v>
      </c>
      <c r="B57" s="55" t="s">
        <v>221</v>
      </c>
      <c r="C57" s="14" t="s">
        <v>55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4"/>
      <c r="B58" s="56" t="s">
        <v>223</v>
      </c>
      <c r="C58" s="14" t="s">
        <v>55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4"/>
      <c r="B59" s="56" t="s">
        <v>226</v>
      </c>
      <c r="C59" s="14" t="s">
        <v>55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4"/>
      <c r="B60" s="56" t="s">
        <v>228</v>
      </c>
      <c r="C60" s="14" t="s">
        <v>55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54">
        <v>7.0</v>
      </c>
      <c r="B61" s="55" t="s">
        <v>229</v>
      </c>
      <c r="C61" s="14" t="s">
        <v>55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4"/>
      <c r="B62" s="56" t="s">
        <v>233</v>
      </c>
      <c r="C62" s="14" t="s">
        <v>55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4"/>
      <c r="B63" s="56" t="s">
        <v>234</v>
      </c>
      <c r="C63" s="14" t="s">
        <v>55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4"/>
      <c r="B64" s="56" t="s">
        <v>235</v>
      </c>
      <c r="C64" s="14" t="s">
        <v>55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57">
        <v>8.0</v>
      </c>
      <c r="B65" s="58" t="s">
        <v>238</v>
      </c>
      <c r="C65" s="14" t="s">
        <v>55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4"/>
      <c r="B66" s="59" t="s">
        <v>240</v>
      </c>
      <c r="C66" s="14" t="s">
        <v>55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4"/>
      <c r="B67" s="59" t="s">
        <v>241</v>
      </c>
      <c r="C67" s="14" t="s">
        <v>55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61"/>
      <c r="B68" s="28" t="s">
        <v>244</v>
      </c>
      <c r="C68" s="14" t="s">
        <v>55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4"/>
      <c r="B69" s="29" t="s">
        <v>245</v>
      </c>
      <c r="C69" s="14" t="s">
        <v>55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4"/>
      <c r="B70" s="29" t="s">
        <v>246</v>
      </c>
      <c r="C70" s="14" t="s">
        <v>55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4"/>
      <c r="B71" s="29" t="s">
        <v>249</v>
      </c>
      <c r="C71" s="14" t="s">
        <v>55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4"/>
      <c r="B72" s="29" t="s">
        <v>250</v>
      </c>
      <c r="C72" s="14" t="s">
        <v>55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4"/>
      <c r="B73" s="29" t="s">
        <v>252</v>
      </c>
      <c r="C73" s="14" t="s">
        <v>55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4"/>
      <c r="B74" s="29" t="s">
        <v>254</v>
      </c>
      <c r="C74" s="14" t="s">
        <v>55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4"/>
      <c r="B75" s="29" t="s">
        <v>255</v>
      </c>
      <c r="C75" s="14" t="s">
        <v>55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4"/>
      <c r="B76" s="29" t="s">
        <v>257</v>
      </c>
      <c r="C76" s="14" t="s">
        <v>55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7">
        <v>9.0</v>
      </c>
      <c r="B77" s="29" t="s">
        <v>258</v>
      </c>
      <c r="C77" s="14" t="s">
        <v>55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4"/>
      <c r="B78" s="29" t="s">
        <v>264</v>
      </c>
      <c r="C78" s="14" t="s">
        <v>55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4"/>
      <c r="B79" s="29" t="s">
        <v>265</v>
      </c>
      <c r="C79" s="14" t="s">
        <v>55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4"/>
      <c r="B80" s="29" t="s">
        <v>269</v>
      </c>
      <c r="C80" s="14" t="s">
        <v>55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4"/>
      <c r="B81" s="29" t="s">
        <v>270</v>
      </c>
      <c r="C81" s="14" t="s">
        <v>55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4"/>
      <c r="B82" s="29" t="s">
        <v>273</v>
      </c>
      <c r="C82" s="14" t="s">
        <v>55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4"/>
      <c r="B83" s="29" t="s">
        <v>276</v>
      </c>
      <c r="C83" s="14" t="s">
        <v>55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7">
        <v>10.0</v>
      </c>
      <c r="B84" s="29" t="s">
        <v>279</v>
      </c>
      <c r="C84" s="14" t="s">
        <v>55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4"/>
      <c r="B85" s="29" t="s">
        <v>280</v>
      </c>
      <c r="C85" s="14" t="s">
        <v>55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4"/>
      <c r="B86" s="29" t="s">
        <v>283</v>
      </c>
      <c r="C86" s="14" t="s">
        <v>55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4"/>
      <c r="B87" s="29" t="s">
        <v>286</v>
      </c>
      <c r="C87" s="14" t="s">
        <v>55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4"/>
      <c r="B88" s="29" t="s">
        <v>289</v>
      </c>
      <c r="C88" s="14" t="s">
        <v>55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4"/>
      <c r="B89" s="29" t="s">
        <v>293</v>
      </c>
      <c r="C89" s="14" t="s">
        <v>55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4"/>
      <c r="B90" s="29" t="s">
        <v>296</v>
      </c>
      <c r="C90" s="14" t="s">
        <v>55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7">
        <v>11.0</v>
      </c>
      <c r="B91" s="29" t="s">
        <v>297</v>
      </c>
      <c r="C91" s="14" t="s">
        <v>55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4"/>
      <c r="B92" s="29" t="s">
        <v>298</v>
      </c>
      <c r="C92" s="14" t="s">
        <v>55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4"/>
      <c r="B93" s="29" t="s">
        <v>302</v>
      </c>
      <c r="C93" s="14" t="s">
        <v>55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4"/>
      <c r="B94" s="29" t="s">
        <v>304</v>
      </c>
      <c r="C94" s="14" t="s">
        <v>55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4"/>
      <c r="B95" s="29" t="s">
        <v>306</v>
      </c>
      <c r="C95" s="14" t="s">
        <v>55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65">
        <v>12.0</v>
      </c>
      <c r="B96" s="66" t="s">
        <v>309</v>
      </c>
      <c r="C96" s="14" t="s">
        <v>55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4"/>
      <c r="B97" s="67" t="s">
        <v>310</v>
      </c>
      <c r="C97" s="14" t="s">
        <v>55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4"/>
      <c r="B98" s="67" t="s">
        <v>311</v>
      </c>
      <c r="C98" s="14" t="s">
        <v>55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57">
        <v>13.0</v>
      </c>
      <c r="B99" s="58" t="s">
        <v>314</v>
      </c>
      <c r="C99" s="14" t="s">
        <v>55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4"/>
      <c r="B100" s="59" t="s">
        <v>317</v>
      </c>
      <c r="C100" s="14" t="s">
        <v>55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4"/>
      <c r="B101" s="59" t="s">
        <v>241</v>
      </c>
      <c r="C101" s="14" t="s">
        <v>55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4"/>
      <c r="B102" s="68" t="s">
        <v>321</v>
      </c>
      <c r="C102" s="14" t="s">
        <v>55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4"/>
      <c r="B103" s="59" t="s">
        <v>324</v>
      </c>
      <c r="C103" s="14" t="s">
        <v>55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4"/>
      <c r="B104" s="59" t="s">
        <v>327</v>
      </c>
      <c r="C104" s="14" t="s">
        <v>55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4"/>
      <c r="B105" s="59" t="s">
        <v>330</v>
      </c>
      <c r="C105" s="14" t="s">
        <v>55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4"/>
      <c r="B106" s="59" t="s">
        <v>331</v>
      </c>
      <c r="C106" s="14" t="s">
        <v>55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4"/>
      <c r="B107" s="59" t="s">
        <v>334</v>
      </c>
      <c r="C107" s="14" t="s">
        <v>55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4"/>
      <c r="B108" s="59" t="s">
        <v>336</v>
      </c>
      <c r="C108" s="14" t="s">
        <v>55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4"/>
      <c r="B109" s="59" t="s">
        <v>337</v>
      </c>
      <c r="C109" s="14" t="s">
        <v>55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4"/>
      <c r="B110" s="59" t="s">
        <v>340</v>
      </c>
      <c r="C110" s="14" t="s">
        <v>55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7">
        <v>14.0</v>
      </c>
      <c r="B111" s="29" t="s">
        <v>341</v>
      </c>
      <c r="C111" s="14" t="s">
        <v>55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4"/>
      <c r="B112" s="29" t="s">
        <v>344</v>
      </c>
      <c r="C112" s="14" t="s">
        <v>55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4"/>
      <c r="B113" s="29" t="s">
        <v>347</v>
      </c>
      <c r="C113" s="14" t="s">
        <v>55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4"/>
      <c r="B114" s="29" t="s">
        <v>350</v>
      </c>
      <c r="C114" s="14" t="s">
        <v>55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4"/>
      <c r="B115" s="29" t="s">
        <v>351</v>
      </c>
      <c r="C115" s="14" t="s">
        <v>55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4"/>
      <c r="B116" s="29" t="s">
        <v>355</v>
      </c>
      <c r="C116" s="14" t="s">
        <v>55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4"/>
      <c r="B117" s="29" t="s">
        <v>359</v>
      </c>
      <c r="C117" s="14" t="s">
        <v>55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4"/>
      <c r="B118" s="29" t="s">
        <v>361</v>
      </c>
      <c r="C118" s="14" t="s">
        <v>55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4"/>
      <c r="B119" s="29" t="s">
        <v>365</v>
      </c>
      <c r="C119" s="14" t="s">
        <v>55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4"/>
      <c r="B120" s="29" t="s">
        <v>366</v>
      </c>
      <c r="C120" s="14" t="s">
        <v>55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4"/>
      <c r="B121" s="29" t="s">
        <v>368</v>
      </c>
      <c r="C121" s="14" t="s">
        <v>55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7">
        <v>15.0</v>
      </c>
      <c r="B122" s="29" t="s">
        <v>370</v>
      </c>
      <c r="C122" s="14" t="s">
        <v>55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4"/>
      <c r="B123" s="29" t="s">
        <v>374</v>
      </c>
      <c r="C123" s="14" t="s">
        <v>55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4"/>
      <c r="B124" s="29" t="s">
        <v>375</v>
      </c>
      <c r="C124" s="14" t="s">
        <v>55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4"/>
      <c r="B125" s="29" t="s">
        <v>378</v>
      </c>
      <c r="C125" s="14" t="s">
        <v>55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4"/>
      <c r="B126" s="29" t="s">
        <v>381</v>
      </c>
      <c r="C126" s="14" t="s">
        <v>55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4"/>
      <c r="B127" s="29" t="s">
        <v>382</v>
      </c>
      <c r="C127" s="14" t="s">
        <v>55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4"/>
      <c r="B128" s="29" t="s">
        <v>385</v>
      </c>
      <c r="C128" s="14" t="s">
        <v>55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4"/>
      <c r="B129" s="29" t="s">
        <v>389</v>
      </c>
      <c r="C129" s="14" t="s">
        <v>55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7">
        <v>16.0</v>
      </c>
      <c r="B130" s="29" t="s">
        <v>393</v>
      </c>
      <c r="C130" s="14" t="s">
        <v>55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4"/>
      <c r="B131" s="29" t="s">
        <v>396</v>
      </c>
      <c r="C131" s="14" t="s">
        <v>55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4"/>
      <c r="B132" s="29" t="s">
        <v>401</v>
      </c>
      <c r="C132" s="14" t="s">
        <v>55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4"/>
      <c r="B133" s="29" t="s">
        <v>403</v>
      </c>
      <c r="C133" s="14" t="s">
        <v>55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4"/>
      <c r="B134" s="29" t="s">
        <v>406</v>
      </c>
      <c r="C134" s="14" t="s">
        <v>55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4"/>
      <c r="B135" s="29" t="s">
        <v>410</v>
      </c>
      <c r="C135" s="14" t="s">
        <v>55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4"/>
      <c r="B136" s="29" t="s">
        <v>413</v>
      </c>
      <c r="C136" s="14" t="s">
        <v>55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4"/>
      <c r="B137" s="29" t="s">
        <v>415</v>
      </c>
      <c r="C137" s="14" t="s">
        <v>55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7">
        <v>17.0</v>
      </c>
      <c r="B138" s="29" t="s">
        <v>419</v>
      </c>
      <c r="C138" s="14" t="s">
        <v>55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4"/>
      <c r="B139" s="29" t="s">
        <v>421</v>
      </c>
      <c r="C139" s="14" t="s">
        <v>55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4"/>
      <c r="B140" s="29" t="s">
        <v>424</v>
      </c>
      <c r="C140" s="14" t="s">
        <v>55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4"/>
      <c r="B141" s="29" t="s">
        <v>425</v>
      </c>
      <c r="C141" s="14" t="s">
        <v>55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4"/>
      <c r="B142" s="29" t="s">
        <v>428</v>
      </c>
      <c r="C142" s="14" t="s">
        <v>55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4"/>
      <c r="B143" s="29" t="s">
        <v>431</v>
      </c>
      <c r="C143" s="14" t="s">
        <v>55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4"/>
      <c r="B144" s="29" t="s">
        <v>434</v>
      </c>
      <c r="C144" s="14" t="s">
        <v>55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4"/>
      <c r="B145" s="29" t="s">
        <v>435</v>
      </c>
      <c r="C145" s="14" t="s">
        <v>55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65">
        <v>18.0</v>
      </c>
      <c r="B146" s="66" t="s">
        <v>438</v>
      </c>
      <c r="C146" s="14" t="s">
        <v>55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4"/>
      <c r="B147" s="67" t="s">
        <v>441</v>
      </c>
      <c r="C147" s="14" t="s">
        <v>55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4"/>
      <c r="B148" s="67" t="s">
        <v>311</v>
      </c>
      <c r="C148" s="14" t="s">
        <v>55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57">
        <v>19.0</v>
      </c>
      <c r="B149" s="58" t="s">
        <v>444</v>
      </c>
      <c r="C149" s="14" t="s">
        <v>55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4"/>
      <c r="B150" s="59" t="s">
        <v>447</v>
      </c>
      <c r="C150" s="14" t="s">
        <v>55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4"/>
      <c r="B151" s="59" t="s">
        <v>241</v>
      </c>
      <c r="C151" s="14" t="s">
        <v>55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4"/>
      <c r="B152" s="68" t="s">
        <v>450</v>
      </c>
      <c r="C152" s="14" t="s">
        <v>55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4"/>
      <c r="B153" s="59" t="s">
        <v>451</v>
      </c>
      <c r="C153" s="14" t="s">
        <v>55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4"/>
      <c r="B154" s="59" t="s">
        <v>454</v>
      </c>
      <c r="C154" s="14" t="s">
        <v>55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4"/>
      <c r="B155" s="59" t="s">
        <v>457</v>
      </c>
      <c r="C155" s="14" t="s">
        <v>55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4"/>
      <c r="B156" s="59" t="s">
        <v>459</v>
      </c>
      <c r="C156" s="14" t="s">
        <v>55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4"/>
      <c r="B157" s="59" t="s">
        <v>460</v>
      </c>
      <c r="C157" s="14" t="s">
        <v>55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4"/>
      <c r="B158" s="59" t="s">
        <v>461</v>
      </c>
      <c r="C158" s="14" t="s">
        <v>55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4"/>
      <c r="B159" s="59" t="s">
        <v>464</v>
      </c>
      <c r="C159" s="14" t="s">
        <v>55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7">
        <v>20.0</v>
      </c>
      <c r="B160" s="29" t="s">
        <v>465</v>
      </c>
      <c r="C160" s="14" t="s">
        <v>55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4"/>
      <c r="B161" s="29" t="s">
        <v>468</v>
      </c>
      <c r="C161" s="14" t="s">
        <v>55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4"/>
      <c r="B162" s="29" t="s">
        <v>471</v>
      </c>
      <c r="C162" s="14" t="s">
        <v>55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4"/>
      <c r="B163" s="29" t="s">
        <v>472</v>
      </c>
      <c r="C163" s="14" t="s">
        <v>55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4"/>
      <c r="B164" s="29" t="s">
        <v>475</v>
      </c>
      <c r="C164" s="14" t="s">
        <v>55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4"/>
      <c r="B165" s="29" t="s">
        <v>478</v>
      </c>
      <c r="C165" s="14" t="s">
        <v>55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4"/>
      <c r="B166" s="29" t="s">
        <v>481</v>
      </c>
      <c r="C166" s="14" t="s">
        <v>55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4"/>
      <c r="B167" s="29" t="s">
        <v>484</v>
      </c>
      <c r="C167" s="14" t="s">
        <v>55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4"/>
      <c r="B168" s="29" t="s">
        <v>485</v>
      </c>
      <c r="C168" s="14" t="s">
        <v>55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4"/>
      <c r="B169" s="29" t="s">
        <v>486</v>
      </c>
      <c r="C169" s="14" t="s">
        <v>55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7">
        <v>21.0</v>
      </c>
      <c r="B170" s="29" t="s">
        <v>489</v>
      </c>
      <c r="C170" s="14" t="s">
        <v>55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4"/>
      <c r="B171" s="29" t="s">
        <v>490</v>
      </c>
      <c r="C171" s="14" t="s">
        <v>55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4"/>
      <c r="B172" s="29" t="s">
        <v>493</v>
      </c>
      <c r="C172" s="14" t="s">
        <v>55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4"/>
      <c r="B173" s="29" t="s">
        <v>494</v>
      </c>
      <c r="C173" s="14" t="s">
        <v>55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4"/>
      <c r="B174" s="29" t="s">
        <v>497</v>
      </c>
      <c r="C174" s="14" t="s">
        <v>55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4"/>
      <c r="B175" s="29" t="s">
        <v>498</v>
      </c>
      <c r="C175" s="14" t="s">
        <v>55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7">
        <v>22.0</v>
      </c>
      <c r="B176" s="29" t="s">
        <v>501</v>
      </c>
      <c r="C176" s="14" t="s">
        <v>55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4"/>
      <c r="B177" s="29" t="s">
        <v>504</v>
      </c>
      <c r="C177" s="14" t="s">
        <v>55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4"/>
      <c r="B178" s="29" t="s">
        <v>507</v>
      </c>
      <c r="C178" s="14" t="s">
        <v>55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4"/>
      <c r="B179" s="29" t="s">
        <v>510</v>
      </c>
      <c r="C179" s="14" t="s">
        <v>55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4"/>
      <c r="B180" s="29" t="s">
        <v>513</v>
      </c>
      <c r="C180" s="14" t="s">
        <v>55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4"/>
      <c r="B181" s="29" t="s">
        <v>516</v>
      </c>
      <c r="C181" s="14" t="s">
        <v>55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4"/>
      <c r="B182" s="29" t="s">
        <v>519</v>
      </c>
      <c r="C182" s="14" t="s">
        <v>55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4"/>
      <c r="B183" s="29" t="s">
        <v>520</v>
      </c>
      <c r="C183" s="14" t="s">
        <v>55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7">
        <v>23.0</v>
      </c>
      <c r="B184" s="29" t="s">
        <v>523</v>
      </c>
      <c r="C184" s="14" t="s">
        <v>55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4"/>
      <c r="B185" s="29" t="s">
        <v>524</v>
      </c>
      <c r="C185" s="14" t="s">
        <v>55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4"/>
      <c r="B186" s="29" t="s">
        <v>530</v>
      </c>
      <c r="C186" s="14" t="s">
        <v>55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4"/>
      <c r="B187" s="29" t="s">
        <v>531</v>
      </c>
      <c r="C187" s="14" t="s">
        <v>55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4"/>
      <c r="B188" s="29" t="s">
        <v>534</v>
      </c>
      <c r="C188" s="14" t="s">
        <v>55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65">
        <v>24.0</v>
      </c>
      <c r="B189" s="66" t="s">
        <v>537</v>
      </c>
      <c r="C189" s="14" t="s">
        <v>55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4"/>
      <c r="B190" s="67" t="s">
        <v>539</v>
      </c>
      <c r="C190" s="14" t="s">
        <v>55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4"/>
      <c r="B191" s="67" t="s">
        <v>311</v>
      </c>
      <c r="C191" s="14" t="s">
        <v>55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57">
        <v>25.0</v>
      </c>
      <c r="B192" s="58" t="s">
        <v>546</v>
      </c>
      <c r="C192" s="14" t="s">
        <v>55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4"/>
      <c r="B193" s="59" t="s">
        <v>549</v>
      </c>
      <c r="C193" s="14" t="s">
        <v>55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4"/>
      <c r="B194" s="59" t="s">
        <v>241</v>
      </c>
      <c r="C194" s="14" t="s">
        <v>55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4"/>
      <c r="B195" s="68" t="s">
        <v>552</v>
      </c>
      <c r="C195" s="14" t="s">
        <v>55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4"/>
      <c r="B196" s="59" t="s">
        <v>556</v>
      </c>
      <c r="C196" s="14" t="s">
        <v>55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4"/>
      <c r="B197" s="59" t="s">
        <v>559</v>
      </c>
      <c r="C197" s="14" t="s">
        <v>55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4"/>
      <c r="B198" s="59" t="s">
        <v>562</v>
      </c>
      <c r="C198" s="14" t="s">
        <v>55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4"/>
      <c r="B199" s="59" t="s">
        <v>563</v>
      </c>
      <c r="C199" s="14" t="s">
        <v>55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4"/>
      <c r="B200" s="59" t="s">
        <v>566</v>
      </c>
      <c r="C200" s="14" t="s">
        <v>55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4"/>
      <c r="B201" s="59" t="s">
        <v>569</v>
      </c>
      <c r="C201" s="14" t="s">
        <v>55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4"/>
      <c r="B202" s="59" t="s">
        <v>572</v>
      </c>
      <c r="C202" s="14" t="s">
        <v>55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4"/>
      <c r="B203" s="59" t="s">
        <v>573</v>
      </c>
      <c r="C203" s="14" t="s">
        <v>55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4"/>
      <c r="B204" s="59" t="s">
        <v>576</v>
      </c>
      <c r="C204" s="14" t="s">
        <v>55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7">
        <v>26.0</v>
      </c>
      <c r="B205" s="29" t="s">
        <v>577</v>
      </c>
      <c r="C205" s="14" t="s">
        <v>55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4"/>
      <c r="B206" s="29" t="s">
        <v>578</v>
      </c>
      <c r="C206" s="14" t="s">
        <v>55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4"/>
      <c r="B207" s="29" t="s">
        <v>581</v>
      </c>
      <c r="C207" s="14" t="s">
        <v>55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4"/>
      <c r="B208" s="29" t="s">
        <v>582</v>
      </c>
      <c r="C208" s="14" t="s">
        <v>55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4"/>
      <c r="B209" s="29" t="s">
        <v>583</v>
      </c>
      <c r="C209" s="14" t="s">
        <v>55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4"/>
      <c r="B210" s="29" t="s">
        <v>584</v>
      </c>
      <c r="C210" s="14" t="s">
        <v>55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4"/>
      <c r="B211" s="29" t="s">
        <v>585</v>
      </c>
      <c r="C211" s="14" t="s">
        <v>55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7">
        <v>27.0</v>
      </c>
      <c r="B212" s="29" t="s">
        <v>586</v>
      </c>
      <c r="C212" s="14" t="s">
        <v>55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4"/>
      <c r="B213" s="29" t="s">
        <v>587</v>
      </c>
      <c r="C213" s="14" t="s">
        <v>55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4"/>
      <c r="B214" s="29" t="s">
        <v>588</v>
      </c>
      <c r="C214" s="14" t="s">
        <v>55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4"/>
      <c r="B215" s="29" t="s">
        <v>589</v>
      </c>
      <c r="C215" s="14" t="s">
        <v>55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4"/>
      <c r="B216" s="29" t="s">
        <v>590</v>
      </c>
      <c r="C216" s="14" t="s">
        <v>55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4"/>
      <c r="B217" s="29" t="s">
        <v>591</v>
      </c>
      <c r="C217" s="14" t="s">
        <v>55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7">
        <v>28.0</v>
      </c>
      <c r="B218" s="29" t="s">
        <v>592</v>
      </c>
      <c r="C218" s="14" t="s">
        <v>55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4"/>
      <c r="B219" s="29" t="s">
        <v>593</v>
      </c>
      <c r="C219" s="14" t="s">
        <v>55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4"/>
      <c r="B220" s="29" t="s">
        <v>594</v>
      </c>
      <c r="C220" s="14" t="s">
        <v>55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4"/>
      <c r="B221" s="29" t="s">
        <v>595</v>
      </c>
      <c r="C221" s="14" t="s">
        <v>55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4"/>
      <c r="B222" s="29" t="s">
        <v>596</v>
      </c>
      <c r="C222" s="14" t="s">
        <v>55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4"/>
      <c r="B223" s="29" t="s">
        <v>597</v>
      </c>
      <c r="C223" s="14" t="s">
        <v>55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4"/>
      <c r="B224" s="29" t="s">
        <v>598</v>
      </c>
      <c r="C224" s="14" t="s">
        <v>55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7">
        <v>29.0</v>
      </c>
      <c r="B225" s="29" t="s">
        <v>599</v>
      </c>
      <c r="C225" s="14" t="s">
        <v>55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4"/>
      <c r="B226" s="29" t="s">
        <v>601</v>
      </c>
      <c r="C226" s="14" t="s">
        <v>55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4"/>
      <c r="B227" s="29" t="s">
        <v>602</v>
      </c>
      <c r="C227" s="14" t="s">
        <v>55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4"/>
      <c r="B228" s="29" t="s">
        <v>603</v>
      </c>
      <c r="C228" s="14" t="s">
        <v>55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4"/>
      <c r="B229" s="29" t="s">
        <v>604</v>
      </c>
      <c r="C229" s="14" t="s">
        <v>55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4"/>
      <c r="B230" s="29" t="s">
        <v>605</v>
      </c>
      <c r="C230" s="14" t="s">
        <v>55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4"/>
      <c r="B231" s="29" t="s">
        <v>606</v>
      </c>
      <c r="C231" s="14" t="s">
        <v>55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7">
        <v>30.0</v>
      </c>
      <c r="B232" s="29" t="s">
        <v>607</v>
      </c>
      <c r="C232" s="14" t="s">
        <v>55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4"/>
      <c r="B233" s="29" t="s">
        <v>608</v>
      </c>
      <c r="C233" s="14" t="s">
        <v>55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4"/>
      <c r="B234" s="29" t="s">
        <v>609</v>
      </c>
      <c r="C234" s="14" t="s">
        <v>55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4"/>
      <c r="B235" s="29" t="s">
        <v>610</v>
      </c>
      <c r="C235" s="14" t="s">
        <v>55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4"/>
      <c r="B236" s="29" t="s">
        <v>611</v>
      </c>
      <c r="C236" s="14" t="s">
        <v>55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4"/>
      <c r="B237" s="29" t="s">
        <v>612</v>
      </c>
      <c r="C237" s="14" t="s">
        <v>55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4"/>
      <c r="B238" s="29" t="s">
        <v>613</v>
      </c>
      <c r="C238" s="14" t="s">
        <v>55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7">
        <v>31.0</v>
      </c>
      <c r="B239" s="29" t="s">
        <v>614</v>
      </c>
      <c r="C239" s="14" t="s">
        <v>55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4"/>
      <c r="B240" s="29" t="s">
        <v>615</v>
      </c>
      <c r="C240" s="14" t="s">
        <v>55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4"/>
      <c r="B241" s="29" t="s">
        <v>616</v>
      </c>
      <c r="C241" s="14" t="s">
        <v>55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4"/>
      <c r="B242" s="29" t="s">
        <v>617</v>
      </c>
      <c r="C242" s="14" t="s">
        <v>55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65">
        <v>32.0</v>
      </c>
      <c r="B243" s="66" t="s">
        <v>618</v>
      </c>
      <c r="C243" s="14" t="s">
        <v>55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4"/>
      <c r="B244" s="67" t="s">
        <v>619</v>
      </c>
      <c r="C244" s="14" t="s">
        <v>55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4"/>
      <c r="B245" s="67" t="s">
        <v>311</v>
      </c>
      <c r="C245" s="14" t="s">
        <v>55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57">
        <v>33.0</v>
      </c>
      <c r="B246" s="58" t="s">
        <v>620</v>
      </c>
      <c r="C246" s="14" t="s">
        <v>55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4"/>
      <c r="B247" s="59" t="s">
        <v>621</v>
      </c>
      <c r="C247" s="14" t="s">
        <v>55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4"/>
      <c r="B248" s="59" t="s">
        <v>241</v>
      </c>
      <c r="C248" s="14" t="s">
        <v>55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4"/>
      <c r="B249" s="68" t="s">
        <v>622</v>
      </c>
      <c r="C249" s="14" t="s">
        <v>55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4"/>
      <c r="B250" s="59" t="s">
        <v>623</v>
      </c>
      <c r="C250" s="14" t="s">
        <v>55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4"/>
      <c r="B251" s="59" t="s">
        <v>624</v>
      </c>
      <c r="C251" s="14" t="s">
        <v>55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4"/>
      <c r="B252" s="59" t="s">
        <v>625</v>
      </c>
      <c r="C252" s="14" t="s">
        <v>55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4"/>
      <c r="B253" s="59" t="s">
        <v>626</v>
      </c>
      <c r="C253" s="14" t="s">
        <v>55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4"/>
      <c r="B254" s="59" t="s">
        <v>627</v>
      </c>
      <c r="C254" s="14" t="s">
        <v>55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4"/>
      <c r="B255" s="59" t="s">
        <v>628</v>
      </c>
      <c r="C255" s="14" t="s">
        <v>55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4"/>
      <c r="B256" s="59" t="s">
        <v>629</v>
      </c>
      <c r="C256" s="14" t="s">
        <v>55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4"/>
      <c r="B257" s="59" t="s">
        <v>630</v>
      </c>
      <c r="C257" s="14" t="s">
        <v>55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4"/>
      <c r="B258" s="59" t="s">
        <v>631</v>
      </c>
      <c r="C258" s="14" t="s">
        <v>55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7">
        <v>34.0</v>
      </c>
      <c r="B259" s="29" t="s">
        <v>632</v>
      </c>
      <c r="C259" s="14" t="s">
        <v>55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4"/>
      <c r="B260" s="29" t="s">
        <v>633</v>
      </c>
      <c r="C260" s="14" t="s">
        <v>55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4"/>
      <c r="B261" s="29" t="s">
        <v>634</v>
      </c>
      <c r="C261" s="14" t="s">
        <v>55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4"/>
      <c r="B262" s="29" t="s">
        <v>635</v>
      </c>
      <c r="C262" s="14" t="s">
        <v>55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4"/>
      <c r="B263" s="29" t="s">
        <v>636</v>
      </c>
      <c r="C263" s="14" t="s">
        <v>55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4"/>
      <c r="B264" s="29" t="s">
        <v>637</v>
      </c>
      <c r="C264" s="14" t="s">
        <v>55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4"/>
      <c r="B265" s="29" t="s">
        <v>638</v>
      </c>
      <c r="C265" s="14" t="s">
        <v>55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4"/>
      <c r="B266" s="29" t="s">
        <v>639</v>
      </c>
      <c r="C266" s="14" t="s">
        <v>55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4"/>
      <c r="B267" s="29" t="s">
        <v>640</v>
      </c>
      <c r="C267" s="14" t="s">
        <v>55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4"/>
      <c r="B268" s="29" t="s">
        <v>641</v>
      </c>
      <c r="C268" s="14" t="s">
        <v>55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4"/>
      <c r="B269" s="29" t="s">
        <v>642</v>
      </c>
      <c r="C269" s="14" t="s">
        <v>55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4"/>
      <c r="B270" s="29" t="s">
        <v>643</v>
      </c>
      <c r="C270" s="14" t="s">
        <v>55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7">
        <v>35.0</v>
      </c>
      <c r="B271" s="29" t="s">
        <v>644</v>
      </c>
      <c r="C271" s="14" t="s">
        <v>55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4"/>
      <c r="B272" s="29" t="s">
        <v>645</v>
      </c>
      <c r="C272" s="14" t="s">
        <v>55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4"/>
      <c r="B273" s="29" t="s">
        <v>646</v>
      </c>
      <c r="C273" s="14" t="s">
        <v>55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4"/>
      <c r="B274" s="29" t="s">
        <v>647</v>
      </c>
      <c r="C274" s="14" t="s">
        <v>55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4"/>
      <c r="B275" s="29" t="s">
        <v>648</v>
      </c>
      <c r="C275" s="14" t="s">
        <v>55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7">
        <v>36.0</v>
      </c>
      <c r="B276" s="29" t="s">
        <v>649</v>
      </c>
      <c r="C276" s="14" t="s">
        <v>55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4"/>
      <c r="B277" s="29" t="s">
        <v>650</v>
      </c>
      <c r="C277" s="14" t="s">
        <v>55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4"/>
      <c r="B278" s="29" t="s">
        <v>651</v>
      </c>
      <c r="C278" s="14" t="s">
        <v>55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4"/>
      <c r="B279" s="29" t="s">
        <v>652</v>
      </c>
      <c r="C279" s="14" t="s">
        <v>55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4"/>
      <c r="B280" s="29" t="s">
        <v>653</v>
      </c>
      <c r="C280" s="14" t="s">
        <v>55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4"/>
      <c r="B281" s="29" t="s">
        <v>654</v>
      </c>
      <c r="C281" s="14" t="s">
        <v>55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4"/>
      <c r="B282" s="29" t="s">
        <v>655</v>
      </c>
      <c r="C282" s="14" t="s">
        <v>55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4"/>
      <c r="B283" s="29" t="s">
        <v>656</v>
      </c>
      <c r="C283" s="14" t="s">
        <v>55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4"/>
      <c r="B284" s="29" t="s">
        <v>657</v>
      </c>
      <c r="C284" s="14" t="s">
        <v>55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4"/>
      <c r="B285" s="29" t="s">
        <v>658</v>
      </c>
      <c r="C285" s="14" t="s">
        <v>55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4"/>
      <c r="B286" s="29" t="s">
        <v>659</v>
      </c>
      <c r="C286" s="14" t="s">
        <v>55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4"/>
      <c r="B287" s="29" t="s">
        <v>660</v>
      </c>
      <c r="C287" s="14" t="s">
        <v>55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4"/>
      <c r="B288" s="29" t="s">
        <v>661</v>
      </c>
      <c r="C288" s="14" t="s">
        <v>55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4"/>
      <c r="B289" s="29" t="s">
        <v>662</v>
      </c>
      <c r="C289" s="14" t="s">
        <v>55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7">
        <v>37.0</v>
      </c>
      <c r="B290" s="29" t="s">
        <v>663</v>
      </c>
      <c r="C290" s="14" t="s">
        <v>55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4"/>
      <c r="B291" s="29" t="s">
        <v>664</v>
      </c>
      <c r="C291" s="14" t="s">
        <v>55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4"/>
      <c r="B292" s="29" t="s">
        <v>665</v>
      </c>
      <c r="C292" s="14" t="s">
        <v>55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4"/>
      <c r="B293" s="29" t="s">
        <v>666</v>
      </c>
      <c r="C293" s="14" t="s">
        <v>55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65">
        <v>38.0</v>
      </c>
      <c r="B294" s="66" t="s">
        <v>667</v>
      </c>
      <c r="C294" s="14" t="s">
        <v>55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4"/>
      <c r="B295" s="67" t="s">
        <v>539</v>
      </c>
      <c r="C295" s="14" t="s">
        <v>55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4"/>
      <c r="B296" s="67" t="s">
        <v>311</v>
      </c>
      <c r="C296" s="14" t="s">
        <v>55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57">
        <v>39.0</v>
      </c>
      <c r="B297" s="58" t="s">
        <v>668</v>
      </c>
      <c r="C297" s="14" t="s">
        <v>55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4"/>
      <c r="B298" s="59" t="s">
        <v>669</v>
      </c>
      <c r="C298" s="14" t="s">
        <v>55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4"/>
      <c r="B299" s="59" t="s">
        <v>241</v>
      </c>
      <c r="C299" s="14" t="s">
        <v>55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4"/>
      <c r="B300" s="68" t="s">
        <v>670</v>
      </c>
      <c r="C300" s="14" t="s">
        <v>55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4"/>
      <c r="B301" s="59" t="s">
        <v>671</v>
      </c>
      <c r="C301" s="14" t="s">
        <v>55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4"/>
      <c r="B302" s="59" t="s">
        <v>672</v>
      </c>
      <c r="C302" s="14" t="s">
        <v>55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4"/>
      <c r="B303" s="59" t="s">
        <v>674</v>
      </c>
      <c r="C303" s="14" t="s">
        <v>55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4"/>
      <c r="B304" s="59" t="s">
        <v>675</v>
      </c>
      <c r="C304" s="14" t="s">
        <v>55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4"/>
      <c r="B305" s="59" t="s">
        <v>676</v>
      </c>
      <c r="C305" s="14" t="s">
        <v>55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7">
        <v>40.0</v>
      </c>
      <c r="B306" s="29" t="s">
        <v>677</v>
      </c>
      <c r="C306" s="14" t="s">
        <v>55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4"/>
      <c r="B307" s="29" t="s">
        <v>678</v>
      </c>
      <c r="C307" s="14" t="s">
        <v>55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4"/>
      <c r="B308" s="29" t="s">
        <v>679</v>
      </c>
      <c r="C308" s="14" t="s">
        <v>55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4"/>
      <c r="B309" s="29" t="s">
        <v>680</v>
      </c>
      <c r="C309" s="14" t="s">
        <v>55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4"/>
      <c r="B310" s="29" t="s">
        <v>681</v>
      </c>
      <c r="C310" s="14" t="s">
        <v>55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4"/>
      <c r="B311" s="29" t="s">
        <v>682</v>
      </c>
      <c r="C311" s="14" t="s">
        <v>55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4"/>
      <c r="B312" s="29" t="s">
        <v>683</v>
      </c>
      <c r="C312" s="14" t="s">
        <v>55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4"/>
      <c r="B313" s="29" t="s">
        <v>684</v>
      </c>
      <c r="C313" s="14" t="s">
        <v>55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4"/>
      <c r="B314" s="29" t="s">
        <v>685</v>
      </c>
      <c r="C314" s="14" t="s">
        <v>55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4"/>
      <c r="B315" s="29" t="s">
        <v>686</v>
      </c>
      <c r="C315" s="14" t="s">
        <v>55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4"/>
      <c r="B316" s="29" t="s">
        <v>687</v>
      </c>
      <c r="C316" s="14" t="s">
        <v>55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4"/>
      <c r="B317" s="29" t="s">
        <v>688</v>
      </c>
      <c r="C317" s="14" t="s">
        <v>55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7">
        <v>41.0</v>
      </c>
      <c r="B318" s="29" t="s">
        <v>689</v>
      </c>
      <c r="C318" s="14" t="s">
        <v>55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4"/>
      <c r="B319" s="29" t="s">
        <v>690</v>
      </c>
      <c r="C319" s="14" t="s">
        <v>55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4"/>
      <c r="B320" s="29" t="s">
        <v>691</v>
      </c>
      <c r="C320" s="14" t="s">
        <v>55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4"/>
      <c r="B321" s="29" t="s">
        <v>692</v>
      </c>
      <c r="C321" s="14" t="s">
        <v>55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4"/>
      <c r="B322" s="29" t="s">
        <v>693</v>
      </c>
      <c r="C322" s="14" t="s">
        <v>55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4"/>
      <c r="B323" s="29" t="s">
        <v>694</v>
      </c>
      <c r="C323" s="14" t="s">
        <v>55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4"/>
      <c r="B324" s="29" t="s">
        <v>695</v>
      </c>
      <c r="C324" s="14" t="s">
        <v>55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4"/>
      <c r="B325" s="29" t="s">
        <v>696</v>
      </c>
      <c r="C325" s="14" t="s">
        <v>55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7">
        <v>42.0</v>
      </c>
      <c r="B326" s="29" t="s">
        <v>697</v>
      </c>
      <c r="C326" s="14" t="s">
        <v>55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4"/>
      <c r="B327" s="29" t="s">
        <v>698</v>
      </c>
      <c r="C327" s="14" t="s">
        <v>55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4"/>
      <c r="B328" s="29" t="s">
        <v>699</v>
      </c>
      <c r="C328" s="14" t="s">
        <v>55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4"/>
      <c r="B329" s="29" t="s">
        <v>700</v>
      </c>
      <c r="C329" s="14" t="s">
        <v>55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4"/>
      <c r="B330" s="29" t="s">
        <v>701</v>
      </c>
      <c r="C330" s="14" t="s">
        <v>55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4"/>
      <c r="B331" s="29" t="s">
        <v>702</v>
      </c>
      <c r="C331" s="14" t="s">
        <v>55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4"/>
      <c r="B332" s="29" t="s">
        <v>703</v>
      </c>
      <c r="C332" s="14" t="s">
        <v>55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4"/>
      <c r="B333" s="29" t="s">
        <v>704</v>
      </c>
      <c r="C333" s="14" t="s">
        <v>55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4"/>
      <c r="B334" s="29" t="s">
        <v>705</v>
      </c>
      <c r="C334" s="14" t="s">
        <v>55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4"/>
      <c r="B335" s="29" t="s">
        <v>706</v>
      </c>
      <c r="C335" s="14" t="s">
        <v>55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79">
        <v>43.0</v>
      </c>
      <c r="B336" s="80" t="s">
        <v>707</v>
      </c>
      <c r="C336" s="14" t="s">
        <v>55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4"/>
      <c r="B337" s="81" t="s">
        <v>708</v>
      </c>
      <c r="C337" s="14" t="s">
        <v>55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4"/>
      <c r="B338" s="81" t="s">
        <v>241</v>
      </c>
      <c r="C338" s="14" t="s">
        <v>55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4"/>
      <c r="B339" s="82" t="s">
        <v>709</v>
      </c>
      <c r="C339" s="14" t="s">
        <v>55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4"/>
      <c r="B340" s="81" t="s">
        <v>710</v>
      </c>
      <c r="C340" s="14" t="s">
        <v>55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4"/>
      <c r="B341" s="81" t="s">
        <v>711</v>
      </c>
      <c r="C341" s="14" t="s">
        <v>55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4"/>
      <c r="B342" s="81" t="s">
        <v>712</v>
      </c>
      <c r="C342" s="14" t="s">
        <v>55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79">
        <v>44.0</v>
      </c>
      <c r="B343" s="82" t="s">
        <v>713</v>
      </c>
      <c r="C343" s="14" t="s">
        <v>55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4"/>
      <c r="B344" s="81" t="s">
        <v>714</v>
      </c>
      <c r="C344" s="14" t="s">
        <v>55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4"/>
      <c r="B345" s="81" t="s">
        <v>715</v>
      </c>
      <c r="C345" s="14" t="s">
        <v>55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4"/>
      <c r="B346" s="81" t="s">
        <v>716</v>
      </c>
      <c r="C346" s="14" t="s">
        <v>55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79">
        <v>45.0</v>
      </c>
      <c r="B347" s="82" t="s">
        <v>717</v>
      </c>
      <c r="C347" s="14" t="s">
        <v>55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4"/>
      <c r="B348" s="81" t="s">
        <v>718</v>
      </c>
      <c r="C348" s="14" t="s">
        <v>55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4"/>
      <c r="B349" s="81" t="s">
        <v>719</v>
      </c>
      <c r="C349" s="14" t="s">
        <v>55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4"/>
      <c r="B350" s="81" t="s">
        <v>720</v>
      </c>
      <c r="C350" s="14" t="s">
        <v>55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</sheetData>
  <mergeCells count="52">
    <mergeCell ref="A1:C1"/>
    <mergeCell ref="A2:C2"/>
    <mergeCell ref="A3:C3"/>
    <mergeCell ref="A4:B4"/>
    <mergeCell ref="A5:B5"/>
    <mergeCell ref="A6:C6"/>
    <mergeCell ref="A8:A20"/>
    <mergeCell ref="A21:A31"/>
    <mergeCell ref="A32:A40"/>
    <mergeCell ref="A41:A50"/>
    <mergeCell ref="A51:A56"/>
    <mergeCell ref="A57:A60"/>
    <mergeCell ref="A61:A64"/>
    <mergeCell ref="A65:A67"/>
    <mergeCell ref="A68:A76"/>
    <mergeCell ref="A77:A83"/>
    <mergeCell ref="A84:A90"/>
    <mergeCell ref="A91:A95"/>
    <mergeCell ref="A96:A98"/>
    <mergeCell ref="A99:A110"/>
    <mergeCell ref="A111:A121"/>
    <mergeCell ref="A122:A129"/>
    <mergeCell ref="A130:A137"/>
    <mergeCell ref="A138:A145"/>
    <mergeCell ref="A146:A148"/>
    <mergeCell ref="A149:A159"/>
    <mergeCell ref="A160:A169"/>
    <mergeCell ref="A170:A175"/>
    <mergeCell ref="A176:A183"/>
    <mergeCell ref="A184:A188"/>
    <mergeCell ref="A189:A191"/>
    <mergeCell ref="A192:A204"/>
    <mergeCell ref="A205:A211"/>
    <mergeCell ref="A212:A217"/>
    <mergeCell ref="A218:A224"/>
    <mergeCell ref="A225:A231"/>
    <mergeCell ref="A232:A238"/>
    <mergeCell ref="A239:A242"/>
    <mergeCell ref="A243:A245"/>
    <mergeCell ref="A246:A258"/>
    <mergeCell ref="A259:A270"/>
    <mergeCell ref="A271:A275"/>
    <mergeCell ref="A336:A342"/>
    <mergeCell ref="A343:A346"/>
    <mergeCell ref="A347:A350"/>
    <mergeCell ref="A276:A289"/>
    <mergeCell ref="A290:A293"/>
    <mergeCell ref="A294:A296"/>
    <mergeCell ref="A297:A305"/>
    <mergeCell ref="A306:A317"/>
    <mergeCell ref="A318:A325"/>
    <mergeCell ref="A326:A335"/>
  </mergeCells>
  <dataValidations>
    <dataValidation type="list" allowBlank="1" showErrorMessage="1" sqref="C8:C350">
      <formula1>"Done,Pending"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75"/>
  </cols>
  <sheetData>
    <row r="1">
      <c r="A1" s="31"/>
      <c r="B1" s="31"/>
      <c r="C1" s="31"/>
      <c r="D1" s="11" t="s">
        <v>25</v>
      </c>
      <c r="E1" s="11" t="s">
        <v>28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>
      <c r="A2" s="83" t="s">
        <v>11</v>
      </c>
      <c r="B2" s="83" t="s">
        <v>12</v>
      </c>
      <c r="C2" s="84" t="s">
        <v>14</v>
      </c>
      <c r="D2" s="20" t="s">
        <v>41</v>
      </c>
      <c r="E2" s="3">
        <v>6.0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5">
        <v>1.0</v>
      </c>
      <c r="B3" s="19" t="s">
        <v>36</v>
      </c>
      <c r="C3" s="19" t="s">
        <v>37</v>
      </c>
      <c r="D3" s="3">
        <v>10.0</v>
      </c>
      <c r="E3" s="3">
        <v>7.0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>
      <c r="A4" s="5">
        <v>2.0</v>
      </c>
      <c r="B4" s="32" t="s">
        <v>48</v>
      </c>
      <c r="C4" s="32" t="s">
        <v>49</v>
      </c>
      <c r="D4" s="3">
        <v>5.0</v>
      </c>
      <c r="E4" s="3">
        <v>10.0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>
      <c r="A5" s="5">
        <v>3.0</v>
      </c>
      <c r="B5" s="3" t="s">
        <v>58</v>
      </c>
      <c r="C5" s="3" t="s">
        <v>59</v>
      </c>
      <c r="D5" s="3">
        <v>8.0</v>
      </c>
      <c r="E5" s="3">
        <v>5.0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A6" s="5">
        <v>4.0</v>
      </c>
      <c r="B6" s="32" t="s">
        <v>64</v>
      </c>
      <c r="C6" s="32" t="s">
        <v>65</v>
      </c>
      <c r="D6" s="3">
        <v>6.0</v>
      </c>
      <c r="E6" s="3">
        <v>8.0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>
      <c r="A7" s="5">
        <v>5.0</v>
      </c>
      <c r="B7" s="33" t="s">
        <v>72</v>
      </c>
      <c r="C7" s="33" t="s">
        <v>73</v>
      </c>
      <c r="D7" s="3">
        <v>9.0</v>
      </c>
      <c r="E7" s="3">
        <v>6.0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5">
        <v>6.0</v>
      </c>
      <c r="B8" s="32" t="s">
        <v>79</v>
      </c>
      <c r="C8" s="32" t="s">
        <v>80</v>
      </c>
      <c r="D8" s="3">
        <v>7.0</v>
      </c>
      <c r="E8" s="3">
        <v>9.0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>
      <c r="A9" s="5">
        <v>7.0</v>
      </c>
      <c r="B9" s="32" t="s">
        <v>86</v>
      </c>
      <c r="C9" s="32" t="s">
        <v>89</v>
      </c>
      <c r="D9" s="3">
        <v>10.0</v>
      </c>
      <c r="E9" s="3">
        <v>7.0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>
      <c r="A10" s="5">
        <v>8.0</v>
      </c>
      <c r="B10" s="32" t="s">
        <v>95</v>
      </c>
      <c r="C10" s="32" t="s">
        <v>96</v>
      </c>
      <c r="D10" s="20" t="s">
        <v>41</v>
      </c>
      <c r="E10" s="20" t="s">
        <v>41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>
      <c r="A11" s="5">
        <v>9.0</v>
      </c>
      <c r="B11" s="32" t="s">
        <v>104</v>
      </c>
      <c r="C11" s="32" t="s">
        <v>105</v>
      </c>
      <c r="D11" s="3">
        <v>5.0</v>
      </c>
      <c r="E11" s="3">
        <v>10.0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5">
        <v>10.0</v>
      </c>
      <c r="B12" s="32" t="s">
        <v>110</v>
      </c>
      <c r="C12" s="32" t="s">
        <v>111</v>
      </c>
      <c r="D12" s="3">
        <v>9.0</v>
      </c>
      <c r="E12" s="3">
        <v>6.0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5">
        <v>11.0</v>
      </c>
      <c r="B13" s="32" t="s">
        <v>117</v>
      </c>
      <c r="C13" s="32" t="s">
        <v>118</v>
      </c>
      <c r="D13" s="3">
        <v>6.0</v>
      </c>
      <c r="E13" s="3">
        <v>8.0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5">
        <v>12.0</v>
      </c>
      <c r="B14" s="32" t="s">
        <v>124</v>
      </c>
      <c r="C14" s="32" t="s">
        <v>126</v>
      </c>
      <c r="D14" s="3">
        <v>8.0</v>
      </c>
      <c r="E14" s="3">
        <v>5.0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>
      <c r="A15" s="5">
        <v>13.0</v>
      </c>
      <c r="B15" s="32" t="s">
        <v>132</v>
      </c>
      <c r="C15" s="32" t="s">
        <v>133</v>
      </c>
      <c r="D15" s="3">
        <v>10.0</v>
      </c>
      <c r="E15" s="3">
        <v>9.0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>
      <c r="A16" s="5">
        <v>14.0</v>
      </c>
      <c r="B16" s="35" t="s">
        <v>140</v>
      </c>
      <c r="C16" s="35" t="s">
        <v>141</v>
      </c>
      <c r="D16" s="3">
        <v>7.0</v>
      </c>
      <c r="E16" s="3">
        <v>7.0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>
      <c r="A17" s="5">
        <v>15.0</v>
      </c>
      <c r="B17" s="32" t="s">
        <v>145</v>
      </c>
      <c r="C17" s="32" t="s">
        <v>146</v>
      </c>
      <c r="D17" s="3">
        <v>5.0</v>
      </c>
      <c r="E17" s="3">
        <v>10.0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>
      <c r="A18" s="5">
        <v>16.0</v>
      </c>
      <c r="B18" s="32" t="s">
        <v>155</v>
      </c>
      <c r="C18" s="32" t="s">
        <v>156</v>
      </c>
      <c r="D18" s="3">
        <v>9.0</v>
      </c>
      <c r="E18" s="3">
        <v>5.0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5">
        <v>17.0</v>
      </c>
      <c r="B19" s="32" t="s">
        <v>161</v>
      </c>
      <c r="C19" s="32" t="s">
        <v>162</v>
      </c>
      <c r="D19" s="3">
        <v>6.0</v>
      </c>
      <c r="E19" s="3">
        <v>8.0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5">
        <v>18.0</v>
      </c>
      <c r="B20" s="32" t="s">
        <v>169</v>
      </c>
      <c r="C20" s="32" t="s">
        <v>170</v>
      </c>
      <c r="D20" s="3">
        <v>8.0</v>
      </c>
      <c r="E20" s="3">
        <v>6.0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5">
        <v>19.0</v>
      </c>
      <c r="B21" s="42" t="s">
        <v>175</v>
      </c>
      <c r="C21" s="42" t="s">
        <v>176</v>
      </c>
      <c r="D21" s="3">
        <v>7.0</v>
      </c>
      <c r="E21" s="3">
        <v>9.0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5">
        <v>20.0</v>
      </c>
      <c r="B22" s="32" t="s">
        <v>183</v>
      </c>
      <c r="C22" s="32" t="s">
        <v>184</v>
      </c>
      <c r="D22" s="3">
        <v>9.0</v>
      </c>
      <c r="E22" s="3">
        <v>7.0</v>
      </c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5">
        <v>21.0</v>
      </c>
      <c r="B23" s="32" t="s">
        <v>188</v>
      </c>
      <c r="C23" s="32" t="s">
        <v>189</v>
      </c>
      <c r="D23" s="3">
        <v>5.0</v>
      </c>
      <c r="E23" s="3">
        <v>10.0</v>
      </c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5">
        <v>22.0</v>
      </c>
      <c r="B24" s="32" t="s">
        <v>192</v>
      </c>
      <c r="C24" s="32" t="s">
        <v>193</v>
      </c>
      <c r="D24" s="3" t="s">
        <v>41</v>
      </c>
      <c r="E24" s="3" t="s">
        <v>41</v>
      </c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5">
        <v>23.0</v>
      </c>
      <c r="B25" s="3" t="s">
        <v>198</v>
      </c>
      <c r="C25" s="3" t="s">
        <v>199</v>
      </c>
      <c r="D25" s="3" t="s">
        <v>41</v>
      </c>
      <c r="E25" s="3" t="s">
        <v>41</v>
      </c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5">
        <v>24.0</v>
      </c>
      <c r="B26" s="32" t="s">
        <v>204</v>
      </c>
      <c r="C26" s="32" t="s">
        <v>205</v>
      </c>
      <c r="D26" s="3">
        <v>6.0</v>
      </c>
      <c r="E26" s="3">
        <v>8.0</v>
      </c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5">
        <v>25.0</v>
      </c>
      <c r="B27" s="32" t="s">
        <v>209</v>
      </c>
      <c r="C27" s="32" t="s">
        <v>210</v>
      </c>
      <c r="D27" s="3">
        <v>8.0</v>
      </c>
      <c r="E27" s="3">
        <v>6.0</v>
      </c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5">
        <v>26.0</v>
      </c>
      <c r="B28" s="3" t="s">
        <v>214</v>
      </c>
      <c r="C28" s="3"/>
      <c r="D28" s="3">
        <v>9.0</v>
      </c>
      <c r="E28" s="3">
        <v>9.0</v>
      </c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5">
        <v>27.0</v>
      </c>
      <c r="B29" s="32" t="s">
        <v>217</v>
      </c>
      <c r="C29" s="32" t="s">
        <v>218</v>
      </c>
      <c r="D29" s="20" t="s">
        <v>41</v>
      </c>
      <c r="E29" s="20" t="s">
        <v>41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5">
        <v>28.0</v>
      </c>
      <c r="B30" s="32" t="s">
        <v>220</v>
      </c>
      <c r="C30" s="32" t="s">
        <v>222</v>
      </c>
      <c r="D30" s="20" t="s">
        <v>41</v>
      </c>
      <c r="E30" s="20" t="s">
        <v>41</v>
      </c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5">
        <v>29.0</v>
      </c>
      <c r="B31" s="33" t="s">
        <v>224</v>
      </c>
      <c r="C31" s="33" t="s">
        <v>225</v>
      </c>
      <c r="D31" s="3" t="s">
        <v>41</v>
      </c>
      <c r="E31" s="3" t="s">
        <v>41</v>
      </c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5">
        <v>30.0</v>
      </c>
      <c r="B32" s="32" t="s">
        <v>230</v>
      </c>
      <c r="C32" s="32" t="s">
        <v>231</v>
      </c>
      <c r="D32" s="3">
        <v>7.0</v>
      </c>
      <c r="E32" s="3">
        <v>10.0</v>
      </c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5">
        <v>31.0</v>
      </c>
      <c r="B33" s="32" t="s">
        <v>236</v>
      </c>
      <c r="C33" s="32" t="s">
        <v>237</v>
      </c>
      <c r="D33" s="20" t="s">
        <v>41</v>
      </c>
      <c r="E33" s="20" t="s">
        <v>41</v>
      </c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5">
        <v>32.0</v>
      </c>
      <c r="B34" s="33" t="s">
        <v>242</v>
      </c>
      <c r="C34" s="33" t="s">
        <v>243</v>
      </c>
      <c r="D34" s="3" t="s">
        <v>41</v>
      </c>
      <c r="E34" s="3" t="s">
        <v>41</v>
      </c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5">
        <v>33.0</v>
      </c>
      <c r="B35" s="32" t="s">
        <v>247</v>
      </c>
      <c r="C35" s="32" t="s">
        <v>248</v>
      </c>
      <c r="D35" s="3">
        <v>10.0</v>
      </c>
      <c r="E35" s="3">
        <v>5.0</v>
      </c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5">
        <v>34.0</v>
      </c>
      <c r="B36" s="32" t="s">
        <v>251</v>
      </c>
      <c r="C36" s="19" t="s">
        <v>253</v>
      </c>
      <c r="D36" s="3">
        <v>6.0</v>
      </c>
      <c r="E36" s="3">
        <v>8.0</v>
      </c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5">
        <v>35.0</v>
      </c>
      <c r="B37" s="32" t="s">
        <v>256</v>
      </c>
      <c r="C37" s="3"/>
      <c r="D37" s="3">
        <v>8.0</v>
      </c>
      <c r="E37" s="3">
        <v>6.0</v>
      </c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5">
        <v>36.0</v>
      </c>
      <c r="B38" s="32" t="s">
        <v>259</v>
      </c>
      <c r="C38" s="32" t="s">
        <v>260</v>
      </c>
      <c r="D38" s="3">
        <v>8.0</v>
      </c>
      <c r="E38" s="3">
        <v>6.0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5">
        <v>37.0</v>
      </c>
      <c r="B39" s="32" t="s">
        <v>262</v>
      </c>
      <c r="C39" s="32" t="s">
        <v>263</v>
      </c>
      <c r="D39" s="20">
        <v>9.0</v>
      </c>
      <c r="E39" s="20">
        <v>9.0</v>
      </c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5">
        <v>38.0</v>
      </c>
      <c r="B40" s="32" t="s">
        <v>266</v>
      </c>
      <c r="C40" s="32" t="s">
        <v>267</v>
      </c>
      <c r="D40" s="3" t="s">
        <v>41</v>
      </c>
      <c r="E40" s="3" t="s">
        <v>41</v>
      </c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5">
        <v>39.0</v>
      </c>
      <c r="B41" s="32" t="s">
        <v>271</v>
      </c>
      <c r="C41" s="32" t="s">
        <v>272</v>
      </c>
      <c r="D41" s="3">
        <v>5.0</v>
      </c>
      <c r="E41" s="3">
        <v>7.0</v>
      </c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5">
        <v>40.0</v>
      </c>
      <c r="B42" s="32" t="s">
        <v>274</v>
      </c>
      <c r="C42" s="32" t="s">
        <v>275</v>
      </c>
      <c r="D42" s="3">
        <v>7.0</v>
      </c>
      <c r="E42" s="3">
        <v>10.0</v>
      </c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5">
        <v>41.0</v>
      </c>
      <c r="B43" s="32" t="s">
        <v>277</v>
      </c>
      <c r="C43" s="32" t="s">
        <v>278</v>
      </c>
      <c r="D43" s="3">
        <v>10.0</v>
      </c>
      <c r="E43" s="3">
        <v>5.0</v>
      </c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5">
        <v>42.0</v>
      </c>
      <c r="B44" s="32" t="s">
        <v>281</v>
      </c>
      <c r="C44" s="32" t="s">
        <v>282</v>
      </c>
      <c r="D44" s="3">
        <v>6.0</v>
      </c>
      <c r="E44" s="3">
        <v>8.0</v>
      </c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5">
        <v>43.0</v>
      </c>
      <c r="B45" s="32" t="s">
        <v>284</v>
      </c>
      <c r="C45" s="5" t="s">
        <v>285</v>
      </c>
      <c r="D45" s="3">
        <v>8.0</v>
      </c>
      <c r="E45" s="3">
        <v>6.0</v>
      </c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5">
        <v>44.0</v>
      </c>
      <c r="B46" s="42" t="s">
        <v>287</v>
      </c>
      <c r="C46" s="42" t="s">
        <v>288</v>
      </c>
      <c r="D46" s="3">
        <v>9.0</v>
      </c>
      <c r="E46" s="3">
        <v>9.0</v>
      </c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5">
        <v>45.0</v>
      </c>
      <c r="B47" s="32" t="s">
        <v>291</v>
      </c>
      <c r="C47" s="32" t="s">
        <v>292</v>
      </c>
      <c r="D47" s="3">
        <v>5.0</v>
      </c>
      <c r="E47" s="3">
        <v>7.0</v>
      </c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5">
        <v>46.0</v>
      </c>
      <c r="B48" s="63" t="s">
        <v>294</v>
      </c>
      <c r="C48" s="63" t="s">
        <v>295</v>
      </c>
      <c r="D48" s="3">
        <v>10.0</v>
      </c>
      <c r="E48" s="3">
        <v>10.0</v>
      </c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5">
        <v>47.0</v>
      </c>
      <c r="B49" s="42" t="s">
        <v>299</v>
      </c>
      <c r="C49" s="42" t="s">
        <v>300</v>
      </c>
      <c r="D49" s="3">
        <v>6.0</v>
      </c>
      <c r="E49" s="3" t="s">
        <v>41</v>
      </c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5">
        <v>48.0</v>
      </c>
      <c r="B50" s="32" t="s">
        <v>303</v>
      </c>
      <c r="C50" s="32" t="s">
        <v>305</v>
      </c>
      <c r="D50" s="3">
        <v>7.0</v>
      </c>
      <c r="E50" s="3">
        <v>5.0</v>
      </c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5">
        <v>49.0</v>
      </c>
      <c r="B51" s="32" t="s">
        <v>307</v>
      </c>
      <c r="C51" s="32" t="s">
        <v>308</v>
      </c>
      <c r="D51" s="20" t="s">
        <v>41</v>
      </c>
      <c r="E51" s="20" t="s">
        <v>41</v>
      </c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5">
        <v>50.0</v>
      </c>
      <c r="B52" s="32" t="s">
        <v>312</v>
      </c>
      <c r="C52" s="32" t="s">
        <v>313</v>
      </c>
      <c r="D52" s="3">
        <v>8.0</v>
      </c>
      <c r="E52" s="3">
        <v>6.0</v>
      </c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5">
        <v>51.0</v>
      </c>
      <c r="B53" s="32" t="s">
        <v>315</v>
      </c>
      <c r="C53" s="32" t="s">
        <v>316</v>
      </c>
      <c r="D53" s="3">
        <v>5.0</v>
      </c>
      <c r="E53" s="3">
        <v>9.0</v>
      </c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5">
        <v>52.0</v>
      </c>
      <c r="B54" s="32" t="s">
        <v>319</v>
      </c>
      <c r="C54" s="32" t="s">
        <v>320</v>
      </c>
      <c r="D54" s="3">
        <v>9.0</v>
      </c>
      <c r="E54" s="3">
        <v>7.0</v>
      </c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5">
        <v>53.0</v>
      </c>
      <c r="B55" s="32" t="s">
        <v>322</v>
      </c>
      <c r="C55" s="32" t="s">
        <v>323</v>
      </c>
      <c r="D55" s="3">
        <v>6.0</v>
      </c>
      <c r="E55" s="3">
        <v>10.0</v>
      </c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5">
        <v>54.0</v>
      </c>
      <c r="B56" s="32" t="s">
        <v>325</v>
      </c>
      <c r="C56" s="32" t="s">
        <v>326</v>
      </c>
      <c r="D56" s="3">
        <v>10.0</v>
      </c>
      <c r="E56" s="3">
        <v>5.0</v>
      </c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5">
        <v>55.0</v>
      </c>
      <c r="B57" s="32" t="s">
        <v>328</v>
      </c>
      <c r="C57" s="32" t="s">
        <v>329</v>
      </c>
      <c r="D57" s="3">
        <v>7.0</v>
      </c>
      <c r="E57" s="3">
        <v>8.0</v>
      </c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5">
        <v>56.0</v>
      </c>
      <c r="B58" s="32" t="s">
        <v>332</v>
      </c>
      <c r="C58" s="32" t="s">
        <v>333</v>
      </c>
      <c r="D58" s="3">
        <v>8.0</v>
      </c>
      <c r="E58" s="3">
        <v>9.0</v>
      </c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5">
        <v>57.0</v>
      </c>
      <c r="B59" s="32" t="s">
        <v>335</v>
      </c>
      <c r="C59" s="5"/>
      <c r="D59" s="3">
        <v>5.0</v>
      </c>
      <c r="E59" s="3">
        <v>6.0</v>
      </c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5">
        <v>58.0</v>
      </c>
      <c r="B60" s="32" t="s">
        <v>338</v>
      </c>
      <c r="C60" s="32" t="s">
        <v>339</v>
      </c>
      <c r="D60" s="3">
        <v>9.0</v>
      </c>
      <c r="E60" s="3">
        <v>7.0</v>
      </c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5">
        <v>59.0</v>
      </c>
      <c r="B61" s="32" t="s">
        <v>342</v>
      </c>
      <c r="C61" s="32" t="s">
        <v>343</v>
      </c>
      <c r="D61" s="3">
        <v>10.0</v>
      </c>
      <c r="E61" s="3">
        <v>10.0</v>
      </c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5">
        <v>60.0</v>
      </c>
      <c r="B62" s="32" t="s">
        <v>345</v>
      </c>
      <c r="C62" s="32" t="s">
        <v>346</v>
      </c>
      <c r="D62" s="3">
        <v>6.0</v>
      </c>
      <c r="E62" s="3">
        <v>5.0</v>
      </c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5">
        <v>61.0</v>
      </c>
      <c r="B63" s="32" t="s">
        <v>348</v>
      </c>
      <c r="C63" s="32" t="s">
        <v>349</v>
      </c>
      <c r="D63" s="3">
        <v>7.0</v>
      </c>
      <c r="E63" s="3">
        <v>9.0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5">
        <v>62.0</v>
      </c>
      <c r="B64" s="32" t="s">
        <v>352</v>
      </c>
      <c r="C64" s="32" t="s">
        <v>353</v>
      </c>
      <c r="D64" s="3">
        <v>5.0</v>
      </c>
      <c r="E64" s="3">
        <v>8.0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5">
        <v>63.0</v>
      </c>
      <c r="B65" s="32" t="s">
        <v>356</v>
      </c>
      <c r="C65" s="32" t="s">
        <v>357</v>
      </c>
      <c r="D65" s="3">
        <v>8.0</v>
      </c>
      <c r="E65" s="3">
        <v>6.0</v>
      </c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5">
        <v>64.0</v>
      </c>
      <c r="B66" s="32" t="s">
        <v>358</v>
      </c>
      <c r="C66" s="32" t="s">
        <v>360</v>
      </c>
      <c r="D66" s="3">
        <v>9.0</v>
      </c>
      <c r="E66" s="3">
        <v>7.0</v>
      </c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5">
        <v>65.0</v>
      </c>
      <c r="B67" s="32" t="s">
        <v>362</v>
      </c>
      <c r="C67" s="32" t="s">
        <v>363</v>
      </c>
      <c r="D67" s="3">
        <v>10.0</v>
      </c>
      <c r="E67" s="3">
        <v>10.0</v>
      </c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5">
        <v>66.0</v>
      </c>
      <c r="B68" s="32" t="s">
        <v>367</v>
      </c>
      <c r="C68" s="32" t="s">
        <v>369</v>
      </c>
      <c r="D68" s="3">
        <v>8.0</v>
      </c>
      <c r="E68" s="3">
        <v>9.0</v>
      </c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5">
        <v>67.0</v>
      </c>
      <c r="B69" s="70" t="s">
        <v>371</v>
      </c>
      <c r="C69" s="70" t="s">
        <v>372</v>
      </c>
      <c r="D69" s="3">
        <v>6.0</v>
      </c>
      <c r="E69" s="3">
        <v>5.0</v>
      </c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5">
        <v>68.0</v>
      </c>
      <c r="B70" s="32" t="s">
        <v>376</v>
      </c>
      <c r="C70" s="32" t="s">
        <v>377</v>
      </c>
      <c r="D70" s="3">
        <v>8.0</v>
      </c>
      <c r="E70" s="3">
        <v>9.0</v>
      </c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5">
        <v>69.0</v>
      </c>
      <c r="B71" s="32" t="s">
        <v>379</v>
      </c>
      <c r="C71" s="32" t="s">
        <v>380</v>
      </c>
      <c r="D71" s="3">
        <v>10.0</v>
      </c>
      <c r="E71" s="3">
        <v>7.0</v>
      </c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5">
        <v>70.0</v>
      </c>
      <c r="B72" s="32" t="s">
        <v>383</v>
      </c>
      <c r="C72" s="32" t="s">
        <v>384</v>
      </c>
      <c r="D72" s="3">
        <v>5.0</v>
      </c>
      <c r="E72" s="3">
        <v>8.0</v>
      </c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5">
        <v>71.0</v>
      </c>
      <c r="B73" s="32" t="s">
        <v>386</v>
      </c>
      <c r="C73" s="32" t="s">
        <v>387</v>
      </c>
      <c r="D73" s="3">
        <v>7.0</v>
      </c>
      <c r="E73" s="3">
        <v>10.0</v>
      </c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5">
        <v>72.0</v>
      </c>
      <c r="B74" s="32" t="s">
        <v>390</v>
      </c>
      <c r="C74" s="32" t="s">
        <v>391</v>
      </c>
      <c r="D74" s="3">
        <v>9.0</v>
      </c>
      <c r="E74" s="3">
        <v>6.0</v>
      </c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5">
        <v>73.0</v>
      </c>
      <c r="B75" s="3" t="s">
        <v>394</v>
      </c>
      <c r="C75" s="63" t="s">
        <v>395</v>
      </c>
      <c r="D75" s="3">
        <v>6.0</v>
      </c>
      <c r="E75" s="3">
        <v>5.0</v>
      </c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5">
        <v>74.0</v>
      </c>
      <c r="B76" s="32" t="s">
        <v>397</v>
      </c>
      <c r="C76" s="32" t="s">
        <v>398</v>
      </c>
      <c r="D76" s="3">
        <v>10.0</v>
      </c>
      <c r="E76" s="3">
        <v>9.0</v>
      </c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5">
        <v>75.0</v>
      </c>
      <c r="B77" s="32" t="s">
        <v>400</v>
      </c>
      <c r="C77" s="32" t="s">
        <v>402</v>
      </c>
      <c r="D77" s="3">
        <v>8.0</v>
      </c>
      <c r="E77" s="3">
        <v>8.0</v>
      </c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5">
        <v>76.0</v>
      </c>
      <c r="B78" s="32" t="s">
        <v>404</v>
      </c>
      <c r="C78" s="32" t="s">
        <v>405</v>
      </c>
      <c r="D78" s="3">
        <v>5.0</v>
      </c>
      <c r="E78" s="3">
        <v>7.0</v>
      </c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5">
        <v>77.0</v>
      </c>
      <c r="B79" s="32" t="s">
        <v>407</v>
      </c>
      <c r="C79" s="32" t="s">
        <v>408</v>
      </c>
      <c r="D79" s="3">
        <v>9.0</v>
      </c>
      <c r="E79" s="3">
        <v>10.0</v>
      </c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5">
        <v>78.0</v>
      </c>
      <c r="B80" s="33" t="s">
        <v>411</v>
      </c>
      <c r="C80" s="33" t="s">
        <v>412</v>
      </c>
      <c r="D80" s="3">
        <v>7.0</v>
      </c>
      <c r="E80" s="3">
        <v>6.0</v>
      </c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5">
        <v>79.0</v>
      </c>
      <c r="B81" s="32" t="s">
        <v>414</v>
      </c>
      <c r="C81" s="32" t="s">
        <v>416</v>
      </c>
      <c r="D81" s="3">
        <v>10.0</v>
      </c>
      <c r="E81" s="3">
        <v>5.0</v>
      </c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5">
        <v>80.0</v>
      </c>
      <c r="B82" s="32" t="s">
        <v>418</v>
      </c>
      <c r="C82" s="32" t="s">
        <v>420</v>
      </c>
      <c r="D82" s="3">
        <v>6.0</v>
      </c>
      <c r="E82" s="3">
        <v>9.0</v>
      </c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5">
        <v>81.0</v>
      </c>
      <c r="B83" s="32" t="s">
        <v>422</v>
      </c>
      <c r="C83" s="32" t="s">
        <v>423</v>
      </c>
      <c r="D83" s="3">
        <v>5.0</v>
      </c>
      <c r="E83" s="3">
        <v>7.0</v>
      </c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5">
        <v>82.0</v>
      </c>
      <c r="B84" s="33" t="s">
        <v>426</v>
      </c>
      <c r="C84" s="33" t="s">
        <v>427</v>
      </c>
      <c r="D84" s="3">
        <v>8.0</v>
      </c>
      <c r="E84" s="3">
        <v>8.0</v>
      </c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5">
        <v>83.0</v>
      </c>
      <c r="B85" s="32" t="s">
        <v>429</v>
      </c>
      <c r="C85" s="32" t="s">
        <v>430</v>
      </c>
      <c r="D85" s="3">
        <v>9.0</v>
      </c>
      <c r="E85" s="3">
        <v>10.0</v>
      </c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5">
        <v>84.0</v>
      </c>
      <c r="B86" s="32" t="s">
        <v>432</v>
      </c>
      <c r="C86" s="32" t="s">
        <v>433</v>
      </c>
      <c r="D86" s="3">
        <v>7.0</v>
      </c>
      <c r="E86" s="3">
        <v>6.0</v>
      </c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5">
        <v>85.0</v>
      </c>
      <c r="B87" s="32" t="s">
        <v>436</v>
      </c>
      <c r="C87" s="32" t="s">
        <v>437</v>
      </c>
      <c r="D87" s="3">
        <v>10.0</v>
      </c>
      <c r="E87" s="3">
        <v>9.0</v>
      </c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5">
        <v>86.0</v>
      </c>
      <c r="B88" s="32" t="s">
        <v>439</v>
      </c>
      <c r="C88" s="32" t="s">
        <v>440</v>
      </c>
      <c r="D88" s="72">
        <v>5.0</v>
      </c>
      <c r="E88" s="72">
        <v>5.0</v>
      </c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5">
        <v>87.0</v>
      </c>
      <c r="B89" s="32" t="s">
        <v>442</v>
      </c>
      <c r="C89" s="32" t="s">
        <v>443</v>
      </c>
      <c r="D89" s="3">
        <v>8.0</v>
      </c>
      <c r="E89" s="3">
        <v>8.0</v>
      </c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5">
        <v>88.0</v>
      </c>
      <c r="B90" s="32" t="s">
        <v>445</v>
      </c>
      <c r="C90" s="3" t="s">
        <v>446</v>
      </c>
      <c r="D90" s="3">
        <v>6.0</v>
      </c>
      <c r="E90" s="3">
        <v>7.0</v>
      </c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5">
        <v>89.0</v>
      </c>
      <c r="B91" s="32" t="s">
        <v>448</v>
      </c>
      <c r="C91" s="32" t="s">
        <v>449</v>
      </c>
      <c r="D91" s="3">
        <v>9.0</v>
      </c>
      <c r="E91" s="3">
        <v>10.0</v>
      </c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5">
        <v>90.0</v>
      </c>
      <c r="B92" s="32" t="s">
        <v>452</v>
      </c>
      <c r="C92" s="32" t="s">
        <v>453</v>
      </c>
      <c r="D92" s="3">
        <v>7.0</v>
      </c>
      <c r="E92" s="3">
        <v>6.0</v>
      </c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5">
        <v>91.0</v>
      </c>
      <c r="B93" s="32" t="s">
        <v>455</v>
      </c>
      <c r="C93" s="32" t="s">
        <v>456</v>
      </c>
      <c r="D93" s="3">
        <v>10.0</v>
      </c>
      <c r="E93" s="3">
        <v>9.0</v>
      </c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5">
        <v>92.0</v>
      </c>
      <c r="B94" s="32" t="s">
        <v>462</v>
      </c>
      <c r="C94" s="32" t="s">
        <v>463</v>
      </c>
      <c r="D94" s="3">
        <v>5.0</v>
      </c>
      <c r="E94" s="3">
        <v>5.0</v>
      </c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5">
        <v>93.0</v>
      </c>
      <c r="B95" s="32" t="s">
        <v>466</v>
      </c>
      <c r="C95" s="32" t="s">
        <v>467</v>
      </c>
      <c r="D95" s="3">
        <v>8.0</v>
      </c>
      <c r="E95" s="3">
        <v>8.0</v>
      </c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5">
        <v>94.0</v>
      </c>
      <c r="B96" s="32" t="s">
        <v>469</v>
      </c>
      <c r="C96" s="32" t="s">
        <v>470</v>
      </c>
      <c r="D96" s="3">
        <v>9.0</v>
      </c>
      <c r="E96" s="3">
        <v>7.0</v>
      </c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5">
        <v>95.0</v>
      </c>
      <c r="B97" s="32" t="s">
        <v>473</v>
      </c>
      <c r="C97" s="32" t="s">
        <v>474</v>
      </c>
      <c r="D97" s="3">
        <v>6.0</v>
      </c>
      <c r="E97" s="3" t="s">
        <v>41</v>
      </c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5">
        <v>96.0</v>
      </c>
      <c r="B98" s="33" t="s">
        <v>476</v>
      </c>
      <c r="C98" s="33" t="s">
        <v>477</v>
      </c>
      <c r="D98" s="3" t="s">
        <v>41</v>
      </c>
      <c r="E98" s="3">
        <v>10.0</v>
      </c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5">
        <v>97.0</v>
      </c>
      <c r="B99" s="33" t="s">
        <v>479</v>
      </c>
      <c r="C99" s="33" t="s">
        <v>480</v>
      </c>
      <c r="D99" s="3">
        <v>7.0</v>
      </c>
      <c r="E99" s="3">
        <v>6.0</v>
      </c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5">
        <v>98.0</v>
      </c>
      <c r="B100" s="33" t="s">
        <v>482</v>
      </c>
      <c r="C100" s="33" t="s">
        <v>483</v>
      </c>
      <c r="D100" s="3">
        <v>10.0</v>
      </c>
      <c r="E100" s="3">
        <v>9.0</v>
      </c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5">
        <v>99.0</v>
      </c>
      <c r="B101" s="32" t="s">
        <v>487</v>
      </c>
      <c r="C101" s="32" t="s">
        <v>488</v>
      </c>
      <c r="D101" s="3">
        <v>5.0</v>
      </c>
      <c r="E101" s="3">
        <v>5.0</v>
      </c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5">
        <v>100.0</v>
      </c>
      <c r="B102" s="32" t="s">
        <v>491</v>
      </c>
      <c r="C102" s="32" t="s">
        <v>492</v>
      </c>
      <c r="D102" s="3">
        <v>9.0</v>
      </c>
      <c r="E102" s="3">
        <v>8.0</v>
      </c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5">
        <v>101.0</v>
      </c>
      <c r="B103" s="33" t="s">
        <v>495</v>
      </c>
      <c r="C103" s="33" t="s">
        <v>496</v>
      </c>
      <c r="D103" s="3">
        <v>6.0</v>
      </c>
      <c r="E103" s="3">
        <v>7.0</v>
      </c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5">
        <v>102.0</v>
      </c>
      <c r="B104" s="32" t="s">
        <v>499</v>
      </c>
      <c r="C104" s="32" t="s">
        <v>500</v>
      </c>
      <c r="D104" s="3">
        <v>8.0</v>
      </c>
      <c r="E104" s="3">
        <v>10.0</v>
      </c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5">
        <v>103.0</v>
      </c>
      <c r="B105" s="32" t="s">
        <v>502</v>
      </c>
      <c r="C105" s="32" t="s">
        <v>503</v>
      </c>
      <c r="D105" s="3">
        <v>10.0</v>
      </c>
      <c r="E105" s="3">
        <v>6.0</v>
      </c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5">
        <v>104.0</v>
      </c>
      <c r="B106" s="32" t="s">
        <v>505</v>
      </c>
      <c r="C106" s="32" t="s">
        <v>506</v>
      </c>
      <c r="D106" s="3">
        <v>7.0</v>
      </c>
      <c r="E106" s="3">
        <v>9.0</v>
      </c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5">
        <v>105.0</v>
      </c>
      <c r="B107" s="32" t="s">
        <v>508</v>
      </c>
      <c r="C107" s="32" t="s">
        <v>509</v>
      </c>
      <c r="D107" s="3">
        <v>5.0</v>
      </c>
      <c r="E107" s="3">
        <v>5.0</v>
      </c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5">
        <v>106.0</v>
      </c>
      <c r="B108" s="32" t="s">
        <v>511</v>
      </c>
      <c r="C108" s="32" t="s">
        <v>512</v>
      </c>
      <c r="D108" s="3">
        <v>9.0</v>
      </c>
      <c r="E108" s="3">
        <v>8.0</v>
      </c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5">
        <v>107.0</v>
      </c>
      <c r="B109" s="32" t="s">
        <v>514</v>
      </c>
      <c r="C109" s="32" t="s">
        <v>515</v>
      </c>
      <c r="D109" s="3">
        <v>6.0</v>
      </c>
      <c r="E109" s="3">
        <v>10.0</v>
      </c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5">
        <v>108.0</v>
      </c>
      <c r="B110" s="32" t="s">
        <v>517</v>
      </c>
      <c r="C110" s="32" t="s">
        <v>518</v>
      </c>
      <c r="D110" s="3">
        <v>8.0</v>
      </c>
      <c r="E110" s="3">
        <v>7.0</v>
      </c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5">
        <v>109.0</v>
      </c>
      <c r="B111" s="32" t="s">
        <v>521</v>
      </c>
      <c r="C111" s="32" t="s">
        <v>522</v>
      </c>
      <c r="D111" s="3">
        <v>7.0</v>
      </c>
      <c r="E111" s="3">
        <v>6.0</v>
      </c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5">
        <v>110.0</v>
      </c>
      <c r="B112" s="63" t="s">
        <v>525</v>
      </c>
      <c r="C112" s="63" t="s">
        <v>526</v>
      </c>
      <c r="D112" s="3">
        <v>10.0</v>
      </c>
      <c r="E112" s="3">
        <v>9.0</v>
      </c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5">
        <v>111.0</v>
      </c>
      <c r="B113" s="32" t="s">
        <v>528</v>
      </c>
      <c r="C113" s="32" t="s">
        <v>529</v>
      </c>
      <c r="D113" s="3">
        <v>5.0</v>
      </c>
      <c r="E113" s="3">
        <v>5.0</v>
      </c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5">
        <v>112.0</v>
      </c>
      <c r="B114" s="32" t="s">
        <v>532</v>
      </c>
      <c r="C114" s="32" t="s">
        <v>533</v>
      </c>
      <c r="D114" s="3">
        <v>9.0</v>
      </c>
      <c r="E114" s="3">
        <v>8.0</v>
      </c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5">
        <v>113.0</v>
      </c>
      <c r="B115" s="32" t="s">
        <v>535</v>
      </c>
      <c r="C115" s="32" t="s">
        <v>536</v>
      </c>
      <c r="D115" s="3">
        <v>6.0</v>
      </c>
      <c r="E115" s="3">
        <v>10.0</v>
      </c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5">
        <v>114.0</v>
      </c>
      <c r="B116" s="73" t="s">
        <v>538</v>
      </c>
      <c r="C116" s="73" t="s">
        <v>540</v>
      </c>
      <c r="D116" s="3">
        <v>8.0</v>
      </c>
      <c r="E116" s="3">
        <v>7.0</v>
      </c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5">
        <v>115.0</v>
      </c>
      <c r="B117" s="32" t="s">
        <v>542</v>
      </c>
      <c r="C117" s="32" t="s">
        <v>543</v>
      </c>
      <c r="D117" s="20">
        <v>10.0</v>
      </c>
      <c r="E117" s="20">
        <v>6.0</v>
      </c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5">
        <v>116.0</v>
      </c>
      <c r="B118" s="32" t="s">
        <v>544</v>
      </c>
      <c r="C118" s="32" t="s">
        <v>545</v>
      </c>
      <c r="D118" s="3">
        <v>7.0</v>
      </c>
      <c r="E118" s="3">
        <v>9.0</v>
      </c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5">
        <v>117.0</v>
      </c>
      <c r="B119" s="32" t="s">
        <v>547</v>
      </c>
      <c r="C119" s="32" t="s">
        <v>548</v>
      </c>
      <c r="D119" s="3">
        <v>5.0</v>
      </c>
      <c r="E119" s="3">
        <v>5.0</v>
      </c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5">
        <v>118.0</v>
      </c>
      <c r="B120" s="73" t="s">
        <v>550</v>
      </c>
      <c r="C120" s="73" t="s">
        <v>551</v>
      </c>
      <c r="D120" s="3">
        <v>9.0</v>
      </c>
      <c r="E120" s="3">
        <v>8.0</v>
      </c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5">
        <v>119.0</v>
      </c>
      <c r="B121" s="73" t="s">
        <v>553</v>
      </c>
      <c r="C121" s="73" t="s">
        <v>554</v>
      </c>
      <c r="D121" s="3">
        <v>6.0</v>
      </c>
      <c r="E121" s="3" t="s">
        <v>41</v>
      </c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5">
        <v>120.0</v>
      </c>
      <c r="B122" s="32" t="s">
        <v>557</v>
      </c>
      <c r="C122" s="32" t="s">
        <v>558</v>
      </c>
      <c r="D122" s="3">
        <v>8.0</v>
      </c>
      <c r="E122" s="3">
        <v>7.0</v>
      </c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5">
        <v>121.0</v>
      </c>
      <c r="B123" s="35" t="s">
        <v>560</v>
      </c>
      <c r="C123" s="35" t="s">
        <v>561</v>
      </c>
      <c r="D123" s="3" t="s">
        <v>41</v>
      </c>
      <c r="E123" s="3">
        <v>10.0</v>
      </c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5">
        <v>122.0</v>
      </c>
      <c r="B124" s="75" t="s">
        <v>564</v>
      </c>
      <c r="C124" s="86" t="s">
        <v>565</v>
      </c>
      <c r="D124" s="3">
        <v>10.0</v>
      </c>
      <c r="E124" s="3">
        <v>6.0</v>
      </c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5">
        <v>123.0</v>
      </c>
      <c r="B125" s="76" t="s">
        <v>567</v>
      </c>
      <c r="C125" s="87" t="s">
        <v>568</v>
      </c>
      <c r="D125" s="3">
        <v>7.0</v>
      </c>
      <c r="E125" s="3">
        <v>9.0</v>
      </c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5">
        <v>124.0</v>
      </c>
      <c r="B126" s="32" t="s">
        <v>570</v>
      </c>
      <c r="C126" s="19" t="s">
        <v>571</v>
      </c>
      <c r="D126" s="3">
        <v>5.0</v>
      </c>
      <c r="E126" s="3">
        <v>5.0</v>
      </c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5">
        <v>125.0</v>
      </c>
      <c r="B127" s="76" t="s">
        <v>574</v>
      </c>
      <c r="C127" s="87" t="s">
        <v>575</v>
      </c>
      <c r="D127" s="3">
        <v>9.0</v>
      </c>
      <c r="E127" s="3">
        <v>8.0</v>
      </c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5">
        <v>126.0</v>
      </c>
      <c r="B128" s="76" t="s">
        <v>579</v>
      </c>
      <c r="C128" s="87" t="s">
        <v>580</v>
      </c>
      <c r="D128" s="3">
        <v>5.0</v>
      </c>
      <c r="E128" s="3">
        <v>5.0</v>
      </c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5">
        <v>127.0</v>
      </c>
      <c r="B129" s="88" t="s">
        <v>721</v>
      </c>
      <c r="C129" s="94" t="s">
        <v>722</v>
      </c>
      <c r="D129" s="3">
        <v>5.0</v>
      </c>
      <c r="E129" s="3">
        <v>5.0</v>
      </c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14"/>
      <c r="E130" s="14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14"/>
      <c r="E131" s="14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14"/>
      <c r="E132" s="14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14"/>
      <c r="E133" s="14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14"/>
      <c r="E134" s="14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14"/>
      <c r="E135" s="14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14"/>
      <c r="E136" s="14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14"/>
      <c r="E137" s="14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14"/>
      <c r="E138" s="14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14"/>
      <c r="E139" s="14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14"/>
      <c r="E140" s="14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14"/>
      <c r="E141" s="14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14"/>
      <c r="E142" s="14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14"/>
      <c r="E143" s="14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14"/>
      <c r="E144" s="14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14"/>
      <c r="E145" s="14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14"/>
      <c r="E146" s="14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14"/>
      <c r="E147" s="14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14"/>
      <c r="E148" s="14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14"/>
      <c r="E149" s="14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14"/>
      <c r="E150" s="14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14"/>
      <c r="E151" s="14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14"/>
      <c r="E152" s="14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14"/>
      <c r="E153" s="14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14"/>
      <c r="E154" s="14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14"/>
      <c r="E155" s="14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14"/>
      <c r="E156" s="14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14"/>
      <c r="E157" s="14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14"/>
      <c r="E158" s="14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14"/>
      <c r="E159" s="14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14"/>
      <c r="E160" s="14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14"/>
      <c r="E161" s="14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14"/>
      <c r="E162" s="14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14"/>
      <c r="E163" s="14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14"/>
      <c r="E164" s="14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14"/>
      <c r="E165" s="14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14"/>
      <c r="E166" s="14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14"/>
      <c r="E167" s="14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14"/>
      <c r="E168" s="14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14"/>
      <c r="E169" s="14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14"/>
      <c r="E170" s="14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14"/>
      <c r="E171" s="14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14"/>
      <c r="E172" s="14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14"/>
      <c r="E173" s="14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14"/>
      <c r="E174" s="14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14"/>
      <c r="E175" s="14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14"/>
      <c r="E176" s="14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14"/>
      <c r="E177" s="14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14"/>
      <c r="E178" s="14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14"/>
      <c r="E179" s="14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14"/>
      <c r="E180" s="14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14"/>
      <c r="E181" s="14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14"/>
      <c r="E182" s="14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14"/>
      <c r="E183" s="14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14"/>
      <c r="E184" s="14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14"/>
      <c r="E185" s="14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14"/>
      <c r="E186" s="14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14"/>
      <c r="E187" s="14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14"/>
      <c r="E188" s="14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14"/>
      <c r="E189" s="14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14"/>
      <c r="E190" s="14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14"/>
      <c r="E191" s="14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14"/>
      <c r="E192" s="14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14"/>
      <c r="E193" s="14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14"/>
      <c r="E194" s="14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14"/>
      <c r="E195" s="14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14"/>
      <c r="E196" s="14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14"/>
      <c r="E197" s="14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14"/>
      <c r="E198" s="14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14"/>
      <c r="E199" s="14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14"/>
      <c r="E200" s="14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14"/>
      <c r="E201" s="14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14"/>
      <c r="E202" s="14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14"/>
      <c r="E203" s="14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14"/>
      <c r="E204" s="14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14"/>
      <c r="E205" s="14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14"/>
      <c r="E206" s="14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14"/>
      <c r="E207" s="14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14"/>
      <c r="E208" s="14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14"/>
      <c r="E209" s="14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14"/>
      <c r="E210" s="14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14"/>
      <c r="E211" s="14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14"/>
      <c r="E212" s="14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14"/>
      <c r="E213" s="14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14"/>
      <c r="E214" s="14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14"/>
      <c r="E215" s="14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14"/>
      <c r="E216" s="14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14"/>
      <c r="E217" s="14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14"/>
      <c r="E218" s="14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14"/>
      <c r="E219" s="14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14"/>
      <c r="E220" s="14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14"/>
      <c r="E221" s="14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14"/>
      <c r="E222" s="14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14"/>
      <c r="E223" s="14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14"/>
      <c r="E224" s="14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14"/>
      <c r="E225" s="14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14"/>
      <c r="E226" s="14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14"/>
      <c r="E227" s="14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14"/>
      <c r="E228" s="14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14"/>
      <c r="E229" s="14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14"/>
      <c r="E230" s="14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14"/>
      <c r="E231" s="14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14"/>
      <c r="E232" s="14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14"/>
      <c r="E233" s="14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14"/>
      <c r="E234" s="14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14"/>
      <c r="E235" s="14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14"/>
      <c r="E236" s="14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14"/>
      <c r="E237" s="14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14"/>
      <c r="E238" s="14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14"/>
      <c r="E239" s="14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14"/>
      <c r="E240" s="14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14"/>
      <c r="E241" s="14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14"/>
      <c r="E242" s="14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14"/>
      <c r="E243" s="14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14"/>
      <c r="E244" s="14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14"/>
      <c r="E245" s="14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14"/>
      <c r="E246" s="14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14"/>
      <c r="E247" s="14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14"/>
      <c r="E248" s="14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14"/>
      <c r="E249" s="14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14"/>
      <c r="E250" s="14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14"/>
      <c r="E251" s="14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14"/>
      <c r="E252" s="14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14"/>
      <c r="E253" s="14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14"/>
      <c r="E254" s="14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14"/>
      <c r="E255" s="14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14"/>
      <c r="E256" s="14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14"/>
      <c r="E257" s="14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14"/>
      <c r="E258" s="14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14"/>
      <c r="E259" s="14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14"/>
      <c r="E260" s="14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14"/>
      <c r="E261" s="14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14"/>
      <c r="E262" s="14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14"/>
      <c r="E263" s="14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14"/>
      <c r="E264" s="14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14"/>
      <c r="E265" s="14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14"/>
      <c r="E266" s="14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14"/>
      <c r="E267" s="14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14"/>
      <c r="E268" s="14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14"/>
      <c r="E269" s="14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14"/>
      <c r="E270" s="14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14"/>
      <c r="E271" s="14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14"/>
      <c r="E272" s="14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14"/>
      <c r="E273" s="14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14"/>
      <c r="E274" s="14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14"/>
      <c r="E275" s="14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14"/>
      <c r="E276" s="14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14"/>
      <c r="E277" s="14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14"/>
      <c r="E278" s="14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14"/>
      <c r="E279" s="14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14"/>
      <c r="E280" s="14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14"/>
      <c r="E281" s="14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14"/>
      <c r="E282" s="14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14"/>
      <c r="E283" s="14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14"/>
      <c r="E284" s="14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14"/>
      <c r="E285" s="14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14"/>
      <c r="E286" s="14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14"/>
      <c r="E287" s="14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14"/>
      <c r="E288" s="14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14"/>
      <c r="E289" s="14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14"/>
      <c r="E290" s="14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14"/>
      <c r="E291" s="14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14"/>
      <c r="E292" s="14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14"/>
      <c r="E293" s="14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14"/>
      <c r="E294" s="14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14"/>
      <c r="E295" s="14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14"/>
      <c r="E296" s="14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14"/>
      <c r="E297" s="14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14"/>
      <c r="E298" s="14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14"/>
      <c r="E299" s="14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14"/>
      <c r="E300" s="14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14"/>
      <c r="E301" s="14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14"/>
      <c r="E302" s="14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14"/>
      <c r="E303" s="14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14"/>
      <c r="E304" s="14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14"/>
      <c r="E305" s="14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14"/>
      <c r="E306" s="14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14"/>
      <c r="E307" s="14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14"/>
      <c r="E308" s="14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14"/>
      <c r="E309" s="14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14"/>
      <c r="E310" s="14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14"/>
      <c r="E311" s="14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14"/>
      <c r="E312" s="14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14"/>
      <c r="E313" s="14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14"/>
      <c r="E314" s="14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14"/>
      <c r="E315" s="14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14"/>
      <c r="E316" s="14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14"/>
      <c r="E317" s="14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14"/>
      <c r="E318" s="14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14"/>
      <c r="E319" s="14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14"/>
      <c r="E320" s="14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14"/>
      <c r="E321" s="14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14"/>
      <c r="E322" s="14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14"/>
      <c r="E323" s="14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14"/>
      <c r="E324" s="14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14"/>
      <c r="E325" s="14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14"/>
      <c r="E326" s="14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14"/>
      <c r="E327" s="14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14"/>
      <c r="E328" s="14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14"/>
      <c r="E329" s="14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14"/>
      <c r="E330" s="14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14"/>
      <c r="E331" s="14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14"/>
      <c r="E332" s="14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14"/>
      <c r="E333" s="14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14"/>
      <c r="E334" s="14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14"/>
      <c r="E335" s="14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14"/>
      <c r="E336" s="14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14"/>
      <c r="E337" s="14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14"/>
      <c r="E338" s="14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14"/>
      <c r="E339" s="14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14"/>
      <c r="E340" s="14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14"/>
      <c r="E341" s="14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14"/>
      <c r="E342" s="14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14"/>
      <c r="E343" s="14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14"/>
      <c r="E344" s="14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14"/>
      <c r="E345" s="14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14"/>
      <c r="E346" s="14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14"/>
      <c r="E347" s="14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14"/>
      <c r="E348" s="14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14"/>
      <c r="E349" s="14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14"/>
      <c r="E350" s="14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14"/>
      <c r="E351" s="14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14"/>
      <c r="E352" s="14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14"/>
      <c r="E353" s="14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14"/>
      <c r="E354" s="14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14"/>
      <c r="E355" s="14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14"/>
      <c r="E356" s="14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14"/>
      <c r="E357" s="14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14"/>
      <c r="E358" s="14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14"/>
      <c r="E359" s="14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14"/>
      <c r="E360" s="14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14"/>
      <c r="E361" s="14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14"/>
      <c r="E362" s="14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14"/>
      <c r="E363" s="14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14"/>
      <c r="E364" s="14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14"/>
      <c r="E365" s="14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14"/>
      <c r="E366" s="14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14"/>
      <c r="E367" s="14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14"/>
      <c r="E368" s="14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14"/>
      <c r="E369" s="14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14"/>
      <c r="E370" s="14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14"/>
      <c r="E371" s="14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14"/>
      <c r="E372" s="14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14"/>
      <c r="E373" s="14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14"/>
      <c r="E374" s="14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14"/>
      <c r="E375" s="14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14"/>
      <c r="E376" s="14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14"/>
      <c r="E377" s="14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14"/>
      <c r="E378" s="14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14"/>
      <c r="E379" s="14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14"/>
      <c r="E380" s="14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14"/>
      <c r="E381" s="14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14"/>
      <c r="E382" s="14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14"/>
      <c r="E383" s="14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14"/>
      <c r="E384" s="14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14"/>
      <c r="E385" s="14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14"/>
      <c r="E386" s="14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14"/>
      <c r="E387" s="14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14"/>
      <c r="E388" s="14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14"/>
      <c r="E389" s="14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14"/>
      <c r="E390" s="14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14"/>
      <c r="E391" s="14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14"/>
      <c r="E392" s="14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14"/>
      <c r="E393" s="14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14"/>
      <c r="E394" s="14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14"/>
      <c r="E395" s="14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14"/>
      <c r="E396" s="14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14"/>
      <c r="E397" s="14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14"/>
      <c r="E398" s="14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14"/>
      <c r="E399" s="14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14"/>
      <c r="E400" s="14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14"/>
      <c r="E401" s="14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14"/>
      <c r="E402" s="14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14"/>
      <c r="E403" s="14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14"/>
      <c r="E404" s="14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14"/>
      <c r="E405" s="14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14"/>
      <c r="E406" s="14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14"/>
      <c r="E407" s="14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14"/>
      <c r="E408" s="14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14"/>
      <c r="E409" s="14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14"/>
      <c r="E410" s="14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14"/>
      <c r="E411" s="14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14"/>
      <c r="E412" s="14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14"/>
      <c r="E413" s="14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14"/>
      <c r="E414" s="14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14"/>
      <c r="E415" s="14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14"/>
      <c r="E416" s="14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14"/>
      <c r="E417" s="14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14"/>
      <c r="E418" s="14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14"/>
      <c r="E419" s="14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14"/>
      <c r="E420" s="14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14"/>
      <c r="E421" s="14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14"/>
      <c r="E422" s="14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14"/>
      <c r="E423" s="14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14"/>
      <c r="E424" s="14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14"/>
      <c r="E425" s="14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14"/>
      <c r="E426" s="14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14"/>
      <c r="E427" s="14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14"/>
      <c r="E428" s="14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14"/>
      <c r="E429" s="14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14"/>
      <c r="E430" s="14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14"/>
      <c r="E431" s="14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14"/>
      <c r="E432" s="14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14"/>
      <c r="E433" s="14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14"/>
      <c r="E434" s="14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14"/>
      <c r="E435" s="14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14"/>
      <c r="E436" s="14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14"/>
      <c r="E437" s="14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14"/>
      <c r="E438" s="14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14"/>
      <c r="E439" s="14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14"/>
      <c r="E440" s="14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14"/>
      <c r="E441" s="14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14"/>
      <c r="E442" s="14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14"/>
      <c r="E443" s="14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14"/>
      <c r="E444" s="14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14"/>
      <c r="E445" s="14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14"/>
      <c r="E446" s="14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14"/>
      <c r="E447" s="14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14"/>
      <c r="E448" s="14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14"/>
      <c r="E449" s="14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14"/>
      <c r="E450" s="14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14"/>
      <c r="E451" s="14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14"/>
      <c r="E452" s="14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14"/>
      <c r="E453" s="14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14"/>
      <c r="E454" s="14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14"/>
      <c r="E455" s="14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14"/>
      <c r="E456" s="14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