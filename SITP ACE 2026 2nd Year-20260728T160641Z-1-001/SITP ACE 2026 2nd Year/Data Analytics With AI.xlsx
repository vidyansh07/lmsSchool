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nce" sheetId="1" r:id="rId5"/>
    <sheet state="visible" name="Course Timeline" sheetId="2" r:id="rId6"/>
    <sheet state="visible" name="DSR" sheetId="3" r:id="rId7"/>
    <sheet state="visible" name="Assesment" sheetId="4" r:id="rId8"/>
    <sheet state="visible" name="Project" sheetId="5" r:id="rId9"/>
  </sheets>
  <definedNames/>
  <calcPr/>
</workbook>
</file>

<file path=xl/sharedStrings.xml><?xml version="1.0" encoding="utf-8"?>
<sst xmlns="http://schemas.openxmlformats.org/spreadsheetml/2006/main" count="4586" uniqueCount="703">
  <si>
    <t>SNO</t>
  </si>
  <si>
    <t>ARYA COLLEGE OF ENGINEERING</t>
  </si>
  <si>
    <t>S NO</t>
  </si>
  <si>
    <t>Date</t>
  </si>
  <si>
    <t>BLOWN UP SYLLABUS</t>
  </si>
  <si>
    <t>Topic Cover</t>
  </si>
  <si>
    <t>Student Count Online Offline</t>
  </si>
  <si>
    <t xml:space="preserve">Trainer Name </t>
  </si>
  <si>
    <t>Student Name</t>
  </si>
  <si>
    <t>II YEAR DATA ANALYTICS AI INDUSTRIAL TRAINING</t>
  </si>
  <si>
    <t>Lecturer Name:</t>
  </si>
  <si>
    <t>RTU Roll No.</t>
  </si>
  <si>
    <t xml:space="preserve">Total Present </t>
  </si>
  <si>
    <t>DA Intro &amp; Data Types &amp; Stats Intro</t>
  </si>
  <si>
    <t xml:space="preserve">Total Absent </t>
  </si>
  <si>
    <t>No. of Lectures Required: 45</t>
  </si>
  <si>
    <t xml:space="preserve">Total Class </t>
  </si>
  <si>
    <t>Attendance Percent</t>
  </si>
  <si>
    <t>Lecture No.</t>
  </si>
  <si>
    <t>BLOWN UP TOPICS</t>
  </si>
  <si>
    <t>Status</t>
  </si>
  <si>
    <t>Piyush gaur</t>
  </si>
  <si>
    <t>UNIT 1: EXCEL ADVANCED FOR DATA ANALYTICS</t>
  </si>
  <si>
    <t>Excel Cell Ref. &amp; Types &amp; Basic Formula &amp; Functions</t>
  </si>
  <si>
    <t>40 Online, 4 Offline</t>
  </si>
  <si>
    <t>Assesment 1 (Excel Advance Functions ) Out of 46</t>
  </si>
  <si>
    <t>Done</t>
  </si>
  <si>
    <t>Excel Advance Functions Logical &amp; Condition Functions</t>
  </si>
  <si>
    <t>Assesment 2 (Excel &amp; Power Automate ) Out of 40</t>
  </si>
  <si>
    <t>45 Online, 7 Offline</t>
  </si>
  <si>
    <t>1. Advanced Formulas &amp; Functions</t>
  </si>
  <si>
    <t>Assesment 3 (Basic of SQL ) Out of 40</t>
  </si>
  <si>
    <t>Assesment 4 (Join &amp; Constraints in SQL ) Out of 40</t>
  </si>
  <si>
    <t>Assesment 5 ( Subquery, Window Functions &amp; CTE) Out of 40</t>
  </si>
  <si>
    <t>Excel Lookup Functions &amp; Aggregate Cond. Functions</t>
  </si>
  <si>
    <t>Assesment 6 ( Descriptive Statistics ) Out of 40</t>
  </si>
  <si>
    <t>46 Online, 4 Offline</t>
  </si>
  <si>
    <t>1.1 Lookup Functions</t>
  </si>
  <si>
    <t>Assesment 7 ( Inferential Statistics ) Out of 40</t>
  </si>
  <si>
    <t>Assesment 8 ( Power BI &amp; Power Query Basics) Out of 40</t>
  </si>
  <si>
    <t>Assesment 9 ( Power BI Complete) Out of 40</t>
  </si>
  <si>
    <t>Excel Date Time Functions &amp; Pivot tables</t>
  </si>
  <si>
    <t>40 Online, 6 Offline</t>
  </si>
  <si>
    <t>1.1.1 VLOOKUP &amp; HLOOKUP</t>
  </si>
  <si>
    <t>Assesment 10 ( Tableau &amp; Power BI Complete) Out of 40</t>
  </si>
  <si>
    <t>Assesment 11 ( Basic of Python) Out of 40</t>
  </si>
  <si>
    <t>Assesment 12 ( Python for Data Analyst — Functions &amp; NumPy) Out of 40</t>
  </si>
  <si>
    <t>Excel Functions Assesment test</t>
  </si>
  <si>
    <t>1.1.2 INDEX + MATCH</t>
  </si>
  <si>
    <t>Assesment 13 (Pandas &amp; Matplotlib Assessment) Out of 40</t>
  </si>
  <si>
    <t>32 Online, 6 Offline</t>
  </si>
  <si>
    <t>Total Assessments Missed</t>
  </si>
  <si>
    <t>1.1.3 XLOOKUP</t>
  </si>
  <si>
    <t>Sunday</t>
  </si>
  <si>
    <t>0 Online, 0 Offline</t>
  </si>
  <si>
    <t>1.2 Logical Functions</t>
  </si>
  <si>
    <t>Excel Data Validation &amp; Cond. Formatting &amp; Visualization</t>
  </si>
  <si>
    <t>47 Online, 6 Offline</t>
  </si>
  <si>
    <t>1.2.1 IF, Nested IF, IFS</t>
  </si>
  <si>
    <t>Excel Final Session &amp; Mini Project</t>
  </si>
  <si>
    <t>47 Online, 7 Offline</t>
  </si>
  <si>
    <t>1.2.2 AND, OR, NOT, SWITCH</t>
  </si>
  <si>
    <t>1.3 Statistical Functions</t>
  </si>
  <si>
    <t>Intro to Power Automate</t>
  </si>
  <si>
    <t>51 Online, 6 Offline</t>
  </si>
  <si>
    <t>1.3.1 COUNTIF, COUNTIFS</t>
  </si>
  <si>
    <t>Aakriti Singh</t>
  </si>
  <si>
    <t>Practice on Power Automate</t>
  </si>
  <si>
    <t>24EACCS004</t>
  </si>
  <si>
    <t>49 Online, 7 Offline</t>
  </si>
  <si>
    <t>A</t>
  </si>
  <si>
    <t>1.3.2 SUMIF, SUMIFS</t>
  </si>
  <si>
    <t>Intro to DataBase &amp; DBMS &amp; SQL</t>
  </si>
  <si>
    <t>51 Online, 7 Offline</t>
  </si>
  <si>
    <t>1.3.3 AVERAGEIF, AVERAGEIFS</t>
  </si>
  <si>
    <t>Project Submission &amp; Weekly Assesment</t>
  </si>
  <si>
    <t>44 Online, 5 Offline</t>
  </si>
  <si>
    <t>1.4 Text Functions: LEFT, RIGHT, MID, TRIM, TEXTJOIN</t>
  </si>
  <si>
    <t>1.5 Date &amp; Time: TODAY, DATEDIF, NETWORKDAYS, EOMONTH</t>
  </si>
  <si>
    <t>DDL &amp; DML in SQL</t>
  </si>
  <si>
    <t>52 Online, 5 Offline</t>
  </si>
  <si>
    <t>2. Data Cleaning &amp; Validation</t>
  </si>
  <si>
    <t>DQL &amp; It's Clause in SQL</t>
  </si>
  <si>
    <t>52 Online, 8 Offline</t>
  </si>
  <si>
    <t>2.1 Remove Duplicates &amp; Flash Fill</t>
  </si>
  <si>
    <t>Join &amp; It's Types in SQL</t>
  </si>
  <si>
    <t>2.2 Data Validation</t>
  </si>
  <si>
    <t>53 Online, 8 Offline</t>
  </si>
  <si>
    <t>2.2.1 Dropdown Lists</t>
  </si>
  <si>
    <t>Constriants Primary &amp; Foreign Key &amp; SQL Assesment</t>
  </si>
  <si>
    <t>57 Online, 5 Offline</t>
  </si>
  <si>
    <t>2.2.2 Custom Validation Rules</t>
  </si>
  <si>
    <t>Sub Query &amp; Window Functions in SQL</t>
  </si>
  <si>
    <t>54 Online, 5 Offline</t>
  </si>
  <si>
    <t>2.3 Conditional Formatting</t>
  </si>
  <si>
    <t>2.3.1 Highlight Rules</t>
  </si>
  <si>
    <t>CTE &amp; View in SQL and SQL Assesment</t>
  </si>
  <si>
    <t>55 Online, 2 Offline</t>
  </si>
  <si>
    <t>2.3.2 Data Bars &amp; Icon Sets</t>
  </si>
  <si>
    <t>3. Pivot Tables &amp; Power Query</t>
  </si>
  <si>
    <t>Aayush Sharma</t>
  </si>
  <si>
    <t>SQL Mini Project &amp; Final SQL Assesment</t>
  </si>
  <si>
    <t>24EACCS006</t>
  </si>
  <si>
    <t>50 Online, 4 Offline</t>
  </si>
  <si>
    <t>3.1 Pivot Tables</t>
  </si>
  <si>
    <t>Intro to Stats &amp; Descriptive Stats</t>
  </si>
  <si>
    <t>3.1.1 Rows, Columns, Values, Filters</t>
  </si>
  <si>
    <t>56 Online, 4 Offline</t>
  </si>
  <si>
    <t>Probality in Stats &amp; Assesment on Discriptive Stats</t>
  </si>
  <si>
    <t>3.1.2 Calculated Fields</t>
  </si>
  <si>
    <t>47 Online, 4 Offline</t>
  </si>
  <si>
    <t>Inferential Stats in Data Analytics</t>
  </si>
  <si>
    <t>3.1.3 Slicers &amp; Timelines</t>
  </si>
  <si>
    <t>51 Online, 3 Offline</t>
  </si>
  <si>
    <t>3.2 Power Query Basics</t>
  </si>
  <si>
    <t>Final Session of Stats in Data Analytics</t>
  </si>
  <si>
    <t>49 Online, 4 Offline</t>
  </si>
  <si>
    <t>3.2.1 Import &amp; Transform Data</t>
  </si>
  <si>
    <t>Intro to Power Bi &amp; Assesment of Inferential Stats</t>
  </si>
  <si>
    <t>55 Online, 6 Offline</t>
  </si>
  <si>
    <t>Aayushman brahmbhatt</t>
  </si>
  <si>
    <t>3.2.2 Merge &amp; Append Queries</t>
  </si>
  <si>
    <t>24EACCS007</t>
  </si>
  <si>
    <t>3.2.3 Data Type Conversion</t>
  </si>
  <si>
    <t>Data Load &amp; Power Query Editor in Power Bi</t>
  </si>
  <si>
    <t>4. Charts &amp; Interactive Dashboard</t>
  </si>
  <si>
    <t>4.1 Chart Types</t>
  </si>
  <si>
    <t>Data Profiling &amp; Data Modeling in Power Bi</t>
  </si>
  <si>
    <t>51 Online, 5 Offline</t>
  </si>
  <si>
    <t>4.1.1 Bar, Line, Pie, Scatter</t>
  </si>
  <si>
    <t>DAX in Power Bi &amp; Assesment of Power Query Editor</t>
  </si>
  <si>
    <t>4.1.2 Combo &amp; Waterfall Charts</t>
  </si>
  <si>
    <t>48 Online, 5 Offline</t>
  </si>
  <si>
    <t>4.2 Interactive Dashboard</t>
  </si>
  <si>
    <t>Abhay Singh rathore</t>
  </si>
  <si>
    <t>24EACIT002</t>
  </si>
  <si>
    <t>4.2.1 Linking Charts to Pivot Tables</t>
  </si>
  <si>
    <t xml:space="preserve">Measures in Power Bi </t>
  </si>
  <si>
    <t>4.2.2 Slicers for Interactivity</t>
  </si>
  <si>
    <t>4.2.3 Layout &amp; Design Tips</t>
  </si>
  <si>
    <t>Visualization in Power Bi</t>
  </si>
  <si>
    <t>54 Online, 3 Offline</t>
  </si>
  <si>
    <t>📁 MINI PROJECT: Sales Performance Dashboard (Half Day)</t>
  </si>
  <si>
    <t>Amit kumar</t>
  </si>
  <si>
    <t>Real Dataset: Data Cleaning + Pivot Analysis</t>
  </si>
  <si>
    <t>Mini Project in Power BI &amp; Assesment of Power BI</t>
  </si>
  <si>
    <t>53 Online, 2 Offline</t>
  </si>
  <si>
    <t>Interactive Dashboard Building &amp; Insights</t>
  </si>
  <si>
    <t>24EACAD008</t>
  </si>
  <si>
    <t>UNIT 2: POWER AUTOMATE</t>
  </si>
  <si>
    <t>1. Introduction to Power Automate</t>
  </si>
  <si>
    <t>2A</t>
  </si>
  <si>
    <t>1.1 What is Power Automate</t>
  </si>
  <si>
    <t>1.2 Power Automate vs Traditional Automation</t>
  </si>
  <si>
    <t>1.3 Types of Flows</t>
  </si>
  <si>
    <t>1.3.1 Cloud Flows</t>
  </si>
  <si>
    <t>1.3.2 Desktop Flows</t>
  </si>
  <si>
    <t>Tableau in Data Analytics</t>
  </si>
  <si>
    <t>1.3.3 Business Process Flows</t>
  </si>
  <si>
    <t>53 Online, 4 Offline</t>
  </si>
  <si>
    <t>1.4 Power Automate Interface Overview</t>
  </si>
  <si>
    <t>2. Triggers &amp; Actions</t>
  </si>
  <si>
    <t>Project Discussion &amp; Assesment of Tableau &amp; Power Bi</t>
  </si>
  <si>
    <t>2.1 Types of Triggers</t>
  </si>
  <si>
    <t>54 Online, 1 Offline</t>
  </si>
  <si>
    <t>2.1.1 Automated Trigger</t>
  </si>
  <si>
    <t>2.1.2 Instant Trigger</t>
  </si>
  <si>
    <t>2.1.3 Scheduled Trigger</t>
  </si>
  <si>
    <t>2.2 Actions — Single &amp; Chained</t>
  </si>
  <si>
    <t>Intro to Python in Data Analytics</t>
  </si>
  <si>
    <t>2.3 Conditions &amp; Branching</t>
  </si>
  <si>
    <t>54 Online, 4 Offline</t>
  </si>
  <si>
    <t>Anjali Sharma</t>
  </si>
  <si>
    <t>24eaccs039</t>
  </si>
  <si>
    <t>2.3.1 If Yes / If No Logic</t>
  </si>
  <si>
    <t>2.4 Loops</t>
  </si>
  <si>
    <t>Data Types in Python &amp; Operators in Python</t>
  </si>
  <si>
    <t>2.4.1 Apply to Each</t>
  </si>
  <si>
    <t>55 Online, 3 Offline</t>
  </si>
  <si>
    <t>2.4.2 Do Until</t>
  </si>
  <si>
    <t>3. Connectors &amp; Integrations</t>
  </si>
  <si>
    <t>Conditional Statement &amp; Loops in Python</t>
  </si>
  <si>
    <t>3.1 Standard Connectors</t>
  </si>
  <si>
    <t>57 Online, 2 Offline</t>
  </si>
  <si>
    <t>3.1.1 Outlook — Email Automation</t>
  </si>
  <si>
    <t>3.1.2 Excel Online — Data Automation</t>
  </si>
  <si>
    <t>Basic Python Assesment</t>
  </si>
  <si>
    <t>3.1.3 SharePoint — List Automation</t>
  </si>
  <si>
    <t>59 Online, 0 Offline</t>
  </si>
  <si>
    <t>3.1.4 Teams — Notification Automation</t>
  </si>
  <si>
    <t>3.2 Dynamic Content &amp; Expressions Basics</t>
  </si>
  <si>
    <t>SUNDAY</t>
  </si>
  <si>
    <t>Ankit Jangir</t>
  </si>
  <si>
    <t>Funtions in Python and Intro to Numpy</t>
  </si>
  <si>
    <t>4. Building Practical Flows</t>
  </si>
  <si>
    <t>47 Online, 2 Offline</t>
  </si>
  <si>
    <t>24EACAD011</t>
  </si>
  <si>
    <t>4.1 Automated Email Flow</t>
  </si>
  <si>
    <t>4.2 Form to Excel Data Collection</t>
  </si>
  <si>
    <t>4.3 Scheduled Report Flow</t>
  </si>
  <si>
    <t>4.4 Approval Workflow</t>
  </si>
  <si>
    <t>4.5 Error Handling in Flows</t>
  </si>
  <si>
    <t>P</t>
  </si>
  <si>
    <t>Numpy &amp; Pandas in  Python</t>
  </si>
  <si>
    <t>📁 MINI PROJECT: Automated Email Report Flow (Half Day)</t>
  </si>
  <si>
    <t>Pandas &amp; Visualization in Python</t>
  </si>
  <si>
    <t>52 Online, 3 Offline</t>
  </si>
  <si>
    <t>Form Submission → Excel Entry → Auto Email Notification</t>
  </si>
  <si>
    <t>EDA &amp; Mini Project using Python</t>
  </si>
  <si>
    <t>46 Online, 2 Offline</t>
  </si>
  <si>
    <t>Intro To Machine Learning Day 1</t>
  </si>
  <si>
    <t>51 Online, 0 Offline</t>
  </si>
  <si>
    <t>🔴 TEST 1: Excel Advanced + Power Automate (Half Day)</t>
  </si>
  <si>
    <t>Intro To Machine Learning Day 2</t>
  </si>
  <si>
    <t>41 Online, 0 Offline</t>
  </si>
  <si>
    <t>MCQ (15 Marks) + Practical Task (35 Marks)</t>
  </si>
  <si>
    <t>Anshika singhal</t>
  </si>
  <si>
    <t>24EACAD014</t>
  </si>
  <si>
    <t>Duration: 1 to 1.5 Hours</t>
  </si>
  <si>
    <t>AI in Anlaytics &amp; Prompt Engineering</t>
  </si>
  <si>
    <t>🏭 INDUSTRY LECTURE 1 (Half Day)</t>
  </si>
  <si>
    <t>46 Online, 0 Offline</t>
  </si>
  <si>
    <t>Final Capstone Project Assigning Session</t>
  </si>
  <si>
    <t>Topic: How Data Analytics is Used in Real Industry</t>
  </si>
  <si>
    <t>45 Online, 0 Offline</t>
  </si>
  <si>
    <t>Format: 1 Hour Guest Lecture + Q&amp;A</t>
  </si>
  <si>
    <t>Final Session of Data Analytics Internship</t>
  </si>
  <si>
    <t>40 Online, 0 Offline</t>
  </si>
  <si>
    <t>UNIT 3: SQL FOR DATA ANALYTICS</t>
  </si>
  <si>
    <t>Anushka kulshrestha</t>
  </si>
  <si>
    <t>24eaccs050</t>
  </si>
  <si>
    <t>1. Database Fundamentals</t>
  </si>
  <si>
    <t>1.1 What is a Database &amp; RDBMS</t>
  </si>
  <si>
    <t>1.2 Tables, Rows, Columns</t>
  </si>
  <si>
    <t>1.3 Primary Key &amp; Foreign Key</t>
  </si>
  <si>
    <t>1.4 SQL vs NoSQL</t>
  </si>
  <si>
    <t>1.5 Setting up MySQL / PostgreSQL</t>
  </si>
  <si>
    <t>2. DDL &amp; DML</t>
  </si>
  <si>
    <t>2.1 DDL — Data Definition Language</t>
  </si>
  <si>
    <t>2.1.1 CREATE TABLE with Data Types</t>
  </si>
  <si>
    <t>Balkrishan Goutam</t>
  </si>
  <si>
    <t>2.1.2 Constraints: NOT NULL, UNIQUE, DEFAULT</t>
  </si>
  <si>
    <t>24EACAD019</t>
  </si>
  <si>
    <t>2.1.3 ALTER, DROP, TRUNCATE, RENAME</t>
  </si>
  <si>
    <t>2.2 DML — Data Manipulation Language</t>
  </si>
  <si>
    <t>4A</t>
  </si>
  <si>
    <t>2.2.1 INSERT INTO (Single &amp; Multiple)</t>
  </si>
  <si>
    <t>2.2.2 UPDATE with WHERE</t>
  </si>
  <si>
    <t>2.2.3 DELETE with Condition</t>
  </si>
  <si>
    <t>3. Data Querying — DQL</t>
  </si>
  <si>
    <t>3.1 SELECT Statement</t>
  </si>
  <si>
    <t>3.1.1 SELECT *, Specific Columns, Aliases</t>
  </si>
  <si>
    <t>3.2 WHERE Clause</t>
  </si>
  <si>
    <t>Chandan Gautam</t>
  </si>
  <si>
    <t>3.2.1 Comparison &amp; Logical Operators</t>
  </si>
  <si>
    <t>24EACCS073</t>
  </si>
  <si>
    <t>3.2.2 BETWEEN, IN, LIKE, IS NULL</t>
  </si>
  <si>
    <t>3.3 ORDER BY, LIMIT, DISTINCT</t>
  </si>
  <si>
    <t>4. Aggregate Functions &amp; GROUP BY</t>
  </si>
  <si>
    <t>4.1 COUNT, SUM, AVG, MIN, MAX</t>
  </si>
  <si>
    <t>4.2 GROUP BY Clause</t>
  </si>
  <si>
    <t>4.3 HAVING Clause</t>
  </si>
  <si>
    <t>4.3.1 WHERE vs HAVING</t>
  </si>
  <si>
    <t>5. JOINS — Part 1</t>
  </si>
  <si>
    <t>5.1 Introduction to Joins</t>
  </si>
  <si>
    <t>DAKSH TANWAR</t>
  </si>
  <si>
    <t>5.2 INNER JOIN</t>
  </si>
  <si>
    <t>24EACAD024</t>
  </si>
  <si>
    <t>5.3 LEFT JOIN</t>
  </si>
  <si>
    <t>5.4 RIGHT JOIN</t>
  </si>
  <si>
    <t>5. JOINS — Part 2</t>
  </si>
  <si>
    <t>5.5 FULL OUTER JOIN</t>
  </si>
  <si>
    <t>5.6 SELF JOIN &amp; CROSS JOIN</t>
  </si>
  <si>
    <t>5.7 Multiple Table Joins</t>
  </si>
  <si>
    <t>6. Subqueries</t>
  </si>
  <si>
    <t>6.1 Single &amp; Multi Row Subqueries</t>
  </si>
  <si>
    <t>6.2 Correlated Subquery</t>
  </si>
  <si>
    <t>Deepesh Choudhary</t>
  </si>
  <si>
    <t>6.3 Subquery in SELECT, WHERE, FROM</t>
  </si>
  <si>
    <t>24EACCS084</t>
  </si>
  <si>
    <t>7. Window Functions</t>
  </si>
  <si>
    <t>7.1 ROW_NUMBER(), RANK(), DENSE_RANK()</t>
  </si>
  <si>
    <t>7.2 LEAD() &amp; LAG()</t>
  </si>
  <si>
    <t>7.3 SUM() OVER, AVG() OVER, PARTITION BY</t>
  </si>
  <si>
    <t>8. Views &amp; CTEs</t>
  </si>
  <si>
    <t>8.1 Creating &amp; Updatable Views</t>
  </si>
  <si>
    <t>8.2 CTE — WITH Clause</t>
  </si>
  <si>
    <t>8.2.1 Simple CTE</t>
  </si>
  <si>
    <t>Dev</t>
  </si>
  <si>
    <t>8.2.2 Recursive CTE</t>
  </si>
  <si>
    <t>24EACCA020</t>
  </si>
  <si>
    <t>📁 MINI PROJECT: E-Commerce Sales SQL Analysis (Half Day)</t>
  </si>
  <si>
    <t>Schema Design + Complex Queries + Sales &amp; Customer Reports</t>
  </si>
  <si>
    <t>🔴 TEST 2: SQL for Data Analytics (Half Day)</t>
  </si>
  <si>
    <t>MCQ (15 Marks) + Query Writing (35 Marks)</t>
  </si>
  <si>
    <t>🏭 INDUSTRY LECTURE 2 (1 Hour)</t>
  </si>
  <si>
    <t>Dhairya kumawat</t>
  </si>
  <si>
    <t>24EACCA023</t>
  </si>
  <si>
    <t>Topic: SQL in Data Engineering &amp; Business Intelligence</t>
  </si>
  <si>
    <t>Format: Guest Lecture + Q&amp;A</t>
  </si>
  <si>
    <t>UNIT 4: STATISTICS FOR DATA ANALYTICS</t>
  </si>
  <si>
    <t>1. Descriptive Statistics</t>
  </si>
  <si>
    <t>1.1 Measures of Central Tendency</t>
  </si>
  <si>
    <t>1.1.1 Mean, Median, Mode</t>
  </si>
  <si>
    <t>1.1.2 When to Use Which</t>
  </si>
  <si>
    <t>Dhruv Sharma</t>
  </si>
  <si>
    <t>24EACCS096</t>
  </si>
  <si>
    <t>1.2 Measures of Dispersion</t>
  </si>
  <si>
    <t>1.2.1 Range, Variance, Standard Deviation</t>
  </si>
  <si>
    <t>1.2.2 IQR (Interquartile Range)</t>
  </si>
  <si>
    <t>1.3 Skewness &amp; Kurtosis</t>
  </si>
  <si>
    <t>OP</t>
  </si>
  <si>
    <t>1.4 Five Number Summary</t>
  </si>
  <si>
    <t>1.5 Outlier Detection: IQR Method &amp; Z-Score Method</t>
  </si>
  <si>
    <t>2. Probability</t>
  </si>
  <si>
    <t>GAURAV GUPTA</t>
  </si>
  <si>
    <t>24EACCA029</t>
  </si>
  <si>
    <t>2.1 Basic Concepts: Events, Sample Space</t>
  </si>
  <si>
    <t>2.2 Rules of Probability</t>
  </si>
  <si>
    <t xml:space="preserve">PROJECT 1 (Project Title ) Out of </t>
  </si>
  <si>
    <t>2.2.1 Addition Rule</t>
  </si>
  <si>
    <t xml:space="preserve">PROJECT 2 (Project Title ) Out of </t>
  </si>
  <si>
    <t>2.2.2 Multiplication Rule</t>
  </si>
  <si>
    <t>Zomato Indian Cities Deep Drive</t>
  </si>
  <si>
    <t>Insulin &amp; Diabetes Pedigree Analysis</t>
  </si>
  <si>
    <t>2.3 Conditional Probability</t>
  </si>
  <si>
    <t>Discount Impact Study analysis</t>
  </si>
  <si>
    <t>Full Power Bi Executive Dashboard</t>
  </si>
  <si>
    <t>2.4 Bayes Theorem</t>
  </si>
  <si>
    <t>Online Delivery &amp; Table booking Analysis</t>
  </si>
  <si>
    <t>Happiness Policy Insights Dashboard</t>
  </si>
  <si>
    <t>3. Probability Distributions</t>
  </si>
  <si>
    <t>3.1 Normal Distribution</t>
  </si>
  <si>
    <t>Movies v/s TV shows Analysis</t>
  </si>
  <si>
    <t>Most Sucessful IPL Teams win analysis</t>
  </si>
  <si>
    <t>Hardik Kumawat</t>
  </si>
  <si>
    <t>3.1.1 Bell Curve &amp; Properties</t>
  </si>
  <si>
    <t>24EACCS107</t>
  </si>
  <si>
    <t>3.1.2 68-95-99.7 Rule</t>
  </si>
  <si>
    <t>3.1.3 Standard Normal &amp; Z-Score</t>
  </si>
  <si>
    <t>3.2 Binomial Distribution</t>
  </si>
  <si>
    <t>Netflix India Content Deep Drive</t>
  </si>
  <si>
    <t>3.3 Poisson Distribution</t>
  </si>
  <si>
    <t>Price Range &amp; Value for Money Analysis</t>
  </si>
  <si>
    <t>Work-Life Balance &amp; Satisfaction Analysis</t>
  </si>
  <si>
    <t>4. Hypothesis Testing</t>
  </si>
  <si>
    <t>4.1 Null &amp; Alternate Hypothesis</t>
  </si>
  <si>
    <t>COVID Economic Impact Dashboard</t>
  </si>
  <si>
    <t>Movie Duration &amp; TV Show Seasons Analysis</t>
  </si>
  <si>
    <t>4.2 p-value &amp; Significance Level</t>
  </si>
  <si>
    <t>4.3 Type I &amp; Type II Errors</t>
  </si>
  <si>
    <t>4.4 t-test</t>
  </si>
  <si>
    <t>Global Covid 19 Cases Trend Analysis</t>
  </si>
  <si>
    <t>Top Countries Producing Netflix Content</t>
  </si>
  <si>
    <t>4.4.1 One Sample t-test</t>
  </si>
  <si>
    <t>Covid 19 world data Analysis</t>
  </si>
  <si>
    <t>4.4.2 Two Sample t-test</t>
  </si>
  <si>
    <t>4.5 Chi-Square Test</t>
  </si>
  <si>
    <t>4.6 ANOVA Basics</t>
  </si>
  <si>
    <t>Hardik Pandita</t>
  </si>
  <si>
    <t>Restaurant Ratings Analysis</t>
  </si>
  <si>
    <t>24EACIT014</t>
  </si>
  <si>
    <t>5. Correlation &amp; Regression</t>
  </si>
  <si>
    <t>5.1 Pearson Correlation</t>
  </si>
  <si>
    <t>Profit &amp; Loss Analysis by Category and Region</t>
  </si>
  <si>
    <t>5.2 Spearman Correlation</t>
  </si>
  <si>
    <t>5.3 Correlation vs Causation</t>
  </si>
  <si>
    <t>5.4 Simple Linear Regression</t>
  </si>
  <si>
    <t>Superstore Sales Dashboard</t>
  </si>
  <si>
    <t>House Prices - Advanced Regresion Analysis</t>
  </si>
  <si>
    <t>5.4.1 Equation &amp; Interpretation</t>
  </si>
  <si>
    <t>5.4.2 R² Value</t>
  </si>
  <si>
    <t>🔴 TEST 3: Statistics for Data Analytics (Half Day)</t>
  </si>
  <si>
    <t>House Price Predicition Analysis</t>
  </si>
  <si>
    <t>MCQ (20 Marks) + Problem Solving (30 Marks)</t>
  </si>
  <si>
    <t>Sales Analysis Dashboard</t>
  </si>
  <si>
    <t>Harshad Bhargav</t>
  </si>
  <si>
    <t>24EACCS113</t>
  </si>
  <si>
    <t>HR-Dashboard Attrition Risk Report</t>
  </si>
  <si>
    <t>Note: No Mini Project for Statistics Unit</t>
  </si>
  <si>
    <t>Hemang Gaur</t>
  </si>
  <si>
    <t>🏭 INDUSTRY LECTURE 3 (1 Hour)</t>
  </si>
  <si>
    <t>24EACCS118</t>
  </si>
  <si>
    <t>Hitesh Sharma</t>
  </si>
  <si>
    <t>Topic: Statistics &amp; A/B Testing in Product &amp; Marketing Analytics</t>
  </si>
  <si>
    <t>UNIT 5: POWER BI &amp; TABLEAU</t>
  </si>
  <si>
    <t>1. Introduction to Power BI</t>
  </si>
  <si>
    <t>3A</t>
  </si>
  <si>
    <t>1.1 Power BI Desktop vs Service vs Mobile</t>
  </si>
  <si>
    <t>1.2 Report View, Data View, Model View</t>
  </si>
  <si>
    <t>24EACCS124</t>
  </si>
  <si>
    <t>1.3 Fields, Visualizations, Filters Pane</t>
  </si>
  <si>
    <t>Global Covid 19 cases Trend Analysis</t>
  </si>
  <si>
    <t>1.4 Power BI Workflow</t>
  </si>
  <si>
    <t>2. Connecting Data Sources</t>
  </si>
  <si>
    <t>2.1 Connect to Excel, CSV, SQL Database</t>
  </si>
  <si>
    <t>2.2 Import vs DirectQuery vs Live Connection</t>
  </si>
  <si>
    <t>Ishant Sharma</t>
  </si>
  <si>
    <t>24EACCA035</t>
  </si>
  <si>
    <t>3. Power Query — Data Transformation</t>
  </si>
  <si>
    <t>JATIN KHYANI</t>
  </si>
  <si>
    <t>3.1 Power Query Editor Interface</t>
  </si>
  <si>
    <t>3.2 Removing Rows, Columns &amp; Data Type Changes</t>
  </si>
  <si>
    <t>24EACCS132</t>
  </si>
  <si>
    <t>Superstore Sales- Full Power Bi Executive Dashboard</t>
  </si>
  <si>
    <t>3.3 Split, Merge &amp; Conditional Columns</t>
  </si>
  <si>
    <t>HR Attrition Risk Dashboard</t>
  </si>
  <si>
    <t>3.4 Append &amp; Merge Queries</t>
  </si>
  <si>
    <t>Jeenal Suthar</t>
  </si>
  <si>
    <t>24EACCS136</t>
  </si>
  <si>
    <t>4. Data Modeling</t>
  </si>
  <si>
    <t>House Prices- Neighbourhood Price Analysis</t>
  </si>
  <si>
    <t>Karishma</t>
  </si>
  <si>
    <t>24EACCS142</t>
  </si>
  <si>
    <t>4.1 Star Schema &amp; Snowflake Schema</t>
  </si>
  <si>
    <t>4.2 Creating Relationships</t>
  </si>
  <si>
    <t>Kinjal Goyal</t>
  </si>
  <si>
    <t>24EACCSI50</t>
  </si>
  <si>
    <t>4.2.1 One-to-Many</t>
  </si>
  <si>
    <t>4.2.2 Many-to-Many</t>
  </si>
  <si>
    <t>4.3 Cardinality &amp; Cross Filter Direction</t>
  </si>
  <si>
    <t>Genre Trend Analysis</t>
  </si>
  <si>
    <t>4.4 Calculated Columns vs Measures</t>
  </si>
  <si>
    <t>Kishan Pandey</t>
  </si>
  <si>
    <t>24EACCS151</t>
  </si>
  <si>
    <t>House Price Prediction</t>
  </si>
  <si>
    <t>Sales Analytics Dashboard</t>
  </si>
  <si>
    <t>5. DAX — Data Analysis Expressions Part 1</t>
  </si>
  <si>
    <t>Komal Sain</t>
  </si>
  <si>
    <t>24EACAD046</t>
  </si>
  <si>
    <t>5.1 Introduction to DAX</t>
  </si>
  <si>
    <t>Covid Economic Impact Dashboard</t>
  </si>
  <si>
    <t>5.2 Basic Functions</t>
  </si>
  <si>
    <t>Kripa Sharma</t>
  </si>
  <si>
    <t>24EACCS152</t>
  </si>
  <si>
    <t>5.2.1 SUM, AVERAGE, COUNT, DISTINCTCOUNT</t>
  </si>
  <si>
    <t>Content Distribution: Movies v/s TV shows</t>
  </si>
  <si>
    <t>5.2.2 MAX, MIN</t>
  </si>
  <si>
    <t>Krish Garg</t>
  </si>
  <si>
    <t>24EACCS153</t>
  </si>
  <si>
    <t>5.3 Logical Functions: IF, SWITCH</t>
  </si>
  <si>
    <t>Krishlay pandey</t>
  </si>
  <si>
    <t>24EACCS156</t>
  </si>
  <si>
    <t>5.4 Filter Functions</t>
  </si>
  <si>
    <t>5.4.1 CALCULATE</t>
  </si>
  <si>
    <t>Lokesh Kumar Aloria</t>
  </si>
  <si>
    <t>24EACAD049</t>
  </si>
  <si>
    <t>5.4.2 FILTER</t>
  </si>
  <si>
    <t>5.4.3 ALL, ALLEXCEPT</t>
  </si>
  <si>
    <t>Mayank Panchal</t>
  </si>
  <si>
    <t>24EACIT022</t>
  </si>
  <si>
    <t>5. DAX — Data Analysis Expressions Part 2</t>
  </si>
  <si>
    <t>Mohammad Armaan</t>
  </si>
  <si>
    <t>24EACCS189</t>
  </si>
  <si>
    <t>5.5 Time Intelligence Functions</t>
  </si>
  <si>
    <t>Survival Rate Analysis by Class &amp; Gender</t>
  </si>
  <si>
    <t>Content Distribution (Movies v/s TV shows)</t>
  </si>
  <si>
    <t>5.5.1 TOTALYTD, TOTALQTD</t>
  </si>
  <si>
    <t>Naveen Sharma</t>
  </si>
  <si>
    <t>24EACAD062</t>
  </si>
  <si>
    <t>5.5.2 SAMEPERIODLASTYEAR</t>
  </si>
  <si>
    <t>Toss Decision Impact on Match Outcome Analysis</t>
  </si>
  <si>
    <t>Profit &amp; Loss analysis by Category and Region</t>
  </si>
  <si>
    <t>5.5.3 DATEADD</t>
  </si>
  <si>
    <t>Neeraj kumar meena</t>
  </si>
  <si>
    <t>24EACCS605</t>
  </si>
  <si>
    <t>5.6 Iterator Functions</t>
  </si>
  <si>
    <t>5.6.1 SUMX, AVERAGEX</t>
  </si>
  <si>
    <t>5.6.2 RANKX</t>
  </si>
  <si>
    <t>Employee Attrition Rate Analysis</t>
  </si>
  <si>
    <t>6. Visualizations &amp; Dashboard — Power BI</t>
  </si>
  <si>
    <t>Nikhil Jangid</t>
  </si>
  <si>
    <t>6.1 Bar, Line, Pie, Scatter, Treemap Charts</t>
  </si>
  <si>
    <t>24EACCS607</t>
  </si>
  <si>
    <t>6.2 Tables, Matrix, Card &amp; KPI Visual</t>
  </si>
  <si>
    <t>6.3 Map Visual &amp; Slicers</t>
  </si>
  <si>
    <t>6.4 Drill Through &amp; Drill Down</t>
  </si>
  <si>
    <t>Nikhil Singh</t>
  </si>
  <si>
    <t>24EACCS611</t>
  </si>
  <si>
    <t>6.5 Bookmarks, Buttons &amp; Tooltips</t>
  </si>
  <si>
    <t>Nipun Ram</t>
  </si>
  <si>
    <t>7. Introduction to Tableau</t>
  </si>
  <si>
    <t>24EACCS613</t>
  </si>
  <si>
    <t>IPL Season Trend &amp; Super Over Analysis</t>
  </si>
  <si>
    <t>7.1 Tableau vs Power BI — When to Use What</t>
  </si>
  <si>
    <t>Nitesh</t>
  </si>
  <si>
    <t>7.2 Tableau Interface</t>
  </si>
  <si>
    <t>24EACAD067</t>
  </si>
  <si>
    <t>7.2.1 Data Pane, Marks Card, Shelf</t>
  </si>
  <si>
    <t>Nitesh Kumar Verma</t>
  </si>
  <si>
    <t>7.2.2 Dimensions vs Measures</t>
  </si>
  <si>
    <t>24EACAD068</t>
  </si>
  <si>
    <t>Profit &amp; Loss Analysis by Category &amp; Region</t>
  </si>
  <si>
    <t>7.3 Connecting Data Sources in Tableau</t>
  </si>
  <si>
    <t>Happiest Countries Ranking Analysis</t>
  </si>
  <si>
    <t>8. Building Visualizations in Tableau</t>
  </si>
  <si>
    <t>Payal Kumari</t>
  </si>
  <si>
    <t>8.1 Bar, Line, Pie, Scatter Charts</t>
  </si>
  <si>
    <t>24EACCS628</t>
  </si>
  <si>
    <t>Diabetes Rate &amp; Demographic Analysis</t>
  </si>
  <si>
    <t>8.2 Maps in Tableau</t>
  </si>
  <si>
    <t>Prakhar raj</t>
  </si>
  <si>
    <t>8.3 Calculated Fields &amp; Filters</t>
  </si>
  <si>
    <t>24EACAD073</t>
  </si>
  <si>
    <t>8.4 Parameters in Tableau</t>
  </si>
  <si>
    <t>Top Countries Producing Netflix Content Analysis</t>
  </si>
  <si>
    <t>Priyanshi gupta</t>
  </si>
  <si>
    <t>24EACCS647</t>
  </si>
  <si>
    <t>9. Dashboard &amp; Story — Tableau</t>
  </si>
  <si>
    <t>9.1 Creating Dashboard in Tableau</t>
  </si>
  <si>
    <t>Priyanshi Jaiswal</t>
  </si>
  <si>
    <t>9.2 Actions &amp; Interactivity</t>
  </si>
  <si>
    <t>24EACCS648</t>
  </si>
  <si>
    <t>9.3 Story Points</t>
  </si>
  <si>
    <t>9.4 Power BI vs Tableau Comparison</t>
  </si>
  <si>
    <t>Ritesh kumawat</t>
  </si>
  <si>
    <t>24EACCS661</t>
  </si>
  <si>
    <t>Rohit Kumawat</t>
  </si>
  <si>
    <t>📁 MINI PROJECT: HR Analytics Dashboard (Half Day)</t>
  </si>
  <si>
    <t>24EACCS662</t>
  </si>
  <si>
    <t>IPL Cricket Analysis</t>
  </si>
  <si>
    <t>Power BI: Full Dashboard with DAX Measures</t>
  </si>
  <si>
    <t>Rohit Rawat</t>
  </si>
  <si>
    <t>Tableau: Comparative Visualization View</t>
  </si>
  <si>
    <t>24EACAD083</t>
  </si>
  <si>
    <t>🔴 TEST 4: Power BI + Tableau (Half Day)</t>
  </si>
  <si>
    <t>Rohit Singh Shekhawat</t>
  </si>
  <si>
    <t>24EACCS664</t>
  </si>
  <si>
    <t>MCQ (15 Marks) + Practical Dashboard Task (35 Marks)</t>
  </si>
  <si>
    <t>Player of the Match Analysis</t>
  </si>
  <si>
    <t>Roshan lal yadav</t>
  </si>
  <si>
    <t>24EACCS667</t>
  </si>
  <si>
    <t>🏭 INDUSTRY LECTURE 4 (1 Hour)</t>
  </si>
  <si>
    <t>sachin saxena</t>
  </si>
  <si>
    <t>24EACCS670</t>
  </si>
  <si>
    <t>Topic: BI Tools in Corporate Reporting &amp; Decision Making</t>
  </si>
  <si>
    <t>Sahil Khan</t>
  </si>
  <si>
    <t>24EACIT029</t>
  </si>
  <si>
    <t>Sakshi kori</t>
  </si>
  <si>
    <t>24EACCS674</t>
  </si>
  <si>
    <t>Shivam Maurya</t>
  </si>
  <si>
    <t>24EACCS691</t>
  </si>
  <si>
    <t>UNIT 6: PYTHON FOR DATA ANALYTICS</t>
  </si>
  <si>
    <t>Customer Segment Analysis</t>
  </si>
  <si>
    <t>1. Python Fundamentals — Part 1</t>
  </si>
  <si>
    <t>Attrition Risk Report</t>
  </si>
  <si>
    <t>Shivam Sahu</t>
  </si>
  <si>
    <t>1.1 Environment Setup</t>
  </si>
  <si>
    <t>24EACCA091</t>
  </si>
  <si>
    <t>1.1.1 Anaconda &amp; Jupyter Notebook</t>
  </si>
  <si>
    <t>Suraj Choudhary</t>
  </si>
  <si>
    <t>1.1.2 Google Colab</t>
  </si>
  <si>
    <t>24EACCS710</t>
  </si>
  <si>
    <t>1.2 Variables, Data Types &amp; Type Conversion</t>
  </si>
  <si>
    <t>Suraj kumar</t>
  </si>
  <si>
    <t>1.3 Data Structures</t>
  </si>
  <si>
    <t>24EACCS711</t>
  </si>
  <si>
    <t>1.3.1 Lists, Tuples, Sets</t>
  </si>
  <si>
    <t>Suraj yadav</t>
  </si>
  <si>
    <t>1.3.2 Dictionaries</t>
  </si>
  <si>
    <t>24EACAD094</t>
  </si>
  <si>
    <t>1. Python Fundamentals — Part 2</t>
  </si>
  <si>
    <t>Tanmay Sharma</t>
  </si>
  <si>
    <t>1.4 Control Flow</t>
  </si>
  <si>
    <t>24EACIT031</t>
  </si>
  <si>
    <t>1.4.1 if / elif / else</t>
  </si>
  <si>
    <t>Tarun singh</t>
  </si>
  <si>
    <t>1.4.2 for &amp; while Loop</t>
  </si>
  <si>
    <t>24EACCS717</t>
  </si>
  <si>
    <t>Movie Duration &amp; TV show Seasons Analysis</t>
  </si>
  <si>
    <t>1.5 Functions</t>
  </si>
  <si>
    <t>Vineet Faujdar</t>
  </si>
  <si>
    <t>24EACAD099</t>
  </si>
  <si>
    <t>1.5.1 def, Arguments, Return</t>
  </si>
  <si>
    <t>1.5.2 Lambda, Map, Filter</t>
  </si>
  <si>
    <t>Vishwranjan</t>
  </si>
  <si>
    <t>24EACAD100</t>
  </si>
  <si>
    <t>2. NumPy</t>
  </si>
  <si>
    <t>Netflix Movies &amp; TV Shows Analysis</t>
  </si>
  <si>
    <t>Covid 19 World Data Helthcare/Epidemiology Analysis</t>
  </si>
  <si>
    <t>2.1 Arrays vs Lists</t>
  </si>
  <si>
    <t>Vivek</t>
  </si>
  <si>
    <t>24EACAD101</t>
  </si>
  <si>
    <t>2.2 Array Creation: zeros(), ones(), arange(), linspace()</t>
  </si>
  <si>
    <t>Vivek Pandey</t>
  </si>
  <si>
    <t>2.3 Arithmetic Operations &amp; Broadcasting</t>
  </si>
  <si>
    <t>24EACCS752</t>
  </si>
  <si>
    <t>House Price Prediction Analysis</t>
  </si>
  <si>
    <t>2.4 Indexing, Slicing, Reshaping</t>
  </si>
  <si>
    <t>2.5 Statistical Functions: mean(), std(), median()</t>
  </si>
  <si>
    <t>Yachana Gupta</t>
  </si>
  <si>
    <t>24EACCS753</t>
  </si>
  <si>
    <t>3. Pandas — Part 1</t>
  </si>
  <si>
    <t>3.1 Series &amp; DataFrame</t>
  </si>
  <si>
    <t>3.2 Loading Data: read_csv(), read_excel()</t>
  </si>
  <si>
    <t>3.3 Data Exploration</t>
  </si>
  <si>
    <t>3.3.1 head(), tail(), info(), describe()</t>
  </si>
  <si>
    <t>3.3.2 shape, dtypes, columns</t>
  </si>
  <si>
    <t>3.4 Data Cleaning</t>
  </si>
  <si>
    <t>3.4.1 isnull(), dropna(), fillna()</t>
  </si>
  <si>
    <t>3.4.2 drop_duplicates(), rename(), astype()</t>
  </si>
  <si>
    <t>3. Pandas — Part 2</t>
  </si>
  <si>
    <t>3.5 Data Transformation</t>
  </si>
  <si>
    <t>3.5.1 Filtering &amp; Sorting</t>
  </si>
  <si>
    <t>3.5.2 GroupBy &amp; Aggregation</t>
  </si>
  <si>
    <t>3.5.3 apply(), map()</t>
  </si>
  <si>
    <t>3.6 Merging &amp; Joining: merge(), concat()</t>
  </si>
  <si>
    <t>3.7 Pivot Tables in Pandas</t>
  </si>
  <si>
    <t>4. Data Visualization</t>
  </si>
  <si>
    <t>4.1 Matplotlib</t>
  </si>
  <si>
    <t>4.1.1 Line, Bar, Scatter, Histogram</t>
  </si>
  <si>
    <t>4.1.2 Subplots &amp; Customization</t>
  </si>
  <si>
    <t>4.2 Seaborn</t>
  </si>
  <si>
    <t>4.2.1 boxplot(), heatmap(), pairplot()</t>
  </si>
  <si>
    <t>4.2.2 countplot(), barplot()</t>
  </si>
  <si>
    <t>5. EDA — Exploratory Data Analysis</t>
  </si>
  <si>
    <t>5.1 EDA Process &amp; Steps</t>
  </si>
  <si>
    <t>5.2 Univariate &amp; Bivariate Analysis</t>
  </si>
  <si>
    <t>5.3 Outlier Detection: IQR &amp; Z-Score Method</t>
  </si>
  <si>
    <t>5.4 Correlation Heatmap</t>
  </si>
  <si>
    <t>6. Machine Learning Introduction — Part 1</t>
  </si>
  <si>
    <t>6.1 AI vs ML vs Deep Learning</t>
  </si>
  <si>
    <t>6.2 Supervised vs Unsupervised Learning</t>
  </si>
  <si>
    <t>6.3 ML Workflow &amp; Pipeline</t>
  </si>
  <si>
    <t>6.4 Train-Test Split</t>
  </si>
  <si>
    <t>6.5 Feature Scaling</t>
  </si>
  <si>
    <t>6.5.1 Normalization</t>
  </si>
  <si>
    <t>6.5.2 Standardization</t>
  </si>
  <si>
    <t>6.6 Label Encoding &amp; One-Hot Encoding</t>
  </si>
  <si>
    <t>6. Machine Learning Introduction — Part 2</t>
  </si>
  <si>
    <t>6.7 Linear Regression</t>
  </si>
  <si>
    <t>6.7.1 Implementation with Scikit-learn</t>
  </si>
  <si>
    <t>6.7.2 MSE, RMSE, R²</t>
  </si>
  <si>
    <t>6.8 Logistic Regression Basics</t>
  </si>
  <si>
    <t>6.9 Model Evaluation</t>
  </si>
  <si>
    <t>6.9.1 Confusion Matrix</t>
  </si>
  <si>
    <t>6.9.2 Accuracy, Precision, Recall, F1</t>
  </si>
  <si>
    <t>6. Machine Learning Introduction — Part 3</t>
  </si>
  <si>
    <t>6.10 Decision Tree Basics</t>
  </si>
  <si>
    <t>6.11 K-Nearest Neighbors (KNN)</t>
  </si>
  <si>
    <t>6.12 K-Means Clustering</t>
  </si>
  <si>
    <t>6.13 Cross Validation</t>
  </si>
  <si>
    <t>📁 MINI PROJECT: End-to-End Python Analytics (Half Day)</t>
  </si>
  <si>
    <t>Dataset → Cleaning → EDA → Visualization → ML Model</t>
  </si>
  <si>
    <t>🔴 TEST 5: Python for Data Analytics (Half Day)</t>
  </si>
  <si>
    <t>MCQ (15 Marks) + Coding Problem (35 Marks)</t>
  </si>
  <si>
    <t>🏭 INDUSTRY LECTURE 5 (1 Hour)</t>
  </si>
  <si>
    <t>Topic: Python &amp; ML in Real Industry Use Cases</t>
  </si>
  <si>
    <t>UNIT 7: AI TOOLS &amp; GENERATIVE AI FOR ANALYTICS</t>
  </si>
  <si>
    <t>1. Introduction to AI in Analytics</t>
  </si>
  <si>
    <t>1.1 Traditional Analytics vs AI-Powered Analytics</t>
  </si>
  <si>
    <t>1.2 AI vs ML vs Deep Learning vs Generative AI</t>
  </si>
  <si>
    <t>1.3 AI Tools Landscape</t>
  </si>
  <si>
    <t>1.3.1 ChatGPT</t>
  </si>
  <si>
    <t>1.3.2 Microsoft Copilot</t>
  </si>
  <si>
    <t>1.3.3 Google Gemini</t>
  </si>
  <si>
    <t>1.3.4 Perplexity AI</t>
  </si>
  <si>
    <t>2. Using AI Tools for Data Tasks</t>
  </si>
  <si>
    <t>2.1 ChatGPT for Analytics</t>
  </si>
  <si>
    <t>2.1.1 Writing SQL Queries with AI</t>
  </si>
  <si>
    <t>2.1.2 Debugging Python Code</t>
  </si>
  <si>
    <t>2.1.3 Excel Formula Generation</t>
  </si>
  <si>
    <t>2.1.4 Report Writing &amp; Summarization</t>
  </si>
  <si>
    <t>2.2 Copilot in Excel &amp; Power BI</t>
  </si>
  <si>
    <t>2.2.1 AI-Powered Insights</t>
  </si>
  <si>
    <t>2.2.2 Auto Dashboard Generation</t>
  </si>
  <si>
    <t>2.2.3 Natural Language Queries</t>
  </si>
  <si>
    <t>2.3 Gemini in Google Sheets</t>
  </si>
  <si>
    <t>3. Prompt Engineering</t>
  </si>
  <si>
    <t>3.1 What is a Prompt &amp; Elements of a Good Prompt</t>
  </si>
  <si>
    <t>3.2 Prompting Techniques</t>
  </si>
  <si>
    <t>3.2.1 Zero-Shot Prompting</t>
  </si>
  <si>
    <t>3.2.2 Few-Shot Prompting</t>
  </si>
  <si>
    <t>3.2.3 Chain of Thought Prompting</t>
  </si>
  <si>
    <t>3.2.4 Role-Based Prompting</t>
  </si>
  <si>
    <t>3.3 Prompts for Analytics Tasks</t>
  </si>
  <si>
    <t>3.3.1 Data Cleaning Prompts</t>
  </si>
  <si>
    <t>3.3.2 Visualization &amp; Insight Generation Prompts</t>
  </si>
  <si>
    <t>4. Generative AI Concepts &amp; APIs</t>
  </si>
  <si>
    <t>4.1 How LLMs Work</t>
  </si>
  <si>
    <t>4.1.1 Tokens &amp; Context Window</t>
  </si>
  <si>
    <t>4.2 Popular LLMs: GPT-4, Claude, Gemini, LLaMA</t>
  </si>
  <si>
    <t>4.3 Fine-tuning vs RAG</t>
  </si>
  <si>
    <t>4.4 AI Limitations &amp; Hallucinations</t>
  </si>
  <si>
    <t>4.5 Responsible AI &amp; Ethics</t>
  </si>
  <si>
    <t>4.6 OpenAI API Basics in Python</t>
  </si>
  <si>
    <t>4.6.1 API Key Setup</t>
  </si>
  <si>
    <t>4.6.2 Making API Calls</t>
  </si>
  <si>
    <t>4.6.3 Automating Reports with AI</t>
  </si>
  <si>
    <t>🏭 INDUSTRY LECTURE 6 (1 Hour)</t>
  </si>
  <si>
    <t>Topic: Future of AI in Data Analytics — Industry Perspective</t>
  </si>
  <si>
    <t>CAPSTONE PROJECT</t>
  </si>
  <si>
    <t>Problem Statement Distribution</t>
  </si>
  <si>
    <t>Tool Selection: Excel / SQL / Power BI / Tableau / Python / AI</t>
  </si>
  <si>
    <t>Team Formation &amp; Project Planning</t>
  </si>
  <si>
    <t>CAPSTONE PROJECT — Full Day Work</t>
  </si>
  <si>
    <t>Data Collection &amp; Cleaning</t>
  </si>
  <si>
    <t>Analysis, Visualization &amp; Dashboard Building</t>
  </si>
  <si>
    <t>AI Integration &amp; Report / PPT Preparation</t>
  </si>
  <si>
    <t>VIVA &amp; FINAL PRESENTATIONS</t>
  </si>
  <si>
    <t>Group / Individual Project Presentations</t>
  </si>
  <si>
    <t>Faculty Evaluation &amp; Q&amp;A</t>
  </si>
  <si>
    <t>Final Feedback &amp; Performance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</si>
</sst>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mmmmyyyy"/>
    <numFmt numFmtId="165" formatCode="mmmm yyyy"/>
    <numFmt numFmtId="166" formatCode="d"/>
    <numFmt numFmtId="167" formatCode="ddmmmyyyy"/>
    <numFmt numFmtId="168" formatCode="dmmmyyyy"/>
  </numFmts>
  <fonts count="23">
    <font>
      <sz val="10.0"/>
      <color rgb="FF000000"/>
      <name val="Arial"/>
      <scheme val="minor"/>
    </font>
    <font>
      <b/>
      <color theme="1"/>
      <name val="Arial"/>
    </font>
    <font>
      <b/>
      <sz val="14.0"/>
      <color theme="1"/>
      <name val="Garamond"/>
    </font>
    <font>
      <b/>
      <color theme="1"/>
      <name val="Arial"/>
      <scheme val="minor"/>
    </font>
    <font>
      <b/>
      <sz val="11.0"/>
      <color theme="1"/>
      <name val="Garamond"/>
    </font>
    <font>
      <color theme="1"/>
      <name val="Arial"/>
    </font>
    <font>
      <b/>
      <sz val="11.0"/>
      <color theme="1"/>
      <name val="Cambria"/>
    </font>
    <font>
      <sz val="11.0"/>
      <color rgb="FF000000"/>
      <name val="Calibri"/>
    </font>
    <font>
      <b/>
      <color rgb="FFFFFFFF"/>
      <name val="&quot;Calibri Light&quot;"/>
    </font>
    <font/>
    <font>
      <b/>
      <color rgb="FFFFFFFF"/>
      <name val="Arial"/>
    </font>
    <font>
      <color theme="1"/>
      <name val="Arial"/>
      <scheme val="minor"/>
    </font>
    <font>
      <b/>
      <sz val="12.0"/>
      <color rgb="FF000000"/>
      <name val="&quot;Calibri Light&quot;"/>
    </font>
    <font>
      <b/>
      <sz val="11.0"/>
      <color rgb="FF1F3864"/>
      <name val="&quot;Calibri Light&quot;"/>
    </font>
    <font>
      <b/>
      <sz val="11.0"/>
      <color rgb="FF000000"/>
      <name val="&quot;Calibri Light&quot;"/>
    </font>
    <font>
      <color theme="1"/>
      <name val="Calibri"/>
    </font>
    <font>
      <sz val="11.0"/>
      <color theme="1"/>
      <name val="Calibri"/>
    </font>
    <font>
      <b/>
      <sz val="11.0"/>
      <color rgb="FF375623"/>
      <name val="&quot;Calibri Light&quot;"/>
    </font>
    <font>
      <b/>
      <color theme="1"/>
      <name val="Calibri"/>
    </font>
    <font>
      <b/>
      <sz val="11.0"/>
      <color rgb="FFC00000"/>
      <name val="&quot;Calibri Light&quot;"/>
    </font>
    <font>
      <b/>
      <sz val="11.0"/>
      <color rgb="FF1F497D"/>
      <name val="&quot;Calibri Light&quot;"/>
    </font>
    <font>
      <b/>
      <color theme="1"/>
      <name val="Times New Roman"/>
    </font>
    <font>
      <sz val="12.0"/>
      <color rgb="FF0F172A"/>
      <name val="&quot;Cambria&quot;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6D9EEB"/>
        <bgColor rgb="FF6D9EEB"/>
      </patternFill>
    </fill>
    <fill>
      <patternFill patternType="solid">
        <fgColor rgb="FFFFE7E7"/>
        <bgColor rgb="FFFFE7E7"/>
      </patternFill>
    </fill>
    <fill>
      <patternFill patternType="solid">
        <fgColor rgb="FFE7FFE7"/>
        <bgColor rgb="FFE7FFE7"/>
      </patternFill>
    </fill>
    <fill>
      <patternFill patternType="solid">
        <fgColor rgb="FFE7F3FF"/>
        <bgColor rgb="FFE7F3FF"/>
      </patternFill>
    </fill>
    <fill>
      <patternFill patternType="solid">
        <fgColor rgb="FFFFF3E7"/>
        <bgColor rgb="FFFFF3E7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 vertical="center"/>
    </xf>
    <xf borderId="2" fillId="2" fontId="3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1" fillId="0" fontId="5" numFmtId="164" xfId="0" applyAlignment="1" applyBorder="1" applyFont="1" applyNumberFormat="1">
      <alignment horizontal="center" readingOrder="0" vertical="bottom"/>
    </xf>
    <xf borderId="0" fillId="0" fontId="6" numFmtId="0" xfId="0" applyAlignment="1" applyFont="1">
      <alignment horizontal="left" readingOrder="0" shrinkToFit="0" vertical="center" wrapText="0"/>
    </xf>
    <xf borderId="1" fillId="0" fontId="5" numFmtId="0" xfId="0" applyAlignment="1" applyBorder="1" applyFont="1">
      <alignment horizontal="center" readingOrder="0" vertical="bottom"/>
    </xf>
    <xf borderId="0" fillId="0" fontId="7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7" numFmtId="0" xfId="0" applyAlignment="1" applyFont="1">
      <alignment shrinkToFit="0" vertical="center" wrapText="0"/>
    </xf>
    <xf borderId="0" fillId="0" fontId="5" numFmtId="0" xfId="0" applyAlignment="1" applyFont="1">
      <alignment horizontal="right" vertical="bottom"/>
    </xf>
    <xf borderId="2" fillId="2" fontId="1" numFmtId="0" xfId="0" applyAlignment="1" applyBorder="1" applyFont="1">
      <alignment horizontal="center" vertical="center"/>
    </xf>
    <xf borderId="1" fillId="3" fontId="8" numFmtId="0" xfId="0" applyAlignment="1" applyBorder="1" applyFill="1" applyFont="1">
      <alignment horizontal="center" readingOrder="0" vertical="center"/>
    </xf>
    <xf borderId="3" fillId="2" fontId="3" numFmtId="165" xfId="0" applyAlignment="1" applyBorder="1" applyFont="1" applyNumberFormat="1">
      <alignment horizontal="center" readingOrder="0"/>
    </xf>
    <xf borderId="0" fillId="0" fontId="5" numFmtId="0" xfId="0" applyAlignment="1" applyFont="1">
      <alignment vertical="bottom"/>
    </xf>
    <xf borderId="1" fillId="3" fontId="8" numFmtId="0" xfId="0" applyAlignment="1" applyBorder="1" applyFont="1">
      <alignment horizontal="center" readingOrder="0"/>
    </xf>
    <xf borderId="4" fillId="0" fontId="9" numFmtId="0" xfId="0" applyBorder="1" applyFont="1"/>
    <xf borderId="1" fillId="3" fontId="10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/>
    </xf>
    <xf borderId="5" fillId="0" fontId="9" numFmtId="0" xfId="0" applyBorder="1" applyFont="1"/>
    <xf borderId="1" fillId="0" fontId="5" numFmtId="0" xfId="0" applyAlignment="1" applyBorder="1" applyFont="1">
      <alignment readingOrder="0" vertical="bottom"/>
    </xf>
    <xf borderId="2" fillId="0" fontId="12" numFmtId="0" xfId="0" applyAlignment="1" applyBorder="1" applyFont="1">
      <alignment horizontal="center" readingOrder="0" vertical="center"/>
    </xf>
    <xf borderId="3" fillId="2" fontId="1" numFmtId="165" xfId="0" applyAlignment="1" applyBorder="1" applyFont="1" applyNumberFormat="1">
      <alignment horizontal="center" vertical="bottom"/>
    </xf>
    <xf borderId="1" fillId="2" fontId="3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vertical="center" wrapText="1"/>
    </xf>
    <xf borderId="6" fillId="0" fontId="9" numFmtId="0" xfId="0" applyBorder="1" applyFont="1"/>
    <xf borderId="1" fillId="0" fontId="14" numFmtId="0" xfId="0" applyAlignment="1" applyBorder="1" applyFont="1">
      <alignment horizontal="left" readingOrder="0"/>
    </xf>
    <xf borderId="3" fillId="0" fontId="1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center"/>
    </xf>
    <xf borderId="1" fillId="2" fontId="3" numFmtId="166" xfId="0" applyAlignment="1" applyBorder="1" applyFont="1" applyNumberFormat="1">
      <alignment horizontal="center" readingOrder="0"/>
    </xf>
    <xf borderId="1" fillId="0" fontId="5" numFmtId="167" xfId="0" applyAlignment="1" applyBorder="1" applyFont="1" applyNumberFormat="1">
      <alignment horizontal="center" readingOrder="0" vertical="bottom"/>
    </xf>
    <xf borderId="1" fillId="0" fontId="15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/>
    </xf>
    <xf borderId="1" fillId="0" fontId="11" numFmtId="0" xfId="0" applyAlignment="1" applyBorder="1" applyFont="1">
      <alignment horizontal="center" readingOrder="0"/>
    </xf>
    <xf borderId="3" fillId="0" fontId="11" numFmtId="0" xfId="0" applyBorder="1" applyFont="1"/>
    <xf borderId="0" fillId="0" fontId="11" numFmtId="0" xfId="0" applyFont="1"/>
    <xf borderId="7" fillId="0" fontId="9" numFmtId="0" xfId="0" applyBorder="1" applyFont="1"/>
    <xf borderId="1" fillId="2" fontId="3" numFmtId="0" xfId="0" applyAlignment="1" applyBorder="1" applyFont="1">
      <alignment horizontal="center" readingOrder="0"/>
    </xf>
    <xf borderId="1" fillId="0" fontId="5" numFmtId="168" xfId="0" applyAlignment="1" applyBorder="1" applyFont="1" applyNumberFormat="1">
      <alignment horizontal="center" readingOrder="0" vertical="bottom"/>
    </xf>
    <xf borderId="1" fillId="0" fontId="17" numFmtId="0" xfId="0" applyAlignment="1" applyBorder="1" applyFont="1">
      <alignment horizontal="left" readingOrder="0"/>
    </xf>
    <xf borderId="1" fillId="2" fontId="16" numFmtId="0" xfId="0" applyAlignment="1" applyBorder="1" applyFont="1">
      <alignment horizontal="center" vertical="center"/>
    </xf>
    <xf borderId="1" fillId="0" fontId="11" numFmtId="0" xfId="0" applyAlignment="1" applyBorder="1" applyFont="1">
      <alignment readingOrder="0"/>
    </xf>
    <xf borderId="1" fillId="0" fontId="16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vertical="center"/>
    </xf>
    <xf borderId="1" fillId="0" fontId="15" numFmtId="2" xfId="0" applyAlignment="1" applyBorder="1" applyFont="1" applyNumberFormat="1">
      <alignment horizontal="center" vertical="bottom"/>
    </xf>
    <xf borderId="1" fillId="0" fontId="11" numFmtId="0" xfId="0" applyBorder="1" applyFont="1"/>
    <xf borderId="6" fillId="4" fontId="18" numFmtId="0" xfId="0" applyAlignment="1" applyBorder="1" applyFill="1" applyFont="1">
      <alignment horizontal="center" readingOrder="0" textRotation="255" vertical="center"/>
    </xf>
    <xf borderId="2" fillId="5" fontId="12" numFmtId="0" xfId="0" applyAlignment="1" applyBorder="1" applyFill="1" applyFont="1">
      <alignment horizontal="center" readingOrder="0" vertical="center"/>
    </xf>
    <xf borderId="1" fillId="5" fontId="19" numFmtId="0" xfId="0" applyAlignment="1" applyBorder="1" applyFont="1">
      <alignment horizontal="left" readingOrder="0"/>
    </xf>
    <xf borderId="1" fillId="5" fontId="7" numFmtId="0" xfId="0" applyAlignment="1" applyBorder="1" applyFont="1">
      <alignment horizontal="center" readingOrder="0"/>
    </xf>
    <xf borderId="1" fillId="5" fontId="14" numFmtId="0" xfId="0" applyAlignment="1" applyBorder="1" applyFont="1">
      <alignment horizontal="left" readingOrder="0"/>
    </xf>
    <xf borderId="0" fillId="0" fontId="11" numFmtId="0" xfId="0" applyAlignment="1" applyFont="1">
      <alignment horizontal="center" readingOrder="0"/>
    </xf>
    <xf borderId="1" fillId="5" fontId="20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center"/>
    </xf>
    <xf borderId="1" fillId="0" fontId="16" numFmtId="0" xfId="0" applyAlignment="1" applyBorder="1" applyFont="1">
      <alignment horizontal="center" readingOrder="0" vertical="center"/>
    </xf>
    <xf borderId="2" fillId="6" fontId="12" numFmtId="0" xfId="0" applyAlignment="1" applyBorder="1" applyFill="1" applyFont="1">
      <alignment horizontal="center" readingOrder="0" vertical="center"/>
    </xf>
    <xf borderId="1" fillId="6" fontId="17" numFmtId="0" xfId="0" applyAlignment="1" applyBorder="1" applyFont="1">
      <alignment horizontal="left" readingOrder="0"/>
    </xf>
    <xf borderId="1" fillId="6" fontId="7" numFmtId="0" xfId="0" applyAlignment="1" applyBorder="1" applyFont="1">
      <alignment horizontal="center" readingOrder="0"/>
    </xf>
    <xf borderId="1" fillId="6" fontId="14" numFmtId="0" xfId="0" applyAlignment="1" applyBorder="1" applyFont="1">
      <alignment horizontal="left" readingOrder="0"/>
    </xf>
    <xf borderId="1" fillId="6" fontId="19" numFmtId="0" xfId="0" applyAlignment="1" applyBorder="1" applyFont="1">
      <alignment horizontal="left" readingOrder="0"/>
    </xf>
    <xf borderId="2" fillId="7" fontId="12" numFmtId="0" xfId="0" applyAlignment="1" applyBorder="1" applyFill="1" applyFont="1">
      <alignment horizontal="center" readingOrder="0" vertical="center"/>
    </xf>
    <xf borderId="1" fillId="7" fontId="20" numFmtId="0" xfId="0" applyAlignment="1" applyBorder="1" applyFont="1">
      <alignment horizontal="left" readingOrder="0"/>
    </xf>
    <xf borderId="1" fillId="7" fontId="7" numFmtId="0" xfId="0" applyAlignment="1" applyBorder="1" applyFont="1">
      <alignment horizontal="center" readingOrder="0"/>
    </xf>
    <xf borderId="1" fillId="7" fontId="14" numFmtId="0" xfId="0" applyAlignment="1" applyBorder="1" applyFont="1">
      <alignment horizontal="left" readingOrder="0"/>
    </xf>
    <xf borderId="1" fillId="7" fontId="13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center"/>
    </xf>
    <xf borderId="1" fillId="2" fontId="2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2" fontId="16" numFmtId="0" xfId="0" applyAlignment="1" applyBorder="1" applyFont="1">
      <alignment horizontal="center" vertical="bottom"/>
    </xf>
    <xf borderId="1" fillId="0" fontId="22" numFmtId="0" xfId="0" applyAlignment="1" applyBorder="1" applyFont="1">
      <alignment readingOrder="0"/>
    </xf>
    <xf borderId="1" fillId="0" fontId="16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 shrinkToFit="0" vertical="bottom" wrapText="0"/>
    </xf>
    <xf borderId="0" fillId="0" fontId="22" numFmtId="0" xfId="0" applyAlignment="1" applyFont="1">
      <alignment readingOrder="0"/>
    </xf>
    <xf borderId="1" fillId="0" fontId="7" numFmtId="0" xfId="0" applyAlignment="1" applyBorder="1" applyFont="1">
      <alignment horizontal="center" readingOrder="0" shrinkToFit="0" vertical="center" wrapText="0"/>
    </xf>
    <xf borderId="2" fillId="8" fontId="12" numFmtId="0" xfId="0" applyAlignment="1" applyBorder="1" applyFill="1" applyFont="1">
      <alignment horizontal="center" readingOrder="0" vertical="center"/>
    </xf>
    <xf borderId="1" fillId="8" fontId="20" numFmtId="0" xfId="0" applyAlignment="1" applyBorder="1" applyFont="1">
      <alignment horizontal="left" readingOrder="0"/>
    </xf>
    <xf borderId="1" fillId="8" fontId="7" numFmtId="0" xfId="0" applyAlignment="1" applyBorder="1" applyFont="1">
      <alignment horizontal="center" readingOrder="0"/>
    </xf>
    <xf borderId="1" fillId="8" fontId="14" numFmtId="0" xfId="0" applyAlignment="1" applyBorder="1" applyFont="1">
      <alignment horizontal="left" readingOrder="0"/>
    </xf>
    <xf borderId="1" fillId="8" fontId="13" numFmtId="0" xfId="0" applyAlignment="1" applyBorder="1" applyFont="1">
      <alignment horizontal="left" readingOrder="0"/>
    </xf>
    <xf borderId="1" fillId="8" fontId="7" numFmtId="0" xfId="0" applyAlignment="1" applyBorder="1" applyFont="1">
      <alignment horizont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1" fillId="0" fontId="11" numFmtId="0" xfId="0" applyAlignment="1" applyBorder="1" applyFont="1">
      <alignment horizontal="center" readingOrder="0" vertical="center"/>
    </xf>
    <xf borderId="0" fillId="0" fontId="11" numFmtId="2" xfId="0" applyFont="1" applyNumberFormat="1"/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2.63" defaultRowHeight="15.75"/>
  <cols>
    <col customWidth="1" min="2" max="2" width="20.63"/>
    <col customWidth="1" min="7" max="7" width="16.63"/>
    <col customWidth="1" min="8" max="44" width="4.13"/>
    <col customWidth="1" min="45" max="74" width="3.88"/>
  </cols>
  <sheetData>
    <row r="1">
      <c r="A1" s="3" t="s">
        <v>2</v>
      </c>
      <c r="B1" s="3" t="s">
        <v>8</v>
      </c>
      <c r="C1" s="3" t="s">
        <v>11</v>
      </c>
      <c r="D1" s="3" t="s">
        <v>12</v>
      </c>
      <c r="E1" s="3" t="s">
        <v>14</v>
      </c>
      <c r="F1" s="3" t="s">
        <v>16</v>
      </c>
      <c r="G1" s="14" t="s">
        <v>17</v>
      </c>
      <c r="H1" s="16">
        <v>46143.0</v>
      </c>
      <c r="I1" s="19"/>
      <c r="J1" s="19"/>
      <c r="K1" s="19"/>
      <c r="L1" s="19"/>
      <c r="M1" s="19"/>
      <c r="N1" s="22"/>
      <c r="O1" s="25">
        <v>46174.0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25">
        <v>46204.0</v>
      </c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22"/>
    </row>
    <row r="2">
      <c r="A2" s="30"/>
      <c r="B2" s="30"/>
      <c r="C2" s="30"/>
      <c r="D2" s="30"/>
      <c r="E2" s="30"/>
      <c r="F2" s="30"/>
      <c r="G2" s="30"/>
      <c r="H2" s="34">
        <v>46167.0</v>
      </c>
      <c r="I2" s="34">
        <v>46168.0</v>
      </c>
      <c r="J2" s="34">
        <v>46169.0</v>
      </c>
      <c r="K2" s="34">
        <v>46170.0</v>
      </c>
      <c r="L2" s="34">
        <v>46171.0</v>
      </c>
      <c r="M2" s="34">
        <v>46172.0</v>
      </c>
      <c r="N2" s="34">
        <v>46173.0</v>
      </c>
      <c r="O2" s="34">
        <v>46174.0</v>
      </c>
      <c r="P2" s="34">
        <v>46175.0</v>
      </c>
      <c r="Q2" s="34">
        <v>46176.0</v>
      </c>
      <c r="R2" s="34">
        <v>46177.0</v>
      </c>
      <c r="S2" s="34">
        <v>46178.0</v>
      </c>
      <c r="T2" s="34">
        <v>46179.0</v>
      </c>
      <c r="U2" s="34">
        <v>46180.0</v>
      </c>
      <c r="V2" s="34">
        <v>46181.0</v>
      </c>
      <c r="W2" s="34">
        <v>46182.0</v>
      </c>
      <c r="X2" s="34">
        <v>46183.0</v>
      </c>
      <c r="Y2" s="34">
        <v>46184.0</v>
      </c>
      <c r="Z2" s="34">
        <v>46185.0</v>
      </c>
      <c r="AA2" s="34">
        <v>46186.0</v>
      </c>
      <c r="AB2" s="34">
        <v>46187.0</v>
      </c>
      <c r="AC2" s="34">
        <v>46188.0</v>
      </c>
      <c r="AD2" s="34">
        <v>46189.0</v>
      </c>
      <c r="AE2" s="34">
        <v>46190.0</v>
      </c>
      <c r="AF2" s="34">
        <v>46191.0</v>
      </c>
      <c r="AG2" s="34">
        <v>46192.0</v>
      </c>
      <c r="AH2" s="34">
        <v>46193.0</v>
      </c>
      <c r="AI2" s="34">
        <v>46194.0</v>
      </c>
      <c r="AJ2" s="34">
        <v>46195.0</v>
      </c>
      <c r="AK2" s="34">
        <v>46196.0</v>
      </c>
      <c r="AL2" s="34">
        <v>46197.0</v>
      </c>
      <c r="AM2" s="34">
        <v>46198.0</v>
      </c>
      <c r="AN2" s="34">
        <v>46199.0</v>
      </c>
      <c r="AO2" s="34">
        <v>46200.0</v>
      </c>
      <c r="AP2" s="34">
        <v>46201.0</v>
      </c>
      <c r="AQ2" s="34">
        <v>46202.0</v>
      </c>
      <c r="AR2" s="34">
        <v>46203.0</v>
      </c>
      <c r="AS2" s="34">
        <v>46204.0</v>
      </c>
      <c r="AT2" s="34">
        <v>46205.0</v>
      </c>
      <c r="AU2" s="34">
        <v>46206.0</v>
      </c>
      <c r="AV2" s="34">
        <v>46207.0</v>
      </c>
      <c r="AW2" s="34">
        <v>46208.0</v>
      </c>
      <c r="AX2" s="34">
        <v>46209.0</v>
      </c>
      <c r="AY2" s="34">
        <v>46210.0</v>
      </c>
      <c r="AZ2" s="34">
        <v>46211.0</v>
      </c>
      <c r="BA2" s="34">
        <v>46212.0</v>
      </c>
      <c r="BB2" s="34">
        <v>46213.0</v>
      </c>
      <c r="BC2" s="34">
        <v>46214.0</v>
      </c>
      <c r="BD2" s="34">
        <v>46215.0</v>
      </c>
      <c r="BE2" s="34">
        <v>46216.0</v>
      </c>
      <c r="BF2" s="34">
        <v>46217.0</v>
      </c>
      <c r="BG2" s="34">
        <v>46218.0</v>
      </c>
      <c r="BH2" s="34">
        <v>46219.0</v>
      </c>
      <c r="BI2" s="34">
        <v>46220.0</v>
      </c>
      <c r="BJ2" s="34">
        <v>46221.0</v>
      </c>
      <c r="BK2" s="34">
        <v>46222.0</v>
      </c>
      <c r="BL2" s="34">
        <v>46223.0</v>
      </c>
      <c r="BM2" s="34">
        <v>46224.0</v>
      </c>
      <c r="BN2" s="34">
        <v>46225.0</v>
      </c>
      <c r="BO2" s="34">
        <v>46226.0</v>
      </c>
      <c r="BP2" s="34">
        <v>46227.0</v>
      </c>
      <c r="BQ2" s="34">
        <v>46228.0</v>
      </c>
      <c r="BR2" s="34">
        <v>46229.0</v>
      </c>
      <c r="BS2" s="34">
        <v>46230.0</v>
      </c>
      <c r="BT2" s="34">
        <v>46231.0</v>
      </c>
      <c r="BU2" s="34">
        <v>46232.0</v>
      </c>
      <c r="BV2" s="34">
        <v>46233.0</v>
      </c>
    </row>
    <row r="3">
      <c r="A3" s="43"/>
      <c r="B3" s="43"/>
      <c r="C3" s="43"/>
      <c r="D3" s="43"/>
      <c r="E3" s="43"/>
      <c r="F3" s="43"/>
      <c r="G3" s="43"/>
      <c r="H3" s="44" t="str">
        <f t="shared" ref="H3:BV3" si="1">TEXT(H2,"ddd")</f>
        <v>Mon</v>
      </c>
      <c r="I3" s="44" t="str">
        <f t="shared" si="1"/>
        <v>Tue</v>
      </c>
      <c r="J3" s="44" t="str">
        <f t="shared" si="1"/>
        <v>Wed</v>
      </c>
      <c r="K3" s="44" t="str">
        <f t="shared" si="1"/>
        <v>Thu</v>
      </c>
      <c r="L3" s="44" t="str">
        <f t="shared" si="1"/>
        <v>Fri</v>
      </c>
      <c r="M3" s="44" t="str">
        <f t="shared" si="1"/>
        <v>Sat</v>
      </c>
      <c r="N3" s="44" t="str">
        <f t="shared" si="1"/>
        <v>Sun</v>
      </c>
      <c r="O3" s="44" t="str">
        <f t="shared" si="1"/>
        <v>Mon</v>
      </c>
      <c r="P3" s="44" t="str">
        <f t="shared" si="1"/>
        <v>Tue</v>
      </c>
      <c r="Q3" s="44" t="str">
        <f t="shared" si="1"/>
        <v>Wed</v>
      </c>
      <c r="R3" s="44" t="str">
        <f t="shared" si="1"/>
        <v>Thu</v>
      </c>
      <c r="S3" s="44" t="str">
        <f t="shared" si="1"/>
        <v>Fri</v>
      </c>
      <c r="T3" s="44" t="str">
        <f t="shared" si="1"/>
        <v>Sat</v>
      </c>
      <c r="U3" s="44" t="str">
        <f t="shared" si="1"/>
        <v>Sun</v>
      </c>
      <c r="V3" s="44" t="str">
        <f t="shared" si="1"/>
        <v>Mon</v>
      </c>
      <c r="W3" s="44" t="str">
        <f t="shared" si="1"/>
        <v>Tue</v>
      </c>
      <c r="X3" s="44" t="str">
        <f t="shared" si="1"/>
        <v>Wed</v>
      </c>
      <c r="Y3" s="44" t="str">
        <f t="shared" si="1"/>
        <v>Thu</v>
      </c>
      <c r="Z3" s="44" t="str">
        <f t="shared" si="1"/>
        <v>Fri</v>
      </c>
      <c r="AA3" s="44" t="str">
        <f t="shared" si="1"/>
        <v>Sat</v>
      </c>
      <c r="AB3" s="44" t="str">
        <f t="shared" si="1"/>
        <v>Sun</v>
      </c>
      <c r="AC3" s="44" t="str">
        <f t="shared" si="1"/>
        <v>Mon</v>
      </c>
      <c r="AD3" s="44" t="str">
        <f t="shared" si="1"/>
        <v>Tue</v>
      </c>
      <c r="AE3" s="44" t="str">
        <f t="shared" si="1"/>
        <v>Wed</v>
      </c>
      <c r="AF3" s="44" t="str">
        <f t="shared" si="1"/>
        <v>Thu</v>
      </c>
      <c r="AG3" s="44" t="str">
        <f t="shared" si="1"/>
        <v>Fri</v>
      </c>
      <c r="AH3" s="44" t="str">
        <f t="shared" si="1"/>
        <v>Sat</v>
      </c>
      <c r="AI3" s="44" t="str">
        <f t="shared" si="1"/>
        <v>Sun</v>
      </c>
      <c r="AJ3" s="44" t="str">
        <f t="shared" si="1"/>
        <v>Mon</v>
      </c>
      <c r="AK3" s="44" t="str">
        <f t="shared" si="1"/>
        <v>Tue</v>
      </c>
      <c r="AL3" s="44" t="str">
        <f t="shared" si="1"/>
        <v>Wed</v>
      </c>
      <c r="AM3" s="44" t="str">
        <f t="shared" si="1"/>
        <v>Thu</v>
      </c>
      <c r="AN3" s="44" t="str">
        <f t="shared" si="1"/>
        <v>Fri</v>
      </c>
      <c r="AO3" s="44" t="str">
        <f t="shared" si="1"/>
        <v>Sat</v>
      </c>
      <c r="AP3" s="44" t="str">
        <f t="shared" si="1"/>
        <v>Sun</v>
      </c>
      <c r="AQ3" s="44" t="str">
        <f t="shared" si="1"/>
        <v>Mon</v>
      </c>
      <c r="AR3" s="44" t="str">
        <f t="shared" si="1"/>
        <v>Tue</v>
      </c>
      <c r="AS3" s="44" t="str">
        <f t="shared" si="1"/>
        <v>Wed</v>
      </c>
      <c r="AT3" s="44" t="str">
        <f t="shared" si="1"/>
        <v>Thu</v>
      </c>
      <c r="AU3" s="44" t="str">
        <f t="shared" si="1"/>
        <v>Fri</v>
      </c>
      <c r="AV3" s="44" t="str">
        <f t="shared" si="1"/>
        <v>Sat</v>
      </c>
      <c r="AW3" s="44" t="str">
        <f t="shared" si="1"/>
        <v>Sun</v>
      </c>
      <c r="AX3" s="44" t="str">
        <f t="shared" si="1"/>
        <v>Mon</v>
      </c>
      <c r="AY3" s="44" t="str">
        <f t="shared" si="1"/>
        <v>Tue</v>
      </c>
      <c r="AZ3" s="44" t="str">
        <f t="shared" si="1"/>
        <v>Wed</v>
      </c>
      <c r="BA3" s="44" t="str">
        <f t="shared" si="1"/>
        <v>Thu</v>
      </c>
      <c r="BB3" s="44" t="str">
        <f t="shared" si="1"/>
        <v>Fri</v>
      </c>
      <c r="BC3" s="44" t="str">
        <f t="shared" si="1"/>
        <v>Sat</v>
      </c>
      <c r="BD3" s="44" t="str">
        <f t="shared" si="1"/>
        <v>Sun</v>
      </c>
      <c r="BE3" s="44" t="str">
        <f t="shared" si="1"/>
        <v>Mon</v>
      </c>
      <c r="BF3" s="44" t="str">
        <f t="shared" si="1"/>
        <v>Tue</v>
      </c>
      <c r="BG3" s="44" t="str">
        <f t="shared" si="1"/>
        <v>Wed</v>
      </c>
      <c r="BH3" s="44" t="str">
        <f t="shared" si="1"/>
        <v>Thu</v>
      </c>
      <c r="BI3" s="44" t="str">
        <f t="shared" si="1"/>
        <v>Fri</v>
      </c>
      <c r="BJ3" s="44" t="str">
        <f t="shared" si="1"/>
        <v>Sat</v>
      </c>
      <c r="BK3" s="44" t="str">
        <f t="shared" si="1"/>
        <v>Sun</v>
      </c>
      <c r="BL3" s="44" t="str">
        <f t="shared" si="1"/>
        <v>Mon</v>
      </c>
      <c r="BM3" s="44" t="str">
        <f t="shared" si="1"/>
        <v>Tue</v>
      </c>
      <c r="BN3" s="44" t="str">
        <f t="shared" si="1"/>
        <v>Wed</v>
      </c>
      <c r="BO3" s="44" t="str">
        <f t="shared" si="1"/>
        <v>Thu</v>
      </c>
      <c r="BP3" s="44" t="str">
        <f t="shared" si="1"/>
        <v>Fri</v>
      </c>
      <c r="BQ3" s="44" t="str">
        <f t="shared" si="1"/>
        <v>Sat</v>
      </c>
      <c r="BR3" s="44" t="str">
        <f t="shared" si="1"/>
        <v>Sun</v>
      </c>
      <c r="BS3" s="44" t="str">
        <f t="shared" si="1"/>
        <v>Mon</v>
      </c>
      <c r="BT3" s="44" t="str">
        <f t="shared" si="1"/>
        <v>Tue</v>
      </c>
      <c r="BU3" s="44" t="str">
        <f t="shared" si="1"/>
        <v>Wed</v>
      </c>
      <c r="BV3" s="44" t="str">
        <f t="shared" si="1"/>
        <v>Thu</v>
      </c>
    </row>
    <row r="4">
      <c r="A4" s="36">
        <v>1.0</v>
      </c>
      <c r="B4" s="49" t="s">
        <v>66</v>
      </c>
      <c r="C4" s="49" t="s">
        <v>68</v>
      </c>
      <c r="D4" s="50">
        <f t="shared" ref="D4:D69" si="2">COUNTIF(H4:BV4,"p") + COUNTIF(H4:BV4,"op")</f>
        <v>29</v>
      </c>
      <c r="E4" s="50">
        <f t="shared" ref="E4:E69" si="3">COUNTIF(H4:BV4,"A") + COUNTIF(H4:BV4,"oA")</f>
        <v>16</v>
      </c>
      <c r="F4" s="50">
        <f t="shared" ref="F4:F69" si="4">E4+D4</f>
        <v>45</v>
      </c>
      <c r="G4" s="51">
        <f t="shared" ref="G4:G69" si="5">(D4/F4)*100</f>
        <v>64.44444444</v>
      </c>
      <c r="H4" s="38" t="s">
        <v>70</v>
      </c>
      <c r="I4" s="38" t="s">
        <v>70</v>
      </c>
      <c r="J4" s="38" t="s">
        <v>70</v>
      </c>
      <c r="K4" s="38" t="s">
        <v>70</v>
      </c>
      <c r="L4" s="38" t="s">
        <v>70</v>
      </c>
      <c r="M4" s="38" t="s">
        <v>70</v>
      </c>
      <c r="N4" s="53" t="s">
        <v>191</v>
      </c>
      <c r="O4" s="38" t="s">
        <v>70</v>
      </c>
      <c r="P4" s="38" t="s">
        <v>70</v>
      </c>
      <c r="Q4" s="38" t="s">
        <v>70</v>
      </c>
      <c r="R4" s="38" t="s">
        <v>70</v>
      </c>
      <c r="S4" s="38" t="s">
        <v>70</v>
      </c>
      <c r="T4" s="38" t="s">
        <v>70</v>
      </c>
      <c r="U4" s="53" t="s">
        <v>191</v>
      </c>
      <c r="V4" s="38" t="s">
        <v>202</v>
      </c>
      <c r="W4" s="38" t="s">
        <v>202</v>
      </c>
      <c r="X4" s="38" t="s">
        <v>202</v>
      </c>
      <c r="Y4" s="38" t="s">
        <v>202</v>
      </c>
      <c r="Z4" s="38" t="s">
        <v>202</v>
      </c>
      <c r="AA4" s="38" t="s">
        <v>202</v>
      </c>
      <c r="AB4" s="53" t="s">
        <v>191</v>
      </c>
      <c r="AC4" s="38" t="s">
        <v>202</v>
      </c>
      <c r="AD4" s="38" t="s">
        <v>202</v>
      </c>
      <c r="AE4" s="38" t="s">
        <v>70</v>
      </c>
      <c r="AF4" s="38" t="s">
        <v>202</v>
      </c>
      <c r="AG4" s="38" t="s">
        <v>202</v>
      </c>
      <c r="AH4" s="38" t="s">
        <v>202</v>
      </c>
      <c r="AI4" s="53" t="s">
        <v>191</v>
      </c>
      <c r="AJ4" s="38" t="s">
        <v>202</v>
      </c>
      <c r="AK4" s="38" t="s">
        <v>202</v>
      </c>
      <c r="AL4" s="38" t="s">
        <v>202</v>
      </c>
      <c r="AM4" s="38" t="s">
        <v>202</v>
      </c>
      <c r="AN4" s="38" t="s">
        <v>202</v>
      </c>
      <c r="AO4" s="38" t="s">
        <v>202</v>
      </c>
      <c r="AP4" s="53" t="s">
        <v>191</v>
      </c>
      <c r="AQ4" s="38" t="s">
        <v>70</v>
      </c>
      <c r="AR4" s="38" t="s">
        <v>202</v>
      </c>
      <c r="AS4" s="38" t="s">
        <v>202</v>
      </c>
      <c r="AT4" s="38" t="s">
        <v>202</v>
      </c>
      <c r="AU4" s="38" t="s">
        <v>202</v>
      </c>
      <c r="AV4" s="38" t="s">
        <v>202</v>
      </c>
      <c r="AW4" s="39"/>
      <c r="AX4" s="38" t="s">
        <v>70</v>
      </c>
      <c r="AY4" s="38" t="s">
        <v>202</v>
      </c>
      <c r="AZ4" s="38" t="s">
        <v>70</v>
      </c>
      <c r="BA4" s="38" t="s">
        <v>202</v>
      </c>
      <c r="BB4" s="38" t="s">
        <v>202</v>
      </c>
      <c r="BC4" s="38" t="s">
        <v>202</v>
      </c>
      <c r="BD4" s="39"/>
      <c r="BE4" s="38" t="s">
        <v>202</v>
      </c>
      <c r="BF4" s="38" t="s">
        <v>202</v>
      </c>
      <c r="BG4" s="38" t="s">
        <v>202</v>
      </c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</row>
    <row r="5">
      <c r="A5" s="36">
        <v>2.0</v>
      </c>
      <c r="B5" s="49" t="s">
        <v>100</v>
      </c>
      <c r="C5" s="49" t="s">
        <v>102</v>
      </c>
      <c r="D5" s="50">
        <f t="shared" si="2"/>
        <v>38</v>
      </c>
      <c r="E5" s="50">
        <f t="shared" si="3"/>
        <v>7</v>
      </c>
      <c r="F5" s="50">
        <f t="shared" si="4"/>
        <v>45</v>
      </c>
      <c r="G5" s="51">
        <f t="shared" si="5"/>
        <v>84.44444444</v>
      </c>
      <c r="H5" s="38" t="s">
        <v>70</v>
      </c>
      <c r="I5" s="38" t="s">
        <v>70</v>
      </c>
      <c r="J5" s="38" t="s">
        <v>70</v>
      </c>
      <c r="K5" s="38" t="s">
        <v>70</v>
      </c>
      <c r="L5" s="38" t="s">
        <v>70</v>
      </c>
      <c r="M5" s="38" t="s">
        <v>202</v>
      </c>
      <c r="N5" s="30"/>
      <c r="O5" s="38" t="s">
        <v>202</v>
      </c>
      <c r="P5" s="38" t="s">
        <v>202</v>
      </c>
      <c r="Q5" s="38" t="s">
        <v>202</v>
      </c>
      <c r="R5" s="38" t="s">
        <v>202</v>
      </c>
      <c r="S5" s="38" t="s">
        <v>202</v>
      </c>
      <c r="T5" s="38" t="s">
        <v>202</v>
      </c>
      <c r="U5" s="30"/>
      <c r="V5" s="38" t="s">
        <v>202</v>
      </c>
      <c r="W5" s="38" t="s">
        <v>202</v>
      </c>
      <c r="X5" s="38" t="s">
        <v>202</v>
      </c>
      <c r="Y5" s="38" t="s">
        <v>202</v>
      </c>
      <c r="Z5" s="38" t="s">
        <v>202</v>
      </c>
      <c r="AA5" s="38" t="s">
        <v>202</v>
      </c>
      <c r="AB5" s="30"/>
      <c r="AC5" s="38" t="s">
        <v>202</v>
      </c>
      <c r="AD5" s="38" t="s">
        <v>202</v>
      </c>
      <c r="AE5" s="38" t="s">
        <v>202</v>
      </c>
      <c r="AF5" s="38" t="s">
        <v>202</v>
      </c>
      <c r="AG5" s="38" t="s">
        <v>202</v>
      </c>
      <c r="AH5" s="38" t="s">
        <v>202</v>
      </c>
      <c r="AI5" s="30"/>
      <c r="AJ5" s="38" t="s">
        <v>202</v>
      </c>
      <c r="AK5" s="38" t="s">
        <v>202</v>
      </c>
      <c r="AL5" s="38" t="s">
        <v>202</v>
      </c>
      <c r="AM5" s="38" t="s">
        <v>202</v>
      </c>
      <c r="AN5" s="38" t="s">
        <v>202</v>
      </c>
      <c r="AO5" s="38" t="s">
        <v>202</v>
      </c>
      <c r="AP5" s="30"/>
      <c r="AQ5" s="38" t="s">
        <v>202</v>
      </c>
      <c r="AR5" s="38" t="s">
        <v>202</v>
      </c>
      <c r="AS5" s="38" t="s">
        <v>202</v>
      </c>
      <c r="AT5" s="38" t="s">
        <v>202</v>
      </c>
      <c r="AU5" s="38" t="s">
        <v>202</v>
      </c>
      <c r="AV5" s="38" t="s">
        <v>202</v>
      </c>
      <c r="AW5" s="39"/>
      <c r="AX5" s="38" t="s">
        <v>202</v>
      </c>
      <c r="AY5" s="38" t="s">
        <v>202</v>
      </c>
      <c r="AZ5" s="38" t="s">
        <v>202</v>
      </c>
      <c r="BA5" s="38" t="s">
        <v>202</v>
      </c>
      <c r="BB5" s="38" t="s">
        <v>70</v>
      </c>
      <c r="BC5" s="38" t="s">
        <v>202</v>
      </c>
      <c r="BD5" s="39"/>
      <c r="BE5" s="38" t="s">
        <v>202</v>
      </c>
      <c r="BF5" s="38" t="s">
        <v>202</v>
      </c>
      <c r="BG5" s="38" t="s">
        <v>70</v>
      </c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</row>
    <row r="6">
      <c r="A6" s="36">
        <v>3.0</v>
      </c>
      <c r="B6" s="49" t="s">
        <v>120</v>
      </c>
      <c r="C6" s="49" t="s">
        <v>122</v>
      </c>
      <c r="D6" s="50">
        <f t="shared" si="2"/>
        <v>22</v>
      </c>
      <c r="E6" s="50">
        <f t="shared" si="3"/>
        <v>23</v>
      </c>
      <c r="F6" s="50">
        <f t="shared" si="4"/>
        <v>45</v>
      </c>
      <c r="G6" s="51">
        <f t="shared" si="5"/>
        <v>48.88888889</v>
      </c>
      <c r="H6" s="38" t="s">
        <v>70</v>
      </c>
      <c r="I6" s="38" t="s">
        <v>70</v>
      </c>
      <c r="J6" s="38" t="s">
        <v>70</v>
      </c>
      <c r="K6" s="38" t="s">
        <v>70</v>
      </c>
      <c r="L6" s="38" t="s">
        <v>70</v>
      </c>
      <c r="M6" s="38" t="s">
        <v>70</v>
      </c>
      <c r="N6" s="30"/>
      <c r="O6" s="38" t="s">
        <v>202</v>
      </c>
      <c r="P6" s="38" t="s">
        <v>70</v>
      </c>
      <c r="Q6" s="38" t="s">
        <v>70</v>
      </c>
      <c r="R6" s="38" t="s">
        <v>202</v>
      </c>
      <c r="S6" s="38" t="s">
        <v>202</v>
      </c>
      <c r="T6" s="38" t="s">
        <v>202</v>
      </c>
      <c r="U6" s="30"/>
      <c r="V6" s="38" t="s">
        <v>70</v>
      </c>
      <c r="W6" s="38" t="s">
        <v>202</v>
      </c>
      <c r="X6" s="38" t="s">
        <v>70</v>
      </c>
      <c r="Y6" s="38" t="s">
        <v>70</v>
      </c>
      <c r="Z6" s="38" t="s">
        <v>70</v>
      </c>
      <c r="AA6" s="38" t="s">
        <v>70</v>
      </c>
      <c r="AB6" s="30"/>
      <c r="AC6" s="38" t="s">
        <v>70</v>
      </c>
      <c r="AD6" s="38" t="s">
        <v>202</v>
      </c>
      <c r="AE6" s="38" t="s">
        <v>202</v>
      </c>
      <c r="AF6" s="38" t="s">
        <v>70</v>
      </c>
      <c r="AG6" s="38" t="s">
        <v>202</v>
      </c>
      <c r="AH6" s="38" t="s">
        <v>202</v>
      </c>
      <c r="AI6" s="30"/>
      <c r="AJ6" s="38" t="s">
        <v>202</v>
      </c>
      <c r="AK6" s="38" t="s">
        <v>70</v>
      </c>
      <c r="AL6" s="38" t="s">
        <v>202</v>
      </c>
      <c r="AM6" s="38" t="s">
        <v>202</v>
      </c>
      <c r="AN6" s="38" t="s">
        <v>70</v>
      </c>
      <c r="AO6" s="38" t="s">
        <v>202</v>
      </c>
      <c r="AP6" s="30"/>
      <c r="AQ6" s="38" t="s">
        <v>202</v>
      </c>
      <c r="AR6" s="38" t="s">
        <v>70</v>
      </c>
      <c r="AS6" s="38" t="s">
        <v>202</v>
      </c>
      <c r="AT6" s="38" t="s">
        <v>202</v>
      </c>
      <c r="AU6" s="38" t="s">
        <v>70</v>
      </c>
      <c r="AV6" s="38" t="s">
        <v>202</v>
      </c>
      <c r="AW6" s="39"/>
      <c r="AX6" s="38" t="s">
        <v>70</v>
      </c>
      <c r="AY6" s="38" t="s">
        <v>202</v>
      </c>
      <c r="AZ6" s="38" t="s">
        <v>202</v>
      </c>
      <c r="BA6" s="38" t="s">
        <v>70</v>
      </c>
      <c r="BB6" s="38" t="s">
        <v>70</v>
      </c>
      <c r="BC6" s="38" t="s">
        <v>202</v>
      </c>
      <c r="BD6" s="39"/>
      <c r="BE6" s="38" t="s">
        <v>70</v>
      </c>
      <c r="BF6" s="38" t="s">
        <v>202</v>
      </c>
      <c r="BG6" s="38" t="s">
        <v>202</v>
      </c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</row>
    <row r="7">
      <c r="A7" s="36">
        <v>4.0</v>
      </c>
      <c r="B7" s="49" t="s">
        <v>134</v>
      </c>
      <c r="C7" s="49" t="s">
        <v>135</v>
      </c>
      <c r="D7" s="50">
        <f t="shared" si="2"/>
        <v>35</v>
      </c>
      <c r="E7" s="50">
        <f t="shared" si="3"/>
        <v>10</v>
      </c>
      <c r="F7" s="50">
        <f t="shared" si="4"/>
        <v>45</v>
      </c>
      <c r="G7" s="51">
        <f t="shared" si="5"/>
        <v>77.77777778</v>
      </c>
      <c r="H7" s="38" t="s">
        <v>202</v>
      </c>
      <c r="I7" s="38" t="s">
        <v>202</v>
      </c>
      <c r="J7" s="38" t="s">
        <v>202</v>
      </c>
      <c r="K7" s="38" t="s">
        <v>202</v>
      </c>
      <c r="L7" s="38" t="s">
        <v>202</v>
      </c>
      <c r="M7" s="38" t="s">
        <v>202</v>
      </c>
      <c r="N7" s="30"/>
      <c r="O7" s="38" t="s">
        <v>202</v>
      </c>
      <c r="P7" s="38" t="s">
        <v>202</v>
      </c>
      <c r="Q7" s="38" t="s">
        <v>311</v>
      </c>
      <c r="R7" s="38" t="s">
        <v>202</v>
      </c>
      <c r="S7" s="38" t="s">
        <v>202</v>
      </c>
      <c r="T7" s="38" t="s">
        <v>202</v>
      </c>
      <c r="U7" s="30"/>
      <c r="V7" s="38" t="s">
        <v>202</v>
      </c>
      <c r="W7" s="38" t="s">
        <v>202</v>
      </c>
      <c r="X7" s="38" t="s">
        <v>202</v>
      </c>
      <c r="Y7" s="38" t="s">
        <v>202</v>
      </c>
      <c r="Z7" s="38" t="s">
        <v>70</v>
      </c>
      <c r="AA7" s="38" t="s">
        <v>202</v>
      </c>
      <c r="AB7" s="30"/>
      <c r="AC7" s="38" t="s">
        <v>202</v>
      </c>
      <c r="AD7" s="38" t="s">
        <v>202</v>
      </c>
      <c r="AE7" s="38" t="s">
        <v>202</v>
      </c>
      <c r="AF7" s="38" t="s">
        <v>202</v>
      </c>
      <c r="AG7" s="38" t="s">
        <v>202</v>
      </c>
      <c r="AH7" s="38" t="s">
        <v>202</v>
      </c>
      <c r="AI7" s="30"/>
      <c r="AJ7" s="38" t="s">
        <v>202</v>
      </c>
      <c r="AK7" s="38" t="s">
        <v>202</v>
      </c>
      <c r="AL7" s="38" t="s">
        <v>202</v>
      </c>
      <c r="AM7" s="38" t="s">
        <v>70</v>
      </c>
      <c r="AN7" s="38" t="s">
        <v>202</v>
      </c>
      <c r="AO7" s="38" t="s">
        <v>202</v>
      </c>
      <c r="AP7" s="30"/>
      <c r="AQ7" s="38" t="s">
        <v>202</v>
      </c>
      <c r="AR7" s="38" t="s">
        <v>70</v>
      </c>
      <c r="AS7" s="38" t="s">
        <v>202</v>
      </c>
      <c r="AT7" s="38" t="s">
        <v>202</v>
      </c>
      <c r="AU7" s="38" t="s">
        <v>70</v>
      </c>
      <c r="AV7" s="38" t="s">
        <v>202</v>
      </c>
      <c r="AW7" s="39"/>
      <c r="AX7" s="38" t="s">
        <v>70</v>
      </c>
      <c r="AY7" s="38" t="s">
        <v>70</v>
      </c>
      <c r="AZ7" s="38" t="s">
        <v>70</v>
      </c>
      <c r="BA7" s="38" t="s">
        <v>70</v>
      </c>
      <c r="BB7" s="38" t="s">
        <v>70</v>
      </c>
      <c r="BC7" s="38" t="s">
        <v>70</v>
      </c>
      <c r="BD7" s="39"/>
      <c r="BE7" s="38" t="s">
        <v>202</v>
      </c>
      <c r="BF7" s="38" t="s">
        <v>202</v>
      </c>
      <c r="BG7" s="38" t="s">
        <v>202</v>
      </c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>
      <c r="A8" s="36">
        <v>5.0</v>
      </c>
      <c r="B8" s="75" t="s">
        <v>143</v>
      </c>
      <c r="C8" s="75" t="s">
        <v>148</v>
      </c>
      <c r="D8" s="50">
        <f t="shared" si="2"/>
        <v>21</v>
      </c>
      <c r="E8" s="50">
        <f t="shared" si="3"/>
        <v>24</v>
      </c>
      <c r="F8" s="50">
        <f t="shared" si="4"/>
        <v>45</v>
      </c>
      <c r="G8" s="51">
        <f t="shared" si="5"/>
        <v>46.66666667</v>
      </c>
      <c r="H8" s="38" t="s">
        <v>70</v>
      </c>
      <c r="I8" s="38" t="s">
        <v>70</v>
      </c>
      <c r="J8" s="38" t="s">
        <v>70</v>
      </c>
      <c r="K8" s="38" t="s">
        <v>70</v>
      </c>
      <c r="L8" s="38" t="s">
        <v>70</v>
      </c>
      <c r="M8" s="38" t="s">
        <v>70</v>
      </c>
      <c r="N8" s="30"/>
      <c r="O8" s="38" t="s">
        <v>70</v>
      </c>
      <c r="P8" s="38" t="s">
        <v>70</v>
      </c>
      <c r="Q8" s="38" t="s">
        <v>70</v>
      </c>
      <c r="R8" s="38" t="s">
        <v>70</v>
      </c>
      <c r="S8" s="38" t="s">
        <v>202</v>
      </c>
      <c r="T8" s="38" t="s">
        <v>70</v>
      </c>
      <c r="U8" s="30"/>
      <c r="V8" s="38" t="s">
        <v>202</v>
      </c>
      <c r="W8" s="38" t="s">
        <v>202</v>
      </c>
      <c r="X8" s="38" t="s">
        <v>202</v>
      </c>
      <c r="Y8" s="38" t="s">
        <v>202</v>
      </c>
      <c r="Z8" s="38" t="s">
        <v>202</v>
      </c>
      <c r="AA8" s="38" t="s">
        <v>202</v>
      </c>
      <c r="AB8" s="30"/>
      <c r="AC8" s="38" t="s">
        <v>202</v>
      </c>
      <c r="AD8" s="38" t="s">
        <v>202</v>
      </c>
      <c r="AE8" s="38" t="s">
        <v>70</v>
      </c>
      <c r="AF8" s="38" t="s">
        <v>202</v>
      </c>
      <c r="AG8" s="38" t="s">
        <v>70</v>
      </c>
      <c r="AH8" s="38" t="s">
        <v>202</v>
      </c>
      <c r="AI8" s="30"/>
      <c r="AJ8" s="38" t="s">
        <v>202</v>
      </c>
      <c r="AK8" s="38" t="s">
        <v>202</v>
      </c>
      <c r="AL8" s="38" t="s">
        <v>202</v>
      </c>
      <c r="AM8" s="38" t="s">
        <v>202</v>
      </c>
      <c r="AN8" s="38" t="s">
        <v>202</v>
      </c>
      <c r="AO8" s="38" t="s">
        <v>70</v>
      </c>
      <c r="AP8" s="30"/>
      <c r="AQ8" s="38" t="s">
        <v>202</v>
      </c>
      <c r="AR8" s="38" t="s">
        <v>70</v>
      </c>
      <c r="AS8" s="38" t="s">
        <v>202</v>
      </c>
      <c r="AT8" s="38" t="s">
        <v>202</v>
      </c>
      <c r="AU8" s="38" t="s">
        <v>202</v>
      </c>
      <c r="AV8" s="38" t="s">
        <v>202</v>
      </c>
      <c r="AW8" s="39"/>
      <c r="AX8" s="38" t="s">
        <v>70</v>
      </c>
      <c r="AY8" s="38" t="s">
        <v>70</v>
      </c>
      <c r="AZ8" s="38" t="s">
        <v>70</v>
      </c>
      <c r="BA8" s="38" t="s">
        <v>70</v>
      </c>
      <c r="BB8" s="38" t="s">
        <v>70</v>
      </c>
      <c r="BC8" s="38" t="s">
        <v>70</v>
      </c>
      <c r="BD8" s="39"/>
      <c r="BE8" s="38" t="s">
        <v>70</v>
      </c>
      <c r="BF8" s="38" t="s">
        <v>70</v>
      </c>
      <c r="BG8" s="38" t="s">
        <v>70</v>
      </c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</row>
    <row r="9">
      <c r="A9" s="36">
        <v>6.0</v>
      </c>
      <c r="B9" s="49" t="s">
        <v>172</v>
      </c>
      <c r="C9" s="49" t="s">
        <v>173</v>
      </c>
      <c r="D9" s="50">
        <f t="shared" si="2"/>
        <v>25</v>
      </c>
      <c r="E9" s="50">
        <f t="shared" si="3"/>
        <v>20</v>
      </c>
      <c r="F9" s="50">
        <f t="shared" si="4"/>
        <v>45</v>
      </c>
      <c r="G9" s="51">
        <f t="shared" si="5"/>
        <v>55.55555556</v>
      </c>
      <c r="H9" s="38" t="s">
        <v>70</v>
      </c>
      <c r="I9" s="38" t="s">
        <v>70</v>
      </c>
      <c r="J9" s="38" t="s">
        <v>70</v>
      </c>
      <c r="K9" s="38" t="s">
        <v>70</v>
      </c>
      <c r="L9" s="38" t="s">
        <v>311</v>
      </c>
      <c r="M9" s="38" t="s">
        <v>311</v>
      </c>
      <c r="N9" s="30"/>
      <c r="O9" s="38" t="s">
        <v>311</v>
      </c>
      <c r="P9" s="38" t="s">
        <v>202</v>
      </c>
      <c r="Q9" s="38" t="s">
        <v>202</v>
      </c>
      <c r="R9" s="38" t="s">
        <v>202</v>
      </c>
      <c r="S9" s="38" t="s">
        <v>70</v>
      </c>
      <c r="T9" s="38" t="s">
        <v>70</v>
      </c>
      <c r="U9" s="30"/>
      <c r="V9" s="38" t="s">
        <v>70</v>
      </c>
      <c r="W9" s="38" t="s">
        <v>70</v>
      </c>
      <c r="X9" s="38" t="s">
        <v>202</v>
      </c>
      <c r="Y9" s="38" t="s">
        <v>202</v>
      </c>
      <c r="Z9" s="38" t="s">
        <v>202</v>
      </c>
      <c r="AA9" s="38" t="s">
        <v>202</v>
      </c>
      <c r="AB9" s="30"/>
      <c r="AC9" s="38" t="s">
        <v>70</v>
      </c>
      <c r="AD9" s="38" t="s">
        <v>202</v>
      </c>
      <c r="AE9" s="38" t="s">
        <v>70</v>
      </c>
      <c r="AF9" s="38" t="s">
        <v>70</v>
      </c>
      <c r="AG9" s="38" t="s">
        <v>70</v>
      </c>
      <c r="AH9" s="38" t="s">
        <v>70</v>
      </c>
      <c r="AI9" s="30"/>
      <c r="AJ9" s="38" t="s">
        <v>70</v>
      </c>
      <c r="AK9" s="38" t="s">
        <v>202</v>
      </c>
      <c r="AL9" s="38" t="s">
        <v>202</v>
      </c>
      <c r="AM9" s="38" t="s">
        <v>202</v>
      </c>
      <c r="AN9" s="38" t="s">
        <v>202</v>
      </c>
      <c r="AO9" s="38" t="s">
        <v>202</v>
      </c>
      <c r="AP9" s="30"/>
      <c r="AQ9" s="38" t="s">
        <v>202</v>
      </c>
      <c r="AR9" s="38" t="s">
        <v>202</v>
      </c>
      <c r="AS9" s="38" t="s">
        <v>70</v>
      </c>
      <c r="AT9" s="38" t="s">
        <v>202</v>
      </c>
      <c r="AU9" s="38" t="s">
        <v>202</v>
      </c>
      <c r="AV9" s="38" t="s">
        <v>202</v>
      </c>
      <c r="AW9" s="39"/>
      <c r="AX9" s="38" t="s">
        <v>70</v>
      </c>
      <c r="AY9" s="38" t="s">
        <v>202</v>
      </c>
      <c r="AZ9" s="38" t="s">
        <v>202</v>
      </c>
      <c r="BA9" s="38" t="s">
        <v>202</v>
      </c>
      <c r="BB9" s="38" t="s">
        <v>202</v>
      </c>
      <c r="BC9" s="38" t="s">
        <v>70</v>
      </c>
      <c r="BD9" s="39"/>
      <c r="BE9" s="38" t="s">
        <v>70</v>
      </c>
      <c r="BF9" s="38" t="s">
        <v>70</v>
      </c>
      <c r="BG9" s="38" t="s">
        <v>70</v>
      </c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</row>
    <row r="10">
      <c r="A10" s="36">
        <v>7.0</v>
      </c>
      <c r="B10" s="49" t="s">
        <v>192</v>
      </c>
      <c r="C10" s="49" t="s">
        <v>196</v>
      </c>
      <c r="D10" s="50">
        <f t="shared" si="2"/>
        <v>44</v>
      </c>
      <c r="E10" s="50">
        <f t="shared" si="3"/>
        <v>1</v>
      </c>
      <c r="F10" s="50">
        <f t="shared" si="4"/>
        <v>45</v>
      </c>
      <c r="G10" s="51">
        <f t="shared" si="5"/>
        <v>97.77777778</v>
      </c>
      <c r="H10" s="38" t="s">
        <v>311</v>
      </c>
      <c r="I10" s="38" t="s">
        <v>311</v>
      </c>
      <c r="J10" s="38" t="s">
        <v>311</v>
      </c>
      <c r="K10" s="38" t="s">
        <v>311</v>
      </c>
      <c r="L10" s="38" t="s">
        <v>311</v>
      </c>
      <c r="M10" s="38" t="s">
        <v>311</v>
      </c>
      <c r="N10" s="30"/>
      <c r="O10" s="38" t="s">
        <v>311</v>
      </c>
      <c r="P10" s="38" t="s">
        <v>311</v>
      </c>
      <c r="Q10" s="38" t="s">
        <v>311</v>
      </c>
      <c r="R10" s="38" t="s">
        <v>311</v>
      </c>
      <c r="S10" s="38" t="s">
        <v>311</v>
      </c>
      <c r="T10" s="38" t="s">
        <v>311</v>
      </c>
      <c r="U10" s="30"/>
      <c r="V10" s="38" t="s">
        <v>311</v>
      </c>
      <c r="W10" s="38" t="s">
        <v>311</v>
      </c>
      <c r="X10" s="38" t="s">
        <v>311</v>
      </c>
      <c r="Y10" s="38" t="s">
        <v>311</v>
      </c>
      <c r="Z10" s="38" t="s">
        <v>311</v>
      </c>
      <c r="AA10" s="38" t="s">
        <v>70</v>
      </c>
      <c r="AB10" s="30"/>
      <c r="AC10" s="38" t="s">
        <v>202</v>
      </c>
      <c r="AD10" s="38" t="s">
        <v>311</v>
      </c>
      <c r="AE10" s="38" t="s">
        <v>311</v>
      </c>
      <c r="AF10" s="38" t="s">
        <v>311</v>
      </c>
      <c r="AG10" s="38" t="s">
        <v>202</v>
      </c>
      <c r="AH10" s="38" t="s">
        <v>311</v>
      </c>
      <c r="AI10" s="30"/>
      <c r="AJ10" s="38" t="s">
        <v>311</v>
      </c>
      <c r="AK10" s="38" t="s">
        <v>311</v>
      </c>
      <c r="AL10" s="38" t="s">
        <v>311</v>
      </c>
      <c r="AM10" s="38" t="s">
        <v>311</v>
      </c>
      <c r="AN10" s="38" t="s">
        <v>202</v>
      </c>
      <c r="AO10" s="38" t="s">
        <v>202</v>
      </c>
      <c r="AP10" s="30"/>
      <c r="AQ10" s="38" t="s">
        <v>202</v>
      </c>
      <c r="AR10" s="38" t="s">
        <v>202</v>
      </c>
      <c r="AS10" s="38" t="s">
        <v>202</v>
      </c>
      <c r="AT10" s="38" t="s">
        <v>202</v>
      </c>
      <c r="AU10" s="38" t="s">
        <v>202</v>
      </c>
      <c r="AV10" s="38" t="s">
        <v>202</v>
      </c>
      <c r="AW10" s="39"/>
      <c r="AX10" s="38" t="s">
        <v>202</v>
      </c>
      <c r="AY10" s="38" t="s">
        <v>202</v>
      </c>
      <c r="AZ10" s="38" t="s">
        <v>202</v>
      </c>
      <c r="BA10" s="38" t="s">
        <v>202</v>
      </c>
      <c r="BB10" s="38" t="s">
        <v>202</v>
      </c>
      <c r="BC10" s="38" t="s">
        <v>202</v>
      </c>
      <c r="BD10" s="39"/>
      <c r="BE10" s="38" t="s">
        <v>202</v>
      </c>
      <c r="BF10" s="38" t="s">
        <v>202</v>
      </c>
      <c r="BG10" s="38" t="s">
        <v>202</v>
      </c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</row>
    <row r="11">
      <c r="A11" s="36">
        <v>8.0</v>
      </c>
      <c r="B11" s="49" t="s">
        <v>216</v>
      </c>
      <c r="C11" s="49" t="s">
        <v>217</v>
      </c>
      <c r="D11" s="50">
        <f t="shared" si="2"/>
        <v>44</v>
      </c>
      <c r="E11" s="50">
        <f t="shared" si="3"/>
        <v>1</v>
      </c>
      <c r="F11" s="50">
        <f t="shared" si="4"/>
        <v>45</v>
      </c>
      <c r="G11" s="51">
        <f t="shared" si="5"/>
        <v>97.77777778</v>
      </c>
      <c r="H11" s="38" t="s">
        <v>311</v>
      </c>
      <c r="I11" s="38" t="s">
        <v>311</v>
      </c>
      <c r="J11" s="38" t="s">
        <v>311</v>
      </c>
      <c r="K11" s="38" t="s">
        <v>311</v>
      </c>
      <c r="L11" s="38" t="s">
        <v>311</v>
      </c>
      <c r="M11" s="38" t="s">
        <v>311</v>
      </c>
      <c r="N11" s="30"/>
      <c r="O11" s="38" t="s">
        <v>311</v>
      </c>
      <c r="P11" s="38" t="s">
        <v>311</v>
      </c>
      <c r="Q11" s="38" t="s">
        <v>311</v>
      </c>
      <c r="R11" s="38" t="s">
        <v>311</v>
      </c>
      <c r="S11" s="38" t="s">
        <v>311</v>
      </c>
      <c r="T11" s="38" t="s">
        <v>311</v>
      </c>
      <c r="U11" s="30"/>
      <c r="V11" s="38" t="s">
        <v>311</v>
      </c>
      <c r="W11" s="38" t="s">
        <v>311</v>
      </c>
      <c r="X11" s="38" t="s">
        <v>311</v>
      </c>
      <c r="Y11" s="38" t="s">
        <v>311</v>
      </c>
      <c r="Z11" s="38" t="s">
        <v>311</v>
      </c>
      <c r="AA11" s="38" t="s">
        <v>311</v>
      </c>
      <c r="AB11" s="30"/>
      <c r="AC11" s="38" t="s">
        <v>311</v>
      </c>
      <c r="AD11" s="38" t="s">
        <v>311</v>
      </c>
      <c r="AE11" s="38" t="s">
        <v>202</v>
      </c>
      <c r="AF11" s="38" t="s">
        <v>70</v>
      </c>
      <c r="AG11" s="38" t="s">
        <v>202</v>
      </c>
      <c r="AH11" s="38" t="s">
        <v>311</v>
      </c>
      <c r="AI11" s="30"/>
      <c r="AJ11" s="38" t="s">
        <v>311</v>
      </c>
      <c r="AK11" s="38" t="s">
        <v>311</v>
      </c>
      <c r="AL11" s="38" t="s">
        <v>311</v>
      </c>
      <c r="AM11" s="38" t="s">
        <v>311</v>
      </c>
      <c r="AN11" s="38" t="s">
        <v>202</v>
      </c>
      <c r="AO11" s="38" t="s">
        <v>311</v>
      </c>
      <c r="AP11" s="30"/>
      <c r="AQ11" s="38" t="s">
        <v>311</v>
      </c>
      <c r="AR11" s="38" t="s">
        <v>311</v>
      </c>
      <c r="AS11" s="38" t="s">
        <v>311</v>
      </c>
      <c r="AT11" s="38" t="s">
        <v>311</v>
      </c>
      <c r="AU11" s="38" t="s">
        <v>311</v>
      </c>
      <c r="AV11" s="38" t="s">
        <v>202</v>
      </c>
      <c r="AW11" s="39"/>
      <c r="AX11" s="38" t="s">
        <v>202</v>
      </c>
      <c r="AY11" s="38" t="s">
        <v>202</v>
      </c>
      <c r="AZ11" s="38" t="s">
        <v>311</v>
      </c>
      <c r="BA11" s="38" t="s">
        <v>202</v>
      </c>
      <c r="BB11" s="38" t="s">
        <v>202</v>
      </c>
      <c r="BC11" s="38" t="s">
        <v>202</v>
      </c>
      <c r="BD11" s="39"/>
      <c r="BE11" s="38" t="s">
        <v>202</v>
      </c>
      <c r="BF11" s="38" t="s">
        <v>202</v>
      </c>
      <c r="BG11" s="38" t="s">
        <v>202</v>
      </c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</row>
    <row r="12">
      <c r="A12" s="36">
        <v>9.0</v>
      </c>
      <c r="B12" s="49" t="s">
        <v>229</v>
      </c>
      <c r="C12" s="49" t="s">
        <v>230</v>
      </c>
      <c r="D12" s="50">
        <f t="shared" si="2"/>
        <v>34</v>
      </c>
      <c r="E12" s="50">
        <f t="shared" si="3"/>
        <v>11</v>
      </c>
      <c r="F12" s="50">
        <f t="shared" si="4"/>
        <v>45</v>
      </c>
      <c r="G12" s="51">
        <f t="shared" si="5"/>
        <v>75.55555556</v>
      </c>
      <c r="H12" s="38" t="s">
        <v>70</v>
      </c>
      <c r="I12" s="38" t="s">
        <v>70</v>
      </c>
      <c r="J12" s="38" t="s">
        <v>70</v>
      </c>
      <c r="K12" s="38" t="s">
        <v>70</v>
      </c>
      <c r="L12" s="38" t="s">
        <v>70</v>
      </c>
      <c r="M12" s="38" t="s">
        <v>70</v>
      </c>
      <c r="N12" s="30"/>
      <c r="O12" s="38" t="s">
        <v>70</v>
      </c>
      <c r="P12" s="38" t="s">
        <v>202</v>
      </c>
      <c r="Q12" s="38" t="s">
        <v>202</v>
      </c>
      <c r="R12" s="38" t="s">
        <v>202</v>
      </c>
      <c r="S12" s="38" t="s">
        <v>202</v>
      </c>
      <c r="T12" s="38" t="s">
        <v>70</v>
      </c>
      <c r="U12" s="30"/>
      <c r="V12" s="38" t="s">
        <v>202</v>
      </c>
      <c r="W12" s="38" t="s">
        <v>202</v>
      </c>
      <c r="X12" s="38" t="s">
        <v>202</v>
      </c>
      <c r="Y12" s="38" t="s">
        <v>202</v>
      </c>
      <c r="Z12" s="38" t="s">
        <v>202</v>
      </c>
      <c r="AA12" s="38" t="s">
        <v>202</v>
      </c>
      <c r="AB12" s="30"/>
      <c r="AC12" s="38" t="s">
        <v>202</v>
      </c>
      <c r="AD12" s="38" t="s">
        <v>202</v>
      </c>
      <c r="AE12" s="38" t="s">
        <v>202</v>
      </c>
      <c r="AF12" s="38" t="s">
        <v>202</v>
      </c>
      <c r="AG12" s="38" t="s">
        <v>202</v>
      </c>
      <c r="AH12" s="38" t="s">
        <v>202</v>
      </c>
      <c r="AI12" s="30"/>
      <c r="AJ12" s="38" t="s">
        <v>202</v>
      </c>
      <c r="AK12" s="38" t="s">
        <v>202</v>
      </c>
      <c r="AL12" s="38" t="s">
        <v>70</v>
      </c>
      <c r="AM12" s="38" t="s">
        <v>202</v>
      </c>
      <c r="AN12" s="38" t="s">
        <v>202</v>
      </c>
      <c r="AO12" s="38" t="s">
        <v>202</v>
      </c>
      <c r="AP12" s="30"/>
      <c r="AQ12" s="38" t="s">
        <v>202</v>
      </c>
      <c r="AR12" s="38" t="s">
        <v>70</v>
      </c>
      <c r="AS12" s="38" t="s">
        <v>202</v>
      </c>
      <c r="AT12" s="38" t="s">
        <v>202</v>
      </c>
      <c r="AU12" s="38" t="s">
        <v>202</v>
      </c>
      <c r="AV12" s="38" t="s">
        <v>202</v>
      </c>
      <c r="AW12" s="39"/>
      <c r="AX12" s="38" t="s">
        <v>202</v>
      </c>
      <c r="AY12" s="38" t="s">
        <v>202</v>
      </c>
      <c r="AZ12" s="38" t="s">
        <v>202</v>
      </c>
      <c r="BA12" s="38" t="s">
        <v>202</v>
      </c>
      <c r="BB12" s="38" t="s">
        <v>202</v>
      </c>
      <c r="BC12" s="38" t="s">
        <v>202</v>
      </c>
      <c r="BD12" s="39"/>
      <c r="BE12" s="38" t="s">
        <v>202</v>
      </c>
      <c r="BF12" s="38" t="s">
        <v>202</v>
      </c>
      <c r="BG12" s="38" t="s">
        <v>70</v>
      </c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</row>
    <row r="13">
      <c r="A13" s="36">
        <v>10.0</v>
      </c>
      <c r="B13" s="49" t="s">
        <v>240</v>
      </c>
      <c r="C13" s="49" t="s">
        <v>242</v>
      </c>
      <c r="D13" s="50">
        <f t="shared" si="2"/>
        <v>45</v>
      </c>
      <c r="E13" s="50">
        <f t="shared" si="3"/>
        <v>0</v>
      </c>
      <c r="F13" s="50">
        <f t="shared" si="4"/>
        <v>45</v>
      </c>
      <c r="G13" s="51">
        <f t="shared" si="5"/>
        <v>100</v>
      </c>
      <c r="H13" s="38" t="s">
        <v>202</v>
      </c>
      <c r="I13" s="38" t="s">
        <v>202</v>
      </c>
      <c r="J13" s="38" t="s">
        <v>202</v>
      </c>
      <c r="K13" s="38" t="s">
        <v>202</v>
      </c>
      <c r="L13" s="38" t="s">
        <v>202</v>
      </c>
      <c r="M13" s="38" t="s">
        <v>202</v>
      </c>
      <c r="N13" s="30"/>
      <c r="O13" s="38" t="s">
        <v>202</v>
      </c>
      <c r="P13" s="38" t="s">
        <v>202</v>
      </c>
      <c r="Q13" s="38" t="s">
        <v>202</v>
      </c>
      <c r="R13" s="38" t="s">
        <v>202</v>
      </c>
      <c r="S13" s="38" t="s">
        <v>202</v>
      </c>
      <c r="T13" s="38" t="s">
        <v>202</v>
      </c>
      <c r="U13" s="30"/>
      <c r="V13" s="38" t="s">
        <v>202</v>
      </c>
      <c r="W13" s="38" t="s">
        <v>202</v>
      </c>
      <c r="X13" s="38" t="s">
        <v>202</v>
      </c>
      <c r="Y13" s="38" t="s">
        <v>202</v>
      </c>
      <c r="Z13" s="38" t="s">
        <v>202</v>
      </c>
      <c r="AA13" s="38" t="s">
        <v>202</v>
      </c>
      <c r="AB13" s="30"/>
      <c r="AC13" s="38" t="s">
        <v>202</v>
      </c>
      <c r="AD13" s="38" t="s">
        <v>202</v>
      </c>
      <c r="AE13" s="38" t="s">
        <v>202</v>
      </c>
      <c r="AF13" s="38" t="s">
        <v>202</v>
      </c>
      <c r="AG13" s="38" t="s">
        <v>202</v>
      </c>
      <c r="AH13" s="38" t="s">
        <v>202</v>
      </c>
      <c r="AI13" s="30"/>
      <c r="AJ13" s="38" t="s">
        <v>202</v>
      </c>
      <c r="AK13" s="38" t="s">
        <v>202</v>
      </c>
      <c r="AL13" s="38" t="s">
        <v>202</v>
      </c>
      <c r="AM13" s="38" t="s">
        <v>202</v>
      </c>
      <c r="AN13" s="38" t="s">
        <v>202</v>
      </c>
      <c r="AO13" s="38" t="s">
        <v>202</v>
      </c>
      <c r="AP13" s="30"/>
      <c r="AQ13" s="38" t="s">
        <v>202</v>
      </c>
      <c r="AR13" s="38" t="s">
        <v>202</v>
      </c>
      <c r="AS13" s="38" t="s">
        <v>202</v>
      </c>
      <c r="AT13" s="38" t="s">
        <v>202</v>
      </c>
      <c r="AU13" s="38" t="s">
        <v>202</v>
      </c>
      <c r="AV13" s="38" t="s">
        <v>202</v>
      </c>
      <c r="AW13" s="39"/>
      <c r="AX13" s="38" t="s">
        <v>202</v>
      </c>
      <c r="AY13" s="38" t="s">
        <v>202</v>
      </c>
      <c r="AZ13" s="38" t="s">
        <v>202</v>
      </c>
      <c r="BA13" s="38" t="s">
        <v>202</v>
      </c>
      <c r="BB13" s="38" t="s">
        <v>202</v>
      </c>
      <c r="BC13" s="38" t="s">
        <v>202</v>
      </c>
      <c r="BD13" s="39"/>
      <c r="BE13" s="38" t="s">
        <v>202</v>
      </c>
      <c r="BF13" s="38" t="s">
        <v>202</v>
      </c>
      <c r="BG13" s="38" t="s">
        <v>202</v>
      </c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</row>
    <row r="14">
      <c r="A14" s="36">
        <v>11.0</v>
      </c>
      <c r="B14" s="49" t="s">
        <v>253</v>
      </c>
      <c r="C14" s="49" t="s">
        <v>255</v>
      </c>
      <c r="D14" s="50">
        <f t="shared" si="2"/>
        <v>0</v>
      </c>
      <c r="E14" s="50">
        <f t="shared" si="3"/>
        <v>30</v>
      </c>
      <c r="F14" s="50">
        <f t="shared" si="4"/>
        <v>30</v>
      </c>
      <c r="G14" s="51">
        <f t="shared" si="5"/>
        <v>0</v>
      </c>
      <c r="H14" s="39"/>
      <c r="I14" s="39"/>
      <c r="J14" s="39"/>
      <c r="K14" s="39"/>
      <c r="L14" s="39"/>
      <c r="M14" s="39"/>
      <c r="N14" s="30"/>
      <c r="O14" s="39"/>
      <c r="P14" s="39"/>
      <c r="Q14" s="39"/>
      <c r="R14" s="39"/>
      <c r="S14" s="39"/>
      <c r="T14" s="39"/>
      <c r="U14" s="30"/>
      <c r="V14" s="39"/>
      <c r="W14" s="39"/>
      <c r="X14" s="39"/>
      <c r="Y14" s="38" t="s">
        <v>70</v>
      </c>
      <c r="Z14" s="38" t="s">
        <v>70</v>
      </c>
      <c r="AA14" s="38" t="s">
        <v>70</v>
      </c>
      <c r="AB14" s="30"/>
      <c r="AC14" s="38" t="s">
        <v>70</v>
      </c>
      <c r="AD14" s="38" t="s">
        <v>70</v>
      </c>
      <c r="AE14" s="38" t="s">
        <v>70</v>
      </c>
      <c r="AF14" s="38" t="s">
        <v>70</v>
      </c>
      <c r="AG14" s="38" t="s">
        <v>70</v>
      </c>
      <c r="AH14" s="38" t="s">
        <v>70</v>
      </c>
      <c r="AI14" s="30"/>
      <c r="AJ14" s="38" t="s">
        <v>70</v>
      </c>
      <c r="AK14" s="38" t="s">
        <v>70</v>
      </c>
      <c r="AL14" s="38" t="s">
        <v>70</v>
      </c>
      <c r="AM14" s="38" t="s">
        <v>70</v>
      </c>
      <c r="AN14" s="38" t="s">
        <v>70</v>
      </c>
      <c r="AO14" s="38" t="s">
        <v>70</v>
      </c>
      <c r="AP14" s="30"/>
      <c r="AQ14" s="38" t="s">
        <v>70</v>
      </c>
      <c r="AR14" s="38" t="s">
        <v>70</v>
      </c>
      <c r="AS14" s="38" t="s">
        <v>70</v>
      </c>
      <c r="AT14" s="38" t="s">
        <v>70</v>
      </c>
      <c r="AU14" s="38" t="s">
        <v>70</v>
      </c>
      <c r="AV14" s="38" t="s">
        <v>70</v>
      </c>
      <c r="AW14" s="39"/>
      <c r="AX14" s="38" t="s">
        <v>70</v>
      </c>
      <c r="AY14" s="38" t="s">
        <v>70</v>
      </c>
      <c r="AZ14" s="38" t="s">
        <v>70</v>
      </c>
      <c r="BA14" s="38" t="s">
        <v>70</v>
      </c>
      <c r="BB14" s="38" t="s">
        <v>70</v>
      </c>
      <c r="BC14" s="38" t="s">
        <v>70</v>
      </c>
      <c r="BD14" s="39"/>
      <c r="BE14" s="38" t="s">
        <v>70</v>
      </c>
      <c r="BF14" s="38" t="s">
        <v>70</v>
      </c>
      <c r="BG14" s="38" t="s">
        <v>70</v>
      </c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</row>
    <row r="15">
      <c r="A15" s="36">
        <v>12.0</v>
      </c>
      <c r="B15" s="49" t="s">
        <v>265</v>
      </c>
      <c r="C15" s="49" t="s">
        <v>267</v>
      </c>
      <c r="D15" s="50">
        <f t="shared" si="2"/>
        <v>21</v>
      </c>
      <c r="E15" s="50">
        <f t="shared" si="3"/>
        <v>24</v>
      </c>
      <c r="F15" s="50">
        <f t="shared" si="4"/>
        <v>45</v>
      </c>
      <c r="G15" s="51">
        <f t="shared" si="5"/>
        <v>46.66666667</v>
      </c>
      <c r="H15" s="38" t="s">
        <v>202</v>
      </c>
      <c r="I15" s="38" t="s">
        <v>202</v>
      </c>
      <c r="J15" s="38" t="s">
        <v>202</v>
      </c>
      <c r="K15" s="38" t="s">
        <v>202</v>
      </c>
      <c r="L15" s="38" t="s">
        <v>70</v>
      </c>
      <c r="M15" s="38" t="s">
        <v>70</v>
      </c>
      <c r="N15" s="30"/>
      <c r="O15" s="38" t="s">
        <v>70</v>
      </c>
      <c r="P15" s="38" t="s">
        <v>202</v>
      </c>
      <c r="Q15" s="38" t="s">
        <v>70</v>
      </c>
      <c r="R15" s="38" t="s">
        <v>202</v>
      </c>
      <c r="S15" s="38" t="s">
        <v>202</v>
      </c>
      <c r="T15" s="38" t="s">
        <v>70</v>
      </c>
      <c r="U15" s="30"/>
      <c r="V15" s="38" t="s">
        <v>202</v>
      </c>
      <c r="W15" s="38" t="s">
        <v>202</v>
      </c>
      <c r="X15" s="38" t="s">
        <v>202</v>
      </c>
      <c r="Y15" s="38" t="s">
        <v>202</v>
      </c>
      <c r="Z15" s="38" t="s">
        <v>202</v>
      </c>
      <c r="AA15" s="38" t="s">
        <v>202</v>
      </c>
      <c r="AB15" s="30"/>
      <c r="AC15" s="38" t="s">
        <v>202</v>
      </c>
      <c r="AD15" s="38" t="s">
        <v>202</v>
      </c>
      <c r="AE15" s="38" t="s">
        <v>202</v>
      </c>
      <c r="AF15" s="38" t="s">
        <v>70</v>
      </c>
      <c r="AG15" s="38" t="s">
        <v>70</v>
      </c>
      <c r="AH15" s="38" t="s">
        <v>70</v>
      </c>
      <c r="AI15" s="30"/>
      <c r="AJ15" s="38" t="s">
        <v>70</v>
      </c>
      <c r="AK15" s="38" t="s">
        <v>202</v>
      </c>
      <c r="AL15" s="38" t="s">
        <v>70</v>
      </c>
      <c r="AM15" s="38" t="s">
        <v>70</v>
      </c>
      <c r="AN15" s="38" t="s">
        <v>70</v>
      </c>
      <c r="AO15" s="38" t="s">
        <v>70</v>
      </c>
      <c r="AP15" s="30"/>
      <c r="AQ15" s="38" t="s">
        <v>202</v>
      </c>
      <c r="AR15" s="38" t="s">
        <v>70</v>
      </c>
      <c r="AS15" s="38" t="s">
        <v>70</v>
      </c>
      <c r="AT15" s="38" t="s">
        <v>202</v>
      </c>
      <c r="AU15" s="38" t="s">
        <v>202</v>
      </c>
      <c r="AV15" s="38" t="s">
        <v>70</v>
      </c>
      <c r="AW15" s="39"/>
      <c r="AX15" s="38" t="s">
        <v>70</v>
      </c>
      <c r="AY15" s="38" t="s">
        <v>70</v>
      </c>
      <c r="AZ15" s="38" t="s">
        <v>70</v>
      </c>
      <c r="BA15" s="38" t="s">
        <v>70</v>
      </c>
      <c r="BB15" s="38" t="s">
        <v>70</v>
      </c>
      <c r="BC15" s="38" t="s">
        <v>70</v>
      </c>
      <c r="BD15" s="39"/>
      <c r="BE15" s="38" t="s">
        <v>70</v>
      </c>
      <c r="BF15" s="38" t="s">
        <v>70</v>
      </c>
      <c r="BG15" s="38" t="s">
        <v>202</v>
      </c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</row>
    <row r="16">
      <c r="A16" s="36">
        <v>13.0</v>
      </c>
      <c r="B16" s="49" t="s">
        <v>277</v>
      </c>
      <c r="C16" s="49" t="s">
        <v>279</v>
      </c>
      <c r="D16" s="50">
        <f t="shared" si="2"/>
        <v>39</v>
      </c>
      <c r="E16" s="50">
        <f t="shared" si="3"/>
        <v>6</v>
      </c>
      <c r="F16" s="50">
        <f t="shared" si="4"/>
        <v>45</v>
      </c>
      <c r="G16" s="51">
        <f t="shared" si="5"/>
        <v>86.66666667</v>
      </c>
      <c r="H16" s="38" t="s">
        <v>70</v>
      </c>
      <c r="I16" s="38" t="s">
        <v>202</v>
      </c>
      <c r="J16" s="38" t="s">
        <v>202</v>
      </c>
      <c r="K16" s="38" t="s">
        <v>202</v>
      </c>
      <c r="L16" s="38" t="s">
        <v>202</v>
      </c>
      <c r="M16" s="38" t="s">
        <v>70</v>
      </c>
      <c r="N16" s="30"/>
      <c r="O16" s="38" t="s">
        <v>202</v>
      </c>
      <c r="P16" s="38" t="s">
        <v>202</v>
      </c>
      <c r="Q16" s="38" t="s">
        <v>202</v>
      </c>
      <c r="R16" s="38" t="s">
        <v>202</v>
      </c>
      <c r="S16" s="38" t="s">
        <v>202</v>
      </c>
      <c r="T16" s="38" t="s">
        <v>202</v>
      </c>
      <c r="U16" s="30"/>
      <c r="V16" s="38" t="s">
        <v>202</v>
      </c>
      <c r="W16" s="38" t="s">
        <v>202</v>
      </c>
      <c r="X16" s="38" t="s">
        <v>202</v>
      </c>
      <c r="Y16" s="38" t="s">
        <v>202</v>
      </c>
      <c r="Z16" s="38" t="s">
        <v>202</v>
      </c>
      <c r="AA16" s="38" t="s">
        <v>202</v>
      </c>
      <c r="AB16" s="30"/>
      <c r="AC16" s="38" t="s">
        <v>202</v>
      </c>
      <c r="AD16" s="38" t="s">
        <v>70</v>
      </c>
      <c r="AE16" s="38" t="s">
        <v>70</v>
      </c>
      <c r="AF16" s="38" t="s">
        <v>70</v>
      </c>
      <c r="AG16" s="38" t="s">
        <v>70</v>
      </c>
      <c r="AH16" s="38" t="s">
        <v>202</v>
      </c>
      <c r="AI16" s="30"/>
      <c r="AJ16" s="38" t="s">
        <v>202</v>
      </c>
      <c r="AK16" s="38" t="s">
        <v>202</v>
      </c>
      <c r="AL16" s="38" t="s">
        <v>311</v>
      </c>
      <c r="AM16" s="38" t="s">
        <v>311</v>
      </c>
      <c r="AN16" s="38" t="s">
        <v>202</v>
      </c>
      <c r="AO16" s="38" t="s">
        <v>202</v>
      </c>
      <c r="AP16" s="30"/>
      <c r="AQ16" s="38" t="s">
        <v>311</v>
      </c>
      <c r="AR16" s="38" t="s">
        <v>202</v>
      </c>
      <c r="AS16" s="38" t="s">
        <v>202</v>
      </c>
      <c r="AT16" s="38" t="s">
        <v>202</v>
      </c>
      <c r="AU16" s="38" t="s">
        <v>202</v>
      </c>
      <c r="AV16" s="38" t="s">
        <v>202</v>
      </c>
      <c r="AW16" s="39"/>
      <c r="AX16" s="38" t="s">
        <v>202</v>
      </c>
      <c r="AY16" s="38" t="s">
        <v>202</v>
      </c>
      <c r="AZ16" s="38" t="s">
        <v>202</v>
      </c>
      <c r="BA16" s="38" t="s">
        <v>202</v>
      </c>
      <c r="BB16" s="38" t="s">
        <v>202</v>
      </c>
      <c r="BC16" s="38" t="s">
        <v>202</v>
      </c>
      <c r="BD16" s="39"/>
      <c r="BE16" s="38" t="s">
        <v>202</v>
      </c>
      <c r="BF16" s="38" t="s">
        <v>202</v>
      </c>
      <c r="BG16" s="38" t="s">
        <v>202</v>
      </c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</row>
    <row r="17">
      <c r="A17" s="36">
        <v>14.0</v>
      </c>
      <c r="B17" s="49" t="s">
        <v>288</v>
      </c>
      <c r="C17" s="49" t="s">
        <v>290</v>
      </c>
      <c r="D17" s="50">
        <f t="shared" si="2"/>
        <v>33</v>
      </c>
      <c r="E17" s="50">
        <f t="shared" si="3"/>
        <v>12</v>
      </c>
      <c r="F17" s="50">
        <f t="shared" si="4"/>
        <v>45</v>
      </c>
      <c r="G17" s="51">
        <f t="shared" si="5"/>
        <v>73.33333333</v>
      </c>
      <c r="H17" s="38" t="s">
        <v>70</v>
      </c>
      <c r="I17" s="38" t="s">
        <v>70</v>
      </c>
      <c r="J17" s="38" t="s">
        <v>202</v>
      </c>
      <c r="K17" s="38" t="s">
        <v>202</v>
      </c>
      <c r="L17" s="38" t="s">
        <v>202</v>
      </c>
      <c r="M17" s="38" t="s">
        <v>202</v>
      </c>
      <c r="N17" s="30"/>
      <c r="O17" s="38" t="s">
        <v>70</v>
      </c>
      <c r="P17" s="38" t="s">
        <v>202</v>
      </c>
      <c r="Q17" s="38" t="s">
        <v>202</v>
      </c>
      <c r="R17" s="38" t="s">
        <v>202</v>
      </c>
      <c r="S17" s="38" t="s">
        <v>202</v>
      </c>
      <c r="T17" s="38" t="s">
        <v>202</v>
      </c>
      <c r="U17" s="30"/>
      <c r="V17" s="38" t="s">
        <v>202</v>
      </c>
      <c r="W17" s="38" t="s">
        <v>202</v>
      </c>
      <c r="X17" s="38" t="s">
        <v>202</v>
      </c>
      <c r="Y17" s="38" t="s">
        <v>202</v>
      </c>
      <c r="Z17" s="38" t="s">
        <v>70</v>
      </c>
      <c r="AA17" s="38" t="s">
        <v>202</v>
      </c>
      <c r="AB17" s="30"/>
      <c r="AC17" s="38" t="s">
        <v>202</v>
      </c>
      <c r="AD17" s="38" t="s">
        <v>202</v>
      </c>
      <c r="AE17" s="38" t="s">
        <v>202</v>
      </c>
      <c r="AF17" s="38" t="s">
        <v>202</v>
      </c>
      <c r="AG17" s="38" t="s">
        <v>70</v>
      </c>
      <c r="AH17" s="38" t="s">
        <v>202</v>
      </c>
      <c r="AI17" s="30"/>
      <c r="AJ17" s="38" t="s">
        <v>202</v>
      </c>
      <c r="AK17" s="38" t="s">
        <v>202</v>
      </c>
      <c r="AL17" s="38" t="s">
        <v>202</v>
      </c>
      <c r="AM17" s="38" t="s">
        <v>70</v>
      </c>
      <c r="AN17" s="38" t="s">
        <v>202</v>
      </c>
      <c r="AO17" s="38" t="s">
        <v>202</v>
      </c>
      <c r="AP17" s="30"/>
      <c r="AQ17" s="38" t="s">
        <v>70</v>
      </c>
      <c r="AR17" s="38" t="s">
        <v>202</v>
      </c>
      <c r="AS17" s="38" t="s">
        <v>202</v>
      </c>
      <c r="AT17" s="38" t="s">
        <v>202</v>
      </c>
      <c r="AU17" s="38" t="s">
        <v>202</v>
      </c>
      <c r="AV17" s="38" t="s">
        <v>202</v>
      </c>
      <c r="AW17" s="39"/>
      <c r="AX17" s="38" t="s">
        <v>202</v>
      </c>
      <c r="AY17" s="38" t="s">
        <v>202</v>
      </c>
      <c r="AZ17" s="38" t="s">
        <v>202</v>
      </c>
      <c r="BA17" s="38" t="s">
        <v>70</v>
      </c>
      <c r="BB17" s="38" t="s">
        <v>202</v>
      </c>
      <c r="BC17" s="38" t="s">
        <v>70</v>
      </c>
      <c r="BD17" s="39"/>
      <c r="BE17" s="38" t="s">
        <v>70</v>
      </c>
      <c r="BF17" s="38" t="s">
        <v>70</v>
      </c>
      <c r="BG17" s="38" t="s">
        <v>70</v>
      </c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</row>
    <row r="18">
      <c r="A18" s="36">
        <v>15.0</v>
      </c>
      <c r="B18" s="49" t="s">
        <v>296</v>
      </c>
      <c r="C18" s="49" t="s">
        <v>297</v>
      </c>
      <c r="D18" s="50">
        <f t="shared" si="2"/>
        <v>45</v>
      </c>
      <c r="E18" s="50">
        <f t="shared" si="3"/>
        <v>0</v>
      </c>
      <c r="F18" s="50">
        <f t="shared" si="4"/>
        <v>45</v>
      </c>
      <c r="G18" s="51">
        <f t="shared" si="5"/>
        <v>100</v>
      </c>
      <c r="H18" s="38" t="s">
        <v>202</v>
      </c>
      <c r="I18" s="38" t="s">
        <v>202</v>
      </c>
      <c r="J18" s="38" t="s">
        <v>202</v>
      </c>
      <c r="K18" s="38" t="s">
        <v>202</v>
      </c>
      <c r="L18" s="38" t="s">
        <v>311</v>
      </c>
      <c r="M18" s="38" t="s">
        <v>311</v>
      </c>
      <c r="N18" s="30"/>
      <c r="O18" s="38" t="s">
        <v>202</v>
      </c>
      <c r="P18" s="38" t="s">
        <v>311</v>
      </c>
      <c r="Q18" s="38" t="s">
        <v>202</v>
      </c>
      <c r="R18" s="38" t="s">
        <v>202</v>
      </c>
      <c r="S18" s="38" t="s">
        <v>202</v>
      </c>
      <c r="T18" s="38" t="s">
        <v>202</v>
      </c>
      <c r="U18" s="30"/>
      <c r="V18" s="38" t="s">
        <v>202</v>
      </c>
      <c r="W18" s="38" t="s">
        <v>202</v>
      </c>
      <c r="X18" s="38" t="s">
        <v>202</v>
      </c>
      <c r="Y18" s="38" t="s">
        <v>202</v>
      </c>
      <c r="Z18" s="38" t="s">
        <v>202</v>
      </c>
      <c r="AA18" s="38" t="s">
        <v>202</v>
      </c>
      <c r="AB18" s="30"/>
      <c r="AC18" s="38" t="s">
        <v>202</v>
      </c>
      <c r="AD18" s="38" t="s">
        <v>202</v>
      </c>
      <c r="AE18" s="38" t="s">
        <v>202</v>
      </c>
      <c r="AF18" s="38" t="s">
        <v>202</v>
      </c>
      <c r="AG18" s="38" t="s">
        <v>202</v>
      </c>
      <c r="AH18" s="38" t="s">
        <v>202</v>
      </c>
      <c r="AI18" s="30"/>
      <c r="AJ18" s="38" t="s">
        <v>202</v>
      </c>
      <c r="AK18" s="38" t="s">
        <v>202</v>
      </c>
      <c r="AL18" s="38" t="s">
        <v>202</v>
      </c>
      <c r="AM18" s="38" t="s">
        <v>202</v>
      </c>
      <c r="AN18" s="38" t="s">
        <v>202</v>
      </c>
      <c r="AO18" s="38" t="s">
        <v>202</v>
      </c>
      <c r="AP18" s="30"/>
      <c r="AQ18" s="38" t="s">
        <v>202</v>
      </c>
      <c r="AR18" s="38" t="s">
        <v>202</v>
      </c>
      <c r="AS18" s="38" t="s">
        <v>311</v>
      </c>
      <c r="AT18" s="38" t="s">
        <v>202</v>
      </c>
      <c r="AU18" s="38" t="s">
        <v>202</v>
      </c>
      <c r="AV18" s="38" t="s">
        <v>202</v>
      </c>
      <c r="AW18" s="39"/>
      <c r="AX18" s="38" t="s">
        <v>202</v>
      </c>
      <c r="AY18" s="38" t="s">
        <v>202</v>
      </c>
      <c r="AZ18" s="38" t="s">
        <v>202</v>
      </c>
      <c r="BA18" s="38" t="s">
        <v>202</v>
      </c>
      <c r="BB18" s="38" t="s">
        <v>202</v>
      </c>
      <c r="BC18" s="38" t="s">
        <v>202</v>
      </c>
      <c r="BD18" s="39"/>
      <c r="BE18" s="38" t="s">
        <v>202</v>
      </c>
      <c r="BF18" s="38" t="s">
        <v>202</v>
      </c>
      <c r="BG18" s="38" t="s">
        <v>202</v>
      </c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</row>
    <row r="19">
      <c r="A19" s="36">
        <v>16.0</v>
      </c>
      <c r="B19" s="49" t="s">
        <v>305</v>
      </c>
      <c r="C19" s="49" t="s">
        <v>306</v>
      </c>
      <c r="D19" s="50">
        <f t="shared" si="2"/>
        <v>41</v>
      </c>
      <c r="E19" s="50">
        <f t="shared" si="3"/>
        <v>4</v>
      </c>
      <c r="F19" s="50">
        <f t="shared" si="4"/>
        <v>45</v>
      </c>
      <c r="G19" s="51">
        <f t="shared" si="5"/>
        <v>91.11111111</v>
      </c>
      <c r="H19" s="38" t="s">
        <v>202</v>
      </c>
      <c r="I19" s="38" t="s">
        <v>202</v>
      </c>
      <c r="J19" s="38" t="s">
        <v>202</v>
      </c>
      <c r="K19" s="38" t="s">
        <v>202</v>
      </c>
      <c r="L19" s="38" t="s">
        <v>202</v>
      </c>
      <c r="M19" s="38" t="s">
        <v>202</v>
      </c>
      <c r="N19" s="30"/>
      <c r="O19" s="38" t="s">
        <v>202</v>
      </c>
      <c r="P19" s="38" t="s">
        <v>202</v>
      </c>
      <c r="Q19" s="38" t="s">
        <v>202</v>
      </c>
      <c r="R19" s="38" t="s">
        <v>202</v>
      </c>
      <c r="S19" s="38" t="s">
        <v>202</v>
      </c>
      <c r="T19" s="38" t="s">
        <v>202</v>
      </c>
      <c r="U19" s="30"/>
      <c r="V19" s="38" t="s">
        <v>202</v>
      </c>
      <c r="W19" s="38" t="s">
        <v>202</v>
      </c>
      <c r="X19" s="38" t="s">
        <v>202</v>
      </c>
      <c r="Y19" s="38" t="s">
        <v>202</v>
      </c>
      <c r="Z19" s="38" t="s">
        <v>202</v>
      </c>
      <c r="AA19" s="38" t="s">
        <v>70</v>
      </c>
      <c r="AB19" s="30"/>
      <c r="AC19" s="38" t="s">
        <v>202</v>
      </c>
      <c r="AD19" s="38" t="s">
        <v>202</v>
      </c>
      <c r="AE19" s="38" t="s">
        <v>202</v>
      </c>
      <c r="AF19" s="38" t="s">
        <v>202</v>
      </c>
      <c r="AG19" s="38" t="s">
        <v>202</v>
      </c>
      <c r="AH19" s="38" t="s">
        <v>202</v>
      </c>
      <c r="AI19" s="30"/>
      <c r="AJ19" s="38" t="s">
        <v>202</v>
      </c>
      <c r="AK19" s="38" t="s">
        <v>202</v>
      </c>
      <c r="AL19" s="38" t="s">
        <v>202</v>
      </c>
      <c r="AM19" s="38" t="s">
        <v>202</v>
      </c>
      <c r="AN19" s="38" t="s">
        <v>202</v>
      </c>
      <c r="AO19" s="38" t="s">
        <v>202</v>
      </c>
      <c r="AP19" s="30"/>
      <c r="AQ19" s="38" t="s">
        <v>202</v>
      </c>
      <c r="AR19" s="38" t="s">
        <v>70</v>
      </c>
      <c r="AS19" s="38" t="s">
        <v>202</v>
      </c>
      <c r="AT19" s="38" t="s">
        <v>202</v>
      </c>
      <c r="AU19" s="38" t="s">
        <v>202</v>
      </c>
      <c r="AV19" s="38" t="s">
        <v>202</v>
      </c>
      <c r="AW19" s="39"/>
      <c r="AX19" s="38" t="s">
        <v>202</v>
      </c>
      <c r="AY19" s="38" t="s">
        <v>202</v>
      </c>
      <c r="AZ19" s="38" t="s">
        <v>202</v>
      </c>
      <c r="BA19" s="38" t="s">
        <v>202</v>
      </c>
      <c r="BB19" s="38" t="s">
        <v>202</v>
      </c>
      <c r="BC19" s="38" t="s">
        <v>70</v>
      </c>
      <c r="BD19" s="39"/>
      <c r="BE19" s="38" t="s">
        <v>202</v>
      </c>
      <c r="BF19" s="38" t="s">
        <v>70</v>
      </c>
      <c r="BG19" s="38" t="s">
        <v>202</v>
      </c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</row>
    <row r="20">
      <c r="A20" s="36">
        <v>17.0</v>
      </c>
      <c r="B20" s="49" t="s">
        <v>315</v>
      </c>
      <c r="C20" s="49" t="s">
        <v>316</v>
      </c>
      <c r="D20" s="50">
        <f t="shared" si="2"/>
        <v>44</v>
      </c>
      <c r="E20" s="50">
        <f t="shared" si="3"/>
        <v>1</v>
      </c>
      <c r="F20" s="50">
        <f t="shared" si="4"/>
        <v>45</v>
      </c>
      <c r="G20" s="51">
        <f t="shared" si="5"/>
        <v>97.77777778</v>
      </c>
      <c r="H20" s="38" t="s">
        <v>202</v>
      </c>
      <c r="I20" s="38" t="s">
        <v>202</v>
      </c>
      <c r="J20" s="38" t="s">
        <v>202</v>
      </c>
      <c r="K20" s="38" t="s">
        <v>202</v>
      </c>
      <c r="L20" s="38" t="s">
        <v>202</v>
      </c>
      <c r="M20" s="38" t="s">
        <v>202</v>
      </c>
      <c r="N20" s="30"/>
      <c r="O20" s="38" t="s">
        <v>202</v>
      </c>
      <c r="P20" s="38" t="s">
        <v>202</v>
      </c>
      <c r="Q20" s="38" t="s">
        <v>202</v>
      </c>
      <c r="R20" s="38" t="s">
        <v>202</v>
      </c>
      <c r="S20" s="38" t="s">
        <v>202</v>
      </c>
      <c r="T20" s="38" t="s">
        <v>202</v>
      </c>
      <c r="U20" s="30"/>
      <c r="V20" s="38" t="s">
        <v>202</v>
      </c>
      <c r="W20" s="38" t="s">
        <v>202</v>
      </c>
      <c r="X20" s="38" t="s">
        <v>202</v>
      </c>
      <c r="Y20" s="38" t="s">
        <v>202</v>
      </c>
      <c r="Z20" s="38" t="s">
        <v>202</v>
      </c>
      <c r="AA20" s="38" t="s">
        <v>202</v>
      </c>
      <c r="AB20" s="30"/>
      <c r="AC20" s="38" t="s">
        <v>70</v>
      </c>
      <c r="AD20" s="38" t="s">
        <v>202</v>
      </c>
      <c r="AE20" s="38" t="s">
        <v>202</v>
      </c>
      <c r="AF20" s="38" t="s">
        <v>202</v>
      </c>
      <c r="AG20" s="38" t="s">
        <v>202</v>
      </c>
      <c r="AH20" s="38" t="s">
        <v>202</v>
      </c>
      <c r="AI20" s="30"/>
      <c r="AJ20" s="38" t="s">
        <v>202</v>
      </c>
      <c r="AK20" s="38" t="s">
        <v>202</v>
      </c>
      <c r="AL20" s="38" t="s">
        <v>202</v>
      </c>
      <c r="AM20" s="38" t="s">
        <v>202</v>
      </c>
      <c r="AN20" s="38" t="s">
        <v>202</v>
      </c>
      <c r="AO20" s="38" t="s">
        <v>202</v>
      </c>
      <c r="AP20" s="30"/>
      <c r="AQ20" s="38" t="s">
        <v>202</v>
      </c>
      <c r="AR20" s="38" t="s">
        <v>202</v>
      </c>
      <c r="AS20" s="38" t="s">
        <v>202</v>
      </c>
      <c r="AT20" s="38" t="s">
        <v>202</v>
      </c>
      <c r="AU20" s="38" t="s">
        <v>202</v>
      </c>
      <c r="AV20" s="38" t="s">
        <v>202</v>
      </c>
      <c r="AW20" s="39"/>
      <c r="AX20" s="38" t="s">
        <v>202</v>
      </c>
      <c r="AY20" s="38" t="s">
        <v>202</v>
      </c>
      <c r="AZ20" s="38" t="s">
        <v>202</v>
      </c>
      <c r="BA20" s="38" t="s">
        <v>202</v>
      </c>
      <c r="BB20" s="38" t="s">
        <v>202</v>
      </c>
      <c r="BC20" s="38" t="s">
        <v>202</v>
      </c>
      <c r="BD20" s="39"/>
      <c r="BE20" s="38" t="s">
        <v>202</v>
      </c>
      <c r="BF20" s="38" t="s">
        <v>202</v>
      </c>
      <c r="BG20" s="38" t="s">
        <v>202</v>
      </c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>
      <c r="A21" s="36">
        <v>18.0</v>
      </c>
      <c r="B21" s="49" t="s">
        <v>335</v>
      </c>
      <c r="C21" s="49" t="s">
        <v>337</v>
      </c>
      <c r="D21" s="50">
        <f t="shared" si="2"/>
        <v>26</v>
      </c>
      <c r="E21" s="50">
        <f t="shared" si="3"/>
        <v>19</v>
      </c>
      <c r="F21" s="50">
        <f t="shared" si="4"/>
        <v>45</v>
      </c>
      <c r="G21" s="51">
        <f t="shared" si="5"/>
        <v>57.77777778</v>
      </c>
      <c r="H21" s="38" t="s">
        <v>202</v>
      </c>
      <c r="I21" s="38" t="s">
        <v>202</v>
      </c>
      <c r="J21" s="38" t="s">
        <v>311</v>
      </c>
      <c r="K21" s="38" t="s">
        <v>70</v>
      </c>
      <c r="L21" s="38" t="s">
        <v>70</v>
      </c>
      <c r="M21" s="38" t="s">
        <v>70</v>
      </c>
      <c r="N21" s="30"/>
      <c r="O21" s="38" t="s">
        <v>70</v>
      </c>
      <c r="P21" s="38" t="s">
        <v>70</v>
      </c>
      <c r="Q21" s="38" t="s">
        <v>202</v>
      </c>
      <c r="R21" s="38" t="s">
        <v>202</v>
      </c>
      <c r="S21" s="38" t="s">
        <v>202</v>
      </c>
      <c r="T21" s="38" t="s">
        <v>70</v>
      </c>
      <c r="U21" s="30"/>
      <c r="V21" s="38" t="s">
        <v>70</v>
      </c>
      <c r="W21" s="38" t="s">
        <v>202</v>
      </c>
      <c r="X21" s="38" t="s">
        <v>202</v>
      </c>
      <c r="Y21" s="38" t="s">
        <v>202</v>
      </c>
      <c r="Z21" s="38" t="s">
        <v>202</v>
      </c>
      <c r="AA21" s="38" t="s">
        <v>70</v>
      </c>
      <c r="AB21" s="30"/>
      <c r="AC21" s="38" t="s">
        <v>202</v>
      </c>
      <c r="AD21" s="38" t="s">
        <v>202</v>
      </c>
      <c r="AE21" s="38" t="s">
        <v>70</v>
      </c>
      <c r="AF21" s="38" t="s">
        <v>70</v>
      </c>
      <c r="AG21" s="38" t="s">
        <v>70</v>
      </c>
      <c r="AH21" s="38" t="s">
        <v>202</v>
      </c>
      <c r="AI21" s="30"/>
      <c r="AJ21" s="38" t="s">
        <v>70</v>
      </c>
      <c r="AK21" s="38" t="s">
        <v>202</v>
      </c>
      <c r="AL21" s="38" t="s">
        <v>202</v>
      </c>
      <c r="AM21" s="38" t="s">
        <v>202</v>
      </c>
      <c r="AN21" s="38" t="s">
        <v>202</v>
      </c>
      <c r="AO21" s="38" t="s">
        <v>70</v>
      </c>
      <c r="AP21" s="30"/>
      <c r="AQ21" s="38" t="s">
        <v>202</v>
      </c>
      <c r="AR21" s="38" t="s">
        <v>202</v>
      </c>
      <c r="AS21" s="38" t="s">
        <v>202</v>
      </c>
      <c r="AT21" s="38" t="s">
        <v>202</v>
      </c>
      <c r="AU21" s="38" t="s">
        <v>70</v>
      </c>
      <c r="AV21" s="38" t="s">
        <v>202</v>
      </c>
      <c r="AW21" s="39"/>
      <c r="AX21" s="38" t="s">
        <v>202</v>
      </c>
      <c r="AY21" s="38" t="s">
        <v>70</v>
      </c>
      <c r="AZ21" s="38" t="s">
        <v>202</v>
      </c>
      <c r="BA21" s="38" t="s">
        <v>202</v>
      </c>
      <c r="BB21" s="38" t="s">
        <v>202</v>
      </c>
      <c r="BC21" s="38" t="s">
        <v>70</v>
      </c>
      <c r="BD21" s="39"/>
      <c r="BE21" s="38" t="s">
        <v>70</v>
      </c>
      <c r="BF21" s="38" t="s">
        <v>70</v>
      </c>
      <c r="BG21" s="38" t="s">
        <v>70</v>
      </c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>
      <c r="A22" s="36">
        <v>19.0</v>
      </c>
      <c r="B22" s="49" t="s">
        <v>359</v>
      </c>
      <c r="C22" s="49" t="s">
        <v>361</v>
      </c>
      <c r="D22" s="50">
        <f t="shared" si="2"/>
        <v>38</v>
      </c>
      <c r="E22" s="50">
        <f t="shared" si="3"/>
        <v>7</v>
      </c>
      <c r="F22" s="50">
        <f t="shared" si="4"/>
        <v>45</v>
      </c>
      <c r="G22" s="51">
        <f t="shared" si="5"/>
        <v>84.44444444</v>
      </c>
      <c r="H22" s="38" t="s">
        <v>70</v>
      </c>
      <c r="I22" s="38" t="s">
        <v>202</v>
      </c>
      <c r="J22" s="38" t="s">
        <v>202</v>
      </c>
      <c r="K22" s="38" t="s">
        <v>202</v>
      </c>
      <c r="L22" s="38" t="s">
        <v>70</v>
      </c>
      <c r="M22" s="38" t="s">
        <v>70</v>
      </c>
      <c r="N22" s="30"/>
      <c r="O22" s="38" t="s">
        <v>202</v>
      </c>
      <c r="P22" s="38" t="s">
        <v>202</v>
      </c>
      <c r="Q22" s="38" t="s">
        <v>202</v>
      </c>
      <c r="R22" s="38" t="s">
        <v>202</v>
      </c>
      <c r="S22" s="38" t="s">
        <v>70</v>
      </c>
      <c r="T22" s="38" t="s">
        <v>202</v>
      </c>
      <c r="U22" s="30"/>
      <c r="V22" s="38" t="s">
        <v>70</v>
      </c>
      <c r="W22" s="38" t="s">
        <v>70</v>
      </c>
      <c r="X22" s="38" t="s">
        <v>202</v>
      </c>
      <c r="Y22" s="38" t="s">
        <v>202</v>
      </c>
      <c r="Z22" s="38" t="s">
        <v>202</v>
      </c>
      <c r="AA22" s="38" t="s">
        <v>202</v>
      </c>
      <c r="AB22" s="30"/>
      <c r="AC22" s="38" t="s">
        <v>202</v>
      </c>
      <c r="AD22" s="38" t="s">
        <v>202</v>
      </c>
      <c r="AE22" s="38" t="s">
        <v>202</v>
      </c>
      <c r="AF22" s="38" t="s">
        <v>202</v>
      </c>
      <c r="AG22" s="38" t="s">
        <v>202</v>
      </c>
      <c r="AH22" s="38" t="s">
        <v>202</v>
      </c>
      <c r="AI22" s="30"/>
      <c r="AJ22" s="38" t="s">
        <v>202</v>
      </c>
      <c r="AK22" s="38" t="s">
        <v>202</v>
      </c>
      <c r="AL22" s="38" t="s">
        <v>202</v>
      </c>
      <c r="AM22" s="38" t="s">
        <v>202</v>
      </c>
      <c r="AN22" s="38" t="s">
        <v>202</v>
      </c>
      <c r="AO22" s="38" t="s">
        <v>70</v>
      </c>
      <c r="AP22" s="30"/>
      <c r="AQ22" s="38" t="s">
        <v>202</v>
      </c>
      <c r="AR22" s="38" t="s">
        <v>202</v>
      </c>
      <c r="AS22" s="38" t="s">
        <v>202</v>
      </c>
      <c r="AT22" s="38" t="s">
        <v>202</v>
      </c>
      <c r="AU22" s="38" t="s">
        <v>202</v>
      </c>
      <c r="AV22" s="38" t="s">
        <v>202</v>
      </c>
      <c r="AW22" s="39"/>
      <c r="AX22" s="38" t="s">
        <v>202</v>
      </c>
      <c r="AY22" s="38" t="s">
        <v>202</v>
      </c>
      <c r="AZ22" s="38" t="s">
        <v>202</v>
      </c>
      <c r="BA22" s="38" t="s">
        <v>202</v>
      </c>
      <c r="BB22" s="38" t="s">
        <v>202</v>
      </c>
      <c r="BC22" s="38" t="s">
        <v>202</v>
      </c>
      <c r="BD22" s="39"/>
      <c r="BE22" s="38" t="s">
        <v>202</v>
      </c>
      <c r="BF22" s="38" t="s">
        <v>202</v>
      </c>
      <c r="BG22" s="38" t="s">
        <v>202</v>
      </c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>
      <c r="A23" s="36">
        <v>20.0</v>
      </c>
      <c r="B23" s="49" t="s">
        <v>376</v>
      </c>
      <c r="C23" s="49" t="s">
        <v>377</v>
      </c>
      <c r="D23" s="50">
        <f t="shared" si="2"/>
        <v>32</v>
      </c>
      <c r="E23" s="50">
        <f t="shared" si="3"/>
        <v>13</v>
      </c>
      <c r="F23" s="50">
        <f t="shared" si="4"/>
        <v>45</v>
      </c>
      <c r="G23" s="51">
        <f t="shared" si="5"/>
        <v>71.11111111</v>
      </c>
      <c r="H23" s="38" t="s">
        <v>70</v>
      </c>
      <c r="I23" s="38" t="s">
        <v>202</v>
      </c>
      <c r="J23" s="38" t="s">
        <v>202</v>
      </c>
      <c r="K23" s="38" t="s">
        <v>70</v>
      </c>
      <c r="L23" s="38" t="s">
        <v>202</v>
      </c>
      <c r="M23" s="38" t="s">
        <v>202</v>
      </c>
      <c r="N23" s="30"/>
      <c r="O23" s="38" t="s">
        <v>202</v>
      </c>
      <c r="P23" s="38" t="s">
        <v>202</v>
      </c>
      <c r="Q23" s="38" t="s">
        <v>202</v>
      </c>
      <c r="R23" s="38" t="s">
        <v>70</v>
      </c>
      <c r="S23" s="38" t="s">
        <v>202</v>
      </c>
      <c r="T23" s="38" t="s">
        <v>202</v>
      </c>
      <c r="U23" s="30"/>
      <c r="V23" s="38" t="s">
        <v>202</v>
      </c>
      <c r="W23" s="38" t="s">
        <v>202</v>
      </c>
      <c r="X23" s="38" t="s">
        <v>202</v>
      </c>
      <c r="Y23" s="38" t="s">
        <v>202</v>
      </c>
      <c r="Z23" s="38" t="s">
        <v>202</v>
      </c>
      <c r="AA23" s="38" t="s">
        <v>202</v>
      </c>
      <c r="AB23" s="30"/>
      <c r="AC23" s="38" t="s">
        <v>202</v>
      </c>
      <c r="AD23" s="38" t="s">
        <v>202</v>
      </c>
      <c r="AE23" s="38" t="s">
        <v>202</v>
      </c>
      <c r="AF23" s="38" t="s">
        <v>70</v>
      </c>
      <c r="AG23" s="38" t="s">
        <v>70</v>
      </c>
      <c r="AH23" s="38" t="s">
        <v>202</v>
      </c>
      <c r="AI23" s="30"/>
      <c r="AJ23" s="38" t="s">
        <v>202</v>
      </c>
      <c r="AK23" s="38" t="s">
        <v>202</v>
      </c>
      <c r="AL23" s="38" t="s">
        <v>70</v>
      </c>
      <c r="AM23" s="38" t="s">
        <v>202</v>
      </c>
      <c r="AN23" s="38" t="s">
        <v>202</v>
      </c>
      <c r="AO23" s="38" t="s">
        <v>202</v>
      </c>
      <c r="AP23" s="30"/>
      <c r="AQ23" s="38" t="s">
        <v>202</v>
      </c>
      <c r="AR23" s="38" t="s">
        <v>202</v>
      </c>
      <c r="AS23" s="38" t="s">
        <v>202</v>
      </c>
      <c r="AT23" s="38" t="s">
        <v>202</v>
      </c>
      <c r="AU23" s="38" t="s">
        <v>202</v>
      </c>
      <c r="AV23" s="38" t="s">
        <v>70</v>
      </c>
      <c r="AW23" s="39"/>
      <c r="AX23" s="38" t="s">
        <v>70</v>
      </c>
      <c r="AY23" s="38" t="s">
        <v>202</v>
      </c>
      <c r="AZ23" s="38" t="s">
        <v>202</v>
      </c>
      <c r="BA23" s="38" t="s">
        <v>202</v>
      </c>
      <c r="BB23" s="38" t="s">
        <v>70</v>
      </c>
      <c r="BC23" s="38" t="s">
        <v>70</v>
      </c>
      <c r="BD23" s="39"/>
      <c r="BE23" s="38" t="s">
        <v>70</v>
      </c>
      <c r="BF23" s="38" t="s">
        <v>70</v>
      </c>
      <c r="BG23" s="38" t="s">
        <v>70</v>
      </c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>
      <c r="A24" s="36">
        <v>21.0</v>
      </c>
      <c r="B24" s="49" t="s">
        <v>380</v>
      </c>
      <c r="C24" s="49" t="s">
        <v>382</v>
      </c>
      <c r="D24" s="50">
        <f t="shared" si="2"/>
        <v>15</v>
      </c>
      <c r="E24" s="50">
        <f t="shared" si="3"/>
        <v>30</v>
      </c>
      <c r="F24" s="50">
        <f t="shared" si="4"/>
        <v>45</v>
      </c>
      <c r="G24" s="51">
        <f t="shared" si="5"/>
        <v>33.33333333</v>
      </c>
      <c r="H24" s="38" t="s">
        <v>70</v>
      </c>
      <c r="I24" s="38" t="s">
        <v>70</v>
      </c>
      <c r="J24" s="38" t="s">
        <v>70</v>
      </c>
      <c r="K24" s="38" t="s">
        <v>70</v>
      </c>
      <c r="L24" s="38" t="s">
        <v>70</v>
      </c>
      <c r="M24" s="38" t="s">
        <v>70</v>
      </c>
      <c r="N24" s="30"/>
      <c r="O24" s="38" t="s">
        <v>70</v>
      </c>
      <c r="P24" s="38" t="s">
        <v>70</v>
      </c>
      <c r="Q24" s="38" t="s">
        <v>70</v>
      </c>
      <c r="R24" s="38" t="s">
        <v>70</v>
      </c>
      <c r="S24" s="38" t="s">
        <v>70</v>
      </c>
      <c r="T24" s="38" t="s">
        <v>70</v>
      </c>
      <c r="U24" s="30"/>
      <c r="V24" s="38" t="s">
        <v>311</v>
      </c>
      <c r="W24" s="38" t="s">
        <v>311</v>
      </c>
      <c r="X24" s="38" t="s">
        <v>311</v>
      </c>
      <c r="Y24" s="38" t="s">
        <v>70</v>
      </c>
      <c r="Z24" s="38" t="s">
        <v>311</v>
      </c>
      <c r="AA24" s="38" t="s">
        <v>311</v>
      </c>
      <c r="AB24" s="30"/>
      <c r="AC24" s="38" t="s">
        <v>70</v>
      </c>
      <c r="AD24" s="38" t="s">
        <v>70</v>
      </c>
      <c r="AE24" s="38" t="s">
        <v>311</v>
      </c>
      <c r="AF24" s="38" t="s">
        <v>202</v>
      </c>
      <c r="AG24" s="38" t="s">
        <v>311</v>
      </c>
      <c r="AH24" s="38" t="s">
        <v>202</v>
      </c>
      <c r="AI24" s="30"/>
      <c r="AJ24" s="38" t="s">
        <v>70</v>
      </c>
      <c r="AK24" s="38" t="s">
        <v>70</v>
      </c>
      <c r="AL24" s="38" t="s">
        <v>70</v>
      </c>
      <c r="AM24" s="38" t="s">
        <v>202</v>
      </c>
      <c r="AN24" s="38" t="s">
        <v>202</v>
      </c>
      <c r="AO24" s="38" t="s">
        <v>70</v>
      </c>
      <c r="AP24" s="30"/>
      <c r="AQ24" s="38" t="s">
        <v>70</v>
      </c>
      <c r="AR24" s="38" t="s">
        <v>202</v>
      </c>
      <c r="AS24" s="38" t="s">
        <v>202</v>
      </c>
      <c r="AT24" s="38" t="s">
        <v>70</v>
      </c>
      <c r="AU24" s="38" t="s">
        <v>70</v>
      </c>
      <c r="AV24" s="38" t="s">
        <v>70</v>
      </c>
      <c r="AW24" s="39"/>
      <c r="AX24" s="38" t="s">
        <v>70</v>
      </c>
      <c r="AY24" s="38" t="s">
        <v>202</v>
      </c>
      <c r="AZ24" s="38" t="s">
        <v>70</v>
      </c>
      <c r="BA24" s="38" t="s">
        <v>70</v>
      </c>
      <c r="BB24" s="38" t="s">
        <v>70</v>
      </c>
      <c r="BC24" s="38" t="s">
        <v>70</v>
      </c>
      <c r="BD24" s="39"/>
      <c r="BE24" s="38" t="s">
        <v>202</v>
      </c>
      <c r="BF24" s="38" t="s">
        <v>70</v>
      </c>
      <c r="BG24" s="38" t="s">
        <v>70</v>
      </c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>
      <c r="A25" s="36">
        <v>22.0</v>
      </c>
      <c r="B25" s="49" t="s">
        <v>383</v>
      </c>
      <c r="C25" s="49" t="s">
        <v>390</v>
      </c>
      <c r="D25" s="50">
        <f t="shared" si="2"/>
        <v>45</v>
      </c>
      <c r="E25" s="50">
        <f t="shared" si="3"/>
        <v>0</v>
      </c>
      <c r="F25" s="50">
        <f t="shared" si="4"/>
        <v>45</v>
      </c>
      <c r="G25" s="51">
        <f t="shared" si="5"/>
        <v>100</v>
      </c>
      <c r="H25" s="38" t="s">
        <v>202</v>
      </c>
      <c r="I25" s="38" t="s">
        <v>202</v>
      </c>
      <c r="J25" s="38" t="s">
        <v>202</v>
      </c>
      <c r="K25" s="38" t="s">
        <v>202</v>
      </c>
      <c r="L25" s="38" t="s">
        <v>202</v>
      </c>
      <c r="M25" s="38" t="s">
        <v>202</v>
      </c>
      <c r="N25" s="30"/>
      <c r="O25" s="38" t="s">
        <v>202</v>
      </c>
      <c r="P25" s="38" t="s">
        <v>202</v>
      </c>
      <c r="Q25" s="38" t="s">
        <v>202</v>
      </c>
      <c r="R25" s="38" t="s">
        <v>202</v>
      </c>
      <c r="S25" s="38" t="s">
        <v>202</v>
      </c>
      <c r="T25" s="38" t="s">
        <v>202</v>
      </c>
      <c r="U25" s="30"/>
      <c r="V25" s="38" t="s">
        <v>202</v>
      </c>
      <c r="W25" s="38" t="s">
        <v>202</v>
      </c>
      <c r="X25" s="38" t="s">
        <v>202</v>
      </c>
      <c r="Y25" s="38" t="s">
        <v>202</v>
      </c>
      <c r="Z25" s="38" t="s">
        <v>202</v>
      </c>
      <c r="AA25" s="38" t="s">
        <v>202</v>
      </c>
      <c r="AB25" s="30"/>
      <c r="AC25" s="38" t="s">
        <v>202</v>
      </c>
      <c r="AD25" s="38" t="s">
        <v>202</v>
      </c>
      <c r="AE25" s="38" t="s">
        <v>202</v>
      </c>
      <c r="AF25" s="38" t="s">
        <v>202</v>
      </c>
      <c r="AG25" s="38" t="s">
        <v>202</v>
      </c>
      <c r="AH25" s="38" t="s">
        <v>202</v>
      </c>
      <c r="AI25" s="30"/>
      <c r="AJ25" s="38" t="s">
        <v>202</v>
      </c>
      <c r="AK25" s="38" t="s">
        <v>202</v>
      </c>
      <c r="AL25" s="38" t="s">
        <v>202</v>
      </c>
      <c r="AM25" s="38" t="s">
        <v>202</v>
      </c>
      <c r="AN25" s="38" t="s">
        <v>202</v>
      </c>
      <c r="AO25" s="38" t="s">
        <v>202</v>
      </c>
      <c r="AP25" s="30"/>
      <c r="AQ25" s="38" t="s">
        <v>202</v>
      </c>
      <c r="AR25" s="38" t="s">
        <v>202</v>
      </c>
      <c r="AS25" s="38" t="s">
        <v>202</v>
      </c>
      <c r="AT25" s="38" t="s">
        <v>202</v>
      </c>
      <c r="AU25" s="38" t="s">
        <v>202</v>
      </c>
      <c r="AV25" s="38" t="s">
        <v>202</v>
      </c>
      <c r="AW25" s="39"/>
      <c r="AX25" s="38" t="s">
        <v>202</v>
      </c>
      <c r="AY25" s="38" t="s">
        <v>202</v>
      </c>
      <c r="AZ25" s="38" t="s">
        <v>202</v>
      </c>
      <c r="BA25" s="38" t="s">
        <v>311</v>
      </c>
      <c r="BB25" s="38" t="s">
        <v>202</v>
      </c>
      <c r="BC25" s="38" t="s">
        <v>202</v>
      </c>
      <c r="BD25" s="39"/>
      <c r="BE25" s="38" t="s">
        <v>202</v>
      </c>
      <c r="BF25" s="38" t="s">
        <v>202</v>
      </c>
      <c r="BG25" s="38" t="s">
        <v>202</v>
      </c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</row>
    <row r="26">
      <c r="A26" s="36">
        <v>23.0</v>
      </c>
      <c r="B26" s="49" t="s">
        <v>397</v>
      </c>
      <c r="C26" s="49" t="s">
        <v>398</v>
      </c>
      <c r="D26" s="50">
        <f t="shared" si="2"/>
        <v>44</v>
      </c>
      <c r="E26" s="50">
        <f t="shared" si="3"/>
        <v>1</v>
      </c>
      <c r="F26" s="50">
        <f t="shared" si="4"/>
        <v>45</v>
      </c>
      <c r="G26" s="51">
        <f t="shared" si="5"/>
        <v>97.77777778</v>
      </c>
      <c r="H26" s="38" t="s">
        <v>202</v>
      </c>
      <c r="I26" s="38" t="s">
        <v>202</v>
      </c>
      <c r="J26" s="38" t="s">
        <v>202</v>
      </c>
      <c r="K26" s="38" t="s">
        <v>202</v>
      </c>
      <c r="L26" s="38" t="s">
        <v>202</v>
      </c>
      <c r="M26" s="38" t="s">
        <v>202</v>
      </c>
      <c r="N26" s="30"/>
      <c r="O26" s="38" t="s">
        <v>202</v>
      </c>
      <c r="P26" s="38" t="s">
        <v>202</v>
      </c>
      <c r="Q26" s="38" t="s">
        <v>202</v>
      </c>
      <c r="R26" s="38" t="s">
        <v>202</v>
      </c>
      <c r="S26" s="38" t="s">
        <v>202</v>
      </c>
      <c r="T26" s="38" t="s">
        <v>202</v>
      </c>
      <c r="U26" s="30"/>
      <c r="V26" s="38" t="s">
        <v>202</v>
      </c>
      <c r="W26" s="38" t="s">
        <v>70</v>
      </c>
      <c r="X26" s="38" t="s">
        <v>202</v>
      </c>
      <c r="Y26" s="38" t="s">
        <v>202</v>
      </c>
      <c r="Z26" s="38" t="s">
        <v>202</v>
      </c>
      <c r="AA26" s="38" t="s">
        <v>202</v>
      </c>
      <c r="AB26" s="30"/>
      <c r="AC26" s="38" t="s">
        <v>202</v>
      </c>
      <c r="AD26" s="38" t="s">
        <v>202</v>
      </c>
      <c r="AE26" s="38" t="s">
        <v>202</v>
      </c>
      <c r="AF26" s="38" t="s">
        <v>202</v>
      </c>
      <c r="AG26" s="38" t="s">
        <v>202</v>
      </c>
      <c r="AH26" s="38" t="s">
        <v>202</v>
      </c>
      <c r="AI26" s="30"/>
      <c r="AJ26" s="38" t="s">
        <v>202</v>
      </c>
      <c r="AK26" s="38" t="s">
        <v>202</v>
      </c>
      <c r="AL26" s="38" t="s">
        <v>202</v>
      </c>
      <c r="AM26" s="38" t="s">
        <v>202</v>
      </c>
      <c r="AN26" s="38" t="s">
        <v>202</v>
      </c>
      <c r="AO26" s="38" t="s">
        <v>202</v>
      </c>
      <c r="AP26" s="30"/>
      <c r="AQ26" s="38" t="s">
        <v>202</v>
      </c>
      <c r="AR26" s="38" t="s">
        <v>202</v>
      </c>
      <c r="AS26" s="38" t="s">
        <v>202</v>
      </c>
      <c r="AT26" s="38" t="s">
        <v>202</v>
      </c>
      <c r="AU26" s="38" t="s">
        <v>202</v>
      </c>
      <c r="AV26" s="38" t="s">
        <v>202</v>
      </c>
      <c r="AW26" s="39"/>
      <c r="AX26" s="38" t="s">
        <v>202</v>
      </c>
      <c r="AY26" s="38" t="s">
        <v>202</v>
      </c>
      <c r="AZ26" s="38" t="s">
        <v>202</v>
      </c>
      <c r="BA26" s="38" t="s">
        <v>202</v>
      </c>
      <c r="BB26" s="38" t="s">
        <v>202</v>
      </c>
      <c r="BC26" s="38" t="s">
        <v>202</v>
      </c>
      <c r="BD26" s="39"/>
      <c r="BE26" s="38" t="s">
        <v>202</v>
      </c>
      <c r="BF26" s="38" t="s">
        <v>202</v>
      </c>
      <c r="BG26" s="38" t="s">
        <v>202</v>
      </c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</row>
    <row r="27">
      <c r="A27" s="36">
        <v>24.0</v>
      </c>
      <c r="B27" s="49" t="s">
        <v>400</v>
      </c>
      <c r="C27" s="49" t="s">
        <v>403</v>
      </c>
      <c r="D27" s="50">
        <f t="shared" si="2"/>
        <v>44</v>
      </c>
      <c r="E27" s="50">
        <f t="shared" si="3"/>
        <v>1</v>
      </c>
      <c r="F27" s="50">
        <f t="shared" si="4"/>
        <v>45</v>
      </c>
      <c r="G27" s="51">
        <f t="shared" si="5"/>
        <v>97.77777778</v>
      </c>
      <c r="H27" s="38" t="s">
        <v>202</v>
      </c>
      <c r="I27" s="38" t="s">
        <v>70</v>
      </c>
      <c r="J27" s="38" t="s">
        <v>202</v>
      </c>
      <c r="K27" s="38" t="s">
        <v>202</v>
      </c>
      <c r="L27" s="38" t="s">
        <v>202</v>
      </c>
      <c r="M27" s="38" t="s">
        <v>202</v>
      </c>
      <c r="N27" s="30"/>
      <c r="O27" s="38" t="s">
        <v>202</v>
      </c>
      <c r="P27" s="38" t="s">
        <v>202</v>
      </c>
      <c r="Q27" s="38" t="s">
        <v>202</v>
      </c>
      <c r="R27" s="38" t="s">
        <v>202</v>
      </c>
      <c r="S27" s="38" t="s">
        <v>202</v>
      </c>
      <c r="T27" s="38" t="s">
        <v>202</v>
      </c>
      <c r="U27" s="30"/>
      <c r="V27" s="38" t="s">
        <v>202</v>
      </c>
      <c r="W27" s="38" t="s">
        <v>202</v>
      </c>
      <c r="X27" s="38" t="s">
        <v>202</v>
      </c>
      <c r="Y27" s="38" t="s">
        <v>202</v>
      </c>
      <c r="Z27" s="38" t="s">
        <v>202</v>
      </c>
      <c r="AA27" s="38" t="s">
        <v>202</v>
      </c>
      <c r="AB27" s="30"/>
      <c r="AC27" s="38" t="s">
        <v>202</v>
      </c>
      <c r="AD27" s="38" t="s">
        <v>202</v>
      </c>
      <c r="AE27" s="38" t="s">
        <v>202</v>
      </c>
      <c r="AF27" s="38" t="s">
        <v>202</v>
      </c>
      <c r="AG27" s="38" t="s">
        <v>202</v>
      </c>
      <c r="AH27" s="38" t="s">
        <v>202</v>
      </c>
      <c r="AI27" s="30"/>
      <c r="AJ27" s="38" t="s">
        <v>202</v>
      </c>
      <c r="AK27" s="38" t="s">
        <v>202</v>
      </c>
      <c r="AL27" s="38" t="s">
        <v>202</v>
      </c>
      <c r="AM27" s="38" t="s">
        <v>202</v>
      </c>
      <c r="AN27" s="38" t="s">
        <v>202</v>
      </c>
      <c r="AO27" s="38" t="s">
        <v>202</v>
      </c>
      <c r="AP27" s="30"/>
      <c r="AQ27" s="38" t="s">
        <v>202</v>
      </c>
      <c r="AR27" s="38" t="s">
        <v>202</v>
      </c>
      <c r="AS27" s="38" t="s">
        <v>202</v>
      </c>
      <c r="AT27" s="38" t="s">
        <v>202</v>
      </c>
      <c r="AU27" s="38" t="s">
        <v>202</v>
      </c>
      <c r="AV27" s="38" t="s">
        <v>202</v>
      </c>
      <c r="AW27" s="39"/>
      <c r="AX27" s="38" t="s">
        <v>202</v>
      </c>
      <c r="AY27" s="38" t="s">
        <v>202</v>
      </c>
      <c r="AZ27" s="38" t="s">
        <v>202</v>
      </c>
      <c r="BA27" s="38" t="s">
        <v>202</v>
      </c>
      <c r="BB27" s="38" t="s">
        <v>202</v>
      </c>
      <c r="BC27" s="38" t="s">
        <v>202</v>
      </c>
      <c r="BD27" s="39"/>
      <c r="BE27" s="38" t="s">
        <v>202</v>
      </c>
      <c r="BF27" s="38" t="s">
        <v>202</v>
      </c>
      <c r="BG27" s="38" t="s">
        <v>202</v>
      </c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</row>
    <row r="28">
      <c r="A28" s="36">
        <v>25.0</v>
      </c>
      <c r="B28" s="49" t="s">
        <v>408</v>
      </c>
      <c r="C28" s="49" t="s">
        <v>409</v>
      </c>
      <c r="D28" s="50">
        <f t="shared" si="2"/>
        <v>44</v>
      </c>
      <c r="E28" s="50">
        <f t="shared" si="3"/>
        <v>1</v>
      </c>
      <c r="F28" s="50">
        <f t="shared" si="4"/>
        <v>45</v>
      </c>
      <c r="G28" s="51">
        <f t="shared" si="5"/>
        <v>97.77777778</v>
      </c>
      <c r="H28" s="38" t="s">
        <v>202</v>
      </c>
      <c r="I28" s="38" t="s">
        <v>202</v>
      </c>
      <c r="J28" s="38" t="s">
        <v>202</v>
      </c>
      <c r="K28" s="38" t="s">
        <v>202</v>
      </c>
      <c r="L28" s="38" t="s">
        <v>202</v>
      </c>
      <c r="M28" s="38" t="s">
        <v>70</v>
      </c>
      <c r="N28" s="30"/>
      <c r="O28" s="38" t="s">
        <v>202</v>
      </c>
      <c r="P28" s="38" t="s">
        <v>202</v>
      </c>
      <c r="Q28" s="38" t="s">
        <v>202</v>
      </c>
      <c r="R28" s="38" t="s">
        <v>202</v>
      </c>
      <c r="S28" s="38" t="s">
        <v>202</v>
      </c>
      <c r="T28" s="38" t="s">
        <v>202</v>
      </c>
      <c r="U28" s="30"/>
      <c r="V28" s="38" t="s">
        <v>202</v>
      </c>
      <c r="W28" s="38" t="s">
        <v>202</v>
      </c>
      <c r="X28" s="38" t="s">
        <v>202</v>
      </c>
      <c r="Y28" s="38" t="s">
        <v>202</v>
      </c>
      <c r="Z28" s="38" t="s">
        <v>202</v>
      </c>
      <c r="AA28" s="38" t="s">
        <v>202</v>
      </c>
      <c r="AB28" s="30"/>
      <c r="AC28" s="38" t="s">
        <v>202</v>
      </c>
      <c r="AD28" s="38" t="s">
        <v>202</v>
      </c>
      <c r="AE28" s="38" t="s">
        <v>202</v>
      </c>
      <c r="AF28" s="38" t="s">
        <v>202</v>
      </c>
      <c r="AG28" s="38" t="s">
        <v>202</v>
      </c>
      <c r="AH28" s="38" t="s">
        <v>202</v>
      </c>
      <c r="AI28" s="30"/>
      <c r="AJ28" s="38" t="s">
        <v>202</v>
      </c>
      <c r="AK28" s="38" t="s">
        <v>202</v>
      </c>
      <c r="AL28" s="38" t="s">
        <v>202</v>
      </c>
      <c r="AM28" s="38" t="s">
        <v>202</v>
      </c>
      <c r="AN28" s="38" t="s">
        <v>202</v>
      </c>
      <c r="AO28" s="38" t="s">
        <v>202</v>
      </c>
      <c r="AP28" s="30"/>
      <c r="AQ28" s="38" t="s">
        <v>202</v>
      </c>
      <c r="AR28" s="38" t="s">
        <v>202</v>
      </c>
      <c r="AS28" s="38" t="s">
        <v>202</v>
      </c>
      <c r="AT28" s="38" t="s">
        <v>202</v>
      </c>
      <c r="AU28" s="38" t="s">
        <v>202</v>
      </c>
      <c r="AV28" s="38" t="s">
        <v>202</v>
      </c>
      <c r="AW28" s="39"/>
      <c r="AX28" s="38" t="s">
        <v>202</v>
      </c>
      <c r="AY28" s="38" t="s">
        <v>202</v>
      </c>
      <c r="AZ28" s="38" t="s">
        <v>202</v>
      </c>
      <c r="BA28" s="38" t="s">
        <v>202</v>
      </c>
      <c r="BB28" s="38" t="s">
        <v>202</v>
      </c>
      <c r="BC28" s="38" t="s">
        <v>202</v>
      </c>
      <c r="BD28" s="39"/>
      <c r="BE28" s="38" t="s">
        <v>202</v>
      </c>
      <c r="BF28" s="38" t="s">
        <v>202</v>
      </c>
      <c r="BG28" s="38" t="s">
        <v>202</v>
      </c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</row>
    <row r="29">
      <c r="A29" s="36">
        <v>26.0</v>
      </c>
      <c r="B29" s="49" t="s">
        <v>412</v>
      </c>
      <c r="C29" s="49" t="s">
        <v>413</v>
      </c>
      <c r="D29" s="50">
        <f t="shared" si="2"/>
        <v>42</v>
      </c>
      <c r="E29" s="50">
        <f t="shared" si="3"/>
        <v>3</v>
      </c>
      <c r="F29" s="50">
        <f t="shared" si="4"/>
        <v>45</v>
      </c>
      <c r="G29" s="51">
        <f t="shared" si="5"/>
        <v>93.33333333</v>
      </c>
      <c r="H29" s="38" t="s">
        <v>202</v>
      </c>
      <c r="I29" s="38" t="s">
        <v>202</v>
      </c>
      <c r="J29" s="38" t="s">
        <v>202</v>
      </c>
      <c r="K29" s="38" t="s">
        <v>202</v>
      </c>
      <c r="L29" s="38" t="s">
        <v>202</v>
      </c>
      <c r="M29" s="38" t="s">
        <v>70</v>
      </c>
      <c r="N29" s="30"/>
      <c r="O29" s="38" t="s">
        <v>202</v>
      </c>
      <c r="P29" s="38" t="s">
        <v>202</v>
      </c>
      <c r="Q29" s="38" t="s">
        <v>202</v>
      </c>
      <c r="R29" s="38" t="s">
        <v>202</v>
      </c>
      <c r="S29" s="38" t="s">
        <v>202</v>
      </c>
      <c r="T29" s="38" t="s">
        <v>202</v>
      </c>
      <c r="U29" s="30"/>
      <c r="V29" s="38" t="s">
        <v>202</v>
      </c>
      <c r="W29" s="38" t="s">
        <v>202</v>
      </c>
      <c r="X29" s="38" t="s">
        <v>202</v>
      </c>
      <c r="Y29" s="38" t="s">
        <v>202</v>
      </c>
      <c r="Z29" s="38" t="s">
        <v>202</v>
      </c>
      <c r="AA29" s="38" t="s">
        <v>202</v>
      </c>
      <c r="AB29" s="30"/>
      <c r="AC29" s="38" t="s">
        <v>202</v>
      </c>
      <c r="AD29" s="38" t="s">
        <v>202</v>
      </c>
      <c r="AE29" s="38" t="s">
        <v>202</v>
      </c>
      <c r="AF29" s="38" t="s">
        <v>202</v>
      </c>
      <c r="AG29" s="38" t="s">
        <v>202</v>
      </c>
      <c r="AH29" s="38" t="s">
        <v>202</v>
      </c>
      <c r="AI29" s="30"/>
      <c r="AJ29" s="38" t="s">
        <v>202</v>
      </c>
      <c r="AK29" s="38" t="s">
        <v>202</v>
      </c>
      <c r="AL29" s="38" t="s">
        <v>202</v>
      </c>
      <c r="AM29" s="38" t="s">
        <v>202</v>
      </c>
      <c r="AN29" s="38" t="s">
        <v>202</v>
      </c>
      <c r="AO29" s="38" t="s">
        <v>202</v>
      </c>
      <c r="AP29" s="30"/>
      <c r="AQ29" s="38" t="s">
        <v>202</v>
      </c>
      <c r="AR29" s="38" t="s">
        <v>202</v>
      </c>
      <c r="AS29" s="38" t="s">
        <v>202</v>
      </c>
      <c r="AT29" s="38" t="s">
        <v>202</v>
      </c>
      <c r="AU29" s="38" t="s">
        <v>202</v>
      </c>
      <c r="AV29" s="38" t="s">
        <v>202</v>
      </c>
      <c r="AW29" s="39"/>
      <c r="AX29" s="38" t="s">
        <v>70</v>
      </c>
      <c r="AY29" s="38" t="s">
        <v>202</v>
      </c>
      <c r="AZ29" s="38" t="s">
        <v>202</v>
      </c>
      <c r="BA29" s="38" t="s">
        <v>70</v>
      </c>
      <c r="BB29" s="38" t="s">
        <v>202</v>
      </c>
      <c r="BC29" s="38" t="s">
        <v>202</v>
      </c>
      <c r="BD29" s="39"/>
      <c r="BE29" s="38" t="s">
        <v>202</v>
      </c>
      <c r="BF29" s="38" t="s">
        <v>202</v>
      </c>
      <c r="BG29" s="38" t="s">
        <v>202</v>
      </c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</row>
    <row r="30">
      <c r="A30" s="36">
        <v>27.0</v>
      </c>
      <c r="B30" s="49" t="s">
        <v>416</v>
      </c>
      <c r="C30" s="49" t="s">
        <v>417</v>
      </c>
      <c r="D30" s="50">
        <f t="shared" si="2"/>
        <v>45</v>
      </c>
      <c r="E30" s="50">
        <f t="shared" si="3"/>
        <v>0</v>
      </c>
      <c r="F30" s="50">
        <f t="shared" si="4"/>
        <v>45</v>
      </c>
      <c r="G30" s="51">
        <f t="shared" si="5"/>
        <v>100</v>
      </c>
      <c r="H30" s="38" t="s">
        <v>202</v>
      </c>
      <c r="I30" s="38" t="s">
        <v>202</v>
      </c>
      <c r="J30" s="38" t="s">
        <v>202</v>
      </c>
      <c r="K30" s="38" t="s">
        <v>202</v>
      </c>
      <c r="L30" s="38" t="s">
        <v>202</v>
      </c>
      <c r="M30" s="38" t="s">
        <v>202</v>
      </c>
      <c r="N30" s="30"/>
      <c r="O30" s="38" t="s">
        <v>202</v>
      </c>
      <c r="P30" s="38" t="s">
        <v>202</v>
      </c>
      <c r="Q30" s="38" t="s">
        <v>202</v>
      </c>
      <c r="R30" s="38" t="s">
        <v>202</v>
      </c>
      <c r="S30" s="38" t="s">
        <v>202</v>
      </c>
      <c r="T30" s="38" t="s">
        <v>202</v>
      </c>
      <c r="U30" s="30"/>
      <c r="V30" s="38" t="s">
        <v>202</v>
      </c>
      <c r="W30" s="38" t="s">
        <v>202</v>
      </c>
      <c r="X30" s="38" t="s">
        <v>202</v>
      </c>
      <c r="Y30" s="38" t="s">
        <v>202</v>
      </c>
      <c r="Z30" s="38" t="s">
        <v>202</v>
      </c>
      <c r="AA30" s="38" t="s">
        <v>202</v>
      </c>
      <c r="AB30" s="30"/>
      <c r="AC30" s="38" t="s">
        <v>202</v>
      </c>
      <c r="AD30" s="38" t="s">
        <v>202</v>
      </c>
      <c r="AE30" s="38" t="s">
        <v>202</v>
      </c>
      <c r="AF30" s="38" t="s">
        <v>202</v>
      </c>
      <c r="AG30" s="38" t="s">
        <v>202</v>
      </c>
      <c r="AH30" s="38" t="s">
        <v>202</v>
      </c>
      <c r="AI30" s="30"/>
      <c r="AJ30" s="38" t="s">
        <v>202</v>
      </c>
      <c r="AK30" s="38" t="s">
        <v>202</v>
      </c>
      <c r="AL30" s="38" t="s">
        <v>202</v>
      </c>
      <c r="AM30" s="38" t="s">
        <v>202</v>
      </c>
      <c r="AN30" s="38" t="s">
        <v>202</v>
      </c>
      <c r="AO30" s="38" t="s">
        <v>202</v>
      </c>
      <c r="AP30" s="30"/>
      <c r="AQ30" s="38" t="s">
        <v>202</v>
      </c>
      <c r="AR30" s="38" t="s">
        <v>202</v>
      </c>
      <c r="AS30" s="38" t="s">
        <v>202</v>
      </c>
      <c r="AT30" s="38" t="s">
        <v>202</v>
      </c>
      <c r="AU30" s="38" t="s">
        <v>202</v>
      </c>
      <c r="AV30" s="38" t="s">
        <v>202</v>
      </c>
      <c r="AW30" s="39"/>
      <c r="AX30" s="38" t="s">
        <v>202</v>
      </c>
      <c r="AY30" s="38" t="s">
        <v>202</v>
      </c>
      <c r="AZ30" s="38" t="s">
        <v>202</v>
      </c>
      <c r="BA30" s="38" t="s">
        <v>202</v>
      </c>
      <c r="BB30" s="38" t="s">
        <v>202</v>
      </c>
      <c r="BC30" s="38" t="s">
        <v>202</v>
      </c>
      <c r="BD30" s="39"/>
      <c r="BE30" s="38" t="s">
        <v>202</v>
      </c>
      <c r="BF30" s="38" t="s">
        <v>202</v>
      </c>
      <c r="BG30" s="38" t="s">
        <v>202</v>
      </c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</row>
    <row r="31">
      <c r="A31" s="36">
        <v>28.0</v>
      </c>
      <c r="B31" s="75" t="s">
        <v>423</v>
      </c>
      <c r="C31" s="75" t="s">
        <v>424</v>
      </c>
      <c r="D31" s="50">
        <f t="shared" si="2"/>
        <v>43</v>
      </c>
      <c r="E31" s="50">
        <f t="shared" si="3"/>
        <v>2</v>
      </c>
      <c r="F31" s="50">
        <f t="shared" si="4"/>
        <v>45</v>
      </c>
      <c r="G31" s="51">
        <f t="shared" si="5"/>
        <v>95.55555556</v>
      </c>
      <c r="H31" s="38" t="s">
        <v>202</v>
      </c>
      <c r="I31" s="38" t="s">
        <v>202</v>
      </c>
      <c r="J31" s="38" t="s">
        <v>202</v>
      </c>
      <c r="K31" s="38" t="s">
        <v>202</v>
      </c>
      <c r="L31" s="38" t="s">
        <v>202</v>
      </c>
      <c r="M31" s="38" t="s">
        <v>202</v>
      </c>
      <c r="N31" s="30"/>
      <c r="O31" s="38" t="s">
        <v>70</v>
      </c>
      <c r="P31" s="38" t="s">
        <v>202</v>
      </c>
      <c r="Q31" s="38" t="s">
        <v>202</v>
      </c>
      <c r="R31" s="38" t="s">
        <v>202</v>
      </c>
      <c r="S31" s="38" t="s">
        <v>202</v>
      </c>
      <c r="T31" s="38" t="s">
        <v>202</v>
      </c>
      <c r="U31" s="30"/>
      <c r="V31" s="38" t="s">
        <v>202</v>
      </c>
      <c r="W31" s="38" t="s">
        <v>202</v>
      </c>
      <c r="X31" s="38" t="s">
        <v>202</v>
      </c>
      <c r="Y31" s="38" t="s">
        <v>202</v>
      </c>
      <c r="Z31" s="38" t="s">
        <v>202</v>
      </c>
      <c r="AA31" s="38" t="s">
        <v>202</v>
      </c>
      <c r="AB31" s="30"/>
      <c r="AC31" s="38" t="s">
        <v>202</v>
      </c>
      <c r="AD31" s="38" t="s">
        <v>202</v>
      </c>
      <c r="AE31" s="38" t="s">
        <v>202</v>
      </c>
      <c r="AF31" s="38" t="s">
        <v>202</v>
      </c>
      <c r="AG31" s="38" t="s">
        <v>202</v>
      </c>
      <c r="AH31" s="38" t="s">
        <v>202</v>
      </c>
      <c r="AI31" s="30"/>
      <c r="AJ31" s="38" t="s">
        <v>202</v>
      </c>
      <c r="AK31" s="38" t="s">
        <v>202</v>
      </c>
      <c r="AL31" s="38" t="s">
        <v>202</v>
      </c>
      <c r="AM31" s="38" t="s">
        <v>202</v>
      </c>
      <c r="AN31" s="38" t="s">
        <v>202</v>
      </c>
      <c r="AO31" s="38" t="s">
        <v>202</v>
      </c>
      <c r="AP31" s="30"/>
      <c r="AQ31" s="38" t="s">
        <v>202</v>
      </c>
      <c r="AR31" s="38" t="s">
        <v>202</v>
      </c>
      <c r="AS31" s="38" t="s">
        <v>202</v>
      </c>
      <c r="AT31" s="38" t="s">
        <v>202</v>
      </c>
      <c r="AU31" s="38" t="s">
        <v>202</v>
      </c>
      <c r="AV31" s="38" t="s">
        <v>202</v>
      </c>
      <c r="AW31" s="39"/>
      <c r="AX31" s="38" t="s">
        <v>202</v>
      </c>
      <c r="AY31" s="38" t="s">
        <v>202</v>
      </c>
      <c r="AZ31" s="38" t="s">
        <v>202</v>
      </c>
      <c r="BA31" s="38" t="s">
        <v>202</v>
      </c>
      <c r="BB31" s="38" t="s">
        <v>202</v>
      </c>
      <c r="BC31" s="38" t="s">
        <v>202</v>
      </c>
      <c r="BD31" s="39"/>
      <c r="BE31" s="38" t="s">
        <v>202</v>
      </c>
      <c r="BF31" s="38" t="s">
        <v>202</v>
      </c>
      <c r="BG31" s="38" t="s">
        <v>70</v>
      </c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</row>
    <row r="32">
      <c r="A32" s="36">
        <v>29.0</v>
      </c>
      <c r="B32" s="49" t="s">
        <v>428</v>
      </c>
      <c r="C32" s="49" t="s">
        <v>429</v>
      </c>
      <c r="D32" s="50">
        <f t="shared" si="2"/>
        <v>45</v>
      </c>
      <c r="E32" s="50">
        <f t="shared" si="3"/>
        <v>0</v>
      </c>
      <c r="F32" s="50">
        <f t="shared" si="4"/>
        <v>45</v>
      </c>
      <c r="G32" s="51">
        <f t="shared" si="5"/>
        <v>100</v>
      </c>
      <c r="H32" s="38" t="s">
        <v>202</v>
      </c>
      <c r="I32" s="38" t="s">
        <v>202</v>
      </c>
      <c r="J32" s="38" t="s">
        <v>311</v>
      </c>
      <c r="K32" s="38" t="s">
        <v>202</v>
      </c>
      <c r="L32" s="38" t="s">
        <v>202</v>
      </c>
      <c r="M32" s="38" t="s">
        <v>202</v>
      </c>
      <c r="N32" s="30"/>
      <c r="O32" s="38" t="s">
        <v>202</v>
      </c>
      <c r="P32" s="38" t="s">
        <v>202</v>
      </c>
      <c r="Q32" s="38" t="s">
        <v>202</v>
      </c>
      <c r="R32" s="38" t="s">
        <v>311</v>
      </c>
      <c r="S32" s="38" t="s">
        <v>311</v>
      </c>
      <c r="T32" s="38" t="s">
        <v>202</v>
      </c>
      <c r="U32" s="30"/>
      <c r="V32" s="38" t="s">
        <v>202</v>
      </c>
      <c r="W32" s="38" t="s">
        <v>202</v>
      </c>
      <c r="X32" s="38" t="s">
        <v>202</v>
      </c>
      <c r="Y32" s="38" t="s">
        <v>311</v>
      </c>
      <c r="Z32" s="38" t="s">
        <v>202</v>
      </c>
      <c r="AA32" s="38" t="s">
        <v>202</v>
      </c>
      <c r="AB32" s="30"/>
      <c r="AC32" s="38" t="s">
        <v>311</v>
      </c>
      <c r="AD32" s="38" t="s">
        <v>202</v>
      </c>
      <c r="AE32" s="38" t="s">
        <v>202</v>
      </c>
      <c r="AF32" s="38" t="s">
        <v>202</v>
      </c>
      <c r="AG32" s="38" t="s">
        <v>311</v>
      </c>
      <c r="AH32" s="38" t="s">
        <v>311</v>
      </c>
      <c r="AI32" s="30"/>
      <c r="AJ32" s="38" t="s">
        <v>311</v>
      </c>
      <c r="AK32" s="38" t="s">
        <v>202</v>
      </c>
      <c r="AL32" s="38" t="s">
        <v>202</v>
      </c>
      <c r="AM32" s="38" t="s">
        <v>202</v>
      </c>
      <c r="AN32" s="38" t="s">
        <v>311</v>
      </c>
      <c r="AO32" s="38" t="s">
        <v>202</v>
      </c>
      <c r="AP32" s="30"/>
      <c r="AQ32" s="38" t="s">
        <v>202</v>
      </c>
      <c r="AR32" s="38" t="s">
        <v>202</v>
      </c>
      <c r="AS32" s="38" t="s">
        <v>202</v>
      </c>
      <c r="AT32" s="38" t="s">
        <v>202</v>
      </c>
      <c r="AU32" s="38" t="s">
        <v>202</v>
      </c>
      <c r="AV32" s="38" t="s">
        <v>202</v>
      </c>
      <c r="AW32" s="39"/>
      <c r="AX32" s="38" t="s">
        <v>202</v>
      </c>
      <c r="AY32" s="38" t="s">
        <v>202</v>
      </c>
      <c r="AZ32" s="38" t="s">
        <v>202</v>
      </c>
      <c r="BA32" s="38" t="s">
        <v>202</v>
      </c>
      <c r="BB32" s="38" t="s">
        <v>202</v>
      </c>
      <c r="BC32" s="38" t="s">
        <v>202</v>
      </c>
      <c r="BD32" s="39"/>
      <c r="BE32" s="38" t="s">
        <v>202</v>
      </c>
      <c r="BF32" s="38" t="s">
        <v>202</v>
      </c>
      <c r="BG32" s="38" t="s">
        <v>202</v>
      </c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</row>
    <row r="33">
      <c r="A33" s="36">
        <v>30.0</v>
      </c>
      <c r="B33" s="49" t="s">
        <v>433</v>
      </c>
      <c r="C33" s="49" t="s">
        <v>434</v>
      </c>
      <c r="D33" s="50">
        <f t="shared" si="2"/>
        <v>38</v>
      </c>
      <c r="E33" s="50">
        <f t="shared" si="3"/>
        <v>7</v>
      </c>
      <c r="F33" s="50">
        <f t="shared" si="4"/>
        <v>45</v>
      </c>
      <c r="G33" s="51">
        <f t="shared" si="5"/>
        <v>84.44444444</v>
      </c>
      <c r="H33" s="38" t="s">
        <v>70</v>
      </c>
      <c r="I33" s="38" t="s">
        <v>202</v>
      </c>
      <c r="J33" s="38" t="s">
        <v>202</v>
      </c>
      <c r="K33" s="38" t="s">
        <v>202</v>
      </c>
      <c r="L33" s="38" t="s">
        <v>202</v>
      </c>
      <c r="M33" s="38" t="s">
        <v>70</v>
      </c>
      <c r="N33" s="30"/>
      <c r="O33" s="38" t="s">
        <v>202</v>
      </c>
      <c r="P33" s="38" t="s">
        <v>202</v>
      </c>
      <c r="Q33" s="38" t="s">
        <v>202</v>
      </c>
      <c r="R33" s="38" t="s">
        <v>202</v>
      </c>
      <c r="S33" s="38" t="s">
        <v>202</v>
      </c>
      <c r="T33" s="38" t="s">
        <v>202</v>
      </c>
      <c r="U33" s="30"/>
      <c r="V33" s="38" t="s">
        <v>202</v>
      </c>
      <c r="W33" s="38" t="s">
        <v>202</v>
      </c>
      <c r="X33" s="38" t="s">
        <v>202</v>
      </c>
      <c r="Y33" s="38" t="s">
        <v>202</v>
      </c>
      <c r="Z33" s="38" t="s">
        <v>202</v>
      </c>
      <c r="AA33" s="38" t="s">
        <v>70</v>
      </c>
      <c r="AB33" s="30"/>
      <c r="AC33" s="38" t="s">
        <v>202</v>
      </c>
      <c r="AD33" s="38" t="s">
        <v>202</v>
      </c>
      <c r="AE33" s="38" t="s">
        <v>70</v>
      </c>
      <c r="AF33" s="38" t="s">
        <v>202</v>
      </c>
      <c r="AG33" s="38" t="s">
        <v>202</v>
      </c>
      <c r="AH33" s="38" t="s">
        <v>202</v>
      </c>
      <c r="AI33" s="30"/>
      <c r="AJ33" s="38" t="s">
        <v>202</v>
      </c>
      <c r="AK33" s="38" t="s">
        <v>202</v>
      </c>
      <c r="AL33" s="38" t="s">
        <v>202</v>
      </c>
      <c r="AM33" s="38" t="s">
        <v>202</v>
      </c>
      <c r="AN33" s="38" t="s">
        <v>202</v>
      </c>
      <c r="AO33" s="38" t="s">
        <v>202</v>
      </c>
      <c r="AP33" s="30"/>
      <c r="AQ33" s="38" t="s">
        <v>202</v>
      </c>
      <c r="AR33" s="38" t="s">
        <v>202</v>
      </c>
      <c r="AS33" s="38" t="s">
        <v>202</v>
      </c>
      <c r="AT33" s="38" t="s">
        <v>202</v>
      </c>
      <c r="AU33" s="38" t="s">
        <v>202</v>
      </c>
      <c r="AV33" s="38" t="s">
        <v>202</v>
      </c>
      <c r="AW33" s="39"/>
      <c r="AX33" s="38" t="s">
        <v>202</v>
      </c>
      <c r="AY33" s="38" t="s">
        <v>202</v>
      </c>
      <c r="AZ33" s="38" t="s">
        <v>202</v>
      </c>
      <c r="BA33" s="38" t="s">
        <v>70</v>
      </c>
      <c r="BB33" s="38" t="s">
        <v>202</v>
      </c>
      <c r="BC33" s="38" t="s">
        <v>70</v>
      </c>
      <c r="BD33" s="39"/>
      <c r="BE33" s="38" t="s">
        <v>70</v>
      </c>
      <c r="BF33" s="38" t="s">
        <v>202</v>
      </c>
      <c r="BG33" s="38" t="s">
        <v>202</v>
      </c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</row>
    <row r="34">
      <c r="A34" s="36">
        <v>31.0</v>
      </c>
      <c r="B34" s="49" t="s">
        <v>438</v>
      </c>
      <c r="C34" s="49" t="s">
        <v>439</v>
      </c>
      <c r="D34" s="50">
        <f t="shared" si="2"/>
        <v>43</v>
      </c>
      <c r="E34" s="50">
        <f t="shared" si="3"/>
        <v>2</v>
      </c>
      <c r="F34" s="50">
        <f t="shared" si="4"/>
        <v>45</v>
      </c>
      <c r="G34" s="51">
        <f t="shared" si="5"/>
        <v>95.55555556</v>
      </c>
      <c r="H34" s="38" t="s">
        <v>202</v>
      </c>
      <c r="I34" s="38" t="s">
        <v>202</v>
      </c>
      <c r="J34" s="38" t="s">
        <v>202</v>
      </c>
      <c r="K34" s="38" t="s">
        <v>202</v>
      </c>
      <c r="L34" s="38" t="s">
        <v>202</v>
      </c>
      <c r="M34" s="38" t="s">
        <v>202</v>
      </c>
      <c r="N34" s="30"/>
      <c r="O34" s="38" t="s">
        <v>202</v>
      </c>
      <c r="P34" s="38" t="s">
        <v>202</v>
      </c>
      <c r="Q34" s="38" t="s">
        <v>202</v>
      </c>
      <c r="R34" s="38" t="s">
        <v>202</v>
      </c>
      <c r="S34" s="38" t="s">
        <v>202</v>
      </c>
      <c r="T34" s="38" t="s">
        <v>202</v>
      </c>
      <c r="U34" s="30"/>
      <c r="V34" s="38" t="s">
        <v>202</v>
      </c>
      <c r="W34" s="38" t="s">
        <v>202</v>
      </c>
      <c r="X34" s="38" t="s">
        <v>202</v>
      </c>
      <c r="Y34" s="38" t="s">
        <v>202</v>
      </c>
      <c r="Z34" s="38" t="s">
        <v>202</v>
      </c>
      <c r="AA34" s="38" t="s">
        <v>202</v>
      </c>
      <c r="AB34" s="30"/>
      <c r="AC34" s="38" t="s">
        <v>202</v>
      </c>
      <c r="AD34" s="38" t="s">
        <v>202</v>
      </c>
      <c r="AE34" s="38" t="s">
        <v>202</v>
      </c>
      <c r="AF34" s="38" t="s">
        <v>202</v>
      </c>
      <c r="AG34" s="38" t="s">
        <v>202</v>
      </c>
      <c r="AH34" s="38" t="s">
        <v>202</v>
      </c>
      <c r="AI34" s="30"/>
      <c r="AJ34" s="38" t="s">
        <v>202</v>
      </c>
      <c r="AK34" s="38" t="s">
        <v>202</v>
      </c>
      <c r="AL34" s="38" t="s">
        <v>202</v>
      </c>
      <c r="AM34" s="38" t="s">
        <v>202</v>
      </c>
      <c r="AN34" s="38" t="s">
        <v>70</v>
      </c>
      <c r="AO34" s="38" t="s">
        <v>202</v>
      </c>
      <c r="AP34" s="30"/>
      <c r="AQ34" s="38" t="s">
        <v>202</v>
      </c>
      <c r="AR34" s="38" t="s">
        <v>202</v>
      </c>
      <c r="AS34" s="38" t="s">
        <v>202</v>
      </c>
      <c r="AT34" s="38" t="s">
        <v>202</v>
      </c>
      <c r="AU34" s="38" t="s">
        <v>202</v>
      </c>
      <c r="AV34" s="38" t="s">
        <v>202</v>
      </c>
      <c r="AW34" s="39"/>
      <c r="AX34" s="38" t="s">
        <v>202</v>
      </c>
      <c r="AY34" s="38" t="s">
        <v>202</v>
      </c>
      <c r="AZ34" s="38" t="s">
        <v>202</v>
      </c>
      <c r="BA34" s="38" t="s">
        <v>202</v>
      </c>
      <c r="BB34" s="38" t="s">
        <v>202</v>
      </c>
      <c r="BC34" s="38" t="s">
        <v>202</v>
      </c>
      <c r="BD34" s="39"/>
      <c r="BE34" s="38" t="s">
        <v>70</v>
      </c>
      <c r="BF34" s="38" t="s">
        <v>202</v>
      </c>
      <c r="BG34" s="38" t="s">
        <v>202</v>
      </c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</row>
    <row r="35">
      <c r="A35" s="36">
        <v>32.0</v>
      </c>
      <c r="B35" s="49" t="s">
        <v>441</v>
      </c>
      <c r="C35" s="49" t="s">
        <v>442</v>
      </c>
      <c r="D35" s="50">
        <f t="shared" si="2"/>
        <v>44</v>
      </c>
      <c r="E35" s="50">
        <f t="shared" si="3"/>
        <v>1</v>
      </c>
      <c r="F35" s="50">
        <f t="shared" si="4"/>
        <v>45</v>
      </c>
      <c r="G35" s="51">
        <f t="shared" si="5"/>
        <v>97.77777778</v>
      </c>
      <c r="H35" s="38" t="s">
        <v>202</v>
      </c>
      <c r="I35" s="38" t="s">
        <v>202</v>
      </c>
      <c r="J35" s="38" t="s">
        <v>202</v>
      </c>
      <c r="K35" s="38" t="s">
        <v>202</v>
      </c>
      <c r="L35" s="38" t="s">
        <v>202</v>
      </c>
      <c r="M35" s="38" t="s">
        <v>202</v>
      </c>
      <c r="N35" s="30"/>
      <c r="O35" s="38" t="s">
        <v>202</v>
      </c>
      <c r="P35" s="38" t="s">
        <v>202</v>
      </c>
      <c r="Q35" s="38" t="s">
        <v>202</v>
      </c>
      <c r="R35" s="38" t="s">
        <v>202</v>
      </c>
      <c r="S35" s="38" t="s">
        <v>202</v>
      </c>
      <c r="T35" s="38" t="s">
        <v>202</v>
      </c>
      <c r="U35" s="30"/>
      <c r="V35" s="38" t="s">
        <v>202</v>
      </c>
      <c r="W35" s="38" t="s">
        <v>202</v>
      </c>
      <c r="X35" s="38" t="s">
        <v>202</v>
      </c>
      <c r="Y35" s="38" t="s">
        <v>202</v>
      </c>
      <c r="Z35" s="38" t="s">
        <v>202</v>
      </c>
      <c r="AA35" s="38" t="s">
        <v>202</v>
      </c>
      <c r="AB35" s="30"/>
      <c r="AC35" s="38" t="s">
        <v>202</v>
      </c>
      <c r="AD35" s="38" t="s">
        <v>202</v>
      </c>
      <c r="AE35" s="38" t="s">
        <v>202</v>
      </c>
      <c r="AF35" s="38" t="s">
        <v>202</v>
      </c>
      <c r="AG35" s="38" t="s">
        <v>202</v>
      </c>
      <c r="AH35" s="38" t="s">
        <v>202</v>
      </c>
      <c r="AI35" s="30"/>
      <c r="AJ35" s="38" t="s">
        <v>202</v>
      </c>
      <c r="AK35" s="38" t="s">
        <v>202</v>
      </c>
      <c r="AL35" s="38" t="s">
        <v>202</v>
      </c>
      <c r="AM35" s="38" t="s">
        <v>202</v>
      </c>
      <c r="AN35" s="38" t="s">
        <v>202</v>
      </c>
      <c r="AO35" s="38" t="s">
        <v>202</v>
      </c>
      <c r="AP35" s="30"/>
      <c r="AQ35" s="38" t="s">
        <v>202</v>
      </c>
      <c r="AR35" s="38" t="s">
        <v>202</v>
      </c>
      <c r="AS35" s="38" t="s">
        <v>202</v>
      </c>
      <c r="AT35" s="38" t="s">
        <v>202</v>
      </c>
      <c r="AU35" s="38" t="s">
        <v>202</v>
      </c>
      <c r="AV35" s="38" t="s">
        <v>202</v>
      </c>
      <c r="AW35" s="39"/>
      <c r="AX35" s="38" t="s">
        <v>202</v>
      </c>
      <c r="AY35" s="38" t="s">
        <v>202</v>
      </c>
      <c r="AZ35" s="38" t="s">
        <v>202</v>
      </c>
      <c r="BA35" s="38" t="s">
        <v>202</v>
      </c>
      <c r="BB35" s="38" t="s">
        <v>202</v>
      </c>
      <c r="BC35" s="38" t="s">
        <v>202</v>
      </c>
      <c r="BD35" s="39"/>
      <c r="BE35" s="38" t="s">
        <v>70</v>
      </c>
      <c r="BF35" s="38" t="s">
        <v>202</v>
      </c>
      <c r="BG35" s="38" t="s">
        <v>202</v>
      </c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</row>
    <row r="36">
      <c r="A36" s="36">
        <v>33.0</v>
      </c>
      <c r="B36" s="49" t="s">
        <v>445</v>
      </c>
      <c r="C36" s="49" t="s">
        <v>446</v>
      </c>
      <c r="D36" s="50">
        <f t="shared" si="2"/>
        <v>28</v>
      </c>
      <c r="E36" s="50">
        <f t="shared" si="3"/>
        <v>17</v>
      </c>
      <c r="F36" s="50">
        <f t="shared" si="4"/>
        <v>45</v>
      </c>
      <c r="G36" s="51">
        <f t="shared" si="5"/>
        <v>62.22222222</v>
      </c>
      <c r="H36" s="38" t="s">
        <v>70</v>
      </c>
      <c r="I36" s="38" t="s">
        <v>70</v>
      </c>
      <c r="J36" s="38" t="s">
        <v>70</v>
      </c>
      <c r="K36" s="38" t="s">
        <v>202</v>
      </c>
      <c r="L36" s="38" t="s">
        <v>202</v>
      </c>
      <c r="M36" s="38" t="s">
        <v>202</v>
      </c>
      <c r="N36" s="30"/>
      <c r="O36" s="38" t="s">
        <v>202</v>
      </c>
      <c r="P36" s="38" t="s">
        <v>70</v>
      </c>
      <c r="Q36" s="38" t="s">
        <v>202</v>
      </c>
      <c r="R36" s="38" t="s">
        <v>202</v>
      </c>
      <c r="S36" s="38" t="s">
        <v>202</v>
      </c>
      <c r="T36" s="38" t="s">
        <v>70</v>
      </c>
      <c r="U36" s="30"/>
      <c r="V36" s="38" t="s">
        <v>202</v>
      </c>
      <c r="W36" s="38" t="s">
        <v>202</v>
      </c>
      <c r="X36" s="38" t="s">
        <v>202</v>
      </c>
      <c r="Y36" s="38" t="s">
        <v>202</v>
      </c>
      <c r="Z36" s="38" t="s">
        <v>202</v>
      </c>
      <c r="AA36" s="38" t="s">
        <v>70</v>
      </c>
      <c r="AB36" s="30"/>
      <c r="AC36" s="38" t="s">
        <v>202</v>
      </c>
      <c r="AD36" s="38" t="s">
        <v>202</v>
      </c>
      <c r="AE36" s="38" t="s">
        <v>202</v>
      </c>
      <c r="AF36" s="38" t="s">
        <v>202</v>
      </c>
      <c r="AG36" s="38" t="s">
        <v>70</v>
      </c>
      <c r="AH36" s="38" t="s">
        <v>202</v>
      </c>
      <c r="AI36" s="30"/>
      <c r="AJ36" s="38" t="s">
        <v>202</v>
      </c>
      <c r="AK36" s="38" t="s">
        <v>202</v>
      </c>
      <c r="AL36" s="38" t="s">
        <v>202</v>
      </c>
      <c r="AM36" s="38" t="s">
        <v>202</v>
      </c>
      <c r="AN36" s="38" t="s">
        <v>202</v>
      </c>
      <c r="AO36" s="38" t="s">
        <v>70</v>
      </c>
      <c r="AP36" s="30"/>
      <c r="AQ36" s="38" t="s">
        <v>202</v>
      </c>
      <c r="AR36" s="38" t="s">
        <v>202</v>
      </c>
      <c r="AS36" s="38" t="s">
        <v>202</v>
      </c>
      <c r="AT36" s="38" t="s">
        <v>202</v>
      </c>
      <c r="AU36" s="38" t="s">
        <v>202</v>
      </c>
      <c r="AV36" s="38" t="s">
        <v>202</v>
      </c>
      <c r="AW36" s="39"/>
      <c r="AX36" s="38" t="s">
        <v>70</v>
      </c>
      <c r="AY36" s="38" t="s">
        <v>70</v>
      </c>
      <c r="AZ36" s="38" t="s">
        <v>70</v>
      </c>
      <c r="BA36" s="38" t="s">
        <v>70</v>
      </c>
      <c r="BB36" s="38" t="s">
        <v>70</v>
      </c>
      <c r="BC36" s="38" t="s">
        <v>70</v>
      </c>
      <c r="BD36" s="39"/>
      <c r="BE36" s="38" t="s">
        <v>70</v>
      </c>
      <c r="BF36" s="38" t="s">
        <v>70</v>
      </c>
      <c r="BG36" s="38" t="s">
        <v>70</v>
      </c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</row>
    <row r="37">
      <c r="A37" s="36">
        <v>34.0</v>
      </c>
      <c r="B37" s="49" t="s">
        <v>449</v>
      </c>
      <c r="C37" s="49" t="s">
        <v>450</v>
      </c>
      <c r="D37" s="50">
        <f t="shared" si="2"/>
        <v>29</v>
      </c>
      <c r="E37" s="50">
        <f t="shared" si="3"/>
        <v>16</v>
      </c>
      <c r="F37" s="50">
        <f t="shared" si="4"/>
        <v>45</v>
      </c>
      <c r="G37" s="51">
        <f t="shared" si="5"/>
        <v>64.44444444</v>
      </c>
      <c r="H37" s="38" t="s">
        <v>70</v>
      </c>
      <c r="I37" s="38" t="s">
        <v>70</v>
      </c>
      <c r="J37" s="38" t="s">
        <v>202</v>
      </c>
      <c r="K37" s="38" t="s">
        <v>202</v>
      </c>
      <c r="L37" s="38" t="s">
        <v>202</v>
      </c>
      <c r="M37" s="38" t="s">
        <v>202</v>
      </c>
      <c r="N37" s="30"/>
      <c r="O37" s="38" t="s">
        <v>202</v>
      </c>
      <c r="P37" s="38" t="s">
        <v>202</v>
      </c>
      <c r="Q37" s="38" t="s">
        <v>202</v>
      </c>
      <c r="R37" s="38" t="s">
        <v>70</v>
      </c>
      <c r="S37" s="38" t="s">
        <v>70</v>
      </c>
      <c r="T37" s="38" t="s">
        <v>70</v>
      </c>
      <c r="U37" s="30"/>
      <c r="V37" s="38" t="s">
        <v>70</v>
      </c>
      <c r="W37" s="38" t="s">
        <v>202</v>
      </c>
      <c r="X37" s="38" t="s">
        <v>202</v>
      </c>
      <c r="Y37" s="38" t="s">
        <v>202</v>
      </c>
      <c r="Z37" s="38" t="s">
        <v>202</v>
      </c>
      <c r="AA37" s="38" t="s">
        <v>202</v>
      </c>
      <c r="AB37" s="30"/>
      <c r="AC37" s="38" t="s">
        <v>202</v>
      </c>
      <c r="AD37" s="38" t="s">
        <v>202</v>
      </c>
      <c r="AE37" s="38" t="s">
        <v>70</v>
      </c>
      <c r="AF37" s="38" t="s">
        <v>202</v>
      </c>
      <c r="AG37" s="38" t="s">
        <v>202</v>
      </c>
      <c r="AH37" s="38" t="s">
        <v>202</v>
      </c>
      <c r="AI37" s="30"/>
      <c r="AJ37" s="38" t="s">
        <v>202</v>
      </c>
      <c r="AK37" s="38" t="s">
        <v>202</v>
      </c>
      <c r="AL37" s="38" t="s">
        <v>70</v>
      </c>
      <c r="AM37" s="38" t="s">
        <v>202</v>
      </c>
      <c r="AN37" s="38" t="s">
        <v>202</v>
      </c>
      <c r="AO37" s="38" t="s">
        <v>202</v>
      </c>
      <c r="AP37" s="30"/>
      <c r="AQ37" s="38" t="s">
        <v>202</v>
      </c>
      <c r="AR37" s="38" t="s">
        <v>202</v>
      </c>
      <c r="AS37" s="38" t="s">
        <v>202</v>
      </c>
      <c r="AT37" s="38" t="s">
        <v>70</v>
      </c>
      <c r="AU37" s="38" t="s">
        <v>202</v>
      </c>
      <c r="AV37" s="38" t="s">
        <v>202</v>
      </c>
      <c r="AW37" s="39"/>
      <c r="AX37" s="38" t="s">
        <v>70</v>
      </c>
      <c r="AY37" s="38" t="s">
        <v>202</v>
      </c>
      <c r="AZ37" s="38" t="s">
        <v>70</v>
      </c>
      <c r="BA37" s="38" t="s">
        <v>70</v>
      </c>
      <c r="BB37" s="38" t="s">
        <v>70</v>
      </c>
      <c r="BC37" s="38" t="s">
        <v>70</v>
      </c>
      <c r="BD37" s="39"/>
      <c r="BE37" s="38" t="s">
        <v>70</v>
      </c>
      <c r="BF37" s="38" t="s">
        <v>70</v>
      </c>
      <c r="BG37" s="38" t="s">
        <v>202</v>
      </c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</row>
    <row r="38">
      <c r="A38" s="36">
        <v>35.0</v>
      </c>
      <c r="B38" s="49" t="s">
        <v>452</v>
      </c>
      <c r="C38" s="49" t="s">
        <v>453</v>
      </c>
      <c r="D38" s="50">
        <f t="shared" si="2"/>
        <v>27</v>
      </c>
      <c r="E38" s="50">
        <f t="shared" si="3"/>
        <v>18</v>
      </c>
      <c r="F38" s="50">
        <f t="shared" si="4"/>
        <v>45</v>
      </c>
      <c r="G38" s="51">
        <f t="shared" si="5"/>
        <v>60</v>
      </c>
      <c r="H38" s="38" t="s">
        <v>70</v>
      </c>
      <c r="I38" s="38" t="s">
        <v>70</v>
      </c>
      <c r="J38" s="38" t="s">
        <v>70</v>
      </c>
      <c r="K38" s="38" t="s">
        <v>70</v>
      </c>
      <c r="L38" s="38" t="s">
        <v>70</v>
      </c>
      <c r="M38" s="38" t="s">
        <v>70</v>
      </c>
      <c r="N38" s="30"/>
      <c r="O38" s="38" t="s">
        <v>202</v>
      </c>
      <c r="P38" s="38" t="s">
        <v>202</v>
      </c>
      <c r="Q38" s="38" t="s">
        <v>202</v>
      </c>
      <c r="R38" s="38" t="s">
        <v>202</v>
      </c>
      <c r="S38" s="38" t="s">
        <v>202</v>
      </c>
      <c r="T38" s="38" t="s">
        <v>202</v>
      </c>
      <c r="U38" s="30"/>
      <c r="V38" s="38" t="s">
        <v>202</v>
      </c>
      <c r="W38" s="38" t="s">
        <v>202</v>
      </c>
      <c r="X38" s="38" t="s">
        <v>70</v>
      </c>
      <c r="Y38" s="38" t="s">
        <v>202</v>
      </c>
      <c r="Z38" s="38" t="s">
        <v>202</v>
      </c>
      <c r="AA38" s="38" t="s">
        <v>202</v>
      </c>
      <c r="AB38" s="30"/>
      <c r="AC38" s="38" t="s">
        <v>202</v>
      </c>
      <c r="AD38" s="38" t="s">
        <v>202</v>
      </c>
      <c r="AE38" s="38" t="s">
        <v>70</v>
      </c>
      <c r="AF38" s="38" t="s">
        <v>202</v>
      </c>
      <c r="AG38" s="38" t="s">
        <v>202</v>
      </c>
      <c r="AH38" s="38" t="s">
        <v>202</v>
      </c>
      <c r="AI38" s="30"/>
      <c r="AJ38" s="38" t="s">
        <v>70</v>
      </c>
      <c r="AK38" s="38" t="s">
        <v>202</v>
      </c>
      <c r="AL38" s="38" t="s">
        <v>70</v>
      </c>
      <c r="AM38" s="38" t="s">
        <v>202</v>
      </c>
      <c r="AN38" s="38" t="s">
        <v>70</v>
      </c>
      <c r="AO38" s="38" t="s">
        <v>202</v>
      </c>
      <c r="AP38" s="30"/>
      <c r="AQ38" s="38" t="s">
        <v>70</v>
      </c>
      <c r="AR38" s="38" t="s">
        <v>70</v>
      </c>
      <c r="AS38" s="38" t="s">
        <v>70</v>
      </c>
      <c r="AT38" s="38" t="s">
        <v>70</v>
      </c>
      <c r="AU38" s="38" t="s">
        <v>70</v>
      </c>
      <c r="AV38" s="38" t="s">
        <v>70</v>
      </c>
      <c r="AW38" s="39"/>
      <c r="AX38" s="38" t="s">
        <v>202</v>
      </c>
      <c r="AY38" s="38" t="s">
        <v>202</v>
      </c>
      <c r="AZ38" s="38" t="s">
        <v>202</v>
      </c>
      <c r="BA38" s="38" t="s">
        <v>202</v>
      </c>
      <c r="BB38" s="38" t="s">
        <v>202</v>
      </c>
      <c r="BC38" s="38" t="s">
        <v>202</v>
      </c>
      <c r="BD38" s="39"/>
      <c r="BE38" s="38" t="s">
        <v>202</v>
      </c>
      <c r="BF38" s="38" t="s">
        <v>202</v>
      </c>
      <c r="BG38" s="38" t="s">
        <v>70</v>
      </c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</row>
    <row r="39">
      <c r="A39" s="36">
        <v>36.0</v>
      </c>
      <c r="B39" s="75" t="s">
        <v>458</v>
      </c>
      <c r="C39" s="75" t="s">
        <v>459</v>
      </c>
      <c r="D39" s="50">
        <f t="shared" si="2"/>
        <v>36</v>
      </c>
      <c r="E39" s="50">
        <f t="shared" si="3"/>
        <v>9</v>
      </c>
      <c r="F39" s="50">
        <f t="shared" si="4"/>
        <v>45</v>
      </c>
      <c r="G39" s="51">
        <f t="shared" si="5"/>
        <v>80</v>
      </c>
      <c r="H39" s="38" t="s">
        <v>70</v>
      </c>
      <c r="I39" s="38" t="s">
        <v>70</v>
      </c>
      <c r="J39" s="38" t="s">
        <v>202</v>
      </c>
      <c r="K39" s="38" t="s">
        <v>202</v>
      </c>
      <c r="L39" s="38" t="s">
        <v>202</v>
      </c>
      <c r="M39" s="38" t="s">
        <v>70</v>
      </c>
      <c r="N39" s="30"/>
      <c r="O39" s="38" t="s">
        <v>202</v>
      </c>
      <c r="P39" s="38" t="s">
        <v>70</v>
      </c>
      <c r="Q39" s="38" t="s">
        <v>202</v>
      </c>
      <c r="R39" s="38" t="s">
        <v>202</v>
      </c>
      <c r="S39" s="38" t="s">
        <v>202</v>
      </c>
      <c r="T39" s="38" t="s">
        <v>202</v>
      </c>
      <c r="U39" s="30"/>
      <c r="V39" s="38" t="s">
        <v>202</v>
      </c>
      <c r="W39" s="38" t="s">
        <v>202</v>
      </c>
      <c r="X39" s="38" t="s">
        <v>202</v>
      </c>
      <c r="Y39" s="38" t="s">
        <v>202</v>
      </c>
      <c r="Z39" s="38" t="s">
        <v>70</v>
      </c>
      <c r="AA39" s="38" t="s">
        <v>202</v>
      </c>
      <c r="AB39" s="30"/>
      <c r="AC39" s="38" t="s">
        <v>202</v>
      </c>
      <c r="AD39" s="38" t="s">
        <v>202</v>
      </c>
      <c r="AE39" s="38" t="s">
        <v>202</v>
      </c>
      <c r="AF39" s="38" t="s">
        <v>202</v>
      </c>
      <c r="AG39" s="38" t="s">
        <v>202</v>
      </c>
      <c r="AH39" s="38" t="s">
        <v>202</v>
      </c>
      <c r="AI39" s="30"/>
      <c r="AJ39" s="38" t="s">
        <v>202</v>
      </c>
      <c r="AK39" s="38" t="s">
        <v>202</v>
      </c>
      <c r="AL39" s="38" t="s">
        <v>202</v>
      </c>
      <c r="AM39" s="38" t="s">
        <v>202</v>
      </c>
      <c r="AN39" s="38" t="s">
        <v>202</v>
      </c>
      <c r="AO39" s="38" t="s">
        <v>202</v>
      </c>
      <c r="AP39" s="30"/>
      <c r="AQ39" s="38" t="s">
        <v>202</v>
      </c>
      <c r="AR39" s="38" t="s">
        <v>202</v>
      </c>
      <c r="AS39" s="38" t="s">
        <v>202</v>
      </c>
      <c r="AT39" s="38" t="s">
        <v>202</v>
      </c>
      <c r="AU39" s="38" t="s">
        <v>202</v>
      </c>
      <c r="AV39" s="38" t="s">
        <v>202</v>
      </c>
      <c r="AW39" s="39"/>
      <c r="AX39" s="38" t="s">
        <v>202</v>
      </c>
      <c r="AY39" s="38" t="s">
        <v>202</v>
      </c>
      <c r="AZ39" s="38" t="s">
        <v>202</v>
      </c>
      <c r="BA39" s="38" t="s">
        <v>70</v>
      </c>
      <c r="BB39" s="38" t="s">
        <v>70</v>
      </c>
      <c r="BC39" s="38" t="s">
        <v>202</v>
      </c>
      <c r="BD39" s="39"/>
      <c r="BE39" s="38" t="s">
        <v>202</v>
      </c>
      <c r="BF39" s="38" t="s">
        <v>70</v>
      </c>
      <c r="BG39" s="38" t="s">
        <v>70</v>
      </c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</row>
    <row r="40">
      <c r="A40" s="36">
        <v>37.0</v>
      </c>
      <c r="B40" s="49" t="s">
        <v>464</v>
      </c>
      <c r="C40" s="49" t="s">
        <v>465</v>
      </c>
      <c r="D40" s="50">
        <f t="shared" si="2"/>
        <v>39</v>
      </c>
      <c r="E40" s="50">
        <f t="shared" si="3"/>
        <v>6</v>
      </c>
      <c r="F40" s="50">
        <f t="shared" si="4"/>
        <v>45</v>
      </c>
      <c r="G40" s="51">
        <f t="shared" si="5"/>
        <v>86.66666667</v>
      </c>
      <c r="H40" s="38" t="s">
        <v>311</v>
      </c>
      <c r="I40" s="38" t="s">
        <v>311</v>
      </c>
      <c r="J40" s="38" t="s">
        <v>311</v>
      </c>
      <c r="K40" s="38" t="s">
        <v>311</v>
      </c>
      <c r="L40" s="38" t="s">
        <v>70</v>
      </c>
      <c r="M40" s="38" t="s">
        <v>70</v>
      </c>
      <c r="N40" s="30"/>
      <c r="O40" s="38" t="s">
        <v>311</v>
      </c>
      <c r="P40" s="38" t="s">
        <v>311</v>
      </c>
      <c r="Q40" s="38" t="s">
        <v>202</v>
      </c>
      <c r="R40" s="38" t="s">
        <v>311</v>
      </c>
      <c r="S40" s="38" t="s">
        <v>311</v>
      </c>
      <c r="T40" s="38" t="s">
        <v>311</v>
      </c>
      <c r="U40" s="30"/>
      <c r="V40" s="38" t="s">
        <v>311</v>
      </c>
      <c r="W40" s="38" t="s">
        <v>311</v>
      </c>
      <c r="X40" s="38" t="s">
        <v>311</v>
      </c>
      <c r="Y40" s="38" t="s">
        <v>70</v>
      </c>
      <c r="Z40" s="38" t="s">
        <v>311</v>
      </c>
      <c r="AA40" s="38" t="s">
        <v>202</v>
      </c>
      <c r="AB40" s="30"/>
      <c r="AC40" s="38" t="s">
        <v>70</v>
      </c>
      <c r="AD40" s="38" t="s">
        <v>311</v>
      </c>
      <c r="AE40" s="38" t="s">
        <v>202</v>
      </c>
      <c r="AF40" s="38" t="s">
        <v>311</v>
      </c>
      <c r="AG40" s="38" t="s">
        <v>202</v>
      </c>
      <c r="AH40" s="38" t="s">
        <v>311</v>
      </c>
      <c r="AI40" s="30"/>
      <c r="AJ40" s="38" t="s">
        <v>311</v>
      </c>
      <c r="AK40" s="38" t="s">
        <v>311</v>
      </c>
      <c r="AL40" s="38" t="s">
        <v>202</v>
      </c>
      <c r="AM40" s="38" t="s">
        <v>70</v>
      </c>
      <c r="AN40" s="38" t="s">
        <v>202</v>
      </c>
      <c r="AO40" s="38" t="s">
        <v>202</v>
      </c>
      <c r="AP40" s="30"/>
      <c r="AQ40" s="38" t="s">
        <v>70</v>
      </c>
      <c r="AR40" s="38" t="s">
        <v>202</v>
      </c>
      <c r="AS40" s="38" t="s">
        <v>202</v>
      </c>
      <c r="AT40" s="38" t="s">
        <v>202</v>
      </c>
      <c r="AU40" s="38" t="s">
        <v>202</v>
      </c>
      <c r="AV40" s="38" t="s">
        <v>202</v>
      </c>
      <c r="AW40" s="39"/>
      <c r="AX40" s="38" t="s">
        <v>202</v>
      </c>
      <c r="AY40" s="38" t="s">
        <v>202</v>
      </c>
      <c r="AZ40" s="38" t="s">
        <v>202</v>
      </c>
      <c r="BA40" s="38" t="s">
        <v>202</v>
      </c>
      <c r="BB40" s="38" t="s">
        <v>202</v>
      </c>
      <c r="BC40" s="38" t="s">
        <v>202</v>
      </c>
      <c r="BD40" s="39"/>
      <c r="BE40" s="38" t="s">
        <v>202</v>
      </c>
      <c r="BF40" s="38" t="s">
        <v>202</v>
      </c>
      <c r="BG40" s="38" t="s">
        <v>202</v>
      </c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</row>
    <row r="41">
      <c r="A41" s="36">
        <v>38.0</v>
      </c>
      <c r="B41" s="77" t="s">
        <v>471</v>
      </c>
      <c r="C41" s="78" t="s">
        <v>473</v>
      </c>
      <c r="D41" s="50">
        <f t="shared" si="2"/>
        <v>41</v>
      </c>
      <c r="E41" s="50">
        <f t="shared" si="3"/>
        <v>4</v>
      </c>
      <c r="F41" s="50">
        <f t="shared" si="4"/>
        <v>45</v>
      </c>
      <c r="G41" s="51">
        <f t="shared" si="5"/>
        <v>91.11111111</v>
      </c>
      <c r="H41" s="38" t="s">
        <v>70</v>
      </c>
      <c r="I41" s="38" t="s">
        <v>202</v>
      </c>
      <c r="J41" s="38" t="s">
        <v>202</v>
      </c>
      <c r="K41" s="38" t="s">
        <v>202</v>
      </c>
      <c r="L41" s="38" t="s">
        <v>202</v>
      </c>
      <c r="M41" s="38" t="s">
        <v>202</v>
      </c>
      <c r="N41" s="30"/>
      <c r="O41" s="38" t="s">
        <v>202</v>
      </c>
      <c r="P41" s="38" t="s">
        <v>202</v>
      </c>
      <c r="Q41" s="38" t="s">
        <v>202</v>
      </c>
      <c r="R41" s="38" t="s">
        <v>202</v>
      </c>
      <c r="S41" s="38" t="s">
        <v>202</v>
      </c>
      <c r="T41" s="38" t="s">
        <v>202</v>
      </c>
      <c r="U41" s="30"/>
      <c r="V41" s="38" t="s">
        <v>202</v>
      </c>
      <c r="W41" s="38" t="s">
        <v>311</v>
      </c>
      <c r="X41" s="38" t="s">
        <v>311</v>
      </c>
      <c r="Y41" s="38" t="s">
        <v>202</v>
      </c>
      <c r="Z41" s="38" t="s">
        <v>202</v>
      </c>
      <c r="AA41" s="38" t="s">
        <v>202</v>
      </c>
      <c r="AB41" s="30"/>
      <c r="AC41" s="38" t="s">
        <v>202</v>
      </c>
      <c r="AD41" s="38" t="s">
        <v>202</v>
      </c>
      <c r="AE41" s="38" t="s">
        <v>311</v>
      </c>
      <c r="AF41" s="38" t="s">
        <v>202</v>
      </c>
      <c r="AG41" s="38" t="s">
        <v>202</v>
      </c>
      <c r="AH41" s="38" t="s">
        <v>202</v>
      </c>
      <c r="AI41" s="30"/>
      <c r="AJ41" s="38" t="s">
        <v>202</v>
      </c>
      <c r="AK41" s="38" t="s">
        <v>202</v>
      </c>
      <c r="AL41" s="38" t="s">
        <v>202</v>
      </c>
      <c r="AM41" s="38" t="s">
        <v>70</v>
      </c>
      <c r="AN41" s="38" t="s">
        <v>202</v>
      </c>
      <c r="AO41" s="38" t="s">
        <v>202</v>
      </c>
      <c r="AP41" s="30"/>
      <c r="AQ41" s="38" t="s">
        <v>202</v>
      </c>
      <c r="AR41" s="38" t="s">
        <v>202</v>
      </c>
      <c r="AS41" s="38" t="s">
        <v>202</v>
      </c>
      <c r="AT41" s="38" t="s">
        <v>202</v>
      </c>
      <c r="AU41" s="38" t="s">
        <v>202</v>
      </c>
      <c r="AV41" s="38" t="s">
        <v>202</v>
      </c>
      <c r="AW41" s="39"/>
      <c r="AX41" s="38" t="s">
        <v>70</v>
      </c>
      <c r="AY41" s="38" t="s">
        <v>202</v>
      </c>
      <c r="AZ41" s="38" t="s">
        <v>202</v>
      </c>
      <c r="BA41" s="38" t="s">
        <v>70</v>
      </c>
      <c r="BB41" s="38" t="s">
        <v>202</v>
      </c>
      <c r="BC41" s="38" t="s">
        <v>202</v>
      </c>
      <c r="BD41" s="39"/>
      <c r="BE41" s="38" t="s">
        <v>202</v>
      </c>
      <c r="BF41" s="38" t="s">
        <v>202</v>
      </c>
      <c r="BG41" s="38" t="s">
        <v>202</v>
      </c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</row>
    <row r="42">
      <c r="A42" s="36">
        <v>39.0</v>
      </c>
      <c r="B42" s="77" t="s">
        <v>477</v>
      </c>
      <c r="C42" s="38" t="s">
        <v>478</v>
      </c>
      <c r="D42" s="50">
        <f t="shared" si="2"/>
        <v>30</v>
      </c>
      <c r="E42" s="50">
        <f t="shared" si="3"/>
        <v>6</v>
      </c>
      <c r="F42" s="50">
        <f t="shared" si="4"/>
        <v>36</v>
      </c>
      <c r="G42" s="51">
        <f t="shared" si="5"/>
        <v>83.33333333</v>
      </c>
      <c r="H42" s="39"/>
      <c r="I42" s="39"/>
      <c r="J42" s="39"/>
      <c r="K42" s="39"/>
      <c r="L42" s="39"/>
      <c r="M42" s="39"/>
      <c r="N42" s="30"/>
      <c r="O42" s="39"/>
      <c r="P42" s="39"/>
      <c r="Q42" s="39"/>
      <c r="R42" s="38" t="s">
        <v>311</v>
      </c>
      <c r="S42" s="38" t="s">
        <v>311</v>
      </c>
      <c r="T42" s="38" t="s">
        <v>202</v>
      </c>
      <c r="U42" s="30"/>
      <c r="V42" s="38" t="s">
        <v>202</v>
      </c>
      <c r="W42" s="38" t="s">
        <v>202</v>
      </c>
      <c r="X42" s="38" t="s">
        <v>202</v>
      </c>
      <c r="Y42" s="38" t="s">
        <v>202</v>
      </c>
      <c r="Z42" s="38" t="s">
        <v>202</v>
      </c>
      <c r="AA42" s="38" t="s">
        <v>202</v>
      </c>
      <c r="AB42" s="30"/>
      <c r="AC42" s="38" t="s">
        <v>202</v>
      </c>
      <c r="AD42" s="38" t="s">
        <v>202</v>
      </c>
      <c r="AE42" s="38" t="s">
        <v>202</v>
      </c>
      <c r="AF42" s="38" t="s">
        <v>202</v>
      </c>
      <c r="AG42" s="38" t="s">
        <v>202</v>
      </c>
      <c r="AH42" s="38" t="s">
        <v>202</v>
      </c>
      <c r="AI42" s="30"/>
      <c r="AJ42" s="38" t="s">
        <v>202</v>
      </c>
      <c r="AK42" s="38" t="s">
        <v>202</v>
      </c>
      <c r="AL42" s="38" t="s">
        <v>202</v>
      </c>
      <c r="AM42" s="38" t="s">
        <v>202</v>
      </c>
      <c r="AN42" s="38" t="s">
        <v>202</v>
      </c>
      <c r="AO42" s="38" t="s">
        <v>202</v>
      </c>
      <c r="AP42" s="30"/>
      <c r="AQ42" s="38" t="s">
        <v>202</v>
      </c>
      <c r="AR42" s="38" t="s">
        <v>202</v>
      </c>
      <c r="AS42" s="38" t="s">
        <v>202</v>
      </c>
      <c r="AT42" s="38" t="s">
        <v>202</v>
      </c>
      <c r="AU42" s="38" t="s">
        <v>202</v>
      </c>
      <c r="AV42" s="38" t="s">
        <v>202</v>
      </c>
      <c r="AW42" s="39"/>
      <c r="AX42" s="38" t="s">
        <v>70</v>
      </c>
      <c r="AY42" s="38" t="s">
        <v>202</v>
      </c>
      <c r="AZ42" s="38" t="s">
        <v>202</v>
      </c>
      <c r="BA42" s="38" t="s">
        <v>70</v>
      </c>
      <c r="BB42" s="38" t="s">
        <v>202</v>
      </c>
      <c r="BC42" s="38" t="s">
        <v>70</v>
      </c>
      <c r="BD42" s="39"/>
      <c r="BE42" s="38" t="s">
        <v>70</v>
      </c>
      <c r="BF42" s="38" t="s">
        <v>70</v>
      </c>
      <c r="BG42" s="38" t="s">
        <v>70</v>
      </c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</row>
    <row r="43">
      <c r="A43" s="36">
        <v>40.0</v>
      </c>
      <c r="B43" s="49" t="s">
        <v>480</v>
      </c>
      <c r="C43" s="49" t="s">
        <v>482</v>
      </c>
      <c r="D43" s="50">
        <f t="shared" si="2"/>
        <v>45</v>
      </c>
      <c r="E43" s="50">
        <f t="shared" si="3"/>
        <v>0</v>
      </c>
      <c r="F43" s="50">
        <f t="shared" si="4"/>
        <v>45</v>
      </c>
      <c r="G43" s="51">
        <f t="shared" si="5"/>
        <v>100</v>
      </c>
      <c r="H43" s="38" t="s">
        <v>311</v>
      </c>
      <c r="I43" s="38" t="s">
        <v>311</v>
      </c>
      <c r="J43" s="38" t="s">
        <v>311</v>
      </c>
      <c r="K43" s="38" t="s">
        <v>311</v>
      </c>
      <c r="L43" s="38" t="s">
        <v>311</v>
      </c>
      <c r="M43" s="38" t="s">
        <v>311</v>
      </c>
      <c r="N43" s="30"/>
      <c r="O43" s="38" t="s">
        <v>311</v>
      </c>
      <c r="P43" s="38" t="s">
        <v>311</v>
      </c>
      <c r="Q43" s="38" t="s">
        <v>311</v>
      </c>
      <c r="R43" s="38" t="s">
        <v>311</v>
      </c>
      <c r="S43" s="38" t="s">
        <v>311</v>
      </c>
      <c r="T43" s="38" t="s">
        <v>311</v>
      </c>
      <c r="U43" s="30"/>
      <c r="V43" s="38" t="s">
        <v>311</v>
      </c>
      <c r="W43" s="38" t="s">
        <v>311</v>
      </c>
      <c r="X43" s="38" t="s">
        <v>311</v>
      </c>
      <c r="Y43" s="38" t="s">
        <v>311</v>
      </c>
      <c r="Z43" s="38" t="s">
        <v>311</v>
      </c>
      <c r="AA43" s="38" t="s">
        <v>202</v>
      </c>
      <c r="AB43" s="30"/>
      <c r="AC43" s="38" t="s">
        <v>311</v>
      </c>
      <c r="AD43" s="38" t="s">
        <v>311</v>
      </c>
      <c r="AE43" s="38" t="s">
        <v>202</v>
      </c>
      <c r="AF43" s="38" t="s">
        <v>311</v>
      </c>
      <c r="AG43" s="38" t="s">
        <v>202</v>
      </c>
      <c r="AH43" s="38" t="s">
        <v>311</v>
      </c>
      <c r="AI43" s="30"/>
      <c r="AJ43" s="38" t="s">
        <v>311</v>
      </c>
      <c r="AK43" s="38" t="s">
        <v>311</v>
      </c>
      <c r="AL43" s="38" t="s">
        <v>202</v>
      </c>
      <c r="AM43" s="38" t="s">
        <v>311</v>
      </c>
      <c r="AN43" s="38" t="s">
        <v>311</v>
      </c>
      <c r="AO43" s="38" t="s">
        <v>202</v>
      </c>
      <c r="AP43" s="30"/>
      <c r="AQ43" s="38" t="s">
        <v>202</v>
      </c>
      <c r="AR43" s="38" t="s">
        <v>202</v>
      </c>
      <c r="AS43" s="38" t="s">
        <v>202</v>
      </c>
      <c r="AT43" s="38" t="s">
        <v>202</v>
      </c>
      <c r="AU43" s="38" t="s">
        <v>202</v>
      </c>
      <c r="AV43" s="38" t="s">
        <v>202</v>
      </c>
      <c r="AW43" s="39"/>
      <c r="AX43" s="38" t="s">
        <v>202</v>
      </c>
      <c r="AY43" s="38" t="s">
        <v>202</v>
      </c>
      <c r="AZ43" s="38" t="s">
        <v>202</v>
      </c>
      <c r="BA43" s="38" t="s">
        <v>202</v>
      </c>
      <c r="BB43" s="38" t="s">
        <v>202</v>
      </c>
      <c r="BC43" s="38" t="s">
        <v>202</v>
      </c>
      <c r="BD43" s="39"/>
      <c r="BE43" s="38" t="s">
        <v>202</v>
      </c>
      <c r="BF43" s="38" t="s">
        <v>202</v>
      </c>
      <c r="BG43" s="38" t="s">
        <v>202</v>
      </c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</row>
    <row r="44">
      <c r="A44" s="36">
        <v>41.0</v>
      </c>
      <c r="B44" s="49" t="s">
        <v>485</v>
      </c>
      <c r="C44" s="49" t="s">
        <v>487</v>
      </c>
      <c r="D44" s="50">
        <f t="shared" si="2"/>
        <v>37</v>
      </c>
      <c r="E44" s="50">
        <f t="shared" si="3"/>
        <v>8</v>
      </c>
      <c r="F44" s="50">
        <f t="shared" si="4"/>
        <v>45</v>
      </c>
      <c r="G44" s="51">
        <f t="shared" si="5"/>
        <v>82.22222222</v>
      </c>
      <c r="H44" s="38" t="s">
        <v>202</v>
      </c>
      <c r="I44" s="38" t="s">
        <v>202</v>
      </c>
      <c r="J44" s="38" t="s">
        <v>202</v>
      </c>
      <c r="K44" s="38" t="s">
        <v>202</v>
      </c>
      <c r="L44" s="38" t="s">
        <v>70</v>
      </c>
      <c r="M44" s="38" t="s">
        <v>202</v>
      </c>
      <c r="N44" s="30"/>
      <c r="O44" s="38" t="s">
        <v>202</v>
      </c>
      <c r="P44" s="38" t="s">
        <v>202</v>
      </c>
      <c r="Q44" s="38" t="s">
        <v>202</v>
      </c>
      <c r="R44" s="38" t="s">
        <v>202</v>
      </c>
      <c r="S44" s="38" t="s">
        <v>202</v>
      </c>
      <c r="T44" s="38" t="s">
        <v>70</v>
      </c>
      <c r="U44" s="30"/>
      <c r="V44" s="38" t="s">
        <v>202</v>
      </c>
      <c r="W44" s="38" t="s">
        <v>202</v>
      </c>
      <c r="X44" s="38" t="s">
        <v>202</v>
      </c>
      <c r="Y44" s="38" t="s">
        <v>202</v>
      </c>
      <c r="Z44" s="38" t="s">
        <v>70</v>
      </c>
      <c r="AA44" s="38" t="s">
        <v>202</v>
      </c>
      <c r="AB44" s="30"/>
      <c r="AC44" s="38" t="s">
        <v>202</v>
      </c>
      <c r="AD44" s="38" t="s">
        <v>202</v>
      </c>
      <c r="AE44" s="38" t="s">
        <v>202</v>
      </c>
      <c r="AF44" s="38" t="s">
        <v>202</v>
      </c>
      <c r="AG44" s="38" t="s">
        <v>202</v>
      </c>
      <c r="AH44" s="38" t="s">
        <v>202</v>
      </c>
      <c r="AI44" s="30"/>
      <c r="AJ44" s="38" t="s">
        <v>202</v>
      </c>
      <c r="AK44" s="38" t="s">
        <v>70</v>
      </c>
      <c r="AL44" s="38" t="s">
        <v>70</v>
      </c>
      <c r="AM44" s="38" t="s">
        <v>202</v>
      </c>
      <c r="AN44" s="38" t="s">
        <v>202</v>
      </c>
      <c r="AO44" s="38" t="s">
        <v>202</v>
      </c>
      <c r="AP44" s="30"/>
      <c r="AQ44" s="38" t="s">
        <v>202</v>
      </c>
      <c r="AR44" s="38" t="s">
        <v>202</v>
      </c>
      <c r="AS44" s="38" t="s">
        <v>202</v>
      </c>
      <c r="AT44" s="38" t="s">
        <v>70</v>
      </c>
      <c r="AU44" s="38" t="s">
        <v>202</v>
      </c>
      <c r="AV44" s="38" t="s">
        <v>202</v>
      </c>
      <c r="AW44" s="39"/>
      <c r="AX44" s="38" t="s">
        <v>202</v>
      </c>
      <c r="AY44" s="38" t="s">
        <v>202</v>
      </c>
      <c r="AZ44" s="38" t="s">
        <v>202</v>
      </c>
      <c r="BA44" s="38" t="s">
        <v>202</v>
      </c>
      <c r="BB44" s="38" t="s">
        <v>202</v>
      </c>
      <c r="BC44" s="38" t="s">
        <v>70</v>
      </c>
      <c r="BD44" s="39"/>
      <c r="BE44" s="38" t="s">
        <v>202</v>
      </c>
      <c r="BF44" s="38" t="s">
        <v>202</v>
      </c>
      <c r="BG44" s="38" t="s">
        <v>70</v>
      </c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</row>
    <row r="45">
      <c r="A45" s="36">
        <v>42.0</v>
      </c>
      <c r="B45" s="49" t="s">
        <v>489</v>
      </c>
      <c r="C45" s="49" t="s">
        <v>491</v>
      </c>
      <c r="D45" s="50">
        <f t="shared" si="2"/>
        <v>41</v>
      </c>
      <c r="E45" s="50">
        <f t="shared" si="3"/>
        <v>4</v>
      </c>
      <c r="F45" s="50">
        <f t="shared" si="4"/>
        <v>45</v>
      </c>
      <c r="G45" s="51">
        <f t="shared" si="5"/>
        <v>91.11111111</v>
      </c>
      <c r="H45" s="38" t="s">
        <v>202</v>
      </c>
      <c r="I45" s="38" t="s">
        <v>202</v>
      </c>
      <c r="J45" s="38" t="s">
        <v>70</v>
      </c>
      <c r="K45" s="38" t="s">
        <v>70</v>
      </c>
      <c r="L45" s="38" t="s">
        <v>70</v>
      </c>
      <c r="M45" s="38" t="s">
        <v>70</v>
      </c>
      <c r="N45" s="30"/>
      <c r="O45" s="38" t="s">
        <v>202</v>
      </c>
      <c r="P45" s="38" t="s">
        <v>202</v>
      </c>
      <c r="Q45" s="38" t="s">
        <v>202</v>
      </c>
      <c r="R45" s="38" t="s">
        <v>202</v>
      </c>
      <c r="S45" s="38" t="s">
        <v>202</v>
      </c>
      <c r="T45" s="38" t="s">
        <v>202</v>
      </c>
      <c r="U45" s="30"/>
      <c r="V45" s="38" t="s">
        <v>202</v>
      </c>
      <c r="W45" s="38" t="s">
        <v>202</v>
      </c>
      <c r="X45" s="38" t="s">
        <v>202</v>
      </c>
      <c r="Y45" s="38" t="s">
        <v>202</v>
      </c>
      <c r="Z45" s="38" t="s">
        <v>202</v>
      </c>
      <c r="AA45" s="38" t="s">
        <v>202</v>
      </c>
      <c r="AB45" s="30"/>
      <c r="AC45" s="38" t="s">
        <v>202</v>
      </c>
      <c r="AD45" s="38" t="s">
        <v>202</v>
      </c>
      <c r="AE45" s="38" t="s">
        <v>202</v>
      </c>
      <c r="AF45" s="38" t="s">
        <v>202</v>
      </c>
      <c r="AG45" s="38" t="s">
        <v>202</v>
      </c>
      <c r="AH45" s="38" t="s">
        <v>202</v>
      </c>
      <c r="AI45" s="30"/>
      <c r="AJ45" s="38" t="s">
        <v>202</v>
      </c>
      <c r="AK45" s="38" t="s">
        <v>202</v>
      </c>
      <c r="AL45" s="38" t="s">
        <v>202</v>
      </c>
      <c r="AM45" s="38" t="s">
        <v>202</v>
      </c>
      <c r="AN45" s="38" t="s">
        <v>202</v>
      </c>
      <c r="AO45" s="38" t="s">
        <v>202</v>
      </c>
      <c r="AP45" s="30"/>
      <c r="AQ45" s="38" t="s">
        <v>202</v>
      </c>
      <c r="AR45" s="38" t="s">
        <v>202</v>
      </c>
      <c r="AS45" s="38" t="s">
        <v>202</v>
      </c>
      <c r="AT45" s="38" t="s">
        <v>202</v>
      </c>
      <c r="AU45" s="38" t="s">
        <v>202</v>
      </c>
      <c r="AV45" s="38" t="s">
        <v>202</v>
      </c>
      <c r="AW45" s="39"/>
      <c r="AX45" s="38" t="s">
        <v>202</v>
      </c>
      <c r="AY45" s="38" t="s">
        <v>202</v>
      </c>
      <c r="AZ45" s="38" t="s">
        <v>202</v>
      </c>
      <c r="BA45" s="38" t="s">
        <v>202</v>
      </c>
      <c r="BB45" s="38" t="s">
        <v>202</v>
      </c>
      <c r="BC45" s="38" t="s">
        <v>202</v>
      </c>
      <c r="BD45" s="39"/>
      <c r="BE45" s="38" t="s">
        <v>202</v>
      </c>
      <c r="BF45" s="38" t="s">
        <v>202</v>
      </c>
      <c r="BG45" s="38" t="s">
        <v>202</v>
      </c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</row>
    <row r="46">
      <c r="A46" s="36">
        <v>43.0</v>
      </c>
      <c r="B46" s="49" t="s">
        <v>496</v>
      </c>
      <c r="C46" s="49" t="s">
        <v>498</v>
      </c>
      <c r="D46" s="50">
        <f t="shared" si="2"/>
        <v>43</v>
      </c>
      <c r="E46" s="50">
        <f t="shared" si="3"/>
        <v>2</v>
      </c>
      <c r="F46" s="50">
        <f t="shared" si="4"/>
        <v>45</v>
      </c>
      <c r="G46" s="51">
        <f t="shared" si="5"/>
        <v>95.55555556</v>
      </c>
      <c r="H46" s="38" t="s">
        <v>202</v>
      </c>
      <c r="I46" s="38" t="s">
        <v>202</v>
      </c>
      <c r="J46" s="38" t="s">
        <v>202</v>
      </c>
      <c r="K46" s="38" t="s">
        <v>202</v>
      </c>
      <c r="L46" s="38" t="s">
        <v>202</v>
      </c>
      <c r="M46" s="38" t="s">
        <v>70</v>
      </c>
      <c r="N46" s="30"/>
      <c r="O46" s="38" t="s">
        <v>202</v>
      </c>
      <c r="P46" s="38" t="s">
        <v>202</v>
      </c>
      <c r="Q46" s="38" t="s">
        <v>202</v>
      </c>
      <c r="R46" s="38" t="s">
        <v>202</v>
      </c>
      <c r="S46" s="38" t="s">
        <v>202</v>
      </c>
      <c r="T46" s="38" t="s">
        <v>202</v>
      </c>
      <c r="U46" s="30"/>
      <c r="V46" s="38" t="s">
        <v>202</v>
      </c>
      <c r="W46" s="38" t="s">
        <v>202</v>
      </c>
      <c r="X46" s="38" t="s">
        <v>202</v>
      </c>
      <c r="Y46" s="38" t="s">
        <v>202</v>
      </c>
      <c r="Z46" s="38" t="s">
        <v>202</v>
      </c>
      <c r="AA46" s="38" t="s">
        <v>202</v>
      </c>
      <c r="AB46" s="30"/>
      <c r="AC46" s="38" t="s">
        <v>202</v>
      </c>
      <c r="AD46" s="38" t="s">
        <v>202</v>
      </c>
      <c r="AE46" s="38" t="s">
        <v>202</v>
      </c>
      <c r="AF46" s="38" t="s">
        <v>202</v>
      </c>
      <c r="AG46" s="38" t="s">
        <v>202</v>
      </c>
      <c r="AH46" s="38" t="s">
        <v>202</v>
      </c>
      <c r="AI46" s="30"/>
      <c r="AJ46" s="38" t="s">
        <v>202</v>
      </c>
      <c r="AK46" s="38" t="s">
        <v>202</v>
      </c>
      <c r="AL46" s="38" t="s">
        <v>70</v>
      </c>
      <c r="AM46" s="38" t="s">
        <v>202</v>
      </c>
      <c r="AN46" s="38" t="s">
        <v>202</v>
      </c>
      <c r="AO46" s="38" t="s">
        <v>202</v>
      </c>
      <c r="AP46" s="30"/>
      <c r="AQ46" s="38" t="s">
        <v>202</v>
      </c>
      <c r="AR46" s="38" t="s">
        <v>202</v>
      </c>
      <c r="AS46" s="38" t="s">
        <v>202</v>
      </c>
      <c r="AT46" s="38" t="s">
        <v>202</v>
      </c>
      <c r="AU46" s="38" t="s">
        <v>202</v>
      </c>
      <c r="AV46" s="38" t="s">
        <v>202</v>
      </c>
      <c r="AW46" s="39"/>
      <c r="AX46" s="38" t="s">
        <v>202</v>
      </c>
      <c r="AY46" s="38" t="s">
        <v>202</v>
      </c>
      <c r="AZ46" s="38" t="s">
        <v>202</v>
      </c>
      <c r="BA46" s="38" t="s">
        <v>202</v>
      </c>
      <c r="BB46" s="38" t="s">
        <v>202</v>
      </c>
      <c r="BC46" s="38" t="s">
        <v>202</v>
      </c>
      <c r="BD46" s="39"/>
      <c r="BE46" s="38" t="s">
        <v>202</v>
      </c>
      <c r="BF46" s="38" t="s">
        <v>202</v>
      </c>
      <c r="BG46" s="38" t="s">
        <v>202</v>
      </c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</row>
    <row r="47">
      <c r="A47" s="36">
        <v>44.0</v>
      </c>
      <c r="B47" s="49" t="s">
        <v>501</v>
      </c>
      <c r="C47" s="49" t="s">
        <v>503</v>
      </c>
      <c r="D47" s="50">
        <f t="shared" si="2"/>
        <v>36</v>
      </c>
      <c r="E47" s="50">
        <f t="shared" si="3"/>
        <v>9</v>
      </c>
      <c r="F47" s="50">
        <f t="shared" si="4"/>
        <v>45</v>
      </c>
      <c r="G47" s="51">
        <f t="shared" si="5"/>
        <v>80</v>
      </c>
      <c r="H47" s="38" t="s">
        <v>202</v>
      </c>
      <c r="I47" s="38" t="s">
        <v>202</v>
      </c>
      <c r="J47" s="38" t="s">
        <v>202</v>
      </c>
      <c r="K47" s="38" t="s">
        <v>202</v>
      </c>
      <c r="L47" s="38" t="s">
        <v>202</v>
      </c>
      <c r="M47" s="38" t="s">
        <v>202</v>
      </c>
      <c r="N47" s="30"/>
      <c r="O47" s="38" t="s">
        <v>202</v>
      </c>
      <c r="P47" s="38" t="s">
        <v>202</v>
      </c>
      <c r="Q47" s="38" t="s">
        <v>202</v>
      </c>
      <c r="R47" s="38" t="s">
        <v>202</v>
      </c>
      <c r="S47" s="38" t="s">
        <v>202</v>
      </c>
      <c r="T47" s="38" t="s">
        <v>70</v>
      </c>
      <c r="U47" s="30"/>
      <c r="V47" s="38" t="s">
        <v>202</v>
      </c>
      <c r="W47" s="38" t="s">
        <v>202</v>
      </c>
      <c r="X47" s="38" t="s">
        <v>202</v>
      </c>
      <c r="Y47" s="38" t="s">
        <v>202</v>
      </c>
      <c r="Z47" s="38" t="s">
        <v>202</v>
      </c>
      <c r="AA47" s="38" t="s">
        <v>202</v>
      </c>
      <c r="AB47" s="30"/>
      <c r="AC47" s="38" t="s">
        <v>202</v>
      </c>
      <c r="AD47" s="38" t="s">
        <v>202</v>
      </c>
      <c r="AE47" s="38" t="s">
        <v>202</v>
      </c>
      <c r="AF47" s="38" t="s">
        <v>70</v>
      </c>
      <c r="AG47" s="38" t="s">
        <v>202</v>
      </c>
      <c r="AH47" s="38" t="s">
        <v>202</v>
      </c>
      <c r="AI47" s="30"/>
      <c r="AJ47" s="38" t="s">
        <v>70</v>
      </c>
      <c r="AK47" s="38" t="s">
        <v>70</v>
      </c>
      <c r="AL47" s="38" t="s">
        <v>70</v>
      </c>
      <c r="AM47" s="38" t="s">
        <v>70</v>
      </c>
      <c r="AN47" s="38" t="s">
        <v>70</v>
      </c>
      <c r="AO47" s="38" t="s">
        <v>202</v>
      </c>
      <c r="AP47" s="30"/>
      <c r="AQ47" s="38" t="s">
        <v>202</v>
      </c>
      <c r="AR47" s="38" t="s">
        <v>202</v>
      </c>
      <c r="AS47" s="38" t="s">
        <v>202</v>
      </c>
      <c r="AT47" s="38" t="s">
        <v>202</v>
      </c>
      <c r="AU47" s="38" t="s">
        <v>202</v>
      </c>
      <c r="AV47" s="38" t="s">
        <v>202</v>
      </c>
      <c r="AW47" s="39"/>
      <c r="AX47" s="38" t="s">
        <v>202</v>
      </c>
      <c r="AY47" s="38" t="s">
        <v>202</v>
      </c>
      <c r="AZ47" s="38" t="s">
        <v>202</v>
      </c>
      <c r="BA47" s="38" t="s">
        <v>202</v>
      </c>
      <c r="BB47" s="38" t="s">
        <v>202</v>
      </c>
      <c r="BC47" s="38" t="s">
        <v>70</v>
      </c>
      <c r="BD47" s="39"/>
      <c r="BE47" s="38" t="s">
        <v>202</v>
      </c>
      <c r="BF47" s="38" t="s">
        <v>202</v>
      </c>
      <c r="BG47" s="38" t="s">
        <v>70</v>
      </c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</row>
    <row r="48">
      <c r="A48" s="36">
        <v>45.0</v>
      </c>
      <c r="B48" s="49" t="s">
        <v>506</v>
      </c>
      <c r="C48" s="49" t="s">
        <v>507</v>
      </c>
      <c r="D48" s="50">
        <f t="shared" si="2"/>
        <v>45</v>
      </c>
      <c r="E48" s="50">
        <f t="shared" si="3"/>
        <v>0</v>
      </c>
      <c r="F48" s="50">
        <f t="shared" si="4"/>
        <v>45</v>
      </c>
      <c r="G48" s="51">
        <f t="shared" si="5"/>
        <v>100</v>
      </c>
      <c r="H48" s="38" t="s">
        <v>202</v>
      </c>
      <c r="I48" s="38" t="s">
        <v>202</v>
      </c>
      <c r="J48" s="38" t="s">
        <v>202</v>
      </c>
      <c r="K48" s="38" t="s">
        <v>202</v>
      </c>
      <c r="L48" s="38" t="s">
        <v>202</v>
      </c>
      <c r="M48" s="38" t="s">
        <v>202</v>
      </c>
      <c r="N48" s="30"/>
      <c r="O48" s="38" t="s">
        <v>202</v>
      </c>
      <c r="P48" s="38" t="s">
        <v>202</v>
      </c>
      <c r="Q48" s="38" t="s">
        <v>202</v>
      </c>
      <c r="R48" s="38" t="s">
        <v>202</v>
      </c>
      <c r="S48" s="38" t="s">
        <v>202</v>
      </c>
      <c r="T48" s="38" t="s">
        <v>202</v>
      </c>
      <c r="U48" s="30"/>
      <c r="V48" s="38" t="s">
        <v>202</v>
      </c>
      <c r="W48" s="38" t="s">
        <v>202</v>
      </c>
      <c r="X48" s="38" t="s">
        <v>202</v>
      </c>
      <c r="Y48" s="38" t="s">
        <v>202</v>
      </c>
      <c r="Z48" s="38" t="s">
        <v>202</v>
      </c>
      <c r="AA48" s="38" t="s">
        <v>202</v>
      </c>
      <c r="AB48" s="30"/>
      <c r="AC48" s="38" t="s">
        <v>202</v>
      </c>
      <c r="AD48" s="38" t="s">
        <v>202</v>
      </c>
      <c r="AE48" s="38" t="s">
        <v>202</v>
      </c>
      <c r="AF48" s="38" t="s">
        <v>202</v>
      </c>
      <c r="AG48" s="38" t="s">
        <v>202</v>
      </c>
      <c r="AH48" s="38" t="s">
        <v>202</v>
      </c>
      <c r="AI48" s="30"/>
      <c r="AJ48" s="38" t="s">
        <v>202</v>
      </c>
      <c r="AK48" s="38" t="s">
        <v>202</v>
      </c>
      <c r="AL48" s="38" t="s">
        <v>202</v>
      </c>
      <c r="AM48" s="38" t="s">
        <v>202</v>
      </c>
      <c r="AN48" s="38" t="s">
        <v>202</v>
      </c>
      <c r="AO48" s="38" t="s">
        <v>202</v>
      </c>
      <c r="AP48" s="30"/>
      <c r="AQ48" s="38" t="s">
        <v>202</v>
      </c>
      <c r="AR48" s="38" t="s">
        <v>202</v>
      </c>
      <c r="AS48" s="38" t="s">
        <v>202</v>
      </c>
      <c r="AT48" s="38" t="s">
        <v>202</v>
      </c>
      <c r="AU48" s="38" t="s">
        <v>202</v>
      </c>
      <c r="AV48" s="38" t="s">
        <v>202</v>
      </c>
      <c r="AW48" s="39"/>
      <c r="AX48" s="38" t="s">
        <v>202</v>
      </c>
      <c r="AY48" s="38" t="s">
        <v>202</v>
      </c>
      <c r="AZ48" s="38" t="s">
        <v>202</v>
      </c>
      <c r="BA48" s="38" t="s">
        <v>202</v>
      </c>
      <c r="BB48" s="38" t="s">
        <v>202</v>
      </c>
      <c r="BC48" s="38" t="s">
        <v>202</v>
      </c>
      <c r="BD48" s="39"/>
      <c r="BE48" s="38" t="s">
        <v>202</v>
      </c>
      <c r="BF48" s="38" t="s">
        <v>202</v>
      </c>
      <c r="BG48" s="38" t="s">
        <v>202</v>
      </c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>
      <c r="A49" s="36">
        <v>46.0</v>
      </c>
      <c r="B49" s="49" t="s">
        <v>510</v>
      </c>
      <c r="C49" s="49" t="s">
        <v>512</v>
      </c>
      <c r="D49" s="50">
        <f t="shared" si="2"/>
        <v>42</v>
      </c>
      <c r="E49" s="50">
        <f t="shared" si="3"/>
        <v>3</v>
      </c>
      <c r="F49" s="50">
        <f t="shared" si="4"/>
        <v>45</v>
      </c>
      <c r="G49" s="51">
        <f t="shared" si="5"/>
        <v>93.33333333</v>
      </c>
      <c r="H49" s="38" t="s">
        <v>202</v>
      </c>
      <c r="I49" s="38" t="s">
        <v>202</v>
      </c>
      <c r="J49" s="38" t="s">
        <v>202</v>
      </c>
      <c r="K49" s="38" t="s">
        <v>202</v>
      </c>
      <c r="L49" s="38" t="s">
        <v>202</v>
      </c>
      <c r="M49" s="38" t="s">
        <v>202</v>
      </c>
      <c r="N49" s="30"/>
      <c r="O49" s="38" t="s">
        <v>202</v>
      </c>
      <c r="P49" s="38" t="s">
        <v>202</v>
      </c>
      <c r="Q49" s="38" t="s">
        <v>202</v>
      </c>
      <c r="R49" s="38" t="s">
        <v>202</v>
      </c>
      <c r="S49" s="38" t="s">
        <v>202</v>
      </c>
      <c r="T49" s="38" t="s">
        <v>202</v>
      </c>
      <c r="U49" s="30"/>
      <c r="V49" s="38" t="s">
        <v>202</v>
      </c>
      <c r="W49" s="38" t="s">
        <v>202</v>
      </c>
      <c r="X49" s="38" t="s">
        <v>202</v>
      </c>
      <c r="Y49" s="38" t="s">
        <v>202</v>
      </c>
      <c r="Z49" s="38" t="s">
        <v>202</v>
      </c>
      <c r="AA49" s="38" t="s">
        <v>202</v>
      </c>
      <c r="AB49" s="30"/>
      <c r="AC49" s="38" t="s">
        <v>202</v>
      </c>
      <c r="AD49" s="38" t="s">
        <v>202</v>
      </c>
      <c r="AE49" s="38" t="s">
        <v>202</v>
      </c>
      <c r="AF49" s="38" t="s">
        <v>202</v>
      </c>
      <c r="AG49" s="38" t="s">
        <v>202</v>
      </c>
      <c r="AH49" s="38" t="s">
        <v>202</v>
      </c>
      <c r="AI49" s="30"/>
      <c r="AJ49" s="38" t="s">
        <v>70</v>
      </c>
      <c r="AK49" s="38" t="s">
        <v>70</v>
      </c>
      <c r="AL49" s="38" t="s">
        <v>202</v>
      </c>
      <c r="AM49" s="38" t="s">
        <v>202</v>
      </c>
      <c r="AN49" s="38" t="s">
        <v>202</v>
      </c>
      <c r="AO49" s="38" t="s">
        <v>202</v>
      </c>
      <c r="AP49" s="30"/>
      <c r="AQ49" s="38" t="s">
        <v>202</v>
      </c>
      <c r="AR49" s="38" t="s">
        <v>202</v>
      </c>
      <c r="AS49" s="38" t="s">
        <v>202</v>
      </c>
      <c r="AT49" s="38" t="s">
        <v>202</v>
      </c>
      <c r="AU49" s="38" t="s">
        <v>202</v>
      </c>
      <c r="AV49" s="38" t="s">
        <v>202</v>
      </c>
      <c r="AW49" s="39"/>
      <c r="AX49" s="38" t="s">
        <v>202</v>
      </c>
      <c r="AY49" s="38" t="s">
        <v>202</v>
      </c>
      <c r="AZ49" s="38" t="s">
        <v>202</v>
      </c>
      <c r="BA49" s="38" t="s">
        <v>202</v>
      </c>
      <c r="BB49" s="38" t="s">
        <v>202</v>
      </c>
      <c r="BC49" s="38" t="s">
        <v>202</v>
      </c>
      <c r="BD49" s="39"/>
      <c r="BE49" s="38" t="s">
        <v>202</v>
      </c>
      <c r="BF49" s="38" t="s">
        <v>202</v>
      </c>
      <c r="BG49" s="38" t="s">
        <v>70</v>
      </c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</row>
    <row r="50">
      <c r="A50" s="36">
        <v>47.0</v>
      </c>
      <c r="B50" s="49" t="s">
        <v>515</v>
      </c>
      <c r="C50" s="49" t="s">
        <v>516</v>
      </c>
      <c r="D50" s="50">
        <f t="shared" si="2"/>
        <v>34</v>
      </c>
      <c r="E50" s="50">
        <f t="shared" si="3"/>
        <v>11</v>
      </c>
      <c r="F50" s="50">
        <f t="shared" si="4"/>
        <v>45</v>
      </c>
      <c r="G50" s="51">
        <f t="shared" si="5"/>
        <v>75.55555556</v>
      </c>
      <c r="H50" s="38" t="s">
        <v>70</v>
      </c>
      <c r="I50" s="38" t="s">
        <v>202</v>
      </c>
      <c r="J50" s="38" t="s">
        <v>202</v>
      </c>
      <c r="K50" s="38" t="s">
        <v>202</v>
      </c>
      <c r="L50" s="38" t="s">
        <v>202</v>
      </c>
      <c r="M50" s="38" t="s">
        <v>202</v>
      </c>
      <c r="N50" s="30"/>
      <c r="O50" s="38" t="s">
        <v>70</v>
      </c>
      <c r="P50" s="38" t="s">
        <v>202</v>
      </c>
      <c r="Q50" s="38" t="s">
        <v>70</v>
      </c>
      <c r="R50" s="38" t="s">
        <v>202</v>
      </c>
      <c r="S50" s="38" t="s">
        <v>202</v>
      </c>
      <c r="T50" s="38" t="s">
        <v>70</v>
      </c>
      <c r="U50" s="30"/>
      <c r="V50" s="38" t="s">
        <v>202</v>
      </c>
      <c r="W50" s="38" t="s">
        <v>202</v>
      </c>
      <c r="X50" s="38" t="s">
        <v>202</v>
      </c>
      <c r="Y50" s="38" t="s">
        <v>202</v>
      </c>
      <c r="Z50" s="38" t="s">
        <v>202</v>
      </c>
      <c r="AA50" s="38" t="s">
        <v>202</v>
      </c>
      <c r="AB50" s="30"/>
      <c r="AC50" s="38" t="s">
        <v>70</v>
      </c>
      <c r="AD50" s="38" t="s">
        <v>70</v>
      </c>
      <c r="AE50" s="38" t="s">
        <v>70</v>
      </c>
      <c r="AF50" s="38" t="s">
        <v>202</v>
      </c>
      <c r="AG50" s="38" t="s">
        <v>202</v>
      </c>
      <c r="AH50" s="38" t="s">
        <v>202</v>
      </c>
      <c r="AI50" s="30"/>
      <c r="AJ50" s="38" t="s">
        <v>202</v>
      </c>
      <c r="AK50" s="38" t="s">
        <v>202</v>
      </c>
      <c r="AL50" s="38" t="s">
        <v>202</v>
      </c>
      <c r="AM50" s="38" t="s">
        <v>202</v>
      </c>
      <c r="AN50" s="38" t="s">
        <v>202</v>
      </c>
      <c r="AO50" s="38" t="s">
        <v>202</v>
      </c>
      <c r="AP50" s="30"/>
      <c r="AQ50" s="38" t="s">
        <v>202</v>
      </c>
      <c r="AR50" s="38" t="s">
        <v>202</v>
      </c>
      <c r="AS50" s="38" t="s">
        <v>202</v>
      </c>
      <c r="AT50" s="38" t="s">
        <v>202</v>
      </c>
      <c r="AU50" s="38" t="s">
        <v>202</v>
      </c>
      <c r="AV50" s="38" t="s">
        <v>202</v>
      </c>
      <c r="AW50" s="39"/>
      <c r="AX50" s="38" t="s">
        <v>202</v>
      </c>
      <c r="AY50" s="38" t="s">
        <v>202</v>
      </c>
      <c r="AZ50" s="38" t="s">
        <v>202</v>
      </c>
      <c r="BA50" s="38" t="s">
        <v>202</v>
      </c>
      <c r="BB50" s="38" t="s">
        <v>202</v>
      </c>
      <c r="BC50" s="38" t="s">
        <v>70</v>
      </c>
      <c r="BD50" s="39"/>
      <c r="BE50" s="38" t="s">
        <v>70</v>
      </c>
      <c r="BF50" s="38" t="s">
        <v>70</v>
      </c>
      <c r="BG50" s="38" t="s">
        <v>70</v>
      </c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>
      <c r="A51" s="36">
        <v>48.0</v>
      </c>
      <c r="B51" s="49" t="s">
        <v>517</v>
      </c>
      <c r="C51" s="49" t="s">
        <v>519</v>
      </c>
      <c r="D51" s="50">
        <f t="shared" si="2"/>
        <v>43</v>
      </c>
      <c r="E51" s="50">
        <f t="shared" si="3"/>
        <v>2</v>
      </c>
      <c r="F51" s="50">
        <f t="shared" si="4"/>
        <v>45</v>
      </c>
      <c r="G51" s="51">
        <f t="shared" si="5"/>
        <v>95.55555556</v>
      </c>
      <c r="H51" s="38" t="s">
        <v>202</v>
      </c>
      <c r="I51" s="38" t="s">
        <v>202</v>
      </c>
      <c r="J51" s="38" t="s">
        <v>202</v>
      </c>
      <c r="K51" s="38" t="s">
        <v>202</v>
      </c>
      <c r="L51" s="38" t="s">
        <v>202</v>
      </c>
      <c r="M51" s="38" t="s">
        <v>202</v>
      </c>
      <c r="N51" s="30"/>
      <c r="O51" s="38" t="s">
        <v>202</v>
      </c>
      <c r="P51" s="38" t="s">
        <v>202</v>
      </c>
      <c r="Q51" s="38" t="s">
        <v>202</v>
      </c>
      <c r="R51" s="38" t="s">
        <v>202</v>
      </c>
      <c r="S51" s="38" t="s">
        <v>202</v>
      </c>
      <c r="T51" s="38" t="s">
        <v>202</v>
      </c>
      <c r="U51" s="30"/>
      <c r="V51" s="38" t="s">
        <v>202</v>
      </c>
      <c r="W51" s="38" t="s">
        <v>202</v>
      </c>
      <c r="X51" s="38" t="s">
        <v>202</v>
      </c>
      <c r="Y51" s="38" t="s">
        <v>202</v>
      </c>
      <c r="Z51" s="38" t="s">
        <v>202</v>
      </c>
      <c r="AA51" s="38" t="s">
        <v>202</v>
      </c>
      <c r="AB51" s="30"/>
      <c r="AC51" s="38" t="s">
        <v>202</v>
      </c>
      <c r="AD51" s="38" t="s">
        <v>202</v>
      </c>
      <c r="AE51" s="38" t="s">
        <v>202</v>
      </c>
      <c r="AF51" s="38" t="s">
        <v>202</v>
      </c>
      <c r="AG51" s="38" t="s">
        <v>202</v>
      </c>
      <c r="AH51" s="38" t="s">
        <v>202</v>
      </c>
      <c r="AI51" s="30"/>
      <c r="AJ51" s="38" t="s">
        <v>202</v>
      </c>
      <c r="AK51" s="38" t="s">
        <v>202</v>
      </c>
      <c r="AL51" s="38" t="s">
        <v>202</v>
      </c>
      <c r="AM51" s="38" t="s">
        <v>202</v>
      </c>
      <c r="AN51" s="38" t="s">
        <v>202</v>
      </c>
      <c r="AO51" s="38" t="s">
        <v>202</v>
      </c>
      <c r="AP51" s="30"/>
      <c r="AQ51" s="38" t="s">
        <v>202</v>
      </c>
      <c r="AR51" s="38" t="s">
        <v>202</v>
      </c>
      <c r="AS51" s="38" t="s">
        <v>202</v>
      </c>
      <c r="AT51" s="38" t="s">
        <v>202</v>
      </c>
      <c r="AU51" s="38" t="s">
        <v>202</v>
      </c>
      <c r="AV51" s="38" t="s">
        <v>202</v>
      </c>
      <c r="AW51" s="39"/>
      <c r="AX51" s="38" t="s">
        <v>202</v>
      </c>
      <c r="AY51" s="38" t="s">
        <v>202</v>
      </c>
      <c r="AZ51" s="38" t="s">
        <v>202</v>
      </c>
      <c r="BA51" s="38" t="s">
        <v>202</v>
      </c>
      <c r="BB51" s="38" t="s">
        <v>202</v>
      </c>
      <c r="BC51" s="38" t="s">
        <v>70</v>
      </c>
      <c r="BD51" s="39"/>
      <c r="BE51" s="38" t="s">
        <v>202</v>
      </c>
      <c r="BF51" s="38" t="s">
        <v>70</v>
      </c>
      <c r="BG51" s="38" t="s">
        <v>202</v>
      </c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</row>
    <row r="52">
      <c r="A52" s="36">
        <v>49.0</v>
      </c>
      <c r="B52" s="49" t="s">
        <v>522</v>
      </c>
      <c r="C52" s="49" t="s">
        <v>524</v>
      </c>
      <c r="D52" s="50">
        <f t="shared" si="2"/>
        <v>19</v>
      </c>
      <c r="E52" s="50">
        <f t="shared" si="3"/>
        <v>26</v>
      </c>
      <c r="F52" s="50">
        <f t="shared" si="4"/>
        <v>45</v>
      </c>
      <c r="G52" s="51">
        <f t="shared" si="5"/>
        <v>42.22222222</v>
      </c>
      <c r="H52" s="38" t="s">
        <v>70</v>
      </c>
      <c r="I52" s="38" t="s">
        <v>70</v>
      </c>
      <c r="J52" s="38" t="s">
        <v>70</v>
      </c>
      <c r="K52" s="38" t="s">
        <v>70</v>
      </c>
      <c r="L52" s="38" t="s">
        <v>70</v>
      </c>
      <c r="M52" s="38" t="s">
        <v>70</v>
      </c>
      <c r="N52" s="30"/>
      <c r="O52" s="38" t="s">
        <v>70</v>
      </c>
      <c r="P52" s="38" t="s">
        <v>70</v>
      </c>
      <c r="Q52" s="38" t="s">
        <v>202</v>
      </c>
      <c r="R52" s="38" t="s">
        <v>70</v>
      </c>
      <c r="S52" s="38" t="s">
        <v>202</v>
      </c>
      <c r="T52" s="38" t="s">
        <v>70</v>
      </c>
      <c r="U52" s="30"/>
      <c r="V52" s="38" t="s">
        <v>202</v>
      </c>
      <c r="W52" s="38" t="s">
        <v>202</v>
      </c>
      <c r="X52" s="38" t="s">
        <v>70</v>
      </c>
      <c r="Y52" s="38" t="s">
        <v>202</v>
      </c>
      <c r="Z52" s="38" t="s">
        <v>202</v>
      </c>
      <c r="AA52" s="38" t="s">
        <v>202</v>
      </c>
      <c r="AB52" s="30"/>
      <c r="AC52" s="38" t="s">
        <v>70</v>
      </c>
      <c r="AD52" s="38" t="s">
        <v>70</v>
      </c>
      <c r="AE52" s="38" t="s">
        <v>70</v>
      </c>
      <c r="AF52" s="38" t="s">
        <v>70</v>
      </c>
      <c r="AG52" s="38" t="s">
        <v>70</v>
      </c>
      <c r="AH52" s="38" t="s">
        <v>202</v>
      </c>
      <c r="AI52" s="30"/>
      <c r="AJ52" s="38" t="s">
        <v>202</v>
      </c>
      <c r="AK52" s="38" t="s">
        <v>202</v>
      </c>
      <c r="AL52" s="38" t="s">
        <v>70</v>
      </c>
      <c r="AM52" s="38" t="s">
        <v>202</v>
      </c>
      <c r="AN52" s="38" t="s">
        <v>202</v>
      </c>
      <c r="AO52" s="38" t="s">
        <v>202</v>
      </c>
      <c r="AP52" s="30"/>
      <c r="AQ52" s="38" t="s">
        <v>70</v>
      </c>
      <c r="AR52" s="38" t="s">
        <v>70</v>
      </c>
      <c r="AS52" s="38" t="s">
        <v>70</v>
      </c>
      <c r="AT52" s="38" t="s">
        <v>202</v>
      </c>
      <c r="AU52" s="38" t="s">
        <v>202</v>
      </c>
      <c r="AV52" s="38" t="s">
        <v>202</v>
      </c>
      <c r="AW52" s="39"/>
      <c r="AX52" s="38" t="s">
        <v>202</v>
      </c>
      <c r="AY52" s="38" t="s">
        <v>202</v>
      </c>
      <c r="AZ52" s="38" t="s">
        <v>202</v>
      </c>
      <c r="BA52" s="38" t="s">
        <v>70</v>
      </c>
      <c r="BB52" s="38" t="s">
        <v>70</v>
      </c>
      <c r="BC52" s="38" t="s">
        <v>70</v>
      </c>
      <c r="BD52" s="39"/>
      <c r="BE52" s="38" t="s">
        <v>70</v>
      </c>
      <c r="BF52" s="38" t="s">
        <v>70</v>
      </c>
      <c r="BG52" s="38" t="s">
        <v>70</v>
      </c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</row>
    <row r="53">
      <c r="A53" s="36">
        <v>50.0</v>
      </c>
      <c r="B53" s="49" t="s">
        <v>526</v>
      </c>
      <c r="C53" s="49" t="s">
        <v>527</v>
      </c>
      <c r="D53" s="50">
        <f t="shared" si="2"/>
        <v>42</v>
      </c>
      <c r="E53" s="50">
        <f t="shared" si="3"/>
        <v>3</v>
      </c>
      <c r="F53" s="50">
        <f t="shared" si="4"/>
        <v>45</v>
      </c>
      <c r="G53" s="51">
        <f t="shared" si="5"/>
        <v>93.33333333</v>
      </c>
      <c r="H53" s="38" t="s">
        <v>202</v>
      </c>
      <c r="I53" s="38" t="s">
        <v>202</v>
      </c>
      <c r="J53" s="38" t="s">
        <v>202</v>
      </c>
      <c r="K53" s="38" t="s">
        <v>202</v>
      </c>
      <c r="L53" s="38" t="s">
        <v>202</v>
      </c>
      <c r="M53" s="38" t="s">
        <v>202</v>
      </c>
      <c r="N53" s="30"/>
      <c r="O53" s="38" t="s">
        <v>202</v>
      </c>
      <c r="P53" s="38" t="s">
        <v>202</v>
      </c>
      <c r="Q53" s="38" t="s">
        <v>202</v>
      </c>
      <c r="R53" s="38" t="s">
        <v>202</v>
      </c>
      <c r="S53" s="38" t="s">
        <v>202</v>
      </c>
      <c r="T53" s="38" t="s">
        <v>202</v>
      </c>
      <c r="U53" s="30"/>
      <c r="V53" s="38" t="s">
        <v>202</v>
      </c>
      <c r="W53" s="38" t="s">
        <v>311</v>
      </c>
      <c r="X53" s="38" t="s">
        <v>311</v>
      </c>
      <c r="Y53" s="38" t="s">
        <v>202</v>
      </c>
      <c r="Z53" s="38" t="s">
        <v>202</v>
      </c>
      <c r="AA53" s="38" t="s">
        <v>202</v>
      </c>
      <c r="AB53" s="30"/>
      <c r="AC53" s="38" t="s">
        <v>202</v>
      </c>
      <c r="AD53" s="38" t="s">
        <v>202</v>
      </c>
      <c r="AE53" s="38" t="s">
        <v>311</v>
      </c>
      <c r="AF53" s="38" t="s">
        <v>202</v>
      </c>
      <c r="AG53" s="38" t="s">
        <v>311</v>
      </c>
      <c r="AH53" s="38" t="s">
        <v>202</v>
      </c>
      <c r="AI53" s="30"/>
      <c r="AJ53" s="38" t="s">
        <v>202</v>
      </c>
      <c r="AK53" s="38" t="s">
        <v>202</v>
      </c>
      <c r="AL53" s="38" t="s">
        <v>202</v>
      </c>
      <c r="AM53" s="38" t="s">
        <v>202</v>
      </c>
      <c r="AN53" s="38" t="s">
        <v>202</v>
      </c>
      <c r="AO53" s="38" t="s">
        <v>202</v>
      </c>
      <c r="AP53" s="30"/>
      <c r="AQ53" s="38" t="s">
        <v>202</v>
      </c>
      <c r="AR53" s="38" t="s">
        <v>202</v>
      </c>
      <c r="AS53" s="38" t="s">
        <v>202</v>
      </c>
      <c r="AT53" s="38" t="s">
        <v>202</v>
      </c>
      <c r="AU53" s="38" t="s">
        <v>202</v>
      </c>
      <c r="AV53" s="38" t="s">
        <v>202</v>
      </c>
      <c r="AW53" s="39"/>
      <c r="AX53" s="38" t="s">
        <v>70</v>
      </c>
      <c r="AY53" s="38" t="s">
        <v>70</v>
      </c>
      <c r="AZ53" s="38" t="s">
        <v>202</v>
      </c>
      <c r="BA53" s="38" t="s">
        <v>202</v>
      </c>
      <c r="BB53" s="38" t="s">
        <v>202</v>
      </c>
      <c r="BC53" s="38" t="s">
        <v>70</v>
      </c>
      <c r="BD53" s="39"/>
      <c r="BE53" s="38" t="s">
        <v>202</v>
      </c>
      <c r="BF53" s="38" t="s">
        <v>202</v>
      </c>
      <c r="BG53" s="38" t="s">
        <v>202</v>
      </c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</row>
    <row r="54">
      <c r="A54" s="36">
        <v>51.0</v>
      </c>
      <c r="B54" s="49" t="s">
        <v>530</v>
      </c>
      <c r="C54" s="49" t="s">
        <v>531</v>
      </c>
      <c r="D54" s="50">
        <f t="shared" si="2"/>
        <v>38</v>
      </c>
      <c r="E54" s="50">
        <f t="shared" si="3"/>
        <v>7</v>
      </c>
      <c r="F54" s="50">
        <f t="shared" si="4"/>
        <v>45</v>
      </c>
      <c r="G54" s="51">
        <f t="shared" si="5"/>
        <v>84.44444444</v>
      </c>
      <c r="H54" s="38" t="s">
        <v>70</v>
      </c>
      <c r="I54" s="38" t="s">
        <v>70</v>
      </c>
      <c r="J54" s="38" t="s">
        <v>202</v>
      </c>
      <c r="K54" s="38" t="s">
        <v>202</v>
      </c>
      <c r="L54" s="38" t="s">
        <v>202</v>
      </c>
      <c r="M54" s="38" t="s">
        <v>70</v>
      </c>
      <c r="N54" s="30"/>
      <c r="O54" s="38" t="s">
        <v>202</v>
      </c>
      <c r="P54" s="38" t="s">
        <v>202</v>
      </c>
      <c r="Q54" s="38" t="s">
        <v>202</v>
      </c>
      <c r="R54" s="38" t="s">
        <v>202</v>
      </c>
      <c r="S54" s="38" t="s">
        <v>202</v>
      </c>
      <c r="T54" s="38" t="s">
        <v>202</v>
      </c>
      <c r="U54" s="30"/>
      <c r="V54" s="38" t="s">
        <v>202</v>
      </c>
      <c r="W54" s="38" t="s">
        <v>202</v>
      </c>
      <c r="X54" s="38" t="s">
        <v>202</v>
      </c>
      <c r="Y54" s="38" t="s">
        <v>202</v>
      </c>
      <c r="Z54" s="38" t="s">
        <v>202</v>
      </c>
      <c r="AA54" s="38" t="s">
        <v>70</v>
      </c>
      <c r="AB54" s="30"/>
      <c r="AC54" s="38" t="s">
        <v>202</v>
      </c>
      <c r="AD54" s="38" t="s">
        <v>202</v>
      </c>
      <c r="AE54" s="38" t="s">
        <v>202</v>
      </c>
      <c r="AF54" s="38" t="s">
        <v>202</v>
      </c>
      <c r="AG54" s="38" t="s">
        <v>202</v>
      </c>
      <c r="AH54" s="38" t="s">
        <v>202</v>
      </c>
      <c r="AI54" s="30"/>
      <c r="AJ54" s="38" t="s">
        <v>202</v>
      </c>
      <c r="AK54" s="38" t="s">
        <v>202</v>
      </c>
      <c r="AL54" s="38" t="s">
        <v>202</v>
      </c>
      <c r="AM54" s="38" t="s">
        <v>202</v>
      </c>
      <c r="AN54" s="38" t="s">
        <v>202</v>
      </c>
      <c r="AO54" s="38" t="s">
        <v>202</v>
      </c>
      <c r="AP54" s="30"/>
      <c r="AQ54" s="38" t="s">
        <v>202</v>
      </c>
      <c r="AR54" s="38" t="s">
        <v>202</v>
      </c>
      <c r="AS54" s="38" t="s">
        <v>202</v>
      </c>
      <c r="AT54" s="38" t="s">
        <v>202</v>
      </c>
      <c r="AU54" s="38" t="s">
        <v>202</v>
      </c>
      <c r="AV54" s="38" t="s">
        <v>202</v>
      </c>
      <c r="AW54" s="39"/>
      <c r="AX54" s="38" t="s">
        <v>202</v>
      </c>
      <c r="AY54" s="38" t="s">
        <v>202</v>
      </c>
      <c r="AZ54" s="38" t="s">
        <v>202</v>
      </c>
      <c r="BA54" s="38" t="s">
        <v>202</v>
      </c>
      <c r="BB54" s="38" t="s">
        <v>202</v>
      </c>
      <c r="BC54" s="38" t="s">
        <v>202</v>
      </c>
      <c r="BD54" s="39"/>
      <c r="BE54" s="38" t="s">
        <v>70</v>
      </c>
      <c r="BF54" s="38" t="s">
        <v>70</v>
      </c>
      <c r="BG54" s="38" t="s">
        <v>70</v>
      </c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</row>
    <row r="55">
      <c r="A55" s="36">
        <v>52.0</v>
      </c>
      <c r="B55" s="49" t="s">
        <v>533</v>
      </c>
      <c r="C55" s="49" t="s">
        <v>534</v>
      </c>
      <c r="D55" s="50">
        <f t="shared" si="2"/>
        <v>37</v>
      </c>
      <c r="E55" s="50">
        <f t="shared" si="3"/>
        <v>8</v>
      </c>
      <c r="F55" s="50">
        <f t="shared" si="4"/>
        <v>45</v>
      </c>
      <c r="G55" s="51">
        <f t="shared" si="5"/>
        <v>82.22222222</v>
      </c>
      <c r="H55" s="38" t="s">
        <v>70</v>
      </c>
      <c r="I55" s="38" t="s">
        <v>70</v>
      </c>
      <c r="J55" s="38" t="s">
        <v>202</v>
      </c>
      <c r="K55" s="38" t="s">
        <v>202</v>
      </c>
      <c r="L55" s="38" t="s">
        <v>202</v>
      </c>
      <c r="M55" s="38" t="s">
        <v>70</v>
      </c>
      <c r="N55" s="30"/>
      <c r="O55" s="38" t="s">
        <v>202</v>
      </c>
      <c r="P55" s="38" t="s">
        <v>202</v>
      </c>
      <c r="Q55" s="38" t="s">
        <v>202</v>
      </c>
      <c r="R55" s="38" t="s">
        <v>202</v>
      </c>
      <c r="S55" s="38" t="s">
        <v>202</v>
      </c>
      <c r="T55" s="38" t="s">
        <v>202</v>
      </c>
      <c r="U55" s="30"/>
      <c r="V55" s="38" t="s">
        <v>202</v>
      </c>
      <c r="W55" s="38" t="s">
        <v>202</v>
      </c>
      <c r="X55" s="38" t="s">
        <v>202</v>
      </c>
      <c r="Y55" s="38" t="s">
        <v>202</v>
      </c>
      <c r="Z55" s="38" t="s">
        <v>202</v>
      </c>
      <c r="AA55" s="38" t="s">
        <v>202</v>
      </c>
      <c r="AB55" s="30"/>
      <c r="AC55" s="38" t="s">
        <v>202</v>
      </c>
      <c r="AD55" s="38" t="s">
        <v>202</v>
      </c>
      <c r="AE55" s="38" t="s">
        <v>202</v>
      </c>
      <c r="AF55" s="38" t="s">
        <v>202</v>
      </c>
      <c r="AG55" s="38" t="s">
        <v>202</v>
      </c>
      <c r="AH55" s="38" t="s">
        <v>202</v>
      </c>
      <c r="AI55" s="30"/>
      <c r="AJ55" s="38" t="s">
        <v>202</v>
      </c>
      <c r="AK55" s="38" t="s">
        <v>202</v>
      </c>
      <c r="AL55" s="38" t="s">
        <v>202</v>
      </c>
      <c r="AM55" s="38" t="s">
        <v>70</v>
      </c>
      <c r="AN55" s="38" t="s">
        <v>70</v>
      </c>
      <c r="AO55" s="38" t="s">
        <v>70</v>
      </c>
      <c r="AP55" s="30"/>
      <c r="AQ55" s="38" t="s">
        <v>70</v>
      </c>
      <c r="AR55" s="38" t="s">
        <v>202</v>
      </c>
      <c r="AS55" s="38" t="s">
        <v>202</v>
      </c>
      <c r="AT55" s="38" t="s">
        <v>70</v>
      </c>
      <c r="AU55" s="38" t="s">
        <v>202</v>
      </c>
      <c r="AV55" s="38" t="s">
        <v>202</v>
      </c>
      <c r="AW55" s="39"/>
      <c r="AX55" s="38" t="s">
        <v>202</v>
      </c>
      <c r="AY55" s="38" t="s">
        <v>202</v>
      </c>
      <c r="AZ55" s="38" t="s">
        <v>202</v>
      </c>
      <c r="BA55" s="38" t="s">
        <v>202</v>
      </c>
      <c r="BB55" s="38" t="s">
        <v>202</v>
      </c>
      <c r="BC55" s="38" t="s">
        <v>202</v>
      </c>
      <c r="BD55" s="39"/>
      <c r="BE55" s="38" t="s">
        <v>202</v>
      </c>
      <c r="BF55" s="38" t="s">
        <v>202</v>
      </c>
      <c r="BG55" s="38" t="s">
        <v>202</v>
      </c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</row>
    <row r="56">
      <c r="A56" s="36">
        <v>53.0</v>
      </c>
      <c r="B56" s="49" t="s">
        <v>536</v>
      </c>
      <c r="C56" s="49" t="s">
        <v>537</v>
      </c>
      <c r="D56" s="50">
        <f t="shared" si="2"/>
        <v>26</v>
      </c>
      <c r="E56" s="50">
        <f t="shared" si="3"/>
        <v>19</v>
      </c>
      <c r="F56" s="50">
        <f t="shared" si="4"/>
        <v>45</v>
      </c>
      <c r="G56" s="51">
        <f t="shared" si="5"/>
        <v>57.77777778</v>
      </c>
      <c r="H56" s="38" t="s">
        <v>70</v>
      </c>
      <c r="I56" s="38" t="s">
        <v>70</v>
      </c>
      <c r="J56" s="38" t="s">
        <v>311</v>
      </c>
      <c r="K56" s="38" t="s">
        <v>70</v>
      </c>
      <c r="L56" s="38" t="s">
        <v>70</v>
      </c>
      <c r="M56" s="38" t="s">
        <v>70</v>
      </c>
      <c r="N56" s="30"/>
      <c r="O56" s="38" t="s">
        <v>311</v>
      </c>
      <c r="P56" s="38" t="s">
        <v>311</v>
      </c>
      <c r="Q56" s="38" t="s">
        <v>202</v>
      </c>
      <c r="R56" s="38" t="s">
        <v>311</v>
      </c>
      <c r="S56" s="38" t="s">
        <v>311</v>
      </c>
      <c r="T56" s="38" t="s">
        <v>311</v>
      </c>
      <c r="U56" s="30"/>
      <c r="V56" s="38" t="s">
        <v>70</v>
      </c>
      <c r="W56" s="38" t="s">
        <v>311</v>
      </c>
      <c r="X56" s="38" t="s">
        <v>70</v>
      </c>
      <c r="Y56" s="38" t="s">
        <v>311</v>
      </c>
      <c r="Z56" s="38" t="s">
        <v>70</v>
      </c>
      <c r="AA56" s="38" t="s">
        <v>202</v>
      </c>
      <c r="AB56" s="30"/>
      <c r="AC56" s="38" t="s">
        <v>311</v>
      </c>
      <c r="AD56" s="38" t="s">
        <v>202</v>
      </c>
      <c r="AE56" s="38" t="s">
        <v>202</v>
      </c>
      <c r="AF56" s="38" t="s">
        <v>202</v>
      </c>
      <c r="AG56" s="38" t="s">
        <v>311</v>
      </c>
      <c r="AH56" s="38" t="s">
        <v>70</v>
      </c>
      <c r="AI56" s="30"/>
      <c r="AJ56" s="38" t="s">
        <v>202</v>
      </c>
      <c r="AK56" s="38" t="s">
        <v>70</v>
      </c>
      <c r="AL56" s="38" t="s">
        <v>202</v>
      </c>
      <c r="AM56" s="38" t="s">
        <v>70</v>
      </c>
      <c r="AN56" s="38" t="s">
        <v>70</v>
      </c>
      <c r="AO56" s="38" t="s">
        <v>70</v>
      </c>
      <c r="AP56" s="30"/>
      <c r="AQ56" s="38" t="s">
        <v>70</v>
      </c>
      <c r="AR56" s="38" t="s">
        <v>202</v>
      </c>
      <c r="AS56" s="38" t="s">
        <v>70</v>
      </c>
      <c r="AT56" s="38" t="s">
        <v>202</v>
      </c>
      <c r="AU56" s="38" t="s">
        <v>70</v>
      </c>
      <c r="AV56" s="38" t="s">
        <v>70</v>
      </c>
      <c r="AW56" s="39"/>
      <c r="AX56" s="38" t="s">
        <v>202</v>
      </c>
      <c r="AY56" s="38" t="s">
        <v>202</v>
      </c>
      <c r="AZ56" s="38" t="s">
        <v>202</v>
      </c>
      <c r="BA56" s="38" t="s">
        <v>202</v>
      </c>
      <c r="BB56" s="38" t="s">
        <v>202</v>
      </c>
      <c r="BC56" s="38" t="s">
        <v>202</v>
      </c>
      <c r="BD56" s="39"/>
      <c r="BE56" s="38" t="s">
        <v>202</v>
      </c>
      <c r="BF56" s="38" t="s">
        <v>70</v>
      </c>
      <c r="BG56" s="38" t="s">
        <v>70</v>
      </c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</row>
    <row r="57">
      <c r="A57" s="36">
        <v>54.0</v>
      </c>
      <c r="B57" s="49" t="s">
        <v>538</v>
      </c>
      <c r="C57" s="49" t="s">
        <v>539</v>
      </c>
      <c r="D57" s="50">
        <f t="shared" si="2"/>
        <v>36</v>
      </c>
      <c r="E57" s="50">
        <f t="shared" si="3"/>
        <v>9</v>
      </c>
      <c r="F57" s="50">
        <f t="shared" si="4"/>
        <v>45</v>
      </c>
      <c r="G57" s="51">
        <f t="shared" si="5"/>
        <v>80</v>
      </c>
      <c r="H57" s="38" t="s">
        <v>202</v>
      </c>
      <c r="I57" s="38" t="s">
        <v>202</v>
      </c>
      <c r="J57" s="38" t="s">
        <v>202</v>
      </c>
      <c r="K57" s="38" t="s">
        <v>202</v>
      </c>
      <c r="L57" s="38" t="s">
        <v>70</v>
      </c>
      <c r="M57" s="38" t="s">
        <v>202</v>
      </c>
      <c r="N57" s="30"/>
      <c r="O57" s="38" t="s">
        <v>202</v>
      </c>
      <c r="P57" s="38" t="s">
        <v>202</v>
      </c>
      <c r="Q57" s="38" t="s">
        <v>202</v>
      </c>
      <c r="R57" s="38" t="s">
        <v>70</v>
      </c>
      <c r="S57" s="38" t="s">
        <v>202</v>
      </c>
      <c r="T57" s="38" t="s">
        <v>202</v>
      </c>
      <c r="U57" s="30"/>
      <c r="V57" s="38" t="s">
        <v>202</v>
      </c>
      <c r="W57" s="38" t="s">
        <v>202</v>
      </c>
      <c r="X57" s="38" t="s">
        <v>202</v>
      </c>
      <c r="Y57" s="38" t="s">
        <v>202</v>
      </c>
      <c r="Z57" s="38" t="s">
        <v>202</v>
      </c>
      <c r="AA57" s="38" t="s">
        <v>202</v>
      </c>
      <c r="AB57" s="30"/>
      <c r="AC57" s="38" t="s">
        <v>202</v>
      </c>
      <c r="AD57" s="38" t="s">
        <v>202</v>
      </c>
      <c r="AE57" s="38" t="s">
        <v>202</v>
      </c>
      <c r="AF57" s="38" t="s">
        <v>202</v>
      </c>
      <c r="AG57" s="38" t="s">
        <v>202</v>
      </c>
      <c r="AH57" s="38" t="s">
        <v>202</v>
      </c>
      <c r="AI57" s="30"/>
      <c r="AJ57" s="38" t="s">
        <v>202</v>
      </c>
      <c r="AK57" s="38" t="s">
        <v>70</v>
      </c>
      <c r="AL57" s="38" t="s">
        <v>70</v>
      </c>
      <c r="AM57" s="38" t="s">
        <v>70</v>
      </c>
      <c r="AN57" s="38" t="s">
        <v>70</v>
      </c>
      <c r="AO57" s="38" t="s">
        <v>70</v>
      </c>
      <c r="AP57" s="30"/>
      <c r="AQ57" s="38" t="s">
        <v>202</v>
      </c>
      <c r="AR57" s="38" t="s">
        <v>202</v>
      </c>
      <c r="AS57" s="38" t="s">
        <v>202</v>
      </c>
      <c r="AT57" s="38" t="s">
        <v>202</v>
      </c>
      <c r="AU57" s="38" t="s">
        <v>202</v>
      </c>
      <c r="AV57" s="38" t="s">
        <v>202</v>
      </c>
      <c r="AW57" s="39"/>
      <c r="AX57" s="38" t="s">
        <v>202</v>
      </c>
      <c r="AY57" s="38" t="s">
        <v>202</v>
      </c>
      <c r="AZ57" s="38" t="s">
        <v>202</v>
      </c>
      <c r="BA57" s="38" t="s">
        <v>202</v>
      </c>
      <c r="BB57" s="38" t="s">
        <v>202</v>
      </c>
      <c r="BC57" s="38" t="s">
        <v>70</v>
      </c>
      <c r="BD57" s="39"/>
      <c r="BE57" s="38" t="s">
        <v>202</v>
      </c>
      <c r="BF57" s="38" t="s">
        <v>202</v>
      </c>
      <c r="BG57" s="38" t="s">
        <v>70</v>
      </c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</row>
    <row r="58">
      <c r="A58" s="36">
        <v>55.0</v>
      </c>
      <c r="B58" s="49" t="s">
        <v>540</v>
      </c>
      <c r="C58" s="49" t="s">
        <v>541</v>
      </c>
      <c r="D58" s="50">
        <f t="shared" si="2"/>
        <v>44</v>
      </c>
      <c r="E58" s="50">
        <f t="shared" si="3"/>
        <v>1</v>
      </c>
      <c r="F58" s="50">
        <f t="shared" si="4"/>
        <v>45</v>
      </c>
      <c r="G58" s="51">
        <f t="shared" si="5"/>
        <v>97.77777778</v>
      </c>
      <c r="H58" s="38" t="s">
        <v>70</v>
      </c>
      <c r="I58" s="38" t="s">
        <v>202</v>
      </c>
      <c r="J58" s="38" t="s">
        <v>202</v>
      </c>
      <c r="K58" s="38" t="s">
        <v>202</v>
      </c>
      <c r="L58" s="38" t="s">
        <v>202</v>
      </c>
      <c r="M58" s="38" t="s">
        <v>202</v>
      </c>
      <c r="N58" s="30"/>
      <c r="O58" s="38" t="s">
        <v>202</v>
      </c>
      <c r="P58" s="38" t="s">
        <v>202</v>
      </c>
      <c r="Q58" s="38" t="s">
        <v>202</v>
      </c>
      <c r="R58" s="38" t="s">
        <v>202</v>
      </c>
      <c r="S58" s="38" t="s">
        <v>202</v>
      </c>
      <c r="T58" s="38" t="s">
        <v>202</v>
      </c>
      <c r="U58" s="30"/>
      <c r="V58" s="38" t="s">
        <v>202</v>
      </c>
      <c r="W58" s="38" t="s">
        <v>202</v>
      </c>
      <c r="X58" s="38" t="s">
        <v>202</v>
      </c>
      <c r="Y58" s="38" t="s">
        <v>202</v>
      </c>
      <c r="Z58" s="38" t="s">
        <v>202</v>
      </c>
      <c r="AA58" s="38" t="s">
        <v>202</v>
      </c>
      <c r="AB58" s="30"/>
      <c r="AC58" s="38" t="s">
        <v>202</v>
      </c>
      <c r="AD58" s="38" t="s">
        <v>202</v>
      </c>
      <c r="AE58" s="38" t="s">
        <v>202</v>
      </c>
      <c r="AF58" s="38" t="s">
        <v>202</v>
      </c>
      <c r="AG58" s="38" t="s">
        <v>202</v>
      </c>
      <c r="AH58" s="38" t="s">
        <v>202</v>
      </c>
      <c r="AI58" s="30"/>
      <c r="AJ58" s="38" t="s">
        <v>202</v>
      </c>
      <c r="AK58" s="38" t="s">
        <v>202</v>
      </c>
      <c r="AL58" s="38" t="s">
        <v>202</v>
      </c>
      <c r="AM58" s="38" t="s">
        <v>202</v>
      </c>
      <c r="AN58" s="38" t="s">
        <v>202</v>
      </c>
      <c r="AO58" s="38" t="s">
        <v>202</v>
      </c>
      <c r="AP58" s="30"/>
      <c r="AQ58" s="38" t="s">
        <v>202</v>
      </c>
      <c r="AR58" s="38" t="s">
        <v>202</v>
      </c>
      <c r="AS58" s="38" t="s">
        <v>202</v>
      </c>
      <c r="AT58" s="38" t="s">
        <v>202</v>
      </c>
      <c r="AU58" s="38" t="s">
        <v>202</v>
      </c>
      <c r="AV58" s="38" t="s">
        <v>202</v>
      </c>
      <c r="AW58" s="39"/>
      <c r="AX58" s="38" t="s">
        <v>202</v>
      </c>
      <c r="AY58" s="38" t="s">
        <v>202</v>
      </c>
      <c r="AZ58" s="38" t="s">
        <v>202</v>
      </c>
      <c r="BA58" s="38" t="s">
        <v>202</v>
      </c>
      <c r="BB58" s="38" t="s">
        <v>202</v>
      </c>
      <c r="BC58" s="38" t="s">
        <v>202</v>
      </c>
      <c r="BD58" s="39"/>
      <c r="BE58" s="38" t="s">
        <v>202</v>
      </c>
      <c r="BF58" s="38" t="s">
        <v>202</v>
      </c>
      <c r="BG58" s="38" t="s">
        <v>202</v>
      </c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</row>
    <row r="59">
      <c r="A59" s="36">
        <v>56.0</v>
      </c>
      <c r="B59" s="49" t="s">
        <v>546</v>
      </c>
      <c r="C59" s="49" t="s">
        <v>548</v>
      </c>
      <c r="D59" s="50">
        <f t="shared" si="2"/>
        <v>44</v>
      </c>
      <c r="E59" s="50">
        <f t="shared" si="3"/>
        <v>1</v>
      </c>
      <c r="F59" s="50">
        <f t="shared" si="4"/>
        <v>45</v>
      </c>
      <c r="G59" s="51">
        <f t="shared" si="5"/>
        <v>97.77777778</v>
      </c>
      <c r="H59" s="38" t="s">
        <v>202</v>
      </c>
      <c r="I59" s="38" t="s">
        <v>202</v>
      </c>
      <c r="J59" s="38" t="s">
        <v>202</v>
      </c>
      <c r="K59" s="38" t="s">
        <v>202</v>
      </c>
      <c r="L59" s="38" t="s">
        <v>202</v>
      </c>
      <c r="M59" s="38" t="s">
        <v>202</v>
      </c>
      <c r="N59" s="30"/>
      <c r="O59" s="38" t="s">
        <v>202</v>
      </c>
      <c r="P59" s="38" t="s">
        <v>202</v>
      </c>
      <c r="Q59" s="38" t="s">
        <v>311</v>
      </c>
      <c r="R59" s="38" t="s">
        <v>202</v>
      </c>
      <c r="S59" s="38" t="s">
        <v>202</v>
      </c>
      <c r="T59" s="38" t="s">
        <v>202</v>
      </c>
      <c r="U59" s="30"/>
      <c r="V59" s="38" t="s">
        <v>202</v>
      </c>
      <c r="W59" s="38" t="s">
        <v>202</v>
      </c>
      <c r="X59" s="38" t="s">
        <v>202</v>
      </c>
      <c r="Y59" s="38" t="s">
        <v>202</v>
      </c>
      <c r="Z59" s="38" t="s">
        <v>202</v>
      </c>
      <c r="AA59" s="38" t="s">
        <v>202</v>
      </c>
      <c r="AB59" s="30"/>
      <c r="AC59" s="38" t="s">
        <v>202</v>
      </c>
      <c r="AD59" s="38" t="s">
        <v>202</v>
      </c>
      <c r="AE59" s="38" t="s">
        <v>202</v>
      </c>
      <c r="AF59" s="38" t="s">
        <v>202</v>
      </c>
      <c r="AG59" s="38" t="s">
        <v>202</v>
      </c>
      <c r="AH59" s="38" t="s">
        <v>202</v>
      </c>
      <c r="AI59" s="30"/>
      <c r="AJ59" s="38" t="s">
        <v>202</v>
      </c>
      <c r="AK59" s="38" t="s">
        <v>202</v>
      </c>
      <c r="AL59" s="38" t="s">
        <v>202</v>
      </c>
      <c r="AM59" s="38" t="s">
        <v>202</v>
      </c>
      <c r="AN59" s="38" t="s">
        <v>202</v>
      </c>
      <c r="AO59" s="38" t="s">
        <v>202</v>
      </c>
      <c r="AP59" s="30"/>
      <c r="AQ59" s="38" t="s">
        <v>202</v>
      </c>
      <c r="AR59" s="38" t="s">
        <v>202</v>
      </c>
      <c r="AS59" s="38" t="s">
        <v>202</v>
      </c>
      <c r="AT59" s="38" t="s">
        <v>202</v>
      </c>
      <c r="AU59" s="38" t="s">
        <v>202</v>
      </c>
      <c r="AV59" s="38" t="s">
        <v>202</v>
      </c>
      <c r="AW59" s="39"/>
      <c r="AX59" s="38" t="s">
        <v>202</v>
      </c>
      <c r="AY59" s="38" t="s">
        <v>202</v>
      </c>
      <c r="AZ59" s="38" t="s">
        <v>202</v>
      </c>
      <c r="BA59" s="38" t="s">
        <v>70</v>
      </c>
      <c r="BB59" s="38" t="s">
        <v>202</v>
      </c>
      <c r="BC59" s="38" t="s">
        <v>202</v>
      </c>
      <c r="BD59" s="39"/>
      <c r="BE59" s="38" t="s">
        <v>202</v>
      </c>
      <c r="BF59" s="38" t="s">
        <v>202</v>
      </c>
      <c r="BG59" s="38" t="s">
        <v>202</v>
      </c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</row>
    <row r="60">
      <c r="A60" s="36">
        <v>57.0</v>
      </c>
      <c r="B60" s="49" t="s">
        <v>550</v>
      </c>
      <c r="C60" s="49" t="s">
        <v>552</v>
      </c>
      <c r="D60" s="50">
        <f t="shared" si="2"/>
        <v>40</v>
      </c>
      <c r="E60" s="50">
        <f t="shared" si="3"/>
        <v>5</v>
      </c>
      <c r="F60" s="50">
        <f t="shared" si="4"/>
        <v>45</v>
      </c>
      <c r="G60" s="51">
        <f t="shared" si="5"/>
        <v>88.88888889</v>
      </c>
      <c r="H60" s="38" t="s">
        <v>202</v>
      </c>
      <c r="I60" s="38" t="s">
        <v>202</v>
      </c>
      <c r="J60" s="38" t="s">
        <v>202</v>
      </c>
      <c r="K60" s="38" t="s">
        <v>202</v>
      </c>
      <c r="L60" s="38" t="s">
        <v>202</v>
      </c>
      <c r="M60" s="38" t="s">
        <v>70</v>
      </c>
      <c r="N60" s="30"/>
      <c r="O60" s="38" t="s">
        <v>202</v>
      </c>
      <c r="P60" s="38" t="s">
        <v>202</v>
      </c>
      <c r="Q60" s="38" t="s">
        <v>202</v>
      </c>
      <c r="R60" s="38" t="s">
        <v>202</v>
      </c>
      <c r="S60" s="38" t="s">
        <v>202</v>
      </c>
      <c r="T60" s="38" t="s">
        <v>202</v>
      </c>
      <c r="U60" s="30"/>
      <c r="V60" s="38" t="s">
        <v>202</v>
      </c>
      <c r="W60" s="38" t="s">
        <v>202</v>
      </c>
      <c r="X60" s="38" t="s">
        <v>202</v>
      </c>
      <c r="Y60" s="38" t="s">
        <v>202</v>
      </c>
      <c r="Z60" s="38" t="s">
        <v>202</v>
      </c>
      <c r="AA60" s="38" t="s">
        <v>202</v>
      </c>
      <c r="AB60" s="30"/>
      <c r="AC60" s="38" t="s">
        <v>70</v>
      </c>
      <c r="AD60" s="38" t="s">
        <v>202</v>
      </c>
      <c r="AE60" s="38" t="s">
        <v>70</v>
      </c>
      <c r="AF60" s="38" t="s">
        <v>202</v>
      </c>
      <c r="AG60" s="38" t="s">
        <v>70</v>
      </c>
      <c r="AH60" s="38" t="s">
        <v>202</v>
      </c>
      <c r="AI60" s="30"/>
      <c r="AJ60" s="38" t="s">
        <v>202</v>
      </c>
      <c r="AK60" s="38" t="s">
        <v>202</v>
      </c>
      <c r="AL60" s="38" t="s">
        <v>311</v>
      </c>
      <c r="AM60" s="38" t="s">
        <v>311</v>
      </c>
      <c r="AN60" s="38" t="s">
        <v>202</v>
      </c>
      <c r="AO60" s="38" t="s">
        <v>202</v>
      </c>
      <c r="AP60" s="30"/>
      <c r="AQ60" s="38" t="s">
        <v>311</v>
      </c>
      <c r="AR60" s="38" t="s">
        <v>202</v>
      </c>
      <c r="AS60" s="38" t="s">
        <v>311</v>
      </c>
      <c r="AT60" s="38" t="s">
        <v>311</v>
      </c>
      <c r="AU60" s="38" t="s">
        <v>311</v>
      </c>
      <c r="AV60" s="38" t="s">
        <v>202</v>
      </c>
      <c r="AW60" s="39"/>
      <c r="AX60" s="38" t="s">
        <v>311</v>
      </c>
      <c r="AY60" s="38" t="s">
        <v>311</v>
      </c>
      <c r="AZ60" s="38" t="s">
        <v>311</v>
      </c>
      <c r="BA60" s="38" t="s">
        <v>311</v>
      </c>
      <c r="BB60" s="38" t="s">
        <v>202</v>
      </c>
      <c r="BC60" s="38" t="s">
        <v>202</v>
      </c>
      <c r="BD60" s="39"/>
      <c r="BE60" s="38" t="s">
        <v>202</v>
      </c>
      <c r="BF60" s="38" t="s">
        <v>202</v>
      </c>
      <c r="BG60" s="38" t="s">
        <v>70</v>
      </c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</row>
    <row r="61">
      <c r="A61" s="36">
        <v>58.0</v>
      </c>
      <c r="B61" s="49" t="s">
        <v>554</v>
      </c>
      <c r="C61" s="49" t="s">
        <v>556</v>
      </c>
      <c r="D61" s="50">
        <f t="shared" si="2"/>
        <v>45</v>
      </c>
      <c r="E61" s="50">
        <f t="shared" si="3"/>
        <v>0</v>
      </c>
      <c r="F61" s="50">
        <f t="shared" si="4"/>
        <v>45</v>
      </c>
      <c r="G61" s="51">
        <f t="shared" si="5"/>
        <v>100</v>
      </c>
      <c r="H61" s="38" t="s">
        <v>202</v>
      </c>
      <c r="I61" s="38" t="s">
        <v>202</v>
      </c>
      <c r="J61" s="38" t="s">
        <v>202</v>
      </c>
      <c r="K61" s="38" t="s">
        <v>202</v>
      </c>
      <c r="L61" s="38" t="s">
        <v>202</v>
      </c>
      <c r="M61" s="38" t="s">
        <v>202</v>
      </c>
      <c r="N61" s="30"/>
      <c r="O61" s="38" t="s">
        <v>202</v>
      </c>
      <c r="P61" s="38" t="s">
        <v>202</v>
      </c>
      <c r="Q61" s="38" t="s">
        <v>202</v>
      </c>
      <c r="R61" s="38" t="s">
        <v>202</v>
      </c>
      <c r="S61" s="38" t="s">
        <v>202</v>
      </c>
      <c r="T61" s="38" t="s">
        <v>202</v>
      </c>
      <c r="U61" s="30"/>
      <c r="V61" s="38" t="s">
        <v>202</v>
      </c>
      <c r="W61" s="38" t="s">
        <v>202</v>
      </c>
      <c r="X61" s="38" t="s">
        <v>202</v>
      </c>
      <c r="Y61" s="38" t="s">
        <v>202</v>
      </c>
      <c r="Z61" s="38" t="s">
        <v>202</v>
      </c>
      <c r="AA61" s="38" t="s">
        <v>202</v>
      </c>
      <c r="AB61" s="30"/>
      <c r="AC61" s="38" t="s">
        <v>202</v>
      </c>
      <c r="AD61" s="38" t="s">
        <v>202</v>
      </c>
      <c r="AE61" s="38" t="s">
        <v>202</v>
      </c>
      <c r="AF61" s="38" t="s">
        <v>202</v>
      </c>
      <c r="AG61" s="38" t="s">
        <v>202</v>
      </c>
      <c r="AH61" s="38" t="s">
        <v>202</v>
      </c>
      <c r="AI61" s="30"/>
      <c r="AJ61" s="38" t="s">
        <v>202</v>
      </c>
      <c r="AK61" s="38" t="s">
        <v>202</v>
      </c>
      <c r="AL61" s="38" t="s">
        <v>202</v>
      </c>
      <c r="AM61" s="38" t="s">
        <v>202</v>
      </c>
      <c r="AN61" s="38" t="s">
        <v>202</v>
      </c>
      <c r="AO61" s="38" t="s">
        <v>202</v>
      </c>
      <c r="AP61" s="30"/>
      <c r="AQ61" s="38" t="s">
        <v>202</v>
      </c>
      <c r="AR61" s="38" t="s">
        <v>202</v>
      </c>
      <c r="AS61" s="38" t="s">
        <v>202</v>
      </c>
      <c r="AT61" s="38" t="s">
        <v>202</v>
      </c>
      <c r="AU61" s="38" t="s">
        <v>202</v>
      </c>
      <c r="AV61" s="38" t="s">
        <v>202</v>
      </c>
      <c r="AW61" s="39"/>
      <c r="AX61" s="38" t="s">
        <v>202</v>
      </c>
      <c r="AY61" s="38" t="s">
        <v>202</v>
      </c>
      <c r="AZ61" s="38" t="s">
        <v>202</v>
      </c>
      <c r="BA61" s="38" t="s">
        <v>202</v>
      </c>
      <c r="BB61" s="38" t="s">
        <v>202</v>
      </c>
      <c r="BC61" s="38" t="s">
        <v>202</v>
      </c>
      <c r="BD61" s="39"/>
      <c r="BE61" s="38" t="s">
        <v>202</v>
      </c>
      <c r="BF61" s="38" t="s">
        <v>202</v>
      </c>
      <c r="BG61" s="38" t="s">
        <v>202</v>
      </c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</row>
    <row r="62">
      <c r="A62" s="36">
        <v>59.0</v>
      </c>
      <c r="B62" s="49" t="s">
        <v>558</v>
      </c>
      <c r="C62" s="49" t="s">
        <v>560</v>
      </c>
      <c r="D62" s="50">
        <f t="shared" si="2"/>
        <v>43</v>
      </c>
      <c r="E62" s="50">
        <f t="shared" si="3"/>
        <v>2</v>
      </c>
      <c r="F62" s="50">
        <f t="shared" si="4"/>
        <v>45</v>
      </c>
      <c r="G62" s="51">
        <f t="shared" si="5"/>
        <v>95.55555556</v>
      </c>
      <c r="H62" s="38" t="s">
        <v>202</v>
      </c>
      <c r="I62" s="38" t="s">
        <v>202</v>
      </c>
      <c r="J62" s="38" t="s">
        <v>202</v>
      </c>
      <c r="K62" s="38" t="s">
        <v>202</v>
      </c>
      <c r="L62" s="38" t="s">
        <v>202</v>
      </c>
      <c r="M62" s="38" t="s">
        <v>202</v>
      </c>
      <c r="N62" s="30"/>
      <c r="O62" s="38" t="s">
        <v>202</v>
      </c>
      <c r="P62" s="38" t="s">
        <v>202</v>
      </c>
      <c r="Q62" s="38" t="s">
        <v>202</v>
      </c>
      <c r="R62" s="38" t="s">
        <v>202</v>
      </c>
      <c r="S62" s="38" t="s">
        <v>202</v>
      </c>
      <c r="T62" s="38" t="s">
        <v>70</v>
      </c>
      <c r="U62" s="30"/>
      <c r="V62" s="38" t="s">
        <v>202</v>
      </c>
      <c r="W62" s="38" t="s">
        <v>202</v>
      </c>
      <c r="X62" s="38" t="s">
        <v>202</v>
      </c>
      <c r="Y62" s="38" t="s">
        <v>202</v>
      </c>
      <c r="Z62" s="38" t="s">
        <v>202</v>
      </c>
      <c r="AA62" s="38" t="s">
        <v>202</v>
      </c>
      <c r="AB62" s="30"/>
      <c r="AC62" s="38" t="s">
        <v>202</v>
      </c>
      <c r="AD62" s="38" t="s">
        <v>202</v>
      </c>
      <c r="AE62" s="38" t="s">
        <v>202</v>
      </c>
      <c r="AF62" s="38" t="s">
        <v>202</v>
      </c>
      <c r="AG62" s="38" t="s">
        <v>202</v>
      </c>
      <c r="AH62" s="38" t="s">
        <v>202</v>
      </c>
      <c r="AI62" s="30"/>
      <c r="AJ62" s="38" t="s">
        <v>202</v>
      </c>
      <c r="AK62" s="38" t="s">
        <v>202</v>
      </c>
      <c r="AL62" s="38" t="s">
        <v>202</v>
      </c>
      <c r="AM62" s="38" t="s">
        <v>202</v>
      </c>
      <c r="AN62" s="38" t="s">
        <v>202</v>
      </c>
      <c r="AO62" s="38" t="s">
        <v>202</v>
      </c>
      <c r="AP62" s="30"/>
      <c r="AQ62" s="38" t="s">
        <v>202</v>
      </c>
      <c r="AR62" s="38" t="s">
        <v>202</v>
      </c>
      <c r="AS62" s="38" t="s">
        <v>70</v>
      </c>
      <c r="AT62" s="38" t="s">
        <v>202</v>
      </c>
      <c r="AU62" s="38" t="s">
        <v>202</v>
      </c>
      <c r="AV62" s="38" t="s">
        <v>202</v>
      </c>
      <c r="AW62" s="39"/>
      <c r="AX62" s="38" t="s">
        <v>202</v>
      </c>
      <c r="AY62" s="38" t="s">
        <v>202</v>
      </c>
      <c r="AZ62" s="38" t="s">
        <v>202</v>
      </c>
      <c r="BA62" s="38" t="s">
        <v>202</v>
      </c>
      <c r="BB62" s="38" t="s">
        <v>202</v>
      </c>
      <c r="BC62" s="38" t="s">
        <v>202</v>
      </c>
      <c r="BD62" s="39"/>
      <c r="BE62" s="38" t="s">
        <v>202</v>
      </c>
      <c r="BF62" s="38" t="s">
        <v>202</v>
      </c>
      <c r="BG62" s="38" t="s">
        <v>202</v>
      </c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</row>
    <row r="63">
      <c r="A63" s="36">
        <v>60.0</v>
      </c>
      <c r="B63" s="49" t="s">
        <v>562</v>
      </c>
      <c r="C63" s="49" t="s">
        <v>564</v>
      </c>
      <c r="D63" s="50">
        <f t="shared" si="2"/>
        <v>32</v>
      </c>
      <c r="E63" s="50">
        <f t="shared" si="3"/>
        <v>13</v>
      </c>
      <c r="F63" s="50">
        <f t="shared" si="4"/>
        <v>45</v>
      </c>
      <c r="G63" s="51">
        <f t="shared" si="5"/>
        <v>71.11111111</v>
      </c>
      <c r="H63" s="38" t="s">
        <v>70</v>
      </c>
      <c r="I63" s="38" t="s">
        <v>70</v>
      </c>
      <c r="J63" s="38" t="s">
        <v>202</v>
      </c>
      <c r="K63" s="38" t="s">
        <v>202</v>
      </c>
      <c r="L63" s="38" t="s">
        <v>202</v>
      </c>
      <c r="M63" s="38" t="s">
        <v>202</v>
      </c>
      <c r="N63" s="30"/>
      <c r="O63" s="38" t="s">
        <v>202</v>
      </c>
      <c r="P63" s="38" t="s">
        <v>202</v>
      </c>
      <c r="Q63" s="38" t="s">
        <v>202</v>
      </c>
      <c r="R63" s="38" t="s">
        <v>202</v>
      </c>
      <c r="S63" s="38" t="s">
        <v>70</v>
      </c>
      <c r="T63" s="38" t="s">
        <v>70</v>
      </c>
      <c r="U63" s="30"/>
      <c r="V63" s="38" t="s">
        <v>202</v>
      </c>
      <c r="W63" s="38" t="s">
        <v>202</v>
      </c>
      <c r="X63" s="38" t="s">
        <v>202</v>
      </c>
      <c r="Y63" s="38" t="s">
        <v>202</v>
      </c>
      <c r="Z63" s="38" t="s">
        <v>202</v>
      </c>
      <c r="AA63" s="38" t="s">
        <v>202</v>
      </c>
      <c r="AB63" s="30"/>
      <c r="AC63" s="38" t="s">
        <v>202</v>
      </c>
      <c r="AD63" s="38" t="s">
        <v>202</v>
      </c>
      <c r="AE63" s="38" t="s">
        <v>70</v>
      </c>
      <c r="AF63" s="38" t="s">
        <v>202</v>
      </c>
      <c r="AG63" s="38" t="s">
        <v>202</v>
      </c>
      <c r="AH63" s="38" t="s">
        <v>202</v>
      </c>
      <c r="AI63" s="30"/>
      <c r="AJ63" s="38" t="s">
        <v>202</v>
      </c>
      <c r="AK63" s="38" t="s">
        <v>202</v>
      </c>
      <c r="AL63" s="38" t="s">
        <v>202</v>
      </c>
      <c r="AM63" s="38" t="s">
        <v>202</v>
      </c>
      <c r="AN63" s="38" t="s">
        <v>202</v>
      </c>
      <c r="AO63" s="38" t="s">
        <v>202</v>
      </c>
      <c r="AP63" s="30"/>
      <c r="AQ63" s="38" t="s">
        <v>202</v>
      </c>
      <c r="AR63" s="38" t="s">
        <v>202</v>
      </c>
      <c r="AS63" s="38" t="s">
        <v>202</v>
      </c>
      <c r="AT63" s="38" t="s">
        <v>70</v>
      </c>
      <c r="AU63" s="38" t="s">
        <v>202</v>
      </c>
      <c r="AV63" s="38" t="s">
        <v>202</v>
      </c>
      <c r="AW63" s="39"/>
      <c r="AX63" s="38" t="s">
        <v>70</v>
      </c>
      <c r="AY63" s="38" t="s">
        <v>202</v>
      </c>
      <c r="AZ63" s="38" t="s">
        <v>70</v>
      </c>
      <c r="BA63" s="38" t="s">
        <v>70</v>
      </c>
      <c r="BB63" s="38" t="s">
        <v>70</v>
      </c>
      <c r="BC63" s="38" t="s">
        <v>70</v>
      </c>
      <c r="BD63" s="39"/>
      <c r="BE63" s="38" t="s">
        <v>70</v>
      </c>
      <c r="BF63" s="38" t="s">
        <v>70</v>
      </c>
      <c r="BG63" s="38" t="s">
        <v>202</v>
      </c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</row>
    <row r="64">
      <c r="A64" s="36">
        <v>61.0</v>
      </c>
      <c r="B64" s="49" t="s">
        <v>566</v>
      </c>
      <c r="C64" s="49" t="s">
        <v>568</v>
      </c>
      <c r="D64" s="50">
        <f t="shared" si="2"/>
        <v>44</v>
      </c>
      <c r="E64" s="50">
        <f t="shared" si="3"/>
        <v>1</v>
      </c>
      <c r="F64" s="50">
        <f t="shared" si="4"/>
        <v>45</v>
      </c>
      <c r="G64" s="51">
        <f t="shared" si="5"/>
        <v>97.77777778</v>
      </c>
      <c r="H64" s="38" t="s">
        <v>202</v>
      </c>
      <c r="I64" s="38" t="s">
        <v>202</v>
      </c>
      <c r="J64" s="38" t="s">
        <v>202</v>
      </c>
      <c r="K64" s="38" t="s">
        <v>202</v>
      </c>
      <c r="L64" s="38" t="s">
        <v>202</v>
      </c>
      <c r="M64" s="38" t="s">
        <v>70</v>
      </c>
      <c r="N64" s="30"/>
      <c r="O64" s="38" t="s">
        <v>202</v>
      </c>
      <c r="P64" s="38" t="s">
        <v>202</v>
      </c>
      <c r="Q64" s="38" t="s">
        <v>202</v>
      </c>
      <c r="R64" s="38" t="s">
        <v>202</v>
      </c>
      <c r="S64" s="38" t="s">
        <v>202</v>
      </c>
      <c r="T64" s="38" t="s">
        <v>202</v>
      </c>
      <c r="U64" s="30"/>
      <c r="V64" s="38" t="s">
        <v>202</v>
      </c>
      <c r="W64" s="38" t="s">
        <v>202</v>
      </c>
      <c r="X64" s="38" t="s">
        <v>202</v>
      </c>
      <c r="Y64" s="38" t="s">
        <v>202</v>
      </c>
      <c r="Z64" s="38" t="s">
        <v>202</v>
      </c>
      <c r="AA64" s="38" t="s">
        <v>202</v>
      </c>
      <c r="AB64" s="30"/>
      <c r="AC64" s="38" t="s">
        <v>202</v>
      </c>
      <c r="AD64" s="38" t="s">
        <v>202</v>
      </c>
      <c r="AE64" s="38" t="s">
        <v>202</v>
      </c>
      <c r="AF64" s="38" t="s">
        <v>202</v>
      </c>
      <c r="AG64" s="38" t="s">
        <v>202</v>
      </c>
      <c r="AH64" s="38" t="s">
        <v>202</v>
      </c>
      <c r="AI64" s="30"/>
      <c r="AJ64" s="38" t="s">
        <v>202</v>
      </c>
      <c r="AK64" s="38" t="s">
        <v>202</v>
      </c>
      <c r="AL64" s="38" t="s">
        <v>202</v>
      </c>
      <c r="AM64" s="38" t="s">
        <v>202</v>
      </c>
      <c r="AN64" s="38" t="s">
        <v>202</v>
      </c>
      <c r="AO64" s="38" t="s">
        <v>202</v>
      </c>
      <c r="AP64" s="30"/>
      <c r="AQ64" s="38" t="s">
        <v>202</v>
      </c>
      <c r="AR64" s="38" t="s">
        <v>202</v>
      </c>
      <c r="AS64" s="38" t="s">
        <v>202</v>
      </c>
      <c r="AT64" s="38" t="s">
        <v>202</v>
      </c>
      <c r="AU64" s="38" t="s">
        <v>202</v>
      </c>
      <c r="AV64" s="38" t="s">
        <v>202</v>
      </c>
      <c r="AW64" s="39"/>
      <c r="AX64" s="38" t="s">
        <v>202</v>
      </c>
      <c r="AY64" s="38" t="s">
        <v>202</v>
      </c>
      <c r="AZ64" s="38" t="s">
        <v>202</v>
      </c>
      <c r="BA64" s="38" t="s">
        <v>202</v>
      </c>
      <c r="BB64" s="38" t="s">
        <v>202</v>
      </c>
      <c r="BC64" s="38" t="s">
        <v>202</v>
      </c>
      <c r="BD64" s="39"/>
      <c r="BE64" s="38" t="s">
        <v>202</v>
      </c>
      <c r="BF64" s="38" t="s">
        <v>202</v>
      </c>
      <c r="BG64" s="38" t="s">
        <v>202</v>
      </c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</row>
    <row r="65">
      <c r="A65" s="36">
        <v>62.0</v>
      </c>
      <c r="B65" s="49" t="s">
        <v>571</v>
      </c>
      <c r="C65" s="49" t="s">
        <v>572</v>
      </c>
      <c r="D65" s="50">
        <f t="shared" si="2"/>
        <v>25</v>
      </c>
      <c r="E65" s="50">
        <f t="shared" si="3"/>
        <v>20</v>
      </c>
      <c r="F65" s="50">
        <f t="shared" si="4"/>
        <v>45</v>
      </c>
      <c r="G65" s="51">
        <f t="shared" si="5"/>
        <v>55.55555556</v>
      </c>
      <c r="H65" s="38" t="s">
        <v>70</v>
      </c>
      <c r="I65" s="38" t="s">
        <v>70</v>
      </c>
      <c r="J65" s="38" t="s">
        <v>70</v>
      </c>
      <c r="K65" s="38" t="s">
        <v>70</v>
      </c>
      <c r="L65" s="38" t="s">
        <v>202</v>
      </c>
      <c r="M65" s="38" t="s">
        <v>70</v>
      </c>
      <c r="N65" s="30"/>
      <c r="O65" s="38" t="s">
        <v>202</v>
      </c>
      <c r="P65" s="38" t="s">
        <v>70</v>
      </c>
      <c r="Q65" s="38" t="s">
        <v>202</v>
      </c>
      <c r="R65" s="38" t="s">
        <v>70</v>
      </c>
      <c r="S65" s="38" t="s">
        <v>202</v>
      </c>
      <c r="T65" s="38" t="s">
        <v>70</v>
      </c>
      <c r="U65" s="30"/>
      <c r="V65" s="38" t="s">
        <v>70</v>
      </c>
      <c r="W65" s="38" t="s">
        <v>202</v>
      </c>
      <c r="X65" s="38" t="s">
        <v>202</v>
      </c>
      <c r="Y65" s="38" t="s">
        <v>202</v>
      </c>
      <c r="Z65" s="38" t="s">
        <v>202</v>
      </c>
      <c r="AA65" s="38" t="s">
        <v>202</v>
      </c>
      <c r="AB65" s="30"/>
      <c r="AC65" s="38" t="s">
        <v>70</v>
      </c>
      <c r="AD65" s="38" t="s">
        <v>202</v>
      </c>
      <c r="AE65" s="38" t="s">
        <v>70</v>
      </c>
      <c r="AF65" s="38" t="s">
        <v>202</v>
      </c>
      <c r="AG65" s="38" t="s">
        <v>202</v>
      </c>
      <c r="AH65" s="38" t="s">
        <v>202</v>
      </c>
      <c r="AI65" s="30"/>
      <c r="AJ65" s="38" t="s">
        <v>202</v>
      </c>
      <c r="AK65" s="38" t="s">
        <v>70</v>
      </c>
      <c r="AL65" s="38" t="s">
        <v>202</v>
      </c>
      <c r="AM65" s="38" t="s">
        <v>202</v>
      </c>
      <c r="AN65" s="38" t="s">
        <v>202</v>
      </c>
      <c r="AO65" s="38" t="s">
        <v>70</v>
      </c>
      <c r="AP65" s="30"/>
      <c r="AQ65" s="38" t="s">
        <v>202</v>
      </c>
      <c r="AR65" s="38" t="s">
        <v>70</v>
      </c>
      <c r="AS65" s="38" t="s">
        <v>70</v>
      </c>
      <c r="AT65" s="38" t="s">
        <v>202</v>
      </c>
      <c r="AU65" s="38" t="s">
        <v>202</v>
      </c>
      <c r="AV65" s="38" t="s">
        <v>202</v>
      </c>
      <c r="AW65" s="39"/>
      <c r="AX65" s="38" t="s">
        <v>202</v>
      </c>
      <c r="AY65" s="38" t="s">
        <v>70</v>
      </c>
      <c r="AZ65" s="38" t="s">
        <v>202</v>
      </c>
      <c r="BA65" s="38" t="s">
        <v>202</v>
      </c>
      <c r="BB65" s="38" t="s">
        <v>70</v>
      </c>
      <c r="BC65" s="38" t="s">
        <v>70</v>
      </c>
      <c r="BD65" s="39"/>
      <c r="BE65" s="38" t="s">
        <v>70</v>
      </c>
      <c r="BF65" s="38" t="s">
        <v>202</v>
      </c>
      <c r="BG65" s="38" t="s">
        <v>70</v>
      </c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</row>
    <row r="66">
      <c r="A66" s="36">
        <v>63.0</v>
      </c>
      <c r="B66" s="38" t="s">
        <v>575</v>
      </c>
      <c r="C66" s="38" t="s">
        <v>576</v>
      </c>
      <c r="D66" s="50">
        <f t="shared" si="2"/>
        <v>40</v>
      </c>
      <c r="E66" s="50">
        <f t="shared" si="3"/>
        <v>5</v>
      </c>
      <c r="F66" s="50">
        <f t="shared" si="4"/>
        <v>45</v>
      </c>
      <c r="G66" s="51">
        <f t="shared" si="5"/>
        <v>88.88888889</v>
      </c>
      <c r="H66" s="38" t="s">
        <v>202</v>
      </c>
      <c r="I66" s="38" t="s">
        <v>202</v>
      </c>
      <c r="J66" s="38" t="s">
        <v>202</v>
      </c>
      <c r="K66" s="38" t="s">
        <v>202</v>
      </c>
      <c r="L66" s="38" t="s">
        <v>311</v>
      </c>
      <c r="M66" s="38" t="s">
        <v>311</v>
      </c>
      <c r="N66" s="30"/>
      <c r="O66" s="38" t="s">
        <v>202</v>
      </c>
      <c r="P66" s="38" t="s">
        <v>311</v>
      </c>
      <c r="Q66" s="38" t="s">
        <v>311</v>
      </c>
      <c r="R66" s="38" t="s">
        <v>202</v>
      </c>
      <c r="S66" s="38" t="s">
        <v>70</v>
      </c>
      <c r="T66" s="38" t="s">
        <v>202</v>
      </c>
      <c r="U66" s="30"/>
      <c r="V66" s="38" t="s">
        <v>70</v>
      </c>
      <c r="W66" s="38" t="s">
        <v>202</v>
      </c>
      <c r="X66" s="38" t="s">
        <v>311</v>
      </c>
      <c r="Y66" s="38" t="s">
        <v>202</v>
      </c>
      <c r="Z66" s="38" t="s">
        <v>202</v>
      </c>
      <c r="AA66" s="38" t="s">
        <v>202</v>
      </c>
      <c r="AB66" s="30"/>
      <c r="AC66" s="38" t="s">
        <v>202</v>
      </c>
      <c r="AD66" s="38" t="s">
        <v>70</v>
      </c>
      <c r="AE66" s="38" t="s">
        <v>202</v>
      </c>
      <c r="AF66" s="38" t="s">
        <v>70</v>
      </c>
      <c r="AG66" s="38" t="s">
        <v>70</v>
      </c>
      <c r="AH66" s="38" t="s">
        <v>311</v>
      </c>
      <c r="AI66" s="30"/>
      <c r="AJ66" s="38" t="s">
        <v>311</v>
      </c>
      <c r="AK66" s="38" t="s">
        <v>311</v>
      </c>
      <c r="AL66" s="38" t="s">
        <v>311</v>
      </c>
      <c r="AM66" s="38" t="s">
        <v>202</v>
      </c>
      <c r="AN66" s="38" t="s">
        <v>311</v>
      </c>
      <c r="AO66" s="38" t="s">
        <v>311</v>
      </c>
      <c r="AP66" s="30"/>
      <c r="AQ66" s="38" t="s">
        <v>311</v>
      </c>
      <c r="AR66" s="38" t="s">
        <v>202</v>
      </c>
      <c r="AS66" s="38" t="s">
        <v>311</v>
      </c>
      <c r="AT66" s="38" t="s">
        <v>311</v>
      </c>
      <c r="AU66" s="38" t="s">
        <v>202</v>
      </c>
      <c r="AV66" s="38" t="s">
        <v>202</v>
      </c>
      <c r="AW66" s="39"/>
      <c r="AX66" s="38" t="s">
        <v>311</v>
      </c>
      <c r="AY66" s="38" t="s">
        <v>311</v>
      </c>
      <c r="AZ66" s="38" t="s">
        <v>311</v>
      </c>
      <c r="BA66" s="38" t="s">
        <v>202</v>
      </c>
      <c r="BB66" s="38" t="s">
        <v>202</v>
      </c>
      <c r="BC66" s="38" t="s">
        <v>202</v>
      </c>
      <c r="BD66" s="39"/>
      <c r="BE66" s="38" t="s">
        <v>202</v>
      </c>
      <c r="BF66" s="38" t="s">
        <v>202</v>
      </c>
      <c r="BG66" s="38" t="s">
        <v>202</v>
      </c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</row>
    <row r="67">
      <c r="A67" s="36">
        <v>64.0</v>
      </c>
      <c r="B67" s="49" t="s">
        <v>581</v>
      </c>
      <c r="C67" s="49" t="s">
        <v>582</v>
      </c>
      <c r="D67" s="50">
        <f t="shared" si="2"/>
        <v>26</v>
      </c>
      <c r="E67" s="50">
        <f t="shared" si="3"/>
        <v>19</v>
      </c>
      <c r="F67" s="50">
        <f t="shared" si="4"/>
        <v>45</v>
      </c>
      <c r="G67" s="51">
        <f t="shared" si="5"/>
        <v>57.77777778</v>
      </c>
      <c r="H67" s="38" t="s">
        <v>70</v>
      </c>
      <c r="I67" s="38" t="s">
        <v>202</v>
      </c>
      <c r="J67" s="38" t="s">
        <v>202</v>
      </c>
      <c r="K67" s="38" t="s">
        <v>202</v>
      </c>
      <c r="L67" s="38" t="s">
        <v>70</v>
      </c>
      <c r="M67" s="38" t="s">
        <v>202</v>
      </c>
      <c r="N67" s="30"/>
      <c r="O67" s="38" t="s">
        <v>70</v>
      </c>
      <c r="P67" s="38" t="s">
        <v>70</v>
      </c>
      <c r="Q67" s="38" t="s">
        <v>70</v>
      </c>
      <c r="R67" s="38" t="s">
        <v>70</v>
      </c>
      <c r="S67" s="38" t="s">
        <v>202</v>
      </c>
      <c r="T67" s="38" t="s">
        <v>202</v>
      </c>
      <c r="U67" s="30"/>
      <c r="V67" s="38" t="s">
        <v>202</v>
      </c>
      <c r="W67" s="38" t="s">
        <v>70</v>
      </c>
      <c r="X67" s="38" t="s">
        <v>202</v>
      </c>
      <c r="Y67" s="38" t="s">
        <v>202</v>
      </c>
      <c r="Z67" s="38" t="s">
        <v>202</v>
      </c>
      <c r="AA67" s="38" t="s">
        <v>70</v>
      </c>
      <c r="AB67" s="30"/>
      <c r="AC67" s="38" t="s">
        <v>70</v>
      </c>
      <c r="AD67" s="38" t="s">
        <v>202</v>
      </c>
      <c r="AE67" s="38" t="s">
        <v>70</v>
      </c>
      <c r="AF67" s="38" t="s">
        <v>202</v>
      </c>
      <c r="AG67" s="38" t="s">
        <v>70</v>
      </c>
      <c r="AH67" s="38" t="s">
        <v>70</v>
      </c>
      <c r="AI67" s="30"/>
      <c r="AJ67" s="38" t="s">
        <v>202</v>
      </c>
      <c r="AK67" s="38" t="s">
        <v>70</v>
      </c>
      <c r="AL67" s="38" t="s">
        <v>202</v>
      </c>
      <c r="AM67" s="38" t="s">
        <v>202</v>
      </c>
      <c r="AN67" s="38" t="s">
        <v>202</v>
      </c>
      <c r="AO67" s="38" t="s">
        <v>202</v>
      </c>
      <c r="AP67" s="30"/>
      <c r="AQ67" s="38" t="s">
        <v>202</v>
      </c>
      <c r="AR67" s="38" t="s">
        <v>70</v>
      </c>
      <c r="AS67" s="38" t="s">
        <v>202</v>
      </c>
      <c r="AT67" s="38" t="s">
        <v>202</v>
      </c>
      <c r="AU67" s="38" t="s">
        <v>202</v>
      </c>
      <c r="AV67" s="38" t="s">
        <v>70</v>
      </c>
      <c r="AW67" s="39"/>
      <c r="AX67" s="38" t="s">
        <v>202</v>
      </c>
      <c r="AY67" s="38" t="s">
        <v>202</v>
      </c>
      <c r="AZ67" s="38" t="s">
        <v>70</v>
      </c>
      <c r="BA67" s="38" t="s">
        <v>202</v>
      </c>
      <c r="BB67" s="38" t="s">
        <v>202</v>
      </c>
      <c r="BC67" s="38" t="s">
        <v>70</v>
      </c>
      <c r="BD67" s="39"/>
      <c r="BE67" s="38" t="s">
        <v>202</v>
      </c>
      <c r="BF67" s="38" t="s">
        <v>70</v>
      </c>
      <c r="BG67" s="38" t="s">
        <v>70</v>
      </c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</row>
    <row r="68">
      <c r="A68" s="36">
        <v>65.0</v>
      </c>
      <c r="B68" s="49" t="s">
        <v>584</v>
      </c>
      <c r="C68" s="49" t="s">
        <v>586</v>
      </c>
      <c r="D68" s="50">
        <f t="shared" si="2"/>
        <v>32</v>
      </c>
      <c r="E68" s="50">
        <f t="shared" si="3"/>
        <v>13</v>
      </c>
      <c r="F68" s="50">
        <f t="shared" si="4"/>
        <v>45</v>
      </c>
      <c r="G68" s="51">
        <f t="shared" si="5"/>
        <v>71.11111111</v>
      </c>
      <c r="H68" s="38" t="s">
        <v>202</v>
      </c>
      <c r="I68" s="38" t="s">
        <v>202</v>
      </c>
      <c r="J68" s="38" t="s">
        <v>202</v>
      </c>
      <c r="K68" s="38" t="s">
        <v>202</v>
      </c>
      <c r="L68" s="38" t="s">
        <v>70</v>
      </c>
      <c r="M68" s="38" t="s">
        <v>70</v>
      </c>
      <c r="N68" s="30"/>
      <c r="O68" s="38" t="s">
        <v>202</v>
      </c>
      <c r="P68" s="38" t="s">
        <v>202</v>
      </c>
      <c r="Q68" s="38" t="s">
        <v>202</v>
      </c>
      <c r="R68" s="38" t="s">
        <v>202</v>
      </c>
      <c r="S68" s="38" t="s">
        <v>202</v>
      </c>
      <c r="T68" s="38" t="s">
        <v>202</v>
      </c>
      <c r="U68" s="30"/>
      <c r="V68" s="38" t="s">
        <v>202</v>
      </c>
      <c r="W68" s="38" t="s">
        <v>202</v>
      </c>
      <c r="X68" s="38" t="s">
        <v>202</v>
      </c>
      <c r="Y68" s="38" t="s">
        <v>202</v>
      </c>
      <c r="Z68" s="38" t="s">
        <v>202</v>
      </c>
      <c r="AA68" s="38" t="s">
        <v>202</v>
      </c>
      <c r="AB68" s="30"/>
      <c r="AC68" s="38" t="s">
        <v>202</v>
      </c>
      <c r="AD68" s="38" t="s">
        <v>202</v>
      </c>
      <c r="AE68" s="38" t="s">
        <v>202</v>
      </c>
      <c r="AF68" s="38" t="s">
        <v>70</v>
      </c>
      <c r="AG68" s="38" t="s">
        <v>202</v>
      </c>
      <c r="AH68" s="38" t="s">
        <v>202</v>
      </c>
      <c r="AI68" s="30"/>
      <c r="AJ68" s="38" t="s">
        <v>202</v>
      </c>
      <c r="AK68" s="38" t="s">
        <v>202</v>
      </c>
      <c r="AL68" s="38" t="s">
        <v>70</v>
      </c>
      <c r="AM68" s="38" t="s">
        <v>202</v>
      </c>
      <c r="AN68" s="38" t="s">
        <v>202</v>
      </c>
      <c r="AO68" s="38" t="s">
        <v>202</v>
      </c>
      <c r="AP68" s="30"/>
      <c r="AQ68" s="38" t="s">
        <v>202</v>
      </c>
      <c r="AR68" s="38" t="s">
        <v>202</v>
      </c>
      <c r="AS68" s="38" t="s">
        <v>202</v>
      </c>
      <c r="AT68" s="38" t="s">
        <v>70</v>
      </c>
      <c r="AU68" s="38" t="s">
        <v>202</v>
      </c>
      <c r="AV68" s="38" t="s">
        <v>202</v>
      </c>
      <c r="AW68" s="39"/>
      <c r="AX68" s="38" t="s">
        <v>70</v>
      </c>
      <c r="AY68" s="38" t="s">
        <v>70</v>
      </c>
      <c r="AZ68" s="38" t="s">
        <v>70</v>
      </c>
      <c r="BA68" s="38" t="s">
        <v>70</v>
      </c>
      <c r="BB68" s="38" t="s">
        <v>70</v>
      </c>
      <c r="BC68" s="38" t="s">
        <v>70</v>
      </c>
      <c r="BD68" s="39"/>
      <c r="BE68" s="38" t="s">
        <v>70</v>
      </c>
      <c r="BF68" s="38" t="s">
        <v>202</v>
      </c>
      <c r="BG68" s="38" t="s">
        <v>70</v>
      </c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</row>
    <row r="69">
      <c r="A69" s="36">
        <v>66.0</v>
      </c>
      <c r="B69" s="49" t="s">
        <v>590</v>
      </c>
      <c r="C69" s="49" t="s">
        <v>591</v>
      </c>
      <c r="D69" s="50">
        <f t="shared" si="2"/>
        <v>38</v>
      </c>
      <c r="E69" s="50">
        <f t="shared" si="3"/>
        <v>7</v>
      </c>
      <c r="F69" s="50">
        <f t="shared" si="4"/>
        <v>45</v>
      </c>
      <c r="G69" s="51">
        <f t="shared" si="5"/>
        <v>84.44444444</v>
      </c>
      <c r="H69" s="38" t="s">
        <v>70</v>
      </c>
      <c r="I69" s="38" t="s">
        <v>70</v>
      </c>
      <c r="J69" s="38" t="s">
        <v>202</v>
      </c>
      <c r="K69" s="38" t="s">
        <v>202</v>
      </c>
      <c r="L69" s="38" t="s">
        <v>202</v>
      </c>
      <c r="M69" s="38" t="s">
        <v>70</v>
      </c>
      <c r="N69" s="43"/>
      <c r="O69" s="38" t="s">
        <v>202</v>
      </c>
      <c r="P69" s="38" t="s">
        <v>202</v>
      </c>
      <c r="Q69" s="38" t="s">
        <v>202</v>
      </c>
      <c r="R69" s="38" t="s">
        <v>202</v>
      </c>
      <c r="S69" s="38" t="s">
        <v>202</v>
      </c>
      <c r="T69" s="38" t="s">
        <v>202</v>
      </c>
      <c r="U69" s="43"/>
      <c r="V69" s="38" t="s">
        <v>202</v>
      </c>
      <c r="W69" s="38" t="s">
        <v>70</v>
      </c>
      <c r="X69" s="38" t="s">
        <v>202</v>
      </c>
      <c r="Y69" s="38" t="s">
        <v>202</v>
      </c>
      <c r="Z69" s="38" t="s">
        <v>202</v>
      </c>
      <c r="AA69" s="38" t="s">
        <v>202</v>
      </c>
      <c r="AB69" s="43"/>
      <c r="AC69" s="38" t="s">
        <v>70</v>
      </c>
      <c r="AD69" s="38" t="s">
        <v>202</v>
      </c>
      <c r="AE69" s="38" t="s">
        <v>202</v>
      </c>
      <c r="AF69" s="38" t="s">
        <v>202</v>
      </c>
      <c r="AG69" s="38" t="s">
        <v>202</v>
      </c>
      <c r="AH69" s="38" t="s">
        <v>202</v>
      </c>
      <c r="AI69" s="43"/>
      <c r="AJ69" s="38" t="s">
        <v>70</v>
      </c>
      <c r="AK69" s="38" t="s">
        <v>202</v>
      </c>
      <c r="AL69" s="38" t="s">
        <v>202</v>
      </c>
      <c r="AM69" s="38" t="s">
        <v>202</v>
      </c>
      <c r="AN69" s="38" t="s">
        <v>202</v>
      </c>
      <c r="AO69" s="38" t="s">
        <v>202</v>
      </c>
      <c r="AP69" s="43"/>
      <c r="AQ69" s="38" t="s">
        <v>202</v>
      </c>
      <c r="AR69" s="38" t="s">
        <v>202</v>
      </c>
      <c r="AS69" s="38" t="s">
        <v>202</v>
      </c>
      <c r="AT69" s="38" t="s">
        <v>202</v>
      </c>
      <c r="AU69" s="38" t="s">
        <v>202</v>
      </c>
      <c r="AV69" s="38" t="s">
        <v>202</v>
      </c>
      <c r="AW69" s="39"/>
      <c r="AX69" s="38" t="s">
        <v>202</v>
      </c>
      <c r="AY69" s="38" t="s">
        <v>202</v>
      </c>
      <c r="AZ69" s="38" t="s">
        <v>202</v>
      </c>
      <c r="BA69" s="38" t="s">
        <v>202</v>
      </c>
      <c r="BB69" s="38" t="s">
        <v>202</v>
      </c>
      <c r="BC69" s="38" t="s">
        <v>202</v>
      </c>
      <c r="BD69" s="39"/>
      <c r="BE69" s="38" t="s">
        <v>202</v>
      </c>
      <c r="BF69" s="38" t="s">
        <v>70</v>
      </c>
      <c r="BG69" s="38" t="s">
        <v>202</v>
      </c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</row>
    <row r="70">
      <c r="A70" s="89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</row>
    <row r="71">
      <c r="A71" s="89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</row>
    <row r="72">
      <c r="A72" s="89"/>
      <c r="C72" s="42" t="str">
        <f>IFERROR(__xludf.DUMMYFUNCTION("FILTER(B2:C69,G2:G69&lt;=50)"),"")</f>
        <v/>
      </c>
      <c r="D72" s="4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</row>
    <row r="73">
      <c r="A73" s="89"/>
      <c r="C73" s="42"/>
      <c r="D73" s="4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</row>
    <row r="74">
      <c r="C74" s="42" t="str">
        <f>IFERROR(__xludf.DUMMYFUNCTION("""COMPUTED_VALUE"""),"Aayushman brahmbhatt")</f>
        <v>Aayushman brahmbhatt</v>
      </c>
      <c r="D74" s="42" t="str">
        <f>IFERROR(__xludf.DUMMYFUNCTION("""COMPUTED_VALUE"""),"24EACCS007")</f>
        <v>24EACCS007</v>
      </c>
      <c r="E74" s="42" t="str">
        <f>IFERROR(__xludf.DUMMYFUNCTION("FILTER(G2:G69,G2:G69&lt;=50)"),"")</f>
        <v/>
      </c>
      <c r="H74" s="42" t="str">
        <f t="shared" ref="H74:BG74" si="6">COUNTIF(H4:H69,"P")&amp;" Online, "&amp;COUNTIF(H4:H69,"OP")&amp;" Offline"</f>
        <v>33 Online, 4 Offline</v>
      </c>
      <c r="I74" s="42" t="str">
        <f t="shared" si="6"/>
        <v>40 Online, 4 Offline</v>
      </c>
      <c r="J74" s="42" t="str">
        <f t="shared" si="6"/>
        <v>45 Online, 7 Offline</v>
      </c>
      <c r="K74" s="42" t="str">
        <f t="shared" si="6"/>
        <v>46 Online, 4 Offline</v>
      </c>
      <c r="L74" s="42" t="str">
        <f t="shared" si="6"/>
        <v>40 Online, 6 Offline</v>
      </c>
      <c r="M74" s="42" t="str">
        <f t="shared" si="6"/>
        <v>32 Online, 6 Offline</v>
      </c>
      <c r="N74" s="42" t="str">
        <f t="shared" si="6"/>
        <v>0 Online, 0 Offline</v>
      </c>
      <c r="O74" s="42" t="str">
        <f t="shared" si="6"/>
        <v>47 Online, 6 Offline</v>
      </c>
      <c r="P74" s="42" t="str">
        <f t="shared" si="6"/>
        <v>47 Online, 7 Offline</v>
      </c>
      <c r="Q74" s="42" t="str">
        <f t="shared" si="6"/>
        <v>51 Online, 6 Offline</v>
      </c>
      <c r="R74" s="42" t="str">
        <f t="shared" si="6"/>
        <v>49 Online, 7 Offline</v>
      </c>
      <c r="S74" s="42" t="str">
        <f t="shared" si="6"/>
        <v>51 Online, 7 Offline</v>
      </c>
      <c r="T74" s="42" t="str">
        <f t="shared" si="6"/>
        <v>44 Online, 5 Offline</v>
      </c>
      <c r="U74" s="42" t="str">
        <f t="shared" si="6"/>
        <v>0 Online, 0 Offline</v>
      </c>
      <c r="V74" s="42" t="str">
        <f t="shared" si="6"/>
        <v>52 Online, 5 Offline</v>
      </c>
      <c r="W74" s="42" t="str">
        <f t="shared" si="6"/>
        <v>52 Online, 8 Offline</v>
      </c>
      <c r="X74" s="42" t="str">
        <f t="shared" si="6"/>
        <v>53 Online, 8 Offline</v>
      </c>
      <c r="Y74" s="42" t="str">
        <f t="shared" si="6"/>
        <v>57 Online, 5 Offline</v>
      </c>
      <c r="Z74" s="42" t="str">
        <f t="shared" si="6"/>
        <v>54 Online, 5 Offline</v>
      </c>
      <c r="AA74" s="42" t="str">
        <f t="shared" si="6"/>
        <v>55 Online, 2 Offline</v>
      </c>
      <c r="AB74" s="42" t="str">
        <f t="shared" si="6"/>
        <v>0 Online, 0 Offline</v>
      </c>
      <c r="AC74" s="42" t="str">
        <f t="shared" si="6"/>
        <v>50 Online, 4 Offline</v>
      </c>
      <c r="AD74" s="42" t="str">
        <f t="shared" si="6"/>
        <v>56 Online, 4 Offline</v>
      </c>
      <c r="AE74" s="42" t="str">
        <f t="shared" si="6"/>
        <v>47 Online, 4 Offline</v>
      </c>
      <c r="AF74" s="42" t="str">
        <f t="shared" si="6"/>
        <v>51 Online, 3 Offline</v>
      </c>
      <c r="AG74" s="42" t="str">
        <f t="shared" si="6"/>
        <v>49 Online, 4 Offline</v>
      </c>
      <c r="AH74" s="42" t="str">
        <f t="shared" si="6"/>
        <v>55 Online, 6 Offline</v>
      </c>
      <c r="AI74" s="42" t="str">
        <f t="shared" si="6"/>
        <v>0 Online, 0 Offline</v>
      </c>
      <c r="AJ74" s="42" t="str">
        <f t="shared" si="6"/>
        <v>51 Online, 6 Offline</v>
      </c>
      <c r="AK74" s="42" t="str">
        <f t="shared" si="6"/>
        <v>51 Online, 5 Offline</v>
      </c>
      <c r="AL74" s="42" t="str">
        <f t="shared" si="6"/>
        <v>48 Online, 5 Offline</v>
      </c>
      <c r="AM74" s="42" t="str">
        <f t="shared" si="6"/>
        <v>51 Online, 5 Offline</v>
      </c>
      <c r="AN74" s="42" t="str">
        <f t="shared" si="6"/>
        <v>54 Online, 3 Offline</v>
      </c>
      <c r="AO74" s="42" t="str">
        <f t="shared" si="6"/>
        <v>53 Online, 2 Offline</v>
      </c>
      <c r="AP74" s="42" t="str">
        <f t="shared" si="6"/>
        <v>0 Online, 0 Offline</v>
      </c>
      <c r="AQ74" s="42" t="str">
        <f t="shared" si="6"/>
        <v>53 Online, 4 Offline</v>
      </c>
      <c r="AR74" s="42" t="str">
        <f t="shared" si="6"/>
        <v>54 Online, 1 Offline</v>
      </c>
      <c r="AS74" s="42" t="str">
        <f t="shared" si="6"/>
        <v>54 Online, 4 Offline</v>
      </c>
      <c r="AT74" s="42" t="str">
        <f t="shared" si="6"/>
        <v>55 Online, 3 Offline</v>
      </c>
      <c r="AU74" s="42" t="str">
        <f t="shared" si="6"/>
        <v>57 Online, 2 Offline</v>
      </c>
      <c r="AV74" s="42" t="str">
        <f t="shared" si="6"/>
        <v>59 Online, 0 Offline</v>
      </c>
      <c r="AW74" s="42" t="str">
        <f t="shared" si="6"/>
        <v>0 Online, 0 Offline</v>
      </c>
      <c r="AX74" s="42" t="str">
        <f t="shared" si="6"/>
        <v>47 Online, 2 Offline</v>
      </c>
      <c r="AY74" s="42" t="str">
        <f t="shared" si="6"/>
        <v>55 Online, 2 Offline</v>
      </c>
      <c r="AZ74" s="42" t="str">
        <f t="shared" si="6"/>
        <v>52 Online, 3 Offline</v>
      </c>
      <c r="BA74" s="42" t="str">
        <f t="shared" si="6"/>
        <v>46 Online, 2 Offline</v>
      </c>
      <c r="BB74" s="42" t="str">
        <f t="shared" si="6"/>
        <v>51 Online, 0 Offline</v>
      </c>
      <c r="BC74" s="42" t="str">
        <f t="shared" si="6"/>
        <v>41 Online, 0 Offline</v>
      </c>
      <c r="BD74" s="42" t="str">
        <f t="shared" si="6"/>
        <v>0 Online, 0 Offline</v>
      </c>
      <c r="BE74" s="42" t="str">
        <f t="shared" si="6"/>
        <v>46 Online, 0 Offline</v>
      </c>
      <c r="BF74" s="42" t="str">
        <f t="shared" si="6"/>
        <v>45 Online, 0 Offline</v>
      </c>
      <c r="BG74" s="42" t="str">
        <f t="shared" si="6"/>
        <v>40 Online, 0 Offline</v>
      </c>
    </row>
    <row r="75">
      <c r="C75" s="42" t="str">
        <f>IFERROR(__xludf.DUMMYFUNCTION("""COMPUTED_VALUE"""),"Amit kumar")</f>
        <v>Amit kumar</v>
      </c>
      <c r="D75" s="42" t="str">
        <f>IFERROR(__xludf.DUMMYFUNCTION("""COMPUTED_VALUE"""),"24EACAD008")</f>
        <v>24EACAD008</v>
      </c>
      <c r="E75" s="4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</row>
    <row r="76">
      <c r="C76" s="42" t="str">
        <f>IFERROR(__xludf.DUMMYFUNCTION("""COMPUTED_VALUE"""),"Chandan Gautam")</f>
        <v>Chandan Gautam</v>
      </c>
      <c r="D76" s="42" t="str">
        <f>IFERROR(__xludf.DUMMYFUNCTION("""COMPUTED_VALUE"""),"24EACCS073")</f>
        <v>24EACCS073</v>
      </c>
      <c r="E76" s="90">
        <f>IFERROR(__xludf.DUMMYFUNCTION("""COMPUTED_VALUE"""),48.888888888888886)</f>
        <v>48.88888889</v>
      </c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</row>
    <row r="77">
      <c r="C77" s="42" t="str">
        <f>IFERROR(__xludf.DUMMYFUNCTION("""COMPUTED_VALUE"""),"DAKSH TANWAR")</f>
        <v>DAKSH TANWAR</v>
      </c>
      <c r="D77" s="42" t="str">
        <f>IFERROR(__xludf.DUMMYFUNCTION("""COMPUTED_VALUE"""),"24EACAD024")</f>
        <v>24EACAD024</v>
      </c>
      <c r="E77" s="90">
        <f>IFERROR(__xludf.DUMMYFUNCTION("""COMPUTED_VALUE"""),46.666666666666664)</f>
        <v>46.66666667</v>
      </c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</row>
    <row r="78">
      <c r="C78" s="42" t="str">
        <f>IFERROR(__xludf.DUMMYFUNCTION("""COMPUTED_VALUE"""),"Hemang Gaur")</f>
        <v>Hemang Gaur</v>
      </c>
      <c r="D78" s="42" t="str">
        <f>IFERROR(__xludf.DUMMYFUNCTION("""COMPUTED_VALUE"""),"24EACCS118")</f>
        <v>24EACCS118</v>
      </c>
      <c r="E78" s="90">
        <f>IFERROR(__xludf.DUMMYFUNCTION("""COMPUTED_VALUE"""),0.0)</f>
        <v>0</v>
      </c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</row>
    <row r="79">
      <c r="C79" s="42" t="str">
        <f>IFERROR(__xludf.DUMMYFUNCTION("""COMPUTED_VALUE"""),"Rohit Rawat")</f>
        <v>Rohit Rawat</v>
      </c>
      <c r="D79" s="42" t="str">
        <f>IFERROR(__xludf.DUMMYFUNCTION("""COMPUTED_VALUE"""),"24EACAD083")</f>
        <v>24EACAD083</v>
      </c>
      <c r="E79" s="90">
        <f>IFERROR(__xludf.DUMMYFUNCTION("""COMPUTED_VALUE"""),46.666666666666664)</f>
        <v>46.66666667</v>
      </c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</row>
    <row r="80">
      <c r="E80" s="90">
        <f>IFERROR(__xludf.DUMMYFUNCTION("""COMPUTED_VALUE"""),33.33333333333333)</f>
        <v>33.33333333</v>
      </c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</row>
    <row r="81">
      <c r="E81" s="90">
        <f>IFERROR(__xludf.DUMMYFUNCTION("""COMPUTED_VALUE"""),42.22222222222222)</f>
        <v>42.22222222</v>
      </c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</row>
    <row r="82"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</row>
    <row r="83"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</row>
    <row r="84"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</row>
    <row r="85"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</row>
    <row r="86"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</row>
    <row r="87"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</row>
    <row r="88"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</row>
    <row r="89"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</row>
    <row r="90"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</row>
    <row r="91"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</row>
    <row r="92"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</row>
    <row r="93"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</row>
    <row r="94"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</row>
    <row r="95"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</row>
    <row r="96"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</row>
    <row r="97"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</row>
    <row r="98"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</row>
    <row r="99"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</row>
    <row r="100"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</row>
    <row r="101"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</row>
    <row r="102"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</row>
    <row r="103"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</row>
    <row r="104"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</row>
    <row r="105"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</row>
    <row r="106"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</row>
    <row r="107"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</row>
    <row r="108"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</row>
    <row r="109"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</row>
    <row r="110"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</row>
    <row r="111"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</row>
    <row r="112"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</row>
    <row r="113"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</row>
    <row r="114"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</row>
    <row r="115"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</row>
    <row r="116"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</row>
    <row r="117"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</row>
    <row r="118"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</row>
    <row r="119"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</row>
    <row r="120"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</row>
    <row r="121"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</row>
    <row r="122"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</row>
    <row r="123"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</row>
    <row r="124"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</row>
    <row r="125"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</row>
    <row r="126"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</row>
    <row r="127"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</row>
    <row r="128"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</row>
    <row r="129"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</row>
    <row r="130"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</row>
    <row r="131"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</row>
    <row r="132"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</row>
    <row r="133"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</row>
    <row r="134"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</row>
    <row r="135"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</row>
    <row r="136"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</row>
    <row r="137"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</row>
    <row r="138"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</row>
    <row r="139"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</row>
    <row r="140"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</row>
    <row r="141"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</row>
    <row r="142"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</row>
    <row r="143"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</row>
    <row r="144"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</row>
    <row r="145"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</row>
    <row r="146"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</row>
    <row r="147"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</row>
    <row r="148"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</row>
    <row r="149"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</row>
    <row r="150"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</row>
    <row r="151"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</row>
    <row r="152"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</row>
    <row r="153"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</row>
    <row r="154"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</row>
    <row r="155"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</row>
    <row r="156"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</row>
    <row r="157"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</row>
    <row r="158"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</row>
    <row r="159"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/>
    </row>
    <row r="160"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/>
    </row>
    <row r="161"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/>
    </row>
    <row r="162"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</row>
    <row r="163"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/>
    </row>
    <row r="164"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</row>
    <row r="165"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</row>
    <row r="166"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/>
    </row>
    <row r="167"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/>
    </row>
    <row r="168"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</row>
    <row r="169"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/>
    </row>
    <row r="170"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/>
    </row>
    <row r="171"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/>
    </row>
    <row r="172"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/>
    </row>
    <row r="173"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/>
    </row>
    <row r="174"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/>
    </row>
    <row r="175"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/>
    </row>
    <row r="176"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  <c r="BS176" s="52"/>
      <c r="BT176" s="52"/>
      <c r="BU176" s="52"/>
      <c r="BV176" s="52"/>
    </row>
    <row r="177"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  <c r="BS177" s="52"/>
      <c r="BT177" s="52"/>
      <c r="BU177" s="52"/>
      <c r="BV177" s="52"/>
    </row>
    <row r="178"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</row>
    <row r="179"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/>
    </row>
    <row r="180"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  <c r="BD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  <c r="BS180" s="52"/>
      <c r="BT180" s="52"/>
      <c r="BU180" s="52"/>
      <c r="BV180" s="52"/>
    </row>
    <row r="181"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</row>
    <row r="182"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  <c r="BD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  <c r="BP182" s="52"/>
      <c r="BQ182" s="52"/>
      <c r="BR182" s="52"/>
      <c r="BS182" s="52"/>
      <c r="BT182" s="52"/>
      <c r="BU182" s="52"/>
      <c r="BV182" s="52"/>
    </row>
    <row r="183"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/>
    </row>
    <row r="184"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  <c r="BD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  <c r="BS184" s="52"/>
      <c r="BT184" s="52"/>
      <c r="BU184" s="52"/>
      <c r="BV184" s="52"/>
    </row>
    <row r="185"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  <c r="BT185" s="52"/>
      <c r="BU185" s="52"/>
      <c r="BV185" s="52"/>
    </row>
    <row r="186"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  <c r="BD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  <c r="BS186" s="52"/>
      <c r="BT186" s="52"/>
      <c r="BU186" s="52"/>
      <c r="BV186" s="52"/>
    </row>
    <row r="187"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  <c r="BP187" s="52"/>
      <c r="BQ187" s="52"/>
      <c r="BR187" s="52"/>
      <c r="BS187" s="52"/>
      <c r="BT187" s="52"/>
      <c r="BU187" s="52"/>
      <c r="BV187" s="52"/>
    </row>
    <row r="188"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  <c r="BD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  <c r="BP188" s="52"/>
      <c r="BQ188" s="52"/>
      <c r="BR188" s="52"/>
      <c r="BS188" s="52"/>
      <c r="BT188" s="52"/>
      <c r="BU188" s="52"/>
      <c r="BV188" s="52"/>
    </row>
    <row r="189"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  <c r="BD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  <c r="BP189" s="52"/>
      <c r="BQ189" s="52"/>
      <c r="BR189" s="52"/>
      <c r="BS189" s="52"/>
      <c r="BT189" s="52"/>
      <c r="BU189" s="52"/>
      <c r="BV189" s="52"/>
    </row>
    <row r="190"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  <c r="BD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  <c r="BP190" s="52"/>
      <c r="BQ190" s="52"/>
      <c r="BR190" s="52"/>
      <c r="BS190" s="52"/>
      <c r="BT190" s="52"/>
      <c r="BU190" s="52"/>
      <c r="BV190" s="52"/>
    </row>
    <row r="191"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/>
    </row>
    <row r="192"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/>
    </row>
    <row r="193"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/>
    </row>
    <row r="194"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  <c r="BD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/>
    </row>
    <row r="195"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  <c r="BP195" s="52"/>
      <c r="BQ195" s="52"/>
      <c r="BR195" s="52"/>
      <c r="BS195" s="52"/>
      <c r="BT195" s="52"/>
      <c r="BU195" s="52"/>
      <c r="BV195" s="52"/>
    </row>
    <row r="196"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  <c r="BP196" s="52"/>
      <c r="BQ196" s="52"/>
      <c r="BR196" s="52"/>
      <c r="BS196" s="52"/>
      <c r="BT196" s="52"/>
      <c r="BU196" s="52"/>
      <c r="BV196" s="52"/>
    </row>
    <row r="197"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</row>
    <row r="198"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/>
    </row>
    <row r="199"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/>
    </row>
    <row r="200"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  <c r="BP200" s="52"/>
      <c r="BQ200" s="52"/>
      <c r="BR200" s="52"/>
      <c r="BS200" s="52"/>
      <c r="BT200" s="52"/>
      <c r="BU200" s="52"/>
      <c r="BV200" s="52"/>
    </row>
    <row r="201"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/>
    </row>
    <row r="202"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2"/>
      <c r="BD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  <c r="BP202" s="52"/>
      <c r="BQ202" s="52"/>
      <c r="BR202" s="52"/>
      <c r="BS202" s="52"/>
      <c r="BT202" s="52"/>
      <c r="BU202" s="52"/>
      <c r="BV202" s="52"/>
    </row>
    <row r="203">
      <c r="AS203" s="52"/>
      <c r="AT203" s="52"/>
      <c r="AU203" s="52"/>
      <c r="AV203" s="52"/>
      <c r="AW203" s="52"/>
      <c r="AX203" s="52"/>
      <c r="AY203" s="52"/>
      <c r="AZ203" s="52"/>
      <c r="BA203" s="52"/>
      <c r="BB203" s="52"/>
      <c r="BC203" s="52"/>
      <c r="BD203" s="52"/>
      <c r="BE203" s="52"/>
      <c r="BF203" s="52"/>
      <c r="BG203" s="52"/>
      <c r="BH203" s="52"/>
      <c r="BI203" s="52"/>
      <c r="BJ203" s="52"/>
      <c r="BK203" s="52"/>
      <c r="BL203" s="52"/>
      <c r="BM203" s="52"/>
      <c r="BN203" s="52"/>
      <c r="BO203" s="52"/>
      <c r="BP203" s="52"/>
      <c r="BQ203" s="52"/>
      <c r="BR203" s="52"/>
      <c r="BS203" s="52"/>
      <c r="BT203" s="52"/>
      <c r="BU203" s="52"/>
      <c r="BV203" s="52"/>
    </row>
    <row r="204">
      <c r="AS204" s="52"/>
      <c r="AT204" s="52"/>
      <c r="AU204" s="52"/>
      <c r="AV204" s="52"/>
      <c r="AW204" s="52"/>
      <c r="AX204" s="52"/>
      <c r="AY204" s="52"/>
      <c r="AZ204" s="52"/>
      <c r="BA204" s="52"/>
      <c r="BB204" s="52"/>
      <c r="BC204" s="52"/>
      <c r="BD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  <c r="BS204" s="52"/>
      <c r="BT204" s="52"/>
      <c r="BU204" s="52"/>
      <c r="BV204" s="52"/>
    </row>
    <row r="205"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/>
    </row>
    <row r="206"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  <c r="BS206" s="52"/>
      <c r="BT206" s="52"/>
      <c r="BU206" s="52"/>
      <c r="BV206" s="52"/>
    </row>
    <row r="207"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  <c r="BS207" s="52"/>
      <c r="BT207" s="52"/>
      <c r="BU207" s="52"/>
      <c r="BV207" s="52"/>
    </row>
    <row r="208"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  <c r="BS208" s="52"/>
      <c r="BT208" s="52"/>
      <c r="BU208" s="52"/>
      <c r="BV208" s="52"/>
    </row>
    <row r="209"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  <c r="BD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  <c r="BP209" s="52"/>
      <c r="BQ209" s="52"/>
      <c r="BR209" s="52"/>
      <c r="BS209" s="52"/>
      <c r="BT209" s="52"/>
      <c r="BU209" s="52"/>
      <c r="BV209" s="52"/>
    </row>
    <row r="210"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  <c r="BD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/>
    </row>
    <row r="211"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/>
    </row>
    <row r="212"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/>
    </row>
    <row r="213"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/>
    </row>
    <row r="214"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/>
    </row>
    <row r="215"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/>
    </row>
    <row r="216"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/>
    </row>
    <row r="217"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/>
    </row>
    <row r="218"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  <c r="BD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/>
    </row>
    <row r="219"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/>
    </row>
    <row r="220"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  <c r="BD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  <c r="BP220" s="52"/>
      <c r="BQ220" s="52"/>
      <c r="BR220" s="52"/>
      <c r="BS220" s="52"/>
      <c r="BT220" s="52"/>
      <c r="BU220" s="52"/>
      <c r="BV220" s="52"/>
    </row>
    <row r="221"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  <c r="BS221" s="52"/>
      <c r="BT221" s="52"/>
      <c r="BU221" s="52"/>
      <c r="BV221" s="52"/>
    </row>
    <row r="222">
      <c r="AS222" s="52"/>
      <c r="AT222" s="52"/>
      <c r="AU222" s="52"/>
      <c r="AV222" s="52"/>
      <c r="AW222" s="52"/>
      <c r="AX222" s="52"/>
      <c r="AY222" s="52"/>
      <c r="AZ222" s="52"/>
      <c r="BA222" s="52"/>
      <c r="BB222" s="52"/>
      <c r="BC222" s="52"/>
      <c r="BD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  <c r="BP222" s="52"/>
      <c r="BQ222" s="52"/>
      <c r="BR222" s="52"/>
      <c r="BS222" s="52"/>
      <c r="BT222" s="52"/>
      <c r="BU222" s="52"/>
      <c r="BV222" s="52"/>
    </row>
    <row r="223"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/>
    </row>
    <row r="224">
      <c r="AS224" s="52"/>
      <c r="AT224" s="52"/>
      <c r="AU224" s="52"/>
      <c r="AV224" s="52"/>
      <c r="AW224" s="52"/>
      <c r="AX224" s="52"/>
      <c r="AY224" s="52"/>
      <c r="AZ224" s="52"/>
      <c r="BA224" s="52"/>
      <c r="BB224" s="52"/>
      <c r="BC224" s="52"/>
      <c r="BD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  <c r="BP224" s="52"/>
      <c r="BQ224" s="52"/>
      <c r="BR224" s="52"/>
      <c r="BS224" s="52"/>
      <c r="BT224" s="52"/>
      <c r="BU224" s="52"/>
      <c r="BV224" s="52"/>
    </row>
    <row r="225">
      <c r="AS225" s="52"/>
      <c r="AT225" s="52"/>
      <c r="AU225" s="52"/>
      <c r="AV225" s="52"/>
      <c r="AW225" s="52"/>
      <c r="AX225" s="52"/>
      <c r="AY225" s="52"/>
      <c r="AZ225" s="52"/>
      <c r="BA225" s="52"/>
      <c r="BB225" s="52"/>
      <c r="BC225" s="52"/>
      <c r="BD225" s="52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  <c r="BO225" s="52"/>
      <c r="BP225" s="52"/>
      <c r="BQ225" s="52"/>
      <c r="BR225" s="52"/>
      <c r="BS225" s="52"/>
      <c r="BT225" s="52"/>
      <c r="BU225" s="52"/>
      <c r="BV225" s="52"/>
    </row>
    <row r="226">
      <c r="AS226" s="52"/>
      <c r="AT226" s="52"/>
      <c r="AU226" s="52"/>
      <c r="AV226" s="52"/>
      <c r="AW226" s="52"/>
      <c r="AX226" s="52"/>
      <c r="AY226" s="52"/>
      <c r="AZ226" s="52"/>
      <c r="BA226" s="52"/>
      <c r="BB226" s="52"/>
      <c r="BC226" s="52"/>
      <c r="BD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  <c r="BP226" s="52"/>
      <c r="BQ226" s="52"/>
      <c r="BR226" s="52"/>
      <c r="BS226" s="52"/>
      <c r="BT226" s="52"/>
      <c r="BU226" s="52"/>
      <c r="BV226" s="52"/>
    </row>
    <row r="227">
      <c r="AS227" s="52"/>
      <c r="AT227" s="52"/>
      <c r="AU227" s="52"/>
      <c r="AV227" s="52"/>
      <c r="AW227" s="52"/>
      <c r="AX227" s="52"/>
      <c r="AY227" s="52"/>
      <c r="AZ227" s="52"/>
      <c r="BA227" s="52"/>
      <c r="BB227" s="52"/>
      <c r="BC227" s="52"/>
      <c r="BD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52"/>
      <c r="BP227" s="52"/>
      <c r="BQ227" s="52"/>
      <c r="BR227" s="52"/>
      <c r="BS227" s="52"/>
      <c r="BT227" s="52"/>
      <c r="BU227" s="52"/>
      <c r="BV227" s="52"/>
    </row>
    <row r="228">
      <c r="AS228" s="52"/>
      <c r="AT228" s="52"/>
      <c r="AU228" s="52"/>
      <c r="AV228" s="52"/>
      <c r="AW228" s="52"/>
      <c r="AX228" s="52"/>
      <c r="AY228" s="52"/>
      <c r="AZ228" s="52"/>
      <c r="BA228" s="52"/>
      <c r="BB228" s="52"/>
      <c r="BC228" s="52"/>
      <c r="BD228" s="52"/>
      <c r="BE228" s="52"/>
      <c r="BF228" s="52"/>
      <c r="BG228" s="52"/>
      <c r="BH228" s="52"/>
      <c r="BI228" s="52"/>
      <c r="BJ228" s="52"/>
      <c r="BK228" s="52"/>
      <c r="BL228" s="52"/>
      <c r="BM228" s="52"/>
      <c r="BN228" s="52"/>
      <c r="BO228" s="52"/>
      <c r="BP228" s="52"/>
      <c r="BQ228" s="52"/>
      <c r="BR228" s="52"/>
      <c r="BS228" s="52"/>
      <c r="BT228" s="52"/>
      <c r="BU228" s="52"/>
      <c r="BV228" s="52"/>
    </row>
    <row r="229">
      <c r="AS229" s="52"/>
      <c r="AT229" s="52"/>
      <c r="AU229" s="52"/>
      <c r="AV229" s="52"/>
      <c r="AW229" s="52"/>
      <c r="AX229" s="52"/>
      <c r="AY229" s="52"/>
      <c r="AZ229" s="52"/>
      <c r="BA229" s="52"/>
      <c r="BB229" s="52"/>
      <c r="BC229" s="52"/>
      <c r="BD229" s="52"/>
      <c r="BE229" s="52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  <c r="BP229" s="52"/>
      <c r="BQ229" s="52"/>
      <c r="BR229" s="52"/>
      <c r="BS229" s="52"/>
      <c r="BT229" s="52"/>
      <c r="BU229" s="52"/>
      <c r="BV229" s="52"/>
    </row>
    <row r="230">
      <c r="AS230" s="52"/>
      <c r="AT230" s="52"/>
      <c r="AU230" s="52"/>
      <c r="AV230" s="52"/>
      <c r="AW230" s="52"/>
      <c r="AX230" s="52"/>
      <c r="AY230" s="52"/>
      <c r="AZ230" s="52"/>
      <c r="BA230" s="52"/>
      <c r="BB230" s="52"/>
      <c r="BC230" s="52"/>
      <c r="BD230" s="52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  <c r="BP230" s="52"/>
      <c r="BQ230" s="52"/>
      <c r="BR230" s="52"/>
      <c r="BS230" s="52"/>
      <c r="BT230" s="52"/>
      <c r="BU230" s="52"/>
      <c r="BV230" s="52"/>
    </row>
    <row r="231">
      <c r="AS231" s="52"/>
      <c r="AT231" s="52"/>
      <c r="AU231" s="52"/>
      <c r="AV231" s="52"/>
      <c r="AW231" s="52"/>
      <c r="AX231" s="52"/>
      <c r="AY231" s="52"/>
      <c r="AZ231" s="52"/>
      <c r="BA231" s="52"/>
      <c r="BB231" s="52"/>
      <c r="BC231" s="52"/>
      <c r="BD231" s="52"/>
      <c r="BE231" s="52"/>
      <c r="BF231" s="52"/>
      <c r="BG231" s="52"/>
      <c r="BH231" s="52"/>
      <c r="BI231" s="52"/>
      <c r="BJ231" s="52"/>
      <c r="BK231" s="52"/>
      <c r="BL231" s="52"/>
      <c r="BM231" s="52"/>
      <c r="BN231" s="52"/>
      <c r="BO231" s="52"/>
      <c r="BP231" s="52"/>
      <c r="BQ231" s="52"/>
      <c r="BR231" s="52"/>
      <c r="BS231" s="52"/>
      <c r="BT231" s="52"/>
      <c r="BU231" s="52"/>
      <c r="BV231" s="52"/>
    </row>
    <row r="232">
      <c r="AS232" s="52"/>
      <c r="AT232" s="52"/>
      <c r="AU232" s="52"/>
      <c r="AV232" s="52"/>
      <c r="AW232" s="52"/>
      <c r="AX232" s="52"/>
      <c r="AY232" s="52"/>
      <c r="AZ232" s="52"/>
      <c r="BA232" s="52"/>
      <c r="BB232" s="52"/>
      <c r="BC232" s="52"/>
      <c r="BD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  <c r="BP232" s="52"/>
      <c r="BQ232" s="52"/>
      <c r="BR232" s="52"/>
      <c r="BS232" s="52"/>
      <c r="BT232" s="52"/>
      <c r="BU232" s="52"/>
      <c r="BV232" s="52"/>
    </row>
    <row r="233"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2"/>
      <c r="BD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  <c r="BP233" s="52"/>
      <c r="BQ233" s="52"/>
      <c r="BR233" s="52"/>
      <c r="BS233" s="52"/>
      <c r="BT233" s="52"/>
      <c r="BU233" s="52"/>
      <c r="BV233" s="52"/>
    </row>
    <row r="234">
      <c r="AS234" s="52"/>
      <c r="AT234" s="52"/>
      <c r="AU234" s="52"/>
      <c r="AV234" s="52"/>
      <c r="AW234" s="52"/>
      <c r="AX234" s="52"/>
      <c r="AY234" s="52"/>
      <c r="AZ234" s="52"/>
      <c r="BA234" s="52"/>
      <c r="BB234" s="52"/>
      <c r="BC234" s="52"/>
      <c r="BD234" s="52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  <c r="BO234" s="52"/>
      <c r="BP234" s="52"/>
      <c r="BQ234" s="52"/>
      <c r="BR234" s="52"/>
      <c r="BS234" s="52"/>
      <c r="BT234" s="52"/>
      <c r="BU234" s="52"/>
      <c r="BV234" s="52"/>
    </row>
    <row r="235">
      <c r="AS235" s="52"/>
      <c r="AT235" s="52"/>
      <c r="AU235" s="52"/>
      <c r="AV235" s="52"/>
      <c r="AW235" s="52"/>
      <c r="AX235" s="52"/>
      <c r="AY235" s="52"/>
      <c r="AZ235" s="52"/>
      <c r="BA235" s="52"/>
      <c r="BB235" s="52"/>
      <c r="BC235" s="52"/>
      <c r="BD235" s="52"/>
      <c r="BE235" s="52"/>
      <c r="BF235" s="52"/>
      <c r="BG235" s="52"/>
      <c r="BH235" s="52"/>
      <c r="BI235" s="52"/>
      <c r="BJ235" s="52"/>
      <c r="BK235" s="52"/>
      <c r="BL235" s="52"/>
      <c r="BM235" s="52"/>
      <c r="BN235" s="52"/>
      <c r="BO235" s="52"/>
      <c r="BP235" s="52"/>
      <c r="BQ235" s="52"/>
      <c r="BR235" s="52"/>
      <c r="BS235" s="52"/>
      <c r="BT235" s="52"/>
      <c r="BU235" s="52"/>
      <c r="BV235" s="52"/>
    </row>
    <row r="236">
      <c r="AS236" s="52"/>
      <c r="AT236" s="52"/>
      <c r="AU236" s="52"/>
      <c r="AV236" s="52"/>
      <c r="AW236" s="52"/>
      <c r="AX236" s="52"/>
      <c r="AY236" s="52"/>
      <c r="AZ236" s="52"/>
      <c r="BA236" s="52"/>
      <c r="BB236" s="52"/>
      <c r="BC236" s="52"/>
      <c r="BD236" s="52"/>
      <c r="BE236" s="52"/>
      <c r="BF236" s="52"/>
      <c r="BG236" s="52"/>
      <c r="BH236" s="52"/>
      <c r="BI236" s="52"/>
      <c r="BJ236" s="52"/>
      <c r="BK236" s="52"/>
      <c r="BL236" s="52"/>
      <c r="BM236" s="52"/>
      <c r="BN236" s="52"/>
      <c r="BO236" s="52"/>
      <c r="BP236" s="52"/>
      <c r="BQ236" s="52"/>
      <c r="BR236" s="52"/>
      <c r="BS236" s="52"/>
      <c r="BT236" s="52"/>
      <c r="BU236" s="52"/>
      <c r="BV236" s="52"/>
    </row>
    <row r="237">
      <c r="AS237" s="52"/>
      <c r="AT237" s="52"/>
      <c r="AU237" s="52"/>
      <c r="AV237" s="52"/>
      <c r="AW237" s="52"/>
      <c r="AX237" s="52"/>
      <c r="AY237" s="52"/>
      <c r="AZ237" s="52"/>
      <c r="BA237" s="52"/>
      <c r="BB237" s="52"/>
      <c r="BC237" s="52"/>
      <c r="BD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  <c r="BP237" s="52"/>
      <c r="BQ237" s="52"/>
      <c r="BR237" s="52"/>
      <c r="BS237" s="52"/>
      <c r="BT237" s="52"/>
      <c r="BU237" s="52"/>
      <c r="BV237" s="52"/>
    </row>
    <row r="238">
      <c r="AS238" s="52"/>
      <c r="AT238" s="52"/>
      <c r="AU238" s="52"/>
      <c r="AV238" s="52"/>
      <c r="AW238" s="52"/>
      <c r="AX238" s="52"/>
      <c r="AY238" s="52"/>
      <c r="AZ238" s="52"/>
      <c r="BA238" s="52"/>
      <c r="BB238" s="52"/>
      <c r="BC238" s="52"/>
      <c r="BD238" s="52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  <c r="BO238" s="52"/>
      <c r="BP238" s="52"/>
      <c r="BQ238" s="52"/>
      <c r="BR238" s="52"/>
      <c r="BS238" s="52"/>
      <c r="BT238" s="52"/>
      <c r="BU238" s="52"/>
      <c r="BV238" s="52"/>
    </row>
    <row r="239">
      <c r="AS239" s="52"/>
      <c r="AT239" s="52"/>
      <c r="AU239" s="52"/>
      <c r="AV239" s="52"/>
      <c r="AW239" s="52"/>
      <c r="AX239" s="52"/>
      <c r="AY239" s="52"/>
      <c r="AZ239" s="52"/>
      <c r="BA239" s="52"/>
      <c r="BB239" s="52"/>
      <c r="BC239" s="52"/>
      <c r="BD239" s="52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  <c r="BO239" s="52"/>
      <c r="BP239" s="52"/>
      <c r="BQ239" s="52"/>
      <c r="BR239" s="52"/>
      <c r="BS239" s="52"/>
      <c r="BT239" s="52"/>
      <c r="BU239" s="52"/>
      <c r="BV239" s="52"/>
    </row>
    <row r="240">
      <c r="AS240" s="52"/>
      <c r="AT240" s="52"/>
      <c r="AU240" s="52"/>
      <c r="AV240" s="52"/>
      <c r="AW240" s="52"/>
      <c r="AX240" s="52"/>
      <c r="AY240" s="52"/>
      <c r="AZ240" s="52"/>
      <c r="BA240" s="52"/>
      <c r="BB240" s="52"/>
      <c r="BC240" s="52"/>
      <c r="BD240" s="52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  <c r="BO240" s="52"/>
      <c r="BP240" s="52"/>
      <c r="BQ240" s="52"/>
      <c r="BR240" s="52"/>
      <c r="BS240" s="52"/>
      <c r="BT240" s="52"/>
      <c r="BU240" s="52"/>
      <c r="BV240" s="52"/>
    </row>
    <row r="241">
      <c r="AS241" s="52"/>
      <c r="AT241" s="52"/>
      <c r="AU241" s="52"/>
      <c r="AV241" s="52"/>
      <c r="AW241" s="52"/>
      <c r="AX241" s="52"/>
      <c r="AY241" s="52"/>
      <c r="AZ241" s="52"/>
      <c r="BA241" s="52"/>
      <c r="BB241" s="52"/>
      <c r="BC241" s="52"/>
      <c r="BD241" s="52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  <c r="BO241" s="52"/>
      <c r="BP241" s="52"/>
      <c r="BQ241" s="52"/>
      <c r="BR241" s="52"/>
      <c r="BS241" s="52"/>
      <c r="BT241" s="52"/>
      <c r="BU241" s="52"/>
      <c r="BV241" s="52"/>
    </row>
    <row r="242">
      <c r="AS242" s="52"/>
      <c r="AT242" s="52"/>
      <c r="AU242" s="52"/>
      <c r="AV242" s="52"/>
      <c r="AW242" s="52"/>
      <c r="AX242" s="52"/>
      <c r="AY242" s="52"/>
      <c r="AZ242" s="52"/>
      <c r="BA242" s="52"/>
      <c r="BB242" s="52"/>
      <c r="BC242" s="52"/>
      <c r="BD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  <c r="BP242" s="52"/>
      <c r="BQ242" s="52"/>
      <c r="BR242" s="52"/>
      <c r="BS242" s="52"/>
      <c r="BT242" s="52"/>
      <c r="BU242" s="52"/>
      <c r="BV242" s="52"/>
    </row>
    <row r="243">
      <c r="AS243" s="52"/>
      <c r="AT243" s="52"/>
      <c r="AU243" s="52"/>
      <c r="AV243" s="52"/>
      <c r="AW243" s="52"/>
      <c r="AX243" s="52"/>
      <c r="AY243" s="52"/>
      <c r="AZ243" s="52"/>
      <c r="BA243" s="52"/>
      <c r="BB243" s="52"/>
      <c r="BC243" s="52"/>
      <c r="BD243" s="52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  <c r="BO243" s="52"/>
      <c r="BP243" s="52"/>
      <c r="BQ243" s="52"/>
      <c r="BR243" s="52"/>
      <c r="BS243" s="52"/>
      <c r="BT243" s="52"/>
      <c r="BU243" s="52"/>
      <c r="BV243" s="52"/>
    </row>
    <row r="244">
      <c r="AS244" s="52"/>
      <c r="AT244" s="52"/>
      <c r="AU244" s="52"/>
      <c r="AV244" s="52"/>
      <c r="AW244" s="52"/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  <c r="BP244" s="52"/>
      <c r="BQ244" s="52"/>
      <c r="BR244" s="52"/>
      <c r="BS244" s="52"/>
      <c r="BT244" s="52"/>
      <c r="BU244" s="52"/>
      <c r="BV244" s="52"/>
    </row>
    <row r="245">
      <c r="AS245" s="52"/>
      <c r="AT245" s="52"/>
      <c r="AU245" s="52"/>
      <c r="AV245" s="52"/>
      <c r="AW245" s="52"/>
      <c r="AX245" s="52"/>
      <c r="AY245" s="52"/>
      <c r="AZ245" s="52"/>
      <c r="BA245" s="52"/>
      <c r="BB245" s="52"/>
      <c r="BC245" s="52"/>
      <c r="BD245" s="52"/>
      <c r="BE245" s="52"/>
      <c r="BF245" s="52"/>
      <c r="BG245" s="52"/>
      <c r="BH245" s="52"/>
      <c r="BI245" s="52"/>
      <c r="BJ245" s="52"/>
      <c r="BK245" s="52"/>
      <c r="BL245" s="52"/>
      <c r="BM245" s="52"/>
      <c r="BN245" s="52"/>
      <c r="BO245" s="52"/>
      <c r="BP245" s="52"/>
      <c r="BQ245" s="52"/>
      <c r="BR245" s="52"/>
      <c r="BS245" s="52"/>
      <c r="BT245" s="52"/>
      <c r="BU245" s="52"/>
      <c r="BV245" s="52"/>
    </row>
    <row r="246">
      <c r="AS246" s="52"/>
      <c r="AT246" s="52"/>
      <c r="AU246" s="52"/>
      <c r="AV246" s="52"/>
      <c r="AW246" s="52"/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  <c r="BP246" s="52"/>
      <c r="BQ246" s="52"/>
      <c r="BR246" s="52"/>
      <c r="BS246" s="52"/>
      <c r="BT246" s="52"/>
      <c r="BU246" s="52"/>
      <c r="BV246" s="52"/>
    </row>
    <row r="247"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/>
    </row>
    <row r="248"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  <c r="BS248" s="52"/>
      <c r="BT248" s="52"/>
      <c r="BU248" s="52"/>
      <c r="BV248" s="52"/>
    </row>
    <row r="249"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/>
    </row>
    <row r="250"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/>
    </row>
    <row r="251"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/>
    </row>
    <row r="252">
      <c r="AS252" s="52"/>
      <c r="AT252" s="52"/>
      <c r="AU252" s="52"/>
      <c r="AV252" s="52"/>
      <c r="AW252" s="52"/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  <c r="BP252" s="52"/>
      <c r="BQ252" s="52"/>
      <c r="BR252" s="52"/>
      <c r="BS252" s="52"/>
      <c r="BT252" s="52"/>
      <c r="BU252" s="52"/>
      <c r="BV252" s="52"/>
    </row>
    <row r="253"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/>
    </row>
    <row r="254"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/>
    </row>
    <row r="255">
      <c r="AS255" s="52"/>
      <c r="AT255" s="52"/>
      <c r="AU255" s="52"/>
      <c r="AV255" s="52"/>
      <c r="AW255" s="52"/>
      <c r="AX255" s="52"/>
      <c r="AY255" s="52"/>
      <c r="AZ255" s="52"/>
      <c r="BA255" s="52"/>
      <c r="BB255" s="52"/>
      <c r="BC255" s="52"/>
      <c r="BD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  <c r="BS255" s="52"/>
      <c r="BT255" s="52"/>
      <c r="BU255" s="52"/>
      <c r="BV255" s="52"/>
    </row>
    <row r="256"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/>
    </row>
    <row r="257"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2"/>
      <c r="BD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  <c r="BP257" s="52"/>
      <c r="BQ257" s="52"/>
      <c r="BR257" s="52"/>
      <c r="BS257" s="52"/>
      <c r="BT257" s="52"/>
      <c r="BU257" s="52"/>
      <c r="BV257" s="52"/>
    </row>
    <row r="258">
      <c r="AS258" s="52"/>
      <c r="AT258" s="52"/>
      <c r="AU258" s="52"/>
      <c r="AV258" s="52"/>
      <c r="AW258" s="52"/>
      <c r="AX258" s="52"/>
      <c r="AY258" s="52"/>
      <c r="AZ258" s="52"/>
      <c r="BA258" s="52"/>
      <c r="BB258" s="52"/>
      <c r="BC258" s="52"/>
      <c r="BD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  <c r="BP258" s="52"/>
      <c r="BQ258" s="52"/>
      <c r="BR258" s="52"/>
      <c r="BS258" s="52"/>
      <c r="BT258" s="52"/>
      <c r="BU258" s="52"/>
      <c r="BV258" s="52"/>
    </row>
    <row r="259">
      <c r="AS259" s="52"/>
      <c r="AT259" s="52"/>
      <c r="AU259" s="52"/>
      <c r="AV259" s="52"/>
      <c r="AW259" s="52"/>
      <c r="AX259" s="52"/>
      <c r="AY259" s="52"/>
      <c r="AZ259" s="52"/>
      <c r="BA259" s="52"/>
      <c r="BB259" s="52"/>
      <c r="BC259" s="52"/>
      <c r="BD259" s="52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  <c r="BO259" s="52"/>
      <c r="BP259" s="52"/>
      <c r="BQ259" s="52"/>
      <c r="BR259" s="52"/>
      <c r="BS259" s="52"/>
      <c r="BT259" s="52"/>
      <c r="BU259" s="52"/>
      <c r="BV259" s="52"/>
    </row>
    <row r="260">
      <c r="AS260" s="52"/>
      <c r="AT260" s="52"/>
      <c r="AU260" s="52"/>
      <c r="AV260" s="52"/>
      <c r="AW260" s="52"/>
      <c r="AX260" s="52"/>
      <c r="AY260" s="52"/>
      <c r="AZ260" s="52"/>
      <c r="BA260" s="52"/>
      <c r="BB260" s="52"/>
      <c r="BC260" s="52"/>
      <c r="BD260" s="52"/>
      <c r="BE260" s="52"/>
      <c r="BF260" s="52"/>
      <c r="BG260" s="52"/>
      <c r="BH260" s="52"/>
      <c r="BI260" s="52"/>
      <c r="BJ260" s="52"/>
      <c r="BK260" s="52"/>
      <c r="BL260" s="52"/>
      <c r="BM260" s="52"/>
      <c r="BN260" s="52"/>
      <c r="BO260" s="52"/>
      <c r="BP260" s="52"/>
      <c r="BQ260" s="52"/>
      <c r="BR260" s="52"/>
      <c r="BS260" s="52"/>
      <c r="BT260" s="52"/>
      <c r="BU260" s="52"/>
      <c r="BV260" s="52"/>
    </row>
    <row r="261">
      <c r="AS261" s="52"/>
      <c r="AT261" s="52"/>
      <c r="AU261" s="52"/>
      <c r="AV261" s="52"/>
      <c r="AW261" s="52"/>
      <c r="AX261" s="52"/>
      <c r="AY261" s="52"/>
      <c r="AZ261" s="52"/>
      <c r="BA261" s="52"/>
      <c r="BB261" s="52"/>
      <c r="BC261" s="52"/>
      <c r="BD261" s="52"/>
      <c r="BE261" s="52"/>
      <c r="BF261" s="52"/>
      <c r="BG261" s="52"/>
      <c r="BH261" s="52"/>
      <c r="BI261" s="52"/>
      <c r="BJ261" s="52"/>
      <c r="BK261" s="52"/>
      <c r="BL261" s="52"/>
      <c r="BM261" s="52"/>
      <c r="BN261" s="52"/>
      <c r="BO261" s="52"/>
      <c r="BP261" s="52"/>
      <c r="BQ261" s="52"/>
      <c r="BR261" s="52"/>
      <c r="BS261" s="52"/>
      <c r="BT261" s="52"/>
      <c r="BU261" s="52"/>
      <c r="BV261" s="52"/>
    </row>
    <row r="262">
      <c r="AS262" s="52"/>
      <c r="AT262" s="52"/>
      <c r="AU262" s="52"/>
      <c r="AV262" s="52"/>
      <c r="AW262" s="52"/>
      <c r="AX262" s="52"/>
      <c r="AY262" s="52"/>
      <c r="AZ262" s="52"/>
      <c r="BA262" s="52"/>
      <c r="BB262" s="52"/>
      <c r="BC262" s="52"/>
      <c r="BD262" s="52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  <c r="BO262" s="52"/>
      <c r="BP262" s="52"/>
      <c r="BQ262" s="52"/>
      <c r="BR262" s="52"/>
      <c r="BS262" s="52"/>
      <c r="BT262" s="52"/>
      <c r="BU262" s="52"/>
      <c r="BV262" s="52"/>
    </row>
    <row r="263">
      <c r="AS263" s="52"/>
      <c r="AT263" s="52"/>
      <c r="AU263" s="52"/>
      <c r="AV263" s="52"/>
      <c r="AW263" s="52"/>
      <c r="AX263" s="52"/>
      <c r="AY263" s="52"/>
      <c r="AZ263" s="52"/>
      <c r="BA263" s="52"/>
      <c r="BB263" s="52"/>
      <c r="BC263" s="52"/>
      <c r="BD263" s="52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  <c r="BO263" s="52"/>
      <c r="BP263" s="52"/>
      <c r="BQ263" s="52"/>
      <c r="BR263" s="52"/>
      <c r="BS263" s="52"/>
      <c r="BT263" s="52"/>
      <c r="BU263" s="52"/>
      <c r="BV263" s="52"/>
    </row>
    <row r="264">
      <c r="AS264" s="52"/>
      <c r="AT264" s="52"/>
      <c r="AU264" s="52"/>
      <c r="AV264" s="52"/>
      <c r="AW264" s="52"/>
      <c r="AX264" s="52"/>
      <c r="AY264" s="52"/>
      <c r="AZ264" s="52"/>
      <c r="BA264" s="52"/>
      <c r="BB264" s="52"/>
      <c r="BC264" s="52"/>
      <c r="BD264" s="52"/>
      <c r="BE264" s="52"/>
      <c r="BF264" s="52"/>
      <c r="BG264" s="52"/>
      <c r="BH264" s="52"/>
      <c r="BI264" s="52"/>
      <c r="BJ264" s="52"/>
      <c r="BK264" s="52"/>
      <c r="BL264" s="52"/>
      <c r="BM264" s="52"/>
      <c r="BN264" s="52"/>
      <c r="BO264" s="52"/>
      <c r="BP264" s="52"/>
      <c r="BQ264" s="52"/>
      <c r="BR264" s="52"/>
      <c r="BS264" s="52"/>
      <c r="BT264" s="52"/>
      <c r="BU264" s="52"/>
      <c r="BV264" s="52"/>
    </row>
    <row r="265">
      <c r="AS265" s="52"/>
      <c r="AT265" s="52"/>
      <c r="AU265" s="52"/>
      <c r="AV265" s="52"/>
      <c r="AW265" s="52"/>
      <c r="AX265" s="52"/>
      <c r="AY265" s="52"/>
      <c r="AZ265" s="52"/>
      <c r="BA265" s="52"/>
      <c r="BB265" s="52"/>
      <c r="BC265" s="52"/>
      <c r="BD265" s="52"/>
      <c r="BE265" s="52"/>
      <c r="BF265" s="52"/>
      <c r="BG265" s="52"/>
      <c r="BH265" s="52"/>
      <c r="BI265" s="52"/>
      <c r="BJ265" s="52"/>
      <c r="BK265" s="52"/>
      <c r="BL265" s="52"/>
      <c r="BM265" s="52"/>
      <c r="BN265" s="52"/>
      <c r="BO265" s="52"/>
      <c r="BP265" s="52"/>
      <c r="BQ265" s="52"/>
      <c r="BR265" s="52"/>
      <c r="BS265" s="52"/>
      <c r="BT265" s="52"/>
      <c r="BU265" s="52"/>
      <c r="BV265" s="52"/>
    </row>
    <row r="266">
      <c r="AS266" s="52"/>
      <c r="AT266" s="52"/>
      <c r="AU266" s="52"/>
      <c r="AV266" s="52"/>
      <c r="AW266" s="52"/>
      <c r="AX266" s="52"/>
      <c r="AY266" s="52"/>
      <c r="AZ266" s="52"/>
      <c r="BA266" s="52"/>
      <c r="BB266" s="52"/>
      <c r="BC266" s="52"/>
      <c r="BD266" s="52"/>
      <c r="BE266" s="52"/>
      <c r="BF266" s="52"/>
      <c r="BG266" s="52"/>
      <c r="BH266" s="52"/>
      <c r="BI266" s="52"/>
      <c r="BJ266" s="52"/>
      <c r="BK266" s="52"/>
      <c r="BL266" s="52"/>
      <c r="BM266" s="52"/>
      <c r="BN266" s="52"/>
      <c r="BO266" s="52"/>
      <c r="BP266" s="52"/>
      <c r="BQ266" s="52"/>
      <c r="BR266" s="52"/>
      <c r="BS266" s="52"/>
      <c r="BT266" s="52"/>
      <c r="BU266" s="52"/>
      <c r="BV266" s="52"/>
    </row>
    <row r="267">
      <c r="AS267" s="52"/>
      <c r="AT267" s="52"/>
      <c r="AU267" s="52"/>
      <c r="AV267" s="52"/>
      <c r="AW267" s="52"/>
      <c r="AX267" s="52"/>
      <c r="AY267" s="52"/>
      <c r="AZ267" s="52"/>
      <c r="BA267" s="52"/>
      <c r="BB267" s="52"/>
      <c r="BC267" s="52"/>
      <c r="BD267" s="52"/>
      <c r="BE267" s="52"/>
      <c r="BF267" s="52"/>
      <c r="BG267" s="52"/>
      <c r="BH267" s="52"/>
      <c r="BI267" s="52"/>
      <c r="BJ267" s="52"/>
      <c r="BK267" s="52"/>
      <c r="BL267" s="52"/>
      <c r="BM267" s="52"/>
      <c r="BN267" s="52"/>
      <c r="BO267" s="52"/>
      <c r="BP267" s="52"/>
      <c r="BQ267" s="52"/>
      <c r="BR267" s="52"/>
      <c r="BS267" s="52"/>
      <c r="BT267" s="52"/>
      <c r="BU267" s="52"/>
      <c r="BV267" s="52"/>
    </row>
    <row r="268">
      <c r="AS268" s="52"/>
      <c r="AT268" s="52"/>
      <c r="AU268" s="52"/>
      <c r="AV268" s="52"/>
      <c r="AW268" s="52"/>
      <c r="AX268" s="52"/>
      <c r="AY268" s="52"/>
      <c r="AZ268" s="52"/>
      <c r="BA268" s="52"/>
      <c r="BB268" s="52"/>
      <c r="BC268" s="52"/>
      <c r="BD268" s="52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  <c r="BO268" s="52"/>
      <c r="BP268" s="52"/>
      <c r="BQ268" s="52"/>
      <c r="BR268" s="52"/>
      <c r="BS268" s="52"/>
      <c r="BT268" s="52"/>
      <c r="BU268" s="52"/>
      <c r="BV268" s="52"/>
    </row>
    <row r="269">
      <c r="AS269" s="52"/>
      <c r="AT269" s="52"/>
      <c r="AU269" s="52"/>
      <c r="AV269" s="52"/>
      <c r="AW269" s="52"/>
      <c r="AX269" s="52"/>
      <c r="AY269" s="52"/>
      <c r="AZ269" s="52"/>
      <c r="BA269" s="52"/>
      <c r="BB269" s="52"/>
      <c r="BC269" s="52"/>
      <c r="BD269" s="52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  <c r="BO269" s="52"/>
      <c r="BP269" s="52"/>
      <c r="BQ269" s="52"/>
      <c r="BR269" s="52"/>
      <c r="BS269" s="52"/>
      <c r="BT269" s="52"/>
      <c r="BU269" s="52"/>
      <c r="BV269" s="52"/>
    </row>
    <row r="270">
      <c r="AS270" s="52"/>
      <c r="AT270" s="52"/>
      <c r="AU270" s="52"/>
      <c r="AV270" s="52"/>
      <c r="AW270" s="52"/>
      <c r="AX270" s="52"/>
      <c r="AY270" s="52"/>
      <c r="AZ270" s="52"/>
      <c r="BA270" s="52"/>
      <c r="BB270" s="52"/>
      <c r="BC270" s="52"/>
      <c r="BD270" s="52"/>
      <c r="BE270" s="52"/>
      <c r="BF270" s="52"/>
      <c r="BG270" s="52"/>
      <c r="BH270" s="52"/>
      <c r="BI270" s="52"/>
      <c r="BJ270" s="52"/>
      <c r="BK270" s="52"/>
      <c r="BL270" s="52"/>
      <c r="BM270" s="52"/>
      <c r="BN270" s="52"/>
      <c r="BO270" s="52"/>
      <c r="BP270" s="52"/>
      <c r="BQ270" s="52"/>
      <c r="BR270" s="52"/>
      <c r="BS270" s="52"/>
      <c r="BT270" s="52"/>
      <c r="BU270" s="52"/>
      <c r="BV270" s="52"/>
    </row>
    <row r="271">
      <c r="AS271" s="52"/>
      <c r="AT271" s="52"/>
      <c r="AU271" s="52"/>
      <c r="AV271" s="52"/>
      <c r="AW271" s="52"/>
      <c r="AX271" s="52"/>
      <c r="AY271" s="52"/>
      <c r="AZ271" s="52"/>
      <c r="BA271" s="52"/>
      <c r="BB271" s="52"/>
      <c r="BC271" s="52"/>
      <c r="BD271" s="52"/>
      <c r="BE271" s="52"/>
      <c r="BF271" s="52"/>
      <c r="BG271" s="52"/>
      <c r="BH271" s="52"/>
      <c r="BI271" s="52"/>
      <c r="BJ271" s="52"/>
      <c r="BK271" s="52"/>
      <c r="BL271" s="52"/>
      <c r="BM271" s="52"/>
      <c r="BN271" s="52"/>
      <c r="BO271" s="52"/>
      <c r="BP271" s="52"/>
      <c r="BQ271" s="52"/>
      <c r="BR271" s="52"/>
      <c r="BS271" s="52"/>
      <c r="BT271" s="52"/>
      <c r="BU271" s="52"/>
      <c r="BV271" s="52"/>
    </row>
    <row r="272">
      <c r="AS272" s="52"/>
      <c r="AT272" s="52"/>
      <c r="AU272" s="52"/>
      <c r="AV272" s="52"/>
      <c r="AW272" s="52"/>
      <c r="AX272" s="52"/>
      <c r="AY272" s="52"/>
      <c r="AZ272" s="52"/>
      <c r="BA272" s="52"/>
      <c r="BB272" s="52"/>
      <c r="BC272" s="52"/>
      <c r="BD272" s="52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  <c r="BO272" s="52"/>
      <c r="BP272" s="52"/>
      <c r="BQ272" s="52"/>
      <c r="BR272" s="52"/>
      <c r="BS272" s="52"/>
      <c r="BT272" s="52"/>
      <c r="BU272" s="52"/>
      <c r="BV272" s="52"/>
    </row>
    <row r="273">
      <c r="AS273" s="52"/>
      <c r="AT273" s="52"/>
      <c r="AU273" s="52"/>
      <c r="AV273" s="52"/>
      <c r="AW273" s="52"/>
      <c r="AX273" s="52"/>
      <c r="AY273" s="52"/>
      <c r="AZ273" s="52"/>
      <c r="BA273" s="52"/>
      <c r="BB273" s="52"/>
      <c r="BC273" s="52"/>
      <c r="BD273" s="52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  <c r="BO273" s="52"/>
      <c r="BP273" s="52"/>
      <c r="BQ273" s="52"/>
      <c r="BR273" s="52"/>
      <c r="BS273" s="52"/>
      <c r="BT273" s="52"/>
      <c r="BU273" s="52"/>
      <c r="BV273" s="52"/>
    </row>
    <row r="274">
      <c r="AS274" s="52"/>
      <c r="AT274" s="52"/>
      <c r="AU274" s="52"/>
      <c r="AV274" s="52"/>
      <c r="AW274" s="52"/>
      <c r="AX274" s="52"/>
      <c r="AY274" s="52"/>
      <c r="AZ274" s="52"/>
      <c r="BA274" s="52"/>
      <c r="BB274" s="52"/>
      <c r="BC274" s="52"/>
      <c r="BD274" s="52"/>
      <c r="BE274" s="52"/>
      <c r="BF274" s="52"/>
      <c r="BG274" s="52"/>
      <c r="BH274" s="52"/>
      <c r="BI274" s="52"/>
      <c r="BJ274" s="52"/>
      <c r="BK274" s="52"/>
      <c r="BL274" s="52"/>
      <c r="BM274" s="52"/>
      <c r="BN274" s="52"/>
      <c r="BO274" s="52"/>
      <c r="BP274" s="52"/>
      <c r="BQ274" s="52"/>
      <c r="BR274" s="52"/>
      <c r="BS274" s="52"/>
      <c r="BT274" s="52"/>
      <c r="BU274" s="52"/>
      <c r="BV274" s="52"/>
    </row>
    <row r="275">
      <c r="AS275" s="52"/>
      <c r="AT275" s="52"/>
      <c r="AU275" s="52"/>
      <c r="AV275" s="52"/>
      <c r="AW275" s="52"/>
      <c r="AX275" s="52"/>
      <c r="AY275" s="52"/>
      <c r="AZ275" s="52"/>
      <c r="BA275" s="52"/>
      <c r="BB275" s="52"/>
      <c r="BC275" s="52"/>
      <c r="BD275" s="52"/>
      <c r="BE275" s="52"/>
      <c r="BF275" s="52"/>
      <c r="BG275" s="52"/>
      <c r="BH275" s="52"/>
      <c r="BI275" s="52"/>
      <c r="BJ275" s="52"/>
      <c r="BK275" s="52"/>
      <c r="BL275" s="52"/>
      <c r="BM275" s="52"/>
      <c r="BN275" s="52"/>
      <c r="BO275" s="52"/>
      <c r="BP275" s="52"/>
      <c r="BQ275" s="52"/>
      <c r="BR275" s="52"/>
      <c r="BS275" s="52"/>
      <c r="BT275" s="52"/>
      <c r="BU275" s="52"/>
      <c r="BV275" s="52"/>
    </row>
    <row r="276">
      <c r="AS276" s="52"/>
      <c r="AT276" s="52"/>
      <c r="AU276" s="52"/>
      <c r="AV276" s="52"/>
      <c r="AW276" s="52"/>
      <c r="AX276" s="52"/>
      <c r="AY276" s="52"/>
      <c r="AZ276" s="52"/>
      <c r="BA276" s="52"/>
      <c r="BB276" s="52"/>
      <c r="BC276" s="52"/>
      <c r="BD276" s="52"/>
      <c r="BE276" s="52"/>
      <c r="BF276" s="52"/>
      <c r="BG276" s="52"/>
      <c r="BH276" s="52"/>
      <c r="BI276" s="52"/>
      <c r="BJ276" s="52"/>
      <c r="BK276" s="52"/>
      <c r="BL276" s="52"/>
      <c r="BM276" s="52"/>
      <c r="BN276" s="52"/>
      <c r="BO276" s="52"/>
      <c r="BP276" s="52"/>
      <c r="BQ276" s="52"/>
      <c r="BR276" s="52"/>
      <c r="BS276" s="52"/>
      <c r="BT276" s="52"/>
      <c r="BU276" s="52"/>
      <c r="BV276" s="52"/>
    </row>
    <row r="277">
      <c r="AS277" s="52"/>
      <c r="AT277" s="52"/>
      <c r="AU277" s="52"/>
      <c r="AV277" s="52"/>
      <c r="AW277" s="52"/>
      <c r="AX277" s="52"/>
      <c r="AY277" s="52"/>
      <c r="AZ277" s="52"/>
      <c r="BA277" s="52"/>
      <c r="BB277" s="52"/>
      <c r="BC277" s="52"/>
      <c r="BD277" s="52"/>
      <c r="BE277" s="52"/>
      <c r="BF277" s="52"/>
      <c r="BG277" s="52"/>
      <c r="BH277" s="52"/>
      <c r="BI277" s="52"/>
      <c r="BJ277" s="52"/>
      <c r="BK277" s="52"/>
      <c r="BL277" s="52"/>
      <c r="BM277" s="52"/>
      <c r="BN277" s="52"/>
      <c r="BO277" s="52"/>
      <c r="BP277" s="52"/>
      <c r="BQ277" s="52"/>
      <c r="BR277" s="52"/>
      <c r="BS277" s="52"/>
      <c r="BT277" s="52"/>
      <c r="BU277" s="52"/>
      <c r="BV277" s="52"/>
    </row>
    <row r="278">
      <c r="AS278" s="52"/>
      <c r="AT278" s="52"/>
      <c r="AU278" s="52"/>
      <c r="AV278" s="52"/>
      <c r="AW278" s="52"/>
      <c r="AX278" s="52"/>
      <c r="AY278" s="52"/>
      <c r="AZ278" s="52"/>
      <c r="BA278" s="52"/>
      <c r="BB278" s="52"/>
      <c r="BC278" s="52"/>
      <c r="BD278" s="52"/>
      <c r="BE278" s="52"/>
      <c r="BF278" s="52"/>
      <c r="BG278" s="52"/>
      <c r="BH278" s="52"/>
      <c r="BI278" s="52"/>
      <c r="BJ278" s="52"/>
      <c r="BK278" s="52"/>
      <c r="BL278" s="52"/>
      <c r="BM278" s="52"/>
      <c r="BN278" s="52"/>
      <c r="BO278" s="52"/>
      <c r="BP278" s="52"/>
      <c r="BQ278" s="52"/>
      <c r="BR278" s="52"/>
      <c r="BS278" s="52"/>
      <c r="BT278" s="52"/>
      <c r="BU278" s="52"/>
      <c r="BV278" s="52"/>
    </row>
    <row r="279">
      <c r="AS279" s="52"/>
      <c r="AT279" s="52"/>
      <c r="AU279" s="52"/>
      <c r="AV279" s="52"/>
      <c r="AW279" s="52"/>
      <c r="AX279" s="52"/>
      <c r="AY279" s="52"/>
      <c r="AZ279" s="52"/>
      <c r="BA279" s="52"/>
      <c r="BB279" s="52"/>
      <c r="BC279" s="52"/>
      <c r="BD279" s="52"/>
      <c r="BE279" s="52"/>
      <c r="BF279" s="52"/>
      <c r="BG279" s="52"/>
      <c r="BH279" s="52"/>
      <c r="BI279" s="52"/>
      <c r="BJ279" s="52"/>
      <c r="BK279" s="52"/>
      <c r="BL279" s="52"/>
      <c r="BM279" s="52"/>
      <c r="BN279" s="52"/>
      <c r="BO279" s="52"/>
      <c r="BP279" s="52"/>
      <c r="BQ279" s="52"/>
      <c r="BR279" s="52"/>
      <c r="BS279" s="52"/>
      <c r="BT279" s="52"/>
      <c r="BU279" s="52"/>
      <c r="BV279" s="52"/>
    </row>
    <row r="280">
      <c r="AS280" s="52"/>
      <c r="AT280" s="52"/>
      <c r="AU280" s="52"/>
      <c r="AV280" s="52"/>
      <c r="AW280" s="52"/>
      <c r="AX280" s="52"/>
      <c r="AY280" s="52"/>
      <c r="AZ280" s="52"/>
      <c r="BA280" s="52"/>
      <c r="BB280" s="52"/>
      <c r="BC280" s="52"/>
      <c r="BD280" s="52"/>
      <c r="BE280" s="52"/>
      <c r="BF280" s="52"/>
      <c r="BG280" s="52"/>
      <c r="BH280" s="52"/>
      <c r="BI280" s="52"/>
      <c r="BJ280" s="52"/>
      <c r="BK280" s="52"/>
      <c r="BL280" s="52"/>
      <c r="BM280" s="52"/>
      <c r="BN280" s="52"/>
      <c r="BO280" s="52"/>
      <c r="BP280" s="52"/>
      <c r="BQ280" s="52"/>
      <c r="BR280" s="52"/>
      <c r="BS280" s="52"/>
      <c r="BT280" s="52"/>
      <c r="BU280" s="52"/>
      <c r="BV280" s="52"/>
    </row>
    <row r="281">
      <c r="AS281" s="52"/>
      <c r="AT281" s="52"/>
      <c r="AU281" s="52"/>
      <c r="AV281" s="52"/>
      <c r="AW281" s="52"/>
      <c r="AX281" s="52"/>
      <c r="AY281" s="52"/>
      <c r="AZ281" s="52"/>
      <c r="BA281" s="52"/>
      <c r="BB281" s="52"/>
      <c r="BC281" s="52"/>
      <c r="BD281" s="52"/>
      <c r="BE281" s="52"/>
      <c r="BF281" s="52"/>
      <c r="BG281" s="52"/>
      <c r="BH281" s="52"/>
      <c r="BI281" s="52"/>
      <c r="BJ281" s="52"/>
      <c r="BK281" s="52"/>
      <c r="BL281" s="52"/>
      <c r="BM281" s="52"/>
      <c r="BN281" s="52"/>
      <c r="BO281" s="52"/>
      <c r="BP281" s="52"/>
      <c r="BQ281" s="52"/>
      <c r="BR281" s="52"/>
      <c r="BS281" s="52"/>
      <c r="BT281" s="52"/>
      <c r="BU281" s="52"/>
      <c r="BV281" s="52"/>
    </row>
    <row r="282">
      <c r="AS282" s="52"/>
      <c r="AT282" s="52"/>
      <c r="AU282" s="52"/>
      <c r="AV282" s="52"/>
      <c r="AW282" s="52"/>
      <c r="AX282" s="52"/>
      <c r="AY282" s="52"/>
      <c r="AZ282" s="52"/>
      <c r="BA282" s="52"/>
      <c r="BB282" s="52"/>
      <c r="BC282" s="52"/>
      <c r="BD282" s="52"/>
      <c r="BE282" s="52"/>
      <c r="BF282" s="52"/>
      <c r="BG282" s="52"/>
      <c r="BH282" s="52"/>
      <c r="BI282" s="52"/>
      <c r="BJ282" s="52"/>
      <c r="BK282" s="52"/>
      <c r="BL282" s="52"/>
      <c r="BM282" s="52"/>
      <c r="BN282" s="52"/>
      <c r="BO282" s="52"/>
      <c r="BP282" s="52"/>
      <c r="BQ282" s="52"/>
      <c r="BR282" s="52"/>
      <c r="BS282" s="52"/>
      <c r="BT282" s="52"/>
      <c r="BU282" s="52"/>
      <c r="BV282" s="52"/>
    </row>
    <row r="283">
      <c r="AS283" s="52"/>
      <c r="AT283" s="52"/>
      <c r="AU283" s="52"/>
      <c r="AV283" s="52"/>
      <c r="AW283" s="52"/>
      <c r="AX283" s="52"/>
      <c r="AY283" s="52"/>
      <c r="AZ283" s="52"/>
      <c r="BA283" s="52"/>
      <c r="BB283" s="52"/>
      <c r="BC283" s="52"/>
      <c r="BD283" s="52"/>
      <c r="BE283" s="52"/>
      <c r="BF283" s="52"/>
      <c r="BG283" s="52"/>
      <c r="BH283" s="52"/>
      <c r="BI283" s="52"/>
      <c r="BJ283" s="52"/>
      <c r="BK283" s="52"/>
      <c r="BL283" s="52"/>
      <c r="BM283" s="52"/>
      <c r="BN283" s="52"/>
      <c r="BO283" s="52"/>
      <c r="BP283" s="52"/>
      <c r="BQ283" s="52"/>
      <c r="BR283" s="52"/>
      <c r="BS283" s="52"/>
      <c r="BT283" s="52"/>
      <c r="BU283" s="52"/>
      <c r="BV283" s="52"/>
    </row>
    <row r="284">
      <c r="AS284" s="52"/>
      <c r="AT284" s="52"/>
      <c r="AU284" s="52"/>
      <c r="AV284" s="52"/>
      <c r="AW284" s="52"/>
      <c r="AX284" s="52"/>
      <c r="AY284" s="52"/>
      <c r="AZ284" s="52"/>
      <c r="BA284" s="52"/>
      <c r="BB284" s="52"/>
      <c r="BC284" s="52"/>
      <c r="BD284" s="52"/>
      <c r="BE284" s="52"/>
      <c r="BF284" s="52"/>
      <c r="BG284" s="52"/>
      <c r="BH284" s="52"/>
      <c r="BI284" s="52"/>
      <c r="BJ284" s="52"/>
      <c r="BK284" s="52"/>
      <c r="BL284" s="52"/>
      <c r="BM284" s="52"/>
      <c r="BN284" s="52"/>
      <c r="BO284" s="52"/>
      <c r="BP284" s="52"/>
      <c r="BQ284" s="52"/>
      <c r="BR284" s="52"/>
      <c r="BS284" s="52"/>
      <c r="BT284" s="52"/>
      <c r="BU284" s="52"/>
      <c r="BV284" s="52"/>
    </row>
    <row r="285">
      <c r="AS285" s="52"/>
      <c r="AT285" s="52"/>
      <c r="AU285" s="52"/>
      <c r="AV285" s="52"/>
      <c r="AW285" s="52"/>
      <c r="AX285" s="52"/>
      <c r="AY285" s="52"/>
      <c r="AZ285" s="52"/>
      <c r="BA285" s="52"/>
      <c r="BB285" s="52"/>
      <c r="BC285" s="52"/>
      <c r="BD285" s="52"/>
      <c r="BE285" s="52"/>
      <c r="BF285" s="52"/>
      <c r="BG285" s="52"/>
      <c r="BH285" s="52"/>
      <c r="BI285" s="52"/>
      <c r="BJ285" s="52"/>
      <c r="BK285" s="52"/>
      <c r="BL285" s="52"/>
      <c r="BM285" s="52"/>
      <c r="BN285" s="52"/>
      <c r="BO285" s="52"/>
      <c r="BP285" s="52"/>
      <c r="BQ285" s="52"/>
      <c r="BR285" s="52"/>
      <c r="BS285" s="52"/>
      <c r="BT285" s="52"/>
      <c r="BU285" s="52"/>
      <c r="BV285" s="52"/>
    </row>
    <row r="286">
      <c r="AS286" s="52"/>
      <c r="AT286" s="52"/>
      <c r="AU286" s="52"/>
      <c r="AV286" s="52"/>
      <c r="AW286" s="52"/>
      <c r="AX286" s="52"/>
      <c r="AY286" s="52"/>
      <c r="AZ286" s="52"/>
      <c r="BA286" s="52"/>
      <c r="BB286" s="52"/>
      <c r="BC286" s="52"/>
      <c r="BD286" s="52"/>
      <c r="BE286" s="52"/>
      <c r="BF286" s="52"/>
      <c r="BG286" s="52"/>
      <c r="BH286" s="52"/>
      <c r="BI286" s="52"/>
      <c r="BJ286" s="52"/>
      <c r="BK286" s="52"/>
      <c r="BL286" s="52"/>
      <c r="BM286" s="52"/>
      <c r="BN286" s="52"/>
      <c r="BO286" s="52"/>
      <c r="BP286" s="52"/>
      <c r="BQ286" s="52"/>
      <c r="BR286" s="52"/>
      <c r="BS286" s="52"/>
      <c r="BT286" s="52"/>
      <c r="BU286" s="52"/>
      <c r="BV286" s="52"/>
    </row>
    <row r="287">
      <c r="AS287" s="52"/>
      <c r="AT287" s="52"/>
      <c r="AU287" s="52"/>
      <c r="AV287" s="52"/>
      <c r="AW287" s="52"/>
      <c r="AX287" s="52"/>
      <c r="AY287" s="52"/>
      <c r="AZ287" s="52"/>
      <c r="BA287" s="52"/>
      <c r="BB287" s="52"/>
      <c r="BC287" s="52"/>
      <c r="BD287" s="52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  <c r="BO287" s="52"/>
      <c r="BP287" s="52"/>
      <c r="BQ287" s="52"/>
      <c r="BR287" s="52"/>
      <c r="BS287" s="52"/>
      <c r="BT287" s="52"/>
      <c r="BU287" s="52"/>
      <c r="BV287" s="52"/>
    </row>
    <row r="288">
      <c r="AS288" s="52"/>
      <c r="AT288" s="52"/>
      <c r="AU288" s="52"/>
      <c r="AV288" s="52"/>
      <c r="AW288" s="52"/>
      <c r="AX288" s="52"/>
      <c r="AY288" s="52"/>
      <c r="AZ288" s="52"/>
      <c r="BA288" s="52"/>
      <c r="BB288" s="52"/>
      <c r="BC288" s="52"/>
      <c r="BD288" s="52"/>
      <c r="BE288" s="52"/>
      <c r="BF288" s="52"/>
      <c r="BG288" s="52"/>
      <c r="BH288" s="52"/>
      <c r="BI288" s="52"/>
      <c r="BJ288" s="52"/>
      <c r="BK288" s="52"/>
      <c r="BL288" s="52"/>
      <c r="BM288" s="52"/>
      <c r="BN288" s="52"/>
      <c r="BO288" s="52"/>
      <c r="BP288" s="52"/>
      <c r="BQ288" s="52"/>
      <c r="BR288" s="52"/>
      <c r="BS288" s="52"/>
      <c r="BT288" s="52"/>
      <c r="BU288" s="52"/>
      <c r="BV288" s="52"/>
    </row>
    <row r="289">
      <c r="AS289" s="52"/>
      <c r="AT289" s="52"/>
      <c r="AU289" s="52"/>
      <c r="AV289" s="52"/>
      <c r="AW289" s="52"/>
      <c r="AX289" s="52"/>
      <c r="AY289" s="52"/>
      <c r="AZ289" s="52"/>
      <c r="BA289" s="52"/>
      <c r="BB289" s="52"/>
      <c r="BC289" s="52"/>
      <c r="BD289" s="52"/>
      <c r="BE289" s="52"/>
      <c r="BF289" s="52"/>
      <c r="BG289" s="52"/>
      <c r="BH289" s="52"/>
      <c r="BI289" s="52"/>
      <c r="BJ289" s="52"/>
      <c r="BK289" s="52"/>
      <c r="BL289" s="52"/>
      <c r="BM289" s="52"/>
      <c r="BN289" s="52"/>
      <c r="BO289" s="52"/>
      <c r="BP289" s="52"/>
      <c r="BQ289" s="52"/>
      <c r="BR289" s="52"/>
      <c r="BS289" s="52"/>
      <c r="BT289" s="52"/>
      <c r="BU289" s="52"/>
      <c r="BV289" s="52"/>
    </row>
    <row r="290">
      <c r="AS290" s="52"/>
      <c r="AT290" s="52"/>
      <c r="AU290" s="52"/>
      <c r="AV290" s="52"/>
      <c r="AW290" s="52"/>
      <c r="AX290" s="52"/>
      <c r="AY290" s="52"/>
      <c r="AZ290" s="52"/>
      <c r="BA290" s="52"/>
      <c r="BB290" s="52"/>
      <c r="BC290" s="52"/>
      <c r="BD290" s="52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  <c r="BO290" s="52"/>
      <c r="BP290" s="52"/>
      <c r="BQ290" s="52"/>
      <c r="BR290" s="52"/>
      <c r="BS290" s="52"/>
      <c r="BT290" s="52"/>
      <c r="BU290" s="52"/>
      <c r="BV290" s="52"/>
    </row>
    <row r="291">
      <c r="AS291" s="52"/>
      <c r="AT291" s="52"/>
      <c r="AU291" s="52"/>
      <c r="AV291" s="52"/>
      <c r="AW291" s="52"/>
      <c r="AX291" s="52"/>
      <c r="AY291" s="52"/>
      <c r="AZ291" s="52"/>
      <c r="BA291" s="52"/>
      <c r="BB291" s="52"/>
      <c r="BC291" s="52"/>
      <c r="BD291" s="52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  <c r="BO291" s="52"/>
      <c r="BP291" s="52"/>
      <c r="BQ291" s="52"/>
      <c r="BR291" s="52"/>
      <c r="BS291" s="52"/>
      <c r="BT291" s="52"/>
      <c r="BU291" s="52"/>
      <c r="BV291" s="52"/>
    </row>
    <row r="292">
      <c r="AS292" s="52"/>
      <c r="AT292" s="52"/>
      <c r="AU292" s="52"/>
      <c r="AV292" s="52"/>
      <c r="AW292" s="52"/>
      <c r="AX292" s="52"/>
      <c r="AY292" s="52"/>
      <c r="AZ292" s="52"/>
      <c r="BA292" s="52"/>
      <c r="BB292" s="52"/>
      <c r="BC292" s="52"/>
      <c r="BD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  <c r="BP292" s="52"/>
      <c r="BQ292" s="52"/>
      <c r="BR292" s="52"/>
      <c r="BS292" s="52"/>
      <c r="BT292" s="52"/>
      <c r="BU292" s="52"/>
      <c r="BV292" s="52"/>
    </row>
    <row r="293">
      <c r="AS293" s="52"/>
      <c r="AT293" s="52"/>
      <c r="AU293" s="52"/>
      <c r="AV293" s="52"/>
      <c r="AW293" s="52"/>
      <c r="AX293" s="52"/>
      <c r="AY293" s="52"/>
      <c r="AZ293" s="52"/>
      <c r="BA293" s="52"/>
      <c r="BB293" s="52"/>
      <c r="BC293" s="52"/>
      <c r="BD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  <c r="BP293" s="52"/>
      <c r="BQ293" s="52"/>
      <c r="BR293" s="52"/>
      <c r="BS293" s="52"/>
      <c r="BT293" s="52"/>
      <c r="BU293" s="52"/>
      <c r="BV293" s="52"/>
    </row>
    <row r="294">
      <c r="AS294" s="52"/>
      <c r="AT294" s="52"/>
      <c r="AU294" s="52"/>
      <c r="AV294" s="52"/>
      <c r="AW294" s="52"/>
      <c r="AX294" s="52"/>
      <c r="AY294" s="52"/>
      <c r="AZ294" s="52"/>
      <c r="BA294" s="52"/>
      <c r="BB294" s="52"/>
      <c r="BC294" s="52"/>
      <c r="BD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  <c r="BP294" s="52"/>
      <c r="BQ294" s="52"/>
      <c r="BR294" s="52"/>
      <c r="BS294" s="52"/>
      <c r="BT294" s="52"/>
      <c r="BU294" s="52"/>
      <c r="BV294" s="52"/>
    </row>
    <row r="295">
      <c r="AS295" s="52"/>
      <c r="AT295" s="52"/>
      <c r="AU295" s="52"/>
      <c r="AV295" s="52"/>
      <c r="AW295" s="52"/>
      <c r="AX295" s="52"/>
      <c r="AY295" s="52"/>
      <c r="AZ295" s="52"/>
      <c r="BA295" s="52"/>
      <c r="BB295" s="52"/>
      <c r="BC295" s="52"/>
      <c r="BD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  <c r="BP295" s="52"/>
      <c r="BQ295" s="52"/>
      <c r="BR295" s="52"/>
      <c r="BS295" s="52"/>
      <c r="BT295" s="52"/>
      <c r="BU295" s="52"/>
      <c r="BV295" s="52"/>
    </row>
    <row r="296">
      <c r="AS296" s="52"/>
      <c r="AT296" s="52"/>
      <c r="AU296" s="52"/>
      <c r="AV296" s="52"/>
      <c r="AW296" s="52"/>
      <c r="AX296" s="52"/>
      <c r="AY296" s="52"/>
      <c r="AZ296" s="52"/>
      <c r="BA296" s="52"/>
      <c r="BB296" s="52"/>
      <c r="BC296" s="52"/>
      <c r="BD296" s="52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  <c r="BO296" s="52"/>
      <c r="BP296" s="52"/>
      <c r="BQ296" s="52"/>
      <c r="BR296" s="52"/>
      <c r="BS296" s="52"/>
      <c r="BT296" s="52"/>
      <c r="BU296" s="52"/>
      <c r="BV296" s="52"/>
    </row>
    <row r="297">
      <c r="AS297" s="52"/>
      <c r="AT297" s="52"/>
      <c r="AU297" s="52"/>
      <c r="AV297" s="52"/>
      <c r="AW297" s="52"/>
      <c r="AX297" s="52"/>
      <c r="AY297" s="52"/>
      <c r="AZ297" s="52"/>
      <c r="BA297" s="52"/>
      <c r="BB297" s="52"/>
      <c r="BC297" s="52"/>
      <c r="BD297" s="52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  <c r="BO297" s="52"/>
      <c r="BP297" s="52"/>
      <c r="BQ297" s="52"/>
      <c r="BR297" s="52"/>
      <c r="BS297" s="52"/>
      <c r="BT297" s="52"/>
      <c r="BU297" s="52"/>
      <c r="BV297" s="52"/>
    </row>
    <row r="298">
      <c r="AS298" s="52"/>
      <c r="AT298" s="52"/>
      <c r="AU298" s="52"/>
      <c r="AV298" s="52"/>
      <c r="AW298" s="52"/>
      <c r="AX298" s="52"/>
      <c r="AY298" s="52"/>
      <c r="AZ298" s="52"/>
      <c r="BA298" s="52"/>
      <c r="BB298" s="52"/>
      <c r="BC298" s="52"/>
      <c r="BD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  <c r="BO298" s="52"/>
      <c r="BP298" s="52"/>
      <c r="BQ298" s="52"/>
      <c r="BR298" s="52"/>
      <c r="BS298" s="52"/>
      <c r="BT298" s="52"/>
      <c r="BU298" s="52"/>
      <c r="BV298" s="52"/>
    </row>
    <row r="299">
      <c r="AS299" s="52"/>
      <c r="AT299" s="52"/>
      <c r="AU299" s="52"/>
      <c r="AV299" s="52"/>
      <c r="AW299" s="52"/>
      <c r="AX299" s="52"/>
      <c r="AY299" s="52"/>
      <c r="AZ299" s="52"/>
      <c r="BA299" s="52"/>
      <c r="BB299" s="52"/>
      <c r="BC299" s="52"/>
      <c r="BD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  <c r="BO299" s="52"/>
      <c r="BP299" s="52"/>
      <c r="BQ299" s="52"/>
      <c r="BR299" s="52"/>
      <c r="BS299" s="52"/>
      <c r="BT299" s="52"/>
      <c r="BU299" s="52"/>
      <c r="BV299" s="52"/>
    </row>
    <row r="300">
      <c r="AS300" s="52"/>
      <c r="AT300" s="52"/>
      <c r="AU300" s="52"/>
      <c r="AV300" s="52"/>
      <c r="AW300" s="52"/>
      <c r="AX300" s="52"/>
      <c r="AY300" s="52"/>
      <c r="AZ300" s="52"/>
      <c r="BA300" s="52"/>
      <c r="BB300" s="52"/>
      <c r="BC300" s="52"/>
      <c r="BD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  <c r="BO300" s="52"/>
      <c r="BP300" s="52"/>
      <c r="BQ300" s="52"/>
      <c r="BR300" s="52"/>
      <c r="BS300" s="52"/>
      <c r="BT300" s="52"/>
      <c r="BU300" s="52"/>
      <c r="BV300" s="52"/>
    </row>
    <row r="301">
      <c r="AS301" s="52"/>
      <c r="AT301" s="52"/>
      <c r="AU301" s="52"/>
      <c r="AV301" s="52"/>
      <c r="AW301" s="52"/>
      <c r="AX301" s="52"/>
      <c r="AY301" s="52"/>
      <c r="AZ301" s="52"/>
      <c r="BA301" s="52"/>
      <c r="BB301" s="52"/>
      <c r="BC301" s="52"/>
      <c r="BD301" s="52"/>
      <c r="BE301" s="52"/>
      <c r="BF301" s="52"/>
      <c r="BG301" s="52"/>
      <c r="BH301" s="52"/>
      <c r="BI301" s="52"/>
      <c r="BJ301" s="52"/>
      <c r="BK301" s="52"/>
      <c r="BL301" s="52"/>
      <c r="BM301" s="52"/>
      <c r="BN301" s="52"/>
      <c r="BO301" s="52"/>
      <c r="BP301" s="52"/>
      <c r="BQ301" s="52"/>
      <c r="BR301" s="52"/>
      <c r="BS301" s="52"/>
      <c r="BT301" s="52"/>
      <c r="BU301" s="52"/>
      <c r="BV301" s="52"/>
    </row>
    <row r="302">
      <c r="AS302" s="52"/>
      <c r="AT302" s="52"/>
      <c r="AU302" s="52"/>
      <c r="AV302" s="52"/>
      <c r="AW302" s="52"/>
      <c r="AX302" s="52"/>
      <c r="AY302" s="52"/>
      <c r="AZ302" s="52"/>
      <c r="BA302" s="52"/>
      <c r="BB302" s="52"/>
      <c r="BC302" s="52"/>
      <c r="BD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  <c r="BO302" s="52"/>
      <c r="BP302" s="52"/>
      <c r="BQ302" s="52"/>
      <c r="BR302" s="52"/>
      <c r="BS302" s="52"/>
      <c r="BT302" s="52"/>
      <c r="BU302" s="52"/>
      <c r="BV302" s="52"/>
    </row>
    <row r="303">
      <c r="AS303" s="52"/>
      <c r="AT303" s="52"/>
      <c r="AU303" s="52"/>
      <c r="AV303" s="52"/>
      <c r="AW303" s="52"/>
      <c r="AX303" s="52"/>
      <c r="AY303" s="52"/>
      <c r="AZ303" s="52"/>
      <c r="BA303" s="52"/>
      <c r="BB303" s="52"/>
      <c r="BC303" s="52"/>
      <c r="BD303" s="52"/>
      <c r="BE303" s="52"/>
      <c r="BF303" s="52"/>
      <c r="BG303" s="52"/>
      <c r="BH303" s="52"/>
      <c r="BI303" s="52"/>
      <c r="BJ303" s="52"/>
      <c r="BK303" s="52"/>
      <c r="BL303" s="52"/>
      <c r="BM303" s="52"/>
      <c r="BN303" s="52"/>
      <c r="BO303" s="52"/>
      <c r="BP303" s="52"/>
      <c r="BQ303" s="52"/>
      <c r="BR303" s="52"/>
      <c r="BS303" s="52"/>
      <c r="BT303" s="52"/>
      <c r="BU303" s="52"/>
      <c r="BV303" s="52"/>
    </row>
    <row r="304">
      <c r="AS304" s="52"/>
      <c r="AT304" s="52"/>
      <c r="AU304" s="52"/>
      <c r="AV304" s="52"/>
      <c r="AW304" s="52"/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  <c r="BO304" s="52"/>
      <c r="BP304" s="52"/>
      <c r="BQ304" s="52"/>
      <c r="BR304" s="52"/>
      <c r="BS304" s="52"/>
      <c r="BT304" s="52"/>
      <c r="BU304" s="52"/>
      <c r="BV304" s="52"/>
    </row>
    <row r="305">
      <c r="AS305" s="52"/>
      <c r="AT305" s="52"/>
      <c r="AU305" s="52"/>
      <c r="AV305" s="52"/>
      <c r="AW305" s="52"/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  <c r="BH305" s="52"/>
      <c r="BI305" s="52"/>
      <c r="BJ305" s="52"/>
      <c r="BK305" s="52"/>
      <c r="BL305" s="52"/>
      <c r="BM305" s="52"/>
      <c r="BN305" s="52"/>
      <c r="BO305" s="52"/>
      <c r="BP305" s="52"/>
      <c r="BQ305" s="52"/>
      <c r="BR305" s="52"/>
      <c r="BS305" s="52"/>
      <c r="BT305" s="52"/>
      <c r="BU305" s="52"/>
      <c r="BV305" s="52"/>
    </row>
    <row r="306">
      <c r="AS306" s="52"/>
      <c r="AT306" s="52"/>
      <c r="AU306" s="52"/>
      <c r="AV306" s="52"/>
      <c r="AW306" s="52"/>
      <c r="AX306" s="52"/>
      <c r="AY306" s="52"/>
      <c r="AZ306" s="52"/>
      <c r="BA306" s="52"/>
      <c r="BB306" s="52"/>
      <c r="BC306" s="52"/>
      <c r="BD306" s="52"/>
      <c r="BE306" s="52"/>
      <c r="BF306" s="52"/>
      <c r="BG306" s="52"/>
      <c r="BH306" s="52"/>
      <c r="BI306" s="52"/>
      <c r="BJ306" s="52"/>
      <c r="BK306" s="52"/>
      <c r="BL306" s="52"/>
      <c r="BM306" s="52"/>
      <c r="BN306" s="52"/>
      <c r="BO306" s="52"/>
      <c r="BP306" s="52"/>
      <c r="BQ306" s="52"/>
      <c r="BR306" s="52"/>
      <c r="BS306" s="52"/>
      <c r="BT306" s="52"/>
      <c r="BU306" s="52"/>
      <c r="BV306" s="52"/>
    </row>
    <row r="307">
      <c r="AS307" s="52"/>
      <c r="AT307" s="52"/>
      <c r="AU307" s="52"/>
      <c r="AV307" s="52"/>
      <c r="AW307" s="52"/>
      <c r="AX307" s="52"/>
      <c r="AY307" s="52"/>
      <c r="AZ307" s="52"/>
      <c r="BA307" s="52"/>
      <c r="BB307" s="52"/>
      <c r="BC307" s="52"/>
      <c r="BD307" s="52"/>
      <c r="BE307" s="52"/>
      <c r="BF307" s="52"/>
      <c r="BG307" s="52"/>
      <c r="BH307" s="52"/>
      <c r="BI307" s="52"/>
      <c r="BJ307" s="52"/>
      <c r="BK307" s="52"/>
      <c r="BL307" s="52"/>
      <c r="BM307" s="52"/>
      <c r="BN307" s="52"/>
      <c r="BO307" s="52"/>
      <c r="BP307" s="52"/>
      <c r="BQ307" s="52"/>
      <c r="BR307" s="52"/>
      <c r="BS307" s="52"/>
      <c r="BT307" s="52"/>
      <c r="BU307" s="52"/>
      <c r="BV307" s="52"/>
    </row>
    <row r="308">
      <c r="AS308" s="52"/>
      <c r="AT308" s="52"/>
      <c r="AU308" s="52"/>
      <c r="AV308" s="52"/>
      <c r="AW308" s="52"/>
      <c r="AX308" s="52"/>
      <c r="AY308" s="52"/>
      <c r="AZ308" s="52"/>
      <c r="BA308" s="52"/>
      <c r="BB308" s="52"/>
      <c r="BC308" s="52"/>
      <c r="BD308" s="52"/>
      <c r="BE308" s="52"/>
      <c r="BF308" s="52"/>
      <c r="BG308" s="52"/>
      <c r="BH308" s="52"/>
      <c r="BI308" s="52"/>
      <c r="BJ308" s="52"/>
      <c r="BK308" s="52"/>
      <c r="BL308" s="52"/>
      <c r="BM308" s="52"/>
      <c r="BN308" s="52"/>
      <c r="BO308" s="52"/>
      <c r="BP308" s="52"/>
      <c r="BQ308" s="52"/>
      <c r="BR308" s="52"/>
      <c r="BS308" s="52"/>
      <c r="BT308" s="52"/>
      <c r="BU308" s="52"/>
      <c r="BV308" s="52"/>
    </row>
    <row r="309">
      <c r="AS309" s="52"/>
      <c r="AT309" s="52"/>
      <c r="AU309" s="52"/>
      <c r="AV309" s="52"/>
      <c r="AW309" s="52"/>
      <c r="AX309" s="52"/>
      <c r="AY309" s="52"/>
      <c r="AZ309" s="52"/>
      <c r="BA309" s="52"/>
      <c r="BB309" s="52"/>
      <c r="BC309" s="52"/>
      <c r="BD309" s="52"/>
      <c r="BE309" s="52"/>
      <c r="BF309" s="52"/>
      <c r="BG309" s="52"/>
      <c r="BH309" s="52"/>
      <c r="BI309" s="52"/>
      <c r="BJ309" s="52"/>
      <c r="BK309" s="52"/>
      <c r="BL309" s="52"/>
      <c r="BM309" s="52"/>
      <c r="BN309" s="52"/>
      <c r="BO309" s="52"/>
      <c r="BP309" s="52"/>
      <c r="BQ309" s="52"/>
      <c r="BR309" s="52"/>
      <c r="BS309" s="52"/>
      <c r="BT309" s="52"/>
      <c r="BU309" s="52"/>
      <c r="BV309" s="52"/>
    </row>
    <row r="310">
      <c r="AS310" s="52"/>
      <c r="AT310" s="52"/>
      <c r="AU310" s="52"/>
      <c r="AV310" s="52"/>
      <c r="AW310" s="52"/>
      <c r="AX310" s="52"/>
      <c r="AY310" s="52"/>
      <c r="AZ310" s="52"/>
      <c r="BA310" s="52"/>
      <c r="BB310" s="52"/>
      <c r="BC310" s="52"/>
      <c r="BD310" s="52"/>
      <c r="BE310" s="52"/>
      <c r="BF310" s="52"/>
      <c r="BG310" s="52"/>
      <c r="BH310" s="52"/>
      <c r="BI310" s="52"/>
      <c r="BJ310" s="52"/>
      <c r="BK310" s="52"/>
      <c r="BL310" s="52"/>
      <c r="BM310" s="52"/>
      <c r="BN310" s="52"/>
      <c r="BO310" s="52"/>
      <c r="BP310" s="52"/>
      <c r="BQ310" s="52"/>
      <c r="BR310" s="52"/>
      <c r="BS310" s="52"/>
      <c r="BT310" s="52"/>
      <c r="BU310" s="52"/>
      <c r="BV310" s="52"/>
    </row>
    <row r="311">
      <c r="AS311" s="52"/>
      <c r="AT311" s="52"/>
      <c r="AU311" s="52"/>
      <c r="AV311" s="52"/>
      <c r="AW311" s="52"/>
      <c r="AX311" s="52"/>
      <c r="AY311" s="52"/>
      <c r="AZ311" s="52"/>
      <c r="BA311" s="52"/>
      <c r="BB311" s="52"/>
      <c r="BC311" s="52"/>
      <c r="BD311" s="52"/>
      <c r="BE311" s="52"/>
      <c r="BF311" s="52"/>
      <c r="BG311" s="52"/>
      <c r="BH311" s="52"/>
      <c r="BI311" s="52"/>
      <c r="BJ311" s="52"/>
      <c r="BK311" s="52"/>
      <c r="BL311" s="52"/>
      <c r="BM311" s="52"/>
      <c r="BN311" s="52"/>
      <c r="BO311" s="52"/>
      <c r="BP311" s="52"/>
      <c r="BQ311" s="52"/>
      <c r="BR311" s="52"/>
      <c r="BS311" s="52"/>
      <c r="BT311" s="52"/>
      <c r="BU311" s="52"/>
      <c r="BV311" s="52"/>
    </row>
    <row r="312">
      <c r="AS312" s="52"/>
      <c r="AT312" s="52"/>
      <c r="AU312" s="52"/>
      <c r="AV312" s="52"/>
      <c r="AW312" s="52"/>
      <c r="AX312" s="52"/>
      <c r="AY312" s="52"/>
      <c r="AZ312" s="52"/>
      <c r="BA312" s="52"/>
      <c r="BB312" s="52"/>
      <c r="BC312" s="52"/>
      <c r="BD312" s="52"/>
      <c r="BE312" s="52"/>
      <c r="BF312" s="52"/>
      <c r="BG312" s="52"/>
      <c r="BH312" s="52"/>
      <c r="BI312" s="52"/>
      <c r="BJ312" s="52"/>
      <c r="BK312" s="52"/>
      <c r="BL312" s="52"/>
      <c r="BM312" s="52"/>
      <c r="BN312" s="52"/>
      <c r="BO312" s="52"/>
      <c r="BP312" s="52"/>
      <c r="BQ312" s="52"/>
      <c r="BR312" s="52"/>
      <c r="BS312" s="52"/>
      <c r="BT312" s="52"/>
      <c r="BU312" s="52"/>
      <c r="BV312" s="52"/>
    </row>
    <row r="313">
      <c r="AS313" s="52"/>
      <c r="AT313" s="52"/>
      <c r="AU313" s="52"/>
      <c r="AV313" s="52"/>
      <c r="AW313" s="52"/>
      <c r="AX313" s="52"/>
      <c r="AY313" s="52"/>
      <c r="AZ313" s="52"/>
      <c r="BA313" s="52"/>
      <c r="BB313" s="52"/>
      <c r="BC313" s="52"/>
      <c r="BD313" s="52"/>
      <c r="BE313" s="52"/>
      <c r="BF313" s="52"/>
      <c r="BG313" s="52"/>
      <c r="BH313" s="52"/>
      <c r="BI313" s="52"/>
      <c r="BJ313" s="52"/>
      <c r="BK313" s="52"/>
      <c r="BL313" s="52"/>
      <c r="BM313" s="52"/>
      <c r="BN313" s="52"/>
      <c r="BO313" s="52"/>
      <c r="BP313" s="52"/>
      <c r="BQ313" s="52"/>
      <c r="BR313" s="52"/>
      <c r="BS313" s="52"/>
      <c r="BT313" s="52"/>
      <c r="BU313" s="52"/>
      <c r="BV313" s="52"/>
    </row>
    <row r="314">
      <c r="AS314" s="52"/>
      <c r="AT314" s="52"/>
      <c r="AU314" s="52"/>
      <c r="AV314" s="52"/>
      <c r="AW314" s="52"/>
      <c r="AX314" s="52"/>
      <c r="AY314" s="52"/>
      <c r="AZ314" s="52"/>
      <c r="BA314" s="52"/>
      <c r="BB314" s="52"/>
      <c r="BC314" s="52"/>
      <c r="BD314" s="52"/>
      <c r="BE314" s="52"/>
      <c r="BF314" s="52"/>
      <c r="BG314" s="52"/>
      <c r="BH314" s="52"/>
      <c r="BI314" s="52"/>
      <c r="BJ314" s="52"/>
      <c r="BK314" s="52"/>
      <c r="BL314" s="52"/>
      <c r="BM314" s="52"/>
      <c r="BN314" s="52"/>
      <c r="BO314" s="52"/>
      <c r="BP314" s="52"/>
      <c r="BQ314" s="52"/>
      <c r="BR314" s="52"/>
      <c r="BS314" s="52"/>
      <c r="BT314" s="52"/>
      <c r="BU314" s="52"/>
      <c r="BV314" s="52"/>
    </row>
    <row r="315">
      <c r="AS315" s="52"/>
      <c r="AT315" s="52"/>
      <c r="AU315" s="52"/>
      <c r="AV315" s="52"/>
      <c r="AW315" s="52"/>
      <c r="AX315" s="52"/>
      <c r="AY315" s="52"/>
      <c r="AZ315" s="52"/>
      <c r="BA315" s="52"/>
      <c r="BB315" s="52"/>
      <c r="BC315" s="52"/>
      <c r="BD315" s="52"/>
      <c r="BE315" s="52"/>
      <c r="BF315" s="52"/>
      <c r="BG315" s="52"/>
      <c r="BH315" s="52"/>
      <c r="BI315" s="52"/>
      <c r="BJ315" s="52"/>
      <c r="BK315" s="52"/>
      <c r="BL315" s="52"/>
      <c r="BM315" s="52"/>
      <c r="BN315" s="52"/>
      <c r="BO315" s="52"/>
      <c r="BP315" s="52"/>
      <c r="BQ315" s="52"/>
      <c r="BR315" s="52"/>
      <c r="BS315" s="52"/>
      <c r="BT315" s="52"/>
      <c r="BU315" s="52"/>
      <c r="BV315" s="52"/>
    </row>
    <row r="316">
      <c r="AS316" s="52"/>
      <c r="AT316" s="52"/>
      <c r="AU316" s="52"/>
      <c r="AV316" s="52"/>
      <c r="AW316" s="52"/>
      <c r="AX316" s="52"/>
      <c r="AY316" s="52"/>
      <c r="AZ316" s="52"/>
      <c r="BA316" s="52"/>
      <c r="BB316" s="52"/>
      <c r="BC316" s="52"/>
      <c r="BD316" s="52"/>
      <c r="BE316" s="52"/>
      <c r="BF316" s="52"/>
      <c r="BG316" s="52"/>
      <c r="BH316" s="52"/>
      <c r="BI316" s="52"/>
      <c r="BJ316" s="52"/>
      <c r="BK316" s="52"/>
      <c r="BL316" s="52"/>
      <c r="BM316" s="52"/>
      <c r="BN316" s="52"/>
      <c r="BO316" s="52"/>
      <c r="BP316" s="52"/>
      <c r="BQ316" s="52"/>
      <c r="BR316" s="52"/>
      <c r="BS316" s="52"/>
      <c r="BT316" s="52"/>
      <c r="BU316" s="52"/>
      <c r="BV316" s="52"/>
    </row>
    <row r="317">
      <c r="AS317" s="52"/>
      <c r="AT317" s="52"/>
      <c r="AU317" s="52"/>
      <c r="AV317" s="52"/>
      <c r="AW317" s="52"/>
      <c r="AX317" s="52"/>
      <c r="AY317" s="52"/>
      <c r="AZ317" s="52"/>
      <c r="BA317" s="52"/>
      <c r="BB317" s="52"/>
      <c r="BC317" s="52"/>
      <c r="BD317" s="52"/>
      <c r="BE317" s="52"/>
      <c r="BF317" s="52"/>
      <c r="BG317" s="52"/>
      <c r="BH317" s="52"/>
      <c r="BI317" s="52"/>
      <c r="BJ317" s="52"/>
      <c r="BK317" s="52"/>
      <c r="BL317" s="52"/>
      <c r="BM317" s="52"/>
      <c r="BN317" s="52"/>
      <c r="BO317" s="52"/>
      <c r="BP317" s="52"/>
      <c r="BQ317" s="52"/>
      <c r="BR317" s="52"/>
      <c r="BS317" s="52"/>
      <c r="BT317" s="52"/>
      <c r="BU317" s="52"/>
      <c r="BV317" s="52"/>
    </row>
    <row r="318">
      <c r="AS318" s="52"/>
      <c r="AT318" s="52"/>
      <c r="AU318" s="52"/>
      <c r="AV318" s="52"/>
      <c r="AW318" s="52"/>
      <c r="AX318" s="52"/>
      <c r="AY318" s="52"/>
      <c r="AZ318" s="52"/>
      <c r="BA318" s="52"/>
      <c r="BB318" s="52"/>
      <c r="BC318" s="52"/>
      <c r="BD318" s="52"/>
      <c r="BE318" s="52"/>
      <c r="BF318" s="52"/>
      <c r="BG318" s="52"/>
      <c r="BH318" s="52"/>
      <c r="BI318" s="52"/>
      <c r="BJ318" s="52"/>
      <c r="BK318" s="52"/>
      <c r="BL318" s="52"/>
      <c r="BM318" s="52"/>
      <c r="BN318" s="52"/>
      <c r="BO318" s="52"/>
      <c r="BP318" s="52"/>
      <c r="BQ318" s="52"/>
      <c r="BR318" s="52"/>
      <c r="BS318" s="52"/>
      <c r="BT318" s="52"/>
      <c r="BU318" s="52"/>
      <c r="BV318" s="52"/>
    </row>
    <row r="319">
      <c r="AS319" s="52"/>
      <c r="AT319" s="52"/>
      <c r="AU319" s="52"/>
      <c r="AV319" s="52"/>
      <c r="AW319" s="52"/>
      <c r="AX319" s="52"/>
      <c r="AY319" s="52"/>
      <c r="AZ319" s="52"/>
      <c r="BA319" s="52"/>
      <c r="BB319" s="52"/>
      <c r="BC319" s="52"/>
      <c r="BD319" s="52"/>
      <c r="BE319" s="52"/>
      <c r="BF319" s="52"/>
      <c r="BG319" s="52"/>
      <c r="BH319" s="52"/>
      <c r="BI319" s="52"/>
      <c r="BJ319" s="52"/>
      <c r="BK319" s="52"/>
      <c r="BL319" s="52"/>
      <c r="BM319" s="52"/>
      <c r="BN319" s="52"/>
      <c r="BO319" s="52"/>
      <c r="BP319" s="52"/>
      <c r="BQ319" s="52"/>
      <c r="BR319" s="52"/>
      <c r="BS319" s="52"/>
      <c r="BT319" s="52"/>
      <c r="BU319" s="52"/>
      <c r="BV319" s="52"/>
    </row>
    <row r="320">
      <c r="AS320" s="52"/>
      <c r="AT320" s="52"/>
      <c r="AU320" s="52"/>
      <c r="AV320" s="52"/>
      <c r="AW320" s="52"/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  <c r="BO320" s="52"/>
      <c r="BP320" s="52"/>
      <c r="BQ320" s="52"/>
      <c r="BR320" s="52"/>
      <c r="BS320" s="52"/>
      <c r="BT320" s="52"/>
      <c r="BU320" s="52"/>
      <c r="BV320" s="52"/>
    </row>
    <row r="321">
      <c r="AS321" s="52"/>
      <c r="AT321" s="52"/>
      <c r="AU321" s="52"/>
      <c r="AV321" s="52"/>
      <c r="AW321" s="52"/>
      <c r="AX321" s="52"/>
      <c r="AY321" s="52"/>
      <c r="AZ321" s="52"/>
      <c r="BA321" s="52"/>
      <c r="BB321" s="52"/>
      <c r="BC321" s="52"/>
      <c r="BD321" s="52"/>
      <c r="BE321" s="52"/>
      <c r="BF321" s="52"/>
      <c r="BG321" s="52"/>
      <c r="BH321" s="52"/>
      <c r="BI321" s="52"/>
      <c r="BJ321" s="52"/>
      <c r="BK321" s="52"/>
      <c r="BL321" s="52"/>
      <c r="BM321" s="52"/>
      <c r="BN321" s="52"/>
      <c r="BO321" s="52"/>
      <c r="BP321" s="52"/>
      <c r="BQ321" s="52"/>
      <c r="BR321" s="52"/>
      <c r="BS321" s="52"/>
      <c r="BT321" s="52"/>
      <c r="BU321" s="52"/>
      <c r="BV321" s="52"/>
    </row>
    <row r="322">
      <c r="AS322" s="52"/>
      <c r="AT322" s="52"/>
      <c r="AU322" s="52"/>
      <c r="AV322" s="52"/>
      <c r="AW322" s="52"/>
      <c r="AX322" s="52"/>
      <c r="AY322" s="52"/>
      <c r="AZ322" s="52"/>
      <c r="BA322" s="52"/>
      <c r="BB322" s="52"/>
      <c r="BC322" s="52"/>
      <c r="BD322" s="52"/>
      <c r="BE322" s="52"/>
      <c r="BF322" s="52"/>
      <c r="BG322" s="52"/>
      <c r="BH322" s="52"/>
      <c r="BI322" s="52"/>
      <c r="BJ322" s="52"/>
      <c r="BK322" s="52"/>
      <c r="BL322" s="52"/>
      <c r="BM322" s="52"/>
      <c r="BN322" s="52"/>
      <c r="BO322" s="52"/>
      <c r="BP322" s="52"/>
      <c r="BQ322" s="52"/>
      <c r="BR322" s="52"/>
      <c r="BS322" s="52"/>
      <c r="BT322" s="52"/>
      <c r="BU322" s="52"/>
      <c r="BV322" s="52"/>
    </row>
    <row r="323">
      <c r="AS323" s="52"/>
      <c r="AT323" s="52"/>
      <c r="AU323" s="52"/>
      <c r="AV323" s="52"/>
      <c r="AW323" s="52"/>
      <c r="AX323" s="52"/>
      <c r="AY323" s="52"/>
      <c r="AZ323" s="52"/>
      <c r="BA323" s="52"/>
      <c r="BB323" s="52"/>
      <c r="BC323" s="52"/>
      <c r="BD323" s="52"/>
      <c r="BE323" s="52"/>
      <c r="BF323" s="52"/>
      <c r="BG323" s="52"/>
      <c r="BH323" s="52"/>
      <c r="BI323" s="52"/>
      <c r="BJ323" s="52"/>
      <c r="BK323" s="52"/>
      <c r="BL323" s="52"/>
      <c r="BM323" s="52"/>
      <c r="BN323" s="52"/>
      <c r="BO323" s="52"/>
      <c r="BP323" s="52"/>
      <c r="BQ323" s="52"/>
      <c r="BR323" s="52"/>
      <c r="BS323" s="52"/>
      <c r="BT323" s="52"/>
      <c r="BU323" s="52"/>
      <c r="BV323" s="52"/>
    </row>
    <row r="324">
      <c r="AS324" s="52"/>
      <c r="AT324" s="52"/>
      <c r="AU324" s="52"/>
      <c r="AV324" s="52"/>
      <c r="AW324" s="52"/>
      <c r="AX324" s="52"/>
      <c r="AY324" s="52"/>
      <c r="AZ324" s="52"/>
      <c r="BA324" s="52"/>
      <c r="BB324" s="52"/>
      <c r="BC324" s="52"/>
      <c r="BD324" s="52"/>
      <c r="BE324" s="52"/>
      <c r="BF324" s="52"/>
      <c r="BG324" s="52"/>
      <c r="BH324" s="52"/>
      <c r="BI324" s="52"/>
      <c r="BJ324" s="52"/>
      <c r="BK324" s="52"/>
      <c r="BL324" s="52"/>
      <c r="BM324" s="52"/>
      <c r="BN324" s="52"/>
      <c r="BO324" s="52"/>
      <c r="BP324" s="52"/>
      <c r="BQ324" s="52"/>
      <c r="BR324" s="52"/>
      <c r="BS324" s="52"/>
      <c r="BT324" s="52"/>
      <c r="BU324" s="52"/>
      <c r="BV324" s="52"/>
    </row>
    <row r="325">
      <c r="AS325" s="52"/>
      <c r="AT325" s="52"/>
      <c r="AU325" s="52"/>
      <c r="AV325" s="52"/>
      <c r="AW325" s="52"/>
      <c r="AX325" s="52"/>
      <c r="AY325" s="52"/>
      <c r="AZ325" s="52"/>
      <c r="BA325" s="52"/>
      <c r="BB325" s="52"/>
      <c r="BC325" s="52"/>
      <c r="BD325" s="52"/>
      <c r="BE325" s="52"/>
      <c r="BF325" s="52"/>
      <c r="BG325" s="52"/>
      <c r="BH325" s="52"/>
      <c r="BI325" s="52"/>
      <c r="BJ325" s="52"/>
      <c r="BK325" s="52"/>
      <c r="BL325" s="52"/>
      <c r="BM325" s="52"/>
      <c r="BN325" s="52"/>
      <c r="BO325" s="52"/>
      <c r="BP325" s="52"/>
      <c r="BQ325" s="52"/>
      <c r="BR325" s="52"/>
      <c r="BS325" s="52"/>
      <c r="BT325" s="52"/>
      <c r="BU325" s="52"/>
      <c r="BV325" s="52"/>
    </row>
    <row r="326">
      <c r="AS326" s="52"/>
      <c r="AT326" s="52"/>
      <c r="AU326" s="52"/>
      <c r="AV326" s="52"/>
      <c r="AW326" s="52"/>
      <c r="AX326" s="52"/>
      <c r="AY326" s="52"/>
      <c r="AZ326" s="52"/>
      <c r="BA326" s="52"/>
      <c r="BB326" s="52"/>
      <c r="BC326" s="52"/>
      <c r="BD326" s="52"/>
      <c r="BE326" s="52"/>
      <c r="BF326" s="52"/>
      <c r="BG326" s="52"/>
      <c r="BH326" s="52"/>
      <c r="BI326" s="52"/>
      <c r="BJ326" s="52"/>
      <c r="BK326" s="52"/>
      <c r="BL326" s="52"/>
      <c r="BM326" s="52"/>
      <c r="BN326" s="52"/>
      <c r="BO326" s="52"/>
      <c r="BP326" s="52"/>
      <c r="BQ326" s="52"/>
      <c r="BR326" s="52"/>
      <c r="BS326" s="52"/>
      <c r="BT326" s="52"/>
      <c r="BU326" s="52"/>
      <c r="BV326" s="52"/>
    </row>
    <row r="327">
      <c r="AS327" s="52"/>
      <c r="AT327" s="52"/>
      <c r="AU327" s="52"/>
      <c r="AV327" s="52"/>
      <c r="AW327" s="52"/>
      <c r="AX327" s="52"/>
      <c r="AY327" s="52"/>
      <c r="AZ327" s="52"/>
      <c r="BA327" s="52"/>
      <c r="BB327" s="52"/>
      <c r="BC327" s="52"/>
      <c r="BD327" s="52"/>
      <c r="BE327" s="52"/>
      <c r="BF327" s="52"/>
      <c r="BG327" s="52"/>
      <c r="BH327" s="52"/>
      <c r="BI327" s="52"/>
      <c r="BJ327" s="52"/>
      <c r="BK327" s="52"/>
      <c r="BL327" s="52"/>
      <c r="BM327" s="52"/>
      <c r="BN327" s="52"/>
      <c r="BO327" s="52"/>
      <c r="BP327" s="52"/>
      <c r="BQ327" s="52"/>
      <c r="BR327" s="52"/>
      <c r="BS327" s="52"/>
      <c r="BT327" s="52"/>
      <c r="BU327" s="52"/>
      <c r="BV327" s="52"/>
    </row>
    <row r="328">
      <c r="AS328" s="52"/>
      <c r="AT328" s="52"/>
      <c r="AU328" s="52"/>
      <c r="AV328" s="52"/>
      <c r="AW328" s="52"/>
      <c r="AX328" s="52"/>
      <c r="AY328" s="52"/>
      <c r="AZ328" s="52"/>
      <c r="BA328" s="52"/>
      <c r="BB328" s="52"/>
      <c r="BC328" s="52"/>
      <c r="BD328" s="52"/>
      <c r="BE328" s="52"/>
      <c r="BF328" s="52"/>
      <c r="BG328" s="52"/>
      <c r="BH328" s="52"/>
      <c r="BI328" s="52"/>
      <c r="BJ328" s="52"/>
      <c r="BK328" s="52"/>
      <c r="BL328" s="52"/>
      <c r="BM328" s="52"/>
      <c r="BN328" s="52"/>
      <c r="BO328" s="52"/>
      <c r="BP328" s="52"/>
      <c r="BQ328" s="52"/>
      <c r="BR328" s="52"/>
      <c r="BS328" s="52"/>
      <c r="BT328" s="52"/>
      <c r="BU328" s="52"/>
      <c r="BV328" s="52"/>
    </row>
    <row r="329">
      <c r="AS329" s="52"/>
      <c r="AT329" s="52"/>
      <c r="AU329" s="52"/>
      <c r="AV329" s="52"/>
      <c r="AW329" s="52"/>
      <c r="AX329" s="52"/>
      <c r="AY329" s="52"/>
      <c r="AZ329" s="52"/>
      <c r="BA329" s="52"/>
      <c r="BB329" s="52"/>
      <c r="BC329" s="52"/>
      <c r="BD329" s="52"/>
      <c r="BE329" s="52"/>
      <c r="BF329" s="52"/>
      <c r="BG329" s="52"/>
      <c r="BH329" s="52"/>
      <c r="BI329" s="52"/>
      <c r="BJ329" s="52"/>
      <c r="BK329" s="52"/>
      <c r="BL329" s="52"/>
      <c r="BM329" s="52"/>
      <c r="BN329" s="52"/>
      <c r="BO329" s="52"/>
      <c r="BP329" s="52"/>
      <c r="BQ329" s="52"/>
      <c r="BR329" s="52"/>
      <c r="BS329" s="52"/>
      <c r="BT329" s="52"/>
      <c r="BU329" s="52"/>
      <c r="BV329" s="52"/>
    </row>
    <row r="330">
      <c r="AS330" s="52"/>
      <c r="AT330" s="52"/>
      <c r="AU330" s="52"/>
      <c r="AV330" s="52"/>
      <c r="AW330" s="52"/>
      <c r="AX330" s="52"/>
      <c r="AY330" s="52"/>
      <c r="AZ330" s="52"/>
      <c r="BA330" s="52"/>
      <c r="BB330" s="52"/>
      <c r="BC330" s="52"/>
      <c r="BD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  <c r="BO330" s="52"/>
      <c r="BP330" s="52"/>
      <c r="BQ330" s="52"/>
      <c r="BR330" s="52"/>
      <c r="BS330" s="52"/>
      <c r="BT330" s="52"/>
      <c r="BU330" s="52"/>
      <c r="BV330" s="52"/>
    </row>
    <row r="331">
      <c r="AS331" s="52"/>
      <c r="AT331" s="52"/>
      <c r="AU331" s="52"/>
      <c r="AV331" s="52"/>
      <c r="AW331" s="52"/>
      <c r="AX331" s="52"/>
      <c r="AY331" s="52"/>
      <c r="AZ331" s="52"/>
      <c r="BA331" s="52"/>
      <c r="BB331" s="52"/>
      <c r="BC331" s="52"/>
      <c r="BD331" s="52"/>
      <c r="BE331" s="52"/>
      <c r="BF331" s="52"/>
      <c r="BG331" s="52"/>
      <c r="BH331" s="52"/>
      <c r="BI331" s="52"/>
      <c r="BJ331" s="52"/>
      <c r="BK331" s="52"/>
      <c r="BL331" s="52"/>
      <c r="BM331" s="52"/>
      <c r="BN331" s="52"/>
      <c r="BO331" s="52"/>
      <c r="BP331" s="52"/>
      <c r="BQ331" s="52"/>
      <c r="BR331" s="52"/>
      <c r="BS331" s="52"/>
      <c r="BT331" s="52"/>
      <c r="BU331" s="52"/>
      <c r="BV331" s="52"/>
    </row>
    <row r="332">
      <c r="AS332" s="52"/>
      <c r="AT332" s="52"/>
      <c r="AU332" s="52"/>
      <c r="AV332" s="52"/>
      <c r="AW332" s="52"/>
      <c r="AX332" s="52"/>
      <c r="AY332" s="52"/>
      <c r="AZ332" s="52"/>
      <c r="BA332" s="52"/>
      <c r="BB332" s="52"/>
      <c r="BC332" s="52"/>
      <c r="BD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  <c r="BO332" s="52"/>
      <c r="BP332" s="52"/>
      <c r="BQ332" s="52"/>
      <c r="BR332" s="52"/>
      <c r="BS332" s="52"/>
      <c r="BT332" s="52"/>
      <c r="BU332" s="52"/>
      <c r="BV332" s="52"/>
    </row>
    <row r="333">
      <c r="AS333" s="52"/>
      <c r="AT333" s="52"/>
      <c r="AU333" s="52"/>
      <c r="AV333" s="52"/>
      <c r="AW333" s="52"/>
      <c r="AX333" s="52"/>
      <c r="AY333" s="52"/>
      <c r="AZ333" s="52"/>
      <c r="BA333" s="52"/>
      <c r="BB333" s="52"/>
      <c r="BC333" s="52"/>
      <c r="BD333" s="52"/>
      <c r="BE333" s="52"/>
      <c r="BF333" s="52"/>
      <c r="BG333" s="52"/>
      <c r="BH333" s="52"/>
      <c r="BI333" s="52"/>
      <c r="BJ333" s="52"/>
      <c r="BK333" s="52"/>
      <c r="BL333" s="52"/>
      <c r="BM333" s="52"/>
      <c r="BN333" s="52"/>
      <c r="BO333" s="52"/>
      <c r="BP333" s="52"/>
      <c r="BQ333" s="52"/>
      <c r="BR333" s="52"/>
      <c r="BS333" s="52"/>
      <c r="BT333" s="52"/>
      <c r="BU333" s="52"/>
      <c r="BV333" s="52"/>
    </row>
    <row r="334">
      <c r="AS334" s="52"/>
      <c r="AT334" s="52"/>
      <c r="AU334" s="52"/>
      <c r="AV334" s="52"/>
      <c r="AW334" s="52"/>
      <c r="AX334" s="52"/>
      <c r="AY334" s="52"/>
      <c r="AZ334" s="52"/>
      <c r="BA334" s="52"/>
      <c r="BB334" s="52"/>
      <c r="BC334" s="52"/>
      <c r="BD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  <c r="BO334" s="52"/>
      <c r="BP334" s="52"/>
      <c r="BQ334" s="52"/>
      <c r="BR334" s="52"/>
      <c r="BS334" s="52"/>
      <c r="BT334" s="52"/>
      <c r="BU334" s="52"/>
      <c r="BV334" s="52"/>
    </row>
    <row r="335">
      <c r="AS335" s="52"/>
      <c r="AT335" s="52"/>
      <c r="AU335" s="52"/>
      <c r="AV335" s="52"/>
      <c r="AW335" s="52"/>
      <c r="AX335" s="52"/>
      <c r="AY335" s="52"/>
      <c r="AZ335" s="52"/>
      <c r="BA335" s="52"/>
      <c r="BB335" s="52"/>
      <c r="BC335" s="52"/>
      <c r="BD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  <c r="BO335" s="52"/>
      <c r="BP335" s="52"/>
      <c r="BQ335" s="52"/>
      <c r="BR335" s="52"/>
      <c r="BS335" s="52"/>
      <c r="BT335" s="52"/>
      <c r="BU335" s="52"/>
      <c r="BV335" s="52"/>
    </row>
    <row r="336"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  <c r="BP336" s="52"/>
      <c r="BQ336" s="52"/>
      <c r="BR336" s="52"/>
      <c r="BS336" s="52"/>
      <c r="BT336" s="52"/>
      <c r="BU336" s="52"/>
      <c r="BV336" s="52"/>
    </row>
    <row r="337">
      <c r="AS337" s="52"/>
      <c r="AT337" s="52"/>
      <c r="AU337" s="52"/>
      <c r="AV337" s="52"/>
      <c r="AW337" s="52"/>
      <c r="AX337" s="52"/>
      <c r="AY337" s="52"/>
      <c r="AZ337" s="52"/>
      <c r="BA337" s="52"/>
      <c r="BB337" s="52"/>
      <c r="BC337" s="52"/>
      <c r="BD337" s="52"/>
      <c r="BE337" s="52"/>
      <c r="BF337" s="52"/>
      <c r="BG337" s="52"/>
      <c r="BH337" s="52"/>
      <c r="BI337" s="52"/>
      <c r="BJ337" s="52"/>
      <c r="BK337" s="52"/>
      <c r="BL337" s="52"/>
      <c r="BM337" s="52"/>
      <c r="BN337" s="52"/>
      <c r="BO337" s="52"/>
      <c r="BP337" s="52"/>
      <c r="BQ337" s="52"/>
      <c r="BR337" s="52"/>
      <c r="BS337" s="52"/>
      <c r="BT337" s="52"/>
      <c r="BU337" s="52"/>
      <c r="BV337" s="52"/>
    </row>
    <row r="338">
      <c r="AS338" s="52"/>
      <c r="AT338" s="52"/>
      <c r="AU338" s="52"/>
      <c r="AV338" s="52"/>
      <c r="AW338" s="52"/>
      <c r="AX338" s="52"/>
      <c r="AY338" s="52"/>
      <c r="AZ338" s="52"/>
      <c r="BA338" s="52"/>
      <c r="BB338" s="52"/>
      <c r="BC338" s="52"/>
      <c r="BD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  <c r="BO338" s="52"/>
      <c r="BP338" s="52"/>
      <c r="BQ338" s="52"/>
      <c r="BR338" s="52"/>
      <c r="BS338" s="52"/>
      <c r="BT338" s="52"/>
      <c r="BU338" s="52"/>
      <c r="BV338" s="52"/>
    </row>
    <row r="339">
      <c r="AS339" s="52"/>
      <c r="AT339" s="52"/>
      <c r="AU339" s="52"/>
      <c r="AV339" s="52"/>
      <c r="AW339" s="52"/>
      <c r="AX339" s="52"/>
      <c r="AY339" s="52"/>
      <c r="AZ339" s="52"/>
      <c r="BA339" s="52"/>
      <c r="BB339" s="52"/>
      <c r="BC339" s="52"/>
      <c r="BD339" s="52"/>
      <c r="BE339" s="52"/>
      <c r="BF339" s="52"/>
      <c r="BG339" s="52"/>
      <c r="BH339" s="52"/>
      <c r="BI339" s="52"/>
      <c r="BJ339" s="52"/>
      <c r="BK339" s="52"/>
      <c r="BL339" s="52"/>
      <c r="BM339" s="52"/>
      <c r="BN339" s="52"/>
      <c r="BO339" s="52"/>
      <c r="BP339" s="52"/>
      <c r="BQ339" s="52"/>
      <c r="BR339" s="52"/>
      <c r="BS339" s="52"/>
      <c r="BT339" s="52"/>
      <c r="BU339" s="52"/>
      <c r="BV339" s="52"/>
    </row>
    <row r="340">
      <c r="AS340" s="52"/>
      <c r="AT340" s="52"/>
      <c r="AU340" s="52"/>
      <c r="AV340" s="52"/>
      <c r="AW340" s="52"/>
      <c r="AX340" s="52"/>
      <c r="AY340" s="52"/>
      <c r="AZ340" s="52"/>
      <c r="BA340" s="52"/>
      <c r="BB340" s="52"/>
      <c r="BC340" s="52"/>
      <c r="BD340" s="52"/>
      <c r="BE340" s="52"/>
      <c r="BF340" s="52"/>
      <c r="BG340" s="52"/>
      <c r="BH340" s="52"/>
      <c r="BI340" s="52"/>
      <c r="BJ340" s="52"/>
      <c r="BK340" s="52"/>
      <c r="BL340" s="52"/>
      <c r="BM340" s="52"/>
      <c r="BN340" s="52"/>
      <c r="BO340" s="52"/>
      <c r="BP340" s="52"/>
      <c r="BQ340" s="52"/>
      <c r="BR340" s="52"/>
      <c r="BS340" s="52"/>
      <c r="BT340" s="52"/>
      <c r="BU340" s="52"/>
      <c r="BV340" s="52"/>
    </row>
    <row r="341">
      <c r="AS341" s="52"/>
      <c r="AT341" s="52"/>
      <c r="AU341" s="52"/>
      <c r="AV341" s="52"/>
      <c r="AW341" s="52"/>
      <c r="AX341" s="52"/>
      <c r="AY341" s="52"/>
      <c r="AZ341" s="52"/>
      <c r="BA341" s="52"/>
      <c r="BB341" s="52"/>
      <c r="BC341" s="52"/>
      <c r="BD341" s="52"/>
      <c r="BE341" s="52"/>
      <c r="BF341" s="52"/>
      <c r="BG341" s="52"/>
      <c r="BH341" s="52"/>
      <c r="BI341" s="52"/>
      <c r="BJ341" s="52"/>
      <c r="BK341" s="52"/>
      <c r="BL341" s="52"/>
      <c r="BM341" s="52"/>
      <c r="BN341" s="52"/>
      <c r="BO341" s="52"/>
      <c r="BP341" s="52"/>
      <c r="BQ341" s="52"/>
      <c r="BR341" s="52"/>
      <c r="BS341" s="52"/>
      <c r="BT341" s="52"/>
      <c r="BU341" s="52"/>
      <c r="BV341" s="52"/>
    </row>
    <row r="342">
      <c r="AS342" s="52"/>
      <c r="AT342" s="52"/>
      <c r="AU342" s="52"/>
      <c r="AV342" s="52"/>
      <c r="AW342" s="52"/>
      <c r="AX342" s="52"/>
      <c r="AY342" s="52"/>
      <c r="AZ342" s="52"/>
      <c r="BA342" s="52"/>
      <c r="BB342" s="52"/>
      <c r="BC342" s="52"/>
      <c r="BD342" s="52"/>
      <c r="BE342" s="52"/>
      <c r="BF342" s="52"/>
      <c r="BG342" s="52"/>
      <c r="BH342" s="52"/>
      <c r="BI342" s="52"/>
      <c r="BJ342" s="52"/>
      <c r="BK342" s="52"/>
      <c r="BL342" s="52"/>
      <c r="BM342" s="52"/>
      <c r="BN342" s="52"/>
      <c r="BO342" s="52"/>
      <c r="BP342" s="52"/>
      <c r="BQ342" s="52"/>
      <c r="BR342" s="52"/>
      <c r="BS342" s="52"/>
      <c r="BT342" s="52"/>
      <c r="BU342" s="52"/>
      <c r="BV342" s="52"/>
    </row>
    <row r="343">
      <c r="AS343" s="52"/>
      <c r="AT343" s="52"/>
      <c r="AU343" s="52"/>
      <c r="AV343" s="52"/>
      <c r="AW343" s="52"/>
      <c r="AX343" s="52"/>
      <c r="AY343" s="52"/>
      <c r="AZ343" s="52"/>
      <c r="BA343" s="52"/>
      <c r="BB343" s="52"/>
      <c r="BC343" s="52"/>
      <c r="BD343" s="52"/>
      <c r="BE343" s="52"/>
      <c r="BF343" s="52"/>
      <c r="BG343" s="52"/>
      <c r="BH343" s="52"/>
      <c r="BI343" s="52"/>
      <c r="BJ343" s="52"/>
      <c r="BK343" s="52"/>
      <c r="BL343" s="52"/>
      <c r="BM343" s="52"/>
      <c r="BN343" s="52"/>
      <c r="BO343" s="52"/>
      <c r="BP343" s="52"/>
      <c r="BQ343" s="52"/>
      <c r="BR343" s="52"/>
      <c r="BS343" s="52"/>
      <c r="BT343" s="52"/>
      <c r="BU343" s="52"/>
      <c r="BV343" s="52"/>
    </row>
    <row r="344">
      <c r="AS344" s="52"/>
      <c r="AT344" s="52"/>
      <c r="AU344" s="52"/>
      <c r="AV344" s="52"/>
      <c r="AW344" s="52"/>
      <c r="AX344" s="52"/>
      <c r="AY344" s="52"/>
      <c r="AZ344" s="52"/>
      <c r="BA344" s="52"/>
      <c r="BB344" s="52"/>
      <c r="BC344" s="52"/>
      <c r="BD344" s="52"/>
      <c r="BE344" s="52"/>
      <c r="BF344" s="52"/>
      <c r="BG344" s="52"/>
      <c r="BH344" s="52"/>
      <c r="BI344" s="52"/>
      <c r="BJ344" s="52"/>
      <c r="BK344" s="52"/>
      <c r="BL344" s="52"/>
      <c r="BM344" s="52"/>
      <c r="BN344" s="52"/>
      <c r="BO344" s="52"/>
      <c r="BP344" s="52"/>
      <c r="BQ344" s="52"/>
      <c r="BR344" s="52"/>
      <c r="BS344" s="52"/>
      <c r="BT344" s="52"/>
      <c r="BU344" s="52"/>
      <c r="BV344" s="52"/>
    </row>
    <row r="345">
      <c r="AS345" s="52"/>
      <c r="AT345" s="52"/>
      <c r="AU345" s="52"/>
      <c r="AV345" s="52"/>
      <c r="AW345" s="52"/>
      <c r="AX345" s="52"/>
      <c r="AY345" s="52"/>
      <c r="AZ345" s="52"/>
      <c r="BA345" s="52"/>
      <c r="BB345" s="52"/>
      <c r="BC345" s="52"/>
      <c r="BD345" s="52"/>
      <c r="BE345" s="52"/>
      <c r="BF345" s="52"/>
      <c r="BG345" s="52"/>
      <c r="BH345" s="52"/>
      <c r="BI345" s="52"/>
      <c r="BJ345" s="52"/>
      <c r="BK345" s="52"/>
      <c r="BL345" s="52"/>
      <c r="BM345" s="52"/>
      <c r="BN345" s="52"/>
      <c r="BO345" s="52"/>
      <c r="BP345" s="52"/>
      <c r="BQ345" s="52"/>
      <c r="BR345" s="52"/>
      <c r="BS345" s="52"/>
      <c r="BT345" s="52"/>
      <c r="BU345" s="52"/>
      <c r="BV345" s="52"/>
    </row>
    <row r="346">
      <c r="AS346" s="52"/>
      <c r="AT346" s="52"/>
      <c r="AU346" s="52"/>
      <c r="AV346" s="52"/>
      <c r="AW346" s="52"/>
      <c r="AX346" s="52"/>
      <c r="AY346" s="52"/>
      <c r="AZ346" s="52"/>
      <c r="BA346" s="52"/>
      <c r="BB346" s="52"/>
      <c r="BC346" s="52"/>
      <c r="BD346" s="52"/>
      <c r="BE346" s="52"/>
      <c r="BF346" s="52"/>
      <c r="BG346" s="52"/>
      <c r="BH346" s="52"/>
      <c r="BI346" s="52"/>
      <c r="BJ346" s="52"/>
      <c r="BK346" s="52"/>
      <c r="BL346" s="52"/>
      <c r="BM346" s="52"/>
      <c r="BN346" s="52"/>
      <c r="BO346" s="52"/>
      <c r="BP346" s="52"/>
      <c r="BQ346" s="52"/>
      <c r="BR346" s="52"/>
      <c r="BS346" s="52"/>
      <c r="BT346" s="52"/>
      <c r="BU346" s="52"/>
      <c r="BV346" s="52"/>
    </row>
    <row r="347">
      <c r="AS347" s="52"/>
      <c r="AT347" s="52"/>
      <c r="AU347" s="52"/>
      <c r="AV347" s="52"/>
      <c r="AW347" s="52"/>
      <c r="AX347" s="52"/>
      <c r="AY347" s="52"/>
      <c r="AZ347" s="52"/>
      <c r="BA347" s="52"/>
      <c r="BB347" s="52"/>
      <c r="BC347" s="52"/>
      <c r="BD347" s="52"/>
      <c r="BE347" s="52"/>
      <c r="BF347" s="52"/>
      <c r="BG347" s="52"/>
      <c r="BH347" s="52"/>
      <c r="BI347" s="52"/>
      <c r="BJ347" s="52"/>
      <c r="BK347" s="52"/>
      <c r="BL347" s="52"/>
      <c r="BM347" s="52"/>
      <c r="BN347" s="52"/>
      <c r="BO347" s="52"/>
      <c r="BP347" s="52"/>
      <c r="BQ347" s="52"/>
      <c r="BR347" s="52"/>
      <c r="BS347" s="52"/>
      <c r="BT347" s="52"/>
      <c r="BU347" s="52"/>
      <c r="BV347" s="52"/>
    </row>
    <row r="348">
      <c r="AS348" s="52"/>
      <c r="AT348" s="52"/>
      <c r="AU348" s="52"/>
      <c r="AV348" s="52"/>
      <c r="AW348" s="52"/>
      <c r="AX348" s="52"/>
      <c r="AY348" s="52"/>
      <c r="AZ348" s="52"/>
      <c r="BA348" s="52"/>
      <c r="BB348" s="52"/>
      <c r="BC348" s="52"/>
      <c r="BD348" s="52"/>
      <c r="BE348" s="52"/>
      <c r="BF348" s="52"/>
      <c r="BG348" s="52"/>
      <c r="BH348" s="52"/>
      <c r="BI348" s="52"/>
      <c r="BJ348" s="52"/>
      <c r="BK348" s="52"/>
      <c r="BL348" s="52"/>
      <c r="BM348" s="52"/>
      <c r="BN348" s="52"/>
      <c r="BO348" s="52"/>
      <c r="BP348" s="52"/>
      <c r="BQ348" s="52"/>
      <c r="BR348" s="52"/>
      <c r="BS348" s="52"/>
      <c r="BT348" s="52"/>
      <c r="BU348" s="52"/>
      <c r="BV348" s="52"/>
    </row>
    <row r="349">
      <c r="AS349" s="52"/>
      <c r="AT349" s="52"/>
      <c r="AU349" s="52"/>
      <c r="AV349" s="52"/>
      <c r="AW349" s="52"/>
      <c r="AX349" s="52"/>
      <c r="AY349" s="52"/>
      <c r="AZ349" s="52"/>
      <c r="BA349" s="52"/>
      <c r="BB349" s="52"/>
      <c r="BC349" s="52"/>
      <c r="BD349" s="52"/>
      <c r="BE349" s="52"/>
      <c r="BF349" s="52"/>
      <c r="BG349" s="52"/>
      <c r="BH349" s="52"/>
      <c r="BI349" s="52"/>
      <c r="BJ349" s="52"/>
      <c r="BK349" s="52"/>
      <c r="BL349" s="52"/>
      <c r="BM349" s="52"/>
      <c r="BN349" s="52"/>
      <c r="BO349" s="52"/>
      <c r="BP349" s="52"/>
      <c r="BQ349" s="52"/>
      <c r="BR349" s="52"/>
      <c r="BS349" s="52"/>
      <c r="BT349" s="52"/>
      <c r="BU349" s="52"/>
      <c r="BV349" s="52"/>
    </row>
    <row r="350">
      <c r="AS350" s="52"/>
      <c r="AT350" s="52"/>
      <c r="AU350" s="52"/>
      <c r="AV350" s="52"/>
      <c r="AW350" s="52"/>
      <c r="AX350" s="52"/>
      <c r="AY350" s="52"/>
      <c r="AZ350" s="52"/>
      <c r="BA350" s="52"/>
      <c r="BB350" s="52"/>
      <c r="BC350" s="52"/>
      <c r="BD350" s="52"/>
      <c r="BE350" s="52"/>
      <c r="BF350" s="52"/>
      <c r="BG350" s="52"/>
      <c r="BH350" s="52"/>
      <c r="BI350" s="52"/>
      <c r="BJ350" s="52"/>
      <c r="BK350" s="52"/>
      <c r="BL350" s="52"/>
      <c r="BM350" s="52"/>
      <c r="BN350" s="52"/>
      <c r="BO350" s="52"/>
      <c r="BP350" s="52"/>
      <c r="BQ350" s="52"/>
      <c r="BR350" s="52"/>
      <c r="BS350" s="52"/>
      <c r="BT350" s="52"/>
      <c r="BU350" s="52"/>
      <c r="BV350" s="52"/>
    </row>
    <row r="351">
      <c r="AS351" s="52"/>
      <c r="AT351" s="52"/>
      <c r="AU351" s="52"/>
      <c r="AV351" s="52"/>
      <c r="AW351" s="52"/>
      <c r="AX351" s="52"/>
      <c r="AY351" s="52"/>
      <c r="AZ351" s="52"/>
      <c r="BA351" s="52"/>
      <c r="BB351" s="52"/>
      <c r="BC351" s="52"/>
      <c r="BD351" s="52"/>
      <c r="BE351" s="52"/>
      <c r="BF351" s="52"/>
      <c r="BG351" s="52"/>
      <c r="BH351" s="52"/>
      <c r="BI351" s="52"/>
      <c r="BJ351" s="52"/>
      <c r="BK351" s="52"/>
      <c r="BL351" s="52"/>
      <c r="BM351" s="52"/>
      <c r="BN351" s="52"/>
      <c r="BO351" s="52"/>
      <c r="BP351" s="52"/>
      <c r="BQ351" s="52"/>
      <c r="BR351" s="52"/>
      <c r="BS351" s="52"/>
      <c r="BT351" s="52"/>
      <c r="BU351" s="52"/>
      <c r="BV351" s="52"/>
    </row>
    <row r="352">
      <c r="AS352" s="52"/>
      <c r="AT352" s="52"/>
      <c r="AU352" s="52"/>
      <c r="AV352" s="52"/>
      <c r="AW352" s="52"/>
      <c r="AX352" s="52"/>
      <c r="AY352" s="52"/>
      <c r="AZ352" s="52"/>
      <c r="BA352" s="52"/>
      <c r="BB352" s="52"/>
      <c r="BC352" s="52"/>
      <c r="BD352" s="52"/>
      <c r="BE352" s="52"/>
      <c r="BF352" s="52"/>
      <c r="BG352" s="52"/>
      <c r="BH352" s="52"/>
      <c r="BI352" s="52"/>
      <c r="BJ352" s="52"/>
      <c r="BK352" s="52"/>
      <c r="BL352" s="52"/>
      <c r="BM352" s="52"/>
      <c r="BN352" s="52"/>
      <c r="BO352" s="52"/>
      <c r="BP352" s="52"/>
      <c r="BQ352" s="52"/>
      <c r="BR352" s="52"/>
      <c r="BS352" s="52"/>
      <c r="BT352" s="52"/>
      <c r="BU352" s="52"/>
      <c r="BV352" s="52"/>
    </row>
    <row r="353">
      <c r="AS353" s="52"/>
      <c r="AT353" s="52"/>
      <c r="AU353" s="52"/>
      <c r="AV353" s="52"/>
      <c r="AW353" s="52"/>
      <c r="AX353" s="52"/>
      <c r="AY353" s="52"/>
      <c r="AZ353" s="52"/>
      <c r="BA353" s="52"/>
      <c r="BB353" s="52"/>
      <c r="BC353" s="52"/>
      <c r="BD353" s="52"/>
      <c r="BE353" s="52"/>
      <c r="BF353" s="52"/>
      <c r="BG353" s="52"/>
      <c r="BH353" s="52"/>
      <c r="BI353" s="52"/>
      <c r="BJ353" s="52"/>
      <c r="BK353" s="52"/>
      <c r="BL353" s="52"/>
      <c r="BM353" s="52"/>
      <c r="BN353" s="52"/>
      <c r="BO353" s="52"/>
      <c r="BP353" s="52"/>
      <c r="BQ353" s="52"/>
      <c r="BR353" s="52"/>
      <c r="BS353" s="52"/>
      <c r="BT353" s="52"/>
      <c r="BU353" s="52"/>
      <c r="BV353" s="52"/>
    </row>
    <row r="354">
      <c r="AS354" s="52"/>
      <c r="AT354" s="52"/>
      <c r="AU354" s="52"/>
      <c r="AV354" s="52"/>
      <c r="AW354" s="52"/>
      <c r="AX354" s="52"/>
      <c r="AY354" s="52"/>
      <c r="AZ354" s="52"/>
      <c r="BA354" s="52"/>
      <c r="BB354" s="52"/>
      <c r="BC354" s="52"/>
      <c r="BD354" s="52"/>
      <c r="BE354" s="52"/>
      <c r="BF354" s="52"/>
      <c r="BG354" s="52"/>
      <c r="BH354" s="52"/>
      <c r="BI354" s="52"/>
      <c r="BJ354" s="52"/>
      <c r="BK354" s="52"/>
      <c r="BL354" s="52"/>
      <c r="BM354" s="52"/>
      <c r="BN354" s="52"/>
      <c r="BO354" s="52"/>
      <c r="BP354" s="52"/>
      <c r="BQ354" s="52"/>
      <c r="BR354" s="52"/>
      <c r="BS354" s="52"/>
      <c r="BT354" s="52"/>
      <c r="BU354" s="52"/>
      <c r="BV354" s="52"/>
    </row>
    <row r="355">
      <c r="AS355" s="52"/>
      <c r="AT355" s="52"/>
      <c r="AU355" s="52"/>
      <c r="AV355" s="52"/>
      <c r="AW355" s="52"/>
      <c r="AX355" s="52"/>
      <c r="AY355" s="52"/>
      <c r="AZ355" s="52"/>
      <c r="BA355" s="52"/>
      <c r="BB355" s="52"/>
      <c r="BC355" s="52"/>
      <c r="BD355" s="52"/>
      <c r="BE355" s="52"/>
      <c r="BF355" s="52"/>
      <c r="BG355" s="52"/>
      <c r="BH355" s="52"/>
      <c r="BI355" s="52"/>
      <c r="BJ355" s="52"/>
      <c r="BK355" s="52"/>
      <c r="BL355" s="52"/>
      <c r="BM355" s="52"/>
      <c r="BN355" s="52"/>
      <c r="BO355" s="52"/>
      <c r="BP355" s="52"/>
      <c r="BQ355" s="52"/>
      <c r="BR355" s="52"/>
      <c r="BS355" s="52"/>
      <c r="BT355" s="52"/>
      <c r="BU355" s="52"/>
      <c r="BV355" s="52"/>
    </row>
    <row r="356">
      <c r="AS356" s="52"/>
      <c r="AT356" s="52"/>
      <c r="AU356" s="52"/>
      <c r="AV356" s="52"/>
      <c r="AW356" s="52"/>
      <c r="AX356" s="52"/>
      <c r="AY356" s="52"/>
      <c r="AZ356" s="52"/>
      <c r="BA356" s="52"/>
      <c r="BB356" s="52"/>
      <c r="BC356" s="52"/>
      <c r="BD356" s="52"/>
      <c r="BE356" s="52"/>
      <c r="BF356" s="52"/>
      <c r="BG356" s="52"/>
      <c r="BH356" s="52"/>
      <c r="BI356" s="52"/>
      <c r="BJ356" s="52"/>
      <c r="BK356" s="52"/>
      <c r="BL356" s="52"/>
      <c r="BM356" s="52"/>
      <c r="BN356" s="52"/>
      <c r="BO356" s="52"/>
      <c r="BP356" s="52"/>
      <c r="BQ356" s="52"/>
      <c r="BR356" s="52"/>
      <c r="BS356" s="52"/>
      <c r="BT356" s="52"/>
      <c r="BU356" s="52"/>
      <c r="BV356" s="52"/>
    </row>
    <row r="357">
      <c r="AS357" s="52"/>
      <c r="AT357" s="52"/>
      <c r="AU357" s="52"/>
      <c r="AV357" s="52"/>
      <c r="AW357" s="52"/>
      <c r="AX357" s="52"/>
      <c r="AY357" s="52"/>
      <c r="AZ357" s="52"/>
      <c r="BA357" s="52"/>
      <c r="BB357" s="52"/>
      <c r="BC357" s="52"/>
      <c r="BD357" s="52"/>
      <c r="BE357" s="52"/>
      <c r="BF357" s="52"/>
      <c r="BG357" s="52"/>
      <c r="BH357" s="52"/>
      <c r="BI357" s="52"/>
      <c r="BJ357" s="52"/>
      <c r="BK357" s="52"/>
      <c r="BL357" s="52"/>
      <c r="BM357" s="52"/>
      <c r="BN357" s="52"/>
      <c r="BO357" s="52"/>
      <c r="BP357" s="52"/>
      <c r="BQ357" s="52"/>
      <c r="BR357" s="52"/>
      <c r="BS357" s="52"/>
      <c r="BT357" s="52"/>
      <c r="BU357" s="52"/>
      <c r="BV357" s="52"/>
    </row>
    <row r="358">
      <c r="AS358" s="52"/>
      <c r="AT358" s="52"/>
      <c r="AU358" s="52"/>
      <c r="AV358" s="52"/>
      <c r="AW358" s="52"/>
      <c r="AX358" s="52"/>
      <c r="AY358" s="52"/>
      <c r="AZ358" s="52"/>
      <c r="BA358" s="52"/>
      <c r="BB358" s="52"/>
      <c r="BC358" s="52"/>
      <c r="BD358" s="52"/>
      <c r="BE358" s="52"/>
      <c r="BF358" s="52"/>
      <c r="BG358" s="52"/>
      <c r="BH358" s="52"/>
      <c r="BI358" s="52"/>
      <c r="BJ358" s="52"/>
      <c r="BK358" s="52"/>
      <c r="BL358" s="52"/>
      <c r="BM358" s="52"/>
      <c r="BN358" s="52"/>
      <c r="BO358" s="52"/>
      <c r="BP358" s="52"/>
      <c r="BQ358" s="52"/>
      <c r="BR358" s="52"/>
      <c r="BS358" s="52"/>
      <c r="BT358" s="52"/>
      <c r="BU358" s="52"/>
      <c r="BV358" s="52"/>
    </row>
    <row r="359">
      <c r="AS359" s="52"/>
      <c r="AT359" s="52"/>
      <c r="AU359" s="52"/>
      <c r="AV359" s="52"/>
      <c r="AW359" s="52"/>
      <c r="AX359" s="52"/>
      <c r="AY359" s="52"/>
      <c r="AZ359" s="52"/>
      <c r="BA359" s="52"/>
      <c r="BB359" s="52"/>
      <c r="BC359" s="52"/>
      <c r="BD359" s="52"/>
      <c r="BE359" s="52"/>
      <c r="BF359" s="52"/>
      <c r="BG359" s="52"/>
      <c r="BH359" s="52"/>
      <c r="BI359" s="52"/>
      <c r="BJ359" s="52"/>
      <c r="BK359" s="52"/>
      <c r="BL359" s="52"/>
      <c r="BM359" s="52"/>
      <c r="BN359" s="52"/>
      <c r="BO359" s="52"/>
      <c r="BP359" s="52"/>
      <c r="BQ359" s="52"/>
      <c r="BR359" s="52"/>
      <c r="BS359" s="52"/>
      <c r="BT359" s="52"/>
      <c r="BU359" s="52"/>
      <c r="BV359" s="52"/>
    </row>
    <row r="360">
      <c r="AS360" s="52"/>
      <c r="AT360" s="52"/>
      <c r="AU360" s="52"/>
      <c r="AV360" s="52"/>
      <c r="AW360" s="52"/>
      <c r="AX360" s="52"/>
      <c r="AY360" s="52"/>
      <c r="AZ360" s="52"/>
      <c r="BA360" s="52"/>
      <c r="BB360" s="52"/>
      <c r="BC360" s="52"/>
      <c r="BD360" s="52"/>
      <c r="BE360" s="52"/>
      <c r="BF360" s="52"/>
      <c r="BG360" s="52"/>
      <c r="BH360" s="52"/>
      <c r="BI360" s="52"/>
      <c r="BJ360" s="52"/>
      <c r="BK360" s="52"/>
      <c r="BL360" s="52"/>
      <c r="BM360" s="52"/>
      <c r="BN360" s="52"/>
      <c r="BO360" s="52"/>
      <c r="BP360" s="52"/>
      <c r="BQ360" s="52"/>
      <c r="BR360" s="52"/>
      <c r="BS360" s="52"/>
      <c r="BT360" s="52"/>
      <c r="BU360" s="52"/>
      <c r="BV360" s="52"/>
    </row>
    <row r="361">
      <c r="AS361" s="52"/>
      <c r="AT361" s="52"/>
      <c r="AU361" s="52"/>
      <c r="AV361" s="52"/>
      <c r="AW361" s="52"/>
      <c r="AX361" s="52"/>
      <c r="AY361" s="52"/>
      <c r="AZ361" s="52"/>
      <c r="BA361" s="52"/>
      <c r="BB361" s="52"/>
      <c r="BC361" s="52"/>
      <c r="BD361" s="52"/>
      <c r="BE361" s="52"/>
      <c r="BF361" s="52"/>
      <c r="BG361" s="52"/>
      <c r="BH361" s="52"/>
      <c r="BI361" s="52"/>
      <c r="BJ361" s="52"/>
      <c r="BK361" s="52"/>
      <c r="BL361" s="52"/>
      <c r="BM361" s="52"/>
      <c r="BN361" s="52"/>
      <c r="BO361" s="52"/>
      <c r="BP361" s="52"/>
      <c r="BQ361" s="52"/>
      <c r="BR361" s="52"/>
      <c r="BS361" s="52"/>
      <c r="BT361" s="52"/>
      <c r="BU361" s="52"/>
      <c r="BV361" s="52"/>
    </row>
    <row r="362">
      <c r="AS362" s="52"/>
      <c r="AT362" s="52"/>
      <c r="AU362" s="52"/>
      <c r="AV362" s="52"/>
      <c r="AW362" s="52"/>
      <c r="AX362" s="52"/>
      <c r="AY362" s="52"/>
      <c r="AZ362" s="52"/>
      <c r="BA362" s="52"/>
      <c r="BB362" s="52"/>
      <c r="BC362" s="52"/>
      <c r="BD362" s="52"/>
      <c r="BE362" s="52"/>
      <c r="BF362" s="52"/>
      <c r="BG362" s="52"/>
      <c r="BH362" s="52"/>
      <c r="BI362" s="52"/>
      <c r="BJ362" s="52"/>
      <c r="BK362" s="52"/>
      <c r="BL362" s="52"/>
      <c r="BM362" s="52"/>
      <c r="BN362" s="52"/>
      <c r="BO362" s="52"/>
      <c r="BP362" s="52"/>
      <c r="BQ362" s="52"/>
      <c r="BR362" s="52"/>
      <c r="BS362" s="52"/>
      <c r="BT362" s="52"/>
      <c r="BU362" s="52"/>
      <c r="BV362" s="52"/>
    </row>
    <row r="363">
      <c r="AS363" s="52"/>
      <c r="AT363" s="52"/>
      <c r="AU363" s="52"/>
      <c r="AV363" s="52"/>
      <c r="AW363" s="52"/>
      <c r="AX363" s="52"/>
      <c r="AY363" s="52"/>
      <c r="AZ363" s="52"/>
      <c r="BA363" s="52"/>
      <c r="BB363" s="52"/>
      <c r="BC363" s="52"/>
      <c r="BD363" s="52"/>
      <c r="BE363" s="52"/>
      <c r="BF363" s="52"/>
      <c r="BG363" s="52"/>
      <c r="BH363" s="52"/>
      <c r="BI363" s="52"/>
      <c r="BJ363" s="52"/>
      <c r="BK363" s="52"/>
      <c r="BL363" s="52"/>
      <c r="BM363" s="52"/>
      <c r="BN363" s="52"/>
      <c r="BO363" s="52"/>
      <c r="BP363" s="52"/>
      <c r="BQ363" s="52"/>
      <c r="BR363" s="52"/>
      <c r="BS363" s="52"/>
      <c r="BT363" s="52"/>
      <c r="BU363" s="52"/>
      <c r="BV363" s="52"/>
    </row>
    <row r="364">
      <c r="AS364" s="52"/>
      <c r="AT364" s="52"/>
      <c r="AU364" s="52"/>
      <c r="AV364" s="52"/>
      <c r="AW364" s="52"/>
      <c r="AX364" s="52"/>
      <c r="AY364" s="52"/>
      <c r="AZ364" s="52"/>
      <c r="BA364" s="52"/>
      <c r="BB364" s="52"/>
      <c r="BC364" s="52"/>
      <c r="BD364" s="52"/>
      <c r="BE364" s="52"/>
      <c r="BF364" s="52"/>
      <c r="BG364" s="52"/>
      <c r="BH364" s="52"/>
      <c r="BI364" s="52"/>
      <c r="BJ364" s="52"/>
      <c r="BK364" s="52"/>
      <c r="BL364" s="52"/>
      <c r="BM364" s="52"/>
      <c r="BN364" s="52"/>
      <c r="BO364" s="52"/>
      <c r="BP364" s="52"/>
      <c r="BQ364" s="52"/>
      <c r="BR364" s="52"/>
      <c r="BS364" s="52"/>
      <c r="BT364" s="52"/>
      <c r="BU364" s="52"/>
      <c r="BV364" s="52"/>
    </row>
    <row r="365">
      <c r="AS365" s="52"/>
      <c r="AT365" s="52"/>
      <c r="AU365" s="52"/>
      <c r="AV365" s="52"/>
      <c r="AW365" s="52"/>
      <c r="AX365" s="52"/>
      <c r="AY365" s="52"/>
      <c r="AZ365" s="52"/>
      <c r="BA365" s="52"/>
      <c r="BB365" s="52"/>
      <c r="BC365" s="52"/>
      <c r="BD365" s="52"/>
      <c r="BE365" s="52"/>
      <c r="BF365" s="52"/>
      <c r="BG365" s="52"/>
      <c r="BH365" s="52"/>
      <c r="BI365" s="52"/>
      <c r="BJ365" s="52"/>
      <c r="BK365" s="52"/>
      <c r="BL365" s="52"/>
      <c r="BM365" s="52"/>
      <c r="BN365" s="52"/>
      <c r="BO365" s="52"/>
      <c r="BP365" s="52"/>
      <c r="BQ365" s="52"/>
      <c r="BR365" s="52"/>
      <c r="BS365" s="52"/>
      <c r="BT365" s="52"/>
      <c r="BU365" s="52"/>
      <c r="BV365" s="52"/>
    </row>
    <row r="366">
      <c r="AS366" s="52"/>
      <c r="AT366" s="52"/>
      <c r="AU366" s="52"/>
      <c r="AV366" s="52"/>
      <c r="AW366" s="52"/>
      <c r="AX366" s="52"/>
      <c r="AY366" s="52"/>
      <c r="AZ366" s="52"/>
      <c r="BA366" s="52"/>
      <c r="BB366" s="52"/>
      <c r="BC366" s="52"/>
      <c r="BD366" s="52"/>
      <c r="BE366" s="52"/>
      <c r="BF366" s="52"/>
      <c r="BG366" s="52"/>
      <c r="BH366" s="52"/>
      <c r="BI366" s="52"/>
      <c r="BJ366" s="52"/>
      <c r="BK366" s="52"/>
      <c r="BL366" s="52"/>
      <c r="BM366" s="52"/>
      <c r="BN366" s="52"/>
      <c r="BO366" s="52"/>
      <c r="BP366" s="52"/>
      <c r="BQ366" s="52"/>
      <c r="BR366" s="52"/>
      <c r="BS366" s="52"/>
      <c r="BT366" s="52"/>
      <c r="BU366" s="52"/>
      <c r="BV366" s="52"/>
    </row>
    <row r="367">
      <c r="AS367" s="52"/>
      <c r="AT367" s="52"/>
      <c r="AU367" s="52"/>
      <c r="AV367" s="52"/>
      <c r="AW367" s="52"/>
      <c r="AX367" s="52"/>
      <c r="AY367" s="52"/>
      <c r="AZ367" s="52"/>
      <c r="BA367" s="52"/>
      <c r="BB367" s="52"/>
      <c r="BC367" s="52"/>
      <c r="BD367" s="52"/>
      <c r="BE367" s="52"/>
      <c r="BF367" s="52"/>
      <c r="BG367" s="52"/>
      <c r="BH367" s="52"/>
      <c r="BI367" s="52"/>
      <c r="BJ367" s="52"/>
      <c r="BK367" s="52"/>
      <c r="BL367" s="52"/>
      <c r="BM367" s="52"/>
      <c r="BN367" s="52"/>
      <c r="BO367" s="52"/>
      <c r="BP367" s="52"/>
      <c r="BQ367" s="52"/>
      <c r="BR367" s="52"/>
      <c r="BS367" s="52"/>
      <c r="BT367" s="52"/>
      <c r="BU367" s="52"/>
      <c r="BV367" s="52"/>
    </row>
    <row r="368">
      <c r="AS368" s="52"/>
      <c r="AT368" s="52"/>
      <c r="AU368" s="52"/>
      <c r="AV368" s="52"/>
      <c r="AW368" s="52"/>
      <c r="AX368" s="52"/>
      <c r="AY368" s="52"/>
      <c r="AZ368" s="52"/>
      <c r="BA368" s="52"/>
      <c r="BB368" s="52"/>
      <c r="BC368" s="52"/>
      <c r="BD368" s="52"/>
      <c r="BE368" s="52"/>
      <c r="BF368" s="52"/>
      <c r="BG368" s="52"/>
      <c r="BH368" s="52"/>
      <c r="BI368" s="52"/>
      <c r="BJ368" s="52"/>
      <c r="BK368" s="52"/>
      <c r="BL368" s="52"/>
      <c r="BM368" s="52"/>
      <c r="BN368" s="52"/>
      <c r="BO368" s="52"/>
      <c r="BP368" s="52"/>
      <c r="BQ368" s="52"/>
      <c r="BR368" s="52"/>
      <c r="BS368" s="52"/>
      <c r="BT368" s="52"/>
      <c r="BU368" s="52"/>
      <c r="BV368" s="52"/>
    </row>
    <row r="369">
      <c r="AS369" s="52"/>
      <c r="AT369" s="52"/>
      <c r="AU369" s="52"/>
      <c r="AV369" s="52"/>
      <c r="AW369" s="52"/>
      <c r="AX369" s="52"/>
      <c r="AY369" s="52"/>
      <c r="AZ369" s="52"/>
      <c r="BA369" s="52"/>
      <c r="BB369" s="52"/>
      <c r="BC369" s="52"/>
      <c r="BD369" s="52"/>
      <c r="BE369" s="52"/>
      <c r="BF369" s="52"/>
      <c r="BG369" s="52"/>
      <c r="BH369" s="52"/>
      <c r="BI369" s="52"/>
      <c r="BJ369" s="52"/>
      <c r="BK369" s="52"/>
      <c r="BL369" s="52"/>
      <c r="BM369" s="52"/>
      <c r="BN369" s="52"/>
      <c r="BO369" s="52"/>
      <c r="BP369" s="52"/>
      <c r="BQ369" s="52"/>
      <c r="BR369" s="52"/>
      <c r="BS369" s="52"/>
      <c r="BT369" s="52"/>
      <c r="BU369" s="52"/>
      <c r="BV369" s="52"/>
    </row>
    <row r="370">
      <c r="AS370" s="52"/>
      <c r="AT370" s="52"/>
      <c r="AU370" s="52"/>
      <c r="AV370" s="52"/>
      <c r="AW370" s="52"/>
      <c r="AX370" s="52"/>
      <c r="AY370" s="52"/>
      <c r="AZ370" s="52"/>
      <c r="BA370" s="52"/>
      <c r="BB370" s="52"/>
      <c r="BC370" s="52"/>
      <c r="BD370" s="52"/>
      <c r="BE370" s="52"/>
      <c r="BF370" s="52"/>
      <c r="BG370" s="52"/>
      <c r="BH370" s="52"/>
      <c r="BI370" s="52"/>
      <c r="BJ370" s="52"/>
      <c r="BK370" s="52"/>
      <c r="BL370" s="52"/>
      <c r="BM370" s="52"/>
      <c r="BN370" s="52"/>
      <c r="BO370" s="52"/>
      <c r="BP370" s="52"/>
      <c r="BQ370" s="52"/>
      <c r="BR370" s="52"/>
      <c r="BS370" s="52"/>
      <c r="BT370" s="52"/>
      <c r="BU370" s="52"/>
      <c r="BV370" s="52"/>
    </row>
    <row r="371">
      <c r="AS371" s="52"/>
      <c r="AT371" s="52"/>
      <c r="AU371" s="52"/>
      <c r="AV371" s="52"/>
      <c r="AW371" s="52"/>
      <c r="AX371" s="52"/>
      <c r="AY371" s="52"/>
      <c r="AZ371" s="52"/>
      <c r="BA371" s="52"/>
      <c r="BB371" s="52"/>
      <c r="BC371" s="52"/>
      <c r="BD371" s="52"/>
      <c r="BE371" s="52"/>
      <c r="BF371" s="52"/>
      <c r="BG371" s="52"/>
      <c r="BH371" s="52"/>
      <c r="BI371" s="52"/>
      <c r="BJ371" s="52"/>
      <c r="BK371" s="52"/>
      <c r="BL371" s="52"/>
      <c r="BM371" s="52"/>
      <c r="BN371" s="52"/>
      <c r="BO371" s="52"/>
      <c r="BP371" s="52"/>
      <c r="BQ371" s="52"/>
      <c r="BR371" s="52"/>
      <c r="BS371" s="52"/>
      <c r="BT371" s="52"/>
      <c r="BU371" s="52"/>
      <c r="BV371" s="52"/>
    </row>
    <row r="372">
      <c r="AS372" s="52"/>
      <c r="AT372" s="52"/>
      <c r="AU372" s="52"/>
      <c r="AV372" s="52"/>
      <c r="AW372" s="52"/>
      <c r="AX372" s="52"/>
      <c r="AY372" s="52"/>
      <c r="AZ372" s="52"/>
      <c r="BA372" s="52"/>
      <c r="BB372" s="52"/>
      <c r="BC372" s="52"/>
      <c r="BD372" s="52"/>
      <c r="BE372" s="52"/>
      <c r="BF372" s="52"/>
      <c r="BG372" s="52"/>
      <c r="BH372" s="52"/>
      <c r="BI372" s="52"/>
      <c r="BJ372" s="52"/>
      <c r="BK372" s="52"/>
      <c r="BL372" s="52"/>
      <c r="BM372" s="52"/>
      <c r="BN372" s="52"/>
      <c r="BO372" s="52"/>
      <c r="BP372" s="52"/>
      <c r="BQ372" s="52"/>
      <c r="BR372" s="52"/>
      <c r="BS372" s="52"/>
      <c r="BT372" s="52"/>
      <c r="BU372" s="52"/>
      <c r="BV372" s="52"/>
    </row>
    <row r="373">
      <c r="AS373" s="52"/>
      <c r="AT373" s="52"/>
      <c r="AU373" s="52"/>
      <c r="AV373" s="52"/>
      <c r="AW373" s="52"/>
      <c r="AX373" s="52"/>
      <c r="AY373" s="52"/>
      <c r="AZ373" s="52"/>
      <c r="BA373" s="52"/>
      <c r="BB373" s="52"/>
      <c r="BC373" s="52"/>
      <c r="BD373" s="52"/>
      <c r="BE373" s="52"/>
      <c r="BF373" s="52"/>
      <c r="BG373" s="52"/>
      <c r="BH373" s="52"/>
      <c r="BI373" s="52"/>
      <c r="BJ373" s="52"/>
      <c r="BK373" s="52"/>
      <c r="BL373" s="52"/>
      <c r="BM373" s="52"/>
      <c r="BN373" s="52"/>
      <c r="BO373" s="52"/>
      <c r="BP373" s="52"/>
      <c r="BQ373" s="52"/>
      <c r="BR373" s="52"/>
      <c r="BS373" s="52"/>
      <c r="BT373" s="52"/>
      <c r="BU373" s="52"/>
      <c r="BV373" s="52"/>
    </row>
    <row r="374">
      <c r="AS374" s="52"/>
      <c r="AT374" s="52"/>
      <c r="AU374" s="52"/>
      <c r="AV374" s="52"/>
      <c r="AW374" s="52"/>
      <c r="AX374" s="52"/>
      <c r="AY374" s="52"/>
      <c r="AZ374" s="52"/>
      <c r="BA374" s="52"/>
      <c r="BB374" s="52"/>
      <c r="BC374" s="52"/>
      <c r="BD374" s="52"/>
      <c r="BE374" s="52"/>
      <c r="BF374" s="52"/>
      <c r="BG374" s="52"/>
      <c r="BH374" s="52"/>
      <c r="BI374" s="52"/>
      <c r="BJ374" s="52"/>
      <c r="BK374" s="52"/>
      <c r="BL374" s="52"/>
      <c r="BM374" s="52"/>
      <c r="BN374" s="52"/>
      <c r="BO374" s="52"/>
      <c r="BP374" s="52"/>
      <c r="BQ374" s="52"/>
      <c r="BR374" s="52"/>
      <c r="BS374" s="52"/>
      <c r="BT374" s="52"/>
      <c r="BU374" s="52"/>
      <c r="BV374" s="52"/>
    </row>
    <row r="375">
      <c r="AS375" s="52"/>
      <c r="AT375" s="52"/>
      <c r="AU375" s="52"/>
      <c r="AV375" s="52"/>
      <c r="AW375" s="52"/>
      <c r="AX375" s="52"/>
      <c r="AY375" s="52"/>
      <c r="AZ375" s="52"/>
      <c r="BA375" s="52"/>
      <c r="BB375" s="52"/>
      <c r="BC375" s="52"/>
      <c r="BD375" s="52"/>
      <c r="BE375" s="52"/>
      <c r="BF375" s="52"/>
      <c r="BG375" s="52"/>
      <c r="BH375" s="52"/>
      <c r="BI375" s="52"/>
      <c r="BJ375" s="52"/>
      <c r="BK375" s="52"/>
      <c r="BL375" s="52"/>
      <c r="BM375" s="52"/>
      <c r="BN375" s="52"/>
      <c r="BO375" s="52"/>
      <c r="BP375" s="52"/>
      <c r="BQ375" s="52"/>
      <c r="BR375" s="52"/>
      <c r="BS375" s="52"/>
      <c r="BT375" s="52"/>
      <c r="BU375" s="52"/>
      <c r="BV375" s="52"/>
    </row>
    <row r="376">
      <c r="AS376" s="52"/>
      <c r="AT376" s="52"/>
      <c r="AU376" s="52"/>
      <c r="AV376" s="52"/>
      <c r="AW376" s="52"/>
      <c r="AX376" s="52"/>
      <c r="AY376" s="52"/>
      <c r="AZ376" s="52"/>
      <c r="BA376" s="52"/>
      <c r="BB376" s="52"/>
      <c r="BC376" s="52"/>
      <c r="BD376" s="52"/>
      <c r="BE376" s="52"/>
      <c r="BF376" s="52"/>
      <c r="BG376" s="52"/>
      <c r="BH376" s="52"/>
      <c r="BI376" s="52"/>
      <c r="BJ376" s="52"/>
      <c r="BK376" s="52"/>
      <c r="BL376" s="52"/>
      <c r="BM376" s="52"/>
      <c r="BN376" s="52"/>
      <c r="BO376" s="52"/>
      <c r="BP376" s="52"/>
      <c r="BQ376" s="52"/>
      <c r="BR376" s="52"/>
      <c r="BS376" s="52"/>
      <c r="BT376" s="52"/>
      <c r="BU376" s="52"/>
      <c r="BV376" s="52"/>
    </row>
    <row r="377">
      <c r="AS377" s="52"/>
      <c r="AT377" s="52"/>
      <c r="AU377" s="52"/>
      <c r="AV377" s="52"/>
      <c r="AW377" s="52"/>
      <c r="AX377" s="52"/>
      <c r="AY377" s="52"/>
      <c r="AZ377" s="52"/>
      <c r="BA377" s="52"/>
      <c r="BB377" s="52"/>
      <c r="BC377" s="52"/>
      <c r="BD377" s="52"/>
      <c r="BE377" s="52"/>
      <c r="BF377" s="52"/>
      <c r="BG377" s="52"/>
      <c r="BH377" s="52"/>
      <c r="BI377" s="52"/>
      <c r="BJ377" s="52"/>
      <c r="BK377" s="52"/>
      <c r="BL377" s="52"/>
      <c r="BM377" s="52"/>
      <c r="BN377" s="52"/>
      <c r="BO377" s="52"/>
      <c r="BP377" s="52"/>
      <c r="BQ377" s="52"/>
      <c r="BR377" s="52"/>
      <c r="BS377" s="52"/>
      <c r="BT377" s="52"/>
      <c r="BU377" s="52"/>
      <c r="BV377" s="52"/>
    </row>
    <row r="378">
      <c r="AS378" s="52"/>
      <c r="AT378" s="52"/>
      <c r="AU378" s="52"/>
      <c r="AV378" s="52"/>
      <c r="AW378" s="52"/>
      <c r="AX378" s="52"/>
      <c r="AY378" s="52"/>
      <c r="AZ378" s="52"/>
      <c r="BA378" s="52"/>
      <c r="BB378" s="52"/>
      <c r="BC378" s="52"/>
      <c r="BD378" s="52"/>
      <c r="BE378" s="52"/>
      <c r="BF378" s="52"/>
      <c r="BG378" s="52"/>
      <c r="BH378" s="52"/>
      <c r="BI378" s="52"/>
      <c r="BJ378" s="52"/>
      <c r="BK378" s="52"/>
      <c r="BL378" s="52"/>
      <c r="BM378" s="52"/>
      <c r="BN378" s="52"/>
      <c r="BO378" s="52"/>
      <c r="BP378" s="52"/>
      <c r="BQ378" s="52"/>
      <c r="BR378" s="52"/>
      <c r="BS378" s="52"/>
      <c r="BT378" s="52"/>
      <c r="BU378" s="52"/>
      <c r="BV378" s="52"/>
    </row>
    <row r="379">
      <c r="AS379" s="52"/>
      <c r="AT379" s="52"/>
      <c r="AU379" s="52"/>
      <c r="AV379" s="52"/>
      <c r="AW379" s="52"/>
      <c r="AX379" s="52"/>
      <c r="AY379" s="52"/>
      <c r="AZ379" s="52"/>
      <c r="BA379" s="52"/>
      <c r="BB379" s="52"/>
      <c r="BC379" s="52"/>
      <c r="BD379" s="52"/>
      <c r="BE379" s="52"/>
      <c r="BF379" s="52"/>
      <c r="BG379" s="52"/>
      <c r="BH379" s="52"/>
      <c r="BI379" s="52"/>
      <c r="BJ379" s="52"/>
      <c r="BK379" s="52"/>
      <c r="BL379" s="52"/>
      <c r="BM379" s="52"/>
      <c r="BN379" s="52"/>
      <c r="BO379" s="52"/>
      <c r="BP379" s="52"/>
      <c r="BQ379" s="52"/>
      <c r="BR379" s="52"/>
      <c r="BS379" s="52"/>
      <c r="BT379" s="52"/>
      <c r="BU379" s="52"/>
      <c r="BV379" s="52"/>
    </row>
    <row r="380">
      <c r="AS380" s="52"/>
      <c r="AT380" s="52"/>
      <c r="AU380" s="52"/>
      <c r="AV380" s="52"/>
      <c r="AW380" s="52"/>
      <c r="AX380" s="52"/>
      <c r="AY380" s="52"/>
      <c r="AZ380" s="52"/>
      <c r="BA380" s="52"/>
      <c r="BB380" s="52"/>
      <c r="BC380" s="52"/>
      <c r="BD380" s="52"/>
      <c r="BE380" s="52"/>
      <c r="BF380" s="52"/>
      <c r="BG380" s="52"/>
      <c r="BH380" s="52"/>
      <c r="BI380" s="52"/>
      <c r="BJ380" s="52"/>
      <c r="BK380" s="52"/>
      <c r="BL380" s="52"/>
      <c r="BM380" s="52"/>
      <c r="BN380" s="52"/>
      <c r="BO380" s="52"/>
      <c r="BP380" s="52"/>
      <c r="BQ380" s="52"/>
      <c r="BR380" s="52"/>
      <c r="BS380" s="52"/>
      <c r="BT380" s="52"/>
      <c r="BU380" s="52"/>
      <c r="BV380" s="52"/>
    </row>
    <row r="381">
      <c r="AS381" s="52"/>
      <c r="AT381" s="52"/>
      <c r="AU381" s="52"/>
      <c r="AV381" s="52"/>
      <c r="AW381" s="52"/>
      <c r="AX381" s="52"/>
      <c r="AY381" s="52"/>
      <c r="AZ381" s="52"/>
      <c r="BA381" s="52"/>
      <c r="BB381" s="52"/>
      <c r="BC381" s="52"/>
      <c r="BD381" s="52"/>
      <c r="BE381" s="52"/>
      <c r="BF381" s="52"/>
      <c r="BG381" s="52"/>
      <c r="BH381" s="52"/>
      <c r="BI381" s="52"/>
      <c r="BJ381" s="52"/>
      <c r="BK381" s="52"/>
      <c r="BL381" s="52"/>
      <c r="BM381" s="52"/>
      <c r="BN381" s="52"/>
      <c r="BO381" s="52"/>
      <c r="BP381" s="52"/>
      <c r="BQ381" s="52"/>
      <c r="BR381" s="52"/>
      <c r="BS381" s="52"/>
      <c r="BT381" s="52"/>
      <c r="BU381" s="52"/>
      <c r="BV381" s="52"/>
    </row>
    <row r="382">
      <c r="AS382" s="52"/>
      <c r="AT382" s="52"/>
      <c r="AU382" s="52"/>
      <c r="AV382" s="52"/>
      <c r="AW382" s="52"/>
      <c r="AX382" s="52"/>
      <c r="AY382" s="52"/>
      <c r="AZ382" s="52"/>
      <c r="BA382" s="52"/>
      <c r="BB382" s="52"/>
      <c r="BC382" s="52"/>
      <c r="BD382" s="52"/>
      <c r="BE382" s="52"/>
      <c r="BF382" s="52"/>
      <c r="BG382" s="52"/>
      <c r="BH382" s="52"/>
      <c r="BI382" s="52"/>
      <c r="BJ382" s="52"/>
      <c r="BK382" s="52"/>
      <c r="BL382" s="52"/>
      <c r="BM382" s="52"/>
      <c r="BN382" s="52"/>
      <c r="BO382" s="52"/>
      <c r="BP382" s="52"/>
      <c r="BQ382" s="52"/>
      <c r="BR382" s="52"/>
      <c r="BS382" s="52"/>
      <c r="BT382" s="52"/>
      <c r="BU382" s="52"/>
      <c r="BV382" s="52"/>
    </row>
    <row r="383">
      <c r="AS383" s="52"/>
      <c r="AT383" s="52"/>
      <c r="AU383" s="52"/>
      <c r="AV383" s="52"/>
      <c r="AW383" s="52"/>
      <c r="AX383" s="52"/>
      <c r="AY383" s="52"/>
      <c r="AZ383" s="52"/>
      <c r="BA383" s="52"/>
      <c r="BB383" s="52"/>
      <c r="BC383" s="52"/>
      <c r="BD383" s="52"/>
      <c r="BE383" s="52"/>
      <c r="BF383" s="52"/>
      <c r="BG383" s="52"/>
      <c r="BH383" s="52"/>
      <c r="BI383" s="52"/>
      <c r="BJ383" s="52"/>
      <c r="BK383" s="52"/>
      <c r="BL383" s="52"/>
      <c r="BM383" s="52"/>
      <c r="BN383" s="52"/>
      <c r="BO383" s="52"/>
      <c r="BP383" s="52"/>
      <c r="BQ383" s="52"/>
      <c r="BR383" s="52"/>
      <c r="BS383" s="52"/>
      <c r="BT383" s="52"/>
      <c r="BU383" s="52"/>
      <c r="BV383" s="52"/>
    </row>
    <row r="384">
      <c r="AS384" s="52"/>
      <c r="AT384" s="52"/>
      <c r="AU384" s="52"/>
      <c r="AV384" s="52"/>
      <c r="AW384" s="52"/>
      <c r="AX384" s="52"/>
      <c r="AY384" s="52"/>
      <c r="AZ384" s="52"/>
      <c r="BA384" s="52"/>
      <c r="BB384" s="52"/>
      <c r="BC384" s="52"/>
      <c r="BD384" s="52"/>
      <c r="BE384" s="52"/>
      <c r="BF384" s="52"/>
      <c r="BG384" s="52"/>
      <c r="BH384" s="52"/>
      <c r="BI384" s="52"/>
      <c r="BJ384" s="52"/>
      <c r="BK384" s="52"/>
      <c r="BL384" s="52"/>
      <c r="BM384" s="52"/>
      <c r="BN384" s="52"/>
      <c r="BO384" s="52"/>
      <c r="BP384" s="52"/>
      <c r="BQ384" s="52"/>
      <c r="BR384" s="52"/>
      <c r="BS384" s="52"/>
      <c r="BT384" s="52"/>
      <c r="BU384" s="52"/>
      <c r="BV384" s="52"/>
    </row>
    <row r="385">
      <c r="AS385" s="52"/>
      <c r="AT385" s="52"/>
      <c r="AU385" s="52"/>
      <c r="AV385" s="52"/>
      <c r="AW385" s="52"/>
      <c r="AX385" s="52"/>
      <c r="AY385" s="52"/>
      <c r="AZ385" s="52"/>
      <c r="BA385" s="52"/>
      <c r="BB385" s="52"/>
      <c r="BC385" s="52"/>
      <c r="BD385" s="52"/>
      <c r="BE385" s="52"/>
      <c r="BF385" s="52"/>
      <c r="BG385" s="52"/>
      <c r="BH385" s="52"/>
      <c r="BI385" s="52"/>
      <c r="BJ385" s="52"/>
      <c r="BK385" s="52"/>
      <c r="BL385" s="52"/>
      <c r="BM385" s="52"/>
      <c r="BN385" s="52"/>
      <c r="BO385" s="52"/>
      <c r="BP385" s="52"/>
      <c r="BQ385" s="52"/>
      <c r="BR385" s="52"/>
      <c r="BS385" s="52"/>
      <c r="BT385" s="52"/>
      <c r="BU385" s="52"/>
      <c r="BV385" s="52"/>
    </row>
    <row r="386">
      <c r="AS386" s="52"/>
      <c r="AT386" s="52"/>
      <c r="AU386" s="52"/>
      <c r="AV386" s="52"/>
      <c r="AW386" s="52"/>
      <c r="AX386" s="52"/>
      <c r="AY386" s="52"/>
      <c r="AZ386" s="52"/>
      <c r="BA386" s="52"/>
      <c r="BB386" s="52"/>
      <c r="BC386" s="52"/>
      <c r="BD386" s="52"/>
      <c r="BE386" s="52"/>
      <c r="BF386" s="52"/>
      <c r="BG386" s="52"/>
      <c r="BH386" s="52"/>
      <c r="BI386" s="52"/>
      <c r="BJ386" s="52"/>
      <c r="BK386" s="52"/>
      <c r="BL386" s="52"/>
      <c r="BM386" s="52"/>
      <c r="BN386" s="52"/>
      <c r="BO386" s="52"/>
      <c r="BP386" s="52"/>
      <c r="BQ386" s="52"/>
      <c r="BR386" s="52"/>
      <c r="BS386" s="52"/>
      <c r="BT386" s="52"/>
      <c r="BU386" s="52"/>
      <c r="BV386" s="52"/>
    </row>
    <row r="387">
      <c r="AS387" s="52"/>
      <c r="AT387" s="52"/>
      <c r="AU387" s="52"/>
      <c r="AV387" s="52"/>
      <c r="AW387" s="52"/>
      <c r="AX387" s="52"/>
      <c r="AY387" s="52"/>
      <c r="AZ387" s="52"/>
      <c r="BA387" s="52"/>
      <c r="BB387" s="52"/>
      <c r="BC387" s="52"/>
      <c r="BD387" s="52"/>
      <c r="BE387" s="52"/>
      <c r="BF387" s="52"/>
      <c r="BG387" s="52"/>
      <c r="BH387" s="52"/>
      <c r="BI387" s="52"/>
      <c r="BJ387" s="52"/>
      <c r="BK387" s="52"/>
      <c r="BL387" s="52"/>
      <c r="BM387" s="52"/>
      <c r="BN387" s="52"/>
      <c r="BO387" s="52"/>
      <c r="BP387" s="52"/>
      <c r="BQ387" s="52"/>
      <c r="BR387" s="52"/>
      <c r="BS387" s="52"/>
      <c r="BT387" s="52"/>
      <c r="BU387" s="52"/>
      <c r="BV387" s="52"/>
    </row>
    <row r="388">
      <c r="AS388" s="52"/>
      <c r="AT388" s="52"/>
      <c r="AU388" s="52"/>
      <c r="AV388" s="52"/>
      <c r="AW388" s="52"/>
      <c r="AX388" s="52"/>
      <c r="AY388" s="52"/>
      <c r="AZ388" s="52"/>
      <c r="BA388" s="52"/>
      <c r="BB388" s="52"/>
      <c r="BC388" s="52"/>
      <c r="BD388" s="52"/>
      <c r="BE388" s="52"/>
      <c r="BF388" s="52"/>
      <c r="BG388" s="52"/>
      <c r="BH388" s="52"/>
      <c r="BI388" s="52"/>
      <c r="BJ388" s="52"/>
      <c r="BK388" s="52"/>
      <c r="BL388" s="52"/>
      <c r="BM388" s="52"/>
      <c r="BN388" s="52"/>
      <c r="BO388" s="52"/>
      <c r="BP388" s="52"/>
      <c r="BQ388" s="52"/>
      <c r="BR388" s="52"/>
      <c r="BS388" s="52"/>
      <c r="BT388" s="52"/>
      <c r="BU388" s="52"/>
      <c r="BV388" s="52"/>
    </row>
    <row r="389">
      <c r="AS389" s="52"/>
      <c r="AT389" s="52"/>
      <c r="AU389" s="52"/>
      <c r="AV389" s="52"/>
      <c r="AW389" s="52"/>
      <c r="AX389" s="52"/>
      <c r="AY389" s="52"/>
      <c r="AZ389" s="52"/>
      <c r="BA389" s="52"/>
      <c r="BB389" s="52"/>
      <c r="BC389" s="52"/>
      <c r="BD389" s="52"/>
      <c r="BE389" s="52"/>
      <c r="BF389" s="52"/>
      <c r="BG389" s="52"/>
      <c r="BH389" s="52"/>
      <c r="BI389" s="52"/>
      <c r="BJ389" s="52"/>
      <c r="BK389" s="52"/>
      <c r="BL389" s="52"/>
      <c r="BM389" s="52"/>
      <c r="BN389" s="52"/>
      <c r="BO389" s="52"/>
      <c r="BP389" s="52"/>
      <c r="BQ389" s="52"/>
      <c r="BR389" s="52"/>
      <c r="BS389" s="52"/>
      <c r="BT389" s="52"/>
      <c r="BU389" s="52"/>
      <c r="BV389" s="52"/>
    </row>
    <row r="390">
      <c r="AS390" s="52"/>
      <c r="AT390" s="52"/>
      <c r="AU390" s="52"/>
      <c r="AV390" s="52"/>
      <c r="AW390" s="52"/>
      <c r="AX390" s="52"/>
      <c r="AY390" s="52"/>
      <c r="AZ390" s="52"/>
      <c r="BA390" s="52"/>
      <c r="BB390" s="52"/>
      <c r="BC390" s="52"/>
      <c r="BD390" s="52"/>
      <c r="BE390" s="52"/>
      <c r="BF390" s="52"/>
      <c r="BG390" s="52"/>
      <c r="BH390" s="52"/>
      <c r="BI390" s="52"/>
      <c r="BJ390" s="52"/>
      <c r="BK390" s="52"/>
      <c r="BL390" s="52"/>
      <c r="BM390" s="52"/>
      <c r="BN390" s="52"/>
      <c r="BO390" s="52"/>
      <c r="BP390" s="52"/>
      <c r="BQ390" s="52"/>
      <c r="BR390" s="52"/>
      <c r="BS390" s="52"/>
      <c r="BT390" s="52"/>
      <c r="BU390" s="52"/>
      <c r="BV390" s="52"/>
    </row>
    <row r="391">
      <c r="AS391" s="52"/>
      <c r="AT391" s="52"/>
      <c r="AU391" s="52"/>
      <c r="AV391" s="52"/>
      <c r="AW391" s="52"/>
      <c r="AX391" s="52"/>
      <c r="AY391" s="52"/>
      <c r="AZ391" s="52"/>
      <c r="BA391" s="52"/>
      <c r="BB391" s="52"/>
      <c r="BC391" s="52"/>
      <c r="BD391" s="52"/>
      <c r="BE391" s="52"/>
      <c r="BF391" s="52"/>
      <c r="BG391" s="52"/>
      <c r="BH391" s="52"/>
      <c r="BI391" s="52"/>
      <c r="BJ391" s="52"/>
      <c r="BK391" s="52"/>
      <c r="BL391" s="52"/>
      <c r="BM391" s="52"/>
      <c r="BN391" s="52"/>
      <c r="BO391" s="52"/>
      <c r="BP391" s="52"/>
      <c r="BQ391" s="52"/>
      <c r="BR391" s="52"/>
      <c r="BS391" s="52"/>
      <c r="BT391" s="52"/>
      <c r="BU391" s="52"/>
      <c r="BV391" s="52"/>
    </row>
    <row r="392">
      <c r="AS392" s="52"/>
      <c r="AT392" s="52"/>
      <c r="AU392" s="52"/>
      <c r="AV392" s="52"/>
      <c r="AW392" s="52"/>
      <c r="AX392" s="52"/>
      <c r="AY392" s="52"/>
      <c r="AZ392" s="52"/>
      <c r="BA392" s="52"/>
      <c r="BB392" s="52"/>
      <c r="BC392" s="52"/>
      <c r="BD392" s="52"/>
      <c r="BE392" s="52"/>
      <c r="BF392" s="52"/>
      <c r="BG392" s="52"/>
      <c r="BH392" s="52"/>
      <c r="BI392" s="52"/>
      <c r="BJ392" s="52"/>
      <c r="BK392" s="52"/>
      <c r="BL392" s="52"/>
      <c r="BM392" s="52"/>
      <c r="BN392" s="52"/>
      <c r="BO392" s="52"/>
      <c r="BP392" s="52"/>
      <c r="BQ392" s="52"/>
      <c r="BR392" s="52"/>
      <c r="BS392" s="52"/>
      <c r="BT392" s="52"/>
      <c r="BU392" s="52"/>
      <c r="BV392" s="52"/>
    </row>
    <row r="393">
      <c r="AS393" s="52"/>
      <c r="AT393" s="52"/>
      <c r="AU393" s="52"/>
      <c r="AV393" s="52"/>
      <c r="AW393" s="52"/>
      <c r="AX393" s="52"/>
      <c r="AY393" s="52"/>
      <c r="AZ393" s="52"/>
      <c r="BA393" s="52"/>
      <c r="BB393" s="52"/>
      <c r="BC393" s="52"/>
      <c r="BD393" s="52"/>
      <c r="BE393" s="52"/>
      <c r="BF393" s="52"/>
      <c r="BG393" s="52"/>
      <c r="BH393" s="52"/>
      <c r="BI393" s="52"/>
      <c r="BJ393" s="52"/>
      <c r="BK393" s="52"/>
      <c r="BL393" s="52"/>
      <c r="BM393" s="52"/>
      <c r="BN393" s="52"/>
      <c r="BO393" s="52"/>
      <c r="BP393" s="52"/>
      <c r="BQ393" s="52"/>
      <c r="BR393" s="52"/>
      <c r="BS393" s="52"/>
      <c r="BT393" s="52"/>
      <c r="BU393" s="52"/>
      <c r="BV393" s="52"/>
    </row>
    <row r="394">
      <c r="AS394" s="52"/>
      <c r="AT394" s="52"/>
      <c r="AU394" s="52"/>
      <c r="AV394" s="52"/>
      <c r="AW394" s="52"/>
      <c r="AX394" s="52"/>
      <c r="AY394" s="52"/>
      <c r="AZ394" s="52"/>
      <c r="BA394" s="52"/>
      <c r="BB394" s="52"/>
      <c r="BC394" s="52"/>
      <c r="BD394" s="52"/>
      <c r="BE394" s="52"/>
      <c r="BF394" s="52"/>
      <c r="BG394" s="52"/>
      <c r="BH394" s="52"/>
      <c r="BI394" s="52"/>
      <c r="BJ394" s="52"/>
      <c r="BK394" s="52"/>
      <c r="BL394" s="52"/>
      <c r="BM394" s="52"/>
      <c r="BN394" s="52"/>
      <c r="BO394" s="52"/>
      <c r="BP394" s="52"/>
      <c r="BQ394" s="52"/>
      <c r="BR394" s="52"/>
      <c r="BS394" s="52"/>
      <c r="BT394" s="52"/>
      <c r="BU394" s="52"/>
      <c r="BV394" s="52"/>
    </row>
    <row r="395">
      <c r="AS395" s="52"/>
      <c r="AT395" s="52"/>
      <c r="AU395" s="52"/>
      <c r="AV395" s="52"/>
      <c r="AW395" s="52"/>
      <c r="AX395" s="52"/>
      <c r="AY395" s="52"/>
      <c r="AZ395" s="52"/>
      <c r="BA395" s="52"/>
      <c r="BB395" s="52"/>
      <c r="BC395" s="52"/>
      <c r="BD395" s="52"/>
      <c r="BE395" s="52"/>
      <c r="BF395" s="52"/>
      <c r="BG395" s="52"/>
      <c r="BH395" s="52"/>
      <c r="BI395" s="52"/>
      <c r="BJ395" s="52"/>
      <c r="BK395" s="52"/>
      <c r="BL395" s="52"/>
      <c r="BM395" s="52"/>
      <c r="BN395" s="52"/>
      <c r="BO395" s="52"/>
      <c r="BP395" s="52"/>
      <c r="BQ395" s="52"/>
      <c r="BR395" s="52"/>
      <c r="BS395" s="52"/>
      <c r="BT395" s="52"/>
      <c r="BU395" s="52"/>
      <c r="BV395" s="52"/>
    </row>
    <row r="396">
      <c r="AS396" s="52"/>
      <c r="AT396" s="52"/>
      <c r="AU396" s="52"/>
      <c r="AV396" s="52"/>
      <c r="AW396" s="52"/>
      <c r="AX396" s="52"/>
      <c r="AY396" s="52"/>
      <c r="AZ396" s="52"/>
      <c r="BA396" s="52"/>
      <c r="BB396" s="52"/>
      <c r="BC396" s="52"/>
      <c r="BD396" s="52"/>
      <c r="BE396" s="52"/>
      <c r="BF396" s="52"/>
      <c r="BG396" s="52"/>
      <c r="BH396" s="52"/>
      <c r="BI396" s="52"/>
      <c r="BJ396" s="52"/>
      <c r="BK396" s="52"/>
      <c r="BL396" s="52"/>
      <c r="BM396" s="52"/>
      <c r="BN396" s="52"/>
      <c r="BO396" s="52"/>
      <c r="BP396" s="52"/>
      <c r="BQ396" s="52"/>
      <c r="BR396" s="52"/>
      <c r="BS396" s="52"/>
      <c r="BT396" s="52"/>
      <c r="BU396" s="52"/>
      <c r="BV396" s="52"/>
    </row>
    <row r="397">
      <c r="AS397" s="52"/>
      <c r="AT397" s="52"/>
      <c r="AU397" s="52"/>
      <c r="AV397" s="52"/>
      <c r="AW397" s="52"/>
      <c r="AX397" s="52"/>
      <c r="AY397" s="52"/>
      <c r="AZ397" s="52"/>
      <c r="BA397" s="52"/>
      <c r="BB397" s="52"/>
      <c r="BC397" s="52"/>
      <c r="BD397" s="52"/>
      <c r="BE397" s="52"/>
      <c r="BF397" s="52"/>
      <c r="BG397" s="52"/>
      <c r="BH397" s="52"/>
      <c r="BI397" s="52"/>
      <c r="BJ397" s="52"/>
      <c r="BK397" s="52"/>
      <c r="BL397" s="52"/>
      <c r="BM397" s="52"/>
      <c r="BN397" s="52"/>
      <c r="BO397" s="52"/>
      <c r="BP397" s="52"/>
      <c r="BQ397" s="52"/>
      <c r="BR397" s="52"/>
      <c r="BS397" s="52"/>
      <c r="BT397" s="52"/>
      <c r="BU397" s="52"/>
      <c r="BV397" s="52"/>
    </row>
    <row r="398">
      <c r="AS398" s="52"/>
      <c r="AT398" s="52"/>
      <c r="AU398" s="52"/>
      <c r="AV398" s="52"/>
      <c r="AW398" s="52"/>
      <c r="AX398" s="52"/>
      <c r="AY398" s="52"/>
      <c r="AZ398" s="52"/>
      <c r="BA398" s="52"/>
      <c r="BB398" s="52"/>
      <c r="BC398" s="52"/>
      <c r="BD398" s="52"/>
      <c r="BE398" s="52"/>
      <c r="BF398" s="52"/>
      <c r="BG398" s="52"/>
      <c r="BH398" s="52"/>
      <c r="BI398" s="52"/>
      <c r="BJ398" s="52"/>
      <c r="BK398" s="52"/>
      <c r="BL398" s="52"/>
      <c r="BM398" s="52"/>
      <c r="BN398" s="52"/>
      <c r="BO398" s="52"/>
      <c r="BP398" s="52"/>
      <c r="BQ398" s="52"/>
      <c r="BR398" s="52"/>
      <c r="BS398" s="52"/>
      <c r="BT398" s="52"/>
      <c r="BU398" s="52"/>
      <c r="BV398" s="52"/>
    </row>
    <row r="399">
      <c r="AS399" s="52"/>
      <c r="AT399" s="52"/>
      <c r="AU399" s="52"/>
      <c r="AV399" s="52"/>
      <c r="AW399" s="52"/>
      <c r="AX399" s="52"/>
      <c r="AY399" s="52"/>
      <c r="AZ399" s="52"/>
      <c r="BA399" s="52"/>
      <c r="BB399" s="52"/>
      <c r="BC399" s="52"/>
      <c r="BD399" s="52"/>
      <c r="BE399" s="52"/>
      <c r="BF399" s="52"/>
      <c r="BG399" s="52"/>
      <c r="BH399" s="52"/>
      <c r="BI399" s="52"/>
      <c r="BJ399" s="52"/>
      <c r="BK399" s="52"/>
      <c r="BL399" s="52"/>
      <c r="BM399" s="52"/>
      <c r="BN399" s="52"/>
      <c r="BO399" s="52"/>
      <c r="BP399" s="52"/>
      <c r="BQ399" s="52"/>
      <c r="BR399" s="52"/>
      <c r="BS399" s="52"/>
      <c r="BT399" s="52"/>
      <c r="BU399" s="52"/>
      <c r="BV399" s="52"/>
    </row>
    <row r="400">
      <c r="AS400" s="52"/>
      <c r="AT400" s="52"/>
      <c r="AU400" s="52"/>
      <c r="AV400" s="52"/>
      <c r="AW400" s="52"/>
      <c r="AX400" s="52"/>
      <c r="AY400" s="52"/>
      <c r="AZ400" s="52"/>
      <c r="BA400" s="52"/>
      <c r="BB400" s="52"/>
      <c r="BC400" s="52"/>
      <c r="BD400" s="52"/>
      <c r="BE400" s="52"/>
      <c r="BF400" s="52"/>
      <c r="BG400" s="52"/>
      <c r="BH400" s="52"/>
      <c r="BI400" s="52"/>
      <c r="BJ400" s="52"/>
      <c r="BK400" s="52"/>
      <c r="BL400" s="52"/>
      <c r="BM400" s="52"/>
      <c r="BN400" s="52"/>
      <c r="BO400" s="52"/>
      <c r="BP400" s="52"/>
      <c r="BQ400" s="52"/>
      <c r="BR400" s="52"/>
      <c r="BS400" s="52"/>
      <c r="BT400" s="52"/>
      <c r="BU400" s="52"/>
      <c r="BV400" s="52"/>
    </row>
    <row r="401">
      <c r="AS401" s="52"/>
      <c r="AT401" s="52"/>
      <c r="AU401" s="52"/>
      <c r="AV401" s="52"/>
      <c r="AW401" s="52"/>
      <c r="AX401" s="52"/>
      <c r="AY401" s="52"/>
      <c r="AZ401" s="52"/>
      <c r="BA401" s="52"/>
      <c r="BB401" s="52"/>
      <c r="BC401" s="52"/>
      <c r="BD401" s="52"/>
      <c r="BE401" s="52"/>
      <c r="BF401" s="52"/>
      <c r="BG401" s="52"/>
      <c r="BH401" s="52"/>
      <c r="BI401" s="52"/>
      <c r="BJ401" s="52"/>
      <c r="BK401" s="52"/>
      <c r="BL401" s="52"/>
      <c r="BM401" s="52"/>
      <c r="BN401" s="52"/>
      <c r="BO401" s="52"/>
      <c r="BP401" s="52"/>
      <c r="BQ401" s="52"/>
      <c r="BR401" s="52"/>
      <c r="BS401" s="52"/>
      <c r="BT401" s="52"/>
      <c r="BU401" s="52"/>
      <c r="BV401" s="52"/>
    </row>
    <row r="402">
      <c r="AS402" s="52"/>
      <c r="AT402" s="52"/>
      <c r="AU402" s="52"/>
      <c r="AV402" s="52"/>
      <c r="AW402" s="52"/>
      <c r="AX402" s="52"/>
      <c r="AY402" s="52"/>
      <c r="AZ402" s="52"/>
      <c r="BA402" s="52"/>
      <c r="BB402" s="52"/>
      <c r="BC402" s="52"/>
      <c r="BD402" s="52"/>
      <c r="BE402" s="52"/>
      <c r="BF402" s="52"/>
      <c r="BG402" s="52"/>
      <c r="BH402" s="52"/>
      <c r="BI402" s="52"/>
      <c r="BJ402" s="52"/>
      <c r="BK402" s="52"/>
      <c r="BL402" s="52"/>
      <c r="BM402" s="52"/>
      <c r="BN402" s="52"/>
      <c r="BO402" s="52"/>
      <c r="BP402" s="52"/>
      <c r="BQ402" s="52"/>
      <c r="BR402" s="52"/>
      <c r="BS402" s="52"/>
      <c r="BT402" s="52"/>
      <c r="BU402" s="52"/>
      <c r="BV402" s="52"/>
    </row>
    <row r="403">
      <c r="AS403" s="52"/>
      <c r="AT403" s="52"/>
      <c r="AU403" s="52"/>
      <c r="AV403" s="52"/>
      <c r="AW403" s="52"/>
      <c r="AX403" s="52"/>
      <c r="AY403" s="52"/>
      <c r="AZ403" s="52"/>
      <c r="BA403" s="52"/>
      <c r="BB403" s="52"/>
      <c r="BC403" s="52"/>
      <c r="BD403" s="52"/>
      <c r="BE403" s="52"/>
      <c r="BF403" s="52"/>
      <c r="BG403" s="52"/>
      <c r="BH403" s="52"/>
      <c r="BI403" s="52"/>
      <c r="BJ403" s="52"/>
      <c r="BK403" s="52"/>
      <c r="BL403" s="52"/>
      <c r="BM403" s="52"/>
      <c r="BN403" s="52"/>
      <c r="BO403" s="52"/>
      <c r="BP403" s="52"/>
      <c r="BQ403" s="52"/>
      <c r="BR403" s="52"/>
      <c r="BS403" s="52"/>
      <c r="BT403" s="52"/>
      <c r="BU403" s="52"/>
      <c r="BV403" s="52"/>
    </row>
    <row r="404">
      <c r="AS404" s="52"/>
      <c r="AT404" s="52"/>
      <c r="AU404" s="52"/>
      <c r="AV404" s="52"/>
      <c r="AW404" s="52"/>
      <c r="AX404" s="52"/>
      <c r="AY404" s="52"/>
      <c r="AZ404" s="52"/>
      <c r="BA404" s="52"/>
      <c r="BB404" s="52"/>
      <c r="BC404" s="52"/>
      <c r="BD404" s="52"/>
      <c r="BE404" s="52"/>
      <c r="BF404" s="52"/>
      <c r="BG404" s="52"/>
      <c r="BH404" s="52"/>
      <c r="BI404" s="52"/>
      <c r="BJ404" s="52"/>
      <c r="BK404" s="52"/>
      <c r="BL404" s="52"/>
      <c r="BM404" s="52"/>
      <c r="BN404" s="52"/>
      <c r="BO404" s="52"/>
      <c r="BP404" s="52"/>
      <c r="BQ404" s="52"/>
      <c r="BR404" s="52"/>
      <c r="BS404" s="52"/>
      <c r="BT404" s="52"/>
      <c r="BU404" s="52"/>
      <c r="BV404" s="52"/>
    </row>
    <row r="405">
      <c r="AS405" s="52"/>
      <c r="AT405" s="52"/>
      <c r="AU405" s="52"/>
      <c r="AV405" s="52"/>
      <c r="AW405" s="52"/>
      <c r="AX405" s="52"/>
      <c r="AY405" s="52"/>
      <c r="AZ405" s="52"/>
      <c r="BA405" s="52"/>
      <c r="BB405" s="52"/>
      <c r="BC405" s="52"/>
      <c r="BD405" s="52"/>
      <c r="BE405" s="52"/>
      <c r="BF405" s="52"/>
      <c r="BG405" s="52"/>
      <c r="BH405" s="52"/>
      <c r="BI405" s="52"/>
      <c r="BJ405" s="52"/>
      <c r="BK405" s="52"/>
      <c r="BL405" s="52"/>
      <c r="BM405" s="52"/>
      <c r="BN405" s="52"/>
      <c r="BO405" s="52"/>
      <c r="BP405" s="52"/>
      <c r="BQ405" s="52"/>
      <c r="BR405" s="52"/>
      <c r="BS405" s="52"/>
      <c r="BT405" s="52"/>
      <c r="BU405" s="52"/>
      <c r="BV405" s="52"/>
    </row>
    <row r="406">
      <c r="AS406" s="52"/>
      <c r="AT406" s="52"/>
      <c r="AU406" s="52"/>
      <c r="AV406" s="52"/>
      <c r="AW406" s="52"/>
      <c r="AX406" s="52"/>
      <c r="AY406" s="52"/>
      <c r="AZ406" s="52"/>
      <c r="BA406" s="52"/>
      <c r="BB406" s="52"/>
      <c r="BC406" s="52"/>
      <c r="BD406" s="52"/>
      <c r="BE406" s="52"/>
      <c r="BF406" s="52"/>
      <c r="BG406" s="52"/>
      <c r="BH406" s="52"/>
      <c r="BI406" s="52"/>
      <c r="BJ406" s="52"/>
      <c r="BK406" s="52"/>
      <c r="BL406" s="52"/>
      <c r="BM406" s="52"/>
      <c r="BN406" s="52"/>
      <c r="BO406" s="52"/>
      <c r="BP406" s="52"/>
      <c r="BQ406" s="52"/>
      <c r="BR406" s="52"/>
      <c r="BS406" s="52"/>
      <c r="BT406" s="52"/>
      <c r="BU406" s="52"/>
      <c r="BV406" s="52"/>
    </row>
    <row r="407">
      <c r="AS407" s="52"/>
      <c r="AT407" s="52"/>
      <c r="AU407" s="52"/>
      <c r="AV407" s="52"/>
      <c r="AW407" s="52"/>
      <c r="AX407" s="52"/>
      <c r="AY407" s="52"/>
      <c r="AZ407" s="52"/>
      <c r="BA407" s="52"/>
      <c r="BB407" s="52"/>
      <c r="BC407" s="52"/>
      <c r="BD407" s="52"/>
      <c r="BE407" s="52"/>
      <c r="BF407" s="52"/>
      <c r="BG407" s="52"/>
      <c r="BH407" s="52"/>
      <c r="BI407" s="52"/>
      <c r="BJ407" s="52"/>
      <c r="BK407" s="52"/>
      <c r="BL407" s="52"/>
      <c r="BM407" s="52"/>
      <c r="BN407" s="52"/>
      <c r="BO407" s="52"/>
      <c r="BP407" s="52"/>
      <c r="BQ407" s="52"/>
      <c r="BR407" s="52"/>
      <c r="BS407" s="52"/>
      <c r="BT407" s="52"/>
      <c r="BU407" s="52"/>
      <c r="BV407" s="52"/>
    </row>
    <row r="408">
      <c r="AS408" s="52"/>
      <c r="AT408" s="52"/>
      <c r="AU408" s="52"/>
      <c r="AV408" s="52"/>
      <c r="AW408" s="52"/>
      <c r="AX408" s="52"/>
      <c r="AY408" s="52"/>
      <c r="AZ408" s="52"/>
      <c r="BA408" s="52"/>
      <c r="BB408" s="52"/>
      <c r="BC408" s="52"/>
      <c r="BD408" s="52"/>
      <c r="BE408" s="52"/>
      <c r="BF408" s="52"/>
      <c r="BG408" s="52"/>
      <c r="BH408" s="52"/>
      <c r="BI408" s="52"/>
      <c r="BJ408" s="52"/>
      <c r="BK408" s="52"/>
      <c r="BL408" s="52"/>
      <c r="BM408" s="52"/>
      <c r="BN408" s="52"/>
      <c r="BO408" s="52"/>
      <c r="BP408" s="52"/>
      <c r="BQ408" s="52"/>
      <c r="BR408" s="52"/>
      <c r="BS408" s="52"/>
      <c r="BT408" s="52"/>
      <c r="BU408" s="52"/>
      <c r="BV408" s="52"/>
    </row>
    <row r="409">
      <c r="AS409" s="52"/>
      <c r="AT409" s="52"/>
      <c r="AU409" s="52"/>
      <c r="AV409" s="52"/>
      <c r="AW409" s="52"/>
      <c r="AX409" s="52"/>
      <c r="AY409" s="52"/>
      <c r="AZ409" s="52"/>
      <c r="BA409" s="52"/>
      <c r="BB409" s="52"/>
      <c r="BC409" s="52"/>
      <c r="BD409" s="52"/>
      <c r="BE409" s="52"/>
      <c r="BF409" s="52"/>
      <c r="BG409" s="52"/>
      <c r="BH409" s="52"/>
      <c r="BI409" s="52"/>
      <c r="BJ409" s="52"/>
      <c r="BK409" s="52"/>
      <c r="BL409" s="52"/>
      <c r="BM409" s="52"/>
      <c r="BN409" s="52"/>
      <c r="BO409" s="52"/>
      <c r="BP409" s="52"/>
      <c r="BQ409" s="52"/>
      <c r="BR409" s="52"/>
      <c r="BS409" s="52"/>
      <c r="BT409" s="52"/>
      <c r="BU409" s="52"/>
      <c r="BV409" s="52"/>
    </row>
    <row r="410">
      <c r="AS410" s="52"/>
      <c r="AT410" s="52"/>
      <c r="AU410" s="52"/>
      <c r="AV410" s="52"/>
      <c r="AW410" s="52"/>
      <c r="AX410" s="52"/>
      <c r="AY410" s="52"/>
      <c r="AZ410" s="52"/>
      <c r="BA410" s="52"/>
      <c r="BB410" s="52"/>
      <c r="BC410" s="52"/>
      <c r="BD410" s="52"/>
      <c r="BE410" s="52"/>
      <c r="BF410" s="52"/>
      <c r="BG410" s="52"/>
      <c r="BH410" s="52"/>
      <c r="BI410" s="52"/>
      <c r="BJ410" s="52"/>
      <c r="BK410" s="52"/>
      <c r="BL410" s="52"/>
      <c r="BM410" s="52"/>
      <c r="BN410" s="52"/>
      <c r="BO410" s="52"/>
      <c r="BP410" s="52"/>
      <c r="BQ410" s="52"/>
      <c r="BR410" s="52"/>
      <c r="BS410" s="52"/>
      <c r="BT410" s="52"/>
      <c r="BU410" s="52"/>
      <c r="BV410" s="52"/>
    </row>
    <row r="411">
      <c r="AS411" s="52"/>
      <c r="AT411" s="52"/>
      <c r="AU411" s="52"/>
      <c r="AV411" s="52"/>
      <c r="AW411" s="52"/>
      <c r="AX411" s="52"/>
      <c r="AY411" s="52"/>
      <c r="AZ411" s="52"/>
      <c r="BA411" s="52"/>
      <c r="BB411" s="52"/>
      <c r="BC411" s="52"/>
      <c r="BD411" s="52"/>
      <c r="BE411" s="52"/>
      <c r="BF411" s="52"/>
      <c r="BG411" s="52"/>
      <c r="BH411" s="52"/>
      <c r="BI411" s="52"/>
      <c r="BJ411" s="52"/>
      <c r="BK411" s="52"/>
      <c r="BL411" s="52"/>
      <c r="BM411" s="52"/>
      <c r="BN411" s="52"/>
      <c r="BO411" s="52"/>
      <c r="BP411" s="52"/>
      <c r="BQ411" s="52"/>
      <c r="BR411" s="52"/>
      <c r="BS411" s="52"/>
      <c r="BT411" s="52"/>
      <c r="BU411" s="52"/>
      <c r="BV411" s="52"/>
    </row>
    <row r="412">
      <c r="AS412" s="52"/>
      <c r="AT412" s="52"/>
      <c r="AU412" s="52"/>
      <c r="AV412" s="52"/>
      <c r="AW412" s="52"/>
      <c r="AX412" s="52"/>
      <c r="AY412" s="52"/>
      <c r="AZ412" s="52"/>
      <c r="BA412" s="52"/>
      <c r="BB412" s="52"/>
      <c r="BC412" s="52"/>
      <c r="BD412" s="52"/>
      <c r="BE412" s="52"/>
      <c r="BF412" s="52"/>
      <c r="BG412" s="52"/>
      <c r="BH412" s="52"/>
      <c r="BI412" s="52"/>
      <c r="BJ412" s="52"/>
      <c r="BK412" s="52"/>
      <c r="BL412" s="52"/>
      <c r="BM412" s="52"/>
      <c r="BN412" s="52"/>
      <c r="BO412" s="52"/>
      <c r="BP412" s="52"/>
      <c r="BQ412" s="52"/>
      <c r="BR412" s="52"/>
      <c r="BS412" s="52"/>
      <c r="BT412" s="52"/>
      <c r="BU412" s="52"/>
      <c r="BV412" s="52"/>
    </row>
    <row r="413">
      <c r="AS413" s="52"/>
      <c r="AT413" s="52"/>
      <c r="AU413" s="52"/>
      <c r="AV413" s="52"/>
      <c r="AW413" s="52"/>
      <c r="AX413" s="52"/>
      <c r="AY413" s="52"/>
      <c r="AZ413" s="52"/>
      <c r="BA413" s="52"/>
      <c r="BB413" s="52"/>
      <c r="BC413" s="52"/>
      <c r="BD413" s="52"/>
      <c r="BE413" s="52"/>
      <c r="BF413" s="52"/>
      <c r="BG413" s="52"/>
      <c r="BH413" s="52"/>
      <c r="BI413" s="52"/>
      <c r="BJ413" s="52"/>
      <c r="BK413" s="52"/>
      <c r="BL413" s="52"/>
      <c r="BM413" s="52"/>
      <c r="BN413" s="52"/>
      <c r="BO413" s="52"/>
      <c r="BP413" s="52"/>
      <c r="BQ413" s="52"/>
      <c r="BR413" s="52"/>
      <c r="BS413" s="52"/>
      <c r="BT413" s="52"/>
      <c r="BU413" s="52"/>
      <c r="BV413" s="52"/>
    </row>
    <row r="414">
      <c r="AS414" s="52"/>
      <c r="AT414" s="52"/>
      <c r="AU414" s="52"/>
      <c r="AV414" s="52"/>
      <c r="AW414" s="52"/>
      <c r="AX414" s="52"/>
      <c r="AY414" s="52"/>
      <c r="AZ414" s="52"/>
      <c r="BA414" s="52"/>
      <c r="BB414" s="52"/>
      <c r="BC414" s="52"/>
      <c r="BD414" s="52"/>
      <c r="BE414" s="52"/>
      <c r="BF414" s="52"/>
      <c r="BG414" s="52"/>
      <c r="BH414" s="52"/>
      <c r="BI414" s="52"/>
      <c r="BJ414" s="52"/>
      <c r="BK414" s="52"/>
      <c r="BL414" s="52"/>
      <c r="BM414" s="52"/>
      <c r="BN414" s="52"/>
      <c r="BO414" s="52"/>
      <c r="BP414" s="52"/>
      <c r="BQ414" s="52"/>
      <c r="BR414" s="52"/>
      <c r="BS414" s="52"/>
      <c r="BT414" s="52"/>
      <c r="BU414" s="52"/>
      <c r="BV414" s="52"/>
    </row>
    <row r="415">
      <c r="AS415" s="52"/>
      <c r="AT415" s="52"/>
      <c r="AU415" s="52"/>
      <c r="AV415" s="52"/>
      <c r="AW415" s="52"/>
      <c r="AX415" s="52"/>
      <c r="AY415" s="52"/>
      <c r="AZ415" s="52"/>
      <c r="BA415" s="52"/>
      <c r="BB415" s="52"/>
      <c r="BC415" s="52"/>
      <c r="BD415" s="52"/>
      <c r="BE415" s="52"/>
      <c r="BF415" s="52"/>
      <c r="BG415" s="52"/>
      <c r="BH415" s="52"/>
      <c r="BI415" s="52"/>
      <c r="BJ415" s="52"/>
      <c r="BK415" s="52"/>
      <c r="BL415" s="52"/>
      <c r="BM415" s="52"/>
      <c r="BN415" s="52"/>
      <c r="BO415" s="52"/>
      <c r="BP415" s="52"/>
      <c r="BQ415" s="52"/>
      <c r="BR415" s="52"/>
      <c r="BS415" s="52"/>
      <c r="BT415" s="52"/>
      <c r="BU415" s="52"/>
      <c r="BV415" s="52"/>
    </row>
    <row r="416">
      <c r="AS416" s="52"/>
      <c r="AT416" s="52"/>
      <c r="AU416" s="52"/>
      <c r="AV416" s="52"/>
      <c r="AW416" s="52"/>
      <c r="AX416" s="52"/>
      <c r="AY416" s="52"/>
      <c r="AZ416" s="52"/>
      <c r="BA416" s="52"/>
      <c r="BB416" s="52"/>
      <c r="BC416" s="52"/>
      <c r="BD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/>
      <c r="BO416" s="52"/>
      <c r="BP416" s="52"/>
      <c r="BQ416" s="52"/>
      <c r="BR416" s="52"/>
      <c r="BS416" s="52"/>
      <c r="BT416" s="52"/>
      <c r="BU416" s="52"/>
      <c r="BV416" s="52"/>
    </row>
    <row r="417">
      <c r="AS417" s="52"/>
      <c r="AT417" s="52"/>
      <c r="AU417" s="52"/>
      <c r="AV417" s="52"/>
      <c r="AW417" s="52"/>
      <c r="AX417" s="52"/>
      <c r="AY417" s="52"/>
      <c r="AZ417" s="52"/>
      <c r="BA417" s="52"/>
      <c r="BB417" s="52"/>
      <c r="BC417" s="52"/>
      <c r="BD417" s="52"/>
      <c r="BE417" s="52"/>
      <c r="BF417" s="52"/>
      <c r="BG417" s="52"/>
      <c r="BH417" s="52"/>
      <c r="BI417" s="52"/>
      <c r="BJ417" s="52"/>
      <c r="BK417" s="52"/>
      <c r="BL417" s="52"/>
      <c r="BM417" s="52"/>
      <c r="BN417" s="52"/>
      <c r="BO417" s="52"/>
      <c r="BP417" s="52"/>
      <c r="BQ417" s="52"/>
      <c r="BR417" s="52"/>
      <c r="BS417" s="52"/>
      <c r="BT417" s="52"/>
      <c r="BU417" s="52"/>
      <c r="BV417" s="52"/>
    </row>
    <row r="418">
      <c r="AS418" s="52"/>
      <c r="AT418" s="52"/>
      <c r="AU418" s="52"/>
      <c r="AV418" s="52"/>
      <c r="AW418" s="52"/>
      <c r="AX418" s="52"/>
      <c r="AY418" s="52"/>
      <c r="AZ418" s="52"/>
      <c r="BA418" s="52"/>
      <c r="BB418" s="52"/>
      <c r="BC418" s="52"/>
      <c r="BD418" s="52"/>
      <c r="BE418" s="52"/>
      <c r="BF418" s="52"/>
      <c r="BG418" s="52"/>
      <c r="BH418" s="52"/>
      <c r="BI418" s="52"/>
      <c r="BJ418" s="52"/>
      <c r="BK418" s="52"/>
      <c r="BL418" s="52"/>
      <c r="BM418" s="52"/>
      <c r="BN418" s="52"/>
      <c r="BO418" s="52"/>
      <c r="BP418" s="52"/>
      <c r="BQ418" s="52"/>
      <c r="BR418" s="52"/>
      <c r="BS418" s="52"/>
      <c r="BT418" s="52"/>
      <c r="BU418" s="52"/>
      <c r="BV418" s="52"/>
    </row>
    <row r="419">
      <c r="AS419" s="52"/>
      <c r="AT419" s="52"/>
      <c r="AU419" s="52"/>
      <c r="AV419" s="52"/>
      <c r="AW419" s="52"/>
      <c r="AX419" s="52"/>
      <c r="AY419" s="52"/>
      <c r="AZ419" s="52"/>
      <c r="BA419" s="52"/>
      <c r="BB419" s="52"/>
      <c r="BC419" s="52"/>
      <c r="BD419" s="52"/>
      <c r="BE419" s="52"/>
      <c r="BF419" s="52"/>
      <c r="BG419" s="52"/>
      <c r="BH419" s="52"/>
      <c r="BI419" s="52"/>
      <c r="BJ419" s="52"/>
      <c r="BK419" s="52"/>
      <c r="BL419" s="52"/>
      <c r="BM419" s="52"/>
      <c r="BN419" s="52"/>
      <c r="BO419" s="52"/>
      <c r="BP419" s="52"/>
      <c r="BQ419" s="52"/>
      <c r="BR419" s="52"/>
      <c r="BS419" s="52"/>
      <c r="BT419" s="52"/>
      <c r="BU419" s="52"/>
      <c r="BV419" s="52"/>
    </row>
    <row r="420">
      <c r="AS420" s="52"/>
      <c r="AT420" s="52"/>
      <c r="AU420" s="52"/>
      <c r="AV420" s="52"/>
      <c r="AW420" s="52"/>
      <c r="AX420" s="52"/>
      <c r="AY420" s="52"/>
      <c r="AZ420" s="52"/>
      <c r="BA420" s="52"/>
      <c r="BB420" s="52"/>
      <c r="BC420" s="52"/>
      <c r="BD420" s="52"/>
      <c r="BE420" s="52"/>
      <c r="BF420" s="52"/>
      <c r="BG420" s="52"/>
      <c r="BH420" s="52"/>
      <c r="BI420" s="52"/>
      <c r="BJ420" s="52"/>
      <c r="BK420" s="52"/>
      <c r="BL420" s="52"/>
      <c r="BM420" s="52"/>
      <c r="BN420" s="52"/>
      <c r="BO420" s="52"/>
      <c r="BP420" s="52"/>
      <c r="BQ420" s="52"/>
      <c r="BR420" s="52"/>
      <c r="BS420" s="52"/>
      <c r="BT420" s="52"/>
      <c r="BU420" s="52"/>
      <c r="BV420" s="52"/>
    </row>
    <row r="421">
      <c r="AS421" s="52"/>
      <c r="AT421" s="52"/>
      <c r="AU421" s="52"/>
      <c r="AV421" s="52"/>
      <c r="AW421" s="52"/>
      <c r="AX421" s="52"/>
      <c r="AY421" s="52"/>
      <c r="AZ421" s="52"/>
      <c r="BA421" s="52"/>
      <c r="BB421" s="52"/>
      <c r="BC421" s="52"/>
      <c r="BD421" s="52"/>
      <c r="BE421" s="52"/>
      <c r="BF421" s="52"/>
      <c r="BG421" s="52"/>
      <c r="BH421" s="52"/>
      <c r="BI421" s="52"/>
      <c r="BJ421" s="52"/>
      <c r="BK421" s="52"/>
      <c r="BL421" s="52"/>
      <c r="BM421" s="52"/>
      <c r="BN421" s="52"/>
      <c r="BO421" s="52"/>
      <c r="BP421" s="52"/>
      <c r="BQ421" s="52"/>
      <c r="BR421" s="52"/>
      <c r="BS421" s="52"/>
      <c r="BT421" s="52"/>
      <c r="BU421" s="52"/>
      <c r="BV421" s="52"/>
    </row>
    <row r="422">
      <c r="AS422" s="52"/>
      <c r="AT422" s="52"/>
      <c r="AU422" s="52"/>
      <c r="AV422" s="52"/>
      <c r="AW422" s="52"/>
      <c r="AX422" s="52"/>
      <c r="AY422" s="52"/>
      <c r="AZ422" s="52"/>
      <c r="BA422" s="52"/>
      <c r="BB422" s="52"/>
      <c r="BC422" s="52"/>
      <c r="BD422" s="52"/>
      <c r="BE422" s="52"/>
      <c r="BF422" s="52"/>
      <c r="BG422" s="52"/>
      <c r="BH422" s="52"/>
      <c r="BI422" s="52"/>
      <c r="BJ422" s="52"/>
      <c r="BK422" s="52"/>
      <c r="BL422" s="52"/>
      <c r="BM422" s="52"/>
      <c r="BN422" s="52"/>
      <c r="BO422" s="52"/>
      <c r="BP422" s="52"/>
      <c r="BQ422" s="52"/>
      <c r="BR422" s="52"/>
      <c r="BS422" s="52"/>
      <c r="BT422" s="52"/>
      <c r="BU422" s="52"/>
      <c r="BV422" s="52"/>
    </row>
    <row r="423">
      <c r="AS423" s="52"/>
      <c r="AT423" s="52"/>
      <c r="AU423" s="52"/>
      <c r="AV423" s="52"/>
      <c r="AW423" s="52"/>
      <c r="AX423" s="52"/>
      <c r="AY423" s="52"/>
      <c r="AZ423" s="52"/>
      <c r="BA423" s="52"/>
      <c r="BB423" s="52"/>
      <c r="BC423" s="52"/>
      <c r="BD423" s="52"/>
      <c r="BE423" s="52"/>
      <c r="BF423" s="52"/>
      <c r="BG423" s="52"/>
      <c r="BH423" s="52"/>
      <c r="BI423" s="52"/>
      <c r="BJ423" s="52"/>
      <c r="BK423" s="52"/>
      <c r="BL423" s="52"/>
      <c r="BM423" s="52"/>
      <c r="BN423" s="52"/>
      <c r="BO423" s="52"/>
      <c r="BP423" s="52"/>
      <c r="BQ423" s="52"/>
      <c r="BR423" s="52"/>
      <c r="BS423" s="52"/>
      <c r="BT423" s="52"/>
      <c r="BU423" s="52"/>
      <c r="BV423" s="52"/>
    </row>
    <row r="424">
      <c r="AS424" s="52"/>
      <c r="AT424" s="52"/>
      <c r="AU424" s="52"/>
      <c r="AV424" s="52"/>
      <c r="AW424" s="52"/>
      <c r="AX424" s="52"/>
      <c r="AY424" s="52"/>
      <c r="AZ424" s="52"/>
      <c r="BA424" s="52"/>
      <c r="BB424" s="52"/>
      <c r="BC424" s="52"/>
      <c r="BD424" s="52"/>
      <c r="BE424" s="52"/>
      <c r="BF424" s="52"/>
      <c r="BG424" s="52"/>
      <c r="BH424" s="52"/>
      <c r="BI424" s="52"/>
      <c r="BJ424" s="52"/>
      <c r="BK424" s="52"/>
      <c r="BL424" s="52"/>
      <c r="BM424" s="52"/>
      <c r="BN424" s="52"/>
      <c r="BO424" s="52"/>
      <c r="BP424" s="52"/>
      <c r="BQ424" s="52"/>
      <c r="BR424" s="52"/>
      <c r="BS424" s="52"/>
      <c r="BT424" s="52"/>
      <c r="BU424" s="52"/>
      <c r="BV424" s="52"/>
    </row>
    <row r="425">
      <c r="AS425" s="52"/>
      <c r="AT425" s="52"/>
      <c r="AU425" s="52"/>
      <c r="AV425" s="52"/>
      <c r="AW425" s="52"/>
      <c r="AX425" s="52"/>
      <c r="AY425" s="52"/>
      <c r="AZ425" s="52"/>
      <c r="BA425" s="52"/>
      <c r="BB425" s="52"/>
      <c r="BC425" s="52"/>
      <c r="BD425" s="52"/>
      <c r="BE425" s="52"/>
      <c r="BF425" s="52"/>
      <c r="BG425" s="52"/>
      <c r="BH425" s="52"/>
      <c r="BI425" s="52"/>
      <c r="BJ425" s="52"/>
      <c r="BK425" s="52"/>
      <c r="BL425" s="52"/>
      <c r="BM425" s="52"/>
      <c r="BN425" s="52"/>
      <c r="BO425" s="52"/>
      <c r="BP425" s="52"/>
      <c r="BQ425" s="52"/>
      <c r="BR425" s="52"/>
      <c r="BS425" s="52"/>
      <c r="BT425" s="52"/>
      <c r="BU425" s="52"/>
      <c r="BV425" s="52"/>
    </row>
    <row r="426">
      <c r="AS426" s="52"/>
      <c r="AT426" s="52"/>
      <c r="AU426" s="52"/>
      <c r="AV426" s="52"/>
      <c r="AW426" s="52"/>
      <c r="AX426" s="52"/>
      <c r="AY426" s="52"/>
      <c r="AZ426" s="52"/>
      <c r="BA426" s="52"/>
      <c r="BB426" s="52"/>
      <c r="BC426" s="52"/>
      <c r="BD426" s="52"/>
      <c r="BE426" s="52"/>
      <c r="BF426" s="52"/>
      <c r="BG426" s="52"/>
      <c r="BH426" s="52"/>
      <c r="BI426" s="52"/>
      <c r="BJ426" s="52"/>
      <c r="BK426" s="52"/>
      <c r="BL426" s="52"/>
      <c r="BM426" s="52"/>
      <c r="BN426" s="52"/>
      <c r="BO426" s="52"/>
      <c r="BP426" s="52"/>
      <c r="BQ426" s="52"/>
      <c r="BR426" s="52"/>
      <c r="BS426" s="52"/>
      <c r="BT426" s="52"/>
      <c r="BU426" s="52"/>
      <c r="BV426" s="52"/>
    </row>
    <row r="427">
      <c r="AS427" s="52"/>
      <c r="AT427" s="52"/>
      <c r="AU427" s="52"/>
      <c r="AV427" s="52"/>
      <c r="AW427" s="52"/>
      <c r="AX427" s="52"/>
      <c r="AY427" s="52"/>
      <c r="AZ427" s="52"/>
      <c r="BA427" s="52"/>
      <c r="BB427" s="52"/>
      <c r="BC427" s="52"/>
      <c r="BD427" s="52"/>
      <c r="BE427" s="52"/>
      <c r="BF427" s="52"/>
      <c r="BG427" s="52"/>
      <c r="BH427" s="52"/>
      <c r="BI427" s="52"/>
      <c r="BJ427" s="52"/>
      <c r="BK427" s="52"/>
      <c r="BL427" s="52"/>
      <c r="BM427" s="52"/>
      <c r="BN427" s="52"/>
      <c r="BO427" s="52"/>
      <c r="BP427" s="52"/>
      <c r="BQ427" s="52"/>
      <c r="BR427" s="52"/>
      <c r="BS427" s="52"/>
      <c r="BT427" s="52"/>
      <c r="BU427" s="52"/>
      <c r="BV427" s="52"/>
    </row>
    <row r="428">
      <c r="AS428" s="52"/>
      <c r="AT428" s="52"/>
      <c r="AU428" s="52"/>
      <c r="AV428" s="52"/>
      <c r="AW428" s="52"/>
      <c r="AX428" s="52"/>
      <c r="AY428" s="52"/>
      <c r="AZ428" s="52"/>
      <c r="BA428" s="52"/>
      <c r="BB428" s="52"/>
      <c r="BC428" s="52"/>
      <c r="BD428" s="52"/>
      <c r="BE428" s="52"/>
      <c r="BF428" s="52"/>
      <c r="BG428" s="52"/>
      <c r="BH428" s="52"/>
      <c r="BI428" s="52"/>
      <c r="BJ428" s="52"/>
      <c r="BK428" s="52"/>
      <c r="BL428" s="52"/>
      <c r="BM428" s="52"/>
      <c r="BN428" s="52"/>
      <c r="BO428" s="52"/>
      <c r="BP428" s="52"/>
      <c r="BQ428" s="52"/>
      <c r="BR428" s="52"/>
      <c r="BS428" s="52"/>
      <c r="BT428" s="52"/>
      <c r="BU428" s="52"/>
      <c r="BV428" s="52"/>
    </row>
    <row r="429">
      <c r="AS429" s="52"/>
      <c r="AT429" s="52"/>
      <c r="AU429" s="52"/>
      <c r="AV429" s="52"/>
      <c r="AW429" s="52"/>
      <c r="AX429" s="52"/>
      <c r="AY429" s="52"/>
      <c r="AZ429" s="52"/>
      <c r="BA429" s="52"/>
      <c r="BB429" s="52"/>
      <c r="BC429" s="52"/>
      <c r="BD429" s="52"/>
      <c r="BE429" s="52"/>
      <c r="BF429" s="52"/>
      <c r="BG429" s="52"/>
      <c r="BH429" s="52"/>
      <c r="BI429" s="52"/>
      <c r="BJ429" s="52"/>
      <c r="BK429" s="52"/>
      <c r="BL429" s="52"/>
      <c r="BM429" s="52"/>
      <c r="BN429" s="52"/>
      <c r="BO429" s="52"/>
      <c r="BP429" s="52"/>
      <c r="BQ429" s="52"/>
      <c r="BR429" s="52"/>
      <c r="BS429" s="52"/>
      <c r="BT429" s="52"/>
      <c r="BU429" s="52"/>
      <c r="BV429" s="52"/>
    </row>
    <row r="430">
      <c r="AS430" s="52"/>
      <c r="AT430" s="52"/>
      <c r="AU430" s="52"/>
      <c r="AV430" s="52"/>
      <c r="AW430" s="52"/>
      <c r="AX430" s="52"/>
      <c r="AY430" s="52"/>
      <c r="AZ430" s="52"/>
      <c r="BA430" s="52"/>
      <c r="BB430" s="52"/>
      <c r="BC430" s="52"/>
      <c r="BD430" s="52"/>
      <c r="BE430" s="52"/>
      <c r="BF430" s="52"/>
      <c r="BG430" s="52"/>
      <c r="BH430" s="52"/>
      <c r="BI430" s="52"/>
      <c r="BJ430" s="52"/>
      <c r="BK430" s="52"/>
      <c r="BL430" s="52"/>
      <c r="BM430" s="52"/>
      <c r="BN430" s="52"/>
      <c r="BO430" s="52"/>
      <c r="BP430" s="52"/>
      <c r="BQ430" s="52"/>
      <c r="BR430" s="52"/>
      <c r="BS430" s="52"/>
      <c r="BT430" s="52"/>
      <c r="BU430" s="52"/>
      <c r="BV430" s="52"/>
    </row>
    <row r="431">
      <c r="AS431" s="52"/>
      <c r="AT431" s="52"/>
      <c r="AU431" s="52"/>
      <c r="AV431" s="52"/>
      <c r="AW431" s="52"/>
      <c r="AX431" s="52"/>
      <c r="AY431" s="52"/>
      <c r="AZ431" s="52"/>
      <c r="BA431" s="52"/>
      <c r="BB431" s="52"/>
      <c r="BC431" s="52"/>
      <c r="BD431" s="52"/>
      <c r="BE431" s="52"/>
      <c r="BF431" s="52"/>
      <c r="BG431" s="52"/>
      <c r="BH431" s="52"/>
      <c r="BI431" s="52"/>
      <c r="BJ431" s="52"/>
      <c r="BK431" s="52"/>
      <c r="BL431" s="52"/>
      <c r="BM431" s="52"/>
      <c r="BN431" s="52"/>
      <c r="BO431" s="52"/>
      <c r="BP431" s="52"/>
      <c r="BQ431" s="52"/>
      <c r="BR431" s="52"/>
      <c r="BS431" s="52"/>
      <c r="BT431" s="52"/>
      <c r="BU431" s="52"/>
      <c r="BV431" s="52"/>
    </row>
    <row r="432">
      <c r="AS432" s="52"/>
      <c r="AT432" s="52"/>
      <c r="AU432" s="52"/>
      <c r="AV432" s="52"/>
      <c r="AW432" s="52"/>
      <c r="AX432" s="52"/>
      <c r="AY432" s="52"/>
      <c r="AZ432" s="52"/>
      <c r="BA432" s="52"/>
      <c r="BB432" s="52"/>
      <c r="BC432" s="52"/>
      <c r="BD432" s="52"/>
      <c r="BE432" s="52"/>
      <c r="BF432" s="52"/>
      <c r="BG432" s="52"/>
      <c r="BH432" s="52"/>
      <c r="BI432" s="52"/>
      <c r="BJ432" s="52"/>
      <c r="BK432" s="52"/>
      <c r="BL432" s="52"/>
      <c r="BM432" s="52"/>
      <c r="BN432" s="52"/>
      <c r="BO432" s="52"/>
      <c r="BP432" s="52"/>
      <c r="BQ432" s="52"/>
      <c r="BR432" s="52"/>
      <c r="BS432" s="52"/>
      <c r="BT432" s="52"/>
      <c r="BU432" s="52"/>
      <c r="BV432" s="52"/>
    </row>
    <row r="433">
      <c r="AS433" s="52"/>
      <c r="AT433" s="52"/>
      <c r="AU433" s="52"/>
      <c r="AV433" s="52"/>
      <c r="AW433" s="52"/>
      <c r="AX433" s="52"/>
      <c r="AY433" s="52"/>
      <c r="AZ433" s="52"/>
      <c r="BA433" s="52"/>
      <c r="BB433" s="52"/>
      <c r="BC433" s="52"/>
      <c r="BD433" s="52"/>
      <c r="BE433" s="52"/>
      <c r="BF433" s="52"/>
      <c r="BG433" s="52"/>
      <c r="BH433" s="52"/>
      <c r="BI433" s="52"/>
      <c r="BJ433" s="52"/>
      <c r="BK433" s="52"/>
      <c r="BL433" s="52"/>
      <c r="BM433" s="52"/>
      <c r="BN433" s="52"/>
      <c r="BO433" s="52"/>
      <c r="BP433" s="52"/>
      <c r="BQ433" s="52"/>
      <c r="BR433" s="52"/>
      <c r="BS433" s="52"/>
      <c r="BT433" s="52"/>
      <c r="BU433" s="52"/>
      <c r="BV433" s="52"/>
    </row>
    <row r="434">
      <c r="AS434" s="52"/>
      <c r="AT434" s="52"/>
      <c r="AU434" s="52"/>
      <c r="AV434" s="52"/>
      <c r="AW434" s="52"/>
      <c r="AX434" s="52"/>
      <c r="AY434" s="52"/>
      <c r="AZ434" s="52"/>
      <c r="BA434" s="52"/>
      <c r="BB434" s="52"/>
      <c r="BC434" s="52"/>
      <c r="BD434" s="52"/>
      <c r="BE434" s="52"/>
      <c r="BF434" s="52"/>
      <c r="BG434" s="52"/>
      <c r="BH434" s="52"/>
      <c r="BI434" s="52"/>
      <c r="BJ434" s="52"/>
      <c r="BK434" s="52"/>
      <c r="BL434" s="52"/>
      <c r="BM434" s="52"/>
      <c r="BN434" s="52"/>
      <c r="BO434" s="52"/>
      <c r="BP434" s="52"/>
      <c r="BQ434" s="52"/>
      <c r="BR434" s="52"/>
      <c r="BS434" s="52"/>
      <c r="BT434" s="52"/>
      <c r="BU434" s="52"/>
      <c r="BV434" s="52"/>
    </row>
    <row r="435">
      <c r="AS435" s="52"/>
      <c r="AT435" s="52"/>
      <c r="AU435" s="52"/>
      <c r="AV435" s="52"/>
      <c r="AW435" s="52"/>
      <c r="AX435" s="52"/>
      <c r="AY435" s="52"/>
      <c r="AZ435" s="52"/>
      <c r="BA435" s="52"/>
      <c r="BB435" s="52"/>
      <c r="BC435" s="52"/>
      <c r="BD435" s="52"/>
      <c r="BE435" s="52"/>
      <c r="BF435" s="52"/>
      <c r="BG435" s="52"/>
      <c r="BH435" s="52"/>
      <c r="BI435" s="52"/>
      <c r="BJ435" s="52"/>
      <c r="BK435" s="52"/>
      <c r="BL435" s="52"/>
      <c r="BM435" s="52"/>
      <c r="BN435" s="52"/>
      <c r="BO435" s="52"/>
      <c r="BP435" s="52"/>
      <c r="BQ435" s="52"/>
      <c r="BR435" s="52"/>
      <c r="BS435" s="52"/>
      <c r="BT435" s="52"/>
      <c r="BU435" s="52"/>
      <c r="BV435" s="52"/>
    </row>
    <row r="436">
      <c r="AS436" s="52"/>
      <c r="AT436" s="52"/>
      <c r="AU436" s="52"/>
      <c r="AV436" s="52"/>
      <c r="AW436" s="52"/>
      <c r="AX436" s="52"/>
      <c r="AY436" s="52"/>
      <c r="AZ436" s="52"/>
      <c r="BA436" s="52"/>
      <c r="BB436" s="52"/>
      <c r="BC436" s="52"/>
      <c r="BD436" s="52"/>
      <c r="BE436" s="52"/>
      <c r="BF436" s="52"/>
      <c r="BG436" s="52"/>
      <c r="BH436" s="52"/>
      <c r="BI436" s="52"/>
      <c r="BJ436" s="52"/>
      <c r="BK436" s="52"/>
      <c r="BL436" s="52"/>
      <c r="BM436" s="52"/>
      <c r="BN436" s="52"/>
      <c r="BO436" s="52"/>
      <c r="BP436" s="52"/>
      <c r="BQ436" s="52"/>
      <c r="BR436" s="52"/>
      <c r="BS436" s="52"/>
      <c r="BT436" s="52"/>
      <c r="BU436" s="52"/>
      <c r="BV436" s="52"/>
    </row>
    <row r="437">
      <c r="AS437" s="52"/>
      <c r="AT437" s="52"/>
      <c r="AU437" s="52"/>
      <c r="AV437" s="52"/>
      <c r="AW437" s="52"/>
      <c r="AX437" s="52"/>
      <c r="AY437" s="52"/>
      <c r="AZ437" s="52"/>
      <c r="BA437" s="52"/>
      <c r="BB437" s="52"/>
      <c r="BC437" s="52"/>
      <c r="BD437" s="52"/>
      <c r="BE437" s="52"/>
      <c r="BF437" s="52"/>
      <c r="BG437" s="52"/>
      <c r="BH437" s="52"/>
      <c r="BI437" s="52"/>
      <c r="BJ437" s="52"/>
      <c r="BK437" s="52"/>
      <c r="BL437" s="52"/>
      <c r="BM437" s="52"/>
      <c r="BN437" s="52"/>
      <c r="BO437" s="52"/>
      <c r="BP437" s="52"/>
      <c r="BQ437" s="52"/>
      <c r="BR437" s="52"/>
      <c r="BS437" s="52"/>
      <c r="BT437" s="52"/>
      <c r="BU437" s="52"/>
      <c r="BV437" s="52"/>
    </row>
    <row r="438">
      <c r="AS438" s="52"/>
      <c r="AT438" s="52"/>
      <c r="AU438" s="52"/>
      <c r="AV438" s="52"/>
      <c r="AW438" s="52"/>
      <c r="AX438" s="52"/>
      <c r="AY438" s="52"/>
      <c r="AZ438" s="52"/>
      <c r="BA438" s="52"/>
      <c r="BB438" s="52"/>
      <c r="BC438" s="52"/>
      <c r="BD438" s="52"/>
      <c r="BE438" s="52"/>
      <c r="BF438" s="52"/>
      <c r="BG438" s="52"/>
      <c r="BH438" s="52"/>
      <c r="BI438" s="52"/>
      <c r="BJ438" s="52"/>
      <c r="BK438" s="52"/>
      <c r="BL438" s="52"/>
      <c r="BM438" s="52"/>
      <c r="BN438" s="52"/>
      <c r="BO438" s="52"/>
      <c r="BP438" s="52"/>
      <c r="BQ438" s="52"/>
      <c r="BR438" s="52"/>
      <c r="BS438" s="52"/>
      <c r="BT438" s="52"/>
      <c r="BU438" s="52"/>
      <c r="BV438" s="52"/>
    </row>
    <row r="439">
      <c r="AS439" s="52"/>
      <c r="AT439" s="52"/>
      <c r="AU439" s="52"/>
      <c r="AV439" s="52"/>
      <c r="AW439" s="52"/>
      <c r="AX439" s="52"/>
      <c r="AY439" s="52"/>
      <c r="AZ439" s="52"/>
      <c r="BA439" s="52"/>
      <c r="BB439" s="52"/>
      <c r="BC439" s="52"/>
      <c r="BD439" s="52"/>
      <c r="BE439" s="52"/>
      <c r="BF439" s="52"/>
      <c r="BG439" s="52"/>
      <c r="BH439" s="52"/>
      <c r="BI439" s="52"/>
      <c r="BJ439" s="52"/>
      <c r="BK439" s="52"/>
      <c r="BL439" s="52"/>
      <c r="BM439" s="52"/>
      <c r="BN439" s="52"/>
      <c r="BO439" s="52"/>
      <c r="BP439" s="52"/>
      <c r="BQ439" s="52"/>
      <c r="BR439" s="52"/>
      <c r="BS439" s="52"/>
      <c r="BT439" s="52"/>
      <c r="BU439" s="52"/>
      <c r="BV439" s="52"/>
    </row>
    <row r="440">
      <c r="AS440" s="52"/>
      <c r="AT440" s="52"/>
      <c r="AU440" s="52"/>
      <c r="AV440" s="52"/>
      <c r="AW440" s="52"/>
      <c r="AX440" s="52"/>
      <c r="AY440" s="52"/>
      <c r="AZ440" s="52"/>
      <c r="BA440" s="52"/>
      <c r="BB440" s="52"/>
      <c r="BC440" s="52"/>
      <c r="BD440" s="52"/>
      <c r="BE440" s="52"/>
      <c r="BF440" s="52"/>
      <c r="BG440" s="52"/>
      <c r="BH440" s="52"/>
      <c r="BI440" s="52"/>
      <c r="BJ440" s="52"/>
      <c r="BK440" s="52"/>
      <c r="BL440" s="52"/>
      <c r="BM440" s="52"/>
      <c r="BN440" s="52"/>
      <c r="BO440" s="52"/>
      <c r="BP440" s="52"/>
      <c r="BQ440" s="52"/>
      <c r="BR440" s="52"/>
      <c r="BS440" s="52"/>
      <c r="BT440" s="52"/>
      <c r="BU440" s="52"/>
      <c r="BV440" s="52"/>
    </row>
    <row r="441">
      <c r="AS441" s="52"/>
      <c r="AT441" s="52"/>
      <c r="AU441" s="52"/>
      <c r="AV441" s="52"/>
      <c r="AW441" s="52"/>
      <c r="AX441" s="52"/>
      <c r="AY441" s="52"/>
      <c r="AZ441" s="52"/>
      <c r="BA441" s="52"/>
      <c r="BB441" s="52"/>
      <c r="BC441" s="52"/>
      <c r="BD441" s="52"/>
      <c r="BE441" s="52"/>
      <c r="BF441" s="52"/>
      <c r="BG441" s="52"/>
      <c r="BH441" s="52"/>
      <c r="BI441" s="52"/>
      <c r="BJ441" s="52"/>
      <c r="BK441" s="52"/>
      <c r="BL441" s="52"/>
      <c r="BM441" s="52"/>
      <c r="BN441" s="52"/>
      <c r="BO441" s="52"/>
      <c r="BP441" s="52"/>
      <c r="BQ441" s="52"/>
      <c r="BR441" s="52"/>
      <c r="BS441" s="52"/>
      <c r="BT441" s="52"/>
      <c r="BU441" s="52"/>
      <c r="BV441" s="52"/>
    </row>
    <row r="442">
      <c r="AS442" s="52"/>
      <c r="AT442" s="52"/>
      <c r="AU442" s="52"/>
      <c r="AV442" s="52"/>
      <c r="AW442" s="52"/>
      <c r="AX442" s="52"/>
      <c r="AY442" s="52"/>
      <c r="AZ442" s="52"/>
      <c r="BA442" s="52"/>
      <c r="BB442" s="52"/>
      <c r="BC442" s="52"/>
      <c r="BD442" s="52"/>
      <c r="BE442" s="52"/>
      <c r="BF442" s="52"/>
      <c r="BG442" s="52"/>
      <c r="BH442" s="52"/>
      <c r="BI442" s="52"/>
      <c r="BJ442" s="52"/>
      <c r="BK442" s="52"/>
      <c r="BL442" s="52"/>
      <c r="BM442" s="52"/>
      <c r="BN442" s="52"/>
      <c r="BO442" s="52"/>
      <c r="BP442" s="52"/>
      <c r="BQ442" s="52"/>
      <c r="BR442" s="52"/>
      <c r="BS442" s="52"/>
      <c r="BT442" s="52"/>
      <c r="BU442" s="52"/>
      <c r="BV442" s="52"/>
    </row>
    <row r="443">
      <c r="AS443" s="52"/>
      <c r="AT443" s="52"/>
      <c r="AU443" s="52"/>
      <c r="AV443" s="52"/>
      <c r="AW443" s="52"/>
      <c r="AX443" s="52"/>
      <c r="AY443" s="52"/>
      <c r="AZ443" s="52"/>
      <c r="BA443" s="52"/>
      <c r="BB443" s="52"/>
      <c r="BC443" s="52"/>
      <c r="BD443" s="52"/>
      <c r="BE443" s="52"/>
      <c r="BF443" s="52"/>
      <c r="BG443" s="52"/>
      <c r="BH443" s="52"/>
      <c r="BI443" s="52"/>
      <c r="BJ443" s="52"/>
      <c r="BK443" s="52"/>
      <c r="BL443" s="52"/>
      <c r="BM443" s="52"/>
      <c r="BN443" s="52"/>
      <c r="BO443" s="52"/>
      <c r="BP443" s="52"/>
      <c r="BQ443" s="52"/>
      <c r="BR443" s="52"/>
      <c r="BS443" s="52"/>
      <c r="BT443" s="52"/>
      <c r="BU443" s="52"/>
      <c r="BV443" s="52"/>
    </row>
    <row r="444">
      <c r="AS444" s="52"/>
      <c r="AT444" s="52"/>
      <c r="AU444" s="52"/>
      <c r="AV444" s="52"/>
      <c r="AW444" s="52"/>
      <c r="AX444" s="52"/>
      <c r="AY444" s="52"/>
      <c r="AZ444" s="52"/>
      <c r="BA444" s="52"/>
      <c r="BB444" s="52"/>
      <c r="BC444" s="52"/>
      <c r="BD444" s="52"/>
      <c r="BE444" s="52"/>
      <c r="BF444" s="52"/>
      <c r="BG444" s="52"/>
      <c r="BH444" s="52"/>
      <c r="BI444" s="52"/>
      <c r="BJ444" s="52"/>
      <c r="BK444" s="52"/>
      <c r="BL444" s="52"/>
      <c r="BM444" s="52"/>
      <c r="BN444" s="52"/>
      <c r="BO444" s="52"/>
      <c r="BP444" s="52"/>
      <c r="BQ444" s="52"/>
      <c r="BR444" s="52"/>
      <c r="BS444" s="52"/>
      <c r="BT444" s="52"/>
      <c r="BU444" s="52"/>
      <c r="BV444" s="52"/>
    </row>
    <row r="445">
      <c r="AS445" s="52"/>
      <c r="AT445" s="52"/>
      <c r="AU445" s="52"/>
      <c r="AV445" s="52"/>
      <c r="AW445" s="52"/>
      <c r="AX445" s="52"/>
      <c r="AY445" s="52"/>
      <c r="AZ445" s="52"/>
      <c r="BA445" s="52"/>
      <c r="BB445" s="52"/>
      <c r="BC445" s="52"/>
      <c r="BD445" s="52"/>
      <c r="BE445" s="52"/>
      <c r="BF445" s="52"/>
      <c r="BG445" s="52"/>
      <c r="BH445" s="52"/>
      <c r="BI445" s="52"/>
      <c r="BJ445" s="52"/>
      <c r="BK445" s="52"/>
      <c r="BL445" s="52"/>
      <c r="BM445" s="52"/>
      <c r="BN445" s="52"/>
      <c r="BO445" s="52"/>
      <c r="BP445" s="52"/>
      <c r="BQ445" s="52"/>
      <c r="BR445" s="52"/>
      <c r="BS445" s="52"/>
      <c r="BT445" s="52"/>
      <c r="BU445" s="52"/>
      <c r="BV445" s="52"/>
    </row>
    <row r="446">
      <c r="AS446" s="52"/>
      <c r="AT446" s="52"/>
      <c r="AU446" s="52"/>
      <c r="AV446" s="52"/>
      <c r="AW446" s="52"/>
      <c r="AX446" s="52"/>
      <c r="AY446" s="52"/>
      <c r="AZ446" s="52"/>
      <c r="BA446" s="52"/>
      <c r="BB446" s="52"/>
      <c r="BC446" s="52"/>
      <c r="BD446" s="52"/>
      <c r="BE446" s="52"/>
      <c r="BF446" s="52"/>
      <c r="BG446" s="52"/>
      <c r="BH446" s="52"/>
      <c r="BI446" s="52"/>
      <c r="BJ446" s="52"/>
      <c r="BK446" s="52"/>
      <c r="BL446" s="52"/>
      <c r="BM446" s="52"/>
      <c r="BN446" s="52"/>
      <c r="BO446" s="52"/>
      <c r="BP446" s="52"/>
      <c r="BQ446" s="52"/>
      <c r="BR446" s="52"/>
      <c r="BS446" s="52"/>
      <c r="BT446" s="52"/>
      <c r="BU446" s="52"/>
      <c r="BV446" s="52"/>
    </row>
    <row r="447">
      <c r="AS447" s="52"/>
      <c r="AT447" s="52"/>
      <c r="AU447" s="52"/>
      <c r="AV447" s="52"/>
      <c r="AW447" s="52"/>
      <c r="AX447" s="52"/>
      <c r="AY447" s="52"/>
      <c r="AZ447" s="52"/>
      <c r="BA447" s="52"/>
      <c r="BB447" s="52"/>
      <c r="BC447" s="52"/>
      <c r="BD447" s="52"/>
      <c r="BE447" s="52"/>
      <c r="BF447" s="52"/>
      <c r="BG447" s="52"/>
      <c r="BH447" s="52"/>
      <c r="BI447" s="52"/>
      <c r="BJ447" s="52"/>
      <c r="BK447" s="52"/>
      <c r="BL447" s="52"/>
      <c r="BM447" s="52"/>
      <c r="BN447" s="52"/>
      <c r="BO447" s="52"/>
      <c r="BP447" s="52"/>
      <c r="BQ447" s="52"/>
      <c r="BR447" s="52"/>
      <c r="BS447" s="52"/>
      <c r="BT447" s="52"/>
      <c r="BU447" s="52"/>
      <c r="BV447" s="52"/>
    </row>
    <row r="448">
      <c r="AS448" s="52"/>
      <c r="AT448" s="52"/>
      <c r="AU448" s="52"/>
      <c r="AV448" s="52"/>
      <c r="AW448" s="52"/>
      <c r="AX448" s="52"/>
      <c r="AY448" s="52"/>
      <c r="AZ448" s="52"/>
      <c r="BA448" s="52"/>
      <c r="BB448" s="52"/>
      <c r="BC448" s="52"/>
      <c r="BD448" s="52"/>
      <c r="BE448" s="52"/>
      <c r="BF448" s="52"/>
      <c r="BG448" s="52"/>
      <c r="BH448" s="52"/>
      <c r="BI448" s="52"/>
      <c r="BJ448" s="52"/>
      <c r="BK448" s="52"/>
      <c r="BL448" s="52"/>
      <c r="BM448" s="52"/>
      <c r="BN448" s="52"/>
      <c r="BO448" s="52"/>
      <c r="BP448" s="52"/>
      <c r="BQ448" s="52"/>
      <c r="BR448" s="52"/>
      <c r="BS448" s="52"/>
      <c r="BT448" s="52"/>
      <c r="BU448" s="52"/>
      <c r="BV448" s="52"/>
    </row>
    <row r="449">
      <c r="AS449" s="52"/>
      <c r="AT449" s="52"/>
      <c r="AU449" s="52"/>
      <c r="AV449" s="52"/>
      <c r="AW449" s="52"/>
      <c r="AX449" s="52"/>
      <c r="AY449" s="52"/>
      <c r="AZ449" s="52"/>
      <c r="BA449" s="52"/>
      <c r="BB449" s="52"/>
      <c r="BC449" s="52"/>
      <c r="BD449" s="52"/>
      <c r="BE449" s="52"/>
      <c r="BF449" s="52"/>
      <c r="BG449" s="52"/>
      <c r="BH449" s="52"/>
      <c r="BI449" s="52"/>
      <c r="BJ449" s="52"/>
      <c r="BK449" s="52"/>
      <c r="BL449" s="52"/>
      <c r="BM449" s="52"/>
      <c r="BN449" s="52"/>
      <c r="BO449" s="52"/>
      <c r="BP449" s="52"/>
      <c r="BQ449" s="52"/>
      <c r="BR449" s="52"/>
      <c r="BS449" s="52"/>
      <c r="BT449" s="52"/>
      <c r="BU449" s="52"/>
      <c r="BV449" s="52"/>
    </row>
    <row r="450">
      <c r="AS450" s="52"/>
      <c r="AT450" s="52"/>
      <c r="AU450" s="52"/>
      <c r="AV450" s="52"/>
      <c r="AW450" s="52"/>
      <c r="AX450" s="52"/>
      <c r="AY450" s="52"/>
      <c r="AZ450" s="52"/>
      <c r="BA450" s="52"/>
      <c r="BB450" s="52"/>
      <c r="BC450" s="52"/>
      <c r="BD450" s="52"/>
      <c r="BE450" s="52"/>
      <c r="BF450" s="52"/>
      <c r="BG450" s="52"/>
      <c r="BH450" s="52"/>
      <c r="BI450" s="52"/>
      <c r="BJ450" s="52"/>
      <c r="BK450" s="52"/>
      <c r="BL450" s="52"/>
      <c r="BM450" s="52"/>
      <c r="BN450" s="52"/>
      <c r="BO450" s="52"/>
      <c r="BP450" s="52"/>
      <c r="BQ450" s="52"/>
      <c r="BR450" s="52"/>
      <c r="BS450" s="52"/>
      <c r="BT450" s="52"/>
      <c r="BU450" s="52"/>
      <c r="BV450" s="52"/>
    </row>
    <row r="451">
      <c r="AS451" s="52"/>
      <c r="AT451" s="52"/>
      <c r="AU451" s="52"/>
      <c r="AV451" s="52"/>
      <c r="AW451" s="52"/>
      <c r="AX451" s="52"/>
      <c r="AY451" s="52"/>
      <c r="AZ451" s="52"/>
      <c r="BA451" s="52"/>
      <c r="BB451" s="52"/>
      <c r="BC451" s="52"/>
      <c r="BD451" s="52"/>
      <c r="BE451" s="52"/>
      <c r="BF451" s="52"/>
      <c r="BG451" s="52"/>
      <c r="BH451" s="52"/>
      <c r="BI451" s="52"/>
      <c r="BJ451" s="52"/>
      <c r="BK451" s="52"/>
      <c r="BL451" s="52"/>
      <c r="BM451" s="52"/>
      <c r="BN451" s="52"/>
      <c r="BO451" s="52"/>
      <c r="BP451" s="52"/>
      <c r="BQ451" s="52"/>
      <c r="BR451" s="52"/>
      <c r="BS451" s="52"/>
      <c r="BT451" s="52"/>
      <c r="BU451" s="52"/>
      <c r="BV451" s="52"/>
    </row>
    <row r="452">
      <c r="AS452" s="52"/>
      <c r="AT452" s="52"/>
      <c r="AU452" s="52"/>
      <c r="AV452" s="52"/>
      <c r="AW452" s="52"/>
      <c r="AX452" s="52"/>
      <c r="AY452" s="52"/>
      <c r="AZ452" s="52"/>
      <c r="BA452" s="52"/>
      <c r="BB452" s="52"/>
      <c r="BC452" s="52"/>
      <c r="BD452" s="52"/>
      <c r="BE452" s="52"/>
      <c r="BF452" s="52"/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2"/>
      <c r="BR452" s="52"/>
      <c r="BS452" s="52"/>
      <c r="BT452" s="52"/>
      <c r="BU452" s="52"/>
      <c r="BV452" s="52"/>
    </row>
    <row r="453">
      <c r="AS453" s="52"/>
      <c r="AT453" s="52"/>
      <c r="AU453" s="52"/>
      <c r="AV453" s="52"/>
      <c r="AW453" s="52"/>
      <c r="AX453" s="52"/>
      <c r="AY453" s="52"/>
      <c r="AZ453" s="52"/>
      <c r="BA453" s="52"/>
      <c r="BB453" s="52"/>
      <c r="BC453" s="52"/>
      <c r="BD453" s="52"/>
      <c r="BE453" s="52"/>
      <c r="BF453" s="52"/>
      <c r="BG453" s="52"/>
      <c r="BH453" s="52"/>
      <c r="BI453" s="52"/>
      <c r="BJ453" s="52"/>
      <c r="BK453" s="52"/>
      <c r="BL453" s="52"/>
      <c r="BM453" s="52"/>
      <c r="BN453" s="52"/>
      <c r="BO453" s="52"/>
      <c r="BP453" s="52"/>
      <c r="BQ453" s="52"/>
      <c r="BR453" s="52"/>
      <c r="BS453" s="52"/>
      <c r="BT453" s="52"/>
      <c r="BU453" s="52"/>
      <c r="BV453" s="52"/>
    </row>
    <row r="454">
      <c r="AS454" s="52"/>
      <c r="AT454" s="52"/>
      <c r="AU454" s="52"/>
      <c r="AV454" s="52"/>
      <c r="AW454" s="52"/>
      <c r="AX454" s="52"/>
      <c r="AY454" s="52"/>
      <c r="AZ454" s="52"/>
      <c r="BA454" s="52"/>
      <c r="BB454" s="52"/>
      <c r="BC454" s="52"/>
      <c r="BD454" s="52"/>
      <c r="BE454" s="52"/>
      <c r="BF454" s="52"/>
      <c r="BG454" s="52"/>
      <c r="BH454" s="52"/>
      <c r="BI454" s="52"/>
      <c r="BJ454" s="52"/>
      <c r="BK454" s="52"/>
      <c r="BL454" s="52"/>
      <c r="BM454" s="52"/>
      <c r="BN454" s="52"/>
      <c r="BO454" s="52"/>
      <c r="BP454" s="52"/>
      <c r="BQ454" s="52"/>
      <c r="BR454" s="52"/>
      <c r="BS454" s="52"/>
      <c r="BT454" s="52"/>
      <c r="BU454" s="52"/>
      <c r="BV454" s="52"/>
    </row>
    <row r="455">
      <c r="AS455" s="52"/>
      <c r="AT455" s="52"/>
      <c r="AU455" s="52"/>
      <c r="AV455" s="52"/>
      <c r="AW455" s="52"/>
      <c r="AX455" s="52"/>
      <c r="AY455" s="52"/>
      <c r="AZ455" s="52"/>
      <c r="BA455" s="52"/>
      <c r="BB455" s="52"/>
      <c r="BC455" s="52"/>
      <c r="BD455" s="52"/>
      <c r="BE455" s="52"/>
      <c r="BF455" s="52"/>
      <c r="BG455" s="52"/>
      <c r="BH455" s="52"/>
      <c r="BI455" s="52"/>
      <c r="BJ455" s="52"/>
      <c r="BK455" s="52"/>
      <c r="BL455" s="52"/>
      <c r="BM455" s="52"/>
      <c r="BN455" s="52"/>
      <c r="BO455" s="52"/>
      <c r="BP455" s="52"/>
      <c r="BQ455" s="52"/>
      <c r="BR455" s="52"/>
      <c r="BS455" s="52"/>
      <c r="BT455" s="52"/>
      <c r="BU455" s="52"/>
      <c r="BV455" s="52"/>
    </row>
    <row r="456">
      <c r="AS456" s="52"/>
      <c r="AT456" s="52"/>
      <c r="AU456" s="52"/>
      <c r="AV456" s="52"/>
      <c r="AW456" s="52"/>
      <c r="AX456" s="52"/>
      <c r="AY456" s="52"/>
      <c r="AZ456" s="52"/>
      <c r="BA456" s="52"/>
      <c r="BB456" s="52"/>
      <c r="BC456" s="52"/>
      <c r="BD456" s="52"/>
      <c r="BE456" s="52"/>
      <c r="BF456" s="52"/>
      <c r="BG456" s="52"/>
      <c r="BH456" s="52"/>
      <c r="BI456" s="52"/>
      <c r="BJ456" s="52"/>
      <c r="BK456" s="52"/>
      <c r="BL456" s="52"/>
      <c r="BM456" s="52"/>
      <c r="BN456" s="52"/>
      <c r="BO456" s="52"/>
      <c r="BP456" s="52"/>
      <c r="BQ456" s="52"/>
      <c r="BR456" s="52"/>
      <c r="BS456" s="52"/>
      <c r="BT456" s="52"/>
      <c r="BU456" s="52"/>
      <c r="BV456" s="52"/>
    </row>
    <row r="457">
      <c r="AS457" s="52"/>
      <c r="AT457" s="52"/>
      <c r="AU457" s="52"/>
      <c r="AV457" s="52"/>
      <c r="AW457" s="52"/>
      <c r="AX457" s="52"/>
      <c r="AY457" s="52"/>
      <c r="AZ457" s="52"/>
      <c r="BA457" s="52"/>
      <c r="BB457" s="52"/>
      <c r="BC457" s="52"/>
      <c r="BD457" s="52"/>
      <c r="BE457" s="52"/>
      <c r="BF457" s="52"/>
      <c r="BG457" s="52"/>
      <c r="BH457" s="52"/>
      <c r="BI457" s="52"/>
      <c r="BJ457" s="52"/>
      <c r="BK457" s="52"/>
      <c r="BL457" s="52"/>
      <c r="BM457" s="52"/>
      <c r="BN457" s="52"/>
      <c r="BO457" s="52"/>
      <c r="BP457" s="52"/>
      <c r="BQ457" s="52"/>
      <c r="BR457" s="52"/>
      <c r="BS457" s="52"/>
      <c r="BT457" s="52"/>
      <c r="BU457" s="52"/>
      <c r="BV457" s="52"/>
    </row>
    <row r="458">
      <c r="AS458" s="52"/>
      <c r="AT458" s="52"/>
      <c r="AU458" s="52"/>
      <c r="AV458" s="52"/>
      <c r="AW458" s="52"/>
      <c r="AX458" s="52"/>
      <c r="AY458" s="52"/>
      <c r="AZ458" s="52"/>
      <c r="BA458" s="52"/>
      <c r="BB458" s="52"/>
      <c r="BC458" s="52"/>
      <c r="BD458" s="52"/>
      <c r="BE458" s="52"/>
      <c r="BF458" s="52"/>
      <c r="BG458" s="52"/>
      <c r="BH458" s="52"/>
      <c r="BI458" s="52"/>
      <c r="BJ458" s="52"/>
      <c r="BK458" s="52"/>
      <c r="BL458" s="52"/>
      <c r="BM458" s="52"/>
      <c r="BN458" s="52"/>
      <c r="BO458" s="52"/>
      <c r="BP458" s="52"/>
      <c r="BQ458" s="52"/>
      <c r="BR458" s="52"/>
      <c r="BS458" s="52"/>
      <c r="BT458" s="52"/>
      <c r="BU458" s="52"/>
      <c r="BV458" s="52"/>
    </row>
    <row r="459">
      <c r="AS459" s="52"/>
      <c r="AT459" s="52"/>
      <c r="AU459" s="52"/>
      <c r="AV459" s="52"/>
      <c r="AW459" s="52"/>
      <c r="AX459" s="52"/>
      <c r="AY459" s="52"/>
      <c r="AZ459" s="52"/>
      <c r="BA459" s="52"/>
      <c r="BB459" s="52"/>
      <c r="BC459" s="52"/>
      <c r="BD459" s="52"/>
      <c r="BE459" s="52"/>
      <c r="BF459" s="52"/>
      <c r="BG459" s="52"/>
      <c r="BH459" s="52"/>
      <c r="BI459" s="52"/>
      <c r="BJ459" s="52"/>
      <c r="BK459" s="52"/>
      <c r="BL459" s="52"/>
      <c r="BM459" s="52"/>
      <c r="BN459" s="52"/>
      <c r="BO459" s="52"/>
      <c r="BP459" s="52"/>
      <c r="BQ459" s="52"/>
      <c r="BR459" s="52"/>
      <c r="BS459" s="52"/>
      <c r="BT459" s="52"/>
      <c r="BU459" s="52"/>
      <c r="BV459" s="52"/>
    </row>
    <row r="460">
      <c r="AS460" s="52"/>
      <c r="AT460" s="52"/>
      <c r="AU460" s="52"/>
      <c r="AV460" s="52"/>
      <c r="AW460" s="52"/>
      <c r="AX460" s="52"/>
      <c r="AY460" s="52"/>
      <c r="AZ460" s="52"/>
      <c r="BA460" s="52"/>
      <c r="BB460" s="52"/>
      <c r="BC460" s="52"/>
      <c r="BD460" s="52"/>
      <c r="BE460" s="52"/>
      <c r="BF460" s="52"/>
      <c r="BG460" s="52"/>
      <c r="BH460" s="52"/>
      <c r="BI460" s="52"/>
      <c r="BJ460" s="52"/>
      <c r="BK460" s="52"/>
      <c r="BL460" s="52"/>
      <c r="BM460" s="52"/>
      <c r="BN460" s="52"/>
      <c r="BO460" s="52"/>
      <c r="BP460" s="52"/>
      <c r="BQ460" s="52"/>
      <c r="BR460" s="52"/>
      <c r="BS460" s="52"/>
      <c r="BT460" s="52"/>
      <c r="BU460" s="52"/>
      <c r="BV460" s="52"/>
    </row>
    <row r="461">
      <c r="AS461" s="52"/>
      <c r="AT461" s="52"/>
      <c r="AU461" s="52"/>
      <c r="AV461" s="52"/>
      <c r="AW461" s="52"/>
      <c r="AX461" s="52"/>
      <c r="AY461" s="52"/>
      <c r="AZ461" s="52"/>
      <c r="BA461" s="52"/>
      <c r="BB461" s="52"/>
      <c r="BC461" s="52"/>
      <c r="BD461" s="52"/>
      <c r="BE461" s="52"/>
      <c r="BF461" s="52"/>
      <c r="BG461" s="52"/>
      <c r="BH461" s="52"/>
      <c r="BI461" s="52"/>
      <c r="BJ461" s="52"/>
      <c r="BK461" s="52"/>
      <c r="BL461" s="52"/>
      <c r="BM461" s="52"/>
      <c r="BN461" s="52"/>
      <c r="BO461" s="52"/>
      <c r="BP461" s="52"/>
      <c r="BQ461" s="52"/>
      <c r="BR461" s="52"/>
      <c r="BS461" s="52"/>
      <c r="BT461" s="52"/>
      <c r="BU461" s="52"/>
      <c r="BV461" s="52"/>
    </row>
    <row r="462">
      <c r="AS462" s="52"/>
      <c r="AT462" s="52"/>
      <c r="AU462" s="52"/>
      <c r="AV462" s="52"/>
      <c r="AW462" s="52"/>
      <c r="AX462" s="52"/>
      <c r="AY462" s="52"/>
      <c r="AZ462" s="52"/>
      <c r="BA462" s="52"/>
      <c r="BB462" s="52"/>
      <c r="BC462" s="52"/>
      <c r="BD462" s="52"/>
      <c r="BE462" s="52"/>
      <c r="BF462" s="52"/>
      <c r="BG462" s="52"/>
      <c r="BH462" s="52"/>
      <c r="BI462" s="52"/>
      <c r="BJ462" s="52"/>
      <c r="BK462" s="52"/>
      <c r="BL462" s="52"/>
      <c r="BM462" s="52"/>
      <c r="BN462" s="52"/>
      <c r="BO462" s="52"/>
      <c r="BP462" s="52"/>
      <c r="BQ462" s="52"/>
      <c r="BR462" s="52"/>
      <c r="BS462" s="52"/>
      <c r="BT462" s="52"/>
      <c r="BU462" s="52"/>
      <c r="BV462" s="52"/>
    </row>
    <row r="463">
      <c r="AS463" s="52"/>
      <c r="AT463" s="52"/>
      <c r="AU463" s="52"/>
      <c r="AV463" s="52"/>
      <c r="AW463" s="52"/>
      <c r="AX463" s="52"/>
      <c r="AY463" s="52"/>
      <c r="AZ463" s="52"/>
      <c r="BA463" s="52"/>
      <c r="BB463" s="52"/>
      <c r="BC463" s="52"/>
      <c r="BD463" s="52"/>
      <c r="BE463" s="52"/>
      <c r="BF463" s="52"/>
      <c r="BG463" s="52"/>
      <c r="BH463" s="52"/>
      <c r="BI463" s="52"/>
      <c r="BJ463" s="52"/>
      <c r="BK463" s="52"/>
      <c r="BL463" s="52"/>
      <c r="BM463" s="52"/>
      <c r="BN463" s="52"/>
      <c r="BO463" s="52"/>
      <c r="BP463" s="52"/>
      <c r="BQ463" s="52"/>
      <c r="BR463" s="52"/>
      <c r="BS463" s="52"/>
      <c r="BT463" s="52"/>
      <c r="BU463" s="52"/>
      <c r="BV463" s="52"/>
    </row>
    <row r="464">
      <c r="AS464" s="52"/>
      <c r="AT464" s="52"/>
      <c r="AU464" s="52"/>
      <c r="AV464" s="52"/>
      <c r="AW464" s="52"/>
      <c r="AX464" s="52"/>
      <c r="AY464" s="52"/>
      <c r="AZ464" s="52"/>
      <c r="BA464" s="52"/>
      <c r="BB464" s="52"/>
      <c r="BC464" s="52"/>
      <c r="BD464" s="52"/>
      <c r="BE464" s="52"/>
      <c r="BF464" s="52"/>
      <c r="BG464" s="52"/>
      <c r="BH464" s="52"/>
      <c r="BI464" s="52"/>
      <c r="BJ464" s="52"/>
      <c r="BK464" s="52"/>
      <c r="BL464" s="52"/>
      <c r="BM464" s="52"/>
      <c r="BN464" s="52"/>
      <c r="BO464" s="52"/>
      <c r="BP464" s="52"/>
      <c r="BQ464" s="52"/>
      <c r="BR464" s="52"/>
      <c r="BS464" s="52"/>
      <c r="BT464" s="52"/>
      <c r="BU464" s="52"/>
      <c r="BV464" s="52"/>
    </row>
    <row r="465">
      <c r="AS465" s="52"/>
      <c r="AT465" s="52"/>
      <c r="AU465" s="52"/>
      <c r="AV465" s="52"/>
      <c r="AW465" s="52"/>
      <c r="AX465" s="52"/>
      <c r="AY465" s="52"/>
      <c r="AZ465" s="52"/>
      <c r="BA465" s="52"/>
      <c r="BB465" s="52"/>
      <c r="BC465" s="52"/>
      <c r="BD465" s="52"/>
      <c r="BE465" s="52"/>
      <c r="BF465" s="52"/>
      <c r="BG465" s="52"/>
      <c r="BH465" s="52"/>
      <c r="BI465" s="52"/>
      <c r="BJ465" s="52"/>
      <c r="BK465" s="52"/>
      <c r="BL465" s="52"/>
      <c r="BM465" s="52"/>
      <c r="BN465" s="52"/>
      <c r="BO465" s="52"/>
      <c r="BP465" s="52"/>
      <c r="BQ465" s="52"/>
      <c r="BR465" s="52"/>
      <c r="BS465" s="52"/>
      <c r="BT465" s="52"/>
      <c r="BU465" s="52"/>
      <c r="BV465" s="52"/>
    </row>
    <row r="466">
      <c r="AS466" s="52"/>
      <c r="AT466" s="52"/>
      <c r="AU466" s="52"/>
      <c r="AV466" s="52"/>
      <c r="AW466" s="52"/>
      <c r="AX466" s="52"/>
      <c r="AY466" s="52"/>
      <c r="AZ466" s="52"/>
      <c r="BA466" s="52"/>
      <c r="BB466" s="52"/>
      <c r="BC466" s="52"/>
      <c r="BD466" s="52"/>
      <c r="BE466" s="52"/>
      <c r="BF466" s="52"/>
      <c r="BG466" s="52"/>
      <c r="BH466" s="52"/>
      <c r="BI466" s="52"/>
      <c r="BJ466" s="52"/>
      <c r="BK466" s="52"/>
      <c r="BL466" s="52"/>
      <c r="BM466" s="52"/>
      <c r="BN466" s="52"/>
      <c r="BO466" s="52"/>
      <c r="BP466" s="52"/>
      <c r="BQ466" s="52"/>
      <c r="BR466" s="52"/>
      <c r="BS466" s="52"/>
      <c r="BT466" s="52"/>
      <c r="BU466" s="52"/>
      <c r="BV466" s="52"/>
    </row>
    <row r="467">
      <c r="AS467" s="52"/>
      <c r="AT467" s="52"/>
      <c r="AU467" s="52"/>
      <c r="AV467" s="52"/>
      <c r="AW467" s="52"/>
      <c r="AX467" s="52"/>
      <c r="AY467" s="52"/>
      <c r="AZ467" s="52"/>
      <c r="BA467" s="52"/>
      <c r="BB467" s="52"/>
      <c r="BC467" s="52"/>
      <c r="BD467" s="52"/>
      <c r="BE467" s="52"/>
      <c r="BF467" s="52"/>
      <c r="BG467" s="52"/>
      <c r="BH467" s="52"/>
      <c r="BI467" s="52"/>
      <c r="BJ467" s="52"/>
      <c r="BK467" s="52"/>
      <c r="BL467" s="52"/>
      <c r="BM467" s="52"/>
      <c r="BN467" s="52"/>
      <c r="BO467" s="52"/>
      <c r="BP467" s="52"/>
      <c r="BQ467" s="52"/>
      <c r="BR467" s="52"/>
      <c r="BS467" s="52"/>
      <c r="BT467" s="52"/>
      <c r="BU467" s="52"/>
      <c r="BV467" s="52"/>
    </row>
    <row r="468">
      <c r="AS468" s="52"/>
      <c r="AT468" s="52"/>
      <c r="AU468" s="52"/>
      <c r="AV468" s="52"/>
      <c r="AW468" s="52"/>
      <c r="AX468" s="52"/>
      <c r="AY468" s="52"/>
      <c r="AZ468" s="52"/>
      <c r="BA468" s="52"/>
      <c r="BB468" s="52"/>
      <c r="BC468" s="52"/>
      <c r="BD468" s="52"/>
      <c r="BE468" s="52"/>
      <c r="BF468" s="52"/>
      <c r="BG468" s="52"/>
      <c r="BH468" s="52"/>
      <c r="BI468" s="52"/>
      <c r="BJ468" s="52"/>
      <c r="BK468" s="52"/>
      <c r="BL468" s="52"/>
      <c r="BM468" s="52"/>
      <c r="BN468" s="52"/>
      <c r="BO468" s="52"/>
      <c r="BP468" s="52"/>
      <c r="BQ468" s="52"/>
      <c r="BR468" s="52"/>
      <c r="BS468" s="52"/>
      <c r="BT468" s="52"/>
      <c r="BU468" s="52"/>
      <c r="BV468" s="52"/>
    </row>
    <row r="469">
      <c r="AS469" s="52"/>
      <c r="AT469" s="52"/>
      <c r="AU469" s="52"/>
      <c r="AV469" s="52"/>
      <c r="AW469" s="52"/>
      <c r="AX469" s="52"/>
      <c r="AY469" s="52"/>
      <c r="AZ469" s="52"/>
      <c r="BA469" s="52"/>
      <c r="BB469" s="52"/>
      <c r="BC469" s="52"/>
      <c r="BD469" s="52"/>
      <c r="BE469" s="52"/>
      <c r="BF469" s="52"/>
      <c r="BG469" s="52"/>
      <c r="BH469" s="52"/>
      <c r="BI469" s="52"/>
      <c r="BJ469" s="52"/>
      <c r="BK469" s="52"/>
      <c r="BL469" s="52"/>
      <c r="BM469" s="52"/>
      <c r="BN469" s="52"/>
      <c r="BO469" s="52"/>
      <c r="BP469" s="52"/>
      <c r="BQ469" s="52"/>
      <c r="BR469" s="52"/>
      <c r="BS469" s="52"/>
      <c r="BT469" s="52"/>
      <c r="BU469" s="52"/>
      <c r="BV469" s="52"/>
    </row>
    <row r="470">
      <c r="AS470" s="52"/>
      <c r="AT470" s="52"/>
      <c r="AU470" s="52"/>
      <c r="AV470" s="52"/>
      <c r="AW470" s="52"/>
      <c r="AX470" s="52"/>
      <c r="AY470" s="52"/>
      <c r="AZ470" s="52"/>
      <c r="BA470" s="52"/>
      <c r="BB470" s="52"/>
      <c r="BC470" s="52"/>
      <c r="BD470" s="52"/>
      <c r="BE470" s="52"/>
      <c r="BF470" s="52"/>
      <c r="BG470" s="52"/>
      <c r="BH470" s="52"/>
      <c r="BI470" s="52"/>
      <c r="BJ470" s="52"/>
      <c r="BK470" s="52"/>
      <c r="BL470" s="52"/>
      <c r="BM470" s="52"/>
      <c r="BN470" s="52"/>
      <c r="BO470" s="52"/>
      <c r="BP470" s="52"/>
      <c r="BQ470" s="52"/>
      <c r="BR470" s="52"/>
      <c r="BS470" s="52"/>
      <c r="BT470" s="52"/>
      <c r="BU470" s="52"/>
      <c r="BV470" s="52"/>
    </row>
    <row r="471">
      <c r="AS471" s="52"/>
      <c r="AT471" s="52"/>
      <c r="AU471" s="52"/>
      <c r="AV471" s="52"/>
      <c r="AW471" s="52"/>
      <c r="AX471" s="52"/>
      <c r="AY471" s="52"/>
      <c r="AZ471" s="52"/>
      <c r="BA471" s="52"/>
      <c r="BB471" s="52"/>
      <c r="BC471" s="52"/>
      <c r="BD471" s="52"/>
      <c r="BE471" s="52"/>
      <c r="BF471" s="52"/>
      <c r="BG471" s="52"/>
      <c r="BH471" s="52"/>
      <c r="BI471" s="52"/>
      <c r="BJ471" s="52"/>
      <c r="BK471" s="52"/>
      <c r="BL471" s="52"/>
      <c r="BM471" s="52"/>
      <c r="BN471" s="52"/>
      <c r="BO471" s="52"/>
      <c r="BP471" s="52"/>
      <c r="BQ471" s="52"/>
      <c r="BR471" s="52"/>
      <c r="BS471" s="52"/>
      <c r="BT471" s="52"/>
      <c r="BU471" s="52"/>
      <c r="BV471" s="52"/>
    </row>
    <row r="472">
      <c r="AS472" s="52"/>
      <c r="AT472" s="52"/>
      <c r="AU472" s="52"/>
      <c r="AV472" s="52"/>
      <c r="AW472" s="52"/>
      <c r="AX472" s="52"/>
      <c r="AY472" s="52"/>
      <c r="AZ472" s="52"/>
      <c r="BA472" s="52"/>
      <c r="BB472" s="52"/>
      <c r="BC472" s="52"/>
      <c r="BD472" s="52"/>
      <c r="BE472" s="52"/>
      <c r="BF472" s="52"/>
      <c r="BG472" s="52"/>
      <c r="BH472" s="52"/>
      <c r="BI472" s="52"/>
      <c r="BJ472" s="52"/>
      <c r="BK472" s="52"/>
      <c r="BL472" s="52"/>
      <c r="BM472" s="52"/>
      <c r="BN472" s="52"/>
      <c r="BO472" s="52"/>
      <c r="BP472" s="52"/>
      <c r="BQ472" s="52"/>
      <c r="BR472" s="52"/>
      <c r="BS472" s="52"/>
      <c r="BT472" s="52"/>
      <c r="BU472" s="52"/>
      <c r="BV472" s="52"/>
    </row>
    <row r="473">
      <c r="AS473" s="52"/>
      <c r="AT473" s="52"/>
      <c r="AU473" s="52"/>
      <c r="AV473" s="52"/>
      <c r="AW473" s="52"/>
      <c r="AX473" s="52"/>
      <c r="AY473" s="52"/>
      <c r="AZ473" s="52"/>
      <c r="BA473" s="52"/>
      <c r="BB473" s="52"/>
      <c r="BC473" s="52"/>
      <c r="BD473" s="52"/>
      <c r="BE473" s="52"/>
      <c r="BF473" s="52"/>
      <c r="BG473" s="52"/>
      <c r="BH473" s="52"/>
      <c r="BI473" s="52"/>
      <c r="BJ473" s="52"/>
      <c r="BK473" s="52"/>
      <c r="BL473" s="52"/>
      <c r="BM473" s="52"/>
      <c r="BN473" s="52"/>
      <c r="BO473" s="52"/>
      <c r="BP473" s="52"/>
      <c r="BQ473" s="52"/>
      <c r="BR473" s="52"/>
      <c r="BS473" s="52"/>
      <c r="BT473" s="52"/>
      <c r="BU473" s="52"/>
      <c r="BV473" s="52"/>
    </row>
    <row r="474">
      <c r="AS474" s="52"/>
      <c r="AT474" s="52"/>
      <c r="AU474" s="52"/>
      <c r="AV474" s="52"/>
      <c r="AW474" s="52"/>
      <c r="AX474" s="52"/>
      <c r="AY474" s="52"/>
      <c r="AZ474" s="52"/>
      <c r="BA474" s="52"/>
      <c r="BB474" s="52"/>
      <c r="BC474" s="52"/>
      <c r="BD474" s="52"/>
      <c r="BE474" s="52"/>
      <c r="BF474" s="52"/>
      <c r="BG474" s="52"/>
      <c r="BH474" s="52"/>
      <c r="BI474" s="52"/>
      <c r="BJ474" s="52"/>
      <c r="BK474" s="52"/>
      <c r="BL474" s="52"/>
      <c r="BM474" s="52"/>
      <c r="BN474" s="52"/>
      <c r="BO474" s="52"/>
      <c r="BP474" s="52"/>
      <c r="BQ474" s="52"/>
      <c r="BR474" s="52"/>
      <c r="BS474" s="52"/>
      <c r="BT474" s="52"/>
      <c r="BU474" s="52"/>
      <c r="BV474" s="52"/>
    </row>
    <row r="475">
      <c r="AS475" s="52"/>
      <c r="AT475" s="52"/>
      <c r="AU475" s="52"/>
      <c r="AV475" s="52"/>
      <c r="AW475" s="52"/>
      <c r="AX475" s="52"/>
      <c r="AY475" s="52"/>
      <c r="AZ475" s="52"/>
      <c r="BA475" s="52"/>
      <c r="BB475" s="52"/>
      <c r="BC475" s="52"/>
      <c r="BD475" s="52"/>
      <c r="BE475" s="52"/>
      <c r="BF475" s="52"/>
      <c r="BG475" s="52"/>
      <c r="BH475" s="52"/>
      <c r="BI475" s="52"/>
      <c r="BJ475" s="52"/>
      <c r="BK475" s="52"/>
      <c r="BL475" s="52"/>
      <c r="BM475" s="52"/>
      <c r="BN475" s="52"/>
      <c r="BO475" s="52"/>
      <c r="BP475" s="52"/>
      <c r="BQ475" s="52"/>
      <c r="BR475" s="52"/>
      <c r="BS475" s="52"/>
      <c r="BT475" s="52"/>
      <c r="BU475" s="52"/>
      <c r="BV475" s="52"/>
    </row>
    <row r="476">
      <c r="AS476" s="52"/>
      <c r="AT476" s="52"/>
      <c r="AU476" s="52"/>
      <c r="AV476" s="52"/>
      <c r="AW476" s="52"/>
      <c r="AX476" s="52"/>
      <c r="AY476" s="52"/>
      <c r="AZ476" s="52"/>
      <c r="BA476" s="52"/>
      <c r="BB476" s="52"/>
      <c r="BC476" s="52"/>
      <c r="BD476" s="52"/>
      <c r="BE476" s="52"/>
      <c r="BF476" s="52"/>
      <c r="BG476" s="52"/>
      <c r="BH476" s="52"/>
      <c r="BI476" s="52"/>
      <c r="BJ476" s="52"/>
      <c r="BK476" s="52"/>
      <c r="BL476" s="52"/>
      <c r="BM476" s="52"/>
      <c r="BN476" s="52"/>
      <c r="BO476" s="52"/>
      <c r="BP476" s="52"/>
      <c r="BQ476" s="52"/>
      <c r="BR476" s="52"/>
      <c r="BS476" s="52"/>
      <c r="BT476" s="52"/>
      <c r="BU476" s="52"/>
      <c r="BV476" s="52"/>
    </row>
    <row r="477">
      <c r="AS477" s="52"/>
      <c r="AT477" s="52"/>
      <c r="AU477" s="52"/>
      <c r="AV477" s="52"/>
      <c r="AW477" s="52"/>
      <c r="AX477" s="52"/>
      <c r="AY477" s="52"/>
      <c r="AZ477" s="52"/>
      <c r="BA477" s="52"/>
      <c r="BB477" s="52"/>
      <c r="BC477" s="52"/>
      <c r="BD477" s="52"/>
      <c r="BE477" s="52"/>
      <c r="BF477" s="52"/>
      <c r="BG477" s="52"/>
      <c r="BH477" s="52"/>
      <c r="BI477" s="52"/>
      <c r="BJ477" s="52"/>
      <c r="BK477" s="52"/>
      <c r="BL477" s="52"/>
      <c r="BM477" s="52"/>
      <c r="BN477" s="52"/>
      <c r="BO477" s="52"/>
      <c r="BP477" s="52"/>
      <c r="BQ477" s="52"/>
      <c r="BR477" s="52"/>
      <c r="BS477" s="52"/>
      <c r="BT477" s="52"/>
      <c r="BU477" s="52"/>
      <c r="BV477" s="52"/>
    </row>
    <row r="478">
      <c r="AS478" s="52"/>
      <c r="AT478" s="52"/>
      <c r="AU478" s="52"/>
      <c r="AV478" s="52"/>
      <c r="AW478" s="52"/>
      <c r="AX478" s="52"/>
      <c r="AY478" s="52"/>
      <c r="AZ478" s="52"/>
      <c r="BA478" s="52"/>
      <c r="BB478" s="52"/>
      <c r="BC478" s="52"/>
      <c r="BD478" s="52"/>
      <c r="BE478" s="52"/>
      <c r="BF478" s="52"/>
      <c r="BG478" s="52"/>
      <c r="BH478" s="52"/>
      <c r="BI478" s="52"/>
      <c r="BJ478" s="52"/>
      <c r="BK478" s="52"/>
      <c r="BL478" s="52"/>
      <c r="BM478" s="52"/>
      <c r="BN478" s="52"/>
      <c r="BO478" s="52"/>
      <c r="BP478" s="52"/>
      <c r="BQ478" s="52"/>
      <c r="BR478" s="52"/>
      <c r="BS478" s="52"/>
      <c r="BT478" s="52"/>
      <c r="BU478" s="52"/>
      <c r="BV478" s="52"/>
    </row>
    <row r="479">
      <c r="AS479" s="52"/>
      <c r="AT479" s="52"/>
      <c r="AU479" s="52"/>
      <c r="AV479" s="52"/>
      <c r="AW479" s="52"/>
      <c r="AX479" s="52"/>
      <c r="AY479" s="52"/>
      <c r="AZ479" s="52"/>
      <c r="BA479" s="52"/>
      <c r="BB479" s="52"/>
      <c r="BC479" s="52"/>
      <c r="BD479" s="52"/>
      <c r="BE479" s="52"/>
      <c r="BF479" s="52"/>
      <c r="BG479" s="52"/>
      <c r="BH479" s="52"/>
      <c r="BI479" s="52"/>
      <c r="BJ479" s="52"/>
      <c r="BK479" s="52"/>
      <c r="BL479" s="52"/>
      <c r="BM479" s="52"/>
      <c r="BN479" s="52"/>
      <c r="BO479" s="52"/>
      <c r="BP479" s="52"/>
      <c r="BQ479" s="52"/>
      <c r="BR479" s="52"/>
      <c r="BS479" s="52"/>
      <c r="BT479" s="52"/>
      <c r="BU479" s="52"/>
      <c r="BV479" s="52"/>
    </row>
    <row r="480">
      <c r="AS480" s="52"/>
      <c r="AT480" s="52"/>
      <c r="AU480" s="52"/>
      <c r="AV480" s="52"/>
      <c r="AW480" s="52"/>
      <c r="AX480" s="52"/>
      <c r="AY480" s="52"/>
      <c r="AZ480" s="52"/>
      <c r="BA480" s="52"/>
      <c r="BB480" s="52"/>
      <c r="BC480" s="52"/>
      <c r="BD480" s="52"/>
      <c r="BE480" s="52"/>
      <c r="BF480" s="52"/>
      <c r="BG480" s="52"/>
      <c r="BH480" s="52"/>
      <c r="BI480" s="52"/>
      <c r="BJ480" s="52"/>
      <c r="BK480" s="52"/>
      <c r="BL480" s="52"/>
      <c r="BM480" s="52"/>
      <c r="BN480" s="52"/>
      <c r="BO480" s="52"/>
      <c r="BP480" s="52"/>
      <c r="BQ480" s="52"/>
      <c r="BR480" s="52"/>
      <c r="BS480" s="52"/>
      <c r="BT480" s="52"/>
      <c r="BU480" s="52"/>
      <c r="BV480" s="52"/>
    </row>
    <row r="481">
      <c r="AS481" s="52"/>
      <c r="AT481" s="52"/>
      <c r="AU481" s="52"/>
      <c r="AV481" s="52"/>
      <c r="AW481" s="52"/>
      <c r="AX481" s="52"/>
      <c r="AY481" s="52"/>
      <c r="AZ481" s="52"/>
      <c r="BA481" s="52"/>
      <c r="BB481" s="52"/>
      <c r="BC481" s="52"/>
      <c r="BD481" s="52"/>
      <c r="BE481" s="52"/>
      <c r="BF481" s="52"/>
      <c r="BG481" s="52"/>
      <c r="BH481" s="52"/>
      <c r="BI481" s="52"/>
      <c r="BJ481" s="52"/>
      <c r="BK481" s="52"/>
      <c r="BL481" s="52"/>
      <c r="BM481" s="52"/>
      <c r="BN481" s="52"/>
      <c r="BO481" s="52"/>
      <c r="BP481" s="52"/>
      <c r="BQ481" s="52"/>
      <c r="BR481" s="52"/>
      <c r="BS481" s="52"/>
      <c r="BT481" s="52"/>
      <c r="BU481" s="52"/>
      <c r="BV481" s="52"/>
    </row>
    <row r="482">
      <c r="AS482" s="52"/>
      <c r="AT482" s="52"/>
      <c r="AU482" s="52"/>
      <c r="AV482" s="52"/>
      <c r="AW482" s="52"/>
      <c r="AX482" s="52"/>
      <c r="AY482" s="52"/>
      <c r="AZ482" s="52"/>
      <c r="BA482" s="52"/>
      <c r="BB482" s="52"/>
      <c r="BC482" s="52"/>
      <c r="BD482" s="52"/>
      <c r="BE482" s="52"/>
      <c r="BF482" s="52"/>
      <c r="BG482" s="52"/>
      <c r="BH482" s="52"/>
      <c r="BI482" s="52"/>
      <c r="BJ482" s="52"/>
      <c r="BK482" s="52"/>
      <c r="BL482" s="52"/>
      <c r="BM482" s="52"/>
      <c r="BN482" s="52"/>
      <c r="BO482" s="52"/>
      <c r="BP482" s="52"/>
      <c r="BQ482" s="52"/>
      <c r="BR482" s="52"/>
      <c r="BS482" s="52"/>
      <c r="BT482" s="52"/>
      <c r="BU482" s="52"/>
      <c r="BV482" s="52"/>
    </row>
    <row r="483">
      <c r="AS483" s="52"/>
      <c r="AT483" s="52"/>
      <c r="AU483" s="52"/>
      <c r="AV483" s="52"/>
      <c r="AW483" s="52"/>
      <c r="AX483" s="52"/>
      <c r="AY483" s="52"/>
      <c r="AZ483" s="52"/>
      <c r="BA483" s="52"/>
      <c r="BB483" s="52"/>
      <c r="BC483" s="52"/>
      <c r="BD483" s="52"/>
      <c r="BE483" s="52"/>
      <c r="BF483" s="52"/>
      <c r="BG483" s="52"/>
      <c r="BH483" s="52"/>
      <c r="BI483" s="52"/>
      <c r="BJ483" s="52"/>
      <c r="BK483" s="52"/>
      <c r="BL483" s="52"/>
      <c r="BM483" s="52"/>
      <c r="BN483" s="52"/>
      <c r="BO483" s="52"/>
      <c r="BP483" s="52"/>
      <c r="BQ483" s="52"/>
      <c r="BR483" s="52"/>
      <c r="BS483" s="52"/>
      <c r="BT483" s="52"/>
      <c r="BU483" s="52"/>
      <c r="BV483" s="52"/>
    </row>
    <row r="484">
      <c r="AS484" s="52"/>
      <c r="AT484" s="52"/>
      <c r="AU484" s="52"/>
      <c r="AV484" s="52"/>
      <c r="AW484" s="52"/>
      <c r="AX484" s="52"/>
      <c r="AY484" s="52"/>
      <c r="AZ484" s="52"/>
      <c r="BA484" s="52"/>
      <c r="BB484" s="52"/>
      <c r="BC484" s="52"/>
      <c r="BD484" s="52"/>
      <c r="BE484" s="52"/>
      <c r="BF484" s="52"/>
      <c r="BG484" s="52"/>
      <c r="BH484" s="52"/>
      <c r="BI484" s="52"/>
      <c r="BJ484" s="52"/>
      <c r="BK484" s="52"/>
      <c r="BL484" s="52"/>
      <c r="BM484" s="52"/>
      <c r="BN484" s="52"/>
      <c r="BO484" s="52"/>
      <c r="BP484" s="52"/>
      <c r="BQ484" s="52"/>
      <c r="BR484" s="52"/>
      <c r="BS484" s="52"/>
      <c r="BT484" s="52"/>
      <c r="BU484" s="52"/>
      <c r="BV484" s="52"/>
    </row>
    <row r="485">
      <c r="AS485" s="52"/>
      <c r="AT485" s="52"/>
      <c r="AU485" s="52"/>
      <c r="AV485" s="52"/>
      <c r="AW485" s="52"/>
      <c r="AX485" s="52"/>
      <c r="AY485" s="52"/>
      <c r="AZ485" s="52"/>
      <c r="BA485" s="52"/>
      <c r="BB485" s="52"/>
      <c r="BC485" s="52"/>
      <c r="BD485" s="52"/>
      <c r="BE485" s="52"/>
      <c r="BF485" s="52"/>
      <c r="BG485" s="52"/>
      <c r="BH485" s="52"/>
      <c r="BI485" s="52"/>
      <c r="BJ485" s="52"/>
      <c r="BK485" s="52"/>
      <c r="BL485" s="52"/>
      <c r="BM485" s="52"/>
      <c r="BN485" s="52"/>
      <c r="BO485" s="52"/>
      <c r="BP485" s="52"/>
      <c r="BQ485" s="52"/>
      <c r="BR485" s="52"/>
      <c r="BS485" s="52"/>
      <c r="BT485" s="52"/>
      <c r="BU485" s="52"/>
      <c r="BV485" s="52"/>
    </row>
    <row r="486">
      <c r="AS486" s="52"/>
      <c r="AT486" s="52"/>
      <c r="AU486" s="52"/>
      <c r="AV486" s="52"/>
      <c r="AW486" s="52"/>
      <c r="AX486" s="52"/>
      <c r="AY486" s="52"/>
      <c r="AZ486" s="52"/>
      <c r="BA486" s="52"/>
      <c r="BB486" s="52"/>
      <c r="BC486" s="52"/>
      <c r="BD486" s="52"/>
      <c r="BE486" s="52"/>
      <c r="BF486" s="52"/>
      <c r="BG486" s="52"/>
      <c r="BH486" s="52"/>
      <c r="BI486" s="52"/>
      <c r="BJ486" s="52"/>
      <c r="BK486" s="52"/>
      <c r="BL486" s="52"/>
      <c r="BM486" s="52"/>
      <c r="BN486" s="52"/>
      <c r="BO486" s="52"/>
      <c r="BP486" s="52"/>
      <c r="BQ486" s="52"/>
      <c r="BR486" s="52"/>
      <c r="BS486" s="52"/>
      <c r="BT486" s="52"/>
      <c r="BU486" s="52"/>
      <c r="BV486" s="52"/>
    </row>
    <row r="487">
      <c r="AS487" s="52"/>
      <c r="AT487" s="52"/>
      <c r="AU487" s="52"/>
      <c r="AV487" s="52"/>
      <c r="AW487" s="52"/>
      <c r="AX487" s="52"/>
      <c r="AY487" s="52"/>
      <c r="AZ487" s="52"/>
      <c r="BA487" s="52"/>
      <c r="BB487" s="52"/>
      <c r="BC487" s="52"/>
      <c r="BD487" s="52"/>
      <c r="BE487" s="52"/>
      <c r="BF487" s="52"/>
      <c r="BG487" s="52"/>
      <c r="BH487" s="52"/>
      <c r="BI487" s="52"/>
      <c r="BJ487" s="52"/>
      <c r="BK487" s="52"/>
      <c r="BL487" s="52"/>
      <c r="BM487" s="52"/>
      <c r="BN487" s="52"/>
      <c r="BO487" s="52"/>
      <c r="BP487" s="52"/>
      <c r="BQ487" s="52"/>
      <c r="BR487" s="52"/>
      <c r="BS487" s="52"/>
      <c r="BT487" s="52"/>
      <c r="BU487" s="52"/>
      <c r="BV487" s="52"/>
    </row>
    <row r="488">
      <c r="AS488" s="52"/>
      <c r="AT488" s="52"/>
      <c r="AU488" s="52"/>
      <c r="AV488" s="52"/>
      <c r="AW488" s="52"/>
      <c r="AX488" s="52"/>
      <c r="AY488" s="52"/>
      <c r="AZ488" s="52"/>
      <c r="BA488" s="52"/>
      <c r="BB488" s="52"/>
      <c r="BC488" s="52"/>
      <c r="BD488" s="52"/>
      <c r="BE488" s="52"/>
      <c r="BF488" s="52"/>
      <c r="BG488" s="52"/>
      <c r="BH488" s="52"/>
      <c r="BI488" s="52"/>
      <c r="BJ488" s="52"/>
      <c r="BK488" s="52"/>
      <c r="BL488" s="52"/>
      <c r="BM488" s="52"/>
      <c r="BN488" s="52"/>
      <c r="BO488" s="52"/>
      <c r="BP488" s="52"/>
      <c r="BQ488" s="52"/>
      <c r="BR488" s="52"/>
      <c r="BS488" s="52"/>
      <c r="BT488" s="52"/>
      <c r="BU488" s="52"/>
      <c r="BV488" s="52"/>
    </row>
    <row r="489">
      <c r="AS489" s="52"/>
      <c r="AT489" s="52"/>
      <c r="AU489" s="52"/>
      <c r="AV489" s="52"/>
      <c r="AW489" s="52"/>
      <c r="AX489" s="52"/>
      <c r="AY489" s="52"/>
      <c r="AZ489" s="52"/>
      <c r="BA489" s="52"/>
      <c r="BB489" s="52"/>
      <c r="BC489" s="52"/>
      <c r="BD489" s="52"/>
      <c r="BE489" s="52"/>
      <c r="BF489" s="52"/>
      <c r="BG489" s="52"/>
      <c r="BH489" s="52"/>
      <c r="BI489" s="52"/>
      <c r="BJ489" s="52"/>
      <c r="BK489" s="52"/>
      <c r="BL489" s="52"/>
      <c r="BM489" s="52"/>
      <c r="BN489" s="52"/>
      <c r="BO489" s="52"/>
      <c r="BP489" s="52"/>
      <c r="BQ489" s="52"/>
      <c r="BR489" s="52"/>
      <c r="BS489" s="52"/>
      <c r="BT489" s="52"/>
      <c r="BU489" s="52"/>
      <c r="BV489" s="52"/>
    </row>
    <row r="490">
      <c r="AS490" s="52"/>
      <c r="AT490" s="52"/>
      <c r="AU490" s="52"/>
      <c r="AV490" s="52"/>
      <c r="AW490" s="52"/>
      <c r="AX490" s="52"/>
      <c r="AY490" s="52"/>
      <c r="AZ490" s="52"/>
      <c r="BA490" s="52"/>
      <c r="BB490" s="52"/>
      <c r="BC490" s="52"/>
      <c r="BD490" s="52"/>
      <c r="BE490" s="52"/>
      <c r="BF490" s="52"/>
      <c r="BG490" s="52"/>
      <c r="BH490" s="52"/>
      <c r="BI490" s="52"/>
      <c r="BJ490" s="52"/>
      <c r="BK490" s="52"/>
      <c r="BL490" s="52"/>
      <c r="BM490" s="52"/>
      <c r="BN490" s="52"/>
      <c r="BO490" s="52"/>
      <c r="BP490" s="52"/>
      <c r="BQ490" s="52"/>
      <c r="BR490" s="52"/>
      <c r="BS490" s="52"/>
      <c r="BT490" s="52"/>
      <c r="BU490" s="52"/>
      <c r="BV490" s="52"/>
    </row>
    <row r="491">
      <c r="AS491" s="52"/>
      <c r="AT491" s="52"/>
      <c r="AU491" s="52"/>
      <c r="AV491" s="52"/>
      <c r="AW491" s="52"/>
      <c r="AX491" s="52"/>
      <c r="AY491" s="52"/>
      <c r="AZ491" s="52"/>
      <c r="BA491" s="52"/>
      <c r="BB491" s="52"/>
      <c r="BC491" s="52"/>
      <c r="BD491" s="52"/>
      <c r="BE491" s="52"/>
      <c r="BF491" s="52"/>
      <c r="BG491" s="52"/>
      <c r="BH491" s="52"/>
      <c r="BI491" s="52"/>
      <c r="BJ491" s="52"/>
      <c r="BK491" s="52"/>
      <c r="BL491" s="52"/>
      <c r="BM491" s="52"/>
      <c r="BN491" s="52"/>
      <c r="BO491" s="52"/>
      <c r="BP491" s="52"/>
      <c r="BQ491" s="52"/>
      <c r="BR491" s="52"/>
      <c r="BS491" s="52"/>
      <c r="BT491" s="52"/>
      <c r="BU491" s="52"/>
      <c r="BV491" s="52"/>
    </row>
    <row r="492">
      <c r="AS492" s="52"/>
      <c r="AT492" s="52"/>
      <c r="AU492" s="52"/>
      <c r="AV492" s="52"/>
      <c r="AW492" s="52"/>
      <c r="AX492" s="52"/>
      <c r="AY492" s="52"/>
      <c r="AZ492" s="52"/>
      <c r="BA492" s="52"/>
      <c r="BB492" s="52"/>
      <c r="BC492" s="52"/>
      <c r="BD492" s="52"/>
      <c r="BE492" s="52"/>
      <c r="BF492" s="52"/>
      <c r="BG492" s="52"/>
      <c r="BH492" s="52"/>
      <c r="BI492" s="52"/>
      <c r="BJ492" s="52"/>
      <c r="BK492" s="52"/>
      <c r="BL492" s="52"/>
      <c r="BM492" s="52"/>
      <c r="BN492" s="52"/>
      <c r="BO492" s="52"/>
      <c r="BP492" s="52"/>
      <c r="BQ492" s="52"/>
      <c r="BR492" s="52"/>
      <c r="BS492" s="52"/>
      <c r="BT492" s="52"/>
      <c r="BU492" s="52"/>
      <c r="BV492" s="52"/>
    </row>
    <row r="493">
      <c r="AS493" s="52"/>
      <c r="AT493" s="52"/>
      <c r="AU493" s="52"/>
      <c r="AV493" s="52"/>
      <c r="AW493" s="52"/>
      <c r="AX493" s="52"/>
      <c r="AY493" s="52"/>
      <c r="AZ493" s="52"/>
      <c r="BA493" s="52"/>
      <c r="BB493" s="52"/>
      <c r="BC493" s="52"/>
      <c r="BD493" s="52"/>
      <c r="BE493" s="52"/>
      <c r="BF493" s="52"/>
      <c r="BG493" s="52"/>
      <c r="BH493" s="52"/>
      <c r="BI493" s="52"/>
      <c r="BJ493" s="52"/>
      <c r="BK493" s="52"/>
      <c r="BL493" s="52"/>
      <c r="BM493" s="52"/>
      <c r="BN493" s="52"/>
      <c r="BO493" s="52"/>
      <c r="BP493" s="52"/>
      <c r="BQ493" s="52"/>
      <c r="BR493" s="52"/>
      <c r="BS493" s="52"/>
      <c r="BT493" s="52"/>
      <c r="BU493" s="52"/>
      <c r="BV493" s="52"/>
    </row>
    <row r="494">
      <c r="AS494" s="52"/>
      <c r="AT494" s="52"/>
      <c r="AU494" s="52"/>
      <c r="AV494" s="52"/>
      <c r="AW494" s="52"/>
      <c r="AX494" s="52"/>
      <c r="AY494" s="52"/>
      <c r="AZ494" s="52"/>
      <c r="BA494" s="52"/>
      <c r="BB494" s="52"/>
      <c r="BC494" s="52"/>
      <c r="BD494" s="52"/>
      <c r="BE494" s="52"/>
      <c r="BF494" s="52"/>
      <c r="BG494" s="52"/>
      <c r="BH494" s="52"/>
      <c r="BI494" s="52"/>
      <c r="BJ494" s="52"/>
      <c r="BK494" s="52"/>
      <c r="BL494" s="52"/>
      <c r="BM494" s="52"/>
      <c r="BN494" s="52"/>
      <c r="BO494" s="52"/>
      <c r="BP494" s="52"/>
      <c r="BQ494" s="52"/>
      <c r="BR494" s="52"/>
      <c r="BS494" s="52"/>
      <c r="BT494" s="52"/>
      <c r="BU494" s="52"/>
      <c r="BV494" s="52"/>
    </row>
    <row r="495">
      <c r="AS495" s="52"/>
      <c r="AT495" s="52"/>
      <c r="AU495" s="52"/>
      <c r="AV495" s="52"/>
      <c r="AW495" s="52"/>
      <c r="AX495" s="52"/>
      <c r="AY495" s="52"/>
      <c r="AZ495" s="52"/>
      <c r="BA495" s="52"/>
      <c r="BB495" s="52"/>
      <c r="BC495" s="52"/>
      <c r="BD495" s="52"/>
      <c r="BE495" s="52"/>
      <c r="BF495" s="52"/>
      <c r="BG495" s="52"/>
      <c r="BH495" s="52"/>
      <c r="BI495" s="52"/>
      <c r="BJ495" s="52"/>
      <c r="BK495" s="52"/>
      <c r="BL495" s="52"/>
      <c r="BM495" s="52"/>
      <c r="BN495" s="52"/>
      <c r="BO495" s="52"/>
      <c r="BP495" s="52"/>
      <c r="BQ495" s="52"/>
      <c r="BR495" s="52"/>
      <c r="BS495" s="52"/>
      <c r="BT495" s="52"/>
      <c r="BU495" s="52"/>
      <c r="BV495" s="52"/>
    </row>
    <row r="496">
      <c r="AS496" s="52"/>
      <c r="AT496" s="52"/>
      <c r="AU496" s="52"/>
      <c r="AV496" s="52"/>
      <c r="AW496" s="52"/>
      <c r="AX496" s="52"/>
      <c r="AY496" s="52"/>
      <c r="AZ496" s="52"/>
      <c r="BA496" s="52"/>
      <c r="BB496" s="52"/>
      <c r="BC496" s="52"/>
      <c r="BD496" s="52"/>
      <c r="BE496" s="52"/>
      <c r="BF496" s="52"/>
      <c r="BG496" s="52"/>
      <c r="BH496" s="52"/>
      <c r="BI496" s="52"/>
      <c r="BJ496" s="52"/>
      <c r="BK496" s="52"/>
      <c r="BL496" s="52"/>
      <c r="BM496" s="52"/>
      <c r="BN496" s="52"/>
      <c r="BO496" s="52"/>
      <c r="BP496" s="52"/>
      <c r="BQ496" s="52"/>
      <c r="BR496" s="52"/>
      <c r="BS496" s="52"/>
      <c r="BT496" s="52"/>
      <c r="BU496" s="52"/>
      <c r="BV496" s="52"/>
    </row>
    <row r="497">
      <c r="AS497" s="52"/>
      <c r="AT497" s="52"/>
      <c r="AU497" s="52"/>
      <c r="AV497" s="52"/>
      <c r="AW497" s="52"/>
      <c r="AX497" s="52"/>
      <c r="AY497" s="52"/>
      <c r="AZ497" s="52"/>
      <c r="BA497" s="52"/>
      <c r="BB497" s="52"/>
      <c r="BC497" s="52"/>
      <c r="BD497" s="52"/>
      <c r="BE497" s="52"/>
      <c r="BF497" s="52"/>
      <c r="BG497" s="52"/>
      <c r="BH497" s="52"/>
      <c r="BI497" s="52"/>
      <c r="BJ497" s="52"/>
      <c r="BK497" s="52"/>
      <c r="BL497" s="52"/>
      <c r="BM497" s="52"/>
      <c r="BN497" s="52"/>
      <c r="BO497" s="52"/>
      <c r="BP497" s="52"/>
      <c r="BQ497" s="52"/>
      <c r="BR497" s="52"/>
      <c r="BS497" s="52"/>
      <c r="BT497" s="52"/>
      <c r="BU497" s="52"/>
      <c r="BV497" s="52"/>
    </row>
    <row r="498">
      <c r="AS498" s="52"/>
      <c r="AT498" s="52"/>
      <c r="AU498" s="52"/>
      <c r="AV498" s="52"/>
      <c r="AW498" s="52"/>
      <c r="AX498" s="52"/>
      <c r="AY498" s="52"/>
      <c r="AZ498" s="52"/>
      <c r="BA498" s="52"/>
      <c r="BB498" s="52"/>
      <c r="BC498" s="52"/>
      <c r="BD498" s="52"/>
      <c r="BE498" s="52"/>
      <c r="BF498" s="52"/>
      <c r="BG498" s="52"/>
      <c r="BH498" s="52"/>
      <c r="BI498" s="52"/>
      <c r="BJ498" s="52"/>
      <c r="BK498" s="52"/>
      <c r="BL498" s="52"/>
      <c r="BM498" s="52"/>
      <c r="BN498" s="52"/>
      <c r="BO498" s="52"/>
      <c r="BP498" s="52"/>
      <c r="BQ498" s="52"/>
      <c r="BR498" s="52"/>
      <c r="BS498" s="52"/>
      <c r="BT498" s="52"/>
      <c r="BU498" s="52"/>
      <c r="BV498" s="52"/>
    </row>
    <row r="499">
      <c r="AS499" s="52"/>
      <c r="AT499" s="52"/>
      <c r="AU499" s="52"/>
      <c r="AV499" s="52"/>
      <c r="AW499" s="52"/>
      <c r="AX499" s="52"/>
      <c r="AY499" s="52"/>
      <c r="AZ499" s="52"/>
      <c r="BA499" s="52"/>
      <c r="BB499" s="52"/>
      <c r="BC499" s="52"/>
      <c r="BD499" s="52"/>
      <c r="BE499" s="52"/>
      <c r="BF499" s="52"/>
      <c r="BG499" s="52"/>
      <c r="BH499" s="52"/>
      <c r="BI499" s="52"/>
      <c r="BJ499" s="52"/>
      <c r="BK499" s="52"/>
      <c r="BL499" s="52"/>
      <c r="BM499" s="52"/>
      <c r="BN499" s="52"/>
      <c r="BO499" s="52"/>
      <c r="BP499" s="52"/>
      <c r="BQ499" s="52"/>
      <c r="BR499" s="52"/>
      <c r="BS499" s="52"/>
      <c r="BT499" s="52"/>
      <c r="BU499" s="52"/>
      <c r="BV499" s="52"/>
    </row>
    <row r="500">
      <c r="AS500" s="52"/>
      <c r="AT500" s="52"/>
      <c r="AU500" s="52"/>
      <c r="AV500" s="52"/>
      <c r="AW500" s="52"/>
      <c r="AX500" s="52"/>
      <c r="AY500" s="52"/>
      <c r="AZ500" s="52"/>
      <c r="BA500" s="52"/>
      <c r="BB500" s="52"/>
      <c r="BC500" s="52"/>
      <c r="BD500" s="52"/>
      <c r="BE500" s="52"/>
      <c r="BF500" s="52"/>
      <c r="BG500" s="52"/>
      <c r="BH500" s="52"/>
      <c r="BI500" s="52"/>
      <c r="BJ500" s="52"/>
      <c r="BK500" s="52"/>
      <c r="BL500" s="52"/>
      <c r="BM500" s="52"/>
      <c r="BN500" s="52"/>
      <c r="BO500" s="52"/>
      <c r="BP500" s="52"/>
      <c r="BQ500" s="52"/>
      <c r="BR500" s="52"/>
      <c r="BS500" s="52"/>
      <c r="BT500" s="52"/>
      <c r="BU500" s="52"/>
      <c r="BV500" s="52"/>
    </row>
    <row r="501">
      <c r="AS501" s="52"/>
      <c r="AT501" s="52"/>
      <c r="AU501" s="52"/>
      <c r="AV501" s="52"/>
      <c r="AW501" s="52"/>
      <c r="AX501" s="52"/>
      <c r="AY501" s="52"/>
      <c r="AZ501" s="52"/>
      <c r="BA501" s="52"/>
      <c r="BB501" s="52"/>
      <c r="BC501" s="52"/>
      <c r="BD501" s="52"/>
      <c r="BE501" s="52"/>
      <c r="BF501" s="52"/>
      <c r="BG501" s="52"/>
      <c r="BH501" s="52"/>
      <c r="BI501" s="52"/>
      <c r="BJ501" s="52"/>
      <c r="BK501" s="52"/>
      <c r="BL501" s="52"/>
      <c r="BM501" s="52"/>
      <c r="BN501" s="52"/>
      <c r="BO501" s="52"/>
      <c r="BP501" s="52"/>
      <c r="BQ501" s="52"/>
      <c r="BR501" s="52"/>
      <c r="BS501" s="52"/>
      <c r="BT501" s="52"/>
      <c r="BU501" s="52"/>
      <c r="BV501" s="52"/>
    </row>
    <row r="502">
      <c r="AS502" s="52"/>
      <c r="AT502" s="52"/>
      <c r="AU502" s="52"/>
      <c r="AV502" s="52"/>
      <c r="AW502" s="52"/>
      <c r="AX502" s="52"/>
      <c r="AY502" s="52"/>
      <c r="AZ502" s="52"/>
      <c r="BA502" s="52"/>
      <c r="BB502" s="52"/>
      <c r="BC502" s="52"/>
      <c r="BD502" s="52"/>
      <c r="BE502" s="52"/>
      <c r="BF502" s="52"/>
      <c r="BG502" s="52"/>
      <c r="BH502" s="52"/>
      <c r="BI502" s="52"/>
      <c r="BJ502" s="52"/>
      <c r="BK502" s="52"/>
      <c r="BL502" s="52"/>
      <c r="BM502" s="52"/>
      <c r="BN502" s="52"/>
      <c r="BO502" s="52"/>
      <c r="BP502" s="52"/>
      <c r="BQ502" s="52"/>
      <c r="BR502" s="52"/>
      <c r="BS502" s="52"/>
      <c r="BT502" s="52"/>
      <c r="BU502" s="52"/>
      <c r="BV502" s="52"/>
    </row>
    <row r="503">
      <c r="AS503" s="52"/>
      <c r="AT503" s="52"/>
      <c r="AU503" s="52"/>
      <c r="AV503" s="52"/>
      <c r="AW503" s="52"/>
      <c r="AX503" s="52"/>
      <c r="AY503" s="52"/>
      <c r="AZ503" s="52"/>
      <c r="BA503" s="52"/>
      <c r="BB503" s="52"/>
      <c r="BC503" s="52"/>
      <c r="BD503" s="52"/>
      <c r="BE503" s="52"/>
      <c r="BF503" s="52"/>
      <c r="BG503" s="52"/>
      <c r="BH503" s="52"/>
      <c r="BI503" s="52"/>
      <c r="BJ503" s="52"/>
      <c r="BK503" s="52"/>
      <c r="BL503" s="52"/>
      <c r="BM503" s="52"/>
      <c r="BN503" s="52"/>
      <c r="BO503" s="52"/>
      <c r="BP503" s="52"/>
      <c r="BQ503" s="52"/>
      <c r="BR503" s="52"/>
      <c r="BS503" s="52"/>
      <c r="BT503" s="52"/>
      <c r="BU503" s="52"/>
      <c r="BV503" s="52"/>
    </row>
    <row r="504">
      <c r="AS504" s="52"/>
      <c r="AT504" s="52"/>
      <c r="AU504" s="52"/>
      <c r="AV504" s="52"/>
      <c r="AW504" s="52"/>
      <c r="AX504" s="52"/>
      <c r="AY504" s="52"/>
      <c r="AZ504" s="52"/>
      <c r="BA504" s="52"/>
      <c r="BB504" s="52"/>
      <c r="BC504" s="52"/>
      <c r="BD504" s="52"/>
      <c r="BE504" s="52"/>
      <c r="BF504" s="52"/>
      <c r="BG504" s="52"/>
      <c r="BH504" s="52"/>
      <c r="BI504" s="52"/>
      <c r="BJ504" s="52"/>
      <c r="BK504" s="52"/>
      <c r="BL504" s="52"/>
      <c r="BM504" s="52"/>
      <c r="BN504" s="52"/>
      <c r="BO504" s="52"/>
      <c r="BP504" s="52"/>
      <c r="BQ504" s="52"/>
      <c r="BR504" s="52"/>
      <c r="BS504" s="52"/>
      <c r="BT504" s="52"/>
      <c r="BU504" s="52"/>
      <c r="BV504" s="52"/>
    </row>
    <row r="505">
      <c r="AS505" s="52"/>
      <c r="AT505" s="52"/>
      <c r="AU505" s="52"/>
      <c r="AV505" s="52"/>
      <c r="AW505" s="52"/>
      <c r="AX505" s="52"/>
      <c r="AY505" s="52"/>
      <c r="AZ505" s="52"/>
      <c r="BA505" s="52"/>
      <c r="BB505" s="52"/>
      <c r="BC505" s="52"/>
      <c r="BD505" s="52"/>
      <c r="BE505" s="52"/>
      <c r="BF505" s="52"/>
      <c r="BG505" s="52"/>
      <c r="BH505" s="52"/>
      <c r="BI505" s="52"/>
      <c r="BJ505" s="52"/>
      <c r="BK505" s="52"/>
      <c r="BL505" s="52"/>
      <c r="BM505" s="52"/>
      <c r="BN505" s="52"/>
      <c r="BO505" s="52"/>
      <c r="BP505" s="52"/>
      <c r="BQ505" s="52"/>
      <c r="BR505" s="52"/>
      <c r="BS505" s="52"/>
      <c r="BT505" s="52"/>
      <c r="BU505" s="52"/>
      <c r="BV505" s="52"/>
    </row>
    <row r="506">
      <c r="AS506" s="52"/>
      <c r="AT506" s="52"/>
      <c r="AU506" s="52"/>
      <c r="AV506" s="52"/>
      <c r="AW506" s="52"/>
      <c r="AX506" s="52"/>
      <c r="AY506" s="52"/>
      <c r="AZ506" s="52"/>
      <c r="BA506" s="52"/>
      <c r="BB506" s="52"/>
      <c r="BC506" s="52"/>
      <c r="BD506" s="52"/>
      <c r="BE506" s="52"/>
      <c r="BF506" s="52"/>
      <c r="BG506" s="52"/>
      <c r="BH506" s="52"/>
      <c r="BI506" s="52"/>
      <c r="BJ506" s="52"/>
      <c r="BK506" s="52"/>
      <c r="BL506" s="52"/>
      <c r="BM506" s="52"/>
      <c r="BN506" s="52"/>
      <c r="BO506" s="52"/>
      <c r="BP506" s="52"/>
      <c r="BQ506" s="52"/>
      <c r="BR506" s="52"/>
      <c r="BS506" s="52"/>
      <c r="BT506" s="52"/>
      <c r="BU506" s="52"/>
      <c r="BV506" s="52"/>
    </row>
    <row r="507">
      <c r="AS507" s="52"/>
      <c r="AT507" s="52"/>
      <c r="AU507" s="52"/>
      <c r="AV507" s="52"/>
      <c r="AW507" s="52"/>
      <c r="AX507" s="52"/>
      <c r="AY507" s="52"/>
      <c r="AZ507" s="52"/>
      <c r="BA507" s="52"/>
      <c r="BB507" s="52"/>
      <c r="BC507" s="52"/>
      <c r="BD507" s="52"/>
      <c r="BE507" s="52"/>
      <c r="BF507" s="52"/>
      <c r="BG507" s="52"/>
      <c r="BH507" s="52"/>
      <c r="BI507" s="52"/>
      <c r="BJ507" s="52"/>
      <c r="BK507" s="52"/>
      <c r="BL507" s="52"/>
      <c r="BM507" s="52"/>
      <c r="BN507" s="52"/>
      <c r="BO507" s="52"/>
      <c r="BP507" s="52"/>
      <c r="BQ507" s="52"/>
      <c r="BR507" s="52"/>
      <c r="BS507" s="52"/>
      <c r="BT507" s="52"/>
      <c r="BU507" s="52"/>
      <c r="BV507" s="52"/>
    </row>
    <row r="508">
      <c r="AS508" s="52"/>
      <c r="AT508" s="52"/>
      <c r="AU508" s="52"/>
      <c r="AV508" s="52"/>
      <c r="AW508" s="52"/>
      <c r="AX508" s="52"/>
      <c r="AY508" s="52"/>
      <c r="AZ508" s="52"/>
      <c r="BA508" s="52"/>
      <c r="BB508" s="52"/>
      <c r="BC508" s="52"/>
      <c r="BD508" s="52"/>
      <c r="BE508" s="52"/>
      <c r="BF508" s="52"/>
      <c r="BG508" s="52"/>
      <c r="BH508" s="52"/>
      <c r="BI508" s="52"/>
      <c r="BJ508" s="52"/>
      <c r="BK508" s="52"/>
      <c r="BL508" s="52"/>
      <c r="BM508" s="52"/>
      <c r="BN508" s="52"/>
      <c r="BO508" s="52"/>
      <c r="BP508" s="52"/>
      <c r="BQ508" s="52"/>
      <c r="BR508" s="52"/>
      <c r="BS508" s="52"/>
      <c r="BT508" s="52"/>
      <c r="BU508" s="52"/>
      <c r="BV508" s="52"/>
    </row>
    <row r="509">
      <c r="AS509" s="52"/>
      <c r="AT509" s="52"/>
      <c r="AU509" s="52"/>
      <c r="AV509" s="52"/>
      <c r="AW509" s="52"/>
      <c r="AX509" s="52"/>
      <c r="AY509" s="52"/>
      <c r="AZ509" s="52"/>
      <c r="BA509" s="52"/>
      <c r="BB509" s="52"/>
      <c r="BC509" s="52"/>
      <c r="BD509" s="52"/>
      <c r="BE509" s="52"/>
      <c r="BF509" s="52"/>
      <c r="BG509" s="52"/>
      <c r="BH509" s="52"/>
      <c r="BI509" s="52"/>
      <c r="BJ509" s="52"/>
      <c r="BK509" s="52"/>
      <c r="BL509" s="52"/>
      <c r="BM509" s="52"/>
      <c r="BN509" s="52"/>
      <c r="BO509" s="52"/>
      <c r="BP509" s="52"/>
      <c r="BQ509" s="52"/>
      <c r="BR509" s="52"/>
      <c r="BS509" s="52"/>
      <c r="BT509" s="52"/>
      <c r="BU509" s="52"/>
      <c r="BV509" s="52"/>
    </row>
    <row r="510">
      <c r="AS510" s="52"/>
      <c r="AT510" s="52"/>
      <c r="AU510" s="52"/>
      <c r="AV510" s="52"/>
      <c r="AW510" s="52"/>
      <c r="AX510" s="52"/>
      <c r="AY510" s="52"/>
      <c r="AZ510" s="52"/>
      <c r="BA510" s="52"/>
      <c r="BB510" s="52"/>
      <c r="BC510" s="52"/>
      <c r="BD510" s="52"/>
      <c r="BE510" s="52"/>
      <c r="BF510" s="52"/>
      <c r="BG510" s="52"/>
      <c r="BH510" s="52"/>
      <c r="BI510" s="52"/>
      <c r="BJ510" s="52"/>
      <c r="BK510" s="52"/>
      <c r="BL510" s="52"/>
      <c r="BM510" s="52"/>
      <c r="BN510" s="52"/>
      <c r="BO510" s="52"/>
      <c r="BP510" s="52"/>
      <c r="BQ510" s="52"/>
      <c r="BR510" s="52"/>
      <c r="BS510" s="52"/>
      <c r="BT510" s="52"/>
      <c r="BU510" s="52"/>
      <c r="BV510" s="52"/>
    </row>
    <row r="511">
      <c r="AS511" s="52"/>
      <c r="AT511" s="52"/>
      <c r="AU511" s="52"/>
      <c r="AV511" s="52"/>
      <c r="AW511" s="52"/>
      <c r="AX511" s="52"/>
      <c r="AY511" s="52"/>
      <c r="AZ511" s="52"/>
      <c r="BA511" s="52"/>
      <c r="BB511" s="52"/>
      <c r="BC511" s="52"/>
      <c r="BD511" s="52"/>
      <c r="BE511" s="52"/>
      <c r="BF511" s="52"/>
      <c r="BG511" s="52"/>
      <c r="BH511" s="52"/>
      <c r="BI511" s="52"/>
      <c r="BJ511" s="52"/>
      <c r="BK511" s="52"/>
      <c r="BL511" s="52"/>
      <c r="BM511" s="52"/>
      <c r="BN511" s="52"/>
      <c r="BO511" s="52"/>
      <c r="BP511" s="52"/>
      <c r="BQ511" s="52"/>
      <c r="BR511" s="52"/>
      <c r="BS511" s="52"/>
      <c r="BT511" s="52"/>
      <c r="BU511" s="52"/>
      <c r="BV511" s="52"/>
    </row>
    <row r="512">
      <c r="AS512" s="52"/>
      <c r="AT512" s="52"/>
      <c r="AU512" s="52"/>
      <c r="AV512" s="52"/>
      <c r="AW512" s="52"/>
      <c r="AX512" s="52"/>
      <c r="AY512" s="52"/>
      <c r="AZ512" s="52"/>
      <c r="BA512" s="52"/>
      <c r="BB512" s="52"/>
      <c r="BC512" s="52"/>
      <c r="BD512" s="52"/>
      <c r="BE512" s="52"/>
      <c r="BF512" s="52"/>
      <c r="BG512" s="52"/>
      <c r="BH512" s="52"/>
      <c r="BI512" s="52"/>
      <c r="BJ512" s="52"/>
      <c r="BK512" s="52"/>
      <c r="BL512" s="52"/>
      <c r="BM512" s="52"/>
      <c r="BN512" s="52"/>
      <c r="BO512" s="52"/>
      <c r="BP512" s="52"/>
      <c r="BQ512" s="52"/>
      <c r="BR512" s="52"/>
      <c r="BS512" s="52"/>
      <c r="BT512" s="52"/>
      <c r="BU512" s="52"/>
      <c r="BV512" s="52"/>
    </row>
    <row r="513">
      <c r="AS513" s="52"/>
      <c r="AT513" s="52"/>
      <c r="AU513" s="52"/>
      <c r="AV513" s="52"/>
      <c r="AW513" s="52"/>
      <c r="AX513" s="52"/>
      <c r="AY513" s="52"/>
      <c r="AZ513" s="52"/>
      <c r="BA513" s="52"/>
      <c r="BB513" s="52"/>
      <c r="BC513" s="52"/>
      <c r="BD513" s="52"/>
      <c r="BE513" s="52"/>
      <c r="BF513" s="52"/>
      <c r="BG513" s="52"/>
      <c r="BH513" s="52"/>
      <c r="BI513" s="52"/>
      <c r="BJ513" s="52"/>
      <c r="BK513" s="52"/>
      <c r="BL513" s="52"/>
      <c r="BM513" s="52"/>
      <c r="BN513" s="52"/>
      <c r="BO513" s="52"/>
      <c r="BP513" s="52"/>
      <c r="BQ513" s="52"/>
      <c r="BR513" s="52"/>
      <c r="BS513" s="52"/>
      <c r="BT513" s="52"/>
      <c r="BU513" s="52"/>
      <c r="BV513" s="52"/>
    </row>
    <row r="514">
      <c r="AS514" s="52"/>
      <c r="AT514" s="52"/>
      <c r="AU514" s="52"/>
      <c r="AV514" s="52"/>
      <c r="AW514" s="52"/>
      <c r="AX514" s="52"/>
      <c r="AY514" s="52"/>
      <c r="AZ514" s="52"/>
      <c r="BA514" s="52"/>
      <c r="BB514" s="52"/>
      <c r="BC514" s="52"/>
      <c r="BD514" s="52"/>
      <c r="BE514" s="52"/>
      <c r="BF514" s="52"/>
      <c r="BG514" s="52"/>
      <c r="BH514" s="52"/>
      <c r="BI514" s="52"/>
      <c r="BJ514" s="52"/>
      <c r="BK514" s="52"/>
      <c r="BL514" s="52"/>
      <c r="BM514" s="52"/>
      <c r="BN514" s="52"/>
      <c r="BO514" s="52"/>
      <c r="BP514" s="52"/>
      <c r="BQ514" s="52"/>
      <c r="BR514" s="52"/>
      <c r="BS514" s="52"/>
      <c r="BT514" s="52"/>
      <c r="BU514" s="52"/>
      <c r="BV514" s="52"/>
    </row>
    <row r="515">
      <c r="AS515" s="52"/>
      <c r="AT515" s="52"/>
      <c r="AU515" s="52"/>
      <c r="AV515" s="52"/>
      <c r="AW515" s="52"/>
      <c r="AX515" s="52"/>
      <c r="AY515" s="52"/>
      <c r="AZ515" s="52"/>
      <c r="BA515" s="52"/>
      <c r="BB515" s="52"/>
      <c r="BC515" s="52"/>
      <c r="BD515" s="52"/>
      <c r="BE515" s="52"/>
      <c r="BF515" s="52"/>
      <c r="BG515" s="52"/>
      <c r="BH515" s="52"/>
      <c r="BI515" s="52"/>
      <c r="BJ515" s="52"/>
      <c r="BK515" s="52"/>
      <c r="BL515" s="52"/>
      <c r="BM515" s="52"/>
      <c r="BN515" s="52"/>
      <c r="BO515" s="52"/>
      <c r="BP515" s="52"/>
      <c r="BQ515" s="52"/>
      <c r="BR515" s="52"/>
      <c r="BS515" s="52"/>
      <c r="BT515" s="52"/>
      <c r="BU515" s="52"/>
      <c r="BV515" s="52"/>
    </row>
    <row r="516">
      <c r="AS516" s="52"/>
      <c r="AT516" s="52"/>
      <c r="AU516" s="52"/>
      <c r="AV516" s="52"/>
      <c r="AW516" s="52"/>
      <c r="AX516" s="52"/>
      <c r="AY516" s="52"/>
      <c r="AZ516" s="52"/>
      <c r="BA516" s="52"/>
      <c r="BB516" s="52"/>
      <c r="BC516" s="52"/>
      <c r="BD516" s="52"/>
      <c r="BE516" s="52"/>
      <c r="BF516" s="52"/>
      <c r="BG516" s="52"/>
      <c r="BH516" s="52"/>
      <c r="BI516" s="52"/>
      <c r="BJ516" s="52"/>
      <c r="BK516" s="52"/>
      <c r="BL516" s="52"/>
      <c r="BM516" s="52"/>
      <c r="BN516" s="52"/>
      <c r="BO516" s="52"/>
      <c r="BP516" s="52"/>
      <c r="BQ516" s="52"/>
      <c r="BR516" s="52"/>
      <c r="BS516" s="52"/>
      <c r="BT516" s="52"/>
      <c r="BU516" s="52"/>
      <c r="BV516" s="52"/>
    </row>
    <row r="517">
      <c r="AS517" s="52"/>
      <c r="AT517" s="52"/>
      <c r="AU517" s="52"/>
      <c r="AV517" s="52"/>
      <c r="AW517" s="52"/>
      <c r="AX517" s="52"/>
      <c r="AY517" s="52"/>
      <c r="AZ517" s="52"/>
      <c r="BA517" s="52"/>
      <c r="BB517" s="52"/>
      <c r="BC517" s="52"/>
      <c r="BD517" s="52"/>
      <c r="BE517" s="52"/>
      <c r="BF517" s="52"/>
      <c r="BG517" s="52"/>
      <c r="BH517" s="52"/>
      <c r="BI517" s="52"/>
      <c r="BJ517" s="52"/>
      <c r="BK517" s="52"/>
      <c r="BL517" s="52"/>
      <c r="BM517" s="52"/>
      <c r="BN517" s="52"/>
      <c r="BO517" s="52"/>
      <c r="BP517" s="52"/>
      <c r="BQ517" s="52"/>
      <c r="BR517" s="52"/>
      <c r="BS517" s="52"/>
      <c r="BT517" s="52"/>
      <c r="BU517" s="52"/>
      <c r="BV517" s="52"/>
    </row>
    <row r="518">
      <c r="AS518" s="52"/>
      <c r="AT518" s="52"/>
      <c r="AU518" s="52"/>
      <c r="AV518" s="52"/>
      <c r="AW518" s="52"/>
      <c r="AX518" s="52"/>
      <c r="AY518" s="52"/>
      <c r="AZ518" s="52"/>
      <c r="BA518" s="52"/>
      <c r="BB518" s="52"/>
      <c r="BC518" s="52"/>
      <c r="BD518" s="52"/>
      <c r="BE518" s="52"/>
      <c r="BF518" s="52"/>
      <c r="BG518" s="52"/>
      <c r="BH518" s="52"/>
      <c r="BI518" s="52"/>
      <c r="BJ518" s="52"/>
      <c r="BK518" s="52"/>
      <c r="BL518" s="52"/>
      <c r="BM518" s="52"/>
      <c r="BN518" s="52"/>
      <c r="BO518" s="52"/>
      <c r="BP518" s="52"/>
      <c r="BQ518" s="52"/>
      <c r="BR518" s="52"/>
      <c r="BS518" s="52"/>
      <c r="BT518" s="52"/>
      <c r="BU518" s="52"/>
      <c r="BV518" s="52"/>
    </row>
    <row r="519">
      <c r="AS519" s="52"/>
      <c r="AT519" s="52"/>
      <c r="AU519" s="52"/>
      <c r="AV519" s="52"/>
      <c r="AW519" s="52"/>
      <c r="AX519" s="52"/>
      <c r="AY519" s="52"/>
      <c r="AZ519" s="52"/>
      <c r="BA519" s="52"/>
      <c r="BB519" s="52"/>
      <c r="BC519" s="52"/>
      <c r="BD519" s="52"/>
      <c r="BE519" s="52"/>
      <c r="BF519" s="52"/>
      <c r="BG519" s="52"/>
      <c r="BH519" s="52"/>
      <c r="BI519" s="52"/>
      <c r="BJ519" s="52"/>
      <c r="BK519" s="52"/>
      <c r="BL519" s="52"/>
      <c r="BM519" s="52"/>
      <c r="BN519" s="52"/>
      <c r="BO519" s="52"/>
      <c r="BP519" s="52"/>
      <c r="BQ519" s="52"/>
      <c r="BR519" s="52"/>
      <c r="BS519" s="52"/>
      <c r="BT519" s="52"/>
      <c r="BU519" s="52"/>
      <c r="BV519" s="52"/>
    </row>
    <row r="520">
      <c r="AS520" s="52"/>
      <c r="AT520" s="52"/>
      <c r="AU520" s="52"/>
      <c r="AV520" s="52"/>
      <c r="AW520" s="52"/>
      <c r="AX520" s="52"/>
      <c r="AY520" s="52"/>
      <c r="AZ520" s="52"/>
      <c r="BA520" s="52"/>
      <c r="BB520" s="52"/>
      <c r="BC520" s="52"/>
      <c r="BD520" s="52"/>
      <c r="BE520" s="52"/>
      <c r="BF520" s="52"/>
      <c r="BG520" s="52"/>
      <c r="BH520" s="52"/>
      <c r="BI520" s="52"/>
      <c r="BJ520" s="52"/>
      <c r="BK520" s="52"/>
      <c r="BL520" s="52"/>
      <c r="BM520" s="52"/>
      <c r="BN520" s="52"/>
      <c r="BO520" s="52"/>
      <c r="BP520" s="52"/>
      <c r="BQ520" s="52"/>
      <c r="BR520" s="52"/>
      <c r="BS520" s="52"/>
      <c r="BT520" s="52"/>
      <c r="BU520" s="52"/>
      <c r="BV520" s="52"/>
    </row>
    <row r="521">
      <c r="AS521" s="52"/>
      <c r="AT521" s="52"/>
      <c r="AU521" s="52"/>
      <c r="AV521" s="52"/>
      <c r="AW521" s="52"/>
      <c r="AX521" s="52"/>
      <c r="AY521" s="52"/>
      <c r="AZ521" s="52"/>
      <c r="BA521" s="52"/>
      <c r="BB521" s="52"/>
      <c r="BC521" s="52"/>
      <c r="BD521" s="52"/>
      <c r="BE521" s="52"/>
      <c r="BF521" s="52"/>
      <c r="BG521" s="52"/>
      <c r="BH521" s="52"/>
      <c r="BI521" s="52"/>
      <c r="BJ521" s="52"/>
      <c r="BK521" s="52"/>
      <c r="BL521" s="52"/>
      <c r="BM521" s="52"/>
      <c r="BN521" s="52"/>
      <c r="BO521" s="52"/>
      <c r="BP521" s="52"/>
      <c r="BQ521" s="52"/>
      <c r="BR521" s="52"/>
      <c r="BS521" s="52"/>
      <c r="BT521" s="52"/>
      <c r="BU521" s="52"/>
      <c r="BV521" s="52"/>
    </row>
    <row r="522">
      <c r="AS522" s="52"/>
      <c r="AT522" s="52"/>
      <c r="AU522" s="52"/>
      <c r="AV522" s="52"/>
      <c r="AW522" s="52"/>
      <c r="AX522" s="52"/>
      <c r="AY522" s="52"/>
      <c r="AZ522" s="52"/>
      <c r="BA522" s="52"/>
      <c r="BB522" s="52"/>
      <c r="BC522" s="52"/>
      <c r="BD522" s="52"/>
      <c r="BE522" s="52"/>
      <c r="BF522" s="52"/>
      <c r="BG522" s="52"/>
      <c r="BH522" s="52"/>
      <c r="BI522" s="52"/>
      <c r="BJ522" s="52"/>
      <c r="BK522" s="52"/>
      <c r="BL522" s="52"/>
      <c r="BM522" s="52"/>
      <c r="BN522" s="52"/>
      <c r="BO522" s="52"/>
      <c r="BP522" s="52"/>
      <c r="BQ522" s="52"/>
      <c r="BR522" s="52"/>
      <c r="BS522" s="52"/>
      <c r="BT522" s="52"/>
      <c r="BU522" s="52"/>
      <c r="BV522" s="52"/>
    </row>
    <row r="523">
      <c r="AS523" s="52"/>
      <c r="AT523" s="52"/>
      <c r="AU523" s="52"/>
      <c r="AV523" s="52"/>
      <c r="AW523" s="52"/>
      <c r="AX523" s="52"/>
      <c r="AY523" s="52"/>
      <c r="AZ523" s="52"/>
      <c r="BA523" s="52"/>
      <c r="BB523" s="52"/>
      <c r="BC523" s="52"/>
      <c r="BD523" s="52"/>
      <c r="BE523" s="52"/>
      <c r="BF523" s="52"/>
      <c r="BG523" s="52"/>
      <c r="BH523" s="52"/>
      <c r="BI523" s="52"/>
      <c r="BJ523" s="52"/>
      <c r="BK523" s="52"/>
      <c r="BL523" s="52"/>
      <c r="BM523" s="52"/>
      <c r="BN523" s="52"/>
      <c r="BO523" s="52"/>
      <c r="BP523" s="52"/>
      <c r="BQ523" s="52"/>
      <c r="BR523" s="52"/>
      <c r="BS523" s="52"/>
      <c r="BT523" s="52"/>
      <c r="BU523" s="52"/>
      <c r="BV523" s="52"/>
    </row>
    <row r="524">
      <c r="AS524" s="52"/>
      <c r="AT524" s="52"/>
      <c r="AU524" s="52"/>
      <c r="AV524" s="52"/>
      <c r="AW524" s="52"/>
      <c r="AX524" s="52"/>
      <c r="AY524" s="52"/>
      <c r="AZ524" s="52"/>
      <c r="BA524" s="52"/>
      <c r="BB524" s="52"/>
      <c r="BC524" s="52"/>
      <c r="BD524" s="52"/>
      <c r="BE524" s="52"/>
      <c r="BF524" s="52"/>
      <c r="BG524" s="52"/>
      <c r="BH524" s="52"/>
      <c r="BI524" s="52"/>
      <c r="BJ524" s="52"/>
      <c r="BK524" s="52"/>
      <c r="BL524" s="52"/>
      <c r="BM524" s="52"/>
      <c r="BN524" s="52"/>
      <c r="BO524" s="52"/>
      <c r="BP524" s="52"/>
      <c r="BQ524" s="52"/>
      <c r="BR524" s="52"/>
      <c r="BS524" s="52"/>
      <c r="BT524" s="52"/>
      <c r="BU524" s="52"/>
      <c r="BV524" s="52"/>
    </row>
    <row r="525">
      <c r="AS525" s="52"/>
      <c r="AT525" s="52"/>
      <c r="AU525" s="52"/>
      <c r="AV525" s="52"/>
      <c r="AW525" s="52"/>
      <c r="AX525" s="52"/>
      <c r="AY525" s="52"/>
      <c r="AZ525" s="52"/>
      <c r="BA525" s="52"/>
      <c r="BB525" s="52"/>
      <c r="BC525" s="52"/>
      <c r="BD525" s="52"/>
      <c r="BE525" s="52"/>
      <c r="BF525" s="52"/>
      <c r="BG525" s="52"/>
      <c r="BH525" s="52"/>
      <c r="BI525" s="52"/>
      <c r="BJ525" s="52"/>
      <c r="BK525" s="52"/>
      <c r="BL525" s="52"/>
      <c r="BM525" s="52"/>
      <c r="BN525" s="52"/>
      <c r="BO525" s="52"/>
      <c r="BP525" s="52"/>
      <c r="BQ525" s="52"/>
      <c r="BR525" s="52"/>
      <c r="BS525" s="52"/>
      <c r="BT525" s="52"/>
      <c r="BU525" s="52"/>
      <c r="BV525" s="52"/>
    </row>
    <row r="526">
      <c r="AS526" s="52"/>
      <c r="AT526" s="52"/>
      <c r="AU526" s="52"/>
      <c r="AV526" s="52"/>
      <c r="AW526" s="52"/>
      <c r="AX526" s="52"/>
      <c r="AY526" s="52"/>
      <c r="AZ526" s="52"/>
      <c r="BA526" s="52"/>
      <c r="BB526" s="52"/>
      <c r="BC526" s="52"/>
      <c r="BD526" s="52"/>
      <c r="BE526" s="52"/>
      <c r="BF526" s="52"/>
      <c r="BG526" s="52"/>
      <c r="BH526" s="52"/>
      <c r="BI526" s="52"/>
      <c r="BJ526" s="52"/>
      <c r="BK526" s="52"/>
      <c r="BL526" s="52"/>
      <c r="BM526" s="52"/>
      <c r="BN526" s="52"/>
      <c r="BO526" s="52"/>
      <c r="BP526" s="52"/>
      <c r="BQ526" s="52"/>
      <c r="BR526" s="52"/>
      <c r="BS526" s="52"/>
      <c r="BT526" s="52"/>
      <c r="BU526" s="52"/>
      <c r="BV526" s="52"/>
    </row>
    <row r="527">
      <c r="AS527" s="52"/>
      <c r="AT527" s="52"/>
      <c r="AU527" s="52"/>
      <c r="AV527" s="52"/>
      <c r="AW527" s="52"/>
      <c r="AX527" s="52"/>
      <c r="AY527" s="52"/>
      <c r="AZ527" s="52"/>
      <c r="BA527" s="52"/>
      <c r="BB527" s="52"/>
      <c r="BC527" s="52"/>
      <c r="BD527" s="52"/>
      <c r="BE527" s="52"/>
      <c r="BF527" s="52"/>
      <c r="BG527" s="52"/>
      <c r="BH527" s="52"/>
      <c r="BI527" s="52"/>
      <c r="BJ527" s="52"/>
      <c r="BK527" s="52"/>
      <c r="BL527" s="52"/>
      <c r="BM527" s="52"/>
      <c r="BN527" s="52"/>
      <c r="BO527" s="52"/>
      <c r="BP527" s="52"/>
      <c r="BQ527" s="52"/>
      <c r="BR527" s="52"/>
      <c r="BS527" s="52"/>
      <c r="BT527" s="52"/>
      <c r="BU527" s="52"/>
      <c r="BV527" s="52"/>
    </row>
    <row r="528">
      <c r="AS528" s="52"/>
      <c r="AT528" s="52"/>
      <c r="AU528" s="52"/>
      <c r="AV528" s="52"/>
      <c r="AW528" s="52"/>
      <c r="AX528" s="52"/>
      <c r="AY528" s="52"/>
      <c r="AZ528" s="52"/>
      <c r="BA528" s="52"/>
      <c r="BB528" s="52"/>
      <c r="BC528" s="52"/>
      <c r="BD528" s="52"/>
      <c r="BE528" s="52"/>
      <c r="BF528" s="52"/>
      <c r="BG528" s="52"/>
      <c r="BH528" s="52"/>
      <c r="BI528" s="52"/>
      <c r="BJ528" s="52"/>
      <c r="BK528" s="52"/>
      <c r="BL528" s="52"/>
      <c r="BM528" s="52"/>
      <c r="BN528" s="52"/>
      <c r="BO528" s="52"/>
      <c r="BP528" s="52"/>
      <c r="BQ528" s="52"/>
      <c r="BR528" s="52"/>
      <c r="BS528" s="52"/>
      <c r="BT528" s="52"/>
      <c r="BU528" s="52"/>
      <c r="BV528" s="52"/>
    </row>
    <row r="529">
      <c r="AS529" s="52"/>
      <c r="AT529" s="52"/>
      <c r="AU529" s="52"/>
      <c r="AV529" s="52"/>
      <c r="AW529" s="52"/>
      <c r="AX529" s="52"/>
      <c r="AY529" s="52"/>
      <c r="AZ529" s="52"/>
      <c r="BA529" s="52"/>
      <c r="BB529" s="52"/>
      <c r="BC529" s="52"/>
      <c r="BD529" s="52"/>
      <c r="BE529" s="52"/>
      <c r="BF529" s="52"/>
      <c r="BG529" s="52"/>
      <c r="BH529" s="52"/>
      <c r="BI529" s="52"/>
      <c r="BJ529" s="52"/>
      <c r="BK529" s="52"/>
      <c r="BL529" s="52"/>
      <c r="BM529" s="52"/>
      <c r="BN529" s="52"/>
      <c r="BO529" s="52"/>
      <c r="BP529" s="52"/>
      <c r="BQ529" s="52"/>
      <c r="BR529" s="52"/>
      <c r="BS529" s="52"/>
      <c r="BT529" s="52"/>
      <c r="BU529" s="52"/>
      <c r="BV529" s="52"/>
    </row>
    <row r="530">
      <c r="AS530" s="52"/>
      <c r="AT530" s="52"/>
      <c r="AU530" s="52"/>
      <c r="AV530" s="52"/>
      <c r="AW530" s="52"/>
      <c r="AX530" s="52"/>
      <c r="AY530" s="52"/>
      <c r="AZ530" s="52"/>
      <c r="BA530" s="52"/>
      <c r="BB530" s="52"/>
      <c r="BC530" s="52"/>
      <c r="BD530" s="52"/>
      <c r="BE530" s="52"/>
      <c r="BF530" s="52"/>
      <c r="BG530" s="52"/>
      <c r="BH530" s="52"/>
      <c r="BI530" s="52"/>
      <c r="BJ530" s="52"/>
      <c r="BK530" s="52"/>
      <c r="BL530" s="52"/>
      <c r="BM530" s="52"/>
      <c r="BN530" s="52"/>
      <c r="BO530" s="52"/>
      <c r="BP530" s="52"/>
      <c r="BQ530" s="52"/>
      <c r="BR530" s="52"/>
      <c r="BS530" s="52"/>
      <c r="BT530" s="52"/>
      <c r="BU530" s="52"/>
      <c r="BV530" s="52"/>
    </row>
    <row r="531">
      <c r="AS531" s="52"/>
      <c r="AT531" s="52"/>
      <c r="AU531" s="52"/>
      <c r="AV531" s="52"/>
      <c r="AW531" s="52"/>
      <c r="AX531" s="52"/>
      <c r="AY531" s="52"/>
      <c r="AZ531" s="52"/>
      <c r="BA531" s="52"/>
      <c r="BB531" s="52"/>
      <c r="BC531" s="52"/>
      <c r="BD531" s="52"/>
      <c r="BE531" s="52"/>
      <c r="BF531" s="52"/>
      <c r="BG531" s="52"/>
      <c r="BH531" s="52"/>
      <c r="BI531" s="52"/>
      <c r="BJ531" s="52"/>
      <c r="BK531" s="52"/>
      <c r="BL531" s="52"/>
      <c r="BM531" s="52"/>
      <c r="BN531" s="52"/>
      <c r="BO531" s="52"/>
      <c r="BP531" s="52"/>
      <c r="BQ531" s="52"/>
      <c r="BR531" s="52"/>
      <c r="BS531" s="52"/>
      <c r="BT531" s="52"/>
      <c r="BU531" s="52"/>
      <c r="BV531" s="52"/>
    </row>
    <row r="532">
      <c r="AS532" s="52"/>
      <c r="AT532" s="52"/>
      <c r="AU532" s="52"/>
      <c r="AV532" s="52"/>
      <c r="AW532" s="52"/>
      <c r="AX532" s="52"/>
      <c r="AY532" s="52"/>
      <c r="AZ532" s="52"/>
      <c r="BA532" s="52"/>
      <c r="BB532" s="52"/>
      <c r="BC532" s="52"/>
      <c r="BD532" s="52"/>
      <c r="BE532" s="52"/>
      <c r="BF532" s="52"/>
      <c r="BG532" s="52"/>
      <c r="BH532" s="52"/>
      <c r="BI532" s="52"/>
      <c r="BJ532" s="52"/>
      <c r="BK532" s="52"/>
      <c r="BL532" s="52"/>
      <c r="BM532" s="52"/>
      <c r="BN532" s="52"/>
      <c r="BO532" s="52"/>
      <c r="BP532" s="52"/>
      <c r="BQ532" s="52"/>
      <c r="BR532" s="52"/>
      <c r="BS532" s="52"/>
      <c r="BT532" s="52"/>
      <c r="BU532" s="52"/>
      <c r="BV532" s="52"/>
    </row>
    <row r="533">
      <c r="AS533" s="52"/>
      <c r="AT533" s="52"/>
      <c r="AU533" s="52"/>
      <c r="AV533" s="52"/>
      <c r="AW533" s="52"/>
      <c r="AX533" s="52"/>
      <c r="AY533" s="52"/>
      <c r="AZ533" s="52"/>
      <c r="BA533" s="52"/>
      <c r="BB533" s="52"/>
      <c r="BC533" s="52"/>
      <c r="BD533" s="52"/>
      <c r="BE533" s="52"/>
      <c r="BF533" s="52"/>
      <c r="BG533" s="52"/>
      <c r="BH533" s="52"/>
      <c r="BI533" s="52"/>
      <c r="BJ533" s="52"/>
      <c r="BK533" s="52"/>
      <c r="BL533" s="52"/>
      <c r="BM533" s="52"/>
      <c r="BN533" s="52"/>
      <c r="BO533" s="52"/>
      <c r="BP533" s="52"/>
      <c r="BQ533" s="52"/>
      <c r="BR533" s="52"/>
      <c r="BS533" s="52"/>
      <c r="BT533" s="52"/>
      <c r="BU533" s="52"/>
      <c r="BV533" s="52"/>
    </row>
    <row r="534">
      <c r="AS534" s="52"/>
      <c r="AT534" s="52"/>
      <c r="AU534" s="52"/>
      <c r="AV534" s="52"/>
      <c r="AW534" s="52"/>
      <c r="AX534" s="52"/>
      <c r="AY534" s="52"/>
      <c r="AZ534" s="52"/>
      <c r="BA534" s="52"/>
      <c r="BB534" s="52"/>
      <c r="BC534" s="52"/>
      <c r="BD534" s="52"/>
      <c r="BE534" s="52"/>
      <c r="BF534" s="52"/>
      <c r="BG534" s="52"/>
      <c r="BH534" s="52"/>
      <c r="BI534" s="52"/>
      <c r="BJ534" s="52"/>
      <c r="BK534" s="52"/>
      <c r="BL534" s="52"/>
      <c r="BM534" s="52"/>
      <c r="BN534" s="52"/>
      <c r="BO534" s="52"/>
      <c r="BP534" s="52"/>
      <c r="BQ534" s="52"/>
      <c r="BR534" s="52"/>
      <c r="BS534" s="52"/>
      <c r="BT534" s="52"/>
      <c r="BU534" s="52"/>
      <c r="BV534" s="52"/>
    </row>
    <row r="535">
      <c r="AS535" s="52"/>
      <c r="AT535" s="52"/>
      <c r="AU535" s="52"/>
      <c r="AV535" s="52"/>
      <c r="AW535" s="52"/>
      <c r="AX535" s="52"/>
      <c r="AY535" s="52"/>
      <c r="AZ535" s="52"/>
      <c r="BA535" s="52"/>
      <c r="BB535" s="52"/>
      <c r="BC535" s="52"/>
      <c r="BD535" s="52"/>
      <c r="BE535" s="52"/>
      <c r="BF535" s="52"/>
      <c r="BG535" s="52"/>
      <c r="BH535" s="52"/>
      <c r="BI535" s="52"/>
      <c r="BJ535" s="52"/>
      <c r="BK535" s="52"/>
      <c r="BL535" s="52"/>
      <c r="BM535" s="52"/>
      <c r="BN535" s="52"/>
      <c r="BO535" s="52"/>
      <c r="BP535" s="52"/>
      <c r="BQ535" s="52"/>
      <c r="BR535" s="52"/>
      <c r="BS535" s="52"/>
      <c r="BT535" s="52"/>
      <c r="BU535" s="52"/>
      <c r="BV535" s="52"/>
    </row>
    <row r="536">
      <c r="AS536" s="52"/>
      <c r="AT536" s="52"/>
      <c r="AU536" s="52"/>
      <c r="AV536" s="52"/>
      <c r="AW536" s="52"/>
      <c r="AX536" s="52"/>
      <c r="AY536" s="52"/>
      <c r="AZ536" s="52"/>
      <c r="BA536" s="52"/>
      <c r="BB536" s="52"/>
      <c r="BC536" s="52"/>
      <c r="BD536" s="52"/>
      <c r="BE536" s="52"/>
      <c r="BF536" s="52"/>
      <c r="BG536" s="52"/>
      <c r="BH536" s="52"/>
      <c r="BI536" s="52"/>
      <c r="BJ536" s="52"/>
      <c r="BK536" s="52"/>
      <c r="BL536" s="52"/>
      <c r="BM536" s="52"/>
      <c r="BN536" s="52"/>
      <c r="BO536" s="52"/>
      <c r="BP536" s="52"/>
      <c r="BQ536" s="52"/>
      <c r="BR536" s="52"/>
      <c r="BS536" s="52"/>
      <c r="BT536" s="52"/>
      <c r="BU536" s="52"/>
      <c r="BV536" s="52"/>
    </row>
    <row r="537">
      <c r="AS537" s="52"/>
      <c r="AT537" s="52"/>
      <c r="AU537" s="52"/>
      <c r="AV537" s="52"/>
      <c r="AW537" s="52"/>
      <c r="AX537" s="52"/>
      <c r="AY537" s="52"/>
      <c r="AZ537" s="52"/>
      <c r="BA537" s="52"/>
      <c r="BB537" s="52"/>
      <c r="BC537" s="52"/>
      <c r="BD537" s="52"/>
      <c r="BE537" s="52"/>
      <c r="BF537" s="52"/>
      <c r="BG537" s="52"/>
      <c r="BH537" s="52"/>
      <c r="BI537" s="52"/>
      <c r="BJ537" s="52"/>
      <c r="BK537" s="52"/>
      <c r="BL537" s="52"/>
      <c r="BM537" s="52"/>
      <c r="BN537" s="52"/>
      <c r="BO537" s="52"/>
      <c r="BP537" s="52"/>
      <c r="BQ537" s="52"/>
      <c r="BR537" s="52"/>
      <c r="BS537" s="52"/>
      <c r="BT537" s="52"/>
      <c r="BU537" s="52"/>
      <c r="BV537" s="52"/>
    </row>
    <row r="538">
      <c r="AS538" s="52"/>
      <c r="AT538" s="52"/>
      <c r="AU538" s="52"/>
      <c r="AV538" s="52"/>
      <c r="AW538" s="52"/>
      <c r="AX538" s="52"/>
      <c r="AY538" s="52"/>
      <c r="AZ538" s="52"/>
      <c r="BA538" s="52"/>
      <c r="BB538" s="52"/>
      <c r="BC538" s="52"/>
      <c r="BD538" s="52"/>
      <c r="BE538" s="52"/>
      <c r="BF538" s="52"/>
      <c r="BG538" s="52"/>
      <c r="BH538" s="52"/>
      <c r="BI538" s="52"/>
      <c r="BJ538" s="52"/>
      <c r="BK538" s="52"/>
      <c r="BL538" s="52"/>
      <c r="BM538" s="52"/>
      <c r="BN538" s="52"/>
      <c r="BO538" s="52"/>
      <c r="BP538" s="52"/>
      <c r="BQ538" s="52"/>
      <c r="BR538" s="52"/>
      <c r="BS538" s="52"/>
      <c r="BT538" s="52"/>
      <c r="BU538" s="52"/>
      <c r="BV538" s="52"/>
    </row>
    <row r="539">
      <c r="AS539" s="52"/>
      <c r="AT539" s="52"/>
      <c r="AU539" s="52"/>
      <c r="AV539" s="52"/>
      <c r="AW539" s="52"/>
      <c r="AX539" s="52"/>
      <c r="AY539" s="52"/>
      <c r="AZ539" s="52"/>
      <c r="BA539" s="52"/>
      <c r="BB539" s="52"/>
      <c r="BC539" s="52"/>
      <c r="BD539" s="52"/>
      <c r="BE539" s="52"/>
      <c r="BF539" s="52"/>
      <c r="BG539" s="52"/>
      <c r="BH539" s="52"/>
      <c r="BI539" s="52"/>
      <c r="BJ539" s="52"/>
      <c r="BK539" s="52"/>
      <c r="BL539" s="52"/>
      <c r="BM539" s="52"/>
      <c r="BN539" s="52"/>
      <c r="BO539" s="52"/>
      <c r="BP539" s="52"/>
      <c r="BQ539" s="52"/>
      <c r="BR539" s="52"/>
      <c r="BS539" s="52"/>
      <c r="BT539" s="52"/>
      <c r="BU539" s="52"/>
      <c r="BV539" s="52"/>
    </row>
    <row r="540">
      <c r="AS540" s="52"/>
      <c r="AT540" s="52"/>
      <c r="AU540" s="52"/>
      <c r="AV540" s="52"/>
      <c r="AW540" s="52"/>
      <c r="AX540" s="52"/>
      <c r="AY540" s="52"/>
      <c r="AZ540" s="52"/>
      <c r="BA540" s="52"/>
      <c r="BB540" s="52"/>
      <c r="BC540" s="52"/>
      <c r="BD540" s="52"/>
      <c r="BE540" s="52"/>
      <c r="BF540" s="52"/>
      <c r="BG540" s="52"/>
      <c r="BH540" s="52"/>
      <c r="BI540" s="52"/>
      <c r="BJ540" s="52"/>
      <c r="BK540" s="52"/>
      <c r="BL540" s="52"/>
      <c r="BM540" s="52"/>
      <c r="BN540" s="52"/>
      <c r="BO540" s="52"/>
      <c r="BP540" s="52"/>
      <c r="BQ540" s="52"/>
      <c r="BR540" s="52"/>
      <c r="BS540" s="52"/>
      <c r="BT540" s="52"/>
      <c r="BU540" s="52"/>
      <c r="BV540" s="52"/>
    </row>
    <row r="541">
      <c r="AS541" s="52"/>
      <c r="AT541" s="52"/>
      <c r="AU541" s="52"/>
      <c r="AV541" s="52"/>
      <c r="AW541" s="52"/>
      <c r="AX541" s="52"/>
      <c r="AY541" s="52"/>
      <c r="AZ541" s="52"/>
      <c r="BA541" s="52"/>
      <c r="BB541" s="52"/>
      <c r="BC541" s="52"/>
      <c r="BD541" s="52"/>
      <c r="BE541" s="52"/>
      <c r="BF541" s="52"/>
      <c r="BG541" s="52"/>
      <c r="BH541" s="52"/>
      <c r="BI541" s="52"/>
      <c r="BJ541" s="52"/>
      <c r="BK541" s="52"/>
      <c r="BL541" s="52"/>
      <c r="BM541" s="52"/>
      <c r="BN541" s="52"/>
      <c r="BO541" s="52"/>
      <c r="BP541" s="52"/>
      <c r="BQ541" s="52"/>
      <c r="BR541" s="52"/>
      <c r="BS541" s="52"/>
      <c r="BT541" s="52"/>
      <c r="BU541" s="52"/>
      <c r="BV541" s="52"/>
    </row>
    <row r="542">
      <c r="AS542" s="52"/>
      <c r="AT542" s="52"/>
      <c r="AU542" s="52"/>
      <c r="AV542" s="52"/>
      <c r="AW542" s="52"/>
      <c r="AX542" s="52"/>
      <c r="AY542" s="52"/>
      <c r="AZ542" s="52"/>
      <c r="BA542" s="52"/>
      <c r="BB542" s="52"/>
      <c r="BC542" s="52"/>
      <c r="BD542" s="52"/>
      <c r="BE542" s="52"/>
      <c r="BF542" s="52"/>
      <c r="BG542" s="52"/>
      <c r="BH542" s="52"/>
      <c r="BI542" s="52"/>
      <c r="BJ542" s="52"/>
      <c r="BK542" s="52"/>
      <c r="BL542" s="52"/>
      <c r="BM542" s="52"/>
      <c r="BN542" s="52"/>
      <c r="BO542" s="52"/>
      <c r="BP542" s="52"/>
      <c r="BQ542" s="52"/>
      <c r="BR542" s="52"/>
      <c r="BS542" s="52"/>
      <c r="BT542" s="52"/>
      <c r="BU542" s="52"/>
      <c r="BV542" s="52"/>
    </row>
    <row r="543">
      <c r="AS543" s="52"/>
      <c r="AT543" s="52"/>
      <c r="AU543" s="52"/>
      <c r="AV543" s="52"/>
      <c r="AW543" s="52"/>
      <c r="AX543" s="52"/>
      <c r="AY543" s="52"/>
      <c r="AZ543" s="52"/>
      <c r="BA543" s="52"/>
      <c r="BB543" s="52"/>
      <c r="BC543" s="52"/>
      <c r="BD543" s="52"/>
      <c r="BE543" s="52"/>
      <c r="BF543" s="52"/>
      <c r="BG543" s="52"/>
      <c r="BH543" s="52"/>
      <c r="BI543" s="52"/>
      <c r="BJ543" s="52"/>
      <c r="BK543" s="52"/>
      <c r="BL543" s="52"/>
      <c r="BM543" s="52"/>
      <c r="BN543" s="52"/>
      <c r="BO543" s="52"/>
      <c r="BP543" s="52"/>
      <c r="BQ543" s="52"/>
      <c r="BR543" s="52"/>
      <c r="BS543" s="52"/>
      <c r="BT543" s="52"/>
      <c r="BU543" s="52"/>
      <c r="BV543" s="52"/>
    </row>
    <row r="544">
      <c r="AS544" s="52"/>
      <c r="AT544" s="52"/>
      <c r="AU544" s="52"/>
      <c r="AV544" s="52"/>
      <c r="AW544" s="52"/>
      <c r="AX544" s="52"/>
      <c r="AY544" s="52"/>
      <c r="AZ544" s="52"/>
      <c r="BA544" s="52"/>
      <c r="BB544" s="52"/>
      <c r="BC544" s="52"/>
      <c r="BD544" s="52"/>
      <c r="BE544" s="52"/>
      <c r="BF544" s="52"/>
      <c r="BG544" s="52"/>
      <c r="BH544" s="52"/>
      <c r="BI544" s="52"/>
      <c r="BJ544" s="52"/>
      <c r="BK544" s="52"/>
      <c r="BL544" s="52"/>
      <c r="BM544" s="52"/>
      <c r="BN544" s="52"/>
      <c r="BO544" s="52"/>
      <c r="BP544" s="52"/>
      <c r="BQ544" s="52"/>
      <c r="BR544" s="52"/>
      <c r="BS544" s="52"/>
      <c r="BT544" s="52"/>
      <c r="BU544" s="52"/>
      <c r="BV544" s="52"/>
    </row>
    <row r="545">
      <c r="AS545" s="52"/>
      <c r="AT545" s="52"/>
      <c r="AU545" s="52"/>
      <c r="AV545" s="52"/>
      <c r="AW545" s="52"/>
      <c r="AX545" s="52"/>
      <c r="AY545" s="52"/>
      <c r="AZ545" s="52"/>
      <c r="BA545" s="52"/>
      <c r="BB545" s="52"/>
      <c r="BC545" s="52"/>
      <c r="BD545" s="52"/>
      <c r="BE545" s="52"/>
      <c r="BF545" s="52"/>
      <c r="BG545" s="52"/>
      <c r="BH545" s="52"/>
      <c r="BI545" s="52"/>
      <c r="BJ545" s="52"/>
      <c r="BK545" s="52"/>
      <c r="BL545" s="52"/>
      <c r="BM545" s="52"/>
      <c r="BN545" s="52"/>
      <c r="BO545" s="52"/>
      <c r="BP545" s="52"/>
      <c r="BQ545" s="52"/>
      <c r="BR545" s="52"/>
      <c r="BS545" s="52"/>
      <c r="BT545" s="52"/>
      <c r="BU545" s="52"/>
      <c r="BV545" s="52"/>
    </row>
    <row r="546">
      <c r="AS546" s="52"/>
      <c r="AT546" s="52"/>
      <c r="AU546" s="52"/>
      <c r="AV546" s="52"/>
      <c r="AW546" s="52"/>
      <c r="AX546" s="52"/>
      <c r="AY546" s="52"/>
      <c r="AZ546" s="52"/>
      <c r="BA546" s="52"/>
      <c r="BB546" s="52"/>
      <c r="BC546" s="52"/>
      <c r="BD546" s="52"/>
      <c r="BE546" s="52"/>
      <c r="BF546" s="52"/>
      <c r="BG546" s="52"/>
      <c r="BH546" s="52"/>
      <c r="BI546" s="52"/>
      <c r="BJ546" s="52"/>
      <c r="BK546" s="52"/>
      <c r="BL546" s="52"/>
      <c r="BM546" s="52"/>
      <c r="BN546" s="52"/>
      <c r="BO546" s="52"/>
      <c r="BP546" s="52"/>
      <c r="BQ546" s="52"/>
      <c r="BR546" s="52"/>
      <c r="BS546" s="52"/>
      <c r="BT546" s="52"/>
      <c r="BU546" s="52"/>
      <c r="BV546" s="52"/>
    </row>
    <row r="547">
      <c r="AS547" s="52"/>
      <c r="AT547" s="52"/>
      <c r="AU547" s="52"/>
      <c r="AV547" s="52"/>
      <c r="AW547" s="52"/>
      <c r="AX547" s="52"/>
      <c r="AY547" s="52"/>
      <c r="AZ547" s="52"/>
      <c r="BA547" s="52"/>
      <c r="BB547" s="52"/>
      <c r="BC547" s="52"/>
      <c r="BD547" s="52"/>
      <c r="BE547" s="52"/>
      <c r="BF547" s="52"/>
      <c r="BG547" s="52"/>
      <c r="BH547" s="52"/>
      <c r="BI547" s="52"/>
      <c r="BJ547" s="52"/>
      <c r="BK547" s="52"/>
      <c r="BL547" s="52"/>
      <c r="BM547" s="52"/>
      <c r="BN547" s="52"/>
      <c r="BO547" s="52"/>
      <c r="BP547" s="52"/>
      <c r="BQ547" s="52"/>
      <c r="BR547" s="52"/>
      <c r="BS547" s="52"/>
      <c r="BT547" s="52"/>
      <c r="BU547" s="52"/>
      <c r="BV547" s="52"/>
    </row>
    <row r="548">
      <c r="AS548" s="52"/>
      <c r="AT548" s="52"/>
      <c r="AU548" s="52"/>
      <c r="AV548" s="52"/>
      <c r="AW548" s="52"/>
      <c r="AX548" s="52"/>
      <c r="AY548" s="52"/>
      <c r="AZ548" s="52"/>
      <c r="BA548" s="52"/>
      <c r="BB548" s="52"/>
      <c r="BC548" s="52"/>
      <c r="BD548" s="52"/>
      <c r="BE548" s="52"/>
      <c r="BF548" s="52"/>
      <c r="BG548" s="52"/>
      <c r="BH548" s="52"/>
      <c r="BI548" s="52"/>
      <c r="BJ548" s="52"/>
      <c r="BK548" s="52"/>
      <c r="BL548" s="52"/>
      <c r="BM548" s="52"/>
      <c r="BN548" s="52"/>
      <c r="BO548" s="52"/>
      <c r="BP548" s="52"/>
      <c r="BQ548" s="52"/>
      <c r="BR548" s="52"/>
      <c r="BS548" s="52"/>
      <c r="BT548" s="52"/>
      <c r="BU548" s="52"/>
      <c r="BV548" s="52"/>
    </row>
    <row r="549">
      <c r="AS549" s="52"/>
      <c r="AT549" s="52"/>
      <c r="AU549" s="52"/>
      <c r="AV549" s="52"/>
      <c r="AW549" s="52"/>
      <c r="AX549" s="52"/>
      <c r="AY549" s="52"/>
      <c r="AZ549" s="52"/>
      <c r="BA549" s="52"/>
      <c r="BB549" s="52"/>
      <c r="BC549" s="52"/>
      <c r="BD549" s="52"/>
      <c r="BE549" s="52"/>
      <c r="BF549" s="52"/>
      <c r="BG549" s="52"/>
      <c r="BH549" s="52"/>
      <c r="BI549" s="52"/>
      <c r="BJ549" s="52"/>
      <c r="BK549" s="52"/>
      <c r="BL549" s="52"/>
      <c r="BM549" s="52"/>
      <c r="BN549" s="52"/>
      <c r="BO549" s="52"/>
      <c r="BP549" s="52"/>
      <c r="BQ549" s="52"/>
      <c r="BR549" s="52"/>
      <c r="BS549" s="52"/>
      <c r="BT549" s="52"/>
      <c r="BU549" s="52"/>
      <c r="BV549" s="52"/>
    </row>
    <row r="550">
      <c r="AS550" s="52"/>
      <c r="AT550" s="52"/>
      <c r="AU550" s="52"/>
      <c r="AV550" s="52"/>
      <c r="AW550" s="52"/>
      <c r="AX550" s="52"/>
      <c r="AY550" s="52"/>
      <c r="AZ550" s="52"/>
      <c r="BA550" s="52"/>
      <c r="BB550" s="52"/>
      <c r="BC550" s="52"/>
      <c r="BD550" s="52"/>
      <c r="BE550" s="52"/>
      <c r="BF550" s="52"/>
      <c r="BG550" s="52"/>
      <c r="BH550" s="52"/>
      <c r="BI550" s="52"/>
      <c r="BJ550" s="52"/>
      <c r="BK550" s="52"/>
      <c r="BL550" s="52"/>
      <c r="BM550" s="52"/>
      <c r="BN550" s="52"/>
      <c r="BO550" s="52"/>
      <c r="BP550" s="52"/>
      <c r="BQ550" s="52"/>
      <c r="BR550" s="52"/>
      <c r="BS550" s="52"/>
      <c r="BT550" s="52"/>
      <c r="BU550" s="52"/>
      <c r="BV550" s="52"/>
    </row>
    <row r="551">
      <c r="AS551" s="52"/>
      <c r="AT551" s="52"/>
      <c r="AU551" s="52"/>
      <c r="AV551" s="52"/>
      <c r="AW551" s="52"/>
      <c r="AX551" s="52"/>
      <c r="AY551" s="52"/>
      <c r="AZ551" s="52"/>
      <c r="BA551" s="52"/>
      <c r="BB551" s="52"/>
      <c r="BC551" s="52"/>
      <c r="BD551" s="52"/>
      <c r="BE551" s="52"/>
      <c r="BF551" s="52"/>
      <c r="BG551" s="52"/>
      <c r="BH551" s="52"/>
      <c r="BI551" s="52"/>
      <c r="BJ551" s="52"/>
      <c r="BK551" s="52"/>
      <c r="BL551" s="52"/>
      <c r="BM551" s="52"/>
      <c r="BN551" s="52"/>
      <c r="BO551" s="52"/>
      <c r="BP551" s="52"/>
      <c r="BQ551" s="52"/>
      <c r="BR551" s="52"/>
      <c r="BS551" s="52"/>
      <c r="BT551" s="52"/>
      <c r="BU551" s="52"/>
      <c r="BV551" s="52"/>
    </row>
    <row r="552">
      <c r="AS552" s="52"/>
      <c r="AT552" s="52"/>
      <c r="AU552" s="52"/>
      <c r="AV552" s="52"/>
      <c r="AW552" s="52"/>
      <c r="AX552" s="52"/>
      <c r="AY552" s="52"/>
      <c r="AZ552" s="52"/>
      <c r="BA552" s="52"/>
      <c r="BB552" s="52"/>
      <c r="BC552" s="52"/>
      <c r="BD552" s="52"/>
      <c r="BE552" s="52"/>
      <c r="BF552" s="52"/>
      <c r="BG552" s="52"/>
      <c r="BH552" s="52"/>
      <c r="BI552" s="52"/>
      <c r="BJ552" s="52"/>
      <c r="BK552" s="52"/>
      <c r="BL552" s="52"/>
      <c r="BM552" s="52"/>
      <c r="BN552" s="52"/>
      <c r="BO552" s="52"/>
      <c r="BP552" s="52"/>
      <c r="BQ552" s="52"/>
      <c r="BR552" s="52"/>
      <c r="BS552" s="52"/>
      <c r="BT552" s="52"/>
      <c r="BU552" s="52"/>
      <c r="BV552" s="52"/>
    </row>
    <row r="553">
      <c r="AS553" s="52"/>
      <c r="AT553" s="52"/>
      <c r="AU553" s="52"/>
      <c r="AV553" s="52"/>
      <c r="AW553" s="52"/>
      <c r="AX553" s="52"/>
      <c r="AY553" s="52"/>
      <c r="AZ553" s="52"/>
      <c r="BA553" s="52"/>
      <c r="BB553" s="52"/>
      <c r="BC553" s="52"/>
      <c r="BD553" s="52"/>
      <c r="BE553" s="52"/>
      <c r="BF553" s="52"/>
      <c r="BG553" s="52"/>
      <c r="BH553" s="52"/>
      <c r="BI553" s="52"/>
      <c r="BJ553" s="52"/>
      <c r="BK553" s="52"/>
      <c r="BL553" s="52"/>
      <c r="BM553" s="52"/>
      <c r="BN553" s="52"/>
      <c r="BO553" s="52"/>
      <c r="BP553" s="52"/>
      <c r="BQ553" s="52"/>
      <c r="BR553" s="52"/>
      <c r="BS553" s="52"/>
      <c r="BT553" s="52"/>
      <c r="BU553" s="52"/>
      <c r="BV553" s="52"/>
    </row>
    <row r="554">
      <c r="AS554" s="52"/>
      <c r="AT554" s="52"/>
      <c r="AU554" s="52"/>
      <c r="AV554" s="52"/>
      <c r="AW554" s="52"/>
      <c r="AX554" s="52"/>
      <c r="AY554" s="52"/>
      <c r="AZ554" s="52"/>
      <c r="BA554" s="52"/>
      <c r="BB554" s="52"/>
      <c r="BC554" s="52"/>
      <c r="BD554" s="52"/>
      <c r="BE554" s="52"/>
      <c r="BF554" s="52"/>
      <c r="BG554" s="52"/>
      <c r="BH554" s="52"/>
      <c r="BI554" s="52"/>
      <c r="BJ554" s="52"/>
      <c r="BK554" s="52"/>
      <c r="BL554" s="52"/>
      <c r="BM554" s="52"/>
      <c r="BN554" s="52"/>
      <c r="BO554" s="52"/>
      <c r="BP554" s="52"/>
      <c r="BQ554" s="52"/>
      <c r="BR554" s="52"/>
      <c r="BS554" s="52"/>
      <c r="BT554" s="52"/>
      <c r="BU554" s="52"/>
      <c r="BV554" s="52"/>
    </row>
    <row r="555">
      <c r="AS555" s="52"/>
      <c r="AT555" s="52"/>
      <c r="AU555" s="52"/>
      <c r="AV555" s="52"/>
      <c r="AW555" s="52"/>
      <c r="AX555" s="52"/>
      <c r="AY555" s="52"/>
      <c r="AZ555" s="52"/>
      <c r="BA555" s="52"/>
      <c r="BB555" s="52"/>
      <c r="BC555" s="52"/>
      <c r="BD555" s="52"/>
      <c r="BE555" s="52"/>
      <c r="BF555" s="52"/>
      <c r="BG555" s="52"/>
      <c r="BH555" s="52"/>
      <c r="BI555" s="52"/>
      <c r="BJ555" s="52"/>
      <c r="BK555" s="52"/>
      <c r="BL555" s="52"/>
      <c r="BM555" s="52"/>
      <c r="BN555" s="52"/>
      <c r="BO555" s="52"/>
      <c r="BP555" s="52"/>
      <c r="BQ555" s="52"/>
      <c r="BR555" s="52"/>
      <c r="BS555" s="52"/>
      <c r="BT555" s="52"/>
      <c r="BU555" s="52"/>
      <c r="BV555" s="52"/>
    </row>
    <row r="556">
      <c r="AS556" s="52"/>
      <c r="AT556" s="52"/>
      <c r="AU556" s="52"/>
      <c r="AV556" s="52"/>
      <c r="AW556" s="52"/>
      <c r="AX556" s="52"/>
      <c r="AY556" s="52"/>
      <c r="AZ556" s="52"/>
      <c r="BA556" s="52"/>
      <c r="BB556" s="52"/>
      <c r="BC556" s="52"/>
      <c r="BD556" s="52"/>
      <c r="BE556" s="52"/>
      <c r="BF556" s="52"/>
      <c r="BG556" s="52"/>
      <c r="BH556" s="52"/>
      <c r="BI556" s="52"/>
      <c r="BJ556" s="52"/>
      <c r="BK556" s="52"/>
      <c r="BL556" s="52"/>
      <c r="BM556" s="52"/>
      <c r="BN556" s="52"/>
      <c r="BO556" s="52"/>
      <c r="BP556" s="52"/>
      <c r="BQ556" s="52"/>
      <c r="BR556" s="52"/>
      <c r="BS556" s="52"/>
      <c r="BT556" s="52"/>
      <c r="BU556" s="52"/>
      <c r="BV556" s="52"/>
    </row>
    <row r="557">
      <c r="AS557" s="52"/>
      <c r="AT557" s="52"/>
      <c r="AU557" s="52"/>
      <c r="AV557" s="52"/>
      <c r="AW557" s="52"/>
      <c r="AX557" s="52"/>
      <c r="AY557" s="52"/>
      <c r="AZ557" s="52"/>
      <c r="BA557" s="52"/>
      <c r="BB557" s="52"/>
      <c r="BC557" s="52"/>
      <c r="BD557" s="52"/>
      <c r="BE557" s="52"/>
      <c r="BF557" s="52"/>
      <c r="BG557" s="52"/>
      <c r="BH557" s="52"/>
      <c r="BI557" s="52"/>
      <c r="BJ557" s="52"/>
      <c r="BK557" s="52"/>
      <c r="BL557" s="52"/>
      <c r="BM557" s="52"/>
      <c r="BN557" s="52"/>
      <c r="BO557" s="52"/>
      <c r="BP557" s="52"/>
      <c r="BQ557" s="52"/>
      <c r="BR557" s="52"/>
      <c r="BS557" s="52"/>
      <c r="BT557" s="52"/>
      <c r="BU557" s="52"/>
      <c r="BV557" s="52"/>
    </row>
    <row r="558">
      <c r="AS558" s="52"/>
      <c r="AT558" s="52"/>
      <c r="AU558" s="52"/>
      <c r="AV558" s="52"/>
      <c r="AW558" s="52"/>
      <c r="AX558" s="52"/>
      <c r="AY558" s="52"/>
      <c r="AZ558" s="52"/>
      <c r="BA558" s="52"/>
      <c r="BB558" s="52"/>
      <c r="BC558" s="52"/>
      <c r="BD558" s="52"/>
      <c r="BE558" s="52"/>
      <c r="BF558" s="52"/>
      <c r="BG558" s="52"/>
      <c r="BH558" s="52"/>
      <c r="BI558" s="52"/>
      <c r="BJ558" s="52"/>
      <c r="BK558" s="52"/>
      <c r="BL558" s="52"/>
      <c r="BM558" s="52"/>
      <c r="BN558" s="52"/>
      <c r="BO558" s="52"/>
      <c r="BP558" s="52"/>
      <c r="BQ558" s="52"/>
      <c r="BR558" s="52"/>
      <c r="BS558" s="52"/>
      <c r="BT558" s="52"/>
      <c r="BU558" s="52"/>
      <c r="BV558" s="52"/>
    </row>
    <row r="559">
      <c r="AS559" s="52"/>
      <c r="AT559" s="52"/>
      <c r="AU559" s="52"/>
      <c r="AV559" s="52"/>
      <c r="AW559" s="52"/>
      <c r="AX559" s="52"/>
      <c r="AY559" s="52"/>
      <c r="AZ559" s="52"/>
      <c r="BA559" s="52"/>
      <c r="BB559" s="52"/>
      <c r="BC559" s="52"/>
      <c r="BD559" s="52"/>
      <c r="BE559" s="52"/>
      <c r="BF559" s="52"/>
      <c r="BG559" s="52"/>
      <c r="BH559" s="52"/>
      <c r="BI559" s="52"/>
      <c r="BJ559" s="52"/>
      <c r="BK559" s="52"/>
      <c r="BL559" s="52"/>
      <c r="BM559" s="52"/>
      <c r="BN559" s="52"/>
      <c r="BO559" s="52"/>
      <c r="BP559" s="52"/>
      <c r="BQ559" s="52"/>
      <c r="BR559" s="52"/>
      <c r="BS559" s="52"/>
      <c r="BT559" s="52"/>
      <c r="BU559" s="52"/>
      <c r="BV559" s="52"/>
    </row>
    <row r="560">
      <c r="AS560" s="52"/>
      <c r="AT560" s="52"/>
      <c r="AU560" s="52"/>
      <c r="AV560" s="52"/>
      <c r="AW560" s="52"/>
      <c r="AX560" s="52"/>
      <c r="AY560" s="52"/>
      <c r="AZ560" s="52"/>
      <c r="BA560" s="52"/>
      <c r="BB560" s="52"/>
      <c r="BC560" s="52"/>
      <c r="BD560" s="52"/>
      <c r="BE560" s="52"/>
      <c r="BF560" s="52"/>
      <c r="BG560" s="52"/>
      <c r="BH560" s="52"/>
      <c r="BI560" s="52"/>
      <c r="BJ560" s="52"/>
      <c r="BK560" s="52"/>
      <c r="BL560" s="52"/>
      <c r="BM560" s="52"/>
      <c r="BN560" s="52"/>
      <c r="BO560" s="52"/>
      <c r="BP560" s="52"/>
      <c r="BQ560" s="52"/>
      <c r="BR560" s="52"/>
      <c r="BS560" s="52"/>
      <c r="BT560" s="52"/>
      <c r="BU560" s="52"/>
      <c r="BV560" s="52"/>
    </row>
    <row r="561">
      <c r="AS561" s="52"/>
      <c r="AT561" s="52"/>
      <c r="AU561" s="52"/>
      <c r="AV561" s="52"/>
      <c r="AW561" s="52"/>
      <c r="AX561" s="52"/>
      <c r="AY561" s="52"/>
      <c r="AZ561" s="52"/>
      <c r="BA561" s="52"/>
      <c r="BB561" s="52"/>
      <c r="BC561" s="52"/>
      <c r="BD561" s="52"/>
      <c r="BE561" s="52"/>
      <c r="BF561" s="52"/>
      <c r="BG561" s="52"/>
      <c r="BH561" s="52"/>
      <c r="BI561" s="52"/>
      <c r="BJ561" s="52"/>
      <c r="BK561" s="52"/>
      <c r="BL561" s="52"/>
      <c r="BM561" s="52"/>
      <c r="BN561" s="52"/>
      <c r="BO561" s="52"/>
      <c r="BP561" s="52"/>
      <c r="BQ561" s="52"/>
      <c r="BR561" s="52"/>
      <c r="BS561" s="52"/>
      <c r="BT561" s="52"/>
      <c r="BU561" s="52"/>
      <c r="BV561" s="52"/>
    </row>
    <row r="562">
      <c r="AS562" s="52"/>
      <c r="AT562" s="52"/>
      <c r="AU562" s="52"/>
      <c r="AV562" s="52"/>
      <c r="AW562" s="52"/>
      <c r="AX562" s="52"/>
      <c r="AY562" s="52"/>
      <c r="AZ562" s="52"/>
      <c r="BA562" s="52"/>
      <c r="BB562" s="52"/>
      <c r="BC562" s="52"/>
      <c r="BD562" s="52"/>
      <c r="BE562" s="52"/>
      <c r="BF562" s="52"/>
      <c r="BG562" s="52"/>
      <c r="BH562" s="52"/>
      <c r="BI562" s="52"/>
      <c r="BJ562" s="52"/>
      <c r="BK562" s="52"/>
      <c r="BL562" s="52"/>
      <c r="BM562" s="52"/>
      <c r="BN562" s="52"/>
      <c r="BO562" s="52"/>
      <c r="BP562" s="52"/>
      <c r="BQ562" s="52"/>
      <c r="BR562" s="52"/>
      <c r="BS562" s="52"/>
      <c r="BT562" s="52"/>
      <c r="BU562" s="52"/>
      <c r="BV562" s="52"/>
    </row>
    <row r="563">
      <c r="AS563" s="52"/>
      <c r="AT563" s="52"/>
      <c r="AU563" s="52"/>
      <c r="AV563" s="52"/>
      <c r="AW563" s="52"/>
      <c r="AX563" s="52"/>
      <c r="AY563" s="52"/>
      <c r="AZ563" s="52"/>
      <c r="BA563" s="52"/>
      <c r="BB563" s="52"/>
      <c r="BC563" s="52"/>
      <c r="BD563" s="52"/>
      <c r="BE563" s="52"/>
      <c r="BF563" s="52"/>
      <c r="BG563" s="52"/>
      <c r="BH563" s="52"/>
      <c r="BI563" s="52"/>
      <c r="BJ563" s="52"/>
      <c r="BK563" s="52"/>
      <c r="BL563" s="52"/>
      <c r="BM563" s="52"/>
      <c r="BN563" s="52"/>
      <c r="BO563" s="52"/>
      <c r="BP563" s="52"/>
      <c r="BQ563" s="52"/>
      <c r="BR563" s="52"/>
      <c r="BS563" s="52"/>
      <c r="BT563" s="52"/>
      <c r="BU563" s="52"/>
      <c r="BV563" s="52"/>
    </row>
    <row r="564">
      <c r="AS564" s="52"/>
      <c r="AT564" s="52"/>
      <c r="AU564" s="52"/>
      <c r="AV564" s="52"/>
      <c r="AW564" s="52"/>
      <c r="AX564" s="52"/>
      <c r="AY564" s="52"/>
      <c r="AZ564" s="52"/>
      <c r="BA564" s="52"/>
      <c r="BB564" s="52"/>
      <c r="BC564" s="52"/>
      <c r="BD564" s="52"/>
      <c r="BE564" s="52"/>
      <c r="BF564" s="52"/>
      <c r="BG564" s="52"/>
      <c r="BH564" s="52"/>
      <c r="BI564" s="52"/>
      <c r="BJ564" s="52"/>
      <c r="BK564" s="52"/>
      <c r="BL564" s="52"/>
      <c r="BM564" s="52"/>
      <c r="BN564" s="52"/>
      <c r="BO564" s="52"/>
      <c r="BP564" s="52"/>
      <c r="BQ564" s="52"/>
      <c r="BR564" s="52"/>
      <c r="BS564" s="52"/>
      <c r="BT564" s="52"/>
      <c r="BU564" s="52"/>
      <c r="BV564" s="52"/>
    </row>
    <row r="565">
      <c r="AS565" s="52"/>
      <c r="AT565" s="52"/>
      <c r="AU565" s="52"/>
      <c r="AV565" s="52"/>
      <c r="AW565" s="52"/>
      <c r="AX565" s="52"/>
      <c r="AY565" s="52"/>
      <c r="AZ565" s="52"/>
      <c r="BA565" s="52"/>
      <c r="BB565" s="52"/>
      <c r="BC565" s="52"/>
      <c r="BD565" s="52"/>
      <c r="BE565" s="52"/>
      <c r="BF565" s="52"/>
      <c r="BG565" s="52"/>
      <c r="BH565" s="52"/>
      <c r="BI565" s="52"/>
      <c r="BJ565" s="52"/>
      <c r="BK565" s="52"/>
      <c r="BL565" s="52"/>
      <c r="BM565" s="52"/>
      <c r="BN565" s="52"/>
      <c r="BO565" s="52"/>
      <c r="BP565" s="52"/>
      <c r="BQ565" s="52"/>
      <c r="BR565" s="52"/>
      <c r="BS565" s="52"/>
      <c r="BT565" s="52"/>
      <c r="BU565" s="52"/>
      <c r="BV565" s="52"/>
    </row>
    <row r="566">
      <c r="AS566" s="52"/>
      <c r="AT566" s="52"/>
      <c r="AU566" s="52"/>
      <c r="AV566" s="52"/>
      <c r="AW566" s="52"/>
      <c r="AX566" s="52"/>
      <c r="AY566" s="52"/>
      <c r="AZ566" s="52"/>
      <c r="BA566" s="52"/>
      <c r="BB566" s="52"/>
      <c r="BC566" s="52"/>
      <c r="BD566" s="52"/>
      <c r="BE566" s="52"/>
      <c r="BF566" s="52"/>
      <c r="BG566" s="52"/>
      <c r="BH566" s="52"/>
      <c r="BI566" s="52"/>
      <c r="BJ566" s="52"/>
      <c r="BK566" s="52"/>
      <c r="BL566" s="52"/>
      <c r="BM566" s="52"/>
      <c r="BN566" s="52"/>
      <c r="BO566" s="52"/>
      <c r="BP566" s="52"/>
      <c r="BQ566" s="52"/>
      <c r="BR566" s="52"/>
      <c r="BS566" s="52"/>
      <c r="BT566" s="52"/>
      <c r="BU566" s="52"/>
      <c r="BV566" s="52"/>
    </row>
    <row r="567">
      <c r="AS567" s="52"/>
      <c r="AT567" s="52"/>
      <c r="AU567" s="52"/>
      <c r="AV567" s="52"/>
      <c r="AW567" s="52"/>
      <c r="AX567" s="52"/>
      <c r="AY567" s="52"/>
      <c r="AZ567" s="52"/>
      <c r="BA567" s="52"/>
      <c r="BB567" s="52"/>
      <c r="BC567" s="52"/>
      <c r="BD567" s="52"/>
      <c r="BE567" s="52"/>
      <c r="BF567" s="52"/>
      <c r="BG567" s="52"/>
      <c r="BH567" s="52"/>
      <c r="BI567" s="52"/>
      <c r="BJ567" s="52"/>
      <c r="BK567" s="52"/>
      <c r="BL567" s="52"/>
      <c r="BM567" s="52"/>
      <c r="BN567" s="52"/>
      <c r="BO567" s="52"/>
      <c r="BP567" s="52"/>
      <c r="BQ567" s="52"/>
      <c r="BR567" s="52"/>
      <c r="BS567" s="52"/>
      <c r="BT567" s="52"/>
      <c r="BU567" s="52"/>
      <c r="BV567" s="52"/>
    </row>
    <row r="568">
      <c r="AS568" s="52"/>
      <c r="AT568" s="52"/>
      <c r="AU568" s="52"/>
      <c r="AV568" s="52"/>
      <c r="AW568" s="52"/>
      <c r="AX568" s="52"/>
      <c r="AY568" s="52"/>
      <c r="AZ568" s="52"/>
      <c r="BA568" s="52"/>
      <c r="BB568" s="52"/>
      <c r="BC568" s="52"/>
      <c r="BD568" s="52"/>
      <c r="BE568" s="52"/>
      <c r="BF568" s="52"/>
      <c r="BG568" s="52"/>
      <c r="BH568" s="52"/>
      <c r="BI568" s="52"/>
      <c r="BJ568" s="52"/>
      <c r="BK568" s="52"/>
      <c r="BL568" s="52"/>
      <c r="BM568" s="52"/>
      <c r="BN568" s="52"/>
      <c r="BO568" s="52"/>
      <c r="BP568" s="52"/>
      <c r="BQ568" s="52"/>
      <c r="BR568" s="52"/>
      <c r="BS568" s="52"/>
      <c r="BT568" s="52"/>
      <c r="BU568" s="52"/>
      <c r="BV568" s="52"/>
    </row>
    <row r="569">
      <c r="AS569" s="52"/>
      <c r="AT569" s="52"/>
      <c r="AU569" s="52"/>
      <c r="AV569" s="52"/>
      <c r="AW569" s="52"/>
      <c r="AX569" s="52"/>
      <c r="AY569" s="52"/>
      <c r="AZ569" s="52"/>
      <c r="BA569" s="52"/>
      <c r="BB569" s="52"/>
      <c r="BC569" s="52"/>
      <c r="BD569" s="52"/>
      <c r="BE569" s="52"/>
      <c r="BF569" s="52"/>
      <c r="BG569" s="52"/>
      <c r="BH569" s="52"/>
      <c r="BI569" s="52"/>
      <c r="BJ569" s="52"/>
      <c r="BK569" s="52"/>
      <c r="BL569" s="52"/>
      <c r="BM569" s="52"/>
      <c r="BN569" s="52"/>
      <c r="BO569" s="52"/>
      <c r="BP569" s="52"/>
      <c r="BQ569" s="52"/>
      <c r="BR569" s="52"/>
      <c r="BS569" s="52"/>
      <c r="BT569" s="52"/>
      <c r="BU569" s="52"/>
      <c r="BV569" s="52"/>
    </row>
    <row r="570">
      <c r="AS570" s="52"/>
      <c r="AT570" s="52"/>
      <c r="AU570" s="52"/>
      <c r="AV570" s="52"/>
      <c r="AW570" s="52"/>
      <c r="AX570" s="52"/>
      <c r="AY570" s="52"/>
      <c r="AZ570" s="52"/>
      <c r="BA570" s="52"/>
      <c r="BB570" s="52"/>
      <c r="BC570" s="52"/>
      <c r="BD570" s="52"/>
      <c r="BE570" s="52"/>
      <c r="BF570" s="52"/>
      <c r="BG570" s="52"/>
      <c r="BH570" s="52"/>
      <c r="BI570" s="52"/>
      <c r="BJ570" s="52"/>
      <c r="BK570" s="52"/>
      <c r="BL570" s="52"/>
      <c r="BM570" s="52"/>
      <c r="BN570" s="52"/>
      <c r="BO570" s="52"/>
      <c r="BP570" s="52"/>
      <c r="BQ570" s="52"/>
      <c r="BR570" s="52"/>
      <c r="BS570" s="52"/>
      <c r="BT570" s="52"/>
      <c r="BU570" s="52"/>
      <c r="BV570" s="52"/>
    </row>
    <row r="571">
      <c r="AS571" s="52"/>
      <c r="AT571" s="52"/>
      <c r="AU571" s="52"/>
      <c r="AV571" s="52"/>
      <c r="AW571" s="52"/>
      <c r="AX571" s="52"/>
      <c r="AY571" s="52"/>
      <c r="AZ571" s="52"/>
      <c r="BA571" s="52"/>
      <c r="BB571" s="52"/>
      <c r="BC571" s="52"/>
      <c r="BD571" s="52"/>
      <c r="BE571" s="52"/>
      <c r="BF571" s="52"/>
      <c r="BG571" s="52"/>
      <c r="BH571" s="52"/>
      <c r="BI571" s="52"/>
      <c r="BJ571" s="52"/>
      <c r="BK571" s="52"/>
      <c r="BL571" s="52"/>
      <c r="BM571" s="52"/>
      <c r="BN571" s="52"/>
      <c r="BO571" s="52"/>
      <c r="BP571" s="52"/>
      <c r="BQ571" s="52"/>
      <c r="BR571" s="52"/>
      <c r="BS571" s="52"/>
      <c r="BT571" s="52"/>
      <c r="BU571" s="52"/>
      <c r="BV571" s="52"/>
    </row>
    <row r="572">
      <c r="AS572" s="52"/>
      <c r="AT572" s="52"/>
      <c r="AU572" s="52"/>
      <c r="AV572" s="52"/>
      <c r="AW572" s="52"/>
      <c r="AX572" s="52"/>
      <c r="AY572" s="52"/>
      <c r="AZ572" s="52"/>
      <c r="BA572" s="52"/>
      <c r="BB572" s="52"/>
      <c r="BC572" s="52"/>
      <c r="BD572" s="52"/>
      <c r="BE572" s="52"/>
      <c r="BF572" s="52"/>
      <c r="BG572" s="52"/>
      <c r="BH572" s="52"/>
      <c r="BI572" s="52"/>
      <c r="BJ572" s="52"/>
      <c r="BK572" s="52"/>
      <c r="BL572" s="52"/>
      <c r="BM572" s="52"/>
      <c r="BN572" s="52"/>
      <c r="BO572" s="52"/>
      <c r="BP572" s="52"/>
      <c r="BQ572" s="52"/>
      <c r="BR572" s="52"/>
      <c r="BS572" s="52"/>
      <c r="BT572" s="52"/>
      <c r="BU572" s="52"/>
      <c r="BV572" s="52"/>
    </row>
    <row r="573">
      <c r="AS573" s="52"/>
      <c r="AT573" s="52"/>
      <c r="AU573" s="52"/>
      <c r="AV573" s="52"/>
      <c r="AW573" s="52"/>
      <c r="AX573" s="52"/>
      <c r="AY573" s="52"/>
      <c r="AZ573" s="52"/>
      <c r="BA573" s="52"/>
      <c r="BB573" s="52"/>
      <c r="BC573" s="52"/>
      <c r="BD573" s="52"/>
      <c r="BE573" s="52"/>
      <c r="BF573" s="52"/>
      <c r="BG573" s="52"/>
      <c r="BH573" s="52"/>
      <c r="BI573" s="52"/>
      <c r="BJ573" s="52"/>
      <c r="BK573" s="52"/>
      <c r="BL573" s="52"/>
      <c r="BM573" s="52"/>
      <c r="BN573" s="52"/>
      <c r="BO573" s="52"/>
      <c r="BP573" s="52"/>
      <c r="BQ573" s="52"/>
      <c r="BR573" s="52"/>
      <c r="BS573" s="52"/>
      <c r="BT573" s="52"/>
      <c r="BU573" s="52"/>
      <c r="BV573" s="52"/>
    </row>
    <row r="574">
      <c r="AS574" s="52"/>
      <c r="AT574" s="52"/>
      <c r="AU574" s="52"/>
      <c r="AV574" s="52"/>
      <c r="AW574" s="52"/>
      <c r="AX574" s="52"/>
      <c r="AY574" s="52"/>
      <c r="AZ574" s="52"/>
      <c r="BA574" s="52"/>
      <c r="BB574" s="52"/>
      <c r="BC574" s="52"/>
      <c r="BD574" s="52"/>
      <c r="BE574" s="52"/>
      <c r="BF574" s="52"/>
      <c r="BG574" s="52"/>
      <c r="BH574" s="52"/>
      <c r="BI574" s="52"/>
      <c r="BJ574" s="52"/>
      <c r="BK574" s="52"/>
      <c r="BL574" s="52"/>
      <c r="BM574" s="52"/>
      <c r="BN574" s="52"/>
      <c r="BO574" s="52"/>
      <c r="BP574" s="52"/>
      <c r="BQ574" s="52"/>
      <c r="BR574" s="52"/>
      <c r="BS574" s="52"/>
      <c r="BT574" s="52"/>
      <c r="BU574" s="52"/>
      <c r="BV574" s="52"/>
    </row>
    <row r="575">
      <c r="AS575" s="52"/>
      <c r="AT575" s="52"/>
      <c r="AU575" s="52"/>
      <c r="AV575" s="52"/>
      <c r="AW575" s="52"/>
      <c r="AX575" s="52"/>
      <c r="AY575" s="52"/>
      <c r="AZ575" s="52"/>
      <c r="BA575" s="52"/>
      <c r="BB575" s="52"/>
      <c r="BC575" s="52"/>
      <c r="BD575" s="52"/>
      <c r="BE575" s="52"/>
      <c r="BF575" s="52"/>
      <c r="BG575" s="52"/>
      <c r="BH575" s="52"/>
      <c r="BI575" s="52"/>
      <c r="BJ575" s="52"/>
      <c r="BK575" s="52"/>
      <c r="BL575" s="52"/>
      <c r="BM575" s="52"/>
      <c r="BN575" s="52"/>
      <c r="BO575" s="52"/>
      <c r="BP575" s="52"/>
      <c r="BQ575" s="52"/>
      <c r="BR575" s="52"/>
      <c r="BS575" s="52"/>
      <c r="BT575" s="52"/>
      <c r="BU575" s="52"/>
      <c r="BV575" s="52"/>
    </row>
    <row r="576">
      <c r="AS576" s="52"/>
      <c r="AT576" s="52"/>
      <c r="AU576" s="52"/>
      <c r="AV576" s="52"/>
      <c r="AW576" s="52"/>
      <c r="AX576" s="52"/>
      <c r="AY576" s="52"/>
      <c r="AZ576" s="52"/>
      <c r="BA576" s="52"/>
      <c r="BB576" s="52"/>
      <c r="BC576" s="52"/>
      <c r="BD576" s="52"/>
      <c r="BE576" s="52"/>
      <c r="BF576" s="52"/>
      <c r="BG576" s="52"/>
      <c r="BH576" s="52"/>
      <c r="BI576" s="52"/>
      <c r="BJ576" s="52"/>
      <c r="BK576" s="52"/>
      <c r="BL576" s="52"/>
      <c r="BM576" s="52"/>
      <c r="BN576" s="52"/>
      <c r="BO576" s="52"/>
      <c r="BP576" s="52"/>
      <c r="BQ576" s="52"/>
      <c r="BR576" s="52"/>
      <c r="BS576" s="52"/>
      <c r="BT576" s="52"/>
      <c r="BU576" s="52"/>
      <c r="BV576" s="52"/>
    </row>
    <row r="577">
      <c r="AS577" s="52"/>
      <c r="AT577" s="52"/>
      <c r="AU577" s="52"/>
      <c r="AV577" s="52"/>
      <c r="AW577" s="52"/>
      <c r="AX577" s="52"/>
      <c r="AY577" s="52"/>
      <c r="AZ577" s="52"/>
      <c r="BA577" s="52"/>
      <c r="BB577" s="52"/>
      <c r="BC577" s="52"/>
      <c r="BD577" s="52"/>
      <c r="BE577" s="52"/>
      <c r="BF577" s="52"/>
      <c r="BG577" s="52"/>
      <c r="BH577" s="52"/>
      <c r="BI577" s="52"/>
      <c r="BJ577" s="52"/>
      <c r="BK577" s="52"/>
      <c r="BL577" s="52"/>
      <c r="BM577" s="52"/>
      <c r="BN577" s="52"/>
      <c r="BO577" s="52"/>
      <c r="BP577" s="52"/>
      <c r="BQ577" s="52"/>
      <c r="BR577" s="52"/>
      <c r="BS577" s="52"/>
      <c r="BT577" s="52"/>
      <c r="BU577" s="52"/>
      <c r="BV577" s="52"/>
    </row>
    <row r="578">
      <c r="AS578" s="52"/>
      <c r="AT578" s="52"/>
      <c r="AU578" s="52"/>
      <c r="AV578" s="52"/>
      <c r="AW578" s="52"/>
      <c r="AX578" s="52"/>
      <c r="AY578" s="52"/>
      <c r="AZ578" s="52"/>
      <c r="BA578" s="52"/>
      <c r="BB578" s="52"/>
      <c r="BC578" s="52"/>
      <c r="BD578" s="52"/>
      <c r="BE578" s="52"/>
      <c r="BF578" s="52"/>
      <c r="BG578" s="52"/>
      <c r="BH578" s="52"/>
      <c r="BI578" s="52"/>
      <c r="BJ578" s="52"/>
      <c r="BK578" s="52"/>
      <c r="BL578" s="52"/>
      <c r="BM578" s="52"/>
      <c r="BN578" s="52"/>
      <c r="BO578" s="52"/>
      <c r="BP578" s="52"/>
      <c r="BQ578" s="52"/>
      <c r="BR578" s="52"/>
      <c r="BS578" s="52"/>
      <c r="BT578" s="52"/>
      <c r="BU578" s="52"/>
      <c r="BV578" s="52"/>
    </row>
    <row r="579">
      <c r="AS579" s="52"/>
      <c r="AT579" s="52"/>
      <c r="AU579" s="52"/>
      <c r="AV579" s="52"/>
      <c r="AW579" s="52"/>
      <c r="AX579" s="52"/>
      <c r="AY579" s="52"/>
      <c r="AZ579" s="52"/>
      <c r="BA579" s="52"/>
      <c r="BB579" s="52"/>
      <c r="BC579" s="52"/>
      <c r="BD579" s="52"/>
      <c r="BE579" s="52"/>
      <c r="BF579" s="52"/>
      <c r="BG579" s="52"/>
      <c r="BH579" s="52"/>
      <c r="BI579" s="52"/>
      <c r="BJ579" s="52"/>
      <c r="BK579" s="52"/>
      <c r="BL579" s="52"/>
      <c r="BM579" s="52"/>
      <c r="BN579" s="52"/>
      <c r="BO579" s="52"/>
      <c r="BP579" s="52"/>
      <c r="BQ579" s="52"/>
      <c r="BR579" s="52"/>
      <c r="BS579" s="52"/>
      <c r="BT579" s="52"/>
      <c r="BU579" s="52"/>
      <c r="BV579" s="52"/>
    </row>
    <row r="580">
      <c r="AS580" s="52"/>
      <c r="AT580" s="52"/>
      <c r="AU580" s="52"/>
      <c r="AV580" s="52"/>
      <c r="AW580" s="52"/>
      <c r="AX580" s="52"/>
      <c r="AY580" s="52"/>
      <c r="AZ580" s="52"/>
      <c r="BA580" s="52"/>
      <c r="BB580" s="52"/>
      <c r="BC580" s="52"/>
      <c r="BD580" s="52"/>
      <c r="BE580" s="52"/>
      <c r="BF580" s="52"/>
      <c r="BG580" s="52"/>
      <c r="BH580" s="52"/>
      <c r="BI580" s="52"/>
      <c r="BJ580" s="52"/>
      <c r="BK580" s="52"/>
      <c r="BL580" s="52"/>
      <c r="BM580" s="52"/>
      <c r="BN580" s="52"/>
      <c r="BO580" s="52"/>
      <c r="BP580" s="52"/>
      <c r="BQ580" s="52"/>
      <c r="BR580" s="52"/>
      <c r="BS580" s="52"/>
      <c r="BT580" s="52"/>
      <c r="BU580" s="52"/>
      <c r="BV580" s="52"/>
    </row>
    <row r="581">
      <c r="AS581" s="52"/>
      <c r="AT581" s="52"/>
      <c r="AU581" s="52"/>
      <c r="AV581" s="52"/>
      <c r="AW581" s="52"/>
      <c r="AX581" s="52"/>
      <c r="AY581" s="52"/>
      <c r="AZ581" s="52"/>
      <c r="BA581" s="52"/>
      <c r="BB581" s="52"/>
      <c r="BC581" s="52"/>
      <c r="BD581" s="52"/>
      <c r="BE581" s="52"/>
      <c r="BF581" s="52"/>
      <c r="BG581" s="52"/>
      <c r="BH581" s="52"/>
      <c r="BI581" s="52"/>
      <c r="BJ581" s="52"/>
      <c r="BK581" s="52"/>
      <c r="BL581" s="52"/>
      <c r="BM581" s="52"/>
      <c r="BN581" s="52"/>
      <c r="BO581" s="52"/>
      <c r="BP581" s="52"/>
      <c r="BQ581" s="52"/>
      <c r="BR581" s="52"/>
      <c r="BS581" s="52"/>
      <c r="BT581" s="52"/>
      <c r="BU581" s="52"/>
      <c r="BV581" s="52"/>
    </row>
    <row r="582">
      <c r="AS582" s="52"/>
      <c r="AT582" s="52"/>
      <c r="AU582" s="52"/>
      <c r="AV582" s="52"/>
      <c r="AW582" s="52"/>
      <c r="AX582" s="52"/>
      <c r="AY582" s="52"/>
      <c r="AZ582" s="52"/>
      <c r="BA582" s="52"/>
      <c r="BB582" s="52"/>
      <c r="BC582" s="52"/>
      <c r="BD582" s="52"/>
      <c r="BE582" s="52"/>
      <c r="BF582" s="52"/>
      <c r="BG582" s="52"/>
      <c r="BH582" s="52"/>
      <c r="BI582" s="52"/>
      <c r="BJ582" s="52"/>
      <c r="BK582" s="52"/>
      <c r="BL582" s="52"/>
      <c r="BM582" s="52"/>
      <c r="BN582" s="52"/>
      <c r="BO582" s="52"/>
      <c r="BP582" s="52"/>
      <c r="BQ582" s="52"/>
      <c r="BR582" s="52"/>
      <c r="BS582" s="52"/>
      <c r="BT582" s="52"/>
      <c r="BU582" s="52"/>
      <c r="BV582" s="52"/>
    </row>
    <row r="583">
      <c r="AS583" s="52"/>
      <c r="AT583" s="52"/>
      <c r="AU583" s="52"/>
      <c r="AV583" s="52"/>
      <c r="AW583" s="52"/>
      <c r="AX583" s="52"/>
      <c r="AY583" s="52"/>
      <c r="AZ583" s="52"/>
      <c r="BA583" s="52"/>
      <c r="BB583" s="52"/>
      <c r="BC583" s="52"/>
      <c r="BD583" s="52"/>
      <c r="BE583" s="52"/>
      <c r="BF583" s="52"/>
      <c r="BG583" s="52"/>
      <c r="BH583" s="52"/>
      <c r="BI583" s="52"/>
      <c r="BJ583" s="52"/>
      <c r="BK583" s="52"/>
      <c r="BL583" s="52"/>
      <c r="BM583" s="52"/>
      <c r="BN583" s="52"/>
      <c r="BO583" s="52"/>
      <c r="BP583" s="52"/>
      <c r="BQ583" s="52"/>
      <c r="BR583" s="52"/>
      <c r="BS583" s="52"/>
      <c r="BT583" s="52"/>
      <c r="BU583" s="52"/>
      <c r="BV583" s="52"/>
    </row>
    <row r="584">
      <c r="AS584" s="52"/>
      <c r="AT584" s="52"/>
      <c r="AU584" s="52"/>
      <c r="AV584" s="52"/>
      <c r="AW584" s="52"/>
      <c r="AX584" s="52"/>
      <c r="AY584" s="52"/>
      <c r="AZ584" s="52"/>
      <c r="BA584" s="52"/>
      <c r="BB584" s="52"/>
      <c r="BC584" s="52"/>
      <c r="BD584" s="52"/>
      <c r="BE584" s="52"/>
      <c r="BF584" s="52"/>
      <c r="BG584" s="52"/>
      <c r="BH584" s="52"/>
      <c r="BI584" s="52"/>
      <c r="BJ584" s="52"/>
      <c r="BK584" s="52"/>
      <c r="BL584" s="52"/>
      <c r="BM584" s="52"/>
      <c r="BN584" s="52"/>
      <c r="BO584" s="52"/>
      <c r="BP584" s="52"/>
      <c r="BQ584" s="52"/>
      <c r="BR584" s="52"/>
      <c r="BS584" s="52"/>
      <c r="BT584" s="52"/>
      <c r="BU584" s="52"/>
      <c r="BV584" s="52"/>
    </row>
    <row r="585">
      <c r="AS585" s="52"/>
      <c r="AT585" s="52"/>
      <c r="AU585" s="52"/>
      <c r="AV585" s="52"/>
      <c r="AW585" s="52"/>
      <c r="AX585" s="52"/>
      <c r="AY585" s="52"/>
      <c r="AZ585" s="52"/>
      <c r="BA585" s="52"/>
      <c r="BB585" s="52"/>
      <c r="BC585" s="52"/>
      <c r="BD585" s="52"/>
      <c r="BE585" s="52"/>
      <c r="BF585" s="52"/>
      <c r="BG585" s="52"/>
      <c r="BH585" s="52"/>
      <c r="BI585" s="52"/>
      <c r="BJ585" s="52"/>
      <c r="BK585" s="52"/>
      <c r="BL585" s="52"/>
      <c r="BM585" s="52"/>
      <c r="BN585" s="52"/>
      <c r="BO585" s="52"/>
      <c r="BP585" s="52"/>
      <c r="BQ585" s="52"/>
      <c r="BR585" s="52"/>
      <c r="BS585" s="52"/>
      <c r="BT585" s="52"/>
      <c r="BU585" s="52"/>
      <c r="BV585" s="52"/>
    </row>
    <row r="586">
      <c r="AS586" s="52"/>
      <c r="AT586" s="52"/>
      <c r="AU586" s="52"/>
      <c r="AV586" s="52"/>
      <c r="AW586" s="52"/>
      <c r="AX586" s="52"/>
      <c r="AY586" s="52"/>
      <c r="AZ586" s="52"/>
      <c r="BA586" s="52"/>
      <c r="BB586" s="52"/>
      <c r="BC586" s="52"/>
      <c r="BD586" s="52"/>
      <c r="BE586" s="52"/>
      <c r="BF586" s="52"/>
      <c r="BG586" s="52"/>
      <c r="BH586" s="52"/>
      <c r="BI586" s="52"/>
      <c r="BJ586" s="52"/>
      <c r="BK586" s="52"/>
      <c r="BL586" s="52"/>
      <c r="BM586" s="52"/>
      <c r="BN586" s="52"/>
      <c r="BO586" s="52"/>
      <c r="BP586" s="52"/>
      <c r="BQ586" s="52"/>
      <c r="BR586" s="52"/>
      <c r="BS586" s="52"/>
      <c r="BT586" s="52"/>
      <c r="BU586" s="52"/>
      <c r="BV586" s="52"/>
    </row>
    <row r="587">
      <c r="AS587" s="52"/>
      <c r="AT587" s="52"/>
      <c r="AU587" s="52"/>
      <c r="AV587" s="52"/>
      <c r="AW587" s="52"/>
      <c r="AX587" s="52"/>
      <c r="AY587" s="52"/>
      <c r="AZ587" s="52"/>
      <c r="BA587" s="52"/>
      <c r="BB587" s="52"/>
      <c r="BC587" s="52"/>
      <c r="BD587" s="52"/>
      <c r="BE587" s="52"/>
      <c r="BF587" s="52"/>
      <c r="BG587" s="52"/>
      <c r="BH587" s="52"/>
      <c r="BI587" s="52"/>
      <c r="BJ587" s="52"/>
      <c r="BK587" s="52"/>
      <c r="BL587" s="52"/>
      <c r="BM587" s="52"/>
      <c r="BN587" s="52"/>
      <c r="BO587" s="52"/>
      <c r="BP587" s="52"/>
      <c r="BQ587" s="52"/>
      <c r="BR587" s="52"/>
      <c r="BS587" s="52"/>
      <c r="BT587" s="52"/>
      <c r="BU587" s="52"/>
      <c r="BV587" s="52"/>
    </row>
    <row r="588">
      <c r="AS588" s="52"/>
      <c r="AT588" s="52"/>
      <c r="AU588" s="52"/>
      <c r="AV588" s="52"/>
      <c r="AW588" s="52"/>
      <c r="AX588" s="52"/>
      <c r="AY588" s="52"/>
      <c r="AZ588" s="52"/>
      <c r="BA588" s="52"/>
      <c r="BB588" s="52"/>
      <c r="BC588" s="52"/>
      <c r="BD588" s="52"/>
      <c r="BE588" s="52"/>
      <c r="BF588" s="52"/>
      <c r="BG588" s="52"/>
      <c r="BH588" s="52"/>
      <c r="BI588" s="52"/>
      <c r="BJ588" s="52"/>
      <c r="BK588" s="52"/>
      <c r="BL588" s="52"/>
      <c r="BM588" s="52"/>
      <c r="BN588" s="52"/>
      <c r="BO588" s="52"/>
      <c r="BP588" s="52"/>
      <c r="BQ588" s="52"/>
      <c r="BR588" s="52"/>
      <c r="BS588" s="52"/>
      <c r="BT588" s="52"/>
      <c r="BU588" s="52"/>
      <c r="BV588" s="52"/>
    </row>
    <row r="589">
      <c r="AS589" s="52"/>
      <c r="AT589" s="52"/>
      <c r="AU589" s="52"/>
      <c r="AV589" s="52"/>
      <c r="AW589" s="52"/>
      <c r="AX589" s="52"/>
      <c r="AY589" s="52"/>
      <c r="AZ589" s="52"/>
      <c r="BA589" s="52"/>
      <c r="BB589" s="52"/>
      <c r="BC589" s="52"/>
      <c r="BD589" s="52"/>
      <c r="BE589" s="52"/>
      <c r="BF589" s="52"/>
      <c r="BG589" s="52"/>
      <c r="BH589" s="52"/>
      <c r="BI589" s="52"/>
      <c r="BJ589" s="52"/>
      <c r="BK589" s="52"/>
      <c r="BL589" s="52"/>
      <c r="BM589" s="52"/>
      <c r="BN589" s="52"/>
      <c r="BO589" s="52"/>
      <c r="BP589" s="52"/>
      <c r="BQ589" s="52"/>
      <c r="BR589" s="52"/>
      <c r="BS589" s="52"/>
      <c r="BT589" s="52"/>
      <c r="BU589" s="52"/>
      <c r="BV589" s="52"/>
    </row>
    <row r="590">
      <c r="AS590" s="52"/>
      <c r="AT590" s="52"/>
      <c r="AU590" s="52"/>
      <c r="AV590" s="52"/>
      <c r="AW590" s="52"/>
      <c r="AX590" s="52"/>
      <c r="AY590" s="52"/>
      <c r="AZ590" s="52"/>
      <c r="BA590" s="52"/>
      <c r="BB590" s="52"/>
      <c r="BC590" s="52"/>
      <c r="BD590" s="52"/>
      <c r="BE590" s="52"/>
      <c r="BF590" s="52"/>
      <c r="BG590" s="52"/>
      <c r="BH590" s="52"/>
      <c r="BI590" s="52"/>
      <c r="BJ590" s="52"/>
      <c r="BK590" s="52"/>
      <c r="BL590" s="52"/>
      <c r="BM590" s="52"/>
      <c r="BN590" s="52"/>
      <c r="BO590" s="52"/>
      <c r="BP590" s="52"/>
      <c r="BQ590" s="52"/>
      <c r="BR590" s="52"/>
      <c r="BS590" s="52"/>
      <c r="BT590" s="52"/>
      <c r="BU590" s="52"/>
      <c r="BV590" s="52"/>
    </row>
    <row r="591">
      <c r="AS591" s="52"/>
      <c r="AT591" s="52"/>
      <c r="AU591" s="52"/>
      <c r="AV591" s="52"/>
      <c r="AW591" s="52"/>
      <c r="AX591" s="52"/>
      <c r="AY591" s="52"/>
      <c r="AZ591" s="52"/>
      <c r="BA591" s="52"/>
      <c r="BB591" s="52"/>
      <c r="BC591" s="52"/>
      <c r="BD591" s="52"/>
      <c r="BE591" s="52"/>
      <c r="BF591" s="52"/>
      <c r="BG591" s="52"/>
      <c r="BH591" s="52"/>
      <c r="BI591" s="52"/>
      <c r="BJ591" s="52"/>
      <c r="BK591" s="52"/>
      <c r="BL591" s="52"/>
      <c r="BM591" s="52"/>
      <c r="BN591" s="52"/>
      <c r="BO591" s="52"/>
      <c r="BP591" s="52"/>
      <c r="BQ591" s="52"/>
      <c r="BR591" s="52"/>
      <c r="BS591" s="52"/>
      <c r="BT591" s="52"/>
      <c r="BU591" s="52"/>
      <c r="BV591" s="52"/>
    </row>
    <row r="592">
      <c r="AS592" s="52"/>
      <c r="AT592" s="52"/>
      <c r="AU592" s="52"/>
      <c r="AV592" s="52"/>
      <c r="AW592" s="52"/>
      <c r="AX592" s="52"/>
      <c r="AY592" s="52"/>
      <c r="AZ592" s="52"/>
      <c r="BA592" s="52"/>
      <c r="BB592" s="52"/>
      <c r="BC592" s="52"/>
      <c r="BD592" s="52"/>
      <c r="BE592" s="52"/>
      <c r="BF592" s="52"/>
      <c r="BG592" s="52"/>
      <c r="BH592" s="52"/>
      <c r="BI592" s="52"/>
      <c r="BJ592" s="52"/>
      <c r="BK592" s="52"/>
      <c r="BL592" s="52"/>
      <c r="BM592" s="52"/>
      <c r="BN592" s="52"/>
      <c r="BO592" s="52"/>
      <c r="BP592" s="52"/>
      <c r="BQ592" s="52"/>
      <c r="BR592" s="52"/>
      <c r="BS592" s="52"/>
      <c r="BT592" s="52"/>
      <c r="BU592" s="52"/>
      <c r="BV592" s="52"/>
    </row>
    <row r="593">
      <c r="AS593" s="52"/>
      <c r="AT593" s="52"/>
      <c r="AU593" s="52"/>
      <c r="AV593" s="52"/>
      <c r="AW593" s="52"/>
      <c r="AX593" s="52"/>
      <c r="AY593" s="52"/>
      <c r="AZ593" s="52"/>
      <c r="BA593" s="52"/>
      <c r="BB593" s="52"/>
      <c r="BC593" s="52"/>
      <c r="BD593" s="52"/>
      <c r="BE593" s="52"/>
      <c r="BF593" s="52"/>
      <c r="BG593" s="52"/>
      <c r="BH593" s="52"/>
      <c r="BI593" s="52"/>
      <c r="BJ593" s="52"/>
      <c r="BK593" s="52"/>
      <c r="BL593" s="52"/>
      <c r="BM593" s="52"/>
      <c r="BN593" s="52"/>
      <c r="BO593" s="52"/>
      <c r="BP593" s="52"/>
      <c r="BQ593" s="52"/>
      <c r="BR593" s="52"/>
      <c r="BS593" s="52"/>
      <c r="BT593" s="52"/>
      <c r="BU593" s="52"/>
      <c r="BV593" s="52"/>
    </row>
    <row r="594">
      <c r="AS594" s="52"/>
      <c r="AT594" s="52"/>
      <c r="AU594" s="52"/>
      <c r="AV594" s="52"/>
      <c r="AW594" s="52"/>
      <c r="AX594" s="52"/>
      <c r="AY594" s="52"/>
      <c r="AZ594" s="52"/>
      <c r="BA594" s="52"/>
      <c r="BB594" s="52"/>
      <c r="BC594" s="52"/>
      <c r="BD594" s="52"/>
      <c r="BE594" s="52"/>
      <c r="BF594" s="52"/>
      <c r="BG594" s="52"/>
      <c r="BH594" s="52"/>
      <c r="BI594" s="52"/>
      <c r="BJ594" s="52"/>
      <c r="BK594" s="52"/>
      <c r="BL594" s="52"/>
      <c r="BM594" s="52"/>
      <c r="BN594" s="52"/>
      <c r="BO594" s="52"/>
      <c r="BP594" s="52"/>
      <c r="BQ594" s="52"/>
      <c r="BR594" s="52"/>
      <c r="BS594" s="52"/>
      <c r="BT594" s="52"/>
      <c r="BU594" s="52"/>
      <c r="BV594" s="52"/>
    </row>
    <row r="595">
      <c r="AS595" s="52"/>
      <c r="AT595" s="52"/>
      <c r="AU595" s="52"/>
      <c r="AV595" s="52"/>
      <c r="AW595" s="52"/>
      <c r="AX595" s="52"/>
      <c r="AY595" s="52"/>
      <c r="AZ595" s="52"/>
      <c r="BA595" s="52"/>
      <c r="BB595" s="52"/>
      <c r="BC595" s="52"/>
      <c r="BD595" s="52"/>
      <c r="BE595" s="52"/>
      <c r="BF595" s="52"/>
      <c r="BG595" s="52"/>
      <c r="BH595" s="52"/>
      <c r="BI595" s="52"/>
      <c r="BJ595" s="52"/>
      <c r="BK595" s="52"/>
      <c r="BL595" s="52"/>
      <c r="BM595" s="52"/>
      <c r="BN595" s="52"/>
      <c r="BO595" s="52"/>
      <c r="BP595" s="52"/>
      <c r="BQ595" s="52"/>
      <c r="BR595" s="52"/>
      <c r="BS595" s="52"/>
      <c r="BT595" s="52"/>
      <c r="BU595" s="52"/>
      <c r="BV595" s="52"/>
    </row>
    <row r="596">
      <c r="AS596" s="52"/>
      <c r="AT596" s="52"/>
      <c r="AU596" s="52"/>
      <c r="AV596" s="52"/>
      <c r="AW596" s="52"/>
      <c r="AX596" s="52"/>
      <c r="AY596" s="52"/>
      <c r="AZ596" s="52"/>
      <c r="BA596" s="52"/>
      <c r="BB596" s="52"/>
      <c r="BC596" s="52"/>
      <c r="BD596" s="52"/>
      <c r="BE596" s="52"/>
      <c r="BF596" s="52"/>
      <c r="BG596" s="52"/>
      <c r="BH596" s="52"/>
      <c r="BI596" s="52"/>
      <c r="BJ596" s="52"/>
      <c r="BK596" s="52"/>
      <c r="BL596" s="52"/>
      <c r="BM596" s="52"/>
      <c r="BN596" s="52"/>
      <c r="BO596" s="52"/>
      <c r="BP596" s="52"/>
      <c r="BQ596" s="52"/>
      <c r="BR596" s="52"/>
      <c r="BS596" s="52"/>
      <c r="BT596" s="52"/>
      <c r="BU596" s="52"/>
      <c r="BV596" s="52"/>
    </row>
    <row r="597">
      <c r="AS597" s="52"/>
      <c r="AT597" s="52"/>
      <c r="AU597" s="52"/>
      <c r="AV597" s="52"/>
      <c r="AW597" s="52"/>
      <c r="AX597" s="52"/>
      <c r="AY597" s="52"/>
      <c r="AZ597" s="52"/>
      <c r="BA597" s="52"/>
      <c r="BB597" s="52"/>
      <c r="BC597" s="52"/>
      <c r="BD597" s="52"/>
      <c r="BE597" s="52"/>
      <c r="BF597" s="52"/>
      <c r="BG597" s="52"/>
      <c r="BH597" s="52"/>
      <c r="BI597" s="52"/>
      <c r="BJ597" s="52"/>
      <c r="BK597" s="52"/>
      <c r="BL597" s="52"/>
      <c r="BM597" s="52"/>
      <c r="BN597" s="52"/>
      <c r="BO597" s="52"/>
      <c r="BP597" s="52"/>
      <c r="BQ597" s="52"/>
      <c r="BR597" s="52"/>
      <c r="BS597" s="52"/>
      <c r="BT597" s="52"/>
      <c r="BU597" s="52"/>
      <c r="BV597" s="52"/>
    </row>
    <row r="598">
      <c r="AS598" s="52"/>
      <c r="AT598" s="52"/>
      <c r="AU598" s="52"/>
      <c r="AV598" s="52"/>
      <c r="AW598" s="52"/>
      <c r="AX598" s="52"/>
      <c r="AY598" s="52"/>
      <c r="AZ598" s="52"/>
      <c r="BA598" s="52"/>
      <c r="BB598" s="52"/>
      <c r="BC598" s="52"/>
      <c r="BD598" s="52"/>
      <c r="BE598" s="52"/>
      <c r="BF598" s="52"/>
      <c r="BG598" s="52"/>
      <c r="BH598" s="52"/>
      <c r="BI598" s="52"/>
      <c r="BJ598" s="52"/>
      <c r="BK598" s="52"/>
      <c r="BL598" s="52"/>
      <c r="BM598" s="52"/>
      <c r="BN598" s="52"/>
      <c r="BO598" s="52"/>
      <c r="BP598" s="52"/>
      <c r="BQ598" s="52"/>
      <c r="BR598" s="52"/>
      <c r="BS598" s="52"/>
      <c r="BT598" s="52"/>
      <c r="BU598" s="52"/>
      <c r="BV598" s="52"/>
    </row>
    <row r="599">
      <c r="AS599" s="52"/>
      <c r="AT599" s="52"/>
      <c r="AU599" s="52"/>
      <c r="AV599" s="52"/>
      <c r="AW599" s="52"/>
      <c r="AX599" s="52"/>
      <c r="AY599" s="52"/>
      <c r="AZ599" s="52"/>
      <c r="BA599" s="52"/>
      <c r="BB599" s="52"/>
      <c r="BC599" s="52"/>
      <c r="BD599" s="52"/>
      <c r="BE599" s="52"/>
      <c r="BF599" s="52"/>
      <c r="BG599" s="52"/>
      <c r="BH599" s="52"/>
      <c r="BI599" s="52"/>
      <c r="BJ599" s="52"/>
      <c r="BK599" s="52"/>
      <c r="BL599" s="52"/>
      <c r="BM599" s="52"/>
      <c r="BN599" s="52"/>
      <c r="BO599" s="52"/>
      <c r="BP599" s="52"/>
      <c r="BQ599" s="52"/>
      <c r="BR599" s="52"/>
      <c r="BS599" s="52"/>
      <c r="BT599" s="52"/>
      <c r="BU599" s="52"/>
      <c r="BV599" s="52"/>
    </row>
    <row r="600">
      <c r="AS600" s="52"/>
      <c r="AT600" s="52"/>
      <c r="AU600" s="52"/>
      <c r="AV600" s="52"/>
      <c r="AW600" s="52"/>
      <c r="AX600" s="52"/>
      <c r="AY600" s="52"/>
      <c r="AZ600" s="52"/>
      <c r="BA600" s="52"/>
      <c r="BB600" s="52"/>
      <c r="BC600" s="52"/>
      <c r="BD600" s="52"/>
      <c r="BE600" s="52"/>
      <c r="BF600" s="52"/>
      <c r="BG600" s="52"/>
      <c r="BH600" s="52"/>
      <c r="BI600" s="52"/>
      <c r="BJ600" s="52"/>
      <c r="BK600" s="52"/>
      <c r="BL600" s="52"/>
      <c r="BM600" s="52"/>
      <c r="BN600" s="52"/>
      <c r="BO600" s="52"/>
      <c r="BP600" s="52"/>
      <c r="BQ600" s="52"/>
      <c r="BR600" s="52"/>
      <c r="BS600" s="52"/>
      <c r="BT600" s="52"/>
      <c r="BU600" s="52"/>
      <c r="BV600" s="52"/>
    </row>
    <row r="601">
      <c r="AS601" s="52"/>
      <c r="AT601" s="52"/>
      <c r="AU601" s="52"/>
      <c r="AV601" s="52"/>
      <c r="AW601" s="52"/>
      <c r="AX601" s="52"/>
      <c r="AY601" s="52"/>
      <c r="AZ601" s="52"/>
      <c r="BA601" s="52"/>
      <c r="BB601" s="52"/>
      <c r="BC601" s="52"/>
      <c r="BD601" s="52"/>
      <c r="BE601" s="52"/>
      <c r="BF601" s="52"/>
      <c r="BG601" s="52"/>
      <c r="BH601" s="52"/>
      <c r="BI601" s="52"/>
      <c r="BJ601" s="52"/>
      <c r="BK601" s="52"/>
      <c r="BL601" s="52"/>
      <c r="BM601" s="52"/>
      <c r="BN601" s="52"/>
      <c r="BO601" s="52"/>
      <c r="BP601" s="52"/>
      <c r="BQ601" s="52"/>
      <c r="BR601" s="52"/>
      <c r="BS601" s="52"/>
      <c r="BT601" s="52"/>
      <c r="BU601" s="52"/>
      <c r="BV601" s="52"/>
    </row>
    <row r="602">
      <c r="AS602" s="52"/>
      <c r="AT602" s="52"/>
      <c r="AU602" s="52"/>
      <c r="AV602" s="52"/>
      <c r="AW602" s="52"/>
      <c r="AX602" s="52"/>
      <c r="AY602" s="52"/>
      <c r="AZ602" s="52"/>
      <c r="BA602" s="52"/>
      <c r="BB602" s="52"/>
      <c r="BC602" s="52"/>
      <c r="BD602" s="52"/>
      <c r="BE602" s="52"/>
      <c r="BF602" s="52"/>
      <c r="BG602" s="52"/>
      <c r="BH602" s="52"/>
      <c r="BI602" s="52"/>
      <c r="BJ602" s="52"/>
      <c r="BK602" s="52"/>
      <c r="BL602" s="52"/>
      <c r="BM602" s="52"/>
      <c r="BN602" s="52"/>
      <c r="BO602" s="52"/>
      <c r="BP602" s="52"/>
      <c r="BQ602" s="52"/>
      <c r="BR602" s="52"/>
      <c r="BS602" s="52"/>
      <c r="BT602" s="52"/>
      <c r="BU602" s="52"/>
      <c r="BV602" s="52"/>
    </row>
    <row r="603">
      <c r="AS603" s="52"/>
      <c r="AT603" s="52"/>
      <c r="AU603" s="52"/>
      <c r="AV603" s="52"/>
      <c r="AW603" s="52"/>
      <c r="AX603" s="52"/>
      <c r="AY603" s="52"/>
      <c r="AZ603" s="52"/>
      <c r="BA603" s="52"/>
      <c r="BB603" s="52"/>
      <c r="BC603" s="52"/>
      <c r="BD603" s="52"/>
      <c r="BE603" s="52"/>
      <c r="BF603" s="52"/>
      <c r="BG603" s="52"/>
      <c r="BH603" s="52"/>
      <c r="BI603" s="52"/>
      <c r="BJ603" s="52"/>
      <c r="BK603" s="52"/>
      <c r="BL603" s="52"/>
      <c r="BM603" s="52"/>
      <c r="BN603" s="52"/>
      <c r="BO603" s="52"/>
      <c r="BP603" s="52"/>
      <c r="BQ603" s="52"/>
      <c r="BR603" s="52"/>
      <c r="BS603" s="52"/>
      <c r="BT603" s="52"/>
      <c r="BU603" s="52"/>
      <c r="BV603" s="52"/>
    </row>
    <row r="604">
      <c r="AS604" s="52"/>
      <c r="AT604" s="52"/>
      <c r="AU604" s="52"/>
      <c r="AV604" s="52"/>
      <c r="AW604" s="52"/>
      <c r="AX604" s="52"/>
      <c r="AY604" s="52"/>
      <c r="AZ604" s="52"/>
      <c r="BA604" s="52"/>
      <c r="BB604" s="52"/>
      <c r="BC604" s="52"/>
      <c r="BD604" s="52"/>
      <c r="BE604" s="52"/>
      <c r="BF604" s="52"/>
      <c r="BG604" s="52"/>
      <c r="BH604" s="52"/>
      <c r="BI604" s="52"/>
      <c r="BJ604" s="52"/>
      <c r="BK604" s="52"/>
      <c r="BL604" s="52"/>
      <c r="BM604" s="52"/>
      <c r="BN604" s="52"/>
      <c r="BO604" s="52"/>
      <c r="BP604" s="52"/>
      <c r="BQ604" s="52"/>
      <c r="BR604" s="52"/>
      <c r="BS604" s="52"/>
      <c r="BT604" s="52"/>
      <c r="BU604" s="52"/>
      <c r="BV604" s="52"/>
    </row>
    <row r="605">
      <c r="AS605" s="52"/>
      <c r="AT605" s="52"/>
      <c r="AU605" s="52"/>
      <c r="AV605" s="52"/>
      <c r="AW605" s="52"/>
      <c r="AX605" s="52"/>
      <c r="AY605" s="52"/>
      <c r="AZ605" s="52"/>
      <c r="BA605" s="52"/>
      <c r="BB605" s="52"/>
      <c r="BC605" s="52"/>
      <c r="BD605" s="52"/>
      <c r="BE605" s="52"/>
      <c r="BF605" s="52"/>
      <c r="BG605" s="52"/>
      <c r="BH605" s="52"/>
      <c r="BI605" s="52"/>
      <c r="BJ605" s="52"/>
      <c r="BK605" s="52"/>
      <c r="BL605" s="52"/>
      <c r="BM605" s="52"/>
      <c r="BN605" s="52"/>
      <c r="BO605" s="52"/>
      <c r="BP605" s="52"/>
      <c r="BQ605" s="52"/>
      <c r="BR605" s="52"/>
      <c r="BS605" s="52"/>
      <c r="BT605" s="52"/>
      <c r="BU605" s="52"/>
      <c r="BV605" s="52"/>
    </row>
    <row r="606">
      <c r="AS606" s="52"/>
      <c r="AT606" s="52"/>
      <c r="AU606" s="52"/>
      <c r="AV606" s="52"/>
      <c r="AW606" s="52"/>
      <c r="AX606" s="52"/>
      <c r="AY606" s="52"/>
      <c r="AZ606" s="52"/>
      <c r="BA606" s="52"/>
      <c r="BB606" s="52"/>
      <c r="BC606" s="52"/>
      <c r="BD606" s="52"/>
      <c r="BE606" s="52"/>
      <c r="BF606" s="52"/>
      <c r="BG606" s="52"/>
      <c r="BH606" s="52"/>
      <c r="BI606" s="52"/>
      <c r="BJ606" s="52"/>
      <c r="BK606" s="52"/>
      <c r="BL606" s="52"/>
      <c r="BM606" s="52"/>
      <c r="BN606" s="52"/>
      <c r="BO606" s="52"/>
      <c r="BP606" s="52"/>
      <c r="BQ606" s="52"/>
      <c r="BR606" s="52"/>
      <c r="BS606" s="52"/>
      <c r="BT606" s="52"/>
      <c r="BU606" s="52"/>
      <c r="BV606" s="52"/>
    </row>
    <row r="607">
      <c r="AS607" s="52"/>
      <c r="AT607" s="52"/>
      <c r="AU607" s="52"/>
      <c r="AV607" s="52"/>
      <c r="AW607" s="52"/>
      <c r="AX607" s="52"/>
      <c r="AY607" s="52"/>
      <c r="AZ607" s="52"/>
      <c r="BA607" s="52"/>
      <c r="BB607" s="52"/>
      <c r="BC607" s="52"/>
      <c r="BD607" s="52"/>
      <c r="BE607" s="52"/>
      <c r="BF607" s="52"/>
      <c r="BG607" s="52"/>
      <c r="BH607" s="52"/>
      <c r="BI607" s="52"/>
      <c r="BJ607" s="52"/>
      <c r="BK607" s="52"/>
      <c r="BL607" s="52"/>
      <c r="BM607" s="52"/>
      <c r="BN607" s="52"/>
      <c r="BO607" s="52"/>
      <c r="BP607" s="52"/>
      <c r="BQ607" s="52"/>
      <c r="BR607" s="52"/>
      <c r="BS607" s="52"/>
      <c r="BT607" s="52"/>
      <c r="BU607" s="52"/>
      <c r="BV607" s="52"/>
    </row>
    <row r="608">
      <c r="AS608" s="52"/>
      <c r="AT608" s="52"/>
      <c r="AU608" s="52"/>
      <c r="AV608" s="52"/>
      <c r="AW608" s="52"/>
      <c r="AX608" s="52"/>
      <c r="AY608" s="52"/>
      <c r="AZ608" s="52"/>
      <c r="BA608" s="52"/>
      <c r="BB608" s="52"/>
      <c r="BC608" s="52"/>
      <c r="BD608" s="52"/>
      <c r="BE608" s="52"/>
      <c r="BF608" s="52"/>
      <c r="BG608" s="52"/>
      <c r="BH608" s="52"/>
      <c r="BI608" s="52"/>
      <c r="BJ608" s="52"/>
      <c r="BK608" s="52"/>
      <c r="BL608" s="52"/>
      <c r="BM608" s="52"/>
      <c r="BN608" s="52"/>
      <c r="BO608" s="52"/>
      <c r="BP608" s="52"/>
      <c r="BQ608" s="52"/>
      <c r="BR608" s="52"/>
      <c r="BS608" s="52"/>
      <c r="BT608" s="52"/>
      <c r="BU608" s="52"/>
      <c r="BV608" s="52"/>
    </row>
    <row r="609">
      <c r="AS609" s="52"/>
      <c r="AT609" s="52"/>
      <c r="AU609" s="52"/>
      <c r="AV609" s="52"/>
      <c r="AW609" s="52"/>
      <c r="AX609" s="52"/>
      <c r="AY609" s="52"/>
      <c r="AZ609" s="52"/>
      <c r="BA609" s="52"/>
      <c r="BB609" s="52"/>
      <c r="BC609" s="52"/>
      <c r="BD609" s="52"/>
      <c r="BE609" s="52"/>
      <c r="BF609" s="52"/>
      <c r="BG609" s="52"/>
      <c r="BH609" s="52"/>
      <c r="BI609" s="52"/>
      <c r="BJ609" s="52"/>
      <c r="BK609" s="52"/>
      <c r="BL609" s="52"/>
      <c r="BM609" s="52"/>
      <c r="BN609" s="52"/>
      <c r="BO609" s="52"/>
      <c r="BP609" s="52"/>
      <c r="BQ609" s="52"/>
      <c r="BR609" s="52"/>
      <c r="BS609" s="52"/>
      <c r="BT609" s="52"/>
      <c r="BU609" s="52"/>
      <c r="BV609" s="52"/>
    </row>
    <row r="610">
      <c r="AS610" s="52"/>
      <c r="AT610" s="52"/>
      <c r="AU610" s="52"/>
      <c r="AV610" s="52"/>
      <c r="AW610" s="52"/>
      <c r="AX610" s="52"/>
      <c r="AY610" s="52"/>
      <c r="AZ610" s="52"/>
      <c r="BA610" s="52"/>
      <c r="BB610" s="52"/>
      <c r="BC610" s="52"/>
      <c r="BD610" s="52"/>
      <c r="BE610" s="52"/>
      <c r="BF610" s="52"/>
      <c r="BG610" s="52"/>
      <c r="BH610" s="52"/>
      <c r="BI610" s="52"/>
      <c r="BJ610" s="52"/>
      <c r="BK610" s="52"/>
      <c r="BL610" s="52"/>
      <c r="BM610" s="52"/>
      <c r="BN610" s="52"/>
      <c r="BO610" s="52"/>
      <c r="BP610" s="52"/>
      <c r="BQ610" s="52"/>
      <c r="BR610" s="52"/>
      <c r="BS610" s="52"/>
      <c r="BT610" s="52"/>
      <c r="BU610" s="52"/>
      <c r="BV610" s="52"/>
    </row>
    <row r="611">
      <c r="AS611" s="52"/>
      <c r="AT611" s="52"/>
      <c r="AU611" s="52"/>
      <c r="AV611" s="52"/>
      <c r="AW611" s="52"/>
      <c r="AX611" s="52"/>
      <c r="AY611" s="52"/>
      <c r="AZ611" s="52"/>
      <c r="BA611" s="52"/>
      <c r="BB611" s="52"/>
      <c r="BC611" s="52"/>
      <c r="BD611" s="52"/>
      <c r="BE611" s="52"/>
      <c r="BF611" s="52"/>
      <c r="BG611" s="52"/>
      <c r="BH611" s="52"/>
      <c r="BI611" s="52"/>
      <c r="BJ611" s="52"/>
      <c r="BK611" s="52"/>
      <c r="BL611" s="52"/>
      <c r="BM611" s="52"/>
      <c r="BN611" s="52"/>
      <c r="BO611" s="52"/>
      <c r="BP611" s="52"/>
      <c r="BQ611" s="52"/>
      <c r="BR611" s="52"/>
      <c r="BS611" s="52"/>
      <c r="BT611" s="52"/>
      <c r="BU611" s="52"/>
      <c r="BV611" s="52"/>
    </row>
    <row r="612">
      <c r="AS612" s="52"/>
      <c r="AT612" s="52"/>
      <c r="AU612" s="52"/>
      <c r="AV612" s="52"/>
      <c r="AW612" s="52"/>
      <c r="AX612" s="52"/>
      <c r="AY612" s="52"/>
      <c r="AZ612" s="52"/>
      <c r="BA612" s="52"/>
      <c r="BB612" s="52"/>
      <c r="BC612" s="52"/>
      <c r="BD612" s="52"/>
      <c r="BE612" s="52"/>
      <c r="BF612" s="52"/>
      <c r="BG612" s="52"/>
      <c r="BH612" s="52"/>
      <c r="BI612" s="52"/>
      <c r="BJ612" s="52"/>
      <c r="BK612" s="52"/>
      <c r="BL612" s="52"/>
      <c r="BM612" s="52"/>
      <c r="BN612" s="52"/>
      <c r="BO612" s="52"/>
      <c r="BP612" s="52"/>
      <c r="BQ612" s="52"/>
      <c r="BR612" s="52"/>
      <c r="BS612" s="52"/>
      <c r="BT612" s="52"/>
      <c r="BU612" s="52"/>
      <c r="BV612" s="52"/>
    </row>
    <row r="613">
      <c r="AS613" s="52"/>
      <c r="AT613" s="52"/>
      <c r="AU613" s="52"/>
      <c r="AV613" s="52"/>
      <c r="AW613" s="52"/>
      <c r="AX613" s="52"/>
      <c r="AY613" s="52"/>
      <c r="AZ613" s="52"/>
      <c r="BA613" s="52"/>
      <c r="BB613" s="52"/>
      <c r="BC613" s="52"/>
      <c r="BD613" s="52"/>
      <c r="BE613" s="52"/>
      <c r="BF613" s="52"/>
      <c r="BG613" s="52"/>
      <c r="BH613" s="52"/>
      <c r="BI613" s="52"/>
      <c r="BJ613" s="52"/>
      <c r="BK613" s="52"/>
      <c r="BL613" s="52"/>
      <c r="BM613" s="52"/>
      <c r="BN613" s="52"/>
      <c r="BO613" s="52"/>
      <c r="BP613" s="52"/>
      <c r="BQ613" s="52"/>
      <c r="BR613" s="52"/>
      <c r="BS613" s="52"/>
      <c r="BT613" s="52"/>
      <c r="BU613" s="52"/>
      <c r="BV613" s="52"/>
    </row>
    <row r="614">
      <c r="AS614" s="52"/>
      <c r="AT614" s="52"/>
      <c r="AU614" s="52"/>
      <c r="AV614" s="52"/>
      <c r="AW614" s="52"/>
      <c r="AX614" s="52"/>
      <c r="AY614" s="52"/>
      <c r="AZ614" s="52"/>
      <c r="BA614" s="52"/>
      <c r="BB614" s="52"/>
      <c r="BC614" s="52"/>
      <c r="BD614" s="52"/>
      <c r="BE614" s="52"/>
      <c r="BF614" s="52"/>
      <c r="BG614" s="52"/>
      <c r="BH614" s="52"/>
      <c r="BI614" s="52"/>
      <c r="BJ614" s="52"/>
      <c r="BK614" s="52"/>
      <c r="BL614" s="52"/>
      <c r="BM614" s="52"/>
      <c r="BN614" s="52"/>
      <c r="BO614" s="52"/>
      <c r="BP614" s="52"/>
      <c r="BQ614" s="52"/>
      <c r="BR614" s="52"/>
      <c r="BS614" s="52"/>
      <c r="BT614" s="52"/>
      <c r="BU614" s="52"/>
      <c r="BV614" s="52"/>
    </row>
    <row r="615">
      <c r="AS615" s="52"/>
      <c r="AT615" s="52"/>
      <c r="AU615" s="52"/>
      <c r="AV615" s="52"/>
      <c r="AW615" s="52"/>
      <c r="AX615" s="52"/>
      <c r="AY615" s="52"/>
      <c r="AZ615" s="52"/>
      <c r="BA615" s="52"/>
      <c r="BB615" s="52"/>
      <c r="BC615" s="52"/>
      <c r="BD615" s="52"/>
      <c r="BE615" s="52"/>
      <c r="BF615" s="52"/>
      <c r="BG615" s="52"/>
      <c r="BH615" s="52"/>
      <c r="BI615" s="52"/>
      <c r="BJ615" s="52"/>
      <c r="BK615" s="52"/>
      <c r="BL615" s="52"/>
      <c r="BM615" s="52"/>
      <c r="BN615" s="52"/>
      <c r="BO615" s="52"/>
      <c r="BP615" s="52"/>
      <c r="BQ615" s="52"/>
      <c r="BR615" s="52"/>
      <c r="BS615" s="52"/>
      <c r="BT615" s="52"/>
      <c r="BU615" s="52"/>
      <c r="BV615" s="52"/>
    </row>
    <row r="616">
      <c r="AS616" s="52"/>
      <c r="AT616" s="52"/>
      <c r="AU616" s="52"/>
      <c r="AV616" s="52"/>
      <c r="AW616" s="52"/>
      <c r="AX616" s="52"/>
      <c r="AY616" s="52"/>
      <c r="AZ616" s="52"/>
      <c r="BA616" s="52"/>
      <c r="BB616" s="52"/>
      <c r="BC616" s="52"/>
      <c r="BD616" s="52"/>
      <c r="BE616" s="52"/>
      <c r="BF616" s="52"/>
      <c r="BG616" s="52"/>
      <c r="BH616" s="52"/>
      <c r="BI616" s="52"/>
      <c r="BJ616" s="52"/>
      <c r="BK616" s="52"/>
      <c r="BL616" s="52"/>
      <c r="BM616" s="52"/>
      <c r="BN616" s="52"/>
      <c r="BO616" s="52"/>
      <c r="BP616" s="52"/>
      <c r="BQ616" s="52"/>
      <c r="BR616" s="52"/>
      <c r="BS616" s="52"/>
      <c r="BT616" s="52"/>
      <c r="BU616" s="52"/>
      <c r="BV616" s="52"/>
    </row>
    <row r="617">
      <c r="AS617" s="52"/>
      <c r="AT617" s="52"/>
      <c r="AU617" s="52"/>
      <c r="AV617" s="52"/>
      <c r="AW617" s="52"/>
      <c r="AX617" s="52"/>
      <c r="AY617" s="52"/>
      <c r="AZ617" s="52"/>
      <c r="BA617" s="52"/>
      <c r="BB617" s="52"/>
      <c r="BC617" s="52"/>
      <c r="BD617" s="52"/>
      <c r="BE617" s="52"/>
      <c r="BF617" s="52"/>
      <c r="BG617" s="52"/>
      <c r="BH617" s="52"/>
      <c r="BI617" s="52"/>
      <c r="BJ617" s="52"/>
      <c r="BK617" s="52"/>
      <c r="BL617" s="52"/>
      <c r="BM617" s="52"/>
      <c r="BN617" s="52"/>
      <c r="BO617" s="52"/>
      <c r="BP617" s="52"/>
      <c r="BQ617" s="52"/>
      <c r="BR617" s="52"/>
      <c r="BS617" s="52"/>
      <c r="BT617" s="52"/>
      <c r="BU617" s="52"/>
      <c r="BV617" s="52"/>
    </row>
    <row r="618">
      <c r="AS618" s="52"/>
      <c r="AT618" s="52"/>
      <c r="AU618" s="52"/>
      <c r="AV618" s="52"/>
      <c r="AW618" s="52"/>
      <c r="AX618" s="52"/>
      <c r="AY618" s="52"/>
      <c r="AZ618" s="52"/>
      <c r="BA618" s="52"/>
      <c r="BB618" s="52"/>
      <c r="BC618" s="52"/>
      <c r="BD618" s="52"/>
      <c r="BE618" s="52"/>
      <c r="BF618" s="52"/>
      <c r="BG618" s="52"/>
      <c r="BH618" s="52"/>
      <c r="BI618" s="52"/>
      <c r="BJ618" s="52"/>
      <c r="BK618" s="52"/>
      <c r="BL618" s="52"/>
      <c r="BM618" s="52"/>
      <c r="BN618" s="52"/>
      <c r="BO618" s="52"/>
      <c r="BP618" s="52"/>
      <c r="BQ618" s="52"/>
      <c r="BR618" s="52"/>
      <c r="BS618" s="52"/>
      <c r="BT618" s="52"/>
      <c r="BU618" s="52"/>
      <c r="BV618" s="52"/>
    </row>
    <row r="619">
      <c r="AS619" s="52"/>
      <c r="AT619" s="52"/>
      <c r="AU619" s="52"/>
      <c r="AV619" s="52"/>
      <c r="AW619" s="52"/>
      <c r="AX619" s="52"/>
      <c r="AY619" s="52"/>
      <c r="AZ619" s="52"/>
      <c r="BA619" s="52"/>
      <c r="BB619" s="52"/>
      <c r="BC619" s="52"/>
      <c r="BD619" s="52"/>
      <c r="BE619" s="52"/>
      <c r="BF619" s="52"/>
      <c r="BG619" s="52"/>
      <c r="BH619" s="52"/>
      <c r="BI619" s="52"/>
      <c r="BJ619" s="52"/>
      <c r="BK619" s="52"/>
      <c r="BL619" s="52"/>
      <c r="BM619" s="52"/>
      <c r="BN619" s="52"/>
      <c r="BO619" s="52"/>
      <c r="BP619" s="52"/>
      <c r="BQ619" s="52"/>
      <c r="BR619" s="52"/>
      <c r="BS619" s="52"/>
      <c r="BT619" s="52"/>
      <c r="BU619" s="52"/>
      <c r="BV619" s="52"/>
    </row>
    <row r="620">
      <c r="AS620" s="52"/>
      <c r="AT620" s="52"/>
      <c r="AU620" s="52"/>
      <c r="AV620" s="52"/>
      <c r="AW620" s="52"/>
      <c r="AX620" s="52"/>
      <c r="AY620" s="52"/>
      <c r="AZ620" s="52"/>
      <c r="BA620" s="52"/>
      <c r="BB620" s="52"/>
      <c r="BC620" s="52"/>
      <c r="BD620" s="52"/>
      <c r="BE620" s="52"/>
      <c r="BF620" s="52"/>
      <c r="BG620" s="52"/>
      <c r="BH620" s="52"/>
      <c r="BI620" s="52"/>
      <c r="BJ620" s="52"/>
      <c r="BK620" s="52"/>
      <c r="BL620" s="52"/>
      <c r="BM620" s="52"/>
      <c r="BN620" s="52"/>
      <c r="BO620" s="52"/>
      <c r="BP620" s="52"/>
      <c r="BQ620" s="52"/>
      <c r="BR620" s="52"/>
      <c r="BS620" s="52"/>
      <c r="BT620" s="52"/>
      <c r="BU620" s="52"/>
      <c r="BV620" s="52"/>
    </row>
    <row r="621">
      <c r="AS621" s="52"/>
      <c r="AT621" s="52"/>
      <c r="AU621" s="52"/>
      <c r="AV621" s="52"/>
      <c r="AW621" s="52"/>
      <c r="AX621" s="52"/>
      <c r="AY621" s="52"/>
      <c r="AZ621" s="52"/>
      <c r="BA621" s="52"/>
      <c r="BB621" s="52"/>
      <c r="BC621" s="52"/>
      <c r="BD621" s="52"/>
      <c r="BE621" s="52"/>
      <c r="BF621" s="52"/>
      <c r="BG621" s="52"/>
      <c r="BH621" s="52"/>
      <c r="BI621" s="52"/>
      <c r="BJ621" s="52"/>
      <c r="BK621" s="52"/>
      <c r="BL621" s="52"/>
      <c r="BM621" s="52"/>
      <c r="BN621" s="52"/>
      <c r="BO621" s="52"/>
      <c r="BP621" s="52"/>
      <c r="BQ621" s="52"/>
      <c r="BR621" s="52"/>
      <c r="BS621" s="52"/>
      <c r="BT621" s="52"/>
      <c r="BU621" s="52"/>
      <c r="BV621" s="52"/>
    </row>
    <row r="622">
      <c r="AS622" s="52"/>
      <c r="AT622" s="52"/>
      <c r="AU622" s="52"/>
      <c r="AV622" s="52"/>
      <c r="AW622" s="52"/>
      <c r="AX622" s="52"/>
      <c r="AY622" s="52"/>
      <c r="AZ622" s="52"/>
      <c r="BA622" s="52"/>
      <c r="BB622" s="52"/>
      <c r="BC622" s="52"/>
      <c r="BD622" s="52"/>
      <c r="BE622" s="52"/>
      <c r="BF622" s="52"/>
      <c r="BG622" s="52"/>
      <c r="BH622" s="52"/>
      <c r="BI622" s="52"/>
      <c r="BJ622" s="52"/>
      <c r="BK622" s="52"/>
      <c r="BL622" s="52"/>
      <c r="BM622" s="52"/>
      <c r="BN622" s="52"/>
      <c r="BO622" s="52"/>
      <c r="BP622" s="52"/>
      <c r="BQ622" s="52"/>
      <c r="BR622" s="52"/>
      <c r="BS622" s="52"/>
      <c r="BT622" s="52"/>
      <c r="BU622" s="52"/>
      <c r="BV622" s="52"/>
    </row>
    <row r="623">
      <c r="AS623" s="52"/>
      <c r="AT623" s="52"/>
      <c r="AU623" s="52"/>
      <c r="AV623" s="52"/>
      <c r="AW623" s="52"/>
      <c r="AX623" s="52"/>
      <c r="AY623" s="52"/>
      <c r="AZ623" s="52"/>
      <c r="BA623" s="52"/>
      <c r="BB623" s="52"/>
      <c r="BC623" s="52"/>
      <c r="BD623" s="52"/>
      <c r="BE623" s="52"/>
      <c r="BF623" s="52"/>
      <c r="BG623" s="52"/>
      <c r="BH623" s="52"/>
      <c r="BI623" s="52"/>
      <c r="BJ623" s="52"/>
      <c r="BK623" s="52"/>
      <c r="BL623" s="52"/>
      <c r="BM623" s="52"/>
      <c r="BN623" s="52"/>
      <c r="BO623" s="52"/>
      <c r="BP623" s="52"/>
      <c r="BQ623" s="52"/>
      <c r="BR623" s="52"/>
      <c r="BS623" s="52"/>
      <c r="BT623" s="52"/>
      <c r="BU623" s="52"/>
      <c r="BV623" s="52"/>
    </row>
    <row r="624">
      <c r="AS624" s="52"/>
      <c r="AT624" s="52"/>
      <c r="AU624" s="52"/>
      <c r="AV624" s="52"/>
      <c r="AW624" s="52"/>
      <c r="AX624" s="52"/>
      <c r="AY624" s="52"/>
      <c r="AZ624" s="52"/>
      <c r="BA624" s="52"/>
      <c r="BB624" s="52"/>
      <c r="BC624" s="52"/>
      <c r="BD624" s="52"/>
      <c r="BE624" s="52"/>
      <c r="BF624" s="52"/>
      <c r="BG624" s="52"/>
      <c r="BH624" s="52"/>
      <c r="BI624" s="52"/>
      <c r="BJ624" s="52"/>
      <c r="BK624" s="52"/>
      <c r="BL624" s="52"/>
      <c r="BM624" s="52"/>
      <c r="BN624" s="52"/>
      <c r="BO624" s="52"/>
      <c r="BP624" s="52"/>
      <c r="BQ624" s="52"/>
      <c r="BR624" s="52"/>
      <c r="BS624" s="52"/>
      <c r="BT624" s="52"/>
      <c r="BU624" s="52"/>
      <c r="BV624" s="52"/>
    </row>
    <row r="625">
      <c r="AS625" s="52"/>
      <c r="AT625" s="52"/>
      <c r="AU625" s="52"/>
      <c r="AV625" s="52"/>
      <c r="AW625" s="52"/>
      <c r="AX625" s="52"/>
      <c r="AY625" s="52"/>
      <c r="AZ625" s="52"/>
      <c r="BA625" s="52"/>
      <c r="BB625" s="52"/>
      <c r="BC625" s="52"/>
      <c r="BD625" s="52"/>
      <c r="BE625" s="52"/>
      <c r="BF625" s="52"/>
      <c r="BG625" s="52"/>
      <c r="BH625" s="52"/>
      <c r="BI625" s="52"/>
      <c r="BJ625" s="52"/>
      <c r="BK625" s="52"/>
      <c r="BL625" s="52"/>
      <c r="BM625" s="52"/>
      <c r="BN625" s="52"/>
      <c r="BO625" s="52"/>
      <c r="BP625" s="52"/>
      <c r="BQ625" s="52"/>
      <c r="BR625" s="52"/>
      <c r="BS625" s="52"/>
      <c r="BT625" s="52"/>
      <c r="BU625" s="52"/>
      <c r="BV625" s="52"/>
    </row>
    <row r="626">
      <c r="AS626" s="52"/>
      <c r="AT626" s="52"/>
      <c r="AU626" s="52"/>
      <c r="AV626" s="52"/>
      <c r="AW626" s="52"/>
      <c r="AX626" s="52"/>
      <c r="AY626" s="52"/>
      <c r="AZ626" s="52"/>
      <c r="BA626" s="52"/>
      <c r="BB626" s="52"/>
      <c r="BC626" s="52"/>
      <c r="BD626" s="52"/>
      <c r="BE626" s="52"/>
      <c r="BF626" s="52"/>
      <c r="BG626" s="52"/>
      <c r="BH626" s="52"/>
      <c r="BI626" s="52"/>
      <c r="BJ626" s="52"/>
      <c r="BK626" s="52"/>
      <c r="BL626" s="52"/>
      <c r="BM626" s="52"/>
      <c r="BN626" s="52"/>
      <c r="BO626" s="52"/>
      <c r="BP626" s="52"/>
      <c r="BQ626" s="52"/>
      <c r="BR626" s="52"/>
      <c r="BS626" s="52"/>
      <c r="BT626" s="52"/>
      <c r="BU626" s="52"/>
      <c r="BV626" s="52"/>
    </row>
    <row r="627">
      <c r="AS627" s="52"/>
      <c r="AT627" s="52"/>
      <c r="AU627" s="52"/>
      <c r="AV627" s="52"/>
      <c r="AW627" s="52"/>
      <c r="AX627" s="52"/>
      <c r="AY627" s="52"/>
      <c r="AZ627" s="52"/>
      <c r="BA627" s="52"/>
      <c r="BB627" s="52"/>
      <c r="BC627" s="52"/>
      <c r="BD627" s="52"/>
      <c r="BE627" s="52"/>
      <c r="BF627" s="52"/>
      <c r="BG627" s="52"/>
      <c r="BH627" s="52"/>
      <c r="BI627" s="52"/>
      <c r="BJ627" s="52"/>
      <c r="BK627" s="52"/>
      <c r="BL627" s="52"/>
      <c r="BM627" s="52"/>
      <c r="BN627" s="52"/>
      <c r="BO627" s="52"/>
      <c r="BP627" s="52"/>
      <c r="BQ627" s="52"/>
      <c r="BR627" s="52"/>
      <c r="BS627" s="52"/>
      <c r="BT627" s="52"/>
      <c r="BU627" s="52"/>
      <c r="BV627" s="52"/>
    </row>
    <row r="628">
      <c r="AS628" s="52"/>
      <c r="AT628" s="52"/>
      <c r="AU628" s="52"/>
      <c r="AV628" s="52"/>
      <c r="AW628" s="52"/>
      <c r="AX628" s="52"/>
      <c r="AY628" s="52"/>
      <c r="AZ628" s="52"/>
      <c r="BA628" s="52"/>
      <c r="BB628" s="52"/>
      <c r="BC628" s="52"/>
      <c r="BD628" s="52"/>
      <c r="BE628" s="52"/>
      <c r="BF628" s="52"/>
      <c r="BG628" s="52"/>
      <c r="BH628" s="52"/>
      <c r="BI628" s="52"/>
      <c r="BJ628" s="52"/>
      <c r="BK628" s="52"/>
      <c r="BL628" s="52"/>
      <c r="BM628" s="52"/>
      <c r="BN628" s="52"/>
      <c r="BO628" s="52"/>
      <c r="BP628" s="52"/>
      <c r="BQ628" s="52"/>
      <c r="BR628" s="52"/>
      <c r="BS628" s="52"/>
      <c r="BT628" s="52"/>
      <c r="BU628" s="52"/>
      <c r="BV628" s="52"/>
    </row>
    <row r="629">
      <c r="AS629" s="52"/>
      <c r="AT629" s="52"/>
      <c r="AU629" s="52"/>
      <c r="AV629" s="52"/>
      <c r="AW629" s="52"/>
      <c r="AX629" s="52"/>
      <c r="AY629" s="52"/>
      <c r="AZ629" s="52"/>
      <c r="BA629" s="52"/>
      <c r="BB629" s="52"/>
      <c r="BC629" s="52"/>
      <c r="BD629" s="52"/>
      <c r="BE629" s="52"/>
      <c r="BF629" s="52"/>
      <c r="BG629" s="52"/>
      <c r="BH629" s="52"/>
      <c r="BI629" s="52"/>
      <c r="BJ629" s="52"/>
      <c r="BK629" s="52"/>
      <c r="BL629" s="52"/>
      <c r="BM629" s="52"/>
      <c r="BN629" s="52"/>
      <c r="BO629" s="52"/>
      <c r="BP629" s="52"/>
      <c r="BQ629" s="52"/>
      <c r="BR629" s="52"/>
      <c r="BS629" s="52"/>
      <c r="BT629" s="52"/>
      <c r="BU629" s="52"/>
      <c r="BV629" s="52"/>
    </row>
    <row r="630">
      <c r="AS630" s="52"/>
      <c r="AT630" s="52"/>
      <c r="AU630" s="52"/>
      <c r="AV630" s="52"/>
      <c r="AW630" s="52"/>
      <c r="AX630" s="52"/>
      <c r="AY630" s="52"/>
      <c r="AZ630" s="52"/>
      <c r="BA630" s="52"/>
      <c r="BB630" s="52"/>
      <c r="BC630" s="52"/>
      <c r="BD630" s="52"/>
      <c r="BE630" s="52"/>
      <c r="BF630" s="52"/>
      <c r="BG630" s="52"/>
      <c r="BH630" s="52"/>
      <c r="BI630" s="52"/>
      <c r="BJ630" s="52"/>
      <c r="BK630" s="52"/>
      <c r="BL630" s="52"/>
      <c r="BM630" s="52"/>
      <c r="BN630" s="52"/>
      <c r="BO630" s="52"/>
      <c r="BP630" s="52"/>
      <c r="BQ630" s="52"/>
      <c r="BR630" s="52"/>
      <c r="BS630" s="52"/>
      <c r="BT630" s="52"/>
      <c r="BU630" s="52"/>
      <c r="BV630" s="52"/>
    </row>
    <row r="631">
      <c r="AS631" s="52"/>
      <c r="AT631" s="52"/>
      <c r="AU631" s="52"/>
      <c r="AV631" s="52"/>
      <c r="AW631" s="52"/>
      <c r="AX631" s="52"/>
      <c r="AY631" s="52"/>
      <c r="AZ631" s="52"/>
      <c r="BA631" s="52"/>
      <c r="BB631" s="52"/>
      <c r="BC631" s="52"/>
      <c r="BD631" s="52"/>
      <c r="BE631" s="52"/>
      <c r="BF631" s="52"/>
      <c r="BG631" s="52"/>
      <c r="BH631" s="52"/>
      <c r="BI631" s="52"/>
      <c r="BJ631" s="52"/>
      <c r="BK631" s="52"/>
      <c r="BL631" s="52"/>
      <c r="BM631" s="52"/>
      <c r="BN631" s="52"/>
      <c r="BO631" s="52"/>
      <c r="BP631" s="52"/>
      <c r="BQ631" s="52"/>
      <c r="BR631" s="52"/>
      <c r="BS631" s="52"/>
      <c r="BT631" s="52"/>
      <c r="BU631" s="52"/>
      <c r="BV631" s="52"/>
    </row>
    <row r="632">
      <c r="AS632" s="52"/>
      <c r="AT632" s="52"/>
      <c r="AU632" s="52"/>
      <c r="AV632" s="52"/>
      <c r="AW632" s="52"/>
      <c r="AX632" s="52"/>
      <c r="AY632" s="52"/>
      <c r="AZ632" s="52"/>
      <c r="BA632" s="52"/>
      <c r="BB632" s="52"/>
      <c r="BC632" s="52"/>
      <c r="BD632" s="52"/>
      <c r="BE632" s="52"/>
      <c r="BF632" s="52"/>
      <c r="BG632" s="52"/>
      <c r="BH632" s="52"/>
      <c r="BI632" s="52"/>
      <c r="BJ632" s="52"/>
      <c r="BK632" s="52"/>
      <c r="BL632" s="52"/>
      <c r="BM632" s="52"/>
      <c r="BN632" s="52"/>
      <c r="BO632" s="52"/>
      <c r="BP632" s="52"/>
      <c r="BQ632" s="52"/>
      <c r="BR632" s="52"/>
      <c r="BS632" s="52"/>
      <c r="BT632" s="52"/>
      <c r="BU632" s="52"/>
      <c r="BV632" s="52"/>
    </row>
    <row r="633">
      <c r="AS633" s="52"/>
      <c r="AT633" s="52"/>
      <c r="AU633" s="52"/>
      <c r="AV633" s="52"/>
      <c r="AW633" s="52"/>
      <c r="AX633" s="52"/>
      <c r="AY633" s="52"/>
      <c r="AZ633" s="52"/>
      <c r="BA633" s="52"/>
      <c r="BB633" s="52"/>
      <c r="BC633" s="52"/>
      <c r="BD633" s="52"/>
      <c r="BE633" s="52"/>
      <c r="BF633" s="52"/>
      <c r="BG633" s="52"/>
      <c r="BH633" s="52"/>
      <c r="BI633" s="52"/>
      <c r="BJ633" s="52"/>
      <c r="BK633" s="52"/>
      <c r="BL633" s="52"/>
      <c r="BM633" s="52"/>
      <c r="BN633" s="52"/>
      <c r="BO633" s="52"/>
      <c r="BP633" s="52"/>
      <c r="BQ633" s="52"/>
      <c r="BR633" s="52"/>
      <c r="BS633" s="52"/>
      <c r="BT633" s="52"/>
      <c r="BU633" s="52"/>
      <c r="BV633" s="52"/>
    </row>
    <row r="634">
      <c r="AS634" s="52"/>
      <c r="AT634" s="52"/>
      <c r="AU634" s="52"/>
      <c r="AV634" s="52"/>
      <c r="AW634" s="52"/>
      <c r="AX634" s="52"/>
      <c r="AY634" s="52"/>
      <c r="AZ634" s="52"/>
      <c r="BA634" s="52"/>
      <c r="BB634" s="52"/>
      <c r="BC634" s="52"/>
      <c r="BD634" s="52"/>
      <c r="BE634" s="52"/>
      <c r="BF634" s="52"/>
      <c r="BG634" s="52"/>
      <c r="BH634" s="52"/>
      <c r="BI634" s="52"/>
      <c r="BJ634" s="52"/>
      <c r="BK634" s="52"/>
      <c r="BL634" s="52"/>
      <c r="BM634" s="52"/>
      <c r="BN634" s="52"/>
      <c r="BO634" s="52"/>
      <c r="BP634" s="52"/>
      <c r="BQ634" s="52"/>
      <c r="BR634" s="52"/>
      <c r="BS634" s="52"/>
      <c r="BT634" s="52"/>
      <c r="BU634" s="52"/>
      <c r="BV634" s="52"/>
    </row>
    <row r="635">
      <c r="AS635" s="52"/>
      <c r="AT635" s="52"/>
      <c r="AU635" s="52"/>
      <c r="AV635" s="52"/>
      <c r="AW635" s="52"/>
      <c r="AX635" s="52"/>
      <c r="AY635" s="52"/>
      <c r="AZ635" s="52"/>
      <c r="BA635" s="52"/>
      <c r="BB635" s="52"/>
      <c r="BC635" s="52"/>
      <c r="BD635" s="52"/>
      <c r="BE635" s="52"/>
      <c r="BF635" s="52"/>
      <c r="BG635" s="52"/>
      <c r="BH635" s="52"/>
      <c r="BI635" s="52"/>
      <c r="BJ635" s="52"/>
      <c r="BK635" s="52"/>
      <c r="BL635" s="52"/>
      <c r="BM635" s="52"/>
      <c r="BN635" s="52"/>
      <c r="BO635" s="52"/>
      <c r="BP635" s="52"/>
      <c r="BQ635" s="52"/>
      <c r="BR635" s="52"/>
      <c r="BS635" s="52"/>
      <c r="BT635" s="52"/>
      <c r="BU635" s="52"/>
      <c r="BV635" s="52"/>
    </row>
    <row r="636">
      <c r="AS636" s="52"/>
      <c r="AT636" s="52"/>
      <c r="AU636" s="52"/>
      <c r="AV636" s="52"/>
      <c r="AW636" s="52"/>
      <c r="AX636" s="52"/>
      <c r="AY636" s="52"/>
      <c r="AZ636" s="52"/>
      <c r="BA636" s="52"/>
      <c r="BB636" s="52"/>
      <c r="BC636" s="52"/>
      <c r="BD636" s="52"/>
      <c r="BE636" s="52"/>
      <c r="BF636" s="52"/>
      <c r="BG636" s="52"/>
      <c r="BH636" s="52"/>
      <c r="BI636" s="52"/>
      <c r="BJ636" s="52"/>
      <c r="BK636" s="52"/>
      <c r="BL636" s="52"/>
      <c r="BM636" s="52"/>
      <c r="BN636" s="52"/>
      <c r="BO636" s="52"/>
      <c r="BP636" s="52"/>
      <c r="BQ636" s="52"/>
      <c r="BR636" s="52"/>
      <c r="BS636" s="52"/>
      <c r="BT636" s="52"/>
      <c r="BU636" s="52"/>
      <c r="BV636" s="52"/>
    </row>
    <row r="637">
      <c r="AS637" s="52"/>
      <c r="AT637" s="52"/>
      <c r="AU637" s="52"/>
      <c r="AV637" s="52"/>
      <c r="AW637" s="52"/>
      <c r="AX637" s="52"/>
      <c r="AY637" s="52"/>
      <c r="AZ637" s="52"/>
      <c r="BA637" s="52"/>
      <c r="BB637" s="52"/>
      <c r="BC637" s="52"/>
      <c r="BD637" s="52"/>
      <c r="BE637" s="52"/>
      <c r="BF637" s="52"/>
      <c r="BG637" s="52"/>
      <c r="BH637" s="52"/>
      <c r="BI637" s="52"/>
      <c r="BJ637" s="52"/>
      <c r="BK637" s="52"/>
      <c r="BL637" s="52"/>
      <c r="BM637" s="52"/>
      <c r="BN637" s="52"/>
      <c r="BO637" s="52"/>
      <c r="BP637" s="52"/>
      <c r="BQ637" s="52"/>
      <c r="BR637" s="52"/>
      <c r="BS637" s="52"/>
      <c r="BT637" s="52"/>
      <c r="BU637" s="52"/>
      <c r="BV637" s="52"/>
    </row>
    <row r="638">
      <c r="AS638" s="52"/>
      <c r="AT638" s="52"/>
      <c r="AU638" s="52"/>
      <c r="AV638" s="52"/>
      <c r="AW638" s="52"/>
      <c r="AX638" s="52"/>
      <c r="AY638" s="52"/>
      <c r="AZ638" s="52"/>
      <c r="BA638" s="52"/>
      <c r="BB638" s="52"/>
      <c r="BC638" s="52"/>
      <c r="BD638" s="52"/>
      <c r="BE638" s="52"/>
      <c r="BF638" s="52"/>
      <c r="BG638" s="52"/>
      <c r="BH638" s="52"/>
      <c r="BI638" s="52"/>
      <c r="BJ638" s="52"/>
      <c r="BK638" s="52"/>
      <c r="BL638" s="52"/>
      <c r="BM638" s="52"/>
      <c r="BN638" s="52"/>
      <c r="BO638" s="52"/>
      <c r="BP638" s="52"/>
      <c r="BQ638" s="52"/>
      <c r="BR638" s="52"/>
      <c r="BS638" s="52"/>
      <c r="BT638" s="52"/>
      <c r="BU638" s="52"/>
      <c r="BV638" s="52"/>
    </row>
    <row r="639">
      <c r="AS639" s="52"/>
      <c r="AT639" s="52"/>
      <c r="AU639" s="52"/>
      <c r="AV639" s="52"/>
      <c r="AW639" s="52"/>
      <c r="AX639" s="52"/>
      <c r="AY639" s="52"/>
      <c r="AZ639" s="52"/>
      <c r="BA639" s="52"/>
      <c r="BB639" s="52"/>
      <c r="BC639" s="52"/>
      <c r="BD639" s="52"/>
      <c r="BE639" s="52"/>
      <c r="BF639" s="52"/>
      <c r="BG639" s="52"/>
      <c r="BH639" s="52"/>
      <c r="BI639" s="52"/>
      <c r="BJ639" s="52"/>
      <c r="BK639" s="52"/>
      <c r="BL639" s="52"/>
      <c r="BM639" s="52"/>
      <c r="BN639" s="52"/>
      <c r="BO639" s="52"/>
      <c r="BP639" s="52"/>
      <c r="BQ639" s="52"/>
      <c r="BR639" s="52"/>
      <c r="BS639" s="52"/>
      <c r="BT639" s="52"/>
      <c r="BU639" s="52"/>
      <c r="BV639" s="52"/>
    </row>
    <row r="640">
      <c r="AS640" s="52"/>
      <c r="AT640" s="52"/>
      <c r="AU640" s="52"/>
      <c r="AV640" s="52"/>
      <c r="AW640" s="52"/>
      <c r="AX640" s="52"/>
      <c r="AY640" s="52"/>
      <c r="AZ640" s="52"/>
      <c r="BA640" s="52"/>
      <c r="BB640" s="52"/>
      <c r="BC640" s="52"/>
      <c r="BD640" s="52"/>
      <c r="BE640" s="52"/>
      <c r="BF640" s="52"/>
      <c r="BG640" s="52"/>
      <c r="BH640" s="52"/>
      <c r="BI640" s="52"/>
      <c r="BJ640" s="52"/>
      <c r="BK640" s="52"/>
      <c r="BL640" s="52"/>
      <c r="BM640" s="52"/>
      <c r="BN640" s="52"/>
      <c r="BO640" s="52"/>
      <c r="BP640" s="52"/>
      <c r="BQ640" s="52"/>
      <c r="BR640" s="52"/>
      <c r="BS640" s="52"/>
      <c r="BT640" s="52"/>
      <c r="BU640" s="52"/>
      <c r="BV640" s="52"/>
    </row>
    <row r="641">
      <c r="AS641" s="52"/>
      <c r="AT641" s="52"/>
      <c r="AU641" s="52"/>
      <c r="AV641" s="52"/>
      <c r="AW641" s="52"/>
      <c r="AX641" s="52"/>
      <c r="AY641" s="52"/>
      <c r="AZ641" s="52"/>
      <c r="BA641" s="52"/>
      <c r="BB641" s="52"/>
      <c r="BC641" s="52"/>
      <c r="BD641" s="52"/>
      <c r="BE641" s="52"/>
      <c r="BF641" s="52"/>
      <c r="BG641" s="52"/>
      <c r="BH641" s="52"/>
      <c r="BI641" s="52"/>
      <c r="BJ641" s="52"/>
      <c r="BK641" s="52"/>
      <c r="BL641" s="52"/>
      <c r="BM641" s="52"/>
      <c r="BN641" s="52"/>
      <c r="BO641" s="52"/>
      <c r="BP641" s="52"/>
      <c r="BQ641" s="52"/>
      <c r="BR641" s="52"/>
      <c r="BS641" s="52"/>
      <c r="BT641" s="52"/>
      <c r="BU641" s="52"/>
      <c r="BV641" s="52"/>
    </row>
    <row r="642">
      <c r="AS642" s="52"/>
      <c r="AT642" s="52"/>
      <c r="AU642" s="52"/>
      <c r="AV642" s="52"/>
      <c r="AW642" s="52"/>
      <c r="AX642" s="52"/>
      <c r="AY642" s="52"/>
      <c r="AZ642" s="52"/>
      <c r="BA642" s="52"/>
      <c r="BB642" s="52"/>
      <c r="BC642" s="52"/>
      <c r="BD642" s="52"/>
      <c r="BE642" s="52"/>
      <c r="BF642" s="52"/>
      <c r="BG642" s="52"/>
      <c r="BH642" s="52"/>
      <c r="BI642" s="52"/>
      <c r="BJ642" s="52"/>
      <c r="BK642" s="52"/>
      <c r="BL642" s="52"/>
      <c r="BM642" s="52"/>
      <c r="BN642" s="52"/>
      <c r="BO642" s="52"/>
      <c r="BP642" s="52"/>
      <c r="BQ642" s="52"/>
      <c r="BR642" s="52"/>
      <c r="BS642" s="52"/>
      <c r="BT642" s="52"/>
      <c r="BU642" s="52"/>
      <c r="BV642" s="52"/>
    </row>
    <row r="643">
      <c r="AS643" s="52"/>
      <c r="AT643" s="52"/>
      <c r="AU643" s="52"/>
      <c r="AV643" s="52"/>
      <c r="AW643" s="52"/>
      <c r="AX643" s="52"/>
      <c r="AY643" s="52"/>
      <c r="AZ643" s="52"/>
      <c r="BA643" s="52"/>
      <c r="BB643" s="52"/>
      <c r="BC643" s="52"/>
      <c r="BD643" s="52"/>
      <c r="BE643" s="52"/>
      <c r="BF643" s="52"/>
      <c r="BG643" s="52"/>
      <c r="BH643" s="52"/>
      <c r="BI643" s="52"/>
      <c r="BJ643" s="52"/>
      <c r="BK643" s="52"/>
      <c r="BL643" s="52"/>
      <c r="BM643" s="52"/>
      <c r="BN643" s="52"/>
      <c r="BO643" s="52"/>
      <c r="BP643" s="52"/>
      <c r="BQ643" s="52"/>
      <c r="BR643" s="52"/>
      <c r="BS643" s="52"/>
      <c r="BT643" s="52"/>
      <c r="BU643" s="52"/>
      <c r="BV643" s="52"/>
    </row>
    <row r="644">
      <c r="AS644" s="52"/>
      <c r="AT644" s="52"/>
      <c r="AU644" s="52"/>
      <c r="AV644" s="52"/>
      <c r="AW644" s="52"/>
      <c r="AX644" s="52"/>
      <c r="AY644" s="52"/>
      <c r="AZ644" s="52"/>
      <c r="BA644" s="52"/>
      <c r="BB644" s="52"/>
      <c r="BC644" s="52"/>
      <c r="BD644" s="52"/>
      <c r="BE644" s="52"/>
      <c r="BF644" s="52"/>
      <c r="BG644" s="52"/>
      <c r="BH644" s="52"/>
      <c r="BI644" s="52"/>
      <c r="BJ644" s="52"/>
      <c r="BK644" s="52"/>
      <c r="BL644" s="52"/>
      <c r="BM644" s="52"/>
      <c r="BN644" s="52"/>
      <c r="BO644" s="52"/>
      <c r="BP644" s="52"/>
      <c r="BQ644" s="52"/>
      <c r="BR644" s="52"/>
      <c r="BS644" s="52"/>
      <c r="BT644" s="52"/>
      <c r="BU644" s="52"/>
      <c r="BV644" s="52"/>
    </row>
    <row r="645">
      <c r="AS645" s="52"/>
      <c r="AT645" s="52"/>
      <c r="AU645" s="52"/>
      <c r="AV645" s="52"/>
      <c r="AW645" s="52"/>
      <c r="AX645" s="52"/>
      <c r="AY645" s="52"/>
      <c r="AZ645" s="52"/>
      <c r="BA645" s="52"/>
      <c r="BB645" s="52"/>
      <c r="BC645" s="52"/>
      <c r="BD645" s="52"/>
      <c r="BE645" s="52"/>
      <c r="BF645" s="52"/>
      <c r="BG645" s="52"/>
      <c r="BH645" s="52"/>
      <c r="BI645" s="52"/>
      <c r="BJ645" s="52"/>
      <c r="BK645" s="52"/>
      <c r="BL645" s="52"/>
      <c r="BM645" s="52"/>
      <c r="BN645" s="52"/>
      <c r="BO645" s="52"/>
      <c r="BP645" s="52"/>
      <c r="BQ645" s="52"/>
      <c r="BR645" s="52"/>
      <c r="BS645" s="52"/>
      <c r="BT645" s="52"/>
      <c r="BU645" s="52"/>
      <c r="BV645" s="52"/>
    </row>
    <row r="646">
      <c r="AS646" s="52"/>
      <c r="AT646" s="52"/>
      <c r="AU646" s="52"/>
      <c r="AV646" s="52"/>
      <c r="AW646" s="52"/>
      <c r="AX646" s="52"/>
      <c r="AY646" s="52"/>
      <c r="AZ646" s="52"/>
      <c r="BA646" s="52"/>
      <c r="BB646" s="52"/>
      <c r="BC646" s="52"/>
      <c r="BD646" s="52"/>
      <c r="BE646" s="52"/>
      <c r="BF646" s="52"/>
      <c r="BG646" s="52"/>
      <c r="BH646" s="52"/>
      <c r="BI646" s="52"/>
      <c r="BJ646" s="52"/>
      <c r="BK646" s="52"/>
      <c r="BL646" s="52"/>
      <c r="BM646" s="52"/>
      <c r="BN646" s="52"/>
      <c r="BO646" s="52"/>
      <c r="BP646" s="52"/>
      <c r="BQ646" s="52"/>
      <c r="BR646" s="52"/>
      <c r="BS646" s="52"/>
      <c r="BT646" s="52"/>
      <c r="BU646" s="52"/>
      <c r="BV646" s="52"/>
    </row>
    <row r="647">
      <c r="AS647" s="52"/>
      <c r="AT647" s="52"/>
      <c r="AU647" s="52"/>
      <c r="AV647" s="52"/>
      <c r="AW647" s="52"/>
      <c r="AX647" s="52"/>
      <c r="AY647" s="52"/>
      <c r="AZ647" s="52"/>
      <c r="BA647" s="52"/>
      <c r="BB647" s="52"/>
      <c r="BC647" s="52"/>
      <c r="BD647" s="52"/>
      <c r="BE647" s="52"/>
      <c r="BF647" s="52"/>
      <c r="BG647" s="52"/>
      <c r="BH647" s="52"/>
      <c r="BI647" s="52"/>
      <c r="BJ647" s="52"/>
      <c r="BK647" s="52"/>
      <c r="BL647" s="52"/>
      <c r="BM647" s="52"/>
      <c r="BN647" s="52"/>
      <c r="BO647" s="52"/>
      <c r="BP647" s="52"/>
      <c r="BQ647" s="52"/>
      <c r="BR647" s="52"/>
      <c r="BS647" s="52"/>
      <c r="BT647" s="52"/>
      <c r="BU647" s="52"/>
      <c r="BV647" s="52"/>
    </row>
    <row r="648">
      <c r="AS648" s="52"/>
      <c r="AT648" s="52"/>
      <c r="AU648" s="52"/>
      <c r="AV648" s="52"/>
      <c r="AW648" s="52"/>
      <c r="AX648" s="52"/>
      <c r="AY648" s="52"/>
      <c r="AZ648" s="52"/>
      <c r="BA648" s="52"/>
      <c r="BB648" s="52"/>
      <c r="BC648" s="52"/>
      <c r="BD648" s="52"/>
      <c r="BE648" s="52"/>
      <c r="BF648" s="52"/>
      <c r="BG648" s="52"/>
      <c r="BH648" s="52"/>
      <c r="BI648" s="52"/>
      <c r="BJ648" s="52"/>
      <c r="BK648" s="52"/>
      <c r="BL648" s="52"/>
      <c r="BM648" s="52"/>
      <c r="BN648" s="52"/>
      <c r="BO648" s="52"/>
      <c r="BP648" s="52"/>
      <c r="BQ648" s="52"/>
      <c r="BR648" s="52"/>
      <c r="BS648" s="52"/>
      <c r="BT648" s="52"/>
      <c r="BU648" s="52"/>
      <c r="BV648" s="52"/>
    </row>
    <row r="649">
      <c r="AS649" s="52"/>
      <c r="AT649" s="52"/>
      <c r="AU649" s="52"/>
      <c r="AV649" s="52"/>
      <c r="AW649" s="52"/>
      <c r="AX649" s="52"/>
      <c r="AY649" s="52"/>
      <c r="AZ649" s="52"/>
      <c r="BA649" s="52"/>
      <c r="BB649" s="52"/>
      <c r="BC649" s="52"/>
      <c r="BD649" s="52"/>
      <c r="BE649" s="52"/>
      <c r="BF649" s="52"/>
      <c r="BG649" s="52"/>
      <c r="BH649" s="52"/>
      <c r="BI649" s="52"/>
      <c r="BJ649" s="52"/>
      <c r="BK649" s="52"/>
      <c r="BL649" s="52"/>
      <c r="BM649" s="52"/>
      <c r="BN649" s="52"/>
      <c r="BO649" s="52"/>
      <c r="BP649" s="52"/>
      <c r="BQ649" s="52"/>
      <c r="BR649" s="52"/>
      <c r="BS649" s="52"/>
      <c r="BT649" s="52"/>
      <c r="BU649" s="52"/>
      <c r="BV649" s="52"/>
    </row>
    <row r="650">
      <c r="AS650" s="52"/>
      <c r="AT650" s="52"/>
      <c r="AU650" s="52"/>
      <c r="AV650" s="52"/>
      <c r="AW650" s="52"/>
      <c r="AX650" s="52"/>
      <c r="AY650" s="52"/>
      <c r="AZ650" s="52"/>
      <c r="BA650" s="52"/>
      <c r="BB650" s="52"/>
      <c r="BC650" s="52"/>
      <c r="BD650" s="52"/>
      <c r="BE650" s="52"/>
      <c r="BF650" s="52"/>
      <c r="BG650" s="52"/>
      <c r="BH650" s="52"/>
      <c r="BI650" s="52"/>
      <c r="BJ650" s="52"/>
      <c r="BK650" s="52"/>
      <c r="BL650" s="52"/>
      <c r="BM650" s="52"/>
      <c r="BN650" s="52"/>
      <c r="BO650" s="52"/>
      <c r="BP650" s="52"/>
      <c r="BQ650" s="52"/>
      <c r="BR650" s="52"/>
      <c r="BS650" s="52"/>
      <c r="BT650" s="52"/>
      <c r="BU650" s="52"/>
      <c r="BV650" s="52"/>
    </row>
    <row r="651">
      <c r="AS651" s="52"/>
      <c r="AT651" s="52"/>
      <c r="AU651" s="52"/>
      <c r="AV651" s="52"/>
      <c r="AW651" s="52"/>
      <c r="AX651" s="52"/>
      <c r="AY651" s="52"/>
      <c r="AZ651" s="52"/>
      <c r="BA651" s="52"/>
      <c r="BB651" s="52"/>
      <c r="BC651" s="52"/>
      <c r="BD651" s="52"/>
      <c r="BE651" s="52"/>
      <c r="BF651" s="52"/>
      <c r="BG651" s="52"/>
      <c r="BH651" s="52"/>
      <c r="BI651" s="52"/>
      <c r="BJ651" s="52"/>
      <c r="BK651" s="52"/>
      <c r="BL651" s="52"/>
      <c r="BM651" s="52"/>
      <c r="BN651" s="52"/>
      <c r="BO651" s="52"/>
      <c r="BP651" s="52"/>
      <c r="BQ651" s="52"/>
      <c r="BR651" s="52"/>
      <c r="BS651" s="52"/>
      <c r="BT651" s="52"/>
      <c r="BU651" s="52"/>
      <c r="BV651" s="52"/>
    </row>
    <row r="652">
      <c r="AS652" s="52"/>
      <c r="AT652" s="52"/>
      <c r="AU652" s="52"/>
      <c r="AV652" s="52"/>
      <c r="AW652" s="52"/>
      <c r="AX652" s="52"/>
      <c r="AY652" s="52"/>
      <c r="AZ652" s="52"/>
      <c r="BA652" s="52"/>
      <c r="BB652" s="52"/>
      <c r="BC652" s="52"/>
      <c r="BD652" s="52"/>
      <c r="BE652" s="52"/>
      <c r="BF652" s="52"/>
      <c r="BG652" s="52"/>
      <c r="BH652" s="52"/>
      <c r="BI652" s="52"/>
      <c r="BJ652" s="52"/>
      <c r="BK652" s="52"/>
      <c r="BL652" s="52"/>
      <c r="BM652" s="52"/>
      <c r="BN652" s="52"/>
      <c r="BO652" s="52"/>
      <c r="BP652" s="52"/>
      <c r="BQ652" s="52"/>
      <c r="BR652" s="52"/>
      <c r="BS652" s="52"/>
      <c r="BT652" s="52"/>
      <c r="BU652" s="52"/>
      <c r="BV652" s="52"/>
    </row>
    <row r="653">
      <c r="AS653" s="52"/>
      <c r="AT653" s="52"/>
      <c r="AU653" s="52"/>
      <c r="AV653" s="52"/>
      <c r="AW653" s="52"/>
      <c r="AX653" s="52"/>
      <c r="AY653" s="52"/>
      <c r="AZ653" s="52"/>
      <c r="BA653" s="52"/>
      <c r="BB653" s="52"/>
      <c r="BC653" s="52"/>
      <c r="BD653" s="52"/>
      <c r="BE653" s="52"/>
      <c r="BF653" s="52"/>
      <c r="BG653" s="52"/>
      <c r="BH653" s="52"/>
      <c r="BI653" s="52"/>
      <c r="BJ653" s="52"/>
      <c r="BK653" s="52"/>
      <c r="BL653" s="52"/>
      <c r="BM653" s="52"/>
      <c r="BN653" s="52"/>
      <c r="BO653" s="52"/>
      <c r="BP653" s="52"/>
      <c r="BQ653" s="52"/>
      <c r="BR653" s="52"/>
      <c r="BS653" s="52"/>
      <c r="BT653" s="52"/>
      <c r="BU653" s="52"/>
      <c r="BV653" s="52"/>
    </row>
    <row r="654">
      <c r="AS654" s="52"/>
      <c r="AT654" s="52"/>
      <c r="AU654" s="52"/>
      <c r="AV654" s="52"/>
      <c r="AW654" s="52"/>
      <c r="AX654" s="52"/>
      <c r="AY654" s="52"/>
      <c r="AZ654" s="52"/>
      <c r="BA654" s="52"/>
      <c r="BB654" s="52"/>
      <c r="BC654" s="52"/>
      <c r="BD654" s="52"/>
      <c r="BE654" s="52"/>
      <c r="BF654" s="52"/>
      <c r="BG654" s="52"/>
      <c r="BH654" s="52"/>
      <c r="BI654" s="52"/>
      <c r="BJ654" s="52"/>
      <c r="BK654" s="52"/>
      <c r="BL654" s="52"/>
      <c r="BM654" s="52"/>
      <c r="BN654" s="52"/>
      <c r="BO654" s="52"/>
      <c r="BP654" s="52"/>
      <c r="BQ654" s="52"/>
      <c r="BR654" s="52"/>
      <c r="BS654" s="52"/>
      <c r="BT654" s="52"/>
      <c r="BU654" s="52"/>
      <c r="BV654" s="52"/>
    </row>
    <row r="655">
      <c r="AS655" s="52"/>
      <c r="AT655" s="52"/>
      <c r="AU655" s="52"/>
      <c r="AV655" s="52"/>
      <c r="AW655" s="52"/>
      <c r="AX655" s="52"/>
      <c r="AY655" s="52"/>
      <c r="AZ655" s="52"/>
      <c r="BA655" s="52"/>
      <c r="BB655" s="52"/>
      <c r="BC655" s="52"/>
      <c r="BD655" s="52"/>
      <c r="BE655" s="52"/>
      <c r="BF655" s="52"/>
      <c r="BG655" s="52"/>
      <c r="BH655" s="52"/>
      <c r="BI655" s="52"/>
      <c r="BJ655" s="52"/>
      <c r="BK655" s="52"/>
      <c r="BL655" s="52"/>
      <c r="BM655" s="52"/>
      <c r="BN655" s="52"/>
      <c r="BO655" s="52"/>
      <c r="BP655" s="52"/>
      <c r="BQ655" s="52"/>
      <c r="BR655" s="52"/>
      <c r="BS655" s="52"/>
      <c r="BT655" s="52"/>
      <c r="BU655" s="52"/>
      <c r="BV655" s="52"/>
    </row>
    <row r="656">
      <c r="AS656" s="52"/>
      <c r="AT656" s="52"/>
      <c r="AU656" s="52"/>
      <c r="AV656" s="52"/>
      <c r="AW656" s="52"/>
      <c r="AX656" s="52"/>
      <c r="AY656" s="52"/>
      <c r="AZ656" s="52"/>
      <c r="BA656" s="52"/>
      <c r="BB656" s="52"/>
      <c r="BC656" s="52"/>
      <c r="BD656" s="52"/>
      <c r="BE656" s="52"/>
      <c r="BF656" s="52"/>
      <c r="BG656" s="52"/>
      <c r="BH656" s="52"/>
      <c r="BI656" s="52"/>
      <c r="BJ656" s="52"/>
      <c r="BK656" s="52"/>
      <c r="BL656" s="52"/>
      <c r="BM656" s="52"/>
      <c r="BN656" s="52"/>
      <c r="BO656" s="52"/>
      <c r="BP656" s="52"/>
      <c r="BQ656" s="52"/>
      <c r="BR656" s="52"/>
      <c r="BS656" s="52"/>
      <c r="BT656" s="52"/>
      <c r="BU656" s="52"/>
      <c r="BV656" s="52"/>
    </row>
    <row r="657">
      <c r="AS657" s="52"/>
      <c r="AT657" s="52"/>
      <c r="AU657" s="52"/>
      <c r="AV657" s="52"/>
      <c r="AW657" s="52"/>
      <c r="AX657" s="52"/>
      <c r="AY657" s="52"/>
      <c r="AZ657" s="52"/>
      <c r="BA657" s="52"/>
      <c r="BB657" s="52"/>
      <c r="BC657" s="52"/>
      <c r="BD657" s="52"/>
      <c r="BE657" s="52"/>
      <c r="BF657" s="52"/>
      <c r="BG657" s="52"/>
      <c r="BH657" s="52"/>
      <c r="BI657" s="52"/>
      <c r="BJ657" s="52"/>
      <c r="BK657" s="52"/>
      <c r="BL657" s="52"/>
      <c r="BM657" s="52"/>
      <c r="BN657" s="52"/>
      <c r="BO657" s="52"/>
      <c r="BP657" s="52"/>
      <c r="BQ657" s="52"/>
      <c r="BR657" s="52"/>
      <c r="BS657" s="52"/>
      <c r="BT657" s="52"/>
      <c r="BU657" s="52"/>
      <c r="BV657" s="52"/>
    </row>
    <row r="658">
      <c r="AS658" s="52"/>
      <c r="AT658" s="52"/>
      <c r="AU658" s="52"/>
      <c r="AV658" s="52"/>
      <c r="AW658" s="52"/>
      <c r="AX658" s="52"/>
      <c r="AY658" s="52"/>
      <c r="AZ658" s="52"/>
      <c r="BA658" s="52"/>
      <c r="BB658" s="52"/>
      <c r="BC658" s="52"/>
      <c r="BD658" s="52"/>
      <c r="BE658" s="52"/>
      <c r="BF658" s="52"/>
      <c r="BG658" s="52"/>
      <c r="BH658" s="52"/>
      <c r="BI658" s="52"/>
      <c r="BJ658" s="52"/>
      <c r="BK658" s="52"/>
      <c r="BL658" s="52"/>
      <c r="BM658" s="52"/>
      <c r="BN658" s="52"/>
      <c r="BO658" s="52"/>
      <c r="BP658" s="52"/>
      <c r="BQ658" s="52"/>
      <c r="BR658" s="52"/>
      <c r="BS658" s="52"/>
      <c r="BT658" s="52"/>
      <c r="BU658" s="52"/>
      <c r="BV658" s="52"/>
    </row>
    <row r="659">
      <c r="AS659" s="52"/>
      <c r="AT659" s="52"/>
      <c r="AU659" s="52"/>
      <c r="AV659" s="52"/>
      <c r="AW659" s="52"/>
      <c r="AX659" s="52"/>
      <c r="AY659" s="52"/>
      <c r="AZ659" s="52"/>
      <c r="BA659" s="52"/>
      <c r="BB659" s="52"/>
      <c r="BC659" s="52"/>
      <c r="BD659" s="52"/>
      <c r="BE659" s="52"/>
      <c r="BF659" s="52"/>
      <c r="BG659" s="52"/>
      <c r="BH659" s="52"/>
      <c r="BI659" s="52"/>
      <c r="BJ659" s="52"/>
      <c r="BK659" s="52"/>
      <c r="BL659" s="52"/>
      <c r="BM659" s="52"/>
      <c r="BN659" s="52"/>
      <c r="BO659" s="52"/>
      <c r="BP659" s="52"/>
      <c r="BQ659" s="52"/>
      <c r="BR659" s="52"/>
      <c r="BS659" s="52"/>
      <c r="BT659" s="52"/>
      <c r="BU659" s="52"/>
      <c r="BV659" s="52"/>
    </row>
    <row r="660">
      <c r="AS660" s="52"/>
      <c r="AT660" s="52"/>
      <c r="AU660" s="52"/>
      <c r="AV660" s="52"/>
      <c r="AW660" s="52"/>
      <c r="AX660" s="52"/>
      <c r="AY660" s="52"/>
      <c r="AZ660" s="52"/>
      <c r="BA660" s="52"/>
      <c r="BB660" s="52"/>
      <c r="BC660" s="52"/>
      <c r="BD660" s="52"/>
      <c r="BE660" s="52"/>
      <c r="BF660" s="52"/>
      <c r="BG660" s="52"/>
      <c r="BH660" s="52"/>
      <c r="BI660" s="52"/>
      <c r="BJ660" s="52"/>
      <c r="BK660" s="52"/>
      <c r="BL660" s="52"/>
      <c r="BM660" s="52"/>
      <c r="BN660" s="52"/>
      <c r="BO660" s="52"/>
      <c r="BP660" s="52"/>
      <c r="BQ660" s="52"/>
      <c r="BR660" s="52"/>
      <c r="BS660" s="52"/>
      <c r="BT660" s="52"/>
      <c r="BU660" s="52"/>
      <c r="BV660" s="52"/>
    </row>
    <row r="661">
      <c r="AS661" s="52"/>
      <c r="AT661" s="52"/>
      <c r="AU661" s="52"/>
      <c r="AV661" s="52"/>
      <c r="AW661" s="52"/>
      <c r="AX661" s="52"/>
      <c r="AY661" s="52"/>
      <c r="AZ661" s="52"/>
      <c r="BA661" s="52"/>
      <c r="BB661" s="52"/>
      <c r="BC661" s="52"/>
      <c r="BD661" s="52"/>
      <c r="BE661" s="52"/>
      <c r="BF661" s="52"/>
      <c r="BG661" s="52"/>
      <c r="BH661" s="52"/>
      <c r="BI661" s="52"/>
      <c r="BJ661" s="52"/>
      <c r="BK661" s="52"/>
      <c r="BL661" s="52"/>
      <c r="BM661" s="52"/>
      <c r="BN661" s="52"/>
      <c r="BO661" s="52"/>
      <c r="BP661" s="52"/>
      <c r="BQ661" s="52"/>
      <c r="BR661" s="52"/>
      <c r="BS661" s="52"/>
      <c r="BT661" s="52"/>
      <c r="BU661" s="52"/>
      <c r="BV661" s="52"/>
    </row>
    <row r="662">
      <c r="AS662" s="52"/>
      <c r="AT662" s="52"/>
      <c r="AU662" s="52"/>
      <c r="AV662" s="52"/>
      <c r="AW662" s="52"/>
      <c r="AX662" s="52"/>
      <c r="AY662" s="52"/>
      <c r="AZ662" s="52"/>
      <c r="BA662" s="52"/>
      <c r="BB662" s="52"/>
      <c r="BC662" s="52"/>
      <c r="BD662" s="52"/>
      <c r="BE662" s="52"/>
      <c r="BF662" s="52"/>
      <c r="BG662" s="52"/>
      <c r="BH662" s="52"/>
      <c r="BI662" s="52"/>
      <c r="BJ662" s="52"/>
      <c r="BK662" s="52"/>
      <c r="BL662" s="52"/>
      <c r="BM662" s="52"/>
      <c r="BN662" s="52"/>
      <c r="BO662" s="52"/>
      <c r="BP662" s="52"/>
      <c r="BQ662" s="52"/>
      <c r="BR662" s="52"/>
      <c r="BS662" s="52"/>
      <c r="BT662" s="52"/>
      <c r="BU662" s="52"/>
      <c r="BV662" s="52"/>
    </row>
    <row r="663">
      <c r="AS663" s="52"/>
      <c r="AT663" s="52"/>
      <c r="AU663" s="52"/>
      <c r="AV663" s="52"/>
      <c r="AW663" s="52"/>
      <c r="AX663" s="52"/>
      <c r="AY663" s="52"/>
      <c r="AZ663" s="52"/>
      <c r="BA663" s="52"/>
      <c r="BB663" s="52"/>
      <c r="BC663" s="52"/>
      <c r="BD663" s="52"/>
      <c r="BE663" s="52"/>
      <c r="BF663" s="52"/>
      <c r="BG663" s="52"/>
      <c r="BH663" s="52"/>
      <c r="BI663" s="52"/>
      <c r="BJ663" s="52"/>
      <c r="BK663" s="52"/>
      <c r="BL663" s="52"/>
      <c r="BM663" s="52"/>
      <c r="BN663" s="52"/>
      <c r="BO663" s="52"/>
      <c r="BP663" s="52"/>
      <c r="BQ663" s="52"/>
      <c r="BR663" s="52"/>
      <c r="BS663" s="52"/>
      <c r="BT663" s="52"/>
      <c r="BU663" s="52"/>
      <c r="BV663" s="52"/>
    </row>
    <row r="664">
      <c r="AS664" s="52"/>
      <c r="AT664" s="52"/>
      <c r="AU664" s="52"/>
      <c r="AV664" s="52"/>
      <c r="AW664" s="52"/>
      <c r="AX664" s="52"/>
      <c r="AY664" s="52"/>
      <c r="AZ664" s="52"/>
      <c r="BA664" s="52"/>
      <c r="BB664" s="52"/>
      <c r="BC664" s="52"/>
      <c r="BD664" s="52"/>
      <c r="BE664" s="52"/>
      <c r="BF664" s="52"/>
      <c r="BG664" s="52"/>
      <c r="BH664" s="52"/>
      <c r="BI664" s="52"/>
      <c r="BJ664" s="52"/>
      <c r="BK664" s="52"/>
      <c r="BL664" s="52"/>
      <c r="BM664" s="52"/>
      <c r="BN664" s="52"/>
      <c r="BO664" s="52"/>
      <c r="BP664" s="52"/>
      <c r="BQ664" s="52"/>
      <c r="BR664" s="52"/>
      <c r="BS664" s="52"/>
      <c r="BT664" s="52"/>
      <c r="BU664" s="52"/>
      <c r="BV664" s="52"/>
    </row>
    <row r="665">
      <c r="AS665" s="52"/>
      <c r="AT665" s="52"/>
      <c r="AU665" s="52"/>
      <c r="AV665" s="52"/>
      <c r="AW665" s="52"/>
      <c r="AX665" s="52"/>
      <c r="AY665" s="52"/>
      <c r="AZ665" s="52"/>
      <c r="BA665" s="52"/>
      <c r="BB665" s="52"/>
      <c r="BC665" s="52"/>
      <c r="BD665" s="52"/>
      <c r="BE665" s="52"/>
      <c r="BF665" s="52"/>
      <c r="BG665" s="52"/>
      <c r="BH665" s="52"/>
      <c r="BI665" s="52"/>
      <c r="BJ665" s="52"/>
      <c r="BK665" s="52"/>
      <c r="BL665" s="52"/>
      <c r="BM665" s="52"/>
      <c r="BN665" s="52"/>
      <c r="BO665" s="52"/>
      <c r="BP665" s="52"/>
      <c r="BQ665" s="52"/>
      <c r="BR665" s="52"/>
      <c r="BS665" s="52"/>
      <c r="BT665" s="52"/>
      <c r="BU665" s="52"/>
      <c r="BV665" s="52"/>
    </row>
    <row r="666">
      <c r="AS666" s="52"/>
      <c r="AT666" s="52"/>
      <c r="AU666" s="52"/>
      <c r="AV666" s="52"/>
      <c r="AW666" s="52"/>
      <c r="AX666" s="52"/>
      <c r="AY666" s="52"/>
      <c r="AZ666" s="52"/>
      <c r="BA666" s="52"/>
      <c r="BB666" s="52"/>
      <c r="BC666" s="52"/>
      <c r="BD666" s="52"/>
      <c r="BE666" s="52"/>
      <c r="BF666" s="52"/>
      <c r="BG666" s="52"/>
      <c r="BH666" s="52"/>
      <c r="BI666" s="52"/>
      <c r="BJ666" s="52"/>
      <c r="BK666" s="52"/>
      <c r="BL666" s="52"/>
      <c r="BM666" s="52"/>
      <c r="BN666" s="52"/>
      <c r="BO666" s="52"/>
      <c r="BP666" s="52"/>
      <c r="BQ666" s="52"/>
      <c r="BR666" s="52"/>
      <c r="BS666" s="52"/>
      <c r="BT666" s="52"/>
      <c r="BU666" s="52"/>
      <c r="BV666" s="52"/>
    </row>
    <row r="667">
      <c r="AS667" s="52"/>
      <c r="AT667" s="52"/>
      <c r="AU667" s="52"/>
      <c r="AV667" s="52"/>
      <c r="AW667" s="52"/>
      <c r="AX667" s="52"/>
      <c r="AY667" s="52"/>
      <c r="AZ667" s="52"/>
      <c r="BA667" s="52"/>
      <c r="BB667" s="52"/>
      <c r="BC667" s="52"/>
      <c r="BD667" s="52"/>
      <c r="BE667" s="52"/>
      <c r="BF667" s="52"/>
      <c r="BG667" s="52"/>
      <c r="BH667" s="52"/>
      <c r="BI667" s="52"/>
      <c r="BJ667" s="52"/>
      <c r="BK667" s="52"/>
      <c r="BL667" s="52"/>
      <c r="BM667" s="52"/>
      <c r="BN667" s="52"/>
      <c r="BO667" s="52"/>
      <c r="BP667" s="52"/>
      <c r="BQ667" s="52"/>
      <c r="BR667" s="52"/>
      <c r="BS667" s="52"/>
      <c r="BT667" s="52"/>
      <c r="BU667" s="52"/>
      <c r="BV667" s="52"/>
    </row>
    <row r="668">
      <c r="AS668" s="52"/>
      <c r="AT668" s="52"/>
      <c r="AU668" s="52"/>
      <c r="AV668" s="52"/>
      <c r="AW668" s="52"/>
      <c r="AX668" s="52"/>
      <c r="AY668" s="52"/>
      <c r="AZ668" s="52"/>
      <c r="BA668" s="52"/>
      <c r="BB668" s="52"/>
      <c r="BC668" s="52"/>
      <c r="BD668" s="52"/>
      <c r="BE668" s="52"/>
      <c r="BF668" s="52"/>
      <c r="BG668" s="52"/>
      <c r="BH668" s="52"/>
      <c r="BI668" s="52"/>
      <c r="BJ668" s="52"/>
      <c r="BK668" s="52"/>
      <c r="BL668" s="52"/>
      <c r="BM668" s="52"/>
      <c r="BN668" s="52"/>
      <c r="BO668" s="52"/>
      <c r="BP668" s="52"/>
      <c r="BQ668" s="52"/>
      <c r="BR668" s="52"/>
      <c r="BS668" s="52"/>
      <c r="BT668" s="52"/>
      <c r="BU668" s="52"/>
      <c r="BV668" s="52"/>
    </row>
    <row r="669">
      <c r="AS669" s="52"/>
      <c r="AT669" s="52"/>
      <c r="AU669" s="52"/>
      <c r="AV669" s="52"/>
      <c r="AW669" s="52"/>
      <c r="AX669" s="52"/>
      <c r="AY669" s="52"/>
      <c r="AZ669" s="52"/>
      <c r="BA669" s="52"/>
      <c r="BB669" s="52"/>
      <c r="BC669" s="52"/>
      <c r="BD669" s="52"/>
      <c r="BE669" s="52"/>
      <c r="BF669" s="52"/>
      <c r="BG669" s="52"/>
      <c r="BH669" s="52"/>
      <c r="BI669" s="52"/>
      <c r="BJ669" s="52"/>
      <c r="BK669" s="52"/>
      <c r="BL669" s="52"/>
      <c r="BM669" s="52"/>
      <c r="BN669" s="52"/>
      <c r="BO669" s="52"/>
      <c r="BP669" s="52"/>
      <c r="BQ669" s="52"/>
      <c r="BR669" s="52"/>
      <c r="BS669" s="52"/>
      <c r="BT669" s="52"/>
      <c r="BU669" s="52"/>
      <c r="BV669" s="52"/>
    </row>
    <row r="670">
      <c r="AS670" s="52"/>
      <c r="AT670" s="52"/>
      <c r="AU670" s="52"/>
      <c r="AV670" s="52"/>
      <c r="AW670" s="52"/>
      <c r="AX670" s="52"/>
      <c r="AY670" s="52"/>
      <c r="AZ670" s="52"/>
      <c r="BA670" s="52"/>
      <c r="BB670" s="52"/>
      <c r="BC670" s="52"/>
      <c r="BD670" s="52"/>
      <c r="BE670" s="52"/>
      <c r="BF670" s="52"/>
      <c r="BG670" s="52"/>
      <c r="BH670" s="52"/>
      <c r="BI670" s="52"/>
      <c r="BJ670" s="52"/>
      <c r="BK670" s="52"/>
      <c r="BL670" s="52"/>
      <c r="BM670" s="52"/>
      <c r="BN670" s="52"/>
      <c r="BO670" s="52"/>
      <c r="BP670" s="52"/>
      <c r="BQ670" s="52"/>
      <c r="BR670" s="52"/>
      <c r="BS670" s="52"/>
      <c r="BT670" s="52"/>
      <c r="BU670" s="52"/>
      <c r="BV670" s="52"/>
    </row>
    <row r="671">
      <c r="AS671" s="52"/>
      <c r="AT671" s="52"/>
      <c r="AU671" s="52"/>
      <c r="AV671" s="52"/>
      <c r="AW671" s="52"/>
      <c r="AX671" s="52"/>
      <c r="AY671" s="52"/>
      <c r="AZ671" s="52"/>
      <c r="BA671" s="52"/>
      <c r="BB671" s="52"/>
      <c r="BC671" s="52"/>
      <c r="BD671" s="52"/>
      <c r="BE671" s="52"/>
      <c r="BF671" s="52"/>
      <c r="BG671" s="52"/>
      <c r="BH671" s="52"/>
      <c r="BI671" s="52"/>
      <c r="BJ671" s="52"/>
      <c r="BK671" s="52"/>
      <c r="BL671" s="52"/>
      <c r="BM671" s="52"/>
      <c r="BN671" s="52"/>
      <c r="BO671" s="52"/>
      <c r="BP671" s="52"/>
      <c r="BQ671" s="52"/>
      <c r="BR671" s="52"/>
      <c r="BS671" s="52"/>
      <c r="BT671" s="52"/>
      <c r="BU671" s="52"/>
      <c r="BV671" s="52"/>
    </row>
    <row r="672">
      <c r="AS672" s="52"/>
      <c r="AT672" s="52"/>
      <c r="AU672" s="52"/>
      <c r="AV672" s="52"/>
      <c r="AW672" s="52"/>
      <c r="AX672" s="52"/>
      <c r="AY672" s="52"/>
      <c r="AZ672" s="52"/>
      <c r="BA672" s="52"/>
      <c r="BB672" s="52"/>
      <c r="BC672" s="52"/>
      <c r="BD672" s="52"/>
      <c r="BE672" s="52"/>
      <c r="BF672" s="52"/>
      <c r="BG672" s="52"/>
      <c r="BH672" s="52"/>
      <c r="BI672" s="52"/>
      <c r="BJ672" s="52"/>
      <c r="BK672" s="52"/>
      <c r="BL672" s="52"/>
      <c r="BM672" s="52"/>
      <c r="BN672" s="52"/>
      <c r="BO672" s="52"/>
      <c r="BP672" s="52"/>
      <c r="BQ672" s="52"/>
      <c r="BR672" s="52"/>
      <c r="BS672" s="52"/>
      <c r="BT672" s="52"/>
      <c r="BU672" s="52"/>
      <c r="BV672" s="52"/>
    </row>
    <row r="673">
      <c r="AS673" s="52"/>
      <c r="AT673" s="52"/>
      <c r="AU673" s="52"/>
      <c r="AV673" s="52"/>
      <c r="AW673" s="52"/>
      <c r="AX673" s="52"/>
      <c r="AY673" s="52"/>
      <c r="AZ673" s="52"/>
      <c r="BA673" s="52"/>
      <c r="BB673" s="52"/>
      <c r="BC673" s="52"/>
      <c r="BD673" s="52"/>
      <c r="BE673" s="52"/>
      <c r="BF673" s="52"/>
      <c r="BG673" s="52"/>
      <c r="BH673" s="52"/>
      <c r="BI673" s="52"/>
      <c r="BJ673" s="52"/>
      <c r="BK673" s="52"/>
      <c r="BL673" s="52"/>
      <c r="BM673" s="52"/>
      <c r="BN673" s="52"/>
      <c r="BO673" s="52"/>
      <c r="BP673" s="52"/>
      <c r="BQ673" s="52"/>
      <c r="BR673" s="52"/>
      <c r="BS673" s="52"/>
      <c r="BT673" s="52"/>
      <c r="BU673" s="52"/>
      <c r="BV673" s="52"/>
    </row>
    <row r="674">
      <c r="AS674" s="52"/>
      <c r="AT674" s="52"/>
      <c r="AU674" s="52"/>
      <c r="AV674" s="52"/>
      <c r="AW674" s="52"/>
      <c r="AX674" s="52"/>
      <c r="AY674" s="52"/>
      <c r="AZ674" s="52"/>
      <c r="BA674" s="52"/>
      <c r="BB674" s="52"/>
      <c r="BC674" s="52"/>
      <c r="BD674" s="52"/>
      <c r="BE674" s="52"/>
      <c r="BF674" s="52"/>
      <c r="BG674" s="52"/>
      <c r="BH674" s="52"/>
      <c r="BI674" s="52"/>
      <c r="BJ674" s="52"/>
      <c r="BK674" s="52"/>
      <c r="BL674" s="52"/>
      <c r="BM674" s="52"/>
      <c r="BN674" s="52"/>
      <c r="BO674" s="52"/>
      <c r="BP674" s="52"/>
      <c r="BQ674" s="52"/>
      <c r="BR674" s="52"/>
      <c r="BS674" s="52"/>
      <c r="BT674" s="52"/>
      <c r="BU674" s="52"/>
      <c r="BV674" s="52"/>
    </row>
    <row r="675">
      <c r="AS675" s="52"/>
      <c r="AT675" s="52"/>
      <c r="AU675" s="52"/>
      <c r="AV675" s="52"/>
      <c r="AW675" s="52"/>
      <c r="AX675" s="52"/>
      <c r="AY675" s="52"/>
      <c r="AZ675" s="52"/>
      <c r="BA675" s="52"/>
      <c r="BB675" s="52"/>
      <c r="BC675" s="52"/>
      <c r="BD675" s="52"/>
      <c r="BE675" s="52"/>
      <c r="BF675" s="52"/>
      <c r="BG675" s="52"/>
      <c r="BH675" s="52"/>
      <c r="BI675" s="52"/>
      <c r="BJ675" s="52"/>
      <c r="BK675" s="52"/>
      <c r="BL675" s="52"/>
      <c r="BM675" s="52"/>
      <c r="BN675" s="52"/>
      <c r="BO675" s="52"/>
      <c r="BP675" s="52"/>
      <c r="BQ675" s="52"/>
      <c r="BR675" s="52"/>
      <c r="BS675" s="52"/>
      <c r="BT675" s="52"/>
      <c r="BU675" s="52"/>
      <c r="BV675" s="52"/>
    </row>
    <row r="676">
      <c r="AS676" s="52"/>
      <c r="AT676" s="52"/>
      <c r="AU676" s="52"/>
      <c r="AV676" s="52"/>
      <c r="AW676" s="52"/>
      <c r="AX676" s="52"/>
      <c r="AY676" s="52"/>
      <c r="AZ676" s="52"/>
      <c r="BA676" s="52"/>
      <c r="BB676" s="52"/>
      <c r="BC676" s="52"/>
      <c r="BD676" s="52"/>
      <c r="BE676" s="52"/>
      <c r="BF676" s="52"/>
      <c r="BG676" s="52"/>
      <c r="BH676" s="52"/>
      <c r="BI676" s="52"/>
      <c r="BJ676" s="52"/>
      <c r="BK676" s="52"/>
      <c r="BL676" s="52"/>
      <c r="BM676" s="52"/>
      <c r="BN676" s="52"/>
      <c r="BO676" s="52"/>
      <c r="BP676" s="52"/>
      <c r="BQ676" s="52"/>
      <c r="BR676" s="52"/>
      <c r="BS676" s="52"/>
      <c r="BT676" s="52"/>
      <c r="BU676" s="52"/>
      <c r="BV676" s="52"/>
    </row>
    <row r="677">
      <c r="AS677" s="52"/>
      <c r="AT677" s="52"/>
      <c r="AU677" s="52"/>
      <c r="AV677" s="52"/>
      <c r="AW677" s="52"/>
      <c r="AX677" s="52"/>
      <c r="AY677" s="52"/>
      <c r="AZ677" s="52"/>
      <c r="BA677" s="52"/>
      <c r="BB677" s="52"/>
      <c r="BC677" s="52"/>
      <c r="BD677" s="52"/>
      <c r="BE677" s="52"/>
      <c r="BF677" s="52"/>
      <c r="BG677" s="52"/>
      <c r="BH677" s="52"/>
      <c r="BI677" s="52"/>
      <c r="BJ677" s="52"/>
      <c r="BK677" s="52"/>
      <c r="BL677" s="52"/>
      <c r="BM677" s="52"/>
      <c r="BN677" s="52"/>
      <c r="BO677" s="52"/>
      <c r="BP677" s="52"/>
      <c r="BQ677" s="52"/>
      <c r="BR677" s="52"/>
      <c r="BS677" s="52"/>
      <c r="BT677" s="52"/>
      <c r="BU677" s="52"/>
      <c r="BV677" s="52"/>
    </row>
    <row r="678">
      <c r="AS678" s="52"/>
      <c r="AT678" s="52"/>
      <c r="AU678" s="52"/>
      <c r="AV678" s="52"/>
      <c r="AW678" s="52"/>
      <c r="AX678" s="52"/>
      <c r="AY678" s="52"/>
      <c r="AZ678" s="52"/>
      <c r="BA678" s="52"/>
      <c r="BB678" s="52"/>
      <c r="BC678" s="52"/>
      <c r="BD678" s="52"/>
      <c r="BE678" s="52"/>
      <c r="BF678" s="52"/>
      <c r="BG678" s="52"/>
      <c r="BH678" s="52"/>
      <c r="BI678" s="52"/>
      <c r="BJ678" s="52"/>
      <c r="BK678" s="52"/>
      <c r="BL678" s="52"/>
      <c r="BM678" s="52"/>
      <c r="BN678" s="52"/>
      <c r="BO678" s="52"/>
      <c r="BP678" s="52"/>
      <c r="BQ678" s="52"/>
      <c r="BR678" s="52"/>
      <c r="BS678" s="52"/>
      <c r="BT678" s="52"/>
      <c r="BU678" s="52"/>
      <c r="BV678" s="52"/>
    </row>
    <row r="679">
      <c r="AS679" s="52"/>
      <c r="AT679" s="52"/>
      <c r="AU679" s="52"/>
      <c r="AV679" s="52"/>
      <c r="AW679" s="52"/>
      <c r="AX679" s="52"/>
      <c r="AY679" s="52"/>
      <c r="AZ679" s="52"/>
      <c r="BA679" s="52"/>
      <c r="BB679" s="52"/>
      <c r="BC679" s="52"/>
      <c r="BD679" s="52"/>
      <c r="BE679" s="52"/>
      <c r="BF679" s="52"/>
      <c r="BG679" s="52"/>
      <c r="BH679" s="52"/>
      <c r="BI679" s="52"/>
      <c r="BJ679" s="52"/>
      <c r="BK679" s="52"/>
      <c r="BL679" s="52"/>
      <c r="BM679" s="52"/>
      <c r="BN679" s="52"/>
      <c r="BO679" s="52"/>
      <c r="BP679" s="52"/>
      <c r="BQ679" s="52"/>
      <c r="BR679" s="52"/>
      <c r="BS679" s="52"/>
      <c r="BT679" s="52"/>
      <c r="BU679" s="52"/>
      <c r="BV679" s="52"/>
    </row>
    <row r="680">
      <c r="AS680" s="52"/>
      <c r="AT680" s="52"/>
      <c r="AU680" s="52"/>
      <c r="AV680" s="52"/>
      <c r="AW680" s="52"/>
      <c r="AX680" s="52"/>
      <c r="AY680" s="52"/>
      <c r="AZ680" s="52"/>
      <c r="BA680" s="52"/>
      <c r="BB680" s="52"/>
      <c r="BC680" s="52"/>
      <c r="BD680" s="52"/>
      <c r="BE680" s="52"/>
      <c r="BF680" s="52"/>
      <c r="BG680" s="52"/>
      <c r="BH680" s="52"/>
      <c r="BI680" s="52"/>
      <c r="BJ680" s="52"/>
      <c r="BK680" s="52"/>
      <c r="BL680" s="52"/>
      <c r="BM680" s="52"/>
      <c r="BN680" s="52"/>
      <c r="BO680" s="52"/>
      <c r="BP680" s="52"/>
      <c r="BQ680" s="52"/>
      <c r="BR680" s="52"/>
      <c r="BS680" s="52"/>
      <c r="BT680" s="52"/>
      <c r="BU680" s="52"/>
      <c r="BV680" s="52"/>
    </row>
    <row r="681">
      <c r="AS681" s="52"/>
      <c r="AT681" s="52"/>
      <c r="AU681" s="52"/>
      <c r="AV681" s="52"/>
      <c r="AW681" s="52"/>
      <c r="AX681" s="52"/>
      <c r="AY681" s="52"/>
      <c r="AZ681" s="52"/>
      <c r="BA681" s="52"/>
      <c r="BB681" s="52"/>
      <c r="BC681" s="52"/>
      <c r="BD681" s="52"/>
      <c r="BE681" s="52"/>
      <c r="BF681" s="52"/>
      <c r="BG681" s="52"/>
      <c r="BH681" s="52"/>
      <c r="BI681" s="52"/>
      <c r="BJ681" s="52"/>
      <c r="BK681" s="52"/>
      <c r="BL681" s="52"/>
      <c r="BM681" s="52"/>
      <c r="BN681" s="52"/>
      <c r="BO681" s="52"/>
      <c r="BP681" s="52"/>
      <c r="BQ681" s="52"/>
      <c r="BR681" s="52"/>
      <c r="BS681" s="52"/>
      <c r="BT681" s="52"/>
      <c r="BU681" s="52"/>
      <c r="BV681" s="52"/>
    </row>
    <row r="682">
      <c r="AS682" s="52"/>
      <c r="AT682" s="52"/>
      <c r="AU682" s="52"/>
      <c r="AV682" s="52"/>
      <c r="AW682" s="52"/>
      <c r="AX682" s="52"/>
      <c r="AY682" s="52"/>
      <c r="AZ682" s="52"/>
      <c r="BA682" s="52"/>
      <c r="BB682" s="52"/>
      <c r="BC682" s="52"/>
      <c r="BD682" s="52"/>
      <c r="BE682" s="52"/>
      <c r="BF682" s="52"/>
      <c r="BG682" s="52"/>
      <c r="BH682" s="52"/>
      <c r="BI682" s="52"/>
      <c r="BJ682" s="52"/>
      <c r="BK682" s="52"/>
      <c r="BL682" s="52"/>
      <c r="BM682" s="52"/>
      <c r="BN682" s="52"/>
      <c r="BO682" s="52"/>
      <c r="BP682" s="52"/>
      <c r="BQ682" s="52"/>
      <c r="BR682" s="52"/>
      <c r="BS682" s="52"/>
      <c r="BT682" s="52"/>
      <c r="BU682" s="52"/>
      <c r="BV682" s="52"/>
    </row>
    <row r="683">
      <c r="AS683" s="52"/>
      <c r="AT683" s="52"/>
      <c r="AU683" s="52"/>
      <c r="AV683" s="52"/>
      <c r="AW683" s="52"/>
      <c r="AX683" s="52"/>
      <c r="AY683" s="52"/>
      <c r="AZ683" s="52"/>
      <c r="BA683" s="52"/>
      <c r="BB683" s="52"/>
      <c r="BC683" s="52"/>
      <c r="BD683" s="52"/>
      <c r="BE683" s="52"/>
      <c r="BF683" s="52"/>
      <c r="BG683" s="52"/>
      <c r="BH683" s="52"/>
      <c r="BI683" s="52"/>
      <c r="BJ683" s="52"/>
      <c r="BK683" s="52"/>
      <c r="BL683" s="52"/>
      <c r="BM683" s="52"/>
      <c r="BN683" s="52"/>
      <c r="BO683" s="52"/>
      <c r="BP683" s="52"/>
      <c r="BQ683" s="52"/>
      <c r="BR683" s="52"/>
      <c r="BS683" s="52"/>
      <c r="BT683" s="52"/>
      <c r="BU683" s="52"/>
      <c r="BV683" s="52"/>
    </row>
    <row r="684">
      <c r="AS684" s="52"/>
      <c r="AT684" s="52"/>
      <c r="AU684" s="52"/>
      <c r="AV684" s="52"/>
      <c r="AW684" s="52"/>
      <c r="AX684" s="52"/>
      <c r="AY684" s="52"/>
      <c r="AZ684" s="52"/>
      <c r="BA684" s="52"/>
      <c r="BB684" s="52"/>
      <c r="BC684" s="52"/>
      <c r="BD684" s="52"/>
      <c r="BE684" s="52"/>
      <c r="BF684" s="52"/>
      <c r="BG684" s="52"/>
      <c r="BH684" s="52"/>
      <c r="BI684" s="52"/>
      <c r="BJ684" s="52"/>
      <c r="BK684" s="52"/>
      <c r="BL684" s="52"/>
      <c r="BM684" s="52"/>
      <c r="BN684" s="52"/>
      <c r="BO684" s="52"/>
      <c r="BP684" s="52"/>
      <c r="BQ684" s="52"/>
      <c r="BR684" s="52"/>
      <c r="BS684" s="52"/>
      <c r="BT684" s="52"/>
      <c r="BU684" s="52"/>
      <c r="BV684" s="52"/>
    </row>
    <row r="685">
      <c r="AS685" s="52"/>
      <c r="AT685" s="52"/>
      <c r="AU685" s="52"/>
      <c r="AV685" s="52"/>
      <c r="AW685" s="52"/>
      <c r="AX685" s="52"/>
      <c r="AY685" s="52"/>
      <c r="AZ685" s="52"/>
      <c r="BA685" s="52"/>
      <c r="BB685" s="52"/>
      <c r="BC685" s="52"/>
      <c r="BD685" s="52"/>
      <c r="BE685" s="52"/>
      <c r="BF685" s="52"/>
      <c r="BG685" s="52"/>
      <c r="BH685" s="52"/>
      <c r="BI685" s="52"/>
      <c r="BJ685" s="52"/>
      <c r="BK685" s="52"/>
      <c r="BL685" s="52"/>
      <c r="BM685" s="52"/>
      <c r="BN685" s="52"/>
      <c r="BO685" s="52"/>
      <c r="BP685" s="52"/>
      <c r="BQ685" s="52"/>
      <c r="BR685" s="52"/>
      <c r="BS685" s="52"/>
      <c r="BT685" s="52"/>
      <c r="BU685" s="52"/>
      <c r="BV685" s="52"/>
    </row>
    <row r="686">
      <c r="AS686" s="52"/>
      <c r="AT686" s="52"/>
      <c r="AU686" s="52"/>
      <c r="AV686" s="52"/>
      <c r="AW686" s="52"/>
      <c r="AX686" s="52"/>
      <c r="AY686" s="52"/>
      <c r="AZ686" s="52"/>
      <c r="BA686" s="52"/>
      <c r="BB686" s="52"/>
      <c r="BC686" s="52"/>
      <c r="BD686" s="52"/>
      <c r="BE686" s="52"/>
      <c r="BF686" s="52"/>
      <c r="BG686" s="52"/>
      <c r="BH686" s="52"/>
      <c r="BI686" s="52"/>
      <c r="BJ686" s="52"/>
      <c r="BK686" s="52"/>
      <c r="BL686" s="52"/>
      <c r="BM686" s="52"/>
      <c r="BN686" s="52"/>
      <c r="BO686" s="52"/>
      <c r="BP686" s="52"/>
      <c r="BQ686" s="52"/>
      <c r="BR686" s="52"/>
      <c r="BS686" s="52"/>
      <c r="BT686" s="52"/>
      <c r="BU686" s="52"/>
      <c r="BV686" s="52"/>
    </row>
    <row r="687">
      <c r="AS687" s="52"/>
      <c r="AT687" s="52"/>
      <c r="AU687" s="52"/>
      <c r="AV687" s="52"/>
      <c r="AW687" s="52"/>
      <c r="AX687" s="52"/>
      <c r="AY687" s="52"/>
      <c r="AZ687" s="52"/>
      <c r="BA687" s="52"/>
      <c r="BB687" s="52"/>
      <c r="BC687" s="52"/>
      <c r="BD687" s="52"/>
      <c r="BE687" s="52"/>
      <c r="BF687" s="52"/>
      <c r="BG687" s="52"/>
      <c r="BH687" s="52"/>
      <c r="BI687" s="52"/>
      <c r="BJ687" s="52"/>
      <c r="BK687" s="52"/>
      <c r="BL687" s="52"/>
      <c r="BM687" s="52"/>
      <c r="BN687" s="52"/>
      <c r="BO687" s="52"/>
      <c r="BP687" s="52"/>
      <c r="BQ687" s="52"/>
      <c r="BR687" s="52"/>
      <c r="BS687" s="52"/>
      <c r="BT687" s="52"/>
      <c r="BU687" s="52"/>
      <c r="BV687" s="52"/>
    </row>
    <row r="688">
      <c r="AS688" s="52"/>
      <c r="AT688" s="52"/>
      <c r="AU688" s="52"/>
      <c r="AV688" s="52"/>
      <c r="AW688" s="52"/>
      <c r="AX688" s="52"/>
      <c r="AY688" s="52"/>
      <c r="AZ688" s="52"/>
      <c r="BA688" s="52"/>
      <c r="BB688" s="52"/>
      <c r="BC688" s="52"/>
      <c r="BD688" s="52"/>
      <c r="BE688" s="52"/>
      <c r="BF688" s="52"/>
      <c r="BG688" s="52"/>
      <c r="BH688" s="52"/>
      <c r="BI688" s="52"/>
      <c r="BJ688" s="52"/>
      <c r="BK688" s="52"/>
      <c r="BL688" s="52"/>
      <c r="BM688" s="52"/>
      <c r="BN688" s="52"/>
      <c r="BO688" s="52"/>
      <c r="BP688" s="52"/>
      <c r="BQ688" s="52"/>
      <c r="BR688" s="52"/>
      <c r="BS688" s="52"/>
      <c r="BT688" s="52"/>
      <c r="BU688" s="52"/>
      <c r="BV688" s="52"/>
    </row>
    <row r="689">
      <c r="AS689" s="52"/>
      <c r="AT689" s="52"/>
      <c r="AU689" s="52"/>
      <c r="AV689" s="52"/>
      <c r="AW689" s="52"/>
      <c r="AX689" s="52"/>
      <c r="AY689" s="52"/>
      <c r="AZ689" s="52"/>
      <c r="BA689" s="52"/>
      <c r="BB689" s="52"/>
      <c r="BC689" s="52"/>
      <c r="BD689" s="52"/>
      <c r="BE689" s="52"/>
      <c r="BF689" s="52"/>
      <c r="BG689" s="52"/>
      <c r="BH689" s="52"/>
      <c r="BI689" s="52"/>
      <c r="BJ689" s="52"/>
      <c r="BK689" s="52"/>
      <c r="BL689" s="52"/>
      <c r="BM689" s="52"/>
      <c r="BN689" s="52"/>
      <c r="BO689" s="52"/>
      <c r="BP689" s="52"/>
      <c r="BQ689" s="52"/>
      <c r="BR689" s="52"/>
      <c r="BS689" s="52"/>
      <c r="BT689" s="52"/>
      <c r="BU689" s="52"/>
      <c r="BV689" s="52"/>
    </row>
    <row r="690"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  <c r="BP690" s="52"/>
      <c r="BQ690" s="52"/>
      <c r="BR690" s="52"/>
      <c r="BS690" s="52"/>
      <c r="BT690" s="52"/>
      <c r="BU690" s="52"/>
      <c r="BV690" s="52"/>
    </row>
    <row r="691">
      <c r="AS691" s="52"/>
      <c r="AT691" s="52"/>
      <c r="AU691" s="52"/>
      <c r="AV691" s="52"/>
      <c r="AW691" s="52"/>
      <c r="AX691" s="52"/>
      <c r="AY691" s="52"/>
      <c r="AZ691" s="52"/>
      <c r="BA691" s="52"/>
      <c r="BB691" s="52"/>
      <c r="BC691" s="52"/>
      <c r="BD691" s="52"/>
      <c r="BE691" s="52"/>
      <c r="BF691" s="52"/>
      <c r="BG691" s="52"/>
      <c r="BH691" s="52"/>
      <c r="BI691" s="52"/>
      <c r="BJ691" s="52"/>
      <c r="BK691" s="52"/>
      <c r="BL691" s="52"/>
      <c r="BM691" s="52"/>
      <c r="BN691" s="52"/>
      <c r="BO691" s="52"/>
      <c r="BP691" s="52"/>
      <c r="BQ691" s="52"/>
      <c r="BR691" s="52"/>
      <c r="BS691" s="52"/>
      <c r="BT691" s="52"/>
      <c r="BU691" s="52"/>
      <c r="BV691" s="52"/>
    </row>
    <row r="692">
      <c r="AS692" s="52"/>
      <c r="AT692" s="52"/>
      <c r="AU692" s="52"/>
      <c r="AV692" s="52"/>
      <c r="AW692" s="52"/>
      <c r="AX692" s="52"/>
      <c r="AY692" s="52"/>
      <c r="AZ692" s="52"/>
      <c r="BA692" s="52"/>
      <c r="BB692" s="52"/>
      <c r="BC692" s="52"/>
      <c r="BD692" s="52"/>
      <c r="BE692" s="52"/>
      <c r="BF692" s="52"/>
      <c r="BG692" s="52"/>
      <c r="BH692" s="52"/>
      <c r="BI692" s="52"/>
      <c r="BJ692" s="52"/>
      <c r="BK692" s="52"/>
      <c r="BL692" s="52"/>
      <c r="BM692" s="52"/>
      <c r="BN692" s="52"/>
      <c r="BO692" s="52"/>
      <c r="BP692" s="52"/>
      <c r="BQ692" s="52"/>
      <c r="BR692" s="52"/>
      <c r="BS692" s="52"/>
      <c r="BT692" s="52"/>
      <c r="BU692" s="52"/>
      <c r="BV692" s="52"/>
    </row>
    <row r="693">
      <c r="AS693" s="52"/>
      <c r="AT693" s="52"/>
      <c r="AU693" s="52"/>
      <c r="AV693" s="52"/>
      <c r="AW693" s="52"/>
      <c r="AX693" s="52"/>
      <c r="AY693" s="52"/>
      <c r="AZ693" s="52"/>
      <c r="BA693" s="52"/>
      <c r="BB693" s="52"/>
      <c r="BC693" s="52"/>
      <c r="BD693" s="52"/>
      <c r="BE693" s="52"/>
      <c r="BF693" s="52"/>
      <c r="BG693" s="52"/>
      <c r="BH693" s="52"/>
      <c r="BI693" s="52"/>
      <c r="BJ693" s="52"/>
      <c r="BK693" s="52"/>
      <c r="BL693" s="52"/>
      <c r="BM693" s="52"/>
      <c r="BN693" s="52"/>
      <c r="BO693" s="52"/>
      <c r="BP693" s="52"/>
      <c r="BQ693" s="52"/>
      <c r="BR693" s="52"/>
      <c r="BS693" s="52"/>
      <c r="BT693" s="52"/>
      <c r="BU693" s="52"/>
      <c r="BV693" s="52"/>
    </row>
    <row r="694">
      <c r="AS694" s="52"/>
      <c r="AT694" s="52"/>
      <c r="AU694" s="52"/>
      <c r="AV694" s="52"/>
      <c r="AW694" s="52"/>
      <c r="AX694" s="52"/>
      <c r="AY694" s="52"/>
      <c r="AZ694" s="52"/>
      <c r="BA694" s="52"/>
      <c r="BB694" s="52"/>
      <c r="BC694" s="52"/>
      <c r="BD694" s="52"/>
      <c r="BE694" s="52"/>
      <c r="BF694" s="52"/>
      <c r="BG694" s="52"/>
      <c r="BH694" s="52"/>
      <c r="BI694" s="52"/>
      <c r="BJ694" s="52"/>
      <c r="BK694" s="52"/>
      <c r="BL694" s="52"/>
      <c r="BM694" s="52"/>
      <c r="BN694" s="52"/>
      <c r="BO694" s="52"/>
      <c r="BP694" s="52"/>
      <c r="BQ694" s="52"/>
      <c r="BR694" s="52"/>
      <c r="BS694" s="52"/>
      <c r="BT694" s="52"/>
      <c r="BU694" s="52"/>
      <c r="BV694" s="52"/>
    </row>
    <row r="695">
      <c r="AS695" s="52"/>
      <c r="AT695" s="52"/>
      <c r="AU695" s="52"/>
      <c r="AV695" s="52"/>
      <c r="AW695" s="52"/>
      <c r="AX695" s="52"/>
      <c r="AY695" s="52"/>
      <c r="AZ695" s="52"/>
      <c r="BA695" s="52"/>
      <c r="BB695" s="52"/>
      <c r="BC695" s="52"/>
      <c r="BD695" s="52"/>
      <c r="BE695" s="52"/>
      <c r="BF695" s="52"/>
      <c r="BG695" s="52"/>
      <c r="BH695" s="52"/>
      <c r="BI695" s="52"/>
      <c r="BJ695" s="52"/>
      <c r="BK695" s="52"/>
      <c r="BL695" s="52"/>
      <c r="BM695" s="52"/>
      <c r="BN695" s="52"/>
      <c r="BO695" s="52"/>
      <c r="BP695" s="52"/>
      <c r="BQ695" s="52"/>
      <c r="BR695" s="52"/>
      <c r="BS695" s="52"/>
      <c r="BT695" s="52"/>
      <c r="BU695" s="52"/>
      <c r="BV695" s="52"/>
    </row>
    <row r="696">
      <c r="AS696" s="52"/>
      <c r="AT696" s="52"/>
      <c r="AU696" s="52"/>
      <c r="AV696" s="52"/>
      <c r="AW696" s="52"/>
      <c r="AX696" s="52"/>
      <c r="AY696" s="52"/>
      <c r="AZ696" s="52"/>
      <c r="BA696" s="52"/>
      <c r="BB696" s="52"/>
      <c r="BC696" s="52"/>
      <c r="BD696" s="52"/>
      <c r="BE696" s="52"/>
      <c r="BF696" s="52"/>
      <c r="BG696" s="52"/>
      <c r="BH696" s="52"/>
      <c r="BI696" s="52"/>
      <c r="BJ696" s="52"/>
      <c r="BK696" s="52"/>
      <c r="BL696" s="52"/>
      <c r="BM696" s="52"/>
      <c r="BN696" s="52"/>
      <c r="BO696" s="52"/>
      <c r="BP696" s="52"/>
      <c r="BQ696" s="52"/>
      <c r="BR696" s="52"/>
      <c r="BS696" s="52"/>
      <c r="BT696" s="52"/>
      <c r="BU696" s="52"/>
      <c r="BV696" s="52"/>
    </row>
    <row r="697">
      <c r="AS697" s="52"/>
      <c r="AT697" s="52"/>
      <c r="AU697" s="52"/>
      <c r="AV697" s="52"/>
      <c r="AW697" s="52"/>
      <c r="AX697" s="52"/>
      <c r="AY697" s="52"/>
      <c r="AZ697" s="52"/>
      <c r="BA697" s="52"/>
      <c r="BB697" s="52"/>
      <c r="BC697" s="52"/>
      <c r="BD697" s="52"/>
      <c r="BE697" s="52"/>
      <c r="BF697" s="52"/>
      <c r="BG697" s="52"/>
      <c r="BH697" s="52"/>
      <c r="BI697" s="52"/>
      <c r="BJ697" s="52"/>
      <c r="BK697" s="52"/>
      <c r="BL697" s="52"/>
      <c r="BM697" s="52"/>
      <c r="BN697" s="52"/>
      <c r="BO697" s="52"/>
      <c r="BP697" s="52"/>
      <c r="BQ697" s="52"/>
      <c r="BR697" s="52"/>
      <c r="BS697" s="52"/>
      <c r="BT697" s="52"/>
      <c r="BU697" s="52"/>
      <c r="BV697" s="52"/>
    </row>
    <row r="698">
      <c r="AS698" s="52"/>
      <c r="AT698" s="52"/>
      <c r="AU698" s="52"/>
      <c r="AV698" s="52"/>
      <c r="AW698" s="52"/>
      <c r="AX698" s="52"/>
      <c r="AY698" s="52"/>
      <c r="AZ698" s="52"/>
      <c r="BA698" s="52"/>
      <c r="BB698" s="52"/>
      <c r="BC698" s="52"/>
      <c r="BD698" s="52"/>
      <c r="BE698" s="52"/>
      <c r="BF698" s="52"/>
      <c r="BG698" s="52"/>
      <c r="BH698" s="52"/>
      <c r="BI698" s="52"/>
      <c r="BJ698" s="52"/>
      <c r="BK698" s="52"/>
      <c r="BL698" s="52"/>
      <c r="BM698" s="52"/>
      <c r="BN698" s="52"/>
      <c r="BO698" s="52"/>
      <c r="BP698" s="52"/>
      <c r="BQ698" s="52"/>
      <c r="BR698" s="52"/>
      <c r="BS698" s="52"/>
      <c r="BT698" s="52"/>
      <c r="BU698" s="52"/>
      <c r="BV698" s="52"/>
    </row>
    <row r="699">
      <c r="AS699" s="52"/>
      <c r="AT699" s="52"/>
      <c r="AU699" s="52"/>
      <c r="AV699" s="52"/>
      <c r="AW699" s="52"/>
      <c r="AX699" s="52"/>
      <c r="AY699" s="52"/>
      <c r="AZ699" s="52"/>
      <c r="BA699" s="52"/>
      <c r="BB699" s="52"/>
      <c r="BC699" s="52"/>
      <c r="BD699" s="52"/>
      <c r="BE699" s="52"/>
      <c r="BF699" s="52"/>
      <c r="BG699" s="52"/>
      <c r="BH699" s="52"/>
      <c r="BI699" s="52"/>
      <c r="BJ699" s="52"/>
      <c r="BK699" s="52"/>
      <c r="BL699" s="52"/>
      <c r="BM699" s="52"/>
      <c r="BN699" s="52"/>
      <c r="BO699" s="52"/>
      <c r="BP699" s="52"/>
      <c r="BQ699" s="52"/>
      <c r="BR699" s="52"/>
      <c r="BS699" s="52"/>
      <c r="BT699" s="52"/>
      <c r="BU699" s="52"/>
      <c r="BV699" s="52"/>
    </row>
    <row r="700">
      <c r="AS700" s="52"/>
      <c r="AT700" s="52"/>
      <c r="AU700" s="52"/>
      <c r="AV700" s="52"/>
      <c r="AW700" s="52"/>
      <c r="AX700" s="52"/>
      <c r="AY700" s="52"/>
      <c r="AZ700" s="52"/>
      <c r="BA700" s="52"/>
      <c r="BB700" s="52"/>
      <c r="BC700" s="52"/>
      <c r="BD700" s="52"/>
      <c r="BE700" s="52"/>
      <c r="BF700" s="52"/>
      <c r="BG700" s="52"/>
      <c r="BH700" s="52"/>
      <c r="BI700" s="52"/>
      <c r="BJ700" s="52"/>
      <c r="BK700" s="52"/>
      <c r="BL700" s="52"/>
      <c r="BM700" s="52"/>
      <c r="BN700" s="52"/>
      <c r="BO700" s="52"/>
      <c r="BP700" s="52"/>
      <c r="BQ700" s="52"/>
      <c r="BR700" s="52"/>
      <c r="BS700" s="52"/>
      <c r="BT700" s="52"/>
      <c r="BU700" s="52"/>
      <c r="BV700" s="52"/>
    </row>
    <row r="701">
      <c r="AS701" s="52"/>
      <c r="AT701" s="52"/>
      <c r="AU701" s="52"/>
      <c r="AV701" s="52"/>
      <c r="AW701" s="52"/>
      <c r="AX701" s="52"/>
      <c r="AY701" s="52"/>
      <c r="AZ701" s="52"/>
      <c r="BA701" s="52"/>
      <c r="BB701" s="52"/>
      <c r="BC701" s="52"/>
      <c r="BD701" s="52"/>
      <c r="BE701" s="52"/>
      <c r="BF701" s="52"/>
      <c r="BG701" s="52"/>
      <c r="BH701" s="52"/>
      <c r="BI701" s="52"/>
      <c r="BJ701" s="52"/>
      <c r="BK701" s="52"/>
      <c r="BL701" s="52"/>
      <c r="BM701" s="52"/>
      <c r="BN701" s="52"/>
      <c r="BO701" s="52"/>
      <c r="BP701" s="52"/>
      <c r="BQ701" s="52"/>
      <c r="BR701" s="52"/>
      <c r="BS701" s="52"/>
      <c r="BT701" s="52"/>
      <c r="BU701" s="52"/>
      <c r="BV701" s="52"/>
    </row>
    <row r="702">
      <c r="AS702" s="52"/>
      <c r="AT702" s="52"/>
      <c r="AU702" s="52"/>
      <c r="AV702" s="52"/>
      <c r="AW702" s="52"/>
      <c r="AX702" s="52"/>
      <c r="AY702" s="52"/>
      <c r="AZ702" s="52"/>
      <c r="BA702" s="52"/>
      <c r="BB702" s="52"/>
      <c r="BC702" s="52"/>
      <c r="BD702" s="52"/>
      <c r="BE702" s="52"/>
      <c r="BF702" s="52"/>
      <c r="BG702" s="52"/>
      <c r="BH702" s="52"/>
      <c r="BI702" s="52"/>
      <c r="BJ702" s="52"/>
      <c r="BK702" s="52"/>
      <c r="BL702" s="52"/>
      <c r="BM702" s="52"/>
      <c r="BN702" s="52"/>
      <c r="BO702" s="52"/>
      <c r="BP702" s="52"/>
      <c r="BQ702" s="52"/>
      <c r="BR702" s="52"/>
      <c r="BS702" s="52"/>
      <c r="BT702" s="52"/>
      <c r="BU702" s="52"/>
      <c r="BV702" s="52"/>
    </row>
    <row r="703">
      <c r="AS703" s="52"/>
      <c r="AT703" s="52"/>
      <c r="AU703" s="52"/>
      <c r="AV703" s="52"/>
      <c r="AW703" s="52"/>
      <c r="AX703" s="52"/>
      <c r="AY703" s="52"/>
      <c r="AZ703" s="52"/>
      <c r="BA703" s="52"/>
      <c r="BB703" s="52"/>
      <c r="BC703" s="52"/>
      <c r="BD703" s="52"/>
      <c r="BE703" s="52"/>
      <c r="BF703" s="52"/>
      <c r="BG703" s="52"/>
      <c r="BH703" s="52"/>
      <c r="BI703" s="52"/>
      <c r="BJ703" s="52"/>
      <c r="BK703" s="52"/>
      <c r="BL703" s="52"/>
      <c r="BM703" s="52"/>
      <c r="BN703" s="52"/>
      <c r="BO703" s="52"/>
      <c r="BP703" s="52"/>
      <c r="BQ703" s="52"/>
      <c r="BR703" s="52"/>
      <c r="BS703" s="52"/>
      <c r="BT703" s="52"/>
      <c r="BU703" s="52"/>
      <c r="BV703" s="52"/>
    </row>
    <row r="704">
      <c r="AS704" s="52"/>
      <c r="AT704" s="52"/>
      <c r="AU704" s="52"/>
      <c r="AV704" s="52"/>
      <c r="AW704" s="52"/>
      <c r="AX704" s="52"/>
      <c r="AY704" s="52"/>
      <c r="AZ704" s="52"/>
      <c r="BA704" s="52"/>
      <c r="BB704" s="52"/>
      <c r="BC704" s="52"/>
      <c r="BD704" s="52"/>
      <c r="BE704" s="52"/>
      <c r="BF704" s="52"/>
      <c r="BG704" s="52"/>
      <c r="BH704" s="52"/>
      <c r="BI704" s="52"/>
      <c r="BJ704" s="52"/>
      <c r="BK704" s="52"/>
      <c r="BL704" s="52"/>
      <c r="BM704" s="52"/>
      <c r="BN704" s="52"/>
      <c r="BO704" s="52"/>
      <c r="BP704" s="52"/>
      <c r="BQ704" s="52"/>
      <c r="BR704" s="52"/>
      <c r="BS704" s="52"/>
      <c r="BT704" s="52"/>
      <c r="BU704" s="52"/>
      <c r="BV704" s="52"/>
    </row>
    <row r="705">
      <c r="AS705" s="52"/>
      <c r="AT705" s="52"/>
      <c r="AU705" s="52"/>
      <c r="AV705" s="52"/>
      <c r="AW705" s="52"/>
      <c r="AX705" s="52"/>
      <c r="AY705" s="52"/>
      <c r="AZ705" s="52"/>
      <c r="BA705" s="52"/>
      <c r="BB705" s="52"/>
      <c r="BC705" s="52"/>
      <c r="BD705" s="52"/>
      <c r="BE705" s="52"/>
      <c r="BF705" s="52"/>
      <c r="BG705" s="52"/>
      <c r="BH705" s="52"/>
      <c r="BI705" s="52"/>
      <c r="BJ705" s="52"/>
      <c r="BK705" s="52"/>
      <c r="BL705" s="52"/>
      <c r="BM705" s="52"/>
      <c r="BN705" s="52"/>
      <c r="BO705" s="52"/>
      <c r="BP705" s="52"/>
      <c r="BQ705" s="52"/>
      <c r="BR705" s="52"/>
      <c r="BS705" s="52"/>
      <c r="BT705" s="52"/>
      <c r="BU705" s="52"/>
      <c r="BV705" s="52"/>
    </row>
    <row r="706">
      <c r="AS706" s="52"/>
      <c r="AT706" s="52"/>
      <c r="AU706" s="52"/>
      <c r="AV706" s="52"/>
      <c r="AW706" s="52"/>
      <c r="AX706" s="52"/>
      <c r="AY706" s="52"/>
      <c r="AZ706" s="52"/>
      <c r="BA706" s="52"/>
      <c r="BB706" s="52"/>
      <c r="BC706" s="52"/>
      <c r="BD706" s="52"/>
      <c r="BE706" s="52"/>
      <c r="BF706" s="52"/>
      <c r="BG706" s="52"/>
      <c r="BH706" s="52"/>
      <c r="BI706" s="52"/>
      <c r="BJ706" s="52"/>
      <c r="BK706" s="52"/>
      <c r="BL706" s="52"/>
      <c r="BM706" s="52"/>
      <c r="BN706" s="52"/>
      <c r="BO706" s="52"/>
      <c r="BP706" s="52"/>
      <c r="BQ706" s="52"/>
      <c r="BR706" s="52"/>
      <c r="BS706" s="52"/>
      <c r="BT706" s="52"/>
      <c r="BU706" s="52"/>
      <c r="BV706" s="52"/>
    </row>
    <row r="707">
      <c r="AS707" s="52"/>
      <c r="AT707" s="52"/>
      <c r="AU707" s="52"/>
      <c r="AV707" s="52"/>
      <c r="AW707" s="52"/>
      <c r="AX707" s="52"/>
      <c r="AY707" s="52"/>
      <c r="AZ707" s="52"/>
      <c r="BA707" s="52"/>
      <c r="BB707" s="52"/>
      <c r="BC707" s="52"/>
      <c r="BD707" s="52"/>
      <c r="BE707" s="52"/>
      <c r="BF707" s="52"/>
      <c r="BG707" s="52"/>
      <c r="BH707" s="52"/>
      <c r="BI707" s="52"/>
      <c r="BJ707" s="52"/>
      <c r="BK707" s="52"/>
      <c r="BL707" s="52"/>
      <c r="BM707" s="52"/>
      <c r="BN707" s="52"/>
      <c r="BO707" s="52"/>
      <c r="BP707" s="52"/>
      <c r="BQ707" s="52"/>
      <c r="BR707" s="52"/>
      <c r="BS707" s="52"/>
      <c r="BT707" s="52"/>
      <c r="BU707" s="52"/>
      <c r="BV707" s="52"/>
    </row>
    <row r="708">
      <c r="AS708" s="52"/>
      <c r="AT708" s="52"/>
      <c r="AU708" s="52"/>
      <c r="AV708" s="52"/>
      <c r="AW708" s="52"/>
      <c r="AX708" s="52"/>
      <c r="AY708" s="52"/>
      <c r="AZ708" s="52"/>
      <c r="BA708" s="52"/>
      <c r="BB708" s="52"/>
      <c r="BC708" s="52"/>
      <c r="BD708" s="52"/>
      <c r="BE708" s="52"/>
      <c r="BF708" s="52"/>
      <c r="BG708" s="52"/>
      <c r="BH708" s="52"/>
      <c r="BI708" s="52"/>
      <c r="BJ708" s="52"/>
      <c r="BK708" s="52"/>
      <c r="BL708" s="52"/>
      <c r="BM708" s="52"/>
      <c r="BN708" s="52"/>
      <c r="BO708" s="52"/>
      <c r="BP708" s="52"/>
      <c r="BQ708" s="52"/>
      <c r="BR708" s="52"/>
      <c r="BS708" s="52"/>
      <c r="BT708" s="52"/>
      <c r="BU708" s="52"/>
      <c r="BV708" s="52"/>
    </row>
    <row r="709">
      <c r="AS709" s="52"/>
      <c r="AT709" s="52"/>
      <c r="AU709" s="52"/>
      <c r="AV709" s="52"/>
      <c r="AW709" s="52"/>
      <c r="AX709" s="52"/>
      <c r="AY709" s="52"/>
      <c r="AZ709" s="52"/>
      <c r="BA709" s="52"/>
      <c r="BB709" s="52"/>
      <c r="BC709" s="52"/>
      <c r="BD709" s="52"/>
      <c r="BE709" s="52"/>
      <c r="BF709" s="52"/>
      <c r="BG709" s="52"/>
      <c r="BH709" s="52"/>
      <c r="BI709" s="52"/>
      <c r="BJ709" s="52"/>
      <c r="BK709" s="52"/>
      <c r="BL709" s="52"/>
      <c r="BM709" s="52"/>
      <c r="BN709" s="52"/>
      <c r="BO709" s="52"/>
      <c r="BP709" s="52"/>
      <c r="BQ709" s="52"/>
      <c r="BR709" s="52"/>
      <c r="BS709" s="52"/>
      <c r="BT709" s="52"/>
      <c r="BU709" s="52"/>
      <c r="BV709" s="52"/>
    </row>
    <row r="710">
      <c r="AS710" s="52"/>
      <c r="AT710" s="52"/>
      <c r="AU710" s="52"/>
      <c r="AV710" s="52"/>
      <c r="AW710" s="52"/>
      <c r="AX710" s="52"/>
      <c r="AY710" s="52"/>
      <c r="AZ710" s="52"/>
      <c r="BA710" s="52"/>
      <c r="BB710" s="52"/>
      <c r="BC710" s="52"/>
      <c r="BD710" s="52"/>
      <c r="BE710" s="52"/>
      <c r="BF710" s="52"/>
      <c r="BG710" s="52"/>
      <c r="BH710" s="52"/>
      <c r="BI710" s="52"/>
      <c r="BJ710" s="52"/>
      <c r="BK710" s="52"/>
      <c r="BL710" s="52"/>
      <c r="BM710" s="52"/>
      <c r="BN710" s="52"/>
      <c r="BO710" s="52"/>
      <c r="BP710" s="52"/>
      <c r="BQ710" s="52"/>
      <c r="BR710" s="52"/>
      <c r="BS710" s="52"/>
      <c r="BT710" s="52"/>
      <c r="BU710" s="52"/>
      <c r="BV710" s="52"/>
    </row>
    <row r="711">
      <c r="AS711" s="52"/>
      <c r="AT711" s="52"/>
      <c r="AU711" s="52"/>
      <c r="AV711" s="52"/>
      <c r="AW711" s="52"/>
      <c r="AX711" s="52"/>
      <c r="AY711" s="52"/>
      <c r="AZ711" s="52"/>
      <c r="BA711" s="52"/>
      <c r="BB711" s="52"/>
      <c r="BC711" s="52"/>
      <c r="BD711" s="52"/>
      <c r="BE711" s="52"/>
      <c r="BF711" s="52"/>
      <c r="BG711" s="52"/>
      <c r="BH711" s="52"/>
      <c r="BI711" s="52"/>
      <c r="BJ711" s="52"/>
      <c r="BK711" s="52"/>
      <c r="BL711" s="52"/>
      <c r="BM711" s="52"/>
      <c r="BN711" s="52"/>
      <c r="BO711" s="52"/>
      <c r="BP711" s="52"/>
      <c r="BQ711" s="52"/>
      <c r="BR711" s="52"/>
      <c r="BS711" s="52"/>
      <c r="BT711" s="52"/>
      <c r="BU711" s="52"/>
      <c r="BV711" s="52"/>
    </row>
    <row r="712">
      <c r="AS712" s="52"/>
      <c r="AT712" s="52"/>
      <c r="AU712" s="52"/>
      <c r="AV712" s="52"/>
      <c r="AW712" s="52"/>
      <c r="AX712" s="52"/>
      <c r="AY712" s="52"/>
      <c r="AZ712" s="52"/>
      <c r="BA712" s="52"/>
      <c r="BB712" s="52"/>
      <c r="BC712" s="52"/>
      <c r="BD712" s="52"/>
      <c r="BE712" s="52"/>
      <c r="BF712" s="52"/>
      <c r="BG712" s="52"/>
      <c r="BH712" s="52"/>
      <c r="BI712" s="52"/>
      <c r="BJ712" s="52"/>
      <c r="BK712" s="52"/>
      <c r="BL712" s="52"/>
      <c r="BM712" s="52"/>
      <c r="BN712" s="52"/>
      <c r="BO712" s="52"/>
      <c r="BP712" s="52"/>
      <c r="BQ712" s="52"/>
      <c r="BR712" s="52"/>
      <c r="BS712" s="52"/>
      <c r="BT712" s="52"/>
      <c r="BU712" s="52"/>
      <c r="BV712" s="52"/>
    </row>
    <row r="713">
      <c r="AS713" s="52"/>
      <c r="AT713" s="52"/>
      <c r="AU713" s="52"/>
      <c r="AV713" s="52"/>
      <c r="AW713" s="52"/>
      <c r="AX713" s="52"/>
      <c r="AY713" s="52"/>
      <c r="AZ713" s="52"/>
      <c r="BA713" s="52"/>
      <c r="BB713" s="52"/>
      <c r="BC713" s="52"/>
      <c r="BD713" s="52"/>
      <c r="BE713" s="52"/>
      <c r="BF713" s="52"/>
      <c r="BG713" s="52"/>
      <c r="BH713" s="52"/>
      <c r="BI713" s="52"/>
      <c r="BJ713" s="52"/>
      <c r="BK713" s="52"/>
      <c r="BL713" s="52"/>
      <c r="BM713" s="52"/>
      <c r="BN713" s="52"/>
      <c r="BO713" s="52"/>
      <c r="BP713" s="52"/>
      <c r="BQ713" s="52"/>
      <c r="BR713" s="52"/>
      <c r="BS713" s="52"/>
      <c r="BT713" s="52"/>
      <c r="BU713" s="52"/>
      <c r="BV713" s="52"/>
    </row>
    <row r="714">
      <c r="AS714" s="52"/>
      <c r="AT714" s="52"/>
      <c r="AU714" s="52"/>
      <c r="AV714" s="52"/>
      <c r="AW714" s="52"/>
      <c r="AX714" s="52"/>
      <c r="AY714" s="52"/>
      <c r="AZ714" s="52"/>
      <c r="BA714" s="52"/>
      <c r="BB714" s="52"/>
      <c r="BC714" s="52"/>
      <c r="BD714" s="52"/>
      <c r="BE714" s="52"/>
      <c r="BF714" s="52"/>
      <c r="BG714" s="52"/>
      <c r="BH714" s="52"/>
      <c r="BI714" s="52"/>
      <c r="BJ714" s="52"/>
      <c r="BK714" s="52"/>
      <c r="BL714" s="52"/>
      <c r="BM714" s="52"/>
      <c r="BN714" s="52"/>
      <c r="BO714" s="52"/>
      <c r="BP714" s="52"/>
      <c r="BQ714" s="52"/>
      <c r="BR714" s="52"/>
      <c r="BS714" s="52"/>
      <c r="BT714" s="52"/>
      <c r="BU714" s="52"/>
      <c r="BV714" s="52"/>
    </row>
    <row r="715">
      <c r="AS715" s="52"/>
      <c r="AT715" s="52"/>
      <c r="AU715" s="52"/>
      <c r="AV715" s="52"/>
      <c r="AW715" s="52"/>
      <c r="AX715" s="52"/>
      <c r="AY715" s="52"/>
      <c r="AZ715" s="52"/>
      <c r="BA715" s="52"/>
      <c r="BB715" s="52"/>
      <c r="BC715" s="52"/>
      <c r="BD715" s="52"/>
      <c r="BE715" s="52"/>
      <c r="BF715" s="52"/>
      <c r="BG715" s="52"/>
      <c r="BH715" s="52"/>
      <c r="BI715" s="52"/>
      <c r="BJ715" s="52"/>
      <c r="BK715" s="52"/>
      <c r="BL715" s="52"/>
      <c r="BM715" s="52"/>
      <c r="BN715" s="52"/>
      <c r="BO715" s="52"/>
      <c r="BP715" s="52"/>
      <c r="BQ715" s="52"/>
      <c r="BR715" s="52"/>
      <c r="BS715" s="52"/>
      <c r="BT715" s="52"/>
      <c r="BU715" s="52"/>
      <c r="BV715" s="52"/>
    </row>
    <row r="716">
      <c r="AS716" s="52"/>
      <c r="AT716" s="52"/>
      <c r="AU716" s="52"/>
      <c r="AV716" s="52"/>
      <c r="AW716" s="52"/>
      <c r="AX716" s="52"/>
      <c r="AY716" s="52"/>
      <c r="AZ716" s="52"/>
      <c r="BA716" s="52"/>
      <c r="BB716" s="52"/>
      <c r="BC716" s="52"/>
      <c r="BD716" s="52"/>
      <c r="BE716" s="52"/>
      <c r="BF716" s="52"/>
      <c r="BG716" s="52"/>
      <c r="BH716" s="52"/>
      <c r="BI716" s="52"/>
      <c r="BJ716" s="52"/>
      <c r="BK716" s="52"/>
      <c r="BL716" s="52"/>
      <c r="BM716" s="52"/>
      <c r="BN716" s="52"/>
      <c r="BO716" s="52"/>
      <c r="BP716" s="52"/>
      <c r="BQ716" s="52"/>
      <c r="BR716" s="52"/>
      <c r="BS716" s="52"/>
      <c r="BT716" s="52"/>
      <c r="BU716" s="52"/>
      <c r="BV716" s="52"/>
    </row>
    <row r="717">
      <c r="AS717" s="52"/>
      <c r="AT717" s="52"/>
      <c r="AU717" s="52"/>
      <c r="AV717" s="52"/>
      <c r="AW717" s="52"/>
      <c r="AX717" s="52"/>
      <c r="AY717" s="52"/>
      <c r="AZ717" s="52"/>
      <c r="BA717" s="52"/>
      <c r="BB717" s="52"/>
      <c r="BC717" s="52"/>
      <c r="BD717" s="52"/>
      <c r="BE717" s="52"/>
      <c r="BF717" s="52"/>
      <c r="BG717" s="52"/>
      <c r="BH717" s="52"/>
      <c r="BI717" s="52"/>
      <c r="BJ717" s="52"/>
      <c r="BK717" s="52"/>
      <c r="BL717" s="52"/>
      <c r="BM717" s="52"/>
      <c r="BN717" s="52"/>
      <c r="BO717" s="52"/>
      <c r="BP717" s="52"/>
      <c r="BQ717" s="52"/>
      <c r="BR717" s="52"/>
      <c r="BS717" s="52"/>
      <c r="BT717" s="52"/>
      <c r="BU717" s="52"/>
      <c r="BV717" s="52"/>
    </row>
    <row r="718">
      <c r="AS718" s="52"/>
      <c r="AT718" s="52"/>
      <c r="AU718" s="52"/>
      <c r="AV718" s="52"/>
      <c r="AW718" s="52"/>
      <c r="AX718" s="52"/>
      <c r="AY718" s="52"/>
      <c r="AZ718" s="52"/>
      <c r="BA718" s="52"/>
      <c r="BB718" s="52"/>
      <c r="BC718" s="52"/>
      <c r="BD718" s="52"/>
      <c r="BE718" s="52"/>
      <c r="BF718" s="52"/>
      <c r="BG718" s="52"/>
      <c r="BH718" s="52"/>
      <c r="BI718" s="52"/>
      <c r="BJ718" s="52"/>
      <c r="BK718" s="52"/>
      <c r="BL718" s="52"/>
      <c r="BM718" s="52"/>
      <c r="BN718" s="52"/>
      <c r="BO718" s="52"/>
      <c r="BP718" s="52"/>
      <c r="BQ718" s="52"/>
      <c r="BR718" s="52"/>
      <c r="BS718" s="52"/>
      <c r="BT718" s="52"/>
      <c r="BU718" s="52"/>
      <c r="BV718" s="52"/>
    </row>
    <row r="719">
      <c r="AS719" s="52"/>
      <c r="AT719" s="52"/>
      <c r="AU719" s="52"/>
      <c r="AV719" s="52"/>
      <c r="AW719" s="52"/>
      <c r="AX719" s="52"/>
      <c r="AY719" s="52"/>
      <c r="AZ719" s="52"/>
      <c r="BA719" s="52"/>
      <c r="BB719" s="52"/>
      <c r="BC719" s="52"/>
      <c r="BD719" s="52"/>
      <c r="BE719" s="52"/>
      <c r="BF719" s="52"/>
      <c r="BG719" s="52"/>
      <c r="BH719" s="52"/>
      <c r="BI719" s="52"/>
      <c r="BJ719" s="52"/>
      <c r="BK719" s="52"/>
      <c r="BL719" s="52"/>
      <c r="BM719" s="52"/>
      <c r="BN719" s="52"/>
      <c r="BO719" s="52"/>
      <c r="BP719" s="52"/>
      <c r="BQ719" s="52"/>
      <c r="BR719" s="52"/>
      <c r="BS719" s="52"/>
      <c r="BT719" s="52"/>
      <c r="BU719" s="52"/>
      <c r="BV719" s="52"/>
    </row>
    <row r="720">
      <c r="AS720" s="52"/>
      <c r="AT720" s="52"/>
      <c r="AU720" s="52"/>
      <c r="AV720" s="52"/>
      <c r="AW720" s="52"/>
      <c r="AX720" s="52"/>
      <c r="AY720" s="52"/>
      <c r="AZ720" s="52"/>
      <c r="BA720" s="52"/>
      <c r="BB720" s="52"/>
      <c r="BC720" s="52"/>
      <c r="BD720" s="52"/>
      <c r="BE720" s="52"/>
      <c r="BF720" s="52"/>
      <c r="BG720" s="52"/>
      <c r="BH720" s="52"/>
      <c r="BI720" s="52"/>
      <c r="BJ720" s="52"/>
      <c r="BK720" s="52"/>
      <c r="BL720" s="52"/>
      <c r="BM720" s="52"/>
      <c r="BN720" s="52"/>
      <c r="BO720" s="52"/>
      <c r="BP720" s="52"/>
      <c r="BQ720" s="52"/>
      <c r="BR720" s="52"/>
      <c r="BS720" s="52"/>
      <c r="BT720" s="52"/>
      <c r="BU720" s="52"/>
      <c r="BV720" s="52"/>
    </row>
    <row r="721">
      <c r="AS721" s="52"/>
      <c r="AT721" s="52"/>
      <c r="AU721" s="52"/>
      <c r="AV721" s="52"/>
      <c r="AW721" s="52"/>
      <c r="AX721" s="52"/>
      <c r="AY721" s="52"/>
      <c r="AZ721" s="52"/>
      <c r="BA721" s="52"/>
      <c r="BB721" s="52"/>
      <c r="BC721" s="52"/>
      <c r="BD721" s="52"/>
      <c r="BE721" s="52"/>
      <c r="BF721" s="52"/>
      <c r="BG721" s="52"/>
      <c r="BH721" s="52"/>
      <c r="BI721" s="52"/>
      <c r="BJ721" s="52"/>
      <c r="BK721" s="52"/>
      <c r="BL721" s="52"/>
      <c r="BM721" s="52"/>
      <c r="BN721" s="52"/>
      <c r="BO721" s="52"/>
      <c r="BP721" s="52"/>
      <c r="BQ721" s="52"/>
      <c r="BR721" s="52"/>
      <c r="BS721" s="52"/>
      <c r="BT721" s="52"/>
      <c r="BU721" s="52"/>
      <c r="BV721" s="52"/>
    </row>
    <row r="722">
      <c r="AS722" s="52"/>
      <c r="AT722" s="52"/>
      <c r="AU722" s="52"/>
      <c r="AV722" s="52"/>
      <c r="AW722" s="52"/>
      <c r="AX722" s="52"/>
      <c r="AY722" s="52"/>
      <c r="AZ722" s="52"/>
      <c r="BA722" s="52"/>
      <c r="BB722" s="52"/>
      <c r="BC722" s="52"/>
      <c r="BD722" s="52"/>
      <c r="BE722" s="52"/>
      <c r="BF722" s="52"/>
      <c r="BG722" s="52"/>
      <c r="BH722" s="52"/>
      <c r="BI722" s="52"/>
      <c r="BJ722" s="52"/>
      <c r="BK722" s="52"/>
      <c r="BL722" s="52"/>
      <c r="BM722" s="52"/>
      <c r="BN722" s="52"/>
      <c r="BO722" s="52"/>
      <c r="BP722" s="52"/>
      <c r="BQ722" s="52"/>
      <c r="BR722" s="52"/>
      <c r="BS722" s="52"/>
      <c r="BT722" s="52"/>
      <c r="BU722" s="52"/>
      <c r="BV722" s="52"/>
    </row>
    <row r="723">
      <c r="AS723" s="52"/>
      <c r="AT723" s="52"/>
      <c r="AU723" s="52"/>
      <c r="AV723" s="52"/>
      <c r="AW723" s="52"/>
      <c r="AX723" s="52"/>
      <c r="AY723" s="52"/>
      <c r="AZ723" s="52"/>
      <c r="BA723" s="52"/>
      <c r="BB723" s="52"/>
      <c r="BC723" s="52"/>
      <c r="BD723" s="52"/>
      <c r="BE723" s="52"/>
      <c r="BF723" s="52"/>
      <c r="BG723" s="52"/>
      <c r="BH723" s="52"/>
      <c r="BI723" s="52"/>
      <c r="BJ723" s="52"/>
      <c r="BK723" s="52"/>
      <c r="BL723" s="52"/>
      <c r="BM723" s="52"/>
      <c r="BN723" s="52"/>
      <c r="BO723" s="52"/>
      <c r="BP723" s="52"/>
      <c r="BQ723" s="52"/>
      <c r="BR723" s="52"/>
      <c r="BS723" s="52"/>
      <c r="BT723" s="52"/>
      <c r="BU723" s="52"/>
      <c r="BV723" s="52"/>
    </row>
    <row r="724">
      <c r="AS724" s="52"/>
      <c r="AT724" s="52"/>
      <c r="AU724" s="52"/>
      <c r="AV724" s="52"/>
      <c r="AW724" s="52"/>
      <c r="AX724" s="52"/>
      <c r="AY724" s="52"/>
      <c r="AZ724" s="52"/>
      <c r="BA724" s="52"/>
      <c r="BB724" s="52"/>
      <c r="BC724" s="52"/>
      <c r="BD724" s="52"/>
      <c r="BE724" s="52"/>
      <c r="BF724" s="52"/>
      <c r="BG724" s="52"/>
      <c r="BH724" s="52"/>
      <c r="BI724" s="52"/>
      <c r="BJ724" s="52"/>
      <c r="BK724" s="52"/>
      <c r="BL724" s="52"/>
      <c r="BM724" s="52"/>
      <c r="BN724" s="52"/>
      <c r="BO724" s="52"/>
      <c r="BP724" s="52"/>
      <c r="BQ724" s="52"/>
      <c r="BR724" s="52"/>
      <c r="BS724" s="52"/>
      <c r="BT724" s="52"/>
      <c r="BU724" s="52"/>
      <c r="BV724" s="52"/>
    </row>
    <row r="725">
      <c r="AS725" s="52"/>
      <c r="AT725" s="52"/>
      <c r="AU725" s="52"/>
      <c r="AV725" s="52"/>
      <c r="AW725" s="52"/>
      <c r="AX725" s="52"/>
      <c r="AY725" s="52"/>
      <c r="AZ725" s="52"/>
      <c r="BA725" s="52"/>
      <c r="BB725" s="52"/>
      <c r="BC725" s="52"/>
      <c r="BD725" s="52"/>
      <c r="BE725" s="52"/>
      <c r="BF725" s="52"/>
      <c r="BG725" s="52"/>
      <c r="BH725" s="52"/>
      <c r="BI725" s="52"/>
      <c r="BJ725" s="52"/>
      <c r="BK725" s="52"/>
      <c r="BL725" s="52"/>
      <c r="BM725" s="52"/>
      <c r="BN725" s="52"/>
      <c r="BO725" s="52"/>
      <c r="BP725" s="52"/>
      <c r="BQ725" s="52"/>
      <c r="BR725" s="52"/>
      <c r="BS725" s="52"/>
      <c r="BT725" s="52"/>
      <c r="BU725" s="52"/>
      <c r="BV725" s="52"/>
    </row>
    <row r="726">
      <c r="AS726" s="52"/>
      <c r="AT726" s="52"/>
      <c r="AU726" s="52"/>
      <c r="AV726" s="52"/>
      <c r="AW726" s="52"/>
      <c r="AX726" s="52"/>
      <c r="AY726" s="52"/>
      <c r="AZ726" s="52"/>
      <c r="BA726" s="52"/>
      <c r="BB726" s="52"/>
      <c r="BC726" s="52"/>
      <c r="BD726" s="52"/>
      <c r="BE726" s="52"/>
      <c r="BF726" s="52"/>
      <c r="BG726" s="52"/>
      <c r="BH726" s="52"/>
      <c r="BI726" s="52"/>
      <c r="BJ726" s="52"/>
      <c r="BK726" s="52"/>
      <c r="BL726" s="52"/>
      <c r="BM726" s="52"/>
      <c r="BN726" s="52"/>
      <c r="BO726" s="52"/>
      <c r="BP726" s="52"/>
      <c r="BQ726" s="52"/>
      <c r="BR726" s="52"/>
      <c r="BS726" s="52"/>
      <c r="BT726" s="52"/>
      <c r="BU726" s="52"/>
      <c r="BV726" s="52"/>
    </row>
    <row r="727">
      <c r="AS727" s="52"/>
      <c r="AT727" s="52"/>
      <c r="AU727" s="52"/>
      <c r="AV727" s="52"/>
      <c r="AW727" s="52"/>
      <c r="AX727" s="52"/>
      <c r="AY727" s="52"/>
      <c r="AZ727" s="52"/>
      <c r="BA727" s="52"/>
      <c r="BB727" s="52"/>
      <c r="BC727" s="52"/>
      <c r="BD727" s="52"/>
      <c r="BE727" s="52"/>
      <c r="BF727" s="52"/>
      <c r="BG727" s="52"/>
      <c r="BH727" s="52"/>
      <c r="BI727" s="52"/>
      <c r="BJ727" s="52"/>
      <c r="BK727" s="52"/>
      <c r="BL727" s="52"/>
      <c r="BM727" s="52"/>
      <c r="BN727" s="52"/>
      <c r="BO727" s="52"/>
      <c r="BP727" s="52"/>
      <c r="BQ727" s="52"/>
      <c r="BR727" s="52"/>
      <c r="BS727" s="52"/>
      <c r="BT727" s="52"/>
      <c r="BU727" s="52"/>
      <c r="BV727" s="52"/>
    </row>
    <row r="728">
      <c r="AS728" s="52"/>
      <c r="AT728" s="52"/>
      <c r="AU728" s="52"/>
      <c r="AV728" s="52"/>
      <c r="AW728" s="52"/>
      <c r="AX728" s="52"/>
      <c r="AY728" s="52"/>
      <c r="AZ728" s="52"/>
      <c r="BA728" s="52"/>
      <c r="BB728" s="52"/>
      <c r="BC728" s="52"/>
      <c r="BD728" s="52"/>
      <c r="BE728" s="52"/>
      <c r="BF728" s="52"/>
      <c r="BG728" s="52"/>
      <c r="BH728" s="52"/>
      <c r="BI728" s="52"/>
      <c r="BJ728" s="52"/>
      <c r="BK728" s="52"/>
      <c r="BL728" s="52"/>
      <c r="BM728" s="52"/>
      <c r="BN728" s="52"/>
      <c r="BO728" s="52"/>
      <c r="BP728" s="52"/>
      <c r="BQ728" s="52"/>
      <c r="BR728" s="52"/>
      <c r="BS728" s="52"/>
      <c r="BT728" s="52"/>
      <c r="BU728" s="52"/>
      <c r="BV728" s="52"/>
    </row>
    <row r="729">
      <c r="AS729" s="52"/>
      <c r="AT729" s="52"/>
      <c r="AU729" s="52"/>
      <c r="AV729" s="52"/>
      <c r="AW729" s="52"/>
      <c r="AX729" s="52"/>
      <c r="AY729" s="52"/>
      <c r="AZ729" s="52"/>
      <c r="BA729" s="52"/>
      <c r="BB729" s="52"/>
      <c r="BC729" s="52"/>
      <c r="BD729" s="52"/>
      <c r="BE729" s="52"/>
      <c r="BF729" s="52"/>
      <c r="BG729" s="52"/>
      <c r="BH729" s="52"/>
      <c r="BI729" s="52"/>
      <c r="BJ729" s="52"/>
      <c r="BK729" s="52"/>
      <c r="BL729" s="52"/>
      <c r="BM729" s="52"/>
      <c r="BN729" s="52"/>
      <c r="BO729" s="52"/>
      <c r="BP729" s="52"/>
      <c r="BQ729" s="52"/>
      <c r="BR729" s="52"/>
      <c r="BS729" s="52"/>
      <c r="BT729" s="52"/>
      <c r="BU729" s="52"/>
      <c r="BV729" s="52"/>
    </row>
    <row r="730">
      <c r="AS730" s="52"/>
      <c r="AT730" s="52"/>
      <c r="AU730" s="52"/>
      <c r="AV730" s="52"/>
      <c r="AW730" s="52"/>
      <c r="AX730" s="52"/>
      <c r="AY730" s="52"/>
      <c r="AZ730" s="52"/>
      <c r="BA730" s="52"/>
      <c r="BB730" s="52"/>
      <c r="BC730" s="52"/>
      <c r="BD730" s="52"/>
      <c r="BE730" s="52"/>
      <c r="BF730" s="52"/>
      <c r="BG730" s="52"/>
      <c r="BH730" s="52"/>
      <c r="BI730" s="52"/>
      <c r="BJ730" s="52"/>
      <c r="BK730" s="52"/>
      <c r="BL730" s="52"/>
      <c r="BM730" s="52"/>
      <c r="BN730" s="52"/>
      <c r="BO730" s="52"/>
      <c r="BP730" s="52"/>
      <c r="BQ730" s="52"/>
      <c r="BR730" s="52"/>
      <c r="BS730" s="52"/>
      <c r="BT730" s="52"/>
      <c r="BU730" s="52"/>
      <c r="BV730" s="52"/>
    </row>
    <row r="731">
      <c r="AS731" s="52"/>
      <c r="AT731" s="52"/>
      <c r="AU731" s="52"/>
      <c r="AV731" s="52"/>
      <c r="AW731" s="52"/>
      <c r="AX731" s="52"/>
      <c r="AY731" s="52"/>
      <c r="AZ731" s="52"/>
      <c r="BA731" s="52"/>
      <c r="BB731" s="52"/>
      <c r="BC731" s="52"/>
      <c r="BD731" s="52"/>
      <c r="BE731" s="52"/>
      <c r="BF731" s="52"/>
      <c r="BG731" s="52"/>
      <c r="BH731" s="52"/>
      <c r="BI731" s="52"/>
      <c r="BJ731" s="52"/>
      <c r="BK731" s="52"/>
      <c r="BL731" s="52"/>
      <c r="BM731" s="52"/>
      <c r="BN731" s="52"/>
      <c r="BO731" s="52"/>
      <c r="BP731" s="52"/>
      <c r="BQ731" s="52"/>
      <c r="BR731" s="52"/>
      <c r="BS731" s="52"/>
      <c r="BT731" s="52"/>
      <c r="BU731" s="52"/>
      <c r="BV731" s="52"/>
    </row>
    <row r="732">
      <c r="AS732" s="52"/>
      <c r="AT732" s="52"/>
      <c r="AU732" s="52"/>
      <c r="AV732" s="52"/>
      <c r="AW732" s="52"/>
      <c r="AX732" s="52"/>
      <c r="AY732" s="52"/>
      <c r="AZ732" s="52"/>
      <c r="BA732" s="52"/>
      <c r="BB732" s="52"/>
      <c r="BC732" s="52"/>
      <c r="BD732" s="52"/>
      <c r="BE732" s="52"/>
      <c r="BF732" s="52"/>
      <c r="BG732" s="52"/>
      <c r="BH732" s="52"/>
      <c r="BI732" s="52"/>
      <c r="BJ732" s="52"/>
      <c r="BK732" s="52"/>
      <c r="BL732" s="52"/>
      <c r="BM732" s="52"/>
      <c r="BN732" s="52"/>
      <c r="BO732" s="52"/>
      <c r="BP732" s="52"/>
      <c r="BQ732" s="52"/>
      <c r="BR732" s="52"/>
      <c r="BS732" s="52"/>
      <c r="BT732" s="52"/>
      <c r="BU732" s="52"/>
      <c r="BV732" s="52"/>
    </row>
    <row r="733">
      <c r="AS733" s="52"/>
      <c r="AT733" s="52"/>
      <c r="AU733" s="52"/>
      <c r="AV733" s="52"/>
      <c r="AW733" s="52"/>
      <c r="AX733" s="52"/>
      <c r="AY733" s="52"/>
      <c r="AZ733" s="52"/>
      <c r="BA733" s="52"/>
      <c r="BB733" s="52"/>
      <c r="BC733" s="52"/>
      <c r="BD733" s="52"/>
      <c r="BE733" s="52"/>
      <c r="BF733" s="52"/>
      <c r="BG733" s="52"/>
      <c r="BH733" s="52"/>
      <c r="BI733" s="52"/>
      <c r="BJ733" s="52"/>
      <c r="BK733" s="52"/>
      <c r="BL733" s="52"/>
      <c r="BM733" s="52"/>
      <c r="BN733" s="52"/>
      <c r="BO733" s="52"/>
      <c r="BP733" s="52"/>
      <c r="BQ733" s="52"/>
      <c r="BR733" s="52"/>
      <c r="BS733" s="52"/>
      <c r="BT733" s="52"/>
      <c r="BU733" s="52"/>
      <c r="BV733" s="52"/>
    </row>
    <row r="734">
      <c r="AS734" s="52"/>
      <c r="AT734" s="52"/>
      <c r="AU734" s="52"/>
      <c r="AV734" s="52"/>
      <c r="AW734" s="52"/>
      <c r="AX734" s="52"/>
      <c r="AY734" s="52"/>
      <c r="AZ734" s="52"/>
      <c r="BA734" s="52"/>
      <c r="BB734" s="52"/>
      <c r="BC734" s="52"/>
      <c r="BD734" s="52"/>
      <c r="BE734" s="52"/>
      <c r="BF734" s="52"/>
      <c r="BG734" s="52"/>
      <c r="BH734" s="52"/>
      <c r="BI734" s="52"/>
      <c r="BJ734" s="52"/>
      <c r="BK734" s="52"/>
      <c r="BL734" s="52"/>
      <c r="BM734" s="52"/>
      <c r="BN734" s="52"/>
      <c r="BO734" s="52"/>
      <c r="BP734" s="52"/>
      <c r="BQ734" s="52"/>
      <c r="BR734" s="52"/>
      <c r="BS734" s="52"/>
      <c r="BT734" s="52"/>
      <c r="BU734" s="52"/>
      <c r="BV734" s="52"/>
    </row>
    <row r="735">
      <c r="AS735" s="52"/>
      <c r="AT735" s="52"/>
      <c r="AU735" s="52"/>
      <c r="AV735" s="52"/>
      <c r="AW735" s="52"/>
      <c r="AX735" s="52"/>
      <c r="AY735" s="52"/>
      <c r="AZ735" s="52"/>
      <c r="BA735" s="52"/>
      <c r="BB735" s="52"/>
      <c r="BC735" s="52"/>
      <c r="BD735" s="52"/>
      <c r="BE735" s="52"/>
      <c r="BF735" s="52"/>
      <c r="BG735" s="52"/>
      <c r="BH735" s="52"/>
      <c r="BI735" s="52"/>
      <c r="BJ735" s="52"/>
      <c r="BK735" s="52"/>
      <c r="BL735" s="52"/>
      <c r="BM735" s="52"/>
      <c r="BN735" s="52"/>
      <c r="BO735" s="52"/>
      <c r="BP735" s="52"/>
      <c r="BQ735" s="52"/>
      <c r="BR735" s="52"/>
      <c r="BS735" s="52"/>
      <c r="BT735" s="52"/>
      <c r="BU735" s="52"/>
      <c r="BV735" s="52"/>
    </row>
    <row r="736">
      <c r="AS736" s="52"/>
      <c r="AT736" s="52"/>
      <c r="AU736" s="52"/>
      <c r="AV736" s="52"/>
      <c r="AW736" s="52"/>
      <c r="AX736" s="52"/>
      <c r="AY736" s="52"/>
      <c r="AZ736" s="52"/>
      <c r="BA736" s="52"/>
      <c r="BB736" s="52"/>
      <c r="BC736" s="52"/>
      <c r="BD736" s="52"/>
      <c r="BE736" s="52"/>
      <c r="BF736" s="52"/>
      <c r="BG736" s="52"/>
      <c r="BH736" s="52"/>
      <c r="BI736" s="52"/>
      <c r="BJ736" s="52"/>
      <c r="BK736" s="52"/>
      <c r="BL736" s="52"/>
      <c r="BM736" s="52"/>
      <c r="BN736" s="52"/>
      <c r="BO736" s="52"/>
      <c r="BP736" s="52"/>
      <c r="BQ736" s="52"/>
      <c r="BR736" s="52"/>
      <c r="BS736" s="52"/>
      <c r="BT736" s="52"/>
      <c r="BU736" s="52"/>
      <c r="BV736" s="52"/>
    </row>
    <row r="737">
      <c r="AS737" s="52"/>
      <c r="AT737" s="52"/>
      <c r="AU737" s="52"/>
      <c r="AV737" s="52"/>
      <c r="AW737" s="52"/>
      <c r="AX737" s="52"/>
      <c r="AY737" s="52"/>
      <c r="AZ737" s="52"/>
      <c r="BA737" s="52"/>
      <c r="BB737" s="52"/>
      <c r="BC737" s="52"/>
      <c r="BD737" s="52"/>
      <c r="BE737" s="52"/>
      <c r="BF737" s="52"/>
      <c r="BG737" s="52"/>
      <c r="BH737" s="52"/>
      <c r="BI737" s="52"/>
      <c r="BJ737" s="52"/>
      <c r="BK737" s="52"/>
      <c r="BL737" s="52"/>
      <c r="BM737" s="52"/>
      <c r="BN737" s="52"/>
      <c r="BO737" s="52"/>
      <c r="BP737" s="52"/>
      <c r="BQ737" s="52"/>
      <c r="BR737" s="52"/>
      <c r="BS737" s="52"/>
      <c r="BT737" s="52"/>
      <c r="BU737" s="52"/>
      <c r="BV737" s="52"/>
    </row>
    <row r="738">
      <c r="AS738" s="52"/>
      <c r="AT738" s="52"/>
      <c r="AU738" s="52"/>
      <c r="AV738" s="52"/>
      <c r="AW738" s="52"/>
      <c r="AX738" s="52"/>
      <c r="AY738" s="52"/>
      <c r="AZ738" s="52"/>
      <c r="BA738" s="52"/>
      <c r="BB738" s="52"/>
      <c r="BC738" s="52"/>
      <c r="BD738" s="52"/>
      <c r="BE738" s="52"/>
      <c r="BF738" s="52"/>
      <c r="BG738" s="52"/>
      <c r="BH738" s="52"/>
      <c r="BI738" s="52"/>
      <c r="BJ738" s="52"/>
      <c r="BK738" s="52"/>
      <c r="BL738" s="52"/>
      <c r="BM738" s="52"/>
      <c r="BN738" s="52"/>
      <c r="BO738" s="52"/>
      <c r="BP738" s="52"/>
      <c r="BQ738" s="52"/>
      <c r="BR738" s="52"/>
      <c r="BS738" s="52"/>
      <c r="BT738" s="52"/>
      <c r="BU738" s="52"/>
      <c r="BV738" s="52"/>
    </row>
    <row r="739">
      <c r="AS739" s="52"/>
      <c r="AT739" s="52"/>
      <c r="AU739" s="52"/>
      <c r="AV739" s="52"/>
      <c r="AW739" s="52"/>
      <c r="AX739" s="52"/>
      <c r="AY739" s="52"/>
      <c r="AZ739" s="52"/>
      <c r="BA739" s="52"/>
      <c r="BB739" s="52"/>
      <c r="BC739" s="52"/>
      <c r="BD739" s="52"/>
      <c r="BE739" s="52"/>
      <c r="BF739" s="52"/>
      <c r="BG739" s="52"/>
      <c r="BH739" s="52"/>
      <c r="BI739" s="52"/>
      <c r="BJ739" s="52"/>
      <c r="BK739" s="52"/>
      <c r="BL739" s="52"/>
      <c r="BM739" s="52"/>
      <c r="BN739" s="52"/>
      <c r="BO739" s="52"/>
      <c r="BP739" s="52"/>
      <c r="BQ739" s="52"/>
      <c r="BR739" s="52"/>
      <c r="BS739" s="52"/>
      <c r="BT739" s="52"/>
      <c r="BU739" s="52"/>
      <c r="BV739" s="52"/>
    </row>
    <row r="740">
      <c r="AS740" s="52"/>
      <c r="AT740" s="52"/>
      <c r="AU740" s="52"/>
      <c r="AV740" s="52"/>
      <c r="AW740" s="52"/>
      <c r="AX740" s="52"/>
      <c r="AY740" s="52"/>
      <c r="AZ740" s="52"/>
      <c r="BA740" s="52"/>
      <c r="BB740" s="52"/>
      <c r="BC740" s="52"/>
      <c r="BD740" s="52"/>
      <c r="BE740" s="52"/>
      <c r="BF740" s="52"/>
      <c r="BG740" s="52"/>
      <c r="BH740" s="52"/>
      <c r="BI740" s="52"/>
      <c r="BJ740" s="52"/>
      <c r="BK740" s="52"/>
      <c r="BL740" s="52"/>
      <c r="BM740" s="52"/>
      <c r="BN740" s="52"/>
      <c r="BO740" s="52"/>
      <c r="BP740" s="52"/>
      <c r="BQ740" s="52"/>
      <c r="BR740" s="52"/>
      <c r="BS740" s="52"/>
      <c r="BT740" s="52"/>
      <c r="BU740" s="52"/>
      <c r="BV740" s="52"/>
    </row>
    <row r="741">
      <c r="AS741" s="52"/>
      <c r="AT741" s="52"/>
      <c r="AU741" s="52"/>
      <c r="AV741" s="52"/>
      <c r="AW741" s="52"/>
      <c r="AX741" s="52"/>
      <c r="AY741" s="52"/>
      <c r="AZ741" s="52"/>
      <c r="BA741" s="52"/>
      <c r="BB741" s="52"/>
      <c r="BC741" s="52"/>
      <c r="BD741" s="52"/>
      <c r="BE741" s="52"/>
      <c r="BF741" s="52"/>
      <c r="BG741" s="52"/>
      <c r="BH741" s="52"/>
      <c r="BI741" s="52"/>
      <c r="BJ741" s="52"/>
      <c r="BK741" s="52"/>
      <c r="BL741" s="52"/>
      <c r="BM741" s="52"/>
      <c r="BN741" s="52"/>
      <c r="BO741" s="52"/>
      <c r="BP741" s="52"/>
      <c r="BQ741" s="52"/>
      <c r="BR741" s="52"/>
      <c r="BS741" s="52"/>
      <c r="BT741" s="52"/>
      <c r="BU741" s="52"/>
      <c r="BV741" s="52"/>
    </row>
    <row r="742">
      <c r="AS742" s="52"/>
      <c r="AT742" s="52"/>
      <c r="AU742" s="52"/>
      <c r="AV742" s="52"/>
      <c r="AW742" s="52"/>
      <c r="AX742" s="52"/>
      <c r="AY742" s="52"/>
      <c r="AZ742" s="52"/>
      <c r="BA742" s="52"/>
      <c r="BB742" s="52"/>
      <c r="BC742" s="52"/>
      <c r="BD742" s="52"/>
      <c r="BE742" s="52"/>
      <c r="BF742" s="52"/>
      <c r="BG742" s="52"/>
      <c r="BH742" s="52"/>
      <c r="BI742" s="52"/>
      <c r="BJ742" s="52"/>
      <c r="BK742" s="52"/>
      <c r="BL742" s="52"/>
      <c r="BM742" s="52"/>
      <c r="BN742" s="52"/>
      <c r="BO742" s="52"/>
      <c r="BP742" s="52"/>
      <c r="BQ742" s="52"/>
      <c r="BR742" s="52"/>
      <c r="BS742" s="52"/>
      <c r="BT742" s="52"/>
      <c r="BU742" s="52"/>
      <c r="BV742" s="52"/>
    </row>
    <row r="743">
      <c r="AS743" s="52"/>
      <c r="AT743" s="52"/>
      <c r="AU743" s="52"/>
      <c r="AV743" s="52"/>
      <c r="AW743" s="52"/>
      <c r="AX743" s="52"/>
      <c r="AY743" s="52"/>
      <c r="AZ743" s="52"/>
      <c r="BA743" s="52"/>
      <c r="BB743" s="52"/>
      <c r="BC743" s="52"/>
      <c r="BD743" s="52"/>
      <c r="BE743" s="52"/>
      <c r="BF743" s="52"/>
      <c r="BG743" s="52"/>
      <c r="BH743" s="52"/>
      <c r="BI743" s="52"/>
      <c r="BJ743" s="52"/>
      <c r="BK743" s="52"/>
      <c r="BL743" s="52"/>
      <c r="BM743" s="52"/>
      <c r="BN743" s="52"/>
      <c r="BO743" s="52"/>
      <c r="BP743" s="52"/>
      <c r="BQ743" s="52"/>
      <c r="BR743" s="52"/>
      <c r="BS743" s="52"/>
      <c r="BT743" s="52"/>
      <c r="BU743" s="52"/>
      <c r="BV743" s="52"/>
    </row>
    <row r="744">
      <c r="AS744" s="52"/>
      <c r="AT744" s="52"/>
      <c r="AU744" s="52"/>
      <c r="AV744" s="52"/>
      <c r="AW744" s="52"/>
      <c r="AX744" s="52"/>
      <c r="AY744" s="52"/>
      <c r="AZ744" s="52"/>
      <c r="BA744" s="52"/>
      <c r="BB744" s="52"/>
      <c r="BC744" s="52"/>
      <c r="BD744" s="52"/>
      <c r="BE744" s="52"/>
      <c r="BF744" s="52"/>
      <c r="BG744" s="52"/>
      <c r="BH744" s="52"/>
      <c r="BI744" s="52"/>
      <c r="BJ744" s="52"/>
      <c r="BK744" s="52"/>
      <c r="BL744" s="52"/>
      <c r="BM744" s="52"/>
      <c r="BN744" s="52"/>
      <c r="BO744" s="52"/>
      <c r="BP744" s="52"/>
      <c r="BQ744" s="52"/>
      <c r="BR744" s="52"/>
      <c r="BS744" s="52"/>
      <c r="BT744" s="52"/>
      <c r="BU744" s="52"/>
      <c r="BV744" s="52"/>
    </row>
    <row r="745">
      <c r="AS745" s="52"/>
      <c r="AT745" s="52"/>
      <c r="AU745" s="52"/>
      <c r="AV745" s="52"/>
      <c r="AW745" s="52"/>
      <c r="AX745" s="52"/>
      <c r="AY745" s="52"/>
      <c r="AZ745" s="52"/>
      <c r="BA745" s="52"/>
      <c r="BB745" s="52"/>
      <c r="BC745" s="52"/>
      <c r="BD745" s="52"/>
      <c r="BE745" s="52"/>
      <c r="BF745" s="52"/>
      <c r="BG745" s="52"/>
      <c r="BH745" s="52"/>
      <c r="BI745" s="52"/>
      <c r="BJ745" s="52"/>
      <c r="BK745" s="52"/>
      <c r="BL745" s="52"/>
      <c r="BM745" s="52"/>
      <c r="BN745" s="52"/>
      <c r="BO745" s="52"/>
      <c r="BP745" s="52"/>
      <c r="BQ745" s="52"/>
      <c r="BR745" s="52"/>
      <c r="BS745" s="52"/>
      <c r="BT745" s="52"/>
      <c r="BU745" s="52"/>
      <c r="BV745" s="52"/>
    </row>
    <row r="746">
      <c r="AS746" s="52"/>
      <c r="AT746" s="52"/>
      <c r="AU746" s="52"/>
      <c r="AV746" s="52"/>
      <c r="AW746" s="52"/>
      <c r="AX746" s="52"/>
      <c r="AY746" s="52"/>
      <c r="AZ746" s="52"/>
      <c r="BA746" s="52"/>
      <c r="BB746" s="52"/>
      <c r="BC746" s="52"/>
      <c r="BD746" s="52"/>
      <c r="BE746" s="52"/>
      <c r="BF746" s="52"/>
      <c r="BG746" s="52"/>
      <c r="BH746" s="52"/>
      <c r="BI746" s="52"/>
      <c r="BJ746" s="52"/>
      <c r="BK746" s="52"/>
      <c r="BL746" s="52"/>
      <c r="BM746" s="52"/>
      <c r="BN746" s="52"/>
      <c r="BO746" s="52"/>
      <c r="BP746" s="52"/>
      <c r="BQ746" s="52"/>
      <c r="BR746" s="52"/>
      <c r="BS746" s="52"/>
      <c r="BT746" s="52"/>
      <c r="BU746" s="52"/>
      <c r="BV746" s="52"/>
    </row>
    <row r="747">
      <c r="AS747" s="52"/>
      <c r="AT747" s="52"/>
      <c r="AU747" s="52"/>
      <c r="AV747" s="52"/>
      <c r="AW747" s="52"/>
      <c r="AX747" s="52"/>
      <c r="AY747" s="52"/>
      <c r="AZ747" s="52"/>
      <c r="BA747" s="52"/>
      <c r="BB747" s="52"/>
      <c r="BC747" s="52"/>
      <c r="BD747" s="52"/>
      <c r="BE747" s="52"/>
      <c r="BF747" s="52"/>
      <c r="BG747" s="52"/>
      <c r="BH747" s="52"/>
      <c r="BI747" s="52"/>
      <c r="BJ747" s="52"/>
      <c r="BK747" s="52"/>
      <c r="BL747" s="52"/>
      <c r="BM747" s="52"/>
      <c r="BN747" s="52"/>
      <c r="BO747" s="52"/>
      <c r="BP747" s="52"/>
      <c r="BQ747" s="52"/>
      <c r="BR747" s="52"/>
      <c r="BS747" s="52"/>
      <c r="BT747" s="52"/>
      <c r="BU747" s="52"/>
      <c r="BV747" s="52"/>
    </row>
    <row r="748">
      <c r="AS748" s="52"/>
      <c r="AT748" s="52"/>
      <c r="AU748" s="52"/>
      <c r="AV748" s="52"/>
      <c r="AW748" s="52"/>
      <c r="AX748" s="52"/>
      <c r="AY748" s="52"/>
      <c r="AZ748" s="52"/>
      <c r="BA748" s="52"/>
      <c r="BB748" s="52"/>
      <c r="BC748" s="52"/>
      <c r="BD748" s="52"/>
      <c r="BE748" s="52"/>
      <c r="BF748" s="52"/>
      <c r="BG748" s="52"/>
      <c r="BH748" s="52"/>
      <c r="BI748" s="52"/>
      <c r="BJ748" s="52"/>
      <c r="BK748" s="52"/>
      <c r="BL748" s="52"/>
      <c r="BM748" s="52"/>
      <c r="BN748" s="52"/>
      <c r="BO748" s="52"/>
      <c r="BP748" s="52"/>
      <c r="BQ748" s="52"/>
      <c r="BR748" s="52"/>
      <c r="BS748" s="52"/>
      <c r="BT748" s="52"/>
      <c r="BU748" s="52"/>
      <c r="BV748" s="52"/>
    </row>
    <row r="749">
      <c r="AS749" s="52"/>
      <c r="AT749" s="52"/>
      <c r="AU749" s="52"/>
      <c r="AV749" s="52"/>
      <c r="AW749" s="52"/>
      <c r="AX749" s="52"/>
      <c r="AY749" s="52"/>
      <c r="AZ749" s="52"/>
      <c r="BA749" s="52"/>
      <c r="BB749" s="52"/>
      <c r="BC749" s="52"/>
      <c r="BD749" s="52"/>
      <c r="BE749" s="52"/>
      <c r="BF749" s="52"/>
      <c r="BG749" s="52"/>
      <c r="BH749" s="52"/>
      <c r="BI749" s="52"/>
      <c r="BJ749" s="52"/>
      <c r="BK749" s="52"/>
      <c r="BL749" s="52"/>
      <c r="BM749" s="52"/>
      <c r="BN749" s="52"/>
      <c r="BO749" s="52"/>
      <c r="BP749" s="52"/>
      <c r="BQ749" s="52"/>
      <c r="BR749" s="52"/>
      <c r="BS749" s="52"/>
      <c r="BT749" s="52"/>
      <c r="BU749" s="52"/>
      <c r="BV749" s="52"/>
    </row>
    <row r="750">
      <c r="AS750" s="52"/>
      <c r="AT750" s="52"/>
      <c r="AU750" s="52"/>
      <c r="AV750" s="52"/>
      <c r="AW750" s="52"/>
      <c r="AX750" s="52"/>
      <c r="AY750" s="52"/>
      <c r="AZ750" s="52"/>
      <c r="BA750" s="52"/>
      <c r="BB750" s="52"/>
      <c r="BC750" s="52"/>
      <c r="BD750" s="52"/>
      <c r="BE750" s="52"/>
      <c r="BF750" s="52"/>
      <c r="BG750" s="52"/>
      <c r="BH750" s="52"/>
      <c r="BI750" s="52"/>
      <c r="BJ750" s="52"/>
      <c r="BK750" s="52"/>
      <c r="BL750" s="52"/>
      <c r="BM750" s="52"/>
      <c r="BN750" s="52"/>
      <c r="BO750" s="52"/>
      <c r="BP750" s="52"/>
      <c r="BQ750" s="52"/>
      <c r="BR750" s="52"/>
      <c r="BS750" s="52"/>
      <c r="BT750" s="52"/>
      <c r="BU750" s="52"/>
      <c r="BV750" s="52"/>
    </row>
    <row r="751">
      <c r="AS751" s="52"/>
      <c r="AT751" s="52"/>
      <c r="AU751" s="52"/>
      <c r="AV751" s="52"/>
      <c r="AW751" s="52"/>
      <c r="AX751" s="52"/>
      <c r="AY751" s="52"/>
      <c r="AZ751" s="52"/>
      <c r="BA751" s="52"/>
      <c r="BB751" s="52"/>
      <c r="BC751" s="52"/>
      <c r="BD751" s="52"/>
      <c r="BE751" s="52"/>
      <c r="BF751" s="52"/>
      <c r="BG751" s="52"/>
      <c r="BH751" s="52"/>
      <c r="BI751" s="52"/>
      <c r="BJ751" s="52"/>
      <c r="BK751" s="52"/>
      <c r="BL751" s="52"/>
      <c r="BM751" s="52"/>
      <c r="BN751" s="52"/>
      <c r="BO751" s="52"/>
      <c r="BP751" s="52"/>
      <c r="BQ751" s="52"/>
      <c r="BR751" s="52"/>
      <c r="BS751" s="52"/>
      <c r="BT751" s="52"/>
      <c r="BU751" s="52"/>
      <c r="BV751" s="52"/>
    </row>
    <row r="752">
      <c r="AS752" s="52"/>
      <c r="AT752" s="52"/>
      <c r="AU752" s="52"/>
      <c r="AV752" s="52"/>
      <c r="AW752" s="52"/>
      <c r="AX752" s="52"/>
      <c r="AY752" s="52"/>
      <c r="AZ752" s="52"/>
      <c r="BA752" s="52"/>
      <c r="BB752" s="52"/>
      <c r="BC752" s="52"/>
      <c r="BD752" s="52"/>
      <c r="BE752" s="52"/>
      <c r="BF752" s="52"/>
      <c r="BG752" s="52"/>
      <c r="BH752" s="52"/>
      <c r="BI752" s="52"/>
      <c r="BJ752" s="52"/>
      <c r="BK752" s="52"/>
      <c r="BL752" s="52"/>
      <c r="BM752" s="52"/>
      <c r="BN752" s="52"/>
      <c r="BO752" s="52"/>
      <c r="BP752" s="52"/>
      <c r="BQ752" s="52"/>
      <c r="BR752" s="52"/>
      <c r="BS752" s="52"/>
      <c r="BT752" s="52"/>
      <c r="BU752" s="52"/>
      <c r="BV752" s="52"/>
    </row>
    <row r="753">
      <c r="AS753" s="52"/>
      <c r="AT753" s="52"/>
      <c r="AU753" s="52"/>
      <c r="AV753" s="52"/>
      <c r="AW753" s="52"/>
      <c r="AX753" s="52"/>
      <c r="AY753" s="52"/>
      <c r="AZ753" s="52"/>
      <c r="BA753" s="52"/>
      <c r="BB753" s="52"/>
      <c r="BC753" s="52"/>
      <c r="BD753" s="52"/>
      <c r="BE753" s="52"/>
      <c r="BF753" s="52"/>
      <c r="BG753" s="52"/>
      <c r="BH753" s="52"/>
      <c r="BI753" s="52"/>
      <c r="BJ753" s="52"/>
      <c r="BK753" s="52"/>
      <c r="BL753" s="52"/>
      <c r="BM753" s="52"/>
      <c r="BN753" s="52"/>
      <c r="BO753" s="52"/>
      <c r="BP753" s="52"/>
      <c r="BQ753" s="52"/>
      <c r="BR753" s="52"/>
      <c r="BS753" s="52"/>
      <c r="BT753" s="52"/>
      <c r="BU753" s="52"/>
      <c r="BV753" s="52"/>
    </row>
    <row r="754">
      <c r="AS754" s="52"/>
      <c r="AT754" s="52"/>
      <c r="AU754" s="52"/>
      <c r="AV754" s="52"/>
      <c r="AW754" s="52"/>
      <c r="AX754" s="52"/>
      <c r="AY754" s="52"/>
      <c r="AZ754" s="52"/>
      <c r="BA754" s="52"/>
      <c r="BB754" s="52"/>
      <c r="BC754" s="52"/>
      <c r="BD754" s="52"/>
      <c r="BE754" s="52"/>
      <c r="BF754" s="52"/>
      <c r="BG754" s="52"/>
      <c r="BH754" s="52"/>
      <c r="BI754" s="52"/>
      <c r="BJ754" s="52"/>
      <c r="BK754" s="52"/>
      <c r="BL754" s="52"/>
      <c r="BM754" s="52"/>
      <c r="BN754" s="52"/>
      <c r="BO754" s="52"/>
      <c r="BP754" s="52"/>
      <c r="BQ754" s="52"/>
      <c r="BR754" s="52"/>
      <c r="BS754" s="52"/>
      <c r="BT754" s="52"/>
      <c r="BU754" s="52"/>
      <c r="BV754" s="52"/>
    </row>
    <row r="755">
      <c r="AS755" s="52"/>
      <c r="AT755" s="52"/>
      <c r="AU755" s="52"/>
      <c r="AV755" s="52"/>
      <c r="AW755" s="52"/>
      <c r="AX755" s="52"/>
      <c r="AY755" s="52"/>
      <c r="AZ755" s="52"/>
      <c r="BA755" s="52"/>
      <c r="BB755" s="52"/>
      <c r="BC755" s="52"/>
      <c r="BD755" s="52"/>
      <c r="BE755" s="52"/>
      <c r="BF755" s="52"/>
      <c r="BG755" s="52"/>
      <c r="BH755" s="52"/>
      <c r="BI755" s="52"/>
      <c r="BJ755" s="52"/>
      <c r="BK755" s="52"/>
      <c r="BL755" s="52"/>
      <c r="BM755" s="52"/>
      <c r="BN755" s="52"/>
      <c r="BO755" s="52"/>
      <c r="BP755" s="52"/>
      <c r="BQ755" s="52"/>
      <c r="BR755" s="52"/>
      <c r="BS755" s="52"/>
      <c r="BT755" s="52"/>
      <c r="BU755" s="52"/>
      <c r="BV755" s="52"/>
    </row>
    <row r="756">
      <c r="AS756" s="52"/>
      <c r="AT756" s="52"/>
      <c r="AU756" s="52"/>
      <c r="AV756" s="52"/>
      <c r="AW756" s="52"/>
      <c r="AX756" s="52"/>
      <c r="AY756" s="52"/>
      <c r="AZ756" s="52"/>
      <c r="BA756" s="52"/>
      <c r="BB756" s="52"/>
      <c r="BC756" s="52"/>
      <c r="BD756" s="52"/>
      <c r="BE756" s="52"/>
      <c r="BF756" s="52"/>
      <c r="BG756" s="52"/>
      <c r="BH756" s="52"/>
      <c r="BI756" s="52"/>
      <c r="BJ756" s="52"/>
      <c r="BK756" s="52"/>
      <c r="BL756" s="52"/>
      <c r="BM756" s="52"/>
      <c r="BN756" s="52"/>
      <c r="BO756" s="52"/>
      <c r="BP756" s="52"/>
      <c r="BQ756" s="52"/>
      <c r="BR756" s="52"/>
      <c r="BS756" s="52"/>
      <c r="BT756" s="52"/>
      <c r="BU756" s="52"/>
      <c r="BV756" s="52"/>
    </row>
    <row r="757">
      <c r="AS757" s="52"/>
      <c r="AT757" s="52"/>
      <c r="AU757" s="52"/>
      <c r="AV757" s="52"/>
      <c r="AW757" s="52"/>
      <c r="AX757" s="52"/>
      <c r="AY757" s="52"/>
      <c r="AZ757" s="52"/>
      <c r="BA757" s="52"/>
      <c r="BB757" s="52"/>
      <c r="BC757" s="52"/>
      <c r="BD757" s="52"/>
      <c r="BE757" s="52"/>
      <c r="BF757" s="52"/>
      <c r="BG757" s="52"/>
      <c r="BH757" s="52"/>
      <c r="BI757" s="52"/>
      <c r="BJ757" s="52"/>
      <c r="BK757" s="52"/>
      <c r="BL757" s="52"/>
      <c r="BM757" s="52"/>
      <c r="BN757" s="52"/>
      <c r="BO757" s="52"/>
      <c r="BP757" s="52"/>
      <c r="BQ757" s="52"/>
      <c r="BR757" s="52"/>
      <c r="BS757" s="52"/>
      <c r="BT757" s="52"/>
      <c r="BU757" s="52"/>
      <c r="BV757" s="52"/>
    </row>
    <row r="758">
      <c r="AS758" s="52"/>
      <c r="AT758" s="52"/>
      <c r="AU758" s="52"/>
      <c r="AV758" s="52"/>
      <c r="AW758" s="52"/>
      <c r="AX758" s="52"/>
      <c r="AY758" s="52"/>
      <c r="AZ758" s="52"/>
      <c r="BA758" s="52"/>
      <c r="BB758" s="52"/>
      <c r="BC758" s="52"/>
      <c r="BD758" s="52"/>
      <c r="BE758" s="52"/>
      <c r="BF758" s="52"/>
      <c r="BG758" s="52"/>
      <c r="BH758" s="52"/>
      <c r="BI758" s="52"/>
      <c r="BJ758" s="52"/>
      <c r="BK758" s="52"/>
      <c r="BL758" s="52"/>
      <c r="BM758" s="52"/>
      <c r="BN758" s="52"/>
      <c r="BO758" s="52"/>
      <c r="BP758" s="52"/>
      <c r="BQ758" s="52"/>
      <c r="BR758" s="52"/>
      <c r="BS758" s="52"/>
      <c r="BT758" s="52"/>
      <c r="BU758" s="52"/>
      <c r="BV758" s="52"/>
    </row>
    <row r="759">
      <c r="AS759" s="52"/>
      <c r="AT759" s="52"/>
      <c r="AU759" s="52"/>
      <c r="AV759" s="52"/>
      <c r="AW759" s="52"/>
      <c r="AX759" s="52"/>
      <c r="AY759" s="52"/>
      <c r="AZ759" s="52"/>
      <c r="BA759" s="52"/>
      <c r="BB759" s="52"/>
      <c r="BC759" s="52"/>
      <c r="BD759" s="52"/>
      <c r="BE759" s="52"/>
      <c r="BF759" s="52"/>
      <c r="BG759" s="52"/>
      <c r="BH759" s="52"/>
      <c r="BI759" s="52"/>
      <c r="BJ759" s="52"/>
      <c r="BK759" s="52"/>
      <c r="BL759" s="52"/>
      <c r="BM759" s="52"/>
      <c r="BN759" s="52"/>
      <c r="BO759" s="52"/>
      <c r="BP759" s="52"/>
      <c r="BQ759" s="52"/>
      <c r="BR759" s="52"/>
      <c r="BS759" s="52"/>
      <c r="BT759" s="52"/>
      <c r="BU759" s="52"/>
      <c r="BV759" s="52"/>
    </row>
    <row r="760">
      <c r="AS760" s="52"/>
      <c r="AT760" s="52"/>
      <c r="AU760" s="52"/>
      <c r="AV760" s="52"/>
      <c r="AW760" s="52"/>
      <c r="AX760" s="52"/>
      <c r="AY760" s="52"/>
      <c r="AZ760" s="52"/>
      <c r="BA760" s="52"/>
      <c r="BB760" s="52"/>
      <c r="BC760" s="52"/>
      <c r="BD760" s="52"/>
      <c r="BE760" s="52"/>
      <c r="BF760" s="52"/>
      <c r="BG760" s="52"/>
      <c r="BH760" s="52"/>
      <c r="BI760" s="52"/>
      <c r="BJ760" s="52"/>
      <c r="BK760" s="52"/>
      <c r="BL760" s="52"/>
      <c r="BM760" s="52"/>
      <c r="BN760" s="52"/>
      <c r="BO760" s="52"/>
      <c r="BP760" s="52"/>
      <c r="BQ760" s="52"/>
      <c r="BR760" s="52"/>
      <c r="BS760" s="52"/>
      <c r="BT760" s="52"/>
      <c r="BU760" s="52"/>
      <c r="BV760" s="52"/>
    </row>
    <row r="761">
      <c r="AS761" s="52"/>
      <c r="AT761" s="52"/>
      <c r="AU761" s="52"/>
      <c r="AV761" s="52"/>
      <c r="AW761" s="52"/>
      <c r="AX761" s="52"/>
      <c r="AY761" s="52"/>
      <c r="AZ761" s="52"/>
      <c r="BA761" s="52"/>
      <c r="BB761" s="52"/>
      <c r="BC761" s="52"/>
      <c r="BD761" s="52"/>
      <c r="BE761" s="52"/>
      <c r="BF761" s="52"/>
      <c r="BG761" s="52"/>
      <c r="BH761" s="52"/>
      <c r="BI761" s="52"/>
      <c r="BJ761" s="52"/>
      <c r="BK761" s="52"/>
      <c r="BL761" s="52"/>
      <c r="BM761" s="52"/>
      <c r="BN761" s="52"/>
      <c r="BO761" s="52"/>
      <c r="BP761" s="52"/>
      <c r="BQ761" s="52"/>
      <c r="BR761" s="52"/>
      <c r="BS761" s="52"/>
      <c r="BT761" s="52"/>
      <c r="BU761" s="52"/>
      <c r="BV761" s="52"/>
    </row>
    <row r="762">
      <c r="AS762" s="52"/>
      <c r="AT762" s="52"/>
      <c r="AU762" s="52"/>
      <c r="AV762" s="52"/>
      <c r="AW762" s="52"/>
      <c r="AX762" s="52"/>
      <c r="AY762" s="52"/>
      <c r="AZ762" s="52"/>
      <c r="BA762" s="52"/>
      <c r="BB762" s="52"/>
      <c r="BC762" s="52"/>
      <c r="BD762" s="52"/>
      <c r="BE762" s="52"/>
      <c r="BF762" s="52"/>
      <c r="BG762" s="52"/>
      <c r="BH762" s="52"/>
      <c r="BI762" s="52"/>
      <c r="BJ762" s="52"/>
      <c r="BK762" s="52"/>
      <c r="BL762" s="52"/>
      <c r="BM762" s="52"/>
      <c r="BN762" s="52"/>
      <c r="BO762" s="52"/>
      <c r="BP762" s="52"/>
      <c r="BQ762" s="52"/>
      <c r="BR762" s="52"/>
      <c r="BS762" s="52"/>
      <c r="BT762" s="52"/>
      <c r="BU762" s="52"/>
      <c r="BV762" s="52"/>
    </row>
    <row r="763">
      <c r="AS763" s="52"/>
      <c r="AT763" s="52"/>
      <c r="AU763" s="52"/>
      <c r="AV763" s="52"/>
      <c r="AW763" s="52"/>
      <c r="AX763" s="52"/>
      <c r="AY763" s="52"/>
      <c r="AZ763" s="52"/>
      <c r="BA763" s="52"/>
      <c r="BB763" s="52"/>
      <c r="BC763" s="52"/>
      <c r="BD763" s="52"/>
      <c r="BE763" s="52"/>
      <c r="BF763" s="52"/>
      <c r="BG763" s="52"/>
      <c r="BH763" s="52"/>
      <c r="BI763" s="52"/>
      <c r="BJ763" s="52"/>
      <c r="BK763" s="52"/>
      <c r="BL763" s="52"/>
      <c r="BM763" s="52"/>
      <c r="BN763" s="52"/>
      <c r="BO763" s="52"/>
      <c r="BP763" s="52"/>
      <c r="BQ763" s="52"/>
      <c r="BR763" s="52"/>
      <c r="BS763" s="52"/>
      <c r="BT763" s="52"/>
      <c r="BU763" s="52"/>
      <c r="BV763" s="52"/>
    </row>
    <row r="764">
      <c r="AS764" s="52"/>
      <c r="AT764" s="52"/>
      <c r="AU764" s="52"/>
      <c r="AV764" s="52"/>
      <c r="AW764" s="52"/>
      <c r="AX764" s="52"/>
      <c r="AY764" s="52"/>
      <c r="AZ764" s="52"/>
      <c r="BA764" s="52"/>
      <c r="BB764" s="52"/>
      <c r="BC764" s="52"/>
      <c r="BD764" s="52"/>
      <c r="BE764" s="52"/>
      <c r="BF764" s="52"/>
      <c r="BG764" s="52"/>
      <c r="BH764" s="52"/>
      <c r="BI764" s="52"/>
      <c r="BJ764" s="52"/>
      <c r="BK764" s="52"/>
      <c r="BL764" s="52"/>
      <c r="BM764" s="52"/>
      <c r="BN764" s="52"/>
      <c r="BO764" s="52"/>
      <c r="BP764" s="52"/>
      <c r="BQ764" s="52"/>
      <c r="BR764" s="52"/>
      <c r="BS764" s="52"/>
      <c r="BT764" s="52"/>
      <c r="BU764" s="52"/>
      <c r="BV764" s="52"/>
    </row>
    <row r="765">
      <c r="AS765" s="52"/>
      <c r="AT765" s="52"/>
      <c r="AU765" s="52"/>
      <c r="AV765" s="52"/>
      <c r="AW765" s="52"/>
      <c r="AX765" s="52"/>
      <c r="AY765" s="52"/>
      <c r="AZ765" s="52"/>
      <c r="BA765" s="52"/>
      <c r="BB765" s="52"/>
      <c r="BC765" s="52"/>
      <c r="BD765" s="52"/>
      <c r="BE765" s="52"/>
      <c r="BF765" s="52"/>
      <c r="BG765" s="52"/>
      <c r="BH765" s="52"/>
      <c r="BI765" s="52"/>
      <c r="BJ765" s="52"/>
      <c r="BK765" s="52"/>
      <c r="BL765" s="52"/>
      <c r="BM765" s="52"/>
      <c r="BN765" s="52"/>
      <c r="BO765" s="52"/>
      <c r="BP765" s="52"/>
      <c r="BQ765" s="52"/>
      <c r="BR765" s="52"/>
      <c r="BS765" s="52"/>
      <c r="BT765" s="52"/>
      <c r="BU765" s="52"/>
      <c r="BV765" s="52"/>
    </row>
    <row r="766">
      <c r="AS766" s="52"/>
      <c r="AT766" s="52"/>
      <c r="AU766" s="52"/>
      <c r="AV766" s="52"/>
      <c r="AW766" s="52"/>
      <c r="AX766" s="52"/>
      <c r="AY766" s="52"/>
      <c r="AZ766" s="52"/>
      <c r="BA766" s="52"/>
      <c r="BB766" s="52"/>
      <c r="BC766" s="52"/>
      <c r="BD766" s="52"/>
      <c r="BE766" s="52"/>
      <c r="BF766" s="52"/>
      <c r="BG766" s="52"/>
      <c r="BH766" s="52"/>
      <c r="BI766" s="52"/>
      <c r="BJ766" s="52"/>
      <c r="BK766" s="52"/>
      <c r="BL766" s="52"/>
      <c r="BM766" s="52"/>
      <c r="BN766" s="52"/>
      <c r="BO766" s="52"/>
      <c r="BP766" s="52"/>
      <c r="BQ766" s="52"/>
      <c r="BR766" s="52"/>
      <c r="BS766" s="52"/>
      <c r="BT766" s="52"/>
      <c r="BU766" s="52"/>
      <c r="BV766" s="52"/>
    </row>
    <row r="767">
      <c r="AS767" s="52"/>
      <c r="AT767" s="52"/>
      <c r="AU767" s="52"/>
      <c r="AV767" s="52"/>
      <c r="AW767" s="52"/>
      <c r="AX767" s="52"/>
      <c r="AY767" s="52"/>
      <c r="AZ767" s="52"/>
      <c r="BA767" s="52"/>
      <c r="BB767" s="52"/>
      <c r="BC767" s="52"/>
      <c r="BD767" s="52"/>
      <c r="BE767" s="52"/>
      <c r="BF767" s="52"/>
      <c r="BG767" s="52"/>
      <c r="BH767" s="52"/>
      <c r="BI767" s="52"/>
      <c r="BJ767" s="52"/>
      <c r="BK767" s="52"/>
      <c r="BL767" s="52"/>
      <c r="BM767" s="52"/>
      <c r="BN767" s="52"/>
      <c r="BO767" s="52"/>
      <c r="BP767" s="52"/>
      <c r="BQ767" s="52"/>
      <c r="BR767" s="52"/>
      <c r="BS767" s="52"/>
      <c r="BT767" s="52"/>
      <c r="BU767" s="52"/>
      <c r="BV767" s="52"/>
    </row>
    <row r="768">
      <c r="AS768" s="52"/>
      <c r="AT768" s="52"/>
      <c r="AU768" s="52"/>
      <c r="AV768" s="52"/>
      <c r="AW768" s="52"/>
      <c r="AX768" s="52"/>
      <c r="AY768" s="52"/>
      <c r="AZ768" s="52"/>
      <c r="BA768" s="52"/>
      <c r="BB768" s="52"/>
      <c r="BC768" s="52"/>
      <c r="BD768" s="52"/>
      <c r="BE768" s="52"/>
      <c r="BF768" s="52"/>
      <c r="BG768" s="52"/>
      <c r="BH768" s="52"/>
      <c r="BI768" s="52"/>
      <c r="BJ768" s="52"/>
      <c r="BK768" s="52"/>
      <c r="BL768" s="52"/>
      <c r="BM768" s="52"/>
      <c r="BN768" s="52"/>
      <c r="BO768" s="52"/>
      <c r="BP768" s="52"/>
      <c r="BQ768" s="52"/>
      <c r="BR768" s="52"/>
      <c r="BS768" s="52"/>
      <c r="BT768" s="52"/>
      <c r="BU768" s="52"/>
      <c r="BV768" s="52"/>
    </row>
    <row r="769">
      <c r="AS769" s="52"/>
      <c r="AT769" s="52"/>
      <c r="AU769" s="52"/>
      <c r="AV769" s="52"/>
      <c r="AW769" s="52"/>
      <c r="AX769" s="52"/>
      <c r="AY769" s="52"/>
      <c r="AZ769" s="52"/>
      <c r="BA769" s="52"/>
      <c r="BB769" s="52"/>
      <c r="BC769" s="52"/>
      <c r="BD769" s="52"/>
      <c r="BE769" s="52"/>
      <c r="BF769" s="52"/>
      <c r="BG769" s="52"/>
      <c r="BH769" s="52"/>
      <c r="BI769" s="52"/>
      <c r="BJ769" s="52"/>
      <c r="BK769" s="52"/>
      <c r="BL769" s="52"/>
      <c r="BM769" s="52"/>
      <c r="BN769" s="52"/>
      <c r="BO769" s="52"/>
      <c r="BP769" s="52"/>
      <c r="BQ769" s="52"/>
      <c r="BR769" s="52"/>
      <c r="BS769" s="52"/>
      <c r="BT769" s="52"/>
      <c r="BU769" s="52"/>
      <c r="BV769" s="52"/>
    </row>
    <row r="770">
      <c r="AS770" s="52"/>
      <c r="AT770" s="52"/>
      <c r="AU770" s="52"/>
      <c r="AV770" s="52"/>
      <c r="AW770" s="52"/>
      <c r="AX770" s="52"/>
      <c r="AY770" s="52"/>
      <c r="AZ770" s="52"/>
      <c r="BA770" s="52"/>
      <c r="BB770" s="52"/>
      <c r="BC770" s="52"/>
      <c r="BD770" s="52"/>
      <c r="BE770" s="52"/>
      <c r="BF770" s="52"/>
      <c r="BG770" s="52"/>
      <c r="BH770" s="52"/>
      <c r="BI770" s="52"/>
      <c r="BJ770" s="52"/>
      <c r="BK770" s="52"/>
      <c r="BL770" s="52"/>
      <c r="BM770" s="52"/>
      <c r="BN770" s="52"/>
      <c r="BO770" s="52"/>
      <c r="BP770" s="52"/>
      <c r="BQ770" s="52"/>
      <c r="BR770" s="52"/>
      <c r="BS770" s="52"/>
      <c r="BT770" s="52"/>
      <c r="BU770" s="52"/>
      <c r="BV770" s="52"/>
    </row>
    <row r="771">
      <c r="AS771" s="52"/>
      <c r="AT771" s="52"/>
      <c r="AU771" s="52"/>
      <c r="AV771" s="52"/>
      <c r="AW771" s="52"/>
      <c r="AX771" s="52"/>
      <c r="AY771" s="52"/>
      <c r="AZ771" s="52"/>
      <c r="BA771" s="52"/>
      <c r="BB771" s="52"/>
      <c r="BC771" s="52"/>
      <c r="BD771" s="52"/>
      <c r="BE771" s="52"/>
      <c r="BF771" s="52"/>
      <c r="BG771" s="52"/>
      <c r="BH771" s="52"/>
      <c r="BI771" s="52"/>
      <c r="BJ771" s="52"/>
      <c r="BK771" s="52"/>
      <c r="BL771" s="52"/>
      <c r="BM771" s="52"/>
      <c r="BN771" s="52"/>
      <c r="BO771" s="52"/>
      <c r="BP771" s="52"/>
      <c r="BQ771" s="52"/>
      <c r="BR771" s="52"/>
      <c r="BS771" s="52"/>
      <c r="BT771" s="52"/>
      <c r="BU771" s="52"/>
      <c r="BV771" s="52"/>
    </row>
    <row r="772">
      <c r="AS772" s="52"/>
      <c r="AT772" s="52"/>
      <c r="AU772" s="52"/>
      <c r="AV772" s="52"/>
      <c r="AW772" s="52"/>
      <c r="AX772" s="52"/>
      <c r="AY772" s="52"/>
      <c r="AZ772" s="52"/>
      <c r="BA772" s="52"/>
      <c r="BB772" s="52"/>
      <c r="BC772" s="52"/>
      <c r="BD772" s="52"/>
      <c r="BE772" s="52"/>
      <c r="BF772" s="52"/>
      <c r="BG772" s="52"/>
      <c r="BH772" s="52"/>
      <c r="BI772" s="52"/>
      <c r="BJ772" s="52"/>
      <c r="BK772" s="52"/>
      <c r="BL772" s="52"/>
      <c r="BM772" s="52"/>
      <c r="BN772" s="52"/>
      <c r="BO772" s="52"/>
      <c r="BP772" s="52"/>
      <c r="BQ772" s="52"/>
      <c r="BR772" s="52"/>
      <c r="BS772" s="52"/>
      <c r="BT772" s="52"/>
      <c r="BU772" s="52"/>
      <c r="BV772" s="52"/>
    </row>
    <row r="773">
      <c r="AS773" s="52"/>
      <c r="AT773" s="52"/>
      <c r="AU773" s="52"/>
      <c r="AV773" s="52"/>
      <c r="AW773" s="52"/>
      <c r="AX773" s="52"/>
      <c r="AY773" s="52"/>
      <c r="AZ773" s="52"/>
      <c r="BA773" s="52"/>
      <c r="BB773" s="52"/>
      <c r="BC773" s="52"/>
      <c r="BD773" s="52"/>
      <c r="BE773" s="52"/>
      <c r="BF773" s="52"/>
      <c r="BG773" s="52"/>
      <c r="BH773" s="52"/>
      <c r="BI773" s="52"/>
      <c r="BJ773" s="52"/>
      <c r="BK773" s="52"/>
      <c r="BL773" s="52"/>
      <c r="BM773" s="52"/>
      <c r="BN773" s="52"/>
      <c r="BO773" s="52"/>
      <c r="BP773" s="52"/>
      <c r="BQ773" s="52"/>
      <c r="BR773" s="52"/>
      <c r="BS773" s="52"/>
      <c r="BT773" s="52"/>
      <c r="BU773" s="52"/>
      <c r="BV773" s="52"/>
    </row>
    <row r="774">
      <c r="AS774" s="52"/>
      <c r="AT774" s="52"/>
      <c r="AU774" s="52"/>
      <c r="AV774" s="52"/>
      <c r="AW774" s="52"/>
      <c r="AX774" s="52"/>
      <c r="AY774" s="52"/>
      <c r="AZ774" s="52"/>
      <c r="BA774" s="52"/>
      <c r="BB774" s="52"/>
      <c r="BC774" s="52"/>
      <c r="BD774" s="52"/>
      <c r="BE774" s="52"/>
      <c r="BF774" s="52"/>
      <c r="BG774" s="52"/>
      <c r="BH774" s="52"/>
      <c r="BI774" s="52"/>
      <c r="BJ774" s="52"/>
      <c r="BK774" s="52"/>
      <c r="BL774" s="52"/>
      <c r="BM774" s="52"/>
      <c r="BN774" s="52"/>
      <c r="BO774" s="52"/>
      <c r="BP774" s="52"/>
      <c r="BQ774" s="52"/>
      <c r="BR774" s="52"/>
      <c r="BS774" s="52"/>
      <c r="BT774" s="52"/>
      <c r="BU774" s="52"/>
      <c r="BV774" s="52"/>
    </row>
    <row r="775">
      <c r="AS775" s="52"/>
      <c r="AT775" s="52"/>
      <c r="AU775" s="52"/>
      <c r="AV775" s="52"/>
      <c r="AW775" s="52"/>
      <c r="AX775" s="52"/>
      <c r="AY775" s="52"/>
      <c r="AZ775" s="52"/>
      <c r="BA775" s="52"/>
      <c r="BB775" s="52"/>
      <c r="BC775" s="52"/>
      <c r="BD775" s="52"/>
      <c r="BE775" s="52"/>
      <c r="BF775" s="52"/>
      <c r="BG775" s="52"/>
      <c r="BH775" s="52"/>
      <c r="BI775" s="52"/>
      <c r="BJ775" s="52"/>
      <c r="BK775" s="52"/>
      <c r="BL775" s="52"/>
      <c r="BM775" s="52"/>
      <c r="BN775" s="52"/>
      <c r="BO775" s="52"/>
      <c r="BP775" s="52"/>
      <c r="BQ775" s="52"/>
      <c r="BR775" s="52"/>
      <c r="BS775" s="52"/>
      <c r="BT775" s="52"/>
      <c r="BU775" s="52"/>
      <c r="BV775" s="52"/>
    </row>
    <row r="776">
      <c r="AS776" s="52"/>
      <c r="AT776" s="52"/>
      <c r="AU776" s="52"/>
      <c r="AV776" s="52"/>
      <c r="AW776" s="52"/>
      <c r="AX776" s="52"/>
      <c r="AY776" s="52"/>
      <c r="AZ776" s="52"/>
      <c r="BA776" s="52"/>
      <c r="BB776" s="52"/>
      <c r="BC776" s="52"/>
      <c r="BD776" s="52"/>
      <c r="BE776" s="52"/>
      <c r="BF776" s="52"/>
      <c r="BG776" s="52"/>
      <c r="BH776" s="52"/>
      <c r="BI776" s="52"/>
      <c r="BJ776" s="52"/>
      <c r="BK776" s="52"/>
      <c r="BL776" s="52"/>
      <c r="BM776" s="52"/>
      <c r="BN776" s="52"/>
      <c r="BO776" s="52"/>
      <c r="BP776" s="52"/>
      <c r="BQ776" s="52"/>
      <c r="BR776" s="52"/>
      <c r="BS776" s="52"/>
      <c r="BT776" s="52"/>
      <c r="BU776" s="52"/>
      <c r="BV776" s="52"/>
    </row>
    <row r="777">
      <c r="AS777" s="52"/>
      <c r="AT777" s="52"/>
      <c r="AU777" s="52"/>
      <c r="AV777" s="52"/>
      <c r="AW777" s="52"/>
      <c r="AX777" s="52"/>
      <c r="AY777" s="52"/>
      <c r="AZ777" s="52"/>
      <c r="BA777" s="52"/>
      <c r="BB777" s="52"/>
      <c r="BC777" s="52"/>
      <c r="BD777" s="52"/>
      <c r="BE777" s="52"/>
      <c r="BF777" s="52"/>
      <c r="BG777" s="52"/>
      <c r="BH777" s="52"/>
      <c r="BI777" s="52"/>
      <c r="BJ777" s="52"/>
      <c r="BK777" s="52"/>
      <c r="BL777" s="52"/>
      <c r="BM777" s="52"/>
      <c r="BN777" s="52"/>
      <c r="BO777" s="52"/>
      <c r="BP777" s="52"/>
      <c r="BQ777" s="52"/>
      <c r="BR777" s="52"/>
      <c r="BS777" s="52"/>
      <c r="BT777" s="52"/>
      <c r="BU777" s="52"/>
      <c r="BV777" s="52"/>
    </row>
    <row r="778">
      <c r="AS778" s="52"/>
      <c r="AT778" s="52"/>
      <c r="AU778" s="52"/>
      <c r="AV778" s="52"/>
      <c r="AW778" s="52"/>
      <c r="AX778" s="52"/>
      <c r="AY778" s="52"/>
      <c r="AZ778" s="52"/>
      <c r="BA778" s="52"/>
      <c r="BB778" s="52"/>
      <c r="BC778" s="52"/>
      <c r="BD778" s="52"/>
      <c r="BE778" s="52"/>
      <c r="BF778" s="52"/>
      <c r="BG778" s="52"/>
      <c r="BH778" s="52"/>
      <c r="BI778" s="52"/>
      <c r="BJ778" s="52"/>
      <c r="BK778" s="52"/>
      <c r="BL778" s="52"/>
      <c r="BM778" s="52"/>
      <c r="BN778" s="52"/>
      <c r="BO778" s="52"/>
      <c r="BP778" s="52"/>
      <c r="BQ778" s="52"/>
      <c r="BR778" s="52"/>
      <c r="BS778" s="52"/>
      <c r="BT778" s="52"/>
      <c r="BU778" s="52"/>
      <c r="BV778" s="52"/>
    </row>
    <row r="779">
      <c r="AS779" s="52"/>
      <c r="AT779" s="52"/>
      <c r="AU779" s="52"/>
      <c r="AV779" s="52"/>
      <c r="AW779" s="52"/>
      <c r="AX779" s="52"/>
      <c r="AY779" s="52"/>
      <c r="AZ779" s="52"/>
      <c r="BA779" s="52"/>
      <c r="BB779" s="52"/>
      <c r="BC779" s="52"/>
      <c r="BD779" s="52"/>
      <c r="BE779" s="52"/>
      <c r="BF779" s="52"/>
      <c r="BG779" s="52"/>
      <c r="BH779" s="52"/>
      <c r="BI779" s="52"/>
      <c r="BJ779" s="52"/>
      <c r="BK779" s="52"/>
      <c r="BL779" s="52"/>
      <c r="BM779" s="52"/>
      <c r="BN779" s="52"/>
      <c r="BO779" s="52"/>
      <c r="BP779" s="52"/>
      <c r="BQ779" s="52"/>
      <c r="BR779" s="52"/>
      <c r="BS779" s="52"/>
      <c r="BT779" s="52"/>
      <c r="BU779" s="52"/>
      <c r="BV779" s="52"/>
    </row>
    <row r="780">
      <c r="AS780" s="52"/>
      <c r="AT780" s="52"/>
      <c r="AU780" s="52"/>
      <c r="AV780" s="52"/>
      <c r="AW780" s="52"/>
      <c r="AX780" s="52"/>
      <c r="AY780" s="52"/>
      <c r="AZ780" s="52"/>
      <c r="BA780" s="52"/>
      <c r="BB780" s="52"/>
      <c r="BC780" s="52"/>
      <c r="BD780" s="52"/>
      <c r="BE780" s="52"/>
      <c r="BF780" s="52"/>
      <c r="BG780" s="52"/>
      <c r="BH780" s="52"/>
      <c r="BI780" s="52"/>
      <c r="BJ780" s="52"/>
      <c r="BK780" s="52"/>
      <c r="BL780" s="52"/>
      <c r="BM780" s="52"/>
      <c r="BN780" s="52"/>
      <c r="BO780" s="52"/>
      <c r="BP780" s="52"/>
      <c r="BQ780" s="52"/>
      <c r="BR780" s="52"/>
      <c r="BS780" s="52"/>
      <c r="BT780" s="52"/>
      <c r="BU780" s="52"/>
      <c r="BV780" s="52"/>
    </row>
    <row r="781">
      <c r="AS781" s="52"/>
      <c r="AT781" s="52"/>
      <c r="AU781" s="52"/>
      <c r="AV781" s="52"/>
      <c r="AW781" s="52"/>
      <c r="AX781" s="52"/>
      <c r="AY781" s="52"/>
      <c r="AZ781" s="52"/>
      <c r="BA781" s="52"/>
      <c r="BB781" s="52"/>
      <c r="BC781" s="52"/>
      <c r="BD781" s="52"/>
      <c r="BE781" s="52"/>
      <c r="BF781" s="52"/>
      <c r="BG781" s="52"/>
      <c r="BH781" s="52"/>
      <c r="BI781" s="52"/>
      <c r="BJ781" s="52"/>
      <c r="BK781" s="52"/>
      <c r="BL781" s="52"/>
      <c r="BM781" s="52"/>
      <c r="BN781" s="52"/>
      <c r="BO781" s="52"/>
      <c r="BP781" s="52"/>
      <c r="BQ781" s="52"/>
      <c r="BR781" s="52"/>
      <c r="BS781" s="52"/>
      <c r="BT781" s="52"/>
      <c r="BU781" s="52"/>
      <c r="BV781" s="52"/>
    </row>
    <row r="782">
      <c r="AS782" s="52"/>
      <c r="AT782" s="52"/>
      <c r="AU782" s="52"/>
      <c r="AV782" s="52"/>
      <c r="AW782" s="52"/>
      <c r="AX782" s="52"/>
      <c r="AY782" s="52"/>
      <c r="AZ782" s="52"/>
      <c r="BA782" s="52"/>
      <c r="BB782" s="52"/>
      <c r="BC782" s="52"/>
      <c r="BD782" s="52"/>
      <c r="BE782" s="52"/>
      <c r="BF782" s="52"/>
      <c r="BG782" s="52"/>
      <c r="BH782" s="52"/>
      <c r="BI782" s="52"/>
      <c r="BJ782" s="52"/>
      <c r="BK782" s="52"/>
      <c r="BL782" s="52"/>
      <c r="BM782" s="52"/>
      <c r="BN782" s="52"/>
      <c r="BO782" s="52"/>
      <c r="BP782" s="52"/>
      <c r="BQ782" s="52"/>
      <c r="BR782" s="52"/>
      <c r="BS782" s="52"/>
      <c r="BT782" s="52"/>
      <c r="BU782" s="52"/>
      <c r="BV782" s="52"/>
    </row>
    <row r="783">
      <c r="AS783" s="52"/>
      <c r="AT783" s="52"/>
      <c r="AU783" s="52"/>
      <c r="AV783" s="52"/>
      <c r="AW783" s="52"/>
      <c r="AX783" s="52"/>
      <c r="AY783" s="52"/>
      <c r="AZ783" s="52"/>
      <c r="BA783" s="52"/>
      <c r="BB783" s="52"/>
      <c r="BC783" s="52"/>
      <c r="BD783" s="52"/>
      <c r="BE783" s="52"/>
      <c r="BF783" s="52"/>
      <c r="BG783" s="52"/>
      <c r="BH783" s="52"/>
      <c r="BI783" s="52"/>
      <c r="BJ783" s="52"/>
      <c r="BK783" s="52"/>
      <c r="BL783" s="52"/>
      <c r="BM783" s="52"/>
      <c r="BN783" s="52"/>
      <c r="BO783" s="52"/>
      <c r="BP783" s="52"/>
      <c r="BQ783" s="52"/>
      <c r="BR783" s="52"/>
      <c r="BS783" s="52"/>
      <c r="BT783" s="52"/>
      <c r="BU783" s="52"/>
      <c r="BV783" s="52"/>
    </row>
    <row r="784">
      <c r="AS784" s="52"/>
      <c r="AT784" s="52"/>
      <c r="AU784" s="52"/>
      <c r="AV784" s="52"/>
      <c r="AW784" s="52"/>
      <c r="AX784" s="52"/>
      <c r="AY784" s="52"/>
      <c r="AZ784" s="52"/>
      <c r="BA784" s="52"/>
      <c r="BB784" s="52"/>
      <c r="BC784" s="52"/>
      <c r="BD784" s="52"/>
      <c r="BE784" s="52"/>
      <c r="BF784" s="52"/>
      <c r="BG784" s="52"/>
      <c r="BH784" s="52"/>
      <c r="BI784" s="52"/>
      <c r="BJ784" s="52"/>
      <c r="BK784" s="52"/>
      <c r="BL784" s="52"/>
      <c r="BM784" s="52"/>
      <c r="BN784" s="52"/>
      <c r="BO784" s="52"/>
      <c r="BP784" s="52"/>
      <c r="BQ784" s="52"/>
      <c r="BR784" s="52"/>
      <c r="BS784" s="52"/>
      <c r="BT784" s="52"/>
      <c r="BU784" s="52"/>
      <c r="BV784" s="52"/>
    </row>
    <row r="785">
      <c r="AS785" s="52"/>
      <c r="AT785" s="52"/>
      <c r="AU785" s="52"/>
      <c r="AV785" s="52"/>
      <c r="AW785" s="52"/>
      <c r="AX785" s="52"/>
      <c r="AY785" s="52"/>
      <c r="AZ785" s="52"/>
      <c r="BA785" s="52"/>
      <c r="BB785" s="52"/>
      <c r="BC785" s="52"/>
      <c r="BD785" s="52"/>
      <c r="BE785" s="52"/>
      <c r="BF785" s="52"/>
      <c r="BG785" s="52"/>
      <c r="BH785" s="52"/>
      <c r="BI785" s="52"/>
      <c r="BJ785" s="52"/>
      <c r="BK785" s="52"/>
      <c r="BL785" s="52"/>
      <c r="BM785" s="52"/>
      <c r="BN785" s="52"/>
      <c r="BO785" s="52"/>
      <c r="BP785" s="52"/>
      <c r="BQ785" s="52"/>
      <c r="BR785" s="52"/>
      <c r="BS785" s="52"/>
      <c r="BT785" s="52"/>
      <c r="BU785" s="52"/>
      <c r="BV785" s="52"/>
    </row>
    <row r="786">
      <c r="AS786" s="52"/>
      <c r="AT786" s="52"/>
      <c r="AU786" s="52"/>
      <c r="AV786" s="52"/>
      <c r="AW786" s="52"/>
      <c r="AX786" s="52"/>
      <c r="AY786" s="52"/>
      <c r="AZ786" s="52"/>
      <c r="BA786" s="52"/>
      <c r="BB786" s="52"/>
      <c r="BC786" s="52"/>
      <c r="BD786" s="52"/>
      <c r="BE786" s="52"/>
      <c r="BF786" s="52"/>
      <c r="BG786" s="52"/>
      <c r="BH786" s="52"/>
      <c r="BI786" s="52"/>
      <c r="BJ786" s="52"/>
      <c r="BK786" s="52"/>
      <c r="BL786" s="52"/>
      <c r="BM786" s="52"/>
      <c r="BN786" s="52"/>
      <c r="BO786" s="52"/>
      <c r="BP786" s="52"/>
      <c r="BQ786" s="52"/>
      <c r="BR786" s="52"/>
      <c r="BS786" s="52"/>
      <c r="BT786" s="52"/>
      <c r="BU786" s="52"/>
      <c r="BV786" s="52"/>
    </row>
    <row r="787">
      <c r="AS787" s="52"/>
      <c r="AT787" s="52"/>
      <c r="AU787" s="52"/>
      <c r="AV787" s="52"/>
      <c r="AW787" s="52"/>
      <c r="AX787" s="52"/>
      <c r="AY787" s="52"/>
      <c r="AZ787" s="52"/>
      <c r="BA787" s="52"/>
      <c r="BB787" s="52"/>
      <c r="BC787" s="52"/>
      <c r="BD787" s="52"/>
      <c r="BE787" s="52"/>
      <c r="BF787" s="52"/>
      <c r="BG787" s="52"/>
      <c r="BH787" s="52"/>
      <c r="BI787" s="52"/>
      <c r="BJ787" s="52"/>
      <c r="BK787" s="52"/>
      <c r="BL787" s="52"/>
      <c r="BM787" s="52"/>
      <c r="BN787" s="52"/>
      <c r="BO787" s="52"/>
      <c r="BP787" s="52"/>
      <c r="BQ787" s="52"/>
      <c r="BR787" s="52"/>
      <c r="BS787" s="52"/>
      <c r="BT787" s="52"/>
      <c r="BU787" s="52"/>
      <c r="BV787" s="52"/>
    </row>
    <row r="788">
      <c r="AS788" s="52"/>
      <c r="AT788" s="52"/>
      <c r="AU788" s="52"/>
      <c r="AV788" s="52"/>
      <c r="AW788" s="52"/>
      <c r="AX788" s="52"/>
      <c r="AY788" s="52"/>
      <c r="AZ788" s="52"/>
      <c r="BA788" s="52"/>
      <c r="BB788" s="52"/>
      <c r="BC788" s="52"/>
      <c r="BD788" s="52"/>
      <c r="BE788" s="52"/>
      <c r="BF788" s="52"/>
      <c r="BG788" s="52"/>
      <c r="BH788" s="52"/>
      <c r="BI788" s="52"/>
      <c r="BJ788" s="52"/>
      <c r="BK788" s="52"/>
      <c r="BL788" s="52"/>
      <c r="BM788" s="52"/>
      <c r="BN788" s="52"/>
      <c r="BO788" s="52"/>
      <c r="BP788" s="52"/>
      <c r="BQ788" s="52"/>
      <c r="BR788" s="52"/>
      <c r="BS788" s="52"/>
      <c r="BT788" s="52"/>
      <c r="BU788" s="52"/>
      <c r="BV788" s="52"/>
    </row>
    <row r="789">
      <c r="AS789" s="52"/>
      <c r="AT789" s="52"/>
      <c r="AU789" s="52"/>
      <c r="AV789" s="52"/>
      <c r="AW789" s="52"/>
      <c r="AX789" s="52"/>
      <c r="AY789" s="52"/>
      <c r="AZ789" s="52"/>
      <c r="BA789" s="52"/>
      <c r="BB789" s="52"/>
      <c r="BC789" s="52"/>
      <c r="BD789" s="52"/>
      <c r="BE789" s="52"/>
      <c r="BF789" s="52"/>
      <c r="BG789" s="52"/>
      <c r="BH789" s="52"/>
      <c r="BI789" s="52"/>
      <c r="BJ789" s="52"/>
      <c r="BK789" s="52"/>
      <c r="BL789" s="52"/>
      <c r="BM789" s="52"/>
      <c r="BN789" s="52"/>
      <c r="BO789" s="52"/>
      <c r="BP789" s="52"/>
      <c r="BQ789" s="52"/>
      <c r="BR789" s="52"/>
      <c r="BS789" s="52"/>
      <c r="BT789" s="52"/>
      <c r="BU789" s="52"/>
      <c r="BV789" s="52"/>
    </row>
    <row r="790">
      <c r="AS790" s="52"/>
      <c r="AT790" s="52"/>
      <c r="AU790" s="52"/>
      <c r="AV790" s="52"/>
      <c r="AW790" s="52"/>
      <c r="AX790" s="52"/>
      <c r="AY790" s="52"/>
      <c r="AZ790" s="52"/>
      <c r="BA790" s="52"/>
      <c r="BB790" s="52"/>
      <c r="BC790" s="52"/>
      <c r="BD790" s="52"/>
      <c r="BE790" s="52"/>
      <c r="BF790" s="52"/>
      <c r="BG790" s="52"/>
      <c r="BH790" s="52"/>
      <c r="BI790" s="52"/>
      <c r="BJ790" s="52"/>
      <c r="BK790" s="52"/>
      <c r="BL790" s="52"/>
      <c r="BM790" s="52"/>
      <c r="BN790" s="52"/>
      <c r="BO790" s="52"/>
      <c r="BP790" s="52"/>
      <c r="BQ790" s="52"/>
      <c r="BR790" s="52"/>
      <c r="BS790" s="52"/>
      <c r="BT790" s="52"/>
      <c r="BU790" s="52"/>
      <c r="BV790" s="52"/>
    </row>
    <row r="791">
      <c r="AS791" s="52"/>
      <c r="AT791" s="52"/>
      <c r="AU791" s="52"/>
      <c r="AV791" s="52"/>
      <c r="AW791" s="52"/>
      <c r="AX791" s="52"/>
      <c r="AY791" s="52"/>
      <c r="AZ791" s="52"/>
      <c r="BA791" s="52"/>
      <c r="BB791" s="52"/>
      <c r="BC791" s="52"/>
      <c r="BD791" s="52"/>
      <c r="BE791" s="52"/>
      <c r="BF791" s="52"/>
      <c r="BG791" s="52"/>
      <c r="BH791" s="52"/>
      <c r="BI791" s="52"/>
      <c r="BJ791" s="52"/>
      <c r="BK791" s="52"/>
      <c r="BL791" s="52"/>
      <c r="BM791" s="52"/>
      <c r="BN791" s="52"/>
      <c r="BO791" s="52"/>
      <c r="BP791" s="52"/>
      <c r="BQ791" s="52"/>
      <c r="BR791" s="52"/>
      <c r="BS791" s="52"/>
      <c r="BT791" s="52"/>
      <c r="BU791" s="52"/>
      <c r="BV791" s="52"/>
    </row>
    <row r="792">
      <c r="AS792" s="52"/>
      <c r="AT792" s="52"/>
      <c r="AU792" s="52"/>
      <c r="AV792" s="52"/>
      <c r="AW792" s="52"/>
      <c r="AX792" s="52"/>
      <c r="AY792" s="52"/>
      <c r="AZ792" s="52"/>
      <c r="BA792" s="52"/>
      <c r="BB792" s="52"/>
      <c r="BC792" s="52"/>
      <c r="BD792" s="52"/>
      <c r="BE792" s="52"/>
      <c r="BF792" s="52"/>
      <c r="BG792" s="52"/>
      <c r="BH792" s="52"/>
      <c r="BI792" s="52"/>
      <c r="BJ792" s="52"/>
      <c r="BK792" s="52"/>
      <c r="BL792" s="52"/>
      <c r="BM792" s="52"/>
      <c r="BN792" s="52"/>
      <c r="BO792" s="52"/>
      <c r="BP792" s="52"/>
      <c r="BQ792" s="52"/>
      <c r="BR792" s="52"/>
      <c r="BS792" s="52"/>
      <c r="BT792" s="52"/>
      <c r="BU792" s="52"/>
      <c r="BV792" s="52"/>
    </row>
    <row r="793">
      <c r="AS793" s="52"/>
      <c r="AT793" s="52"/>
      <c r="AU793" s="52"/>
      <c r="AV793" s="52"/>
      <c r="AW793" s="52"/>
      <c r="AX793" s="52"/>
      <c r="AY793" s="52"/>
      <c r="AZ793" s="52"/>
      <c r="BA793" s="52"/>
      <c r="BB793" s="52"/>
      <c r="BC793" s="52"/>
      <c r="BD793" s="52"/>
      <c r="BE793" s="52"/>
      <c r="BF793" s="52"/>
      <c r="BG793" s="52"/>
      <c r="BH793" s="52"/>
      <c r="BI793" s="52"/>
      <c r="BJ793" s="52"/>
      <c r="BK793" s="52"/>
      <c r="BL793" s="52"/>
      <c r="BM793" s="52"/>
      <c r="BN793" s="52"/>
      <c r="BO793" s="52"/>
      <c r="BP793" s="52"/>
      <c r="BQ793" s="52"/>
      <c r="BR793" s="52"/>
      <c r="BS793" s="52"/>
      <c r="BT793" s="52"/>
      <c r="BU793" s="52"/>
      <c r="BV793" s="52"/>
    </row>
    <row r="794">
      <c r="AS794" s="52"/>
      <c r="AT794" s="52"/>
      <c r="AU794" s="52"/>
      <c r="AV794" s="52"/>
      <c r="AW794" s="52"/>
      <c r="AX794" s="52"/>
      <c r="AY794" s="52"/>
      <c r="AZ794" s="52"/>
      <c r="BA794" s="52"/>
      <c r="BB794" s="52"/>
      <c r="BC794" s="52"/>
      <c r="BD794" s="52"/>
      <c r="BE794" s="52"/>
      <c r="BF794" s="52"/>
      <c r="BG794" s="52"/>
      <c r="BH794" s="52"/>
      <c r="BI794" s="52"/>
      <c r="BJ794" s="52"/>
      <c r="BK794" s="52"/>
      <c r="BL794" s="52"/>
      <c r="BM794" s="52"/>
      <c r="BN794" s="52"/>
      <c r="BO794" s="52"/>
      <c r="BP794" s="52"/>
      <c r="BQ794" s="52"/>
      <c r="BR794" s="52"/>
      <c r="BS794" s="52"/>
      <c r="BT794" s="52"/>
      <c r="BU794" s="52"/>
      <c r="BV794" s="52"/>
    </row>
    <row r="795">
      <c r="AS795" s="52"/>
      <c r="AT795" s="52"/>
      <c r="AU795" s="52"/>
      <c r="AV795" s="52"/>
      <c r="AW795" s="52"/>
      <c r="AX795" s="52"/>
      <c r="AY795" s="52"/>
      <c r="AZ795" s="52"/>
      <c r="BA795" s="52"/>
      <c r="BB795" s="52"/>
      <c r="BC795" s="52"/>
      <c r="BD795" s="52"/>
      <c r="BE795" s="52"/>
      <c r="BF795" s="52"/>
      <c r="BG795" s="52"/>
      <c r="BH795" s="52"/>
      <c r="BI795" s="52"/>
      <c r="BJ795" s="52"/>
      <c r="BK795" s="52"/>
      <c r="BL795" s="52"/>
      <c r="BM795" s="52"/>
      <c r="BN795" s="52"/>
      <c r="BO795" s="52"/>
      <c r="BP795" s="52"/>
      <c r="BQ795" s="52"/>
      <c r="BR795" s="52"/>
      <c r="BS795" s="52"/>
      <c r="BT795" s="52"/>
      <c r="BU795" s="52"/>
      <c r="BV795" s="52"/>
    </row>
    <row r="796">
      <c r="AS796" s="52"/>
      <c r="AT796" s="52"/>
      <c r="AU796" s="52"/>
      <c r="AV796" s="52"/>
      <c r="AW796" s="52"/>
      <c r="AX796" s="52"/>
      <c r="AY796" s="52"/>
      <c r="AZ796" s="52"/>
      <c r="BA796" s="52"/>
      <c r="BB796" s="52"/>
      <c r="BC796" s="52"/>
      <c r="BD796" s="52"/>
      <c r="BE796" s="52"/>
      <c r="BF796" s="52"/>
      <c r="BG796" s="52"/>
      <c r="BH796" s="52"/>
      <c r="BI796" s="52"/>
      <c r="BJ796" s="52"/>
      <c r="BK796" s="52"/>
      <c r="BL796" s="52"/>
      <c r="BM796" s="52"/>
      <c r="BN796" s="52"/>
      <c r="BO796" s="52"/>
      <c r="BP796" s="52"/>
      <c r="BQ796" s="52"/>
      <c r="BR796" s="52"/>
      <c r="BS796" s="52"/>
      <c r="BT796" s="52"/>
      <c r="BU796" s="52"/>
      <c r="BV796" s="52"/>
    </row>
    <row r="797">
      <c r="AS797" s="52"/>
      <c r="AT797" s="52"/>
      <c r="AU797" s="52"/>
      <c r="AV797" s="52"/>
      <c r="AW797" s="52"/>
      <c r="AX797" s="52"/>
      <c r="AY797" s="52"/>
      <c r="AZ797" s="52"/>
      <c r="BA797" s="52"/>
      <c r="BB797" s="52"/>
      <c r="BC797" s="52"/>
      <c r="BD797" s="52"/>
      <c r="BE797" s="52"/>
      <c r="BF797" s="52"/>
      <c r="BG797" s="52"/>
      <c r="BH797" s="52"/>
      <c r="BI797" s="52"/>
      <c r="BJ797" s="52"/>
      <c r="BK797" s="52"/>
      <c r="BL797" s="52"/>
      <c r="BM797" s="52"/>
      <c r="BN797" s="52"/>
      <c r="BO797" s="52"/>
      <c r="BP797" s="52"/>
      <c r="BQ797" s="52"/>
      <c r="BR797" s="52"/>
      <c r="BS797" s="52"/>
      <c r="BT797" s="52"/>
      <c r="BU797" s="52"/>
      <c r="BV797" s="52"/>
    </row>
    <row r="798">
      <c r="AS798" s="52"/>
      <c r="AT798" s="52"/>
      <c r="AU798" s="52"/>
      <c r="AV798" s="52"/>
      <c r="AW798" s="52"/>
      <c r="AX798" s="52"/>
      <c r="AY798" s="52"/>
      <c r="AZ798" s="52"/>
      <c r="BA798" s="52"/>
      <c r="BB798" s="52"/>
      <c r="BC798" s="52"/>
      <c r="BD798" s="52"/>
      <c r="BE798" s="52"/>
      <c r="BF798" s="52"/>
      <c r="BG798" s="52"/>
      <c r="BH798" s="52"/>
      <c r="BI798" s="52"/>
      <c r="BJ798" s="52"/>
      <c r="BK798" s="52"/>
      <c r="BL798" s="52"/>
      <c r="BM798" s="52"/>
      <c r="BN798" s="52"/>
      <c r="BO798" s="52"/>
      <c r="BP798" s="52"/>
      <c r="BQ798" s="52"/>
      <c r="BR798" s="52"/>
      <c r="BS798" s="52"/>
      <c r="BT798" s="52"/>
      <c r="BU798" s="52"/>
      <c r="BV798" s="52"/>
    </row>
    <row r="799">
      <c r="AS799" s="52"/>
      <c r="AT799" s="52"/>
      <c r="AU799" s="52"/>
      <c r="AV799" s="52"/>
      <c r="AW799" s="52"/>
      <c r="AX799" s="52"/>
      <c r="AY799" s="52"/>
      <c r="AZ799" s="52"/>
      <c r="BA799" s="52"/>
      <c r="BB799" s="52"/>
      <c r="BC799" s="52"/>
      <c r="BD799" s="52"/>
      <c r="BE799" s="52"/>
      <c r="BF799" s="52"/>
      <c r="BG799" s="52"/>
      <c r="BH799" s="52"/>
      <c r="BI799" s="52"/>
      <c r="BJ799" s="52"/>
      <c r="BK799" s="52"/>
      <c r="BL799" s="52"/>
      <c r="BM799" s="52"/>
      <c r="BN799" s="52"/>
      <c r="BO799" s="52"/>
      <c r="BP799" s="52"/>
      <c r="BQ799" s="52"/>
      <c r="BR799" s="52"/>
      <c r="BS799" s="52"/>
      <c r="BT799" s="52"/>
      <c r="BU799" s="52"/>
      <c r="BV799" s="52"/>
    </row>
    <row r="800">
      <c r="AS800" s="52"/>
      <c r="AT800" s="52"/>
      <c r="AU800" s="52"/>
      <c r="AV800" s="52"/>
      <c r="AW800" s="52"/>
      <c r="AX800" s="52"/>
      <c r="AY800" s="52"/>
      <c r="AZ800" s="52"/>
      <c r="BA800" s="52"/>
      <c r="BB800" s="52"/>
      <c r="BC800" s="52"/>
      <c r="BD800" s="52"/>
      <c r="BE800" s="52"/>
      <c r="BF800" s="52"/>
      <c r="BG800" s="52"/>
      <c r="BH800" s="52"/>
      <c r="BI800" s="52"/>
      <c r="BJ800" s="52"/>
      <c r="BK800" s="52"/>
      <c r="BL800" s="52"/>
      <c r="BM800" s="52"/>
      <c r="BN800" s="52"/>
      <c r="BO800" s="52"/>
      <c r="BP800" s="52"/>
      <c r="BQ800" s="52"/>
      <c r="BR800" s="52"/>
      <c r="BS800" s="52"/>
      <c r="BT800" s="52"/>
      <c r="BU800" s="52"/>
      <c r="BV800" s="52"/>
    </row>
    <row r="801">
      <c r="AS801" s="52"/>
      <c r="AT801" s="52"/>
      <c r="AU801" s="52"/>
      <c r="AV801" s="52"/>
      <c r="AW801" s="52"/>
      <c r="AX801" s="52"/>
      <c r="AY801" s="52"/>
      <c r="AZ801" s="52"/>
      <c r="BA801" s="52"/>
      <c r="BB801" s="52"/>
      <c r="BC801" s="52"/>
      <c r="BD801" s="52"/>
      <c r="BE801" s="52"/>
      <c r="BF801" s="52"/>
      <c r="BG801" s="52"/>
      <c r="BH801" s="52"/>
      <c r="BI801" s="52"/>
      <c r="BJ801" s="52"/>
      <c r="BK801" s="52"/>
      <c r="BL801" s="52"/>
      <c r="BM801" s="52"/>
      <c r="BN801" s="52"/>
      <c r="BO801" s="52"/>
      <c r="BP801" s="52"/>
      <c r="BQ801" s="52"/>
      <c r="BR801" s="52"/>
      <c r="BS801" s="52"/>
      <c r="BT801" s="52"/>
      <c r="BU801" s="52"/>
      <c r="BV801" s="52"/>
    </row>
    <row r="802">
      <c r="AS802" s="52"/>
      <c r="AT802" s="52"/>
      <c r="AU802" s="52"/>
      <c r="AV802" s="52"/>
      <c r="AW802" s="52"/>
      <c r="AX802" s="52"/>
      <c r="AY802" s="52"/>
      <c r="AZ802" s="52"/>
      <c r="BA802" s="52"/>
      <c r="BB802" s="52"/>
      <c r="BC802" s="52"/>
      <c r="BD802" s="52"/>
      <c r="BE802" s="52"/>
      <c r="BF802" s="52"/>
      <c r="BG802" s="52"/>
      <c r="BH802" s="52"/>
      <c r="BI802" s="52"/>
      <c r="BJ802" s="52"/>
      <c r="BK802" s="52"/>
      <c r="BL802" s="52"/>
      <c r="BM802" s="52"/>
      <c r="BN802" s="52"/>
      <c r="BO802" s="52"/>
      <c r="BP802" s="52"/>
      <c r="BQ802" s="52"/>
      <c r="BR802" s="52"/>
      <c r="BS802" s="52"/>
      <c r="BT802" s="52"/>
      <c r="BU802" s="52"/>
      <c r="BV802" s="52"/>
    </row>
    <row r="803">
      <c r="AS803" s="52"/>
      <c r="AT803" s="52"/>
      <c r="AU803" s="52"/>
      <c r="AV803" s="52"/>
      <c r="AW803" s="52"/>
      <c r="AX803" s="52"/>
      <c r="AY803" s="52"/>
      <c r="AZ803" s="52"/>
      <c r="BA803" s="52"/>
      <c r="BB803" s="52"/>
      <c r="BC803" s="52"/>
      <c r="BD803" s="52"/>
      <c r="BE803" s="52"/>
      <c r="BF803" s="52"/>
      <c r="BG803" s="52"/>
      <c r="BH803" s="52"/>
      <c r="BI803" s="52"/>
      <c r="BJ803" s="52"/>
      <c r="BK803" s="52"/>
      <c r="BL803" s="52"/>
      <c r="BM803" s="52"/>
      <c r="BN803" s="52"/>
      <c r="BO803" s="52"/>
      <c r="BP803" s="52"/>
      <c r="BQ803" s="52"/>
      <c r="BR803" s="52"/>
      <c r="BS803" s="52"/>
      <c r="BT803" s="52"/>
      <c r="BU803" s="52"/>
      <c r="BV803" s="52"/>
    </row>
    <row r="804">
      <c r="AS804" s="52"/>
      <c r="AT804" s="52"/>
      <c r="AU804" s="52"/>
      <c r="AV804" s="52"/>
      <c r="AW804" s="52"/>
      <c r="AX804" s="52"/>
      <c r="AY804" s="52"/>
      <c r="AZ804" s="52"/>
      <c r="BA804" s="52"/>
      <c r="BB804" s="52"/>
      <c r="BC804" s="52"/>
      <c r="BD804" s="52"/>
      <c r="BE804" s="52"/>
      <c r="BF804" s="52"/>
      <c r="BG804" s="52"/>
      <c r="BH804" s="52"/>
      <c r="BI804" s="52"/>
      <c r="BJ804" s="52"/>
      <c r="BK804" s="52"/>
      <c r="BL804" s="52"/>
      <c r="BM804" s="52"/>
      <c r="BN804" s="52"/>
      <c r="BO804" s="52"/>
      <c r="BP804" s="52"/>
      <c r="BQ804" s="52"/>
      <c r="BR804" s="52"/>
      <c r="BS804" s="52"/>
      <c r="BT804" s="52"/>
      <c r="BU804" s="52"/>
      <c r="BV804" s="52"/>
    </row>
    <row r="805">
      <c r="AS805" s="52"/>
      <c r="AT805" s="52"/>
      <c r="AU805" s="52"/>
      <c r="AV805" s="52"/>
      <c r="AW805" s="52"/>
      <c r="AX805" s="52"/>
      <c r="AY805" s="52"/>
      <c r="AZ805" s="52"/>
      <c r="BA805" s="52"/>
      <c r="BB805" s="52"/>
      <c r="BC805" s="52"/>
      <c r="BD805" s="52"/>
      <c r="BE805" s="52"/>
      <c r="BF805" s="52"/>
      <c r="BG805" s="52"/>
      <c r="BH805" s="52"/>
      <c r="BI805" s="52"/>
      <c r="BJ805" s="52"/>
      <c r="BK805" s="52"/>
      <c r="BL805" s="52"/>
      <c r="BM805" s="52"/>
      <c r="BN805" s="52"/>
      <c r="BO805" s="52"/>
      <c r="BP805" s="52"/>
      <c r="BQ805" s="52"/>
      <c r="BR805" s="52"/>
      <c r="BS805" s="52"/>
      <c r="BT805" s="52"/>
      <c r="BU805" s="52"/>
      <c r="BV805" s="52"/>
    </row>
    <row r="806">
      <c r="AS806" s="52"/>
      <c r="AT806" s="52"/>
      <c r="AU806" s="52"/>
      <c r="AV806" s="52"/>
      <c r="AW806" s="52"/>
      <c r="AX806" s="52"/>
      <c r="AY806" s="52"/>
      <c r="AZ806" s="52"/>
      <c r="BA806" s="52"/>
      <c r="BB806" s="52"/>
      <c r="BC806" s="52"/>
      <c r="BD806" s="52"/>
      <c r="BE806" s="52"/>
      <c r="BF806" s="52"/>
      <c r="BG806" s="52"/>
      <c r="BH806" s="52"/>
      <c r="BI806" s="52"/>
      <c r="BJ806" s="52"/>
      <c r="BK806" s="52"/>
      <c r="BL806" s="52"/>
      <c r="BM806" s="52"/>
      <c r="BN806" s="52"/>
      <c r="BO806" s="52"/>
      <c r="BP806" s="52"/>
      <c r="BQ806" s="52"/>
      <c r="BR806" s="52"/>
      <c r="BS806" s="52"/>
      <c r="BT806" s="52"/>
      <c r="BU806" s="52"/>
      <c r="BV806" s="52"/>
    </row>
    <row r="807">
      <c r="AS807" s="52"/>
      <c r="AT807" s="52"/>
      <c r="AU807" s="52"/>
      <c r="AV807" s="52"/>
      <c r="AW807" s="52"/>
      <c r="AX807" s="52"/>
      <c r="AY807" s="52"/>
      <c r="AZ807" s="52"/>
      <c r="BA807" s="52"/>
      <c r="BB807" s="52"/>
      <c r="BC807" s="52"/>
      <c r="BD807" s="52"/>
      <c r="BE807" s="52"/>
      <c r="BF807" s="52"/>
      <c r="BG807" s="52"/>
      <c r="BH807" s="52"/>
      <c r="BI807" s="52"/>
      <c r="BJ807" s="52"/>
      <c r="BK807" s="52"/>
      <c r="BL807" s="52"/>
      <c r="BM807" s="52"/>
      <c r="BN807" s="52"/>
      <c r="BO807" s="52"/>
      <c r="BP807" s="52"/>
      <c r="BQ807" s="52"/>
      <c r="BR807" s="52"/>
      <c r="BS807" s="52"/>
      <c r="BT807" s="52"/>
      <c r="BU807" s="52"/>
      <c r="BV807" s="52"/>
    </row>
    <row r="808">
      <c r="AS808" s="52"/>
      <c r="AT808" s="52"/>
      <c r="AU808" s="52"/>
      <c r="AV808" s="52"/>
      <c r="AW808" s="52"/>
      <c r="AX808" s="52"/>
      <c r="AY808" s="52"/>
      <c r="AZ808" s="52"/>
      <c r="BA808" s="52"/>
      <c r="BB808" s="52"/>
      <c r="BC808" s="52"/>
      <c r="BD808" s="52"/>
      <c r="BE808" s="52"/>
      <c r="BF808" s="52"/>
      <c r="BG808" s="52"/>
      <c r="BH808" s="52"/>
      <c r="BI808" s="52"/>
      <c r="BJ808" s="52"/>
      <c r="BK808" s="52"/>
      <c r="BL808" s="52"/>
      <c r="BM808" s="52"/>
      <c r="BN808" s="52"/>
      <c r="BO808" s="52"/>
      <c r="BP808" s="52"/>
      <c r="BQ808" s="52"/>
      <c r="BR808" s="52"/>
      <c r="BS808" s="52"/>
      <c r="BT808" s="52"/>
      <c r="BU808" s="52"/>
      <c r="BV808" s="52"/>
    </row>
    <row r="809">
      <c r="AS809" s="52"/>
      <c r="AT809" s="52"/>
      <c r="AU809" s="52"/>
      <c r="AV809" s="52"/>
      <c r="AW809" s="52"/>
      <c r="AX809" s="52"/>
      <c r="AY809" s="52"/>
      <c r="AZ809" s="52"/>
      <c r="BA809" s="52"/>
      <c r="BB809" s="52"/>
      <c r="BC809" s="52"/>
      <c r="BD809" s="52"/>
      <c r="BE809" s="52"/>
      <c r="BF809" s="52"/>
      <c r="BG809" s="52"/>
      <c r="BH809" s="52"/>
      <c r="BI809" s="52"/>
      <c r="BJ809" s="52"/>
      <c r="BK809" s="52"/>
      <c r="BL809" s="52"/>
      <c r="BM809" s="52"/>
      <c r="BN809" s="52"/>
      <c r="BO809" s="52"/>
      <c r="BP809" s="52"/>
      <c r="BQ809" s="52"/>
      <c r="BR809" s="52"/>
      <c r="BS809" s="52"/>
      <c r="BT809" s="52"/>
      <c r="BU809" s="52"/>
      <c r="BV809" s="52"/>
    </row>
    <row r="810">
      <c r="AS810" s="52"/>
      <c r="AT810" s="52"/>
      <c r="AU810" s="52"/>
      <c r="AV810" s="52"/>
      <c r="AW810" s="52"/>
      <c r="AX810" s="52"/>
      <c r="AY810" s="52"/>
      <c r="AZ810" s="52"/>
      <c r="BA810" s="52"/>
      <c r="BB810" s="52"/>
      <c r="BC810" s="52"/>
      <c r="BD810" s="52"/>
      <c r="BE810" s="52"/>
      <c r="BF810" s="52"/>
      <c r="BG810" s="52"/>
      <c r="BH810" s="52"/>
      <c r="BI810" s="52"/>
      <c r="BJ810" s="52"/>
      <c r="BK810" s="52"/>
      <c r="BL810" s="52"/>
      <c r="BM810" s="52"/>
      <c r="BN810" s="52"/>
      <c r="BO810" s="52"/>
      <c r="BP810" s="52"/>
      <c r="BQ810" s="52"/>
      <c r="BR810" s="52"/>
      <c r="BS810" s="52"/>
      <c r="BT810" s="52"/>
      <c r="BU810" s="52"/>
      <c r="BV810" s="52"/>
    </row>
    <row r="811">
      <c r="AS811" s="52"/>
      <c r="AT811" s="52"/>
      <c r="AU811" s="52"/>
      <c r="AV811" s="52"/>
      <c r="AW811" s="52"/>
      <c r="AX811" s="52"/>
      <c r="AY811" s="52"/>
      <c r="AZ811" s="52"/>
      <c r="BA811" s="52"/>
      <c r="BB811" s="52"/>
      <c r="BC811" s="52"/>
      <c r="BD811" s="52"/>
      <c r="BE811" s="52"/>
      <c r="BF811" s="52"/>
      <c r="BG811" s="52"/>
      <c r="BH811" s="52"/>
      <c r="BI811" s="52"/>
      <c r="BJ811" s="52"/>
      <c r="BK811" s="52"/>
      <c r="BL811" s="52"/>
      <c r="BM811" s="52"/>
      <c r="BN811" s="52"/>
      <c r="BO811" s="52"/>
      <c r="BP811" s="52"/>
      <c r="BQ811" s="52"/>
      <c r="BR811" s="52"/>
      <c r="BS811" s="52"/>
      <c r="BT811" s="52"/>
      <c r="BU811" s="52"/>
      <c r="BV811" s="52"/>
    </row>
    <row r="812">
      <c r="AS812" s="52"/>
      <c r="AT812" s="52"/>
      <c r="AU812" s="52"/>
      <c r="AV812" s="52"/>
      <c r="AW812" s="52"/>
      <c r="AX812" s="52"/>
      <c r="AY812" s="52"/>
      <c r="AZ812" s="52"/>
      <c r="BA812" s="52"/>
      <c r="BB812" s="52"/>
      <c r="BC812" s="52"/>
      <c r="BD812" s="52"/>
      <c r="BE812" s="52"/>
      <c r="BF812" s="52"/>
      <c r="BG812" s="52"/>
      <c r="BH812" s="52"/>
      <c r="BI812" s="52"/>
      <c r="BJ812" s="52"/>
      <c r="BK812" s="52"/>
      <c r="BL812" s="52"/>
      <c r="BM812" s="52"/>
      <c r="BN812" s="52"/>
      <c r="BO812" s="52"/>
      <c r="BP812" s="52"/>
      <c r="BQ812" s="52"/>
      <c r="BR812" s="52"/>
      <c r="BS812" s="52"/>
      <c r="BT812" s="52"/>
      <c r="BU812" s="52"/>
      <c r="BV812" s="52"/>
    </row>
    <row r="813">
      <c r="AS813" s="52"/>
      <c r="AT813" s="52"/>
      <c r="AU813" s="52"/>
      <c r="AV813" s="52"/>
      <c r="AW813" s="52"/>
      <c r="AX813" s="52"/>
      <c r="AY813" s="52"/>
      <c r="AZ813" s="52"/>
      <c r="BA813" s="52"/>
      <c r="BB813" s="52"/>
      <c r="BC813" s="52"/>
      <c r="BD813" s="52"/>
      <c r="BE813" s="52"/>
      <c r="BF813" s="52"/>
      <c r="BG813" s="52"/>
      <c r="BH813" s="52"/>
      <c r="BI813" s="52"/>
      <c r="BJ813" s="52"/>
      <c r="BK813" s="52"/>
      <c r="BL813" s="52"/>
      <c r="BM813" s="52"/>
      <c r="BN813" s="52"/>
      <c r="BO813" s="52"/>
      <c r="BP813" s="52"/>
      <c r="BQ813" s="52"/>
      <c r="BR813" s="52"/>
      <c r="BS813" s="52"/>
      <c r="BT813" s="52"/>
      <c r="BU813" s="52"/>
      <c r="BV813" s="52"/>
    </row>
    <row r="814">
      <c r="AS814" s="52"/>
      <c r="AT814" s="52"/>
      <c r="AU814" s="52"/>
      <c r="AV814" s="52"/>
      <c r="AW814" s="52"/>
      <c r="AX814" s="52"/>
      <c r="AY814" s="52"/>
      <c r="AZ814" s="52"/>
      <c r="BA814" s="52"/>
      <c r="BB814" s="52"/>
      <c r="BC814" s="52"/>
      <c r="BD814" s="52"/>
      <c r="BE814" s="52"/>
      <c r="BF814" s="52"/>
      <c r="BG814" s="52"/>
      <c r="BH814" s="52"/>
      <c r="BI814" s="52"/>
      <c r="BJ814" s="52"/>
      <c r="BK814" s="52"/>
      <c r="BL814" s="52"/>
      <c r="BM814" s="52"/>
      <c r="BN814" s="52"/>
      <c r="BO814" s="52"/>
      <c r="BP814" s="52"/>
      <c r="BQ814" s="52"/>
      <c r="BR814" s="52"/>
      <c r="BS814" s="52"/>
      <c r="BT814" s="52"/>
      <c r="BU814" s="52"/>
      <c r="BV814" s="52"/>
    </row>
    <row r="815">
      <c r="AS815" s="52"/>
      <c r="AT815" s="52"/>
      <c r="AU815" s="52"/>
      <c r="AV815" s="52"/>
      <c r="AW815" s="52"/>
      <c r="AX815" s="52"/>
      <c r="AY815" s="52"/>
      <c r="AZ815" s="52"/>
      <c r="BA815" s="52"/>
      <c r="BB815" s="52"/>
      <c r="BC815" s="52"/>
      <c r="BD815" s="52"/>
      <c r="BE815" s="52"/>
      <c r="BF815" s="52"/>
      <c r="BG815" s="52"/>
      <c r="BH815" s="52"/>
      <c r="BI815" s="52"/>
      <c r="BJ815" s="52"/>
      <c r="BK815" s="52"/>
      <c r="BL815" s="52"/>
      <c r="BM815" s="52"/>
      <c r="BN815" s="52"/>
      <c r="BO815" s="52"/>
      <c r="BP815" s="52"/>
      <c r="BQ815" s="52"/>
      <c r="BR815" s="52"/>
      <c r="BS815" s="52"/>
      <c r="BT815" s="52"/>
      <c r="BU815" s="52"/>
      <c r="BV815" s="52"/>
    </row>
    <row r="816">
      <c r="AS816" s="52"/>
      <c r="AT816" s="52"/>
      <c r="AU816" s="52"/>
      <c r="AV816" s="52"/>
      <c r="AW816" s="52"/>
      <c r="AX816" s="52"/>
      <c r="AY816" s="52"/>
      <c r="AZ816" s="52"/>
      <c r="BA816" s="52"/>
      <c r="BB816" s="52"/>
      <c r="BC816" s="52"/>
      <c r="BD816" s="52"/>
      <c r="BE816" s="52"/>
      <c r="BF816" s="52"/>
      <c r="BG816" s="52"/>
      <c r="BH816" s="52"/>
      <c r="BI816" s="52"/>
      <c r="BJ816" s="52"/>
      <c r="BK816" s="52"/>
      <c r="BL816" s="52"/>
      <c r="BM816" s="52"/>
      <c r="BN816" s="52"/>
      <c r="BO816" s="52"/>
      <c r="BP816" s="52"/>
      <c r="BQ816" s="52"/>
      <c r="BR816" s="52"/>
      <c r="BS816" s="52"/>
      <c r="BT816" s="52"/>
      <c r="BU816" s="52"/>
      <c r="BV816" s="52"/>
    </row>
    <row r="817">
      <c r="AS817" s="52"/>
      <c r="AT817" s="52"/>
      <c r="AU817" s="52"/>
      <c r="AV817" s="52"/>
      <c r="AW817" s="52"/>
      <c r="AX817" s="52"/>
      <c r="AY817" s="52"/>
      <c r="AZ817" s="52"/>
      <c r="BA817" s="52"/>
      <c r="BB817" s="52"/>
      <c r="BC817" s="52"/>
      <c r="BD817" s="52"/>
      <c r="BE817" s="52"/>
      <c r="BF817" s="52"/>
      <c r="BG817" s="52"/>
      <c r="BH817" s="52"/>
      <c r="BI817" s="52"/>
      <c r="BJ817" s="52"/>
      <c r="BK817" s="52"/>
      <c r="BL817" s="52"/>
      <c r="BM817" s="52"/>
      <c r="BN817" s="52"/>
      <c r="BO817" s="52"/>
      <c r="BP817" s="52"/>
      <c r="BQ817" s="52"/>
      <c r="BR817" s="52"/>
      <c r="BS817" s="52"/>
      <c r="BT817" s="52"/>
      <c r="BU817" s="52"/>
      <c r="BV817" s="52"/>
    </row>
    <row r="818">
      <c r="AS818" s="52"/>
      <c r="AT818" s="52"/>
      <c r="AU818" s="52"/>
      <c r="AV818" s="52"/>
      <c r="AW818" s="52"/>
      <c r="AX818" s="52"/>
      <c r="AY818" s="52"/>
      <c r="AZ818" s="52"/>
      <c r="BA818" s="52"/>
      <c r="BB818" s="52"/>
      <c r="BC818" s="52"/>
      <c r="BD818" s="52"/>
      <c r="BE818" s="52"/>
      <c r="BF818" s="52"/>
      <c r="BG818" s="52"/>
      <c r="BH818" s="52"/>
      <c r="BI818" s="52"/>
      <c r="BJ818" s="52"/>
      <c r="BK818" s="52"/>
      <c r="BL818" s="52"/>
      <c r="BM818" s="52"/>
      <c r="BN818" s="52"/>
      <c r="BO818" s="52"/>
      <c r="BP818" s="52"/>
      <c r="BQ818" s="52"/>
      <c r="BR818" s="52"/>
      <c r="BS818" s="52"/>
      <c r="BT818" s="52"/>
      <c r="BU818" s="52"/>
      <c r="BV818" s="52"/>
    </row>
    <row r="819">
      <c r="AS819" s="52"/>
      <c r="AT819" s="52"/>
      <c r="AU819" s="52"/>
      <c r="AV819" s="52"/>
      <c r="AW819" s="52"/>
      <c r="AX819" s="52"/>
      <c r="AY819" s="52"/>
      <c r="AZ819" s="52"/>
      <c r="BA819" s="52"/>
      <c r="BB819" s="52"/>
      <c r="BC819" s="52"/>
      <c r="BD819" s="52"/>
      <c r="BE819" s="52"/>
      <c r="BF819" s="52"/>
      <c r="BG819" s="52"/>
      <c r="BH819" s="52"/>
      <c r="BI819" s="52"/>
      <c r="BJ819" s="52"/>
      <c r="BK819" s="52"/>
      <c r="BL819" s="52"/>
      <c r="BM819" s="52"/>
      <c r="BN819" s="52"/>
      <c r="BO819" s="52"/>
      <c r="BP819" s="52"/>
      <c r="BQ819" s="52"/>
      <c r="BR819" s="52"/>
      <c r="BS819" s="52"/>
      <c r="BT819" s="52"/>
      <c r="BU819" s="52"/>
      <c r="BV819" s="52"/>
    </row>
    <row r="820">
      <c r="AS820" s="52"/>
      <c r="AT820" s="52"/>
      <c r="AU820" s="52"/>
      <c r="AV820" s="52"/>
      <c r="AW820" s="52"/>
      <c r="AX820" s="52"/>
      <c r="AY820" s="52"/>
      <c r="AZ820" s="52"/>
      <c r="BA820" s="52"/>
      <c r="BB820" s="52"/>
      <c r="BC820" s="52"/>
      <c r="BD820" s="52"/>
      <c r="BE820" s="52"/>
      <c r="BF820" s="52"/>
      <c r="BG820" s="52"/>
      <c r="BH820" s="52"/>
      <c r="BI820" s="52"/>
      <c r="BJ820" s="52"/>
      <c r="BK820" s="52"/>
      <c r="BL820" s="52"/>
      <c r="BM820" s="52"/>
      <c r="BN820" s="52"/>
      <c r="BO820" s="52"/>
      <c r="BP820" s="52"/>
      <c r="BQ820" s="52"/>
      <c r="BR820" s="52"/>
      <c r="BS820" s="52"/>
      <c r="BT820" s="52"/>
      <c r="BU820" s="52"/>
      <c r="BV820" s="52"/>
    </row>
    <row r="821">
      <c r="AS821" s="52"/>
      <c r="AT821" s="52"/>
      <c r="AU821" s="52"/>
      <c r="AV821" s="52"/>
      <c r="AW821" s="52"/>
      <c r="AX821" s="52"/>
      <c r="AY821" s="52"/>
      <c r="AZ821" s="52"/>
      <c r="BA821" s="52"/>
      <c r="BB821" s="52"/>
      <c r="BC821" s="52"/>
      <c r="BD821" s="52"/>
      <c r="BE821" s="52"/>
      <c r="BF821" s="52"/>
      <c r="BG821" s="52"/>
      <c r="BH821" s="52"/>
      <c r="BI821" s="52"/>
      <c r="BJ821" s="52"/>
      <c r="BK821" s="52"/>
      <c r="BL821" s="52"/>
      <c r="BM821" s="52"/>
      <c r="BN821" s="52"/>
      <c r="BO821" s="52"/>
      <c r="BP821" s="52"/>
      <c r="BQ821" s="52"/>
      <c r="BR821" s="52"/>
      <c r="BS821" s="52"/>
      <c r="BT821" s="52"/>
      <c r="BU821" s="52"/>
      <c r="BV821" s="52"/>
    </row>
    <row r="822">
      <c r="AS822" s="52"/>
      <c r="AT822" s="52"/>
      <c r="AU822" s="52"/>
      <c r="AV822" s="52"/>
      <c r="AW822" s="52"/>
      <c r="AX822" s="52"/>
      <c r="AY822" s="52"/>
      <c r="AZ822" s="52"/>
      <c r="BA822" s="52"/>
      <c r="BB822" s="52"/>
      <c r="BC822" s="52"/>
      <c r="BD822" s="52"/>
      <c r="BE822" s="52"/>
      <c r="BF822" s="52"/>
      <c r="BG822" s="52"/>
      <c r="BH822" s="52"/>
      <c r="BI822" s="52"/>
      <c r="BJ822" s="52"/>
      <c r="BK822" s="52"/>
      <c r="BL822" s="52"/>
      <c r="BM822" s="52"/>
      <c r="BN822" s="52"/>
      <c r="BO822" s="52"/>
      <c r="BP822" s="52"/>
      <c r="BQ822" s="52"/>
      <c r="BR822" s="52"/>
      <c r="BS822" s="52"/>
      <c r="BT822" s="52"/>
      <c r="BU822" s="52"/>
      <c r="BV822" s="52"/>
    </row>
    <row r="823">
      <c r="AS823" s="52"/>
      <c r="AT823" s="52"/>
      <c r="AU823" s="52"/>
      <c r="AV823" s="52"/>
      <c r="AW823" s="52"/>
      <c r="AX823" s="52"/>
      <c r="AY823" s="52"/>
      <c r="AZ823" s="52"/>
      <c r="BA823" s="52"/>
      <c r="BB823" s="52"/>
      <c r="BC823" s="52"/>
      <c r="BD823" s="52"/>
      <c r="BE823" s="52"/>
      <c r="BF823" s="52"/>
      <c r="BG823" s="52"/>
      <c r="BH823" s="52"/>
      <c r="BI823" s="52"/>
      <c r="BJ823" s="52"/>
      <c r="BK823" s="52"/>
      <c r="BL823" s="52"/>
      <c r="BM823" s="52"/>
      <c r="BN823" s="52"/>
      <c r="BO823" s="52"/>
      <c r="BP823" s="52"/>
      <c r="BQ823" s="52"/>
      <c r="BR823" s="52"/>
      <c r="BS823" s="52"/>
      <c r="BT823" s="52"/>
      <c r="BU823" s="52"/>
      <c r="BV823" s="52"/>
    </row>
    <row r="824">
      <c r="AS824" s="52"/>
      <c r="AT824" s="52"/>
      <c r="AU824" s="52"/>
      <c r="AV824" s="52"/>
      <c r="AW824" s="52"/>
      <c r="AX824" s="52"/>
      <c r="AY824" s="52"/>
      <c r="AZ824" s="52"/>
      <c r="BA824" s="52"/>
      <c r="BB824" s="52"/>
      <c r="BC824" s="52"/>
      <c r="BD824" s="52"/>
      <c r="BE824" s="52"/>
      <c r="BF824" s="52"/>
      <c r="BG824" s="52"/>
      <c r="BH824" s="52"/>
      <c r="BI824" s="52"/>
      <c r="BJ824" s="52"/>
      <c r="BK824" s="52"/>
      <c r="BL824" s="52"/>
      <c r="BM824" s="52"/>
      <c r="BN824" s="52"/>
      <c r="BO824" s="52"/>
      <c r="BP824" s="52"/>
      <c r="BQ824" s="52"/>
      <c r="BR824" s="52"/>
      <c r="BS824" s="52"/>
      <c r="BT824" s="52"/>
      <c r="BU824" s="52"/>
      <c r="BV824" s="52"/>
    </row>
    <row r="825">
      <c r="AS825" s="52"/>
      <c r="AT825" s="52"/>
      <c r="AU825" s="52"/>
      <c r="AV825" s="52"/>
      <c r="AW825" s="52"/>
      <c r="AX825" s="52"/>
      <c r="AY825" s="52"/>
      <c r="AZ825" s="52"/>
      <c r="BA825" s="52"/>
      <c r="BB825" s="52"/>
      <c r="BC825" s="52"/>
      <c r="BD825" s="52"/>
      <c r="BE825" s="52"/>
      <c r="BF825" s="52"/>
      <c r="BG825" s="52"/>
      <c r="BH825" s="52"/>
      <c r="BI825" s="52"/>
      <c r="BJ825" s="52"/>
      <c r="BK825" s="52"/>
      <c r="BL825" s="52"/>
      <c r="BM825" s="52"/>
      <c r="BN825" s="52"/>
      <c r="BO825" s="52"/>
      <c r="BP825" s="52"/>
      <c r="BQ825" s="52"/>
      <c r="BR825" s="52"/>
      <c r="BS825" s="52"/>
      <c r="BT825" s="52"/>
      <c r="BU825" s="52"/>
      <c r="BV825" s="52"/>
    </row>
    <row r="826">
      <c r="AS826" s="52"/>
      <c r="AT826" s="52"/>
      <c r="AU826" s="52"/>
      <c r="AV826" s="52"/>
      <c r="AW826" s="52"/>
      <c r="AX826" s="52"/>
      <c r="AY826" s="52"/>
      <c r="AZ826" s="52"/>
      <c r="BA826" s="52"/>
      <c r="BB826" s="52"/>
      <c r="BC826" s="52"/>
      <c r="BD826" s="52"/>
      <c r="BE826" s="52"/>
      <c r="BF826" s="52"/>
      <c r="BG826" s="52"/>
      <c r="BH826" s="52"/>
      <c r="BI826" s="52"/>
      <c r="BJ826" s="52"/>
      <c r="BK826" s="52"/>
      <c r="BL826" s="52"/>
      <c r="BM826" s="52"/>
      <c r="BN826" s="52"/>
      <c r="BO826" s="52"/>
      <c r="BP826" s="52"/>
      <c r="BQ826" s="52"/>
      <c r="BR826" s="52"/>
      <c r="BS826" s="52"/>
      <c r="BT826" s="52"/>
      <c r="BU826" s="52"/>
      <c r="BV826" s="52"/>
    </row>
    <row r="827">
      <c r="AS827" s="52"/>
      <c r="AT827" s="52"/>
      <c r="AU827" s="52"/>
      <c r="AV827" s="52"/>
      <c r="AW827" s="52"/>
      <c r="AX827" s="52"/>
      <c r="AY827" s="52"/>
      <c r="AZ827" s="52"/>
      <c r="BA827" s="52"/>
      <c r="BB827" s="52"/>
      <c r="BC827" s="52"/>
      <c r="BD827" s="52"/>
      <c r="BE827" s="52"/>
      <c r="BF827" s="52"/>
      <c r="BG827" s="52"/>
      <c r="BH827" s="52"/>
      <c r="BI827" s="52"/>
      <c r="BJ827" s="52"/>
      <c r="BK827" s="52"/>
      <c r="BL827" s="52"/>
      <c r="BM827" s="52"/>
      <c r="BN827" s="52"/>
      <c r="BO827" s="52"/>
      <c r="BP827" s="52"/>
      <c r="BQ827" s="52"/>
      <c r="BR827" s="52"/>
      <c r="BS827" s="52"/>
      <c r="BT827" s="52"/>
      <c r="BU827" s="52"/>
      <c r="BV827" s="52"/>
    </row>
    <row r="828">
      <c r="AS828" s="52"/>
      <c r="AT828" s="52"/>
      <c r="AU828" s="52"/>
      <c r="AV828" s="52"/>
      <c r="AW828" s="52"/>
      <c r="AX828" s="52"/>
      <c r="AY828" s="52"/>
      <c r="AZ828" s="52"/>
      <c r="BA828" s="52"/>
      <c r="BB828" s="52"/>
      <c r="BC828" s="52"/>
      <c r="BD828" s="52"/>
      <c r="BE828" s="52"/>
      <c r="BF828" s="52"/>
      <c r="BG828" s="52"/>
      <c r="BH828" s="52"/>
      <c r="BI828" s="52"/>
      <c r="BJ828" s="52"/>
      <c r="BK828" s="52"/>
      <c r="BL828" s="52"/>
      <c r="BM828" s="52"/>
      <c r="BN828" s="52"/>
      <c r="BO828" s="52"/>
      <c r="BP828" s="52"/>
      <c r="BQ828" s="52"/>
      <c r="BR828" s="52"/>
      <c r="BS828" s="52"/>
      <c r="BT828" s="52"/>
      <c r="BU828" s="52"/>
      <c r="BV828" s="52"/>
    </row>
    <row r="829">
      <c r="AS829" s="52"/>
      <c r="AT829" s="52"/>
      <c r="AU829" s="52"/>
      <c r="AV829" s="52"/>
      <c r="AW829" s="52"/>
      <c r="AX829" s="52"/>
      <c r="AY829" s="52"/>
      <c r="AZ829" s="52"/>
      <c r="BA829" s="52"/>
      <c r="BB829" s="52"/>
      <c r="BC829" s="52"/>
      <c r="BD829" s="52"/>
      <c r="BE829" s="52"/>
      <c r="BF829" s="52"/>
      <c r="BG829" s="52"/>
      <c r="BH829" s="52"/>
      <c r="BI829" s="52"/>
      <c r="BJ829" s="52"/>
      <c r="BK829" s="52"/>
      <c r="BL829" s="52"/>
      <c r="BM829" s="52"/>
      <c r="BN829" s="52"/>
      <c r="BO829" s="52"/>
      <c r="BP829" s="52"/>
      <c r="BQ829" s="52"/>
      <c r="BR829" s="52"/>
      <c r="BS829" s="52"/>
      <c r="BT829" s="52"/>
      <c r="BU829" s="52"/>
      <c r="BV829" s="52"/>
    </row>
    <row r="830">
      <c r="AS830" s="52"/>
      <c r="AT830" s="52"/>
      <c r="AU830" s="52"/>
      <c r="AV830" s="52"/>
      <c r="AW830" s="52"/>
      <c r="AX830" s="52"/>
      <c r="AY830" s="52"/>
      <c r="AZ830" s="52"/>
      <c r="BA830" s="52"/>
      <c r="BB830" s="52"/>
      <c r="BC830" s="52"/>
      <c r="BD830" s="52"/>
      <c r="BE830" s="52"/>
      <c r="BF830" s="52"/>
      <c r="BG830" s="52"/>
      <c r="BH830" s="52"/>
      <c r="BI830" s="52"/>
      <c r="BJ830" s="52"/>
      <c r="BK830" s="52"/>
      <c r="BL830" s="52"/>
      <c r="BM830" s="52"/>
      <c r="BN830" s="52"/>
      <c r="BO830" s="52"/>
      <c r="BP830" s="52"/>
      <c r="BQ830" s="52"/>
      <c r="BR830" s="52"/>
      <c r="BS830" s="52"/>
      <c r="BT830" s="52"/>
      <c r="BU830" s="52"/>
      <c r="BV830" s="52"/>
    </row>
    <row r="831">
      <c r="AS831" s="52"/>
      <c r="AT831" s="52"/>
      <c r="AU831" s="52"/>
      <c r="AV831" s="52"/>
      <c r="AW831" s="52"/>
      <c r="AX831" s="52"/>
      <c r="AY831" s="52"/>
      <c r="AZ831" s="52"/>
      <c r="BA831" s="52"/>
      <c r="BB831" s="52"/>
      <c r="BC831" s="52"/>
      <c r="BD831" s="52"/>
      <c r="BE831" s="52"/>
      <c r="BF831" s="52"/>
      <c r="BG831" s="52"/>
      <c r="BH831" s="52"/>
      <c r="BI831" s="52"/>
      <c r="BJ831" s="52"/>
      <c r="BK831" s="52"/>
      <c r="BL831" s="52"/>
      <c r="BM831" s="52"/>
      <c r="BN831" s="52"/>
      <c r="BO831" s="52"/>
      <c r="BP831" s="52"/>
      <c r="BQ831" s="52"/>
      <c r="BR831" s="52"/>
      <c r="BS831" s="52"/>
      <c r="BT831" s="52"/>
      <c r="BU831" s="52"/>
      <c r="BV831" s="52"/>
    </row>
    <row r="832">
      <c r="AS832" s="52"/>
      <c r="AT832" s="52"/>
      <c r="AU832" s="52"/>
      <c r="AV832" s="52"/>
      <c r="AW832" s="52"/>
      <c r="AX832" s="52"/>
      <c r="AY832" s="52"/>
      <c r="AZ832" s="52"/>
      <c r="BA832" s="52"/>
      <c r="BB832" s="52"/>
      <c r="BC832" s="52"/>
      <c r="BD832" s="52"/>
      <c r="BE832" s="52"/>
      <c r="BF832" s="52"/>
      <c r="BG832" s="52"/>
      <c r="BH832" s="52"/>
      <c r="BI832" s="52"/>
      <c r="BJ832" s="52"/>
      <c r="BK832" s="52"/>
      <c r="BL832" s="52"/>
      <c r="BM832" s="52"/>
      <c r="BN832" s="52"/>
      <c r="BO832" s="52"/>
      <c r="BP832" s="52"/>
      <c r="BQ832" s="52"/>
      <c r="BR832" s="52"/>
      <c r="BS832" s="52"/>
      <c r="BT832" s="52"/>
      <c r="BU832" s="52"/>
      <c r="BV832" s="52"/>
    </row>
    <row r="833">
      <c r="AS833" s="52"/>
      <c r="AT833" s="52"/>
      <c r="AU833" s="52"/>
      <c r="AV833" s="52"/>
      <c r="AW833" s="52"/>
      <c r="AX833" s="52"/>
      <c r="AY833" s="52"/>
      <c r="AZ833" s="52"/>
      <c r="BA833" s="52"/>
      <c r="BB833" s="52"/>
      <c r="BC833" s="52"/>
      <c r="BD833" s="52"/>
      <c r="BE833" s="52"/>
      <c r="BF833" s="52"/>
      <c r="BG833" s="52"/>
      <c r="BH833" s="52"/>
      <c r="BI833" s="52"/>
      <c r="BJ833" s="52"/>
      <c r="BK833" s="52"/>
      <c r="BL833" s="52"/>
      <c r="BM833" s="52"/>
      <c r="BN833" s="52"/>
      <c r="BO833" s="52"/>
      <c r="BP833" s="52"/>
      <c r="BQ833" s="52"/>
      <c r="BR833" s="52"/>
      <c r="BS833" s="52"/>
      <c r="BT833" s="52"/>
      <c r="BU833" s="52"/>
      <c r="BV833" s="52"/>
    </row>
    <row r="834">
      <c r="AS834" s="52"/>
      <c r="AT834" s="52"/>
      <c r="AU834" s="52"/>
      <c r="AV834" s="52"/>
      <c r="AW834" s="52"/>
      <c r="AX834" s="52"/>
      <c r="AY834" s="52"/>
      <c r="AZ834" s="52"/>
      <c r="BA834" s="52"/>
      <c r="BB834" s="52"/>
      <c r="BC834" s="52"/>
      <c r="BD834" s="52"/>
      <c r="BE834" s="52"/>
      <c r="BF834" s="52"/>
      <c r="BG834" s="52"/>
      <c r="BH834" s="52"/>
      <c r="BI834" s="52"/>
      <c r="BJ834" s="52"/>
      <c r="BK834" s="52"/>
      <c r="BL834" s="52"/>
      <c r="BM834" s="52"/>
      <c r="BN834" s="52"/>
      <c r="BO834" s="52"/>
      <c r="BP834" s="52"/>
      <c r="BQ834" s="52"/>
      <c r="BR834" s="52"/>
      <c r="BS834" s="52"/>
      <c r="BT834" s="52"/>
      <c r="BU834" s="52"/>
      <c r="BV834" s="52"/>
    </row>
    <row r="835">
      <c r="AS835" s="52"/>
      <c r="AT835" s="52"/>
      <c r="AU835" s="52"/>
      <c r="AV835" s="52"/>
      <c r="AW835" s="52"/>
      <c r="AX835" s="52"/>
      <c r="AY835" s="52"/>
      <c r="AZ835" s="52"/>
      <c r="BA835" s="52"/>
      <c r="BB835" s="52"/>
      <c r="BC835" s="52"/>
      <c r="BD835" s="52"/>
      <c r="BE835" s="52"/>
      <c r="BF835" s="52"/>
      <c r="BG835" s="52"/>
      <c r="BH835" s="52"/>
      <c r="BI835" s="52"/>
      <c r="BJ835" s="52"/>
      <c r="BK835" s="52"/>
      <c r="BL835" s="52"/>
      <c r="BM835" s="52"/>
      <c r="BN835" s="52"/>
      <c r="BO835" s="52"/>
      <c r="BP835" s="52"/>
      <c r="BQ835" s="52"/>
      <c r="BR835" s="52"/>
      <c r="BS835" s="52"/>
      <c r="BT835" s="52"/>
      <c r="BU835" s="52"/>
      <c r="BV835" s="52"/>
    </row>
    <row r="836">
      <c r="AS836" s="52"/>
      <c r="AT836" s="52"/>
      <c r="AU836" s="52"/>
      <c r="AV836" s="52"/>
      <c r="AW836" s="52"/>
      <c r="AX836" s="52"/>
      <c r="AY836" s="52"/>
      <c r="AZ836" s="52"/>
      <c r="BA836" s="52"/>
      <c r="BB836" s="52"/>
      <c r="BC836" s="52"/>
      <c r="BD836" s="52"/>
      <c r="BE836" s="52"/>
      <c r="BF836" s="52"/>
      <c r="BG836" s="52"/>
      <c r="BH836" s="52"/>
      <c r="BI836" s="52"/>
      <c r="BJ836" s="52"/>
      <c r="BK836" s="52"/>
      <c r="BL836" s="52"/>
      <c r="BM836" s="52"/>
      <c r="BN836" s="52"/>
      <c r="BO836" s="52"/>
      <c r="BP836" s="52"/>
      <c r="BQ836" s="52"/>
      <c r="BR836" s="52"/>
      <c r="BS836" s="52"/>
      <c r="BT836" s="52"/>
      <c r="BU836" s="52"/>
      <c r="BV836" s="52"/>
    </row>
    <row r="837">
      <c r="AS837" s="52"/>
      <c r="AT837" s="52"/>
      <c r="AU837" s="52"/>
      <c r="AV837" s="52"/>
      <c r="AW837" s="52"/>
      <c r="AX837" s="52"/>
      <c r="AY837" s="52"/>
      <c r="AZ837" s="52"/>
      <c r="BA837" s="52"/>
      <c r="BB837" s="52"/>
      <c r="BC837" s="52"/>
      <c r="BD837" s="52"/>
      <c r="BE837" s="52"/>
      <c r="BF837" s="52"/>
      <c r="BG837" s="52"/>
      <c r="BH837" s="52"/>
      <c r="BI837" s="52"/>
      <c r="BJ837" s="52"/>
      <c r="BK837" s="52"/>
      <c r="BL837" s="52"/>
      <c r="BM837" s="52"/>
      <c r="BN837" s="52"/>
      <c r="BO837" s="52"/>
      <c r="BP837" s="52"/>
      <c r="BQ837" s="52"/>
      <c r="BR837" s="52"/>
      <c r="BS837" s="52"/>
      <c r="BT837" s="52"/>
      <c r="BU837" s="52"/>
      <c r="BV837" s="52"/>
    </row>
    <row r="838">
      <c r="AS838" s="52"/>
      <c r="AT838" s="52"/>
      <c r="AU838" s="52"/>
      <c r="AV838" s="52"/>
      <c r="AW838" s="52"/>
      <c r="AX838" s="52"/>
      <c r="AY838" s="52"/>
      <c r="AZ838" s="52"/>
      <c r="BA838" s="52"/>
      <c r="BB838" s="52"/>
      <c r="BC838" s="52"/>
      <c r="BD838" s="52"/>
      <c r="BE838" s="52"/>
      <c r="BF838" s="52"/>
      <c r="BG838" s="52"/>
      <c r="BH838" s="52"/>
      <c r="BI838" s="52"/>
      <c r="BJ838" s="52"/>
      <c r="BK838" s="52"/>
      <c r="BL838" s="52"/>
      <c r="BM838" s="52"/>
      <c r="BN838" s="52"/>
      <c r="BO838" s="52"/>
      <c r="BP838" s="52"/>
      <c r="BQ838" s="52"/>
      <c r="BR838" s="52"/>
      <c r="BS838" s="52"/>
      <c r="BT838" s="52"/>
      <c r="BU838" s="52"/>
      <c r="BV838" s="52"/>
    </row>
    <row r="839">
      <c r="AS839" s="52"/>
      <c r="AT839" s="52"/>
      <c r="AU839" s="52"/>
      <c r="AV839" s="52"/>
      <c r="AW839" s="52"/>
      <c r="AX839" s="52"/>
      <c r="AY839" s="52"/>
      <c r="AZ839" s="52"/>
      <c r="BA839" s="52"/>
      <c r="BB839" s="52"/>
      <c r="BC839" s="52"/>
      <c r="BD839" s="52"/>
      <c r="BE839" s="52"/>
      <c r="BF839" s="52"/>
      <c r="BG839" s="52"/>
      <c r="BH839" s="52"/>
      <c r="BI839" s="52"/>
      <c r="BJ839" s="52"/>
      <c r="BK839" s="52"/>
      <c r="BL839" s="52"/>
      <c r="BM839" s="52"/>
      <c r="BN839" s="52"/>
      <c r="BO839" s="52"/>
      <c r="BP839" s="52"/>
      <c r="BQ839" s="52"/>
      <c r="BR839" s="52"/>
      <c r="BS839" s="52"/>
      <c r="BT839" s="52"/>
      <c r="BU839" s="52"/>
      <c r="BV839" s="52"/>
    </row>
    <row r="840">
      <c r="AS840" s="52"/>
      <c r="AT840" s="52"/>
      <c r="AU840" s="52"/>
      <c r="AV840" s="52"/>
      <c r="AW840" s="52"/>
      <c r="AX840" s="52"/>
      <c r="AY840" s="52"/>
      <c r="AZ840" s="52"/>
      <c r="BA840" s="52"/>
      <c r="BB840" s="52"/>
      <c r="BC840" s="52"/>
      <c r="BD840" s="52"/>
      <c r="BE840" s="52"/>
      <c r="BF840" s="52"/>
      <c r="BG840" s="52"/>
      <c r="BH840" s="52"/>
      <c r="BI840" s="52"/>
      <c r="BJ840" s="52"/>
      <c r="BK840" s="52"/>
      <c r="BL840" s="52"/>
      <c r="BM840" s="52"/>
      <c r="BN840" s="52"/>
      <c r="BO840" s="52"/>
      <c r="BP840" s="52"/>
      <c r="BQ840" s="52"/>
      <c r="BR840" s="52"/>
      <c r="BS840" s="52"/>
      <c r="BT840" s="52"/>
      <c r="BU840" s="52"/>
      <c r="BV840" s="52"/>
    </row>
    <row r="841">
      <c r="AS841" s="52"/>
      <c r="AT841" s="52"/>
      <c r="AU841" s="52"/>
      <c r="AV841" s="52"/>
      <c r="AW841" s="52"/>
      <c r="AX841" s="52"/>
      <c r="AY841" s="52"/>
      <c r="AZ841" s="52"/>
      <c r="BA841" s="52"/>
      <c r="BB841" s="52"/>
      <c r="BC841" s="52"/>
      <c r="BD841" s="52"/>
      <c r="BE841" s="52"/>
      <c r="BF841" s="52"/>
      <c r="BG841" s="52"/>
      <c r="BH841" s="52"/>
      <c r="BI841" s="52"/>
      <c r="BJ841" s="52"/>
      <c r="BK841" s="52"/>
      <c r="BL841" s="52"/>
      <c r="BM841" s="52"/>
      <c r="BN841" s="52"/>
      <c r="BO841" s="52"/>
      <c r="BP841" s="52"/>
      <c r="BQ841" s="52"/>
      <c r="BR841" s="52"/>
      <c r="BS841" s="52"/>
      <c r="BT841" s="52"/>
      <c r="BU841" s="52"/>
      <c r="BV841" s="52"/>
    </row>
    <row r="842">
      <c r="AS842" s="52"/>
      <c r="AT842" s="52"/>
      <c r="AU842" s="52"/>
      <c r="AV842" s="52"/>
      <c r="AW842" s="52"/>
      <c r="AX842" s="52"/>
      <c r="AY842" s="52"/>
      <c r="AZ842" s="52"/>
      <c r="BA842" s="52"/>
      <c r="BB842" s="52"/>
      <c r="BC842" s="52"/>
      <c r="BD842" s="52"/>
      <c r="BE842" s="52"/>
      <c r="BF842" s="52"/>
      <c r="BG842" s="52"/>
      <c r="BH842" s="52"/>
      <c r="BI842" s="52"/>
      <c r="BJ842" s="52"/>
      <c r="BK842" s="52"/>
      <c r="BL842" s="52"/>
      <c r="BM842" s="52"/>
      <c r="BN842" s="52"/>
      <c r="BO842" s="52"/>
      <c r="BP842" s="52"/>
      <c r="BQ842" s="52"/>
      <c r="BR842" s="52"/>
      <c r="BS842" s="52"/>
      <c r="BT842" s="52"/>
      <c r="BU842" s="52"/>
      <c r="BV842" s="52"/>
    </row>
    <row r="843">
      <c r="AS843" s="52"/>
      <c r="AT843" s="52"/>
      <c r="AU843" s="52"/>
      <c r="AV843" s="52"/>
      <c r="AW843" s="52"/>
      <c r="AX843" s="52"/>
      <c r="AY843" s="52"/>
      <c r="AZ843" s="52"/>
      <c r="BA843" s="52"/>
      <c r="BB843" s="52"/>
      <c r="BC843" s="52"/>
      <c r="BD843" s="52"/>
      <c r="BE843" s="52"/>
      <c r="BF843" s="52"/>
      <c r="BG843" s="52"/>
      <c r="BH843" s="52"/>
      <c r="BI843" s="52"/>
      <c r="BJ843" s="52"/>
      <c r="BK843" s="52"/>
      <c r="BL843" s="52"/>
      <c r="BM843" s="52"/>
      <c r="BN843" s="52"/>
      <c r="BO843" s="52"/>
      <c r="BP843" s="52"/>
      <c r="BQ843" s="52"/>
      <c r="BR843" s="52"/>
      <c r="BS843" s="52"/>
      <c r="BT843" s="52"/>
      <c r="BU843" s="52"/>
      <c r="BV843" s="52"/>
    </row>
    <row r="844">
      <c r="AS844" s="52"/>
      <c r="AT844" s="52"/>
      <c r="AU844" s="52"/>
      <c r="AV844" s="52"/>
      <c r="AW844" s="52"/>
      <c r="AX844" s="52"/>
      <c r="AY844" s="52"/>
      <c r="AZ844" s="52"/>
      <c r="BA844" s="52"/>
      <c r="BB844" s="52"/>
      <c r="BC844" s="52"/>
      <c r="BD844" s="52"/>
      <c r="BE844" s="52"/>
      <c r="BF844" s="52"/>
      <c r="BG844" s="52"/>
      <c r="BH844" s="52"/>
      <c r="BI844" s="52"/>
      <c r="BJ844" s="52"/>
      <c r="BK844" s="52"/>
      <c r="BL844" s="52"/>
      <c r="BM844" s="52"/>
      <c r="BN844" s="52"/>
      <c r="BO844" s="52"/>
      <c r="BP844" s="52"/>
      <c r="BQ844" s="52"/>
      <c r="BR844" s="52"/>
      <c r="BS844" s="52"/>
      <c r="BT844" s="52"/>
      <c r="BU844" s="52"/>
      <c r="BV844" s="52"/>
    </row>
    <row r="845">
      <c r="AS845" s="52"/>
      <c r="AT845" s="52"/>
      <c r="AU845" s="52"/>
      <c r="AV845" s="52"/>
      <c r="AW845" s="52"/>
      <c r="AX845" s="52"/>
      <c r="AY845" s="52"/>
      <c r="AZ845" s="52"/>
      <c r="BA845" s="52"/>
      <c r="BB845" s="52"/>
      <c r="BC845" s="52"/>
      <c r="BD845" s="52"/>
      <c r="BE845" s="52"/>
      <c r="BF845" s="52"/>
      <c r="BG845" s="52"/>
      <c r="BH845" s="52"/>
      <c r="BI845" s="52"/>
      <c r="BJ845" s="52"/>
      <c r="BK845" s="52"/>
      <c r="BL845" s="52"/>
      <c r="BM845" s="52"/>
      <c r="BN845" s="52"/>
      <c r="BO845" s="52"/>
      <c r="BP845" s="52"/>
      <c r="BQ845" s="52"/>
      <c r="BR845" s="52"/>
      <c r="BS845" s="52"/>
      <c r="BT845" s="52"/>
      <c r="BU845" s="52"/>
      <c r="BV845" s="52"/>
    </row>
    <row r="846">
      <c r="AS846" s="52"/>
      <c r="AT846" s="52"/>
      <c r="AU846" s="52"/>
      <c r="AV846" s="52"/>
      <c r="AW846" s="52"/>
      <c r="AX846" s="52"/>
      <c r="AY846" s="52"/>
      <c r="AZ846" s="52"/>
      <c r="BA846" s="52"/>
      <c r="BB846" s="52"/>
      <c r="BC846" s="52"/>
      <c r="BD846" s="52"/>
      <c r="BE846" s="52"/>
      <c r="BF846" s="52"/>
      <c r="BG846" s="52"/>
      <c r="BH846" s="52"/>
      <c r="BI846" s="52"/>
      <c r="BJ846" s="52"/>
      <c r="BK846" s="52"/>
      <c r="BL846" s="52"/>
      <c r="BM846" s="52"/>
      <c r="BN846" s="52"/>
      <c r="BO846" s="52"/>
      <c r="BP846" s="52"/>
      <c r="BQ846" s="52"/>
      <c r="BR846" s="52"/>
      <c r="BS846" s="52"/>
      <c r="BT846" s="52"/>
      <c r="BU846" s="52"/>
      <c r="BV846" s="52"/>
    </row>
    <row r="847">
      <c r="AS847" s="52"/>
      <c r="AT847" s="52"/>
      <c r="AU847" s="52"/>
      <c r="AV847" s="52"/>
      <c r="AW847" s="52"/>
      <c r="AX847" s="52"/>
      <c r="AY847" s="52"/>
      <c r="AZ847" s="52"/>
      <c r="BA847" s="52"/>
      <c r="BB847" s="52"/>
      <c r="BC847" s="52"/>
      <c r="BD847" s="52"/>
      <c r="BE847" s="52"/>
      <c r="BF847" s="52"/>
      <c r="BG847" s="52"/>
      <c r="BH847" s="52"/>
      <c r="BI847" s="52"/>
      <c r="BJ847" s="52"/>
      <c r="BK847" s="52"/>
      <c r="BL847" s="52"/>
      <c r="BM847" s="52"/>
      <c r="BN847" s="52"/>
      <c r="BO847" s="52"/>
      <c r="BP847" s="52"/>
      <c r="BQ847" s="52"/>
      <c r="BR847" s="52"/>
      <c r="BS847" s="52"/>
      <c r="BT847" s="52"/>
      <c r="BU847" s="52"/>
      <c r="BV847" s="52"/>
    </row>
    <row r="848">
      <c r="AS848" s="52"/>
      <c r="AT848" s="52"/>
      <c r="AU848" s="52"/>
      <c r="AV848" s="52"/>
      <c r="AW848" s="52"/>
      <c r="AX848" s="52"/>
      <c r="AY848" s="52"/>
      <c r="AZ848" s="52"/>
      <c r="BA848" s="52"/>
      <c r="BB848" s="52"/>
      <c r="BC848" s="52"/>
      <c r="BD848" s="52"/>
      <c r="BE848" s="52"/>
      <c r="BF848" s="52"/>
      <c r="BG848" s="52"/>
      <c r="BH848" s="52"/>
      <c r="BI848" s="52"/>
      <c r="BJ848" s="52"/>
      <c r="BK848" s="52"/>
      <c r="BL848" s="52"/>
      <c r="BM848" s="52"/>
      <c r="BN848" s="52"/>
      <c r="BO848" s="52"/>
      <c r="BP848" s="52"/>
      <c r="BQ848" s="52"/>
      <c r="BR848" s="52"/>
      <c r="BS848" s="52"/>
      <c r="BT848" s="52"/>
      <c r="BU848" s="52"/>
      <c r="BV848" s="52"/>
    </row>
    <row r="849">
      <c r="AS849" s="52"/>
      <c r="AT849" s="52"/>
      <c r="AU849" s="52"/>
      <c r="AV849" s="52"/>
      <c r="AW849" s="52"/>
      <c r="AX849" s="52"/>
      <c r="AY849" s="52"/>
      <c r="AZ849" s="52"/>
      <c r="BA849" s="52"/>
      <c r="BB849" s="52"/>
      <c r="BC849" s="52"/>
      <c r="BD849" s="52"/>
      <c r="BE849" s="52"/>
      <c r="BF849" s="52"/>
      <c r="BG849" s="52"/>
      <c r="BH849" s="52"/>
      <c r="BI849" s="52"/>
      <c r="BJ849" s="52"/>
      <c r="BK849" s="52"/>
      <c r="BL849" s="52"/>
      <c r="BM849" s="52"/>
      <c r="BN849" s="52"/>
      <c r="BO849" s="52"/>
      <c r="BP849" s="52"/>
      <c r="BQ849" s="52"/>
      <c r="BR849" s="52"/>
      <c r="BS849" s="52"/>
      <c r="BT849" s="52"/>
      <c r="BU849" s="52"/>
      <c r="BV849" s="52"/>
    </row>
    <row r="850">
      <c r="AS850" s="52"/>
      <c r="AT850" s="52"/>
      <c r="AU850" s="52"/>
      <c r="AV850" s="52"/>
      <c r="AW850" s="52"/>
      <c r="AX850" s="52"/>
      <c r="AY850" s="52"/>
      <c r="AZ850" s="52"/>
      <c r="BA850" s="52"/>
      <c r="BB850" s="52"/>
      <c r="BC850" s="52"/>
      <c r="BD850" s="52"/>
      <c r="BE850" s="52"/>
      <c r="BF850" s="52"/>
      <c r="BG850" s="52"/>
      <c r="BH850" s="52"/>
      <c r="BI850" s="52"/>
      <c r="BJ850" s="52"/>
      <c r="BK850" s="52"/>
      <c r="BL850" s="52"/>
      <c r="BM850" s="52"/>
      <c r="BN850" s="52"/>
      <c r="BO850" s="52"/>
      <c r="BP850" s="52"/>
      <c r="BQ850" s="52"/>
      <c r="BR850" s="52"/>
      <c r="BS850" s="52"/>
      <c r="BT850" s="52"/>
      <c r="BU850" s="52"/>
      <c r="BV850" s="52"/>
    </row>
    <row r="851">
      <c r="AS851" s="52"/>
      <c r="AT851" s="52"/>
      <c r="AU851" s="52"/>
      <c r="AV851" s="52"/>
      <c r="AW851" s="52"/>
      <c r="AX851" s="52"/>
      <c r="AY851" s="52"/>
      <c r="AZ851" s="52"/>
      <c r="BA851" s="52"/>
      <c r="BB851" s="52"/>
      <c r="BC851" s="52"/>
      <c r="BD851" s="52"/>
      <c r="BE851" s="52"/>
      <c r="BF851" s="52"/>
      <c r="BG851" s="52"/>
      <c r="BH851" s="52"/>
      <c r="BI851" s="52"/>
      <c r="BJ851" s="52"/>
      <c r="BK851" s="52"/>
      <c r="BL851" s="52"/>
      <c r="BM851" s="52"/>
      <c r="BN851" s="52"/>
      <c r="BO851" s="52"/>
      <c r="BP851" s="52"/>
      <c r="BQ851" s="52"/>
      <c r="BR851" s="52"/>
      <c r="BS851" s="52"/>
      <c r="BT851" s="52"/>
      <c r="BU851" s="52"/>
      <c r="BV851" s="52"/>
    </row>
    <row r="852">
      <c r="AS852" s="52"/>
      <c r="AT852" s="52"/>
      <c r="AU852" s="52"/>
      <c r="AV852" s="52"/>
      <c r="AW852" s="52"/>
      <c r="AX852" s="52"/>
      <c r="AY852" s="52"/>
      <c r="AZ852" s="52"/>
      <c r="BA852" s="52"/>
      <c r="BB852" s="52"/>
      <c r="BC852" s="52"/>
      <c r="BD852" s="52"/>
      <c r="BE852" s="52"/>
      <c r="BF852" s="52"/>
      <c r="BG852" s="52"/>
      <c r="BH852" s="52"/>
      <c r="BI852" s="52"/>
      <c r="BJ852" s="52"/>
      <c r="BK852" s="52"/>
      <c r="BL852" s="52"/>
      <c r="BM852" s="52"/>
      <c r="BN852" s="52"/>
      <c r="BO852" s="52"/>
      <c r="BP852" s="52"/>
      <c r="BQ852" s="52"/>
      <c r="BR852" s="52"/>
      <c r="BS852" s="52"/>
      <c r="BT852" s="52"/>
      <c r="BU852" s="52"/>
      <c r="BV852" s="52"/>
    </row>
    <row r="853">
      <c r="AS853" s="52"/>
      <c r="AT853" s="52"/>
      <c r="AU853" s="52"/>
      <c r="AV853" s="52"/>
      <c r="AW853" s="52"/>
      <c r="AX853" s="52"/>
      <c r="AY853" s="52"/>
      <c r="AZ853" s="52"/>
      <c r="BA853" s="52"/>
      <c r="BB853" s="52"/>
      <c r="BC853" s="52"/>
      <c r="BD853" s="52"/>
      <c r="BE853" s="52"/>
      <c r="BF853" s="52"/>
      <c r="BG853" s="52"/>
      <c r="BH853" s="52"/>
      <c r="BI853" s="52"/>
      <c r="BJ853" s="52"/>
      <c r="BK853" s="52"/>
      <c r="BL853" s="52"/>
      <c r="BM853" s="52"/>
      <c r="BN853" s="52"/>
      <c r="BO853" s="52"/>
      <c r="BP853" s="52"/>
      <c r="BQ853" s="52"/>
      <c r="BR853" s="52"/>
      <c r="BS853" s="52"/>
      <c r="BT853" s="52"/>
      <c r="BU853" s="52"/>
      <c r="BV853" s="52"/>
    </row>
    <row r="854">
      <c r="AS854" s="52"/>
      <c r="AT854" s="52"/>
      <c r="AU854" s="52"/>
      <c r="AV854" s="52"/>
      <c r="AW854" s="52"/>
      <c r="AX854" s="52"/>
      <c r="AY854" s="52"/>
      <c r="AZ854" s="52"/>
      <c r="BA854" s="52"/>
      <c r="BB854" s="52"/>
      <c r="BC854" s="52"/>
      <c r="BD854" s="52"/>
      <c r="BE854" s="52"/>
      <c r="BF854" s="52"/>
      <c r="BG854" s="52"/>
      <c r="BH854" s="52"/>
      <c r="BI854" s="52"/>
      <c r="BJ854" s="52"/>
      <c r="BK854" s="52"/>
      <c r="BL854" s="52"/>
      <c r="BM854" s="52"/>
      <c r="BN854" s="52"/>
      <c r="BO854" s="52"/>
      <c r="BP854" s="52"/>
      <c r="BQ854" s="52"/>
      <c r="BR854" s="52"/>
      <c r="BS854" s="52"/>
      <c r="BT854" s="52"/>
      <c r="BU854" s="52"/>
      <c r="BV854" s="52"/>
    </row>
    <row r="855">
      <c r="AS855" s="52"/>
      <c r="AT855" s="52"/>
      <c r="AU855" s="52"/>
      <c r="AV855" s="52"/>
      <c r="AW855" s="52"/>
      <c r="AX855" s="52"/>
      <c r="AY855" s="52"/>
      <c r="AZ855" s="52"/>
      <c r="BA855" s="52"/>
      <c r="BB855" s="52"/>
      <c r="BC855" s="52"/>
      <c r="BD855" s="52"/>
      <c r="BE855" s="52"/>
      <c r="BF855" s="52"/>
      <c r="BG855" s="52"/>
      <c r="BH855" s="52"/>
      <c r="BI855" s="52"/>
      <c r="BJ855" s="52"/>
      <c r="BK855" s="52"/>
      <c r="BL855" s="52"/>
      <c r="BM855" s="52"/>
      <c r="BN855" s="52"/>
      <c r="BO855" s="52"/>
      <c r="BP855" s="52"/>
      <c r="BQ855" s="52"/>
      <c r="BR855" s="52"/>
      <c r="BS855" s="52"/>
      <c r="BT855" s="52"/>
      <c r="BU855" s="52"/>
      <c r="BV855" s="52"/>
    </row>
    <row r="856">
      <c r="AS856" s="52"/>
      <c r="AT856" s="52"/>
      <c r="AU856" s="52"/>
      <c r="AV856" s="52"/>
      <c r="AW856" s="52"/>
      <c r="AX856" s="52"/>
      <c r="AY856" s="52"/>
      <c r="AZ856" s="52"/>
      <c r="BA856" s="52"/>
      <c r="BB856" s="52"/>
      <c r="BC856" s="52"/>
      <c r="BD856" s="52"/>
      <c r="BE856" s="52"/>
      <c r="BF856" s="52"/>
      <c r="BG856" s="52"/>
      <c r="BH856" s="52"/>
      <c r="BI856" s="52"/>
      <c r="BJ856" s="52"/>
      <c r="BK856" s="52"/>
      <c r="BL856" s="52"/>
      <c r="BM856" s="52"/>
      <c r="BN856" s="52"/>
      <c r="BO856" s="52"/>
      <c r="BP856" s="52"/>
      <c r="BQ856" s="52"/>
      <c r="BR856" s="52"/>
      <c r="BS856" s="52"/>
      <c r="BT856" s="52"/>
      <c r="BU856" s="52"/>
      <c r="BV856" s="52"/>
    </row>
    <row r="857">
      <c r="AS857" s="52"/>
      <c r="AT857" s="52"/>
      <c r="AU857" s="52"/>
      <c r="AV857" s="52"/>
      <c r="AW857" s="52"/>
      <c r="AX857" s="52"/>
      <c r="AY857" s="52"/>
      <c r="AZ857" s="52"/>
      <c r="BA857" s="52"/>
      <c r="BB857" s="52"/>
      <c r="BC857" s="52"/>
      <c r="BD857" s="52"/>
      <c r="BE857" s="52"/>
      <c r="BF857" s="52"/>
      <c r="BG857" s="52"/>
      <c r="BH857" s="52"/>
      <c r="BI857" s="52"/>
      <c r="BJ857" s="52"/>
      <c r="BK857" s="52"/>
      <c r="BL857" s="52"/>
      <c r="BM857" s="52"/>
      <c r="BN857" s="52"/>
      <c r="BO857" s="52"/>
      <c r="BP857" s="52"/>
      <c r="BQ857" s="52"/>
      <c r="BR857" s="52"/>
      <c r="BS857" s="52"/>
      <c r="BT857" s="52"/>
      <c r="BU857" s="52"/>
      <c r="BV857" s="52"/>
    </row>
    <row r="858">
      <c r="AS858" s="52"/>
      <c r="AT858" s="52"/>
      <c r="AU858" s="52"/>
      <c r="AV858" s="52"/>
      <c r="AW858" s="52"/>
      <c r="AX858" s="52"/>
      <c r="AY858" s="52"/>
      <c r="AZ858" s="52"/>
      <c r="BA858" s="52"/>
      <c r="BB858" s="52"/>
      <c r="BC858" s="52"/>
      <c r="BD858" s="52"/>
      <c r="BE858" s="52"/>
      <c r="BF858" s="52"/>
      <c r="BG858" s="52"/>
      <c r="BH858" s="52"/>
      <c r="BI858" s="52"/>
      <c r="BJ858" s="52"/>
      <c r="BK858" s="52"/>
      <c r="BL858" s="52"/>
      <c r="BM858" s="52"/>
      <c r="BN858" s="52"/>
      <c r="BO858" s="52"/>
      <c r="BP858" s="52"/>
      <c r="BQ858" s="52"/>
      <c r="BR858" s="52"/>
      <c r="BS858" s="52"/>
      <c r="BT858" s="52"/>
      <c r="BU858" s="52"/>
      <c r="BV858" s="52"/>
    </row>
    <row r="859">
      <c r="AS859" s="52"/>
      <c r="AT859" s="52"/>
      <c r="AU859" s="52"/>
      <c r="AV859" s="52"/>
      <c r="AW859" s="52"/>
      <c r="AX859" s="52"/>
      <c r="AY859" s="52"/>
      <c r="AZ859" s="52"/>
      <c r="BA859" s="52"/>
      <c r="BB859" s="52"/>
      <c r="BC859" s="52"/>
      <c r="BD859" s="52"/>
      <c r="BE859" s="52"/>
      <c r="BF859" s="52"/>
      <c r="BG859" s="52"/>
      <c r="BH859" s="52"/>
      <c r="BI859" s="52"/>
      <c r="BJ859" s="52"/>
      <c r="BK859" s="52"/>
      <c r="BL859" s="52"/>
      <c r="BM859" s="52"/>
      <c r="BN859" s="52"/>
      <c r="BO859" s="52"/>
      <c r="BP859" s="52"/>
      <c r="BQ859" s="52"/>
      <c r="BR859" s="52"/>
      <c r="BS859" s="52"/>
      <c r="BT859" s="52"/>
      <c r="BU859" s="52"/>
      <c r="BV859" s="52"/>
    </row>
    <row r="860">
      <c r="AS860" s="52"/>
      <c r="AT860" s="52"/>
      <c r="AU860" s="52"/>
      <c r="AV860" s="52"/>
      <c r="AW860" s="52"/>
      <c r="AX860" s="52"/>
      <c r="AY860" s="52"/>
      <c r="AZ860" s="52"/>
      <c r="BA860" s="52"/>
      <c r="BB860" s="52"/>
      <c r="BC860" s="52"/>
      <c r="BD860" s="52"/>
      <c r="BE860" s="52"/>
      <c r="BF860" s="52"/>
      <c r="BG860" s="52"/>
      <c r="BH860" s="52"/>
      <c r="BI860" s="52"/>
      <c r="BJ860" s="52"/>
      <c r="BK860" s="52"/>
      <c r="BL860" s="52"/>
      <c r="BM860" s="52"/>
      <c r="BN860" s="52"/>
      <c r="BO860" s="52"/>
      <c r="BP860" s="52"/>
      <c r="BQ860" s="52"/>
      <c r="BR860" s="52"/>
      <c r="BS860" s="52"/>
      <c r="BT860" s="52"/>
      <c r="BU860" s="52"/>
      <c r="BV860" s="52"/>
    </row>
    <row r="861">
      <c r="AS861" s="52"/>
      <c r="AT861" s="52"/>
      <c r="AU861" s="52"/>
      <c r="AV861" s="52"/>
      <c r="AW861" s="52"/>
      <c r="AX861" s="52"/>
      <c r="AY861" s="52"/>
      <c r="AZ861" s="52"/>
      <c r="BA861" s="52"/>
      <c r="BB861" s="52"/>
      <c r="BC861" s="52"/>
      <c r="BD861" s="52"/>
      <c r="BE861" s="52"/>
      <c r="BF861" s="52"/>
      <c r="BG861" s="52"/>
      <c r="BH861" s="52"/>
      <c r="BI861" s="52"/>
      <c r="BJ861" s="52"/>
      <c r="BK861" s="52"/>
      <c r="BL861" s="52"/>
      <c r="BM861" s="52"/>
      <c r="BN861" s="52"/>
      <c r="BO861" s="52"/>
      <c r="BP861" s="52"/>
      <c r="BQ861" s="52"/>
      <c r="BR861" s="52"/>
      <c r="BS861" s="52"/>
      <c r="BT861" s="52"/>
      <c r="BU861" s="52"/>
      <c r="BV861" s="52"/>
    </row>
    <row r="862">
      <c r="AS862" s="52"/>
      <c r="AT862" s="52"/>
      <c r="AU862" s="52"/>
      <c r="AV862" s="52"/>
      <c r="AW862" s="52"/>
      <c r="AX862" s="52"/>
      <c r="AY862" s="52"/>
      <c r="AZ862" s="52"/>
      <c r="BA862" s="52"/>
      <c r="BB862" s="52"/>
      <c r="BC862" s="52"/>
      <c r="BD862" s="52"/>
      <c r="BE862" s="52"/>
      <c r="BF862" s="52"/>
      <c r="BG862" s="52"/>
      <c r="BH862" s="52"/>
      <c r="BI862" s="52"/>
      <c r="BJ862" s="52"/>
      <c r="BK862" s="52"/>
      <c r="BL862" s="52"/>
      <c r="BM862" s="52"/>
      <c r="BN862" s="52"/>
      <c r="BO862" s="52"/>
      <c r="BP862" s="52"/>
      <c r="BQ862" s="52"/>
      <c r="BR862" s="52"/>
      <c r="BS862" s="52"/>
      <c r="BT862" s="52"/>
      <c r="BU862" s="52"/>
      <c r="BV862" s="52"/>
    </row>
    <row r="863">
      <c r="AS863" s="52"/>
      <c r="AT863" s="52"/>
      <c r="AU863" s="52"/>
      <c r="AV863" s="52"/>
      <c r="AW863" s="52"/>
      <c r="AX863" s="52"/>
      <c r="AY863" s="52"/>
      <c r="AZ863" s="52"/>
      <c r="BA863" s="52"/>
      <c r="BB863" s="52"/>
      <c r="BC863" s="52"/>
      <c r="BD863" s="52"/>
      <c r="BE863" s="52"/>
      <c r="BF863" s="52"/>
      <c r="BG863" s="52"/>
      <c r="BH863" s="52"/>
      <c r="BI863" s="52"/>
      <c r="BJ863" s="52"/>
      <c r="BK863" s="52"/>
      <c r="BL863" s="52"/>
      <c r="BM863" s="52"/>
      <c r="BN863" s="52"/>
      <c r="BO863" s="52"/>
      <c r="BP863" s="52"/>
      <c r="BQ863" s="52"/>
      <c r="BR863" s="52"/>
      <c r="BS863" s="52"/>
      <c r="BT863" s="52"/>
      <c r="BU863" s="52"/>
      <c r="BV863" s="52"/>
    </row>
    <row r="864">
      <c r="AS864" s="52"/>
      <c r="AT864" s="52"/>
      <c r="AU864" s="52"/>
      <c r="AV864" s="52"/>
      <c r="AW864" s="52"/>
      <c r="AX864" s="52"/>
      <c r="AY864" s="52"/>
      <c r="AZ864" s="52"/>
      <c r="BA864" s="52"/>
      <c r="BB864" s="52"/>
      <c r="BC864" s="52"/>
      <c r="BD864" s="52"/>
      <c r="BE864" s="52"/>
      <c r="BF864" s="52"/>
      <c r="BG864" s="52"/>
      <c r="BH864" s="52"/>
      <c r="BI864" s="52"/>
      <c r="BJ864" s="52"/>
      <c r="BK864" s="52"/>
      <c r="BL864" s="52"/>
      <c r="BM864" s="52"/>
      <c r="BN864" s="52"/>
      <c r="BO864" s="52"/>
      <c r="BP864" s="52"/>
      <c r="BQ864" s="52"/>
      <c r="BR864" s="52"/>
      <c r="BS864" s="52"/>
      <c r="BT864" s="52"/>
      <c r="BU864" s="52"/>
      <c r="BV864" s="52"/>
    </row>
    <row r="865">
      <c r="AS865" s="52"/>
      <c r="AT865" s="52"/>
      <c r="AU865" s="52"/>
      <c r="AV865" s="52"/>
      <c r="AW865" s="52"/>
      <c r="AX865" s="52"/>
      <c r="AY865" s="52"/>
      <c r="AZ865" s="52"/>
      <c r="BA865" s="52"/>
      <c r="BB865" s="52"/>
      <c r="BC865" s="52"/>
      <c r="BD865" s="52"/>
      <c r="BE865" s="52"/>
      <c r="BF865" s="52"/>
      <c r="BG865" s="52"/>
      <c r="BH865" s="52"/>
      <c r="BI865" s="52"/>
      <c r="BJ865" s="52"/>
      <c r="BK865" s="52"/>
      <c r="BL865" s="52"/>
      <c r="BM865" s="52"/>
      <c r="BN865" s="52"/>
      <c r="BO865" s="52"/>
      <c r="BP865" s="52"/>
      <c r="BQ865" s="52"/>
      <c r="BR865" s="52"/>
      <c r="BS865" s="52"/>
      <c r="BT865" s="52"/>
      <c r="BU865" s="52"/>
      <c r="BV865" s="52"/>
    </row>
    <row r="866">
      <c r="AS866" s="52"/>
      <c r="AT866" s="52"/>
      <c r="AU866" s="52"/>
      <c r="AV866" s="52"/>
      <c r="AW866" s="52"/>
      <c r="AX866" s="52"/>
      <c r="AY866" s="52"/>
      <c r="AZ866" s="52"/>
      <c r="BA866" s="52"/>
      <c r="BB866" s="52"/>
      <c r="BC866" s="52"/>
      <c r="BD866" s="52"/>
      <c r="BE866" s="52"/>
      <c r="BF866" s="52"/>
      <c r="BG866" s="52"/>
      <c r="BH866" s="52"/>
      <c r="BI866" s="52"/>
      <c r="BJ866" s="52"/>
      <c r="BK866" s="52"/>
      <c r="BL866" s="52"/>
      <c r="BM866" s="52"/>
      <c r="BN866" s="52"/>
      <c r="BO866" s="52"/>
      <c r="BP866" s="52"/>
      <c r="BQ866" s="52"/>
      <c r="BR866" s="52"/>
      <c r="BS866" s="52"/>
      <c r="BT866" s="52"/>
      <c r="BU866" s="52"/>
      <c r="BV866" s="52"/>
    </row>
    <row r="867">
      <c r="AS867" s="52"/>
      <c r="AT867" s="52"/>
      <c r="AU867" s="52"/>
      <c r="AV867" s="52"/>
      <c r="AW867" s="52"/>
      <c r="AX867" s="52"/>
      <c r="AY867" s="52"/>
      <c r="AZ867" s="52"/>
      <c r="BA867" s="52"/>
      <c r="BB867" s="52"/>
      <c r="BC867" s="52"/>
      <c r="BD867" s="52"/>
      <c r="BE867" s="52"/>
      <c r="BF867" s="52"/>
      <c r="BG867" s="52"/>
      <c r="BH867" s="52"/>
      <c r="BI867" s="52"/>
      <c r="BJ867" s="52"/>
      <c r="BK867" s="52"/>
      <c r="BL867" s="52"/>
      <c r="BM867" s="52"/>
      <c r="BN867" s="52"/>
      <c r="BO867" s="52"/>
      <c r="BP867" s="52"/>
      <c r="BQ867" s="52"/>
      <c r="BR867" s="52"/>
      <c r="BS867" s="52"/>
      <c r="BT867" s="52"/>
      <c r="BU867" s="52"/>
      <c r="BV867" s="52"/>
    </row>
    <row r="868">
      <c r="AS868" s="52"/>
      <c r="AT868" s="52"/>
      <c r="AU868" s="52"/>
      <c r="AV868" s="52"/>
      <c r="AW868" s="52"/>
      <c r="AX868" s="52"/>
      <c r="AY868" s="52"/>
      <c r="AZ868" s="52"/>
      <c r="BA868" s="52"/>
      <c r="BB868" s="52"/>
      <c r="BC868" s="52"/>
      <c r="BD868" s="52"/>
      <c r="BE868" s="52"/>
      <c r="BF868" s="52"/>
      <c r="BG868" s="52"/>
      <c r="BH868" s="52"/>
      <c r="BI868" s="52"/>
      <c r="BJ868" s="52"/>
      <c r="BK868" s="52"/>
      <c r="BL868" s="52"/>
      <c r="BM868" s="52"/>
      <c r="BN868" s="52"/>
      <c r="BO868" s="52"/>
      <c r="BP868" s="52"/>
      <c r="BQ868" s="52"/>
      <c r="BR868" s="52"/>
      <c r="BS868" s="52"/>
      <c r="BT868" s="52"/>
      <c r="BU868" s="52"/>
      <c r="BV868" s="52"/>
    </row>
    <row r="869">
      <c r="AS869" s="52"/>
      <c r="AT869" s="52"/>
      <c r="AU869" s="52"/>
      <c r="AV869" s="52"/>
      <c r="AW869" s="52"/>
      <c r="AX869" s="52"/>
      <c r="AY869" s="52"/>
      <c r="AZ869" s="52"/>
      <c r="BA869" s="52"/>
      <c r="BB869" s="52"/>
      <c r="BC869" s="52"/>
      <c r="BD869" s="52"/>
      <c r="BE869" s="52"/>
      <c r="BF869" s="52"/>
      <c r="BG869" s="52"/>
      <c r="BH869" s="52"/>
      <c r="BI869" s="52"/>
      <c r="BJ869" s="52"/>
      <c r="BK869" s="52"/>
      <c r="BL869" s="52"/>
      <c r="BM869" s="52"/>
      <c r="BN869" s="52"/>
      <c r="BO869" s="52"/>
      <c r="BP869" s="52"/>
      <c r="BQ869" s="52"/>
      <c r="BR869" s="52"/>
      <c r="BS869" s="52"/>
      <c r="BT869" s="52"/>
      <c r="BU869" s="52"/>
      <c r="BV869" s="52"/>
    </row>
    <row r="870">
      <c r="AS870" s="52"/>
      <c r="AT870" s="52"/>
      <c r="AU870" s="52"/>
      <c r="AV870" s="52"/>
      <c r="AW870" s="52"/>
      <c r="AX870" s="52"/>
      <c r="AY870" s="52"/>
      <c r="AZ870" s="52"/>
      <c r="BA870" s="52"/>
      <c r="BB870" s="52"/>
      <c r="BC870" s="52"/>
      <c r="BD870" s="52"/>
      <c r="BE870" s="52"/>
      <c r="BF870" s="52"/>
      <c r="BG870" s="52"/>
      <c r="BH870" s="52"/>
      <c r="BI870" s="52"/>
      <c r="BJ870" s="52"/>
      <c r="BK870" s="52"/>
      <c r="BL870" s="52"/>
      <c r="BM870" s="52"/>
      <c r="BN870" s="52"/>
      <c r="BO870" s="52"/>
      <c r="BP870" s="52"/>
      <c r="BQ870" s="52"/>
      <c r="BR870" s="52"/>
      <c r="BS870" s="52"/>
      <c r="BT870" s="52"/>
      <c r="BU870" s="52"/>
      <c r="BV870" s="52"/>
    </row>
    <row r="871">
      <c r="AS871" s="52"/>
      <c r="AT871" s="52"/>
      <c r="AU871" s="52"/>
      <c r="AV871" s="52"/>
      <c r="AW871" s="52"/>
      <c r="AX871" s="52"/>
      <c r="AY871" s="52"/>
      <c r="AZ871" s="52"/>
      <c r="BA871" s="52"/>
      <c r="BB871" s="52"/>
      <c r="BC871" s="52"/>
      <c r="BD871" s="52"/>
      <c r="BE871" s="52"/>
      <c r="BF871" s="52"/>
      <c r="BG871" s="52"/>
      <c r="BH871" s="52"/>
      <c r="BI871" s="52"/>
      <c r="BJ871" s="52"/>
      <c r="BK871" s="52"/>
      <c r="BL871" s="52"/>
      <c r="BM871" s="52"/>
      <c r="BN871" s="52"/>
      <c r="BO871" s="52"/>
      <c r="BP871" s="52"/>
      <c r="BQ871" s="52"/>
      <c r="BR871" s="52"/>
      <c r="BS871" s="52"/>
      <c r="BT871" s="52"/>
      <c r="BU871" s="52"/>
      <c r="BV871" s="52"/>
    </row>
    <row r="872">
      <c r="AS872" s="52"/>
      <c r="AT872" s="52"/>
      <c r="AU872" s="52"/>
      <c r="AV872" s="52"/>
      <c r="AW872" s="52"/>
      <c r="AX872" s="52"/>
      <c r="AY872" s="52"/>
      <c r="AZ872" s="52"/>
      <c r="BA872" s="52"/>
      <c r="BB872" s="52"/>
      <c r="BC872" s="52"/>
      <c r="BD872" s="52"/>
      <c r="BE872" s="52"/>
      <c r="BF872" s="52"/>
      <c r="BG872" s="52"/>
      <c r="BH872" s="52"/>
      <c r="BI872" s="52"/>
      <c r="BJ872" s="52"/>
      <c r="BK872" s="52"/>
      <c r="BL872" s="52"/>
      <c r="BM872" s="52"/>
      <c r="BN872" s="52"/>
      <c r="BO872" s="52"/>
      <c r="BP872" s="52"/>
      <c r="BQ872" s="52"/>
      <c r="BR872" s="52"/>
      <c r="BS872" s="52"/>
      <c r="BT872" s="52"/>
      <c r="BU872" s="52"/>
      <c r="BV872" s="52"/>
    </row>
    <row r="873">
      <c r="AS873" s="52"/>
      <c r="AT873" s="52"/>
      <c r="AU873" s="52"/>
      <c r="AV873" s="52"/>
      <c r="AW873" s="52"/>
      <c r="AX873" s="52"/>
      <c r="AY873" s="52"/>
      <c r="AZ873" s="52"/>
      <c r="BA873" s="52"/>
      <c r="BB873" s="52"/>
      <c r="BC873" s="52"/>
      <c r="BD873" s="52"/>
      <c r="BE873" s="52"/>
      <c r="BF873" s="52"/>
      <c r="BG873" s="52"/>
      <c r="BH873" s="52"/>
      <c r="BI873" s="52"/>
      <c r="BJ873" s="52"/>
      <c r="BK873" s="52"/>
      <c r="BL873" s="52"/>
      <c r="BM873" s="52"/>
      <c r="BN873" s="52"/>
      <c r="BO873" s="52"/>
      <c r="BP873" s="52"/>
      <c r="BQ873" s="52"/>
      <c r="BR873" s="52"/>
      <c r="BS873" s="52"/>
      <c r="BT873" s="52"/>
      <c r="BU873" s="52"/>
      <c r="BV873" s="52"/>
    </row>
    <row r="874">
      <c r="AS874" s="52"/>
      <c r="AT874" s="52"/>
      <c r="AU874" s="52"/>
      <c r="AV874" s="52"/>
      <c r="AW874" s="52"/>
      <c r="AX874" s="52"/>
      <c r="AY874" s="52"/>
      <c r="AZ874" s="52"/>
      <c r="BA874" s="52"/>
      <c r="BB874" s="52"/>
      <c r="BC874" s="52"/>
      <c r="BD874" s="52"/>
      <c r="BE874" s="52"/>
      <c r="BF874" s="52"/>
      <c r="BG874" s="52"/>
      <c r="BH874" s="52"/>
      <c r="BI874" s="52"/>
      <c r="BJ874" s="52"/>
      <c r="BK874" s="52"/>
      <c r="BL874" s="52"/>
      <c r="BM874" s="52"/>
      <c r="BN874" s="52"/>
      <c r="BO874" s="52"/>
      <c r="BP874" s="52"/>
      <c r="BQ874" s="52"/>
      <c r="BR874" s="52"/>
      <c r="BS874" s="52"/>
      <c r="BT874" s="52"/>
      <c r="BU874" s="52"/>
      <c r="BV874" s="52"/>
    </row>
    <row r="875">
      <c r="AS875" s="52"/>
      <c r="AT875" s="52"/>
      <c r="AU875" s="52"/>
      <c r="AV875" s="52"/>
      <c r="AW875" s="52"/>
      <c r="AX875" s="52"/>
      <c r="AY875" s="52"/>
      <c r="AZ875" s="52"/>
      <c r="BA875" s="52"/>
      <c r="BB875" s="52"/>
      <c r="BC875" s="52"/>
      <c r="BD875" s="52"/>
      <c r="BE875" s="52"/>
      <c r="BF875" s="52"/>
      <c r="BG875" s="52"/>
      <c r="BH875" s="52"/>
      <c r="BI875" s="52"/>
      <c r="BJ875" s="52"/>
      <c r="BK875" s="52"/>
      <c r="BL875" s="52"/>
      <c r="BM875" s="52"/>
      <c r="BN875" s="52"/>
      <c r="BO875" s="52"/>
      <c r="BP875" s="52"/>
      <c r="BQ875" s="52"/>
      <c r="BR875" s="52"/>
      <c r="BS875" s="52"/>
      <c r="BT875" s="52"/>
      <c r="BU875" s="52"/>
      <c r="BV875" s="52"/>
    </row>
    <row r="876">
      <c r="AS876" s="52"/>
      <c r="AT876" s="52"/>
      <c r="AU876" s="52"/>
      <c r="AV876" s="52"/>
      <c r="AW876" s="52"/>
      <c r="AX876" s="52"/>
      <c r="AY876" s="52"/>
      <c r="AZ876" s="52"/>
      <c r="BA876" s="52"/>
      <c r="BB876" s="52"/>
      <c r="BC876" s="52"/>
      <c r="BD876" s="52"/>
      <c r="BE876" s="52"/>
      <c r="BF876" s="52"/>
      <c r="BG876" s="52"/>
      <c r="BH876" s="52"/>
      <c r="BI876" s="52"/>
      <c r="BJ876" s="52"/>
      <c r="BK876" s="52"/>
      <c r="BL876" s="52"/>
      <c r="BM876" s="52"/>
      <c r="BN876" s="52"/>
      <c r="BO876" s="52"/>
      <c r="BP876" s="52"/>
      <c r="BQ876" s="52"/>
      <c r="BR876" s="52"/>
      <c r="BS876" s="52"/>
      <c r="BT876" s="52"/>
      <c r="BU876" s="52"/>
      <c r="BV876" s="52"/>
    </row>
    <row r="877">
      <c r="AS877" s="52"/>
      <c r="AT877" s="52"/>
      <c r="AU877" s="52"/>
      <c r="AV877" s="52"/>
      <c r="AW877" s="52"/>
      <c r="AX877" s="52"/>
      <c r="AY877" s="52"/>
      <c r="AZ877" s="52"/>
      <c r="BA877" s="52"/>
      <c r="BB877" s="52"/>
      <c r="BC877" s="52"/>
      <c r="BD877" s="52"/>
      <c r="BE877" s="52"/>
      <c r="BF877" s="52"/>
      <c r="BG877" s="52"/>
      <c r="BH877" s="52"/>
      <c r="BI877" s="52"/>
      <c r="BJ877" s="52"/>
      <c r="BK877" s="52"/>
      <c r="BL877" s="52"/>
      <c r="BM877" s="52"/>
      <c r="BN877" s="52"/>
      <c r="BO877" s="52"/>
      <c r="BP877" s="52"/>
      <c r="BQ877" s="52"/>
      <c r="BR877" s="52"/>
      <c r="BS877" s="52"/>
      <c r="BT877" s="52"/>
      <c r="BU877" s="52"/>
      <c r="BV877" s="52"/>
    </row>
    <row r="878">
      <c r="AS878" s="52"/>
      <c r="AT878" s="52"/>
      <c r="AU878" s="52"/>
      <c r="AV878" s="52"/>
      <c r="AW878" s="52"/>
      <c r="AX878" s="52"/>
      <c r="AY878" s="52"/>
      <c r="AZ878" s="52"/>
      <c r="BA878" s="52"/>
      <c r="BB878" s="52"/>
      <c r="BC878" s="52"/>
      <c r="BD878" s="52"/>
      <c r="BE878" s="52"/>
      <c r="BF878" s="52"/>
      <c r="BG878" s="52"/>
      <c r="BH878" s="52"/>
      <c r="BI878" s="52"/>
      <c r="BJ878" s="52"/>
      <c r="BK878" s="52"/>
      <c r="BL878" s="52"/>
      <c r="BM878" s="52"/>
      <c r="BN878" s="52"/>
      <c r="BO878" s="52"/>
      <c r="BP878" s="52"/>
      <c r="BQ878" s="52"/>
      <c r="BR878" s="52"/>
      <c r="BS878" s="52"/>
      <c r="BT878" s="52"/>
      <c r="BU878" s="52"/>
      <c r="BV878" s="52"/>
    </row>
    <row r="879">
      <c r="AS879" s="52"/>
      <c r="AT879" s="52"/>
      <c r="AU879" s="52"/>
      <c r="AV879" s="52"/>
      <c r="AW879" s="52"/>
      <c r="AX879" s="52"/>
      <c r="AY879" s="52"/>
      <c r="AZ879" s="52"/>
      <c r="BA879" s="52"/>
      <c r="BB879" s="52"/>
      <c r="BC879" s="52"/>
      <c r="BD879" s="52"/>
      <c r="BE879" s="52"/>
      <c r="BF879" s="52"/>
      <c r="BG879" s="52"/>
      <c r="BH879" s="52"/>
      <c r="BI879" s="52"/>
      <c r="BJ879" s="52"/>
      <c r="BK879" s="52"/>
      <c r="BL879" s="52"/>
      <c r="BM879" s="52"/>
      <c r="BN879" s="52"/>
      <c r="BO879" s="52"/>
      <c r="BP879" s="52"/>
      <c r="BQ879" s="52"/>
      <c r="BR879" s="52"/>
      <c r="BS879" s="52"/>
      <c r="BT879" s="52"/>
      <c r="BU879" s="52"/>
      <c r="BV879" s="52"/>
    </row>
    <row r="880">
      <c r="AS880" s="52"/>
      <c r="AT880" s="52"/>
      <c r="AU880" s="52"/>
      <c r="AV880" s="52"/>
      <c r="AW880" s="52"/>
      <c r="AX880" s="52"/>
      <c r="AY880" s="52"/>
      <c r="AZ880" s="52"/>
      <c r="BA880" s="52"/>
      <c r="BB880" s="52"/>
      <c r="BC880" s="52"/>
      <c r="BD880" s="52"/>
      <c r="BE880" s="52"/>
      <c r="BF880" s="52"/>
      <c r="BG880" s="52"/>
      <c r="BH880" s="52"/>
      <c r="BI880" s="52"/>
      <c r="BJ880" s="52"/>
      <c r="BK880" s="52"/>
      <c r="BL880" s="52"/>
      <c r="BM880" s="52"/>
      <c r="BN880" s="52"/>
      <c r="BO880" s="52"/>
      <c r="BP880" s="52"/>
      <c r="BQ880" s="52"/>
      <c r="BR880" s="52"/>
      <c r="BS880" s="52"/>
      <c r="BT880" s="52"/>
      <c r="BU880" s="52"/>
      <c r="BV880" s="52"/>
    </row>
    <row r="881">
      <c r="AS881" s="52"/>
      <c r="AT881" s="52"/>
      <c r="AU881" s="52"/>
      <c r="AV881" s="52"/>
      <c r="AW881" s="52"/>
      <c r="AX881" s="52"/>
      <c r="AY881" s="52"/>
      <c r="AZ881" s="52"/>
      <c r="BA881" s="52"/>
      <c r="BB881" s="52"/>
      <c r="BC881" s="52"/>
      <c r="BD881" s="52"/>
      <c r="BE881" s="52"/>
      <c r="BF881" s="52"/>
      <c r="BG881" s="52"/>
      <c r="BH881" s="52"/>
      <c r="BI881" s="52"/>
      <c r="BJ881" s="52"/>
      <c r="BK881" s="52"/>
      <c r="BL881" s="52"/>
      <c r="BM881" s="52"/>
      <c r="BN881" s="52"/>
      <c r="BO881" s="52"/>
      <c r="BP881" s="52"/>
      <c r="BQ881" s="52"/>
      <c r="BR881" s="52"/>
      <c r="BS881" s="52"/>
      <c r="BT881" s="52"/>
      <c r="BU881" s="52"/>
      <c r="BV881" s="52"/>
    </row>
    <row r="882">
      <c r="AS882" s="52"/>
      <c r="AT882" s="52"/>
      <c r="AU882" s="52"/>
      <c r="AV882" s="52"/>
      <c r="AW882" s="52"/>
      <c r="AX882" s="52"/>
      <c r="AY882" s="52"/>
      <c r="AZ882" s="52"/>
      <c r="BA882" s="52"/>
      <c r="BB882" s="52"/>
      <c r="BC882" s="52"/>
      <c r="BD882" s="52"/>
      <c r="BE882" s="52"/>
      <c r="BF882" s="52"/>
      <c r="BG882" s="52"/>
      <c r="BH882" s="52"/>
      <c r="BI882" s="52"/>
      <c r="BJ882" s="52"/>
      <c r="BK882" s="52"/>
      <c r="BL882" s="52"/>
      <c r="BM882" s="52"/>
      <c r="BN882" s="52"/>
      <c r="BO882" s="52"/>
      <c r="BP882" s="52"/>
      <c r="BQ882" s="52"/>
      <c r="BR882" s="52"/>
      <c r="BS882" s="52"/>
      <c r="BT882" s="52"/>
      <c r="BU882" s="52"/>
      <c r="BV882" s="52"/>
    </row>
    <row r="883">
      <c r="AS883" s="52"/>
      <c r="AT883" s="52"/>
      <c r="AU883" s="52"/>
      <c r="AV883" s="52"/>
      <c r="AW883" s="52"/>
      <c r="AX883" s="52"/>
      <c r="AY883" s="52"/>
      <c r="AZ883" s="52"/>
      <c r="BA883" s="52"/>
      <c r="BB883" s="52"/>
      <c r="BC883" s="52"/>
      <c r="BD883" s="52"/>
      <c r="BE883" s="52"/>
      <c r="BF883" s="52"/>
      <c r="BG883" s="52"/>
      <c r="BH883" s="52"/>
      <c r="BI883" s="52"/>
      <c r="BJ883" s="52"/>
      <c r="BK883" s="52"/>
      <c r="BL883" s="52"/>
      <c r="BM883" s="52"/>
      <c r="BN883" s="52"/>
      <c r="BO883" s="52"/>
      <c r="BP883" s="52"/>
      <c r="BQ883" s="52"/>
      <c r="BR883" s="52"/>
      <c r="BS883" s="52"/>
      <c r="BT883" s="52"/>
      <c r="BU883" s="52"/>
      <c r="BV883" s="52"/>
    </row>
    <row r="884">
      <c r="AS884" s="52"/>
      <c r="AT884" s="52"/>
      <c r="AU884" s="52"/>
      <c r="AV884" s="52"/>
      <c r="AW884" s="52"/>
      <c r="AX884" s="52"/>
      <c r="AY884" s="52"/>
      <c r="AZ884" s="52"/>
      <c r="BA884" s="52"/>
      <c r="BB884" s="52"/>
      <c r="BC884" s="52"/>
      <c r="BD884" s="52"/>
      <c r="BE884" s="52"/>
      <c r="BF884" s="52"/>
      <c r="BG884" s="52"/>
      <c r="BH884" s="52"/>
      <c r="BI884" s="52"/>
      <c r="BJ884" s="52"/>
      <c r="BK884" s="52"/>
      <c r="BL884" s="52"/>
      <c r="BM884" s="52"/>
      <c r="BN884" s="52"/>
      <c r="BO884" s="52"/>
      <c r="BP884" s="52"/>
      <c r="BQ884" s="52"/>
      <c r="BR884" s="52"/>
      <c r="BS884" s="52"/>
      <c r="BT884" s="52"/>
      <c r="BU884" s="52"/>
      <c r="BV884" s="52"/>
    </row>
    <row r="885">
      <c r="AS885" s="52"/>
      <c r="AT885" s="52"/>
      <c r="AU885" s="52"/>
      <c r="AV885" s="52"/>
      <c r="AW885" s="52"/>
      <c r="AX885" s="52"/>
      <c r="AY885" s="52"/>
      <c r="AZ885" s="52"/>
      <c r="BA885" s="52"/>
      <c r="BB885" s="52"/>
      <c r="BC885" s="52"/>
      <c r="BD885" s="52"/>
      <c r="BE885" s="52"/>
      <c r="BF885" s="52"/>
      <c r="BG885" s="52"/>
      <c r="BH885" s="52"/>
      <c r="BI885" s="52"/>
      <c r="BJ885" s="52"/>
      <c r="BK885" s="52"/>
      <c r="BL885" s="52"/>
      <c r="BM885" s="52"/>
      <c r="BN885" s="52"/>
      <c r="BO885" s="52"/>
      <c r="BP885" s="52"/>
      <c r="BQ885" s="52"/>
      <c r="BR885" s="52"/>
      <c r="BS885" s="52"/>
      <c r="BT885" s="52"/>
      <c r="BU885" s="52"/>
      <c r="BV885" s="52"/>
    </row>
    <row r="886">
      <c r="AS886" s="52"/>
      <c r="AT886" s="52"/>
      <c r="AU886" s="52"/>
      <c r="AV886" s="52"/>
      <c r="AW886" s="52"/>
      <c r="AX886" s="52"/>
      <c r="AY886" s="52"/>
      <c r="AZ886" s="52"/>
      <c r="BA886" s="52"/>
      <c r="BB886" s="52"/>
      <c r="BC886" s="52"/>
      <c r="BD886" s="52"/>
      <c r="BE886" s="52"/>
      <c r="BF886" s="52"/>
      <c r="BG886" s="52"/>
      <c r="BH886" s="52"/>
      <c r="BI886" s="52"/>
      <c r="BJ886" s="52"/>
      <c r="BK886" s="52"/>
      <c r="BL886" s="52"/>
      <c r="BM886" s="52"/>
      <c r="BN886" s="52"/>
      <c r="BO886" s="52"/>
      <c r="BP886" s="52"/>
      <c r="BQ886" s="52"/>
      <c r="BR886" s="52"/>
      <c r="BS886" s="52"/>
      <c r="BT886" s="52"/>
      <c r="BU886" s="52"/>
      <c r="BV886" s="52"/>
    </row>
    <row r="887">
      <c r="AS887" s="52"/>
      <c r="AT887" s="52"/>
      <c r="AU887" s="52"/>
      <c r="AV887" s="52"/>
      <c r="AW887" s="52"/>
      <c r="AX887" s="52"/>
      <c r="AY887" s="52"/>
      <c r="AZ887" s="52"/>
      <c r="BA887" s="52"/>
      <c r="BB887" s="52"/>
      <c r="BC887" s="52"/>
      <c r="BD887" s="52"/>
      <c r="BE887" s="52"/>
      <c r="BF887" s="52"/>
      <c r="BG887" s="52"/>
      <c r="BH887" s="52"/>
      <c r="BI887" s="52"/>
      <c r="BJ887" s="52"/>
      <c r="BK887" s="52"/>
      <c r="BL887" s="52"/>
      <c r="BM887" s="52"/>
      <c r="BN887" s="52"/>
      <c r="BO887" s="52"/>
      <c r="BP887" s="52"/>
      <c r="BQ887" s="52"/>
      <c r="BR887" s="52"/>
      <c r="BS887" s="52"/>
      <c r="BT887" s="52"/>
      <c r="BU887" s="52"/>
      <c r="BV887" s="52"/>
    </row>
    <row r="888">
      <c r="AS888" s="52"/>
      <c r="AT888" s="52"/>
      <c r="AU888" s="52"/>
      <c r="AV888" s="52"/>
      <c r="AW888" s="52"/>
      <c r="AX888" s="52"/>
      <c r="AY888" s="52"/>
      <c r="AZ888" s="52"/>
      <c r="BA888" s="52"/>
      <c r="BB888" s="52"/>
      <c r="BC888" s="52"/>
      <c r="BD888" s="52"/>
      <c r="BE888" s="52"/>
      <c r="BF888" s="52"/>
      <c r="BG888" s="52"/>
      <c r="BH888" s="52"/>
      <c r="BI888" s="52"/>
      <c r="BJ888" s="52"/>
      <c r="BK888" s="52"/>
      <c r="BL888" s="52"/>
      <c r="BM888" s="52"/>
      <c r="BN888" s="52"/>
      <c r="BO888" s="52"/>
      <c r="BP888" s="52"/>
      <c r="BQ888" s="52"/>
      <c r="BR888" s="52"/>
      <c r="BS888" s="52"/>
      <c r="BT888" s="52"/>
      <c r="BU888" s="52"/>
      <c r="BV888" s="52"/>
    </row>
    <row r="889">
      <c r="AS889" s="52"/>
      <c r="AT889" s="52"/>
      <c r="AU889" s="52"/>
      <c r="AV889" s="52"/>
      <c r="AW889" s="52"/>
      <c r="AX889" s="52"/>
      <c r="AY889" s="52"/>
      <c r="AZ889" s="52"/>
      <c r="BA889" s="52"/>
      <c r="BB889" s="52"/>
      <c r="BC889" s="52"/>
      <c r="BD889" s="52"/>
      <c r="BE889" s="52"/>
      <c r="BF889" s="52"/>
      <c r="BG889" s="52"/>
      <c r="BH889" s="52"/>
      <c r="BI889" s="52"/>
      <c r="BJ889" s="52"/>
      <c r="BK889" s="52"/>
      <c r="BL889" s="52"/>
      <c r="BM889" s="52"/>
      <c r="BN889" s="52"/>
      <c r="BO889" s="52"/>
      <c r="BP889" s="52"/>
      <c r="BQ889" s="52"/>
      <c r="BR889" s="52"/>
      <c r="BS889" s="52"/>
      <c r="BT889" s="52"/>
      <c r="BU889" s="52"/>
      <c r="BV889" s="52"/>
    </row>
    <row r="890">
      <c r="AS890" s="52"/>
      <c r="AT890" s="52"/>
      <c r="AU890" s="52"/>
      <c r="AV890" s="52"/>
      <c r="AW890" s="52"/>
      <c r="AX890" s="52"/>
      <c r="AY890" s="52"/>
      <c r="AZ890" s="52"/>
      <c r="BA890" s="52"/>
      <c r="BB890" s="52"/>
      <c r="BC890" s="52"/>
      <c r="BD890" s="52"/>
      <c r="BE890" s="52"/>
      <c r="BF890" s="52"/>
      <c r="BG890" s="52"/>
      <c r="BH890" s="52"/>
      <c r="BI890" s="52"/>
      <c r="BJ890" s="52"/>
      <c r="BK890" s="52"/>
      <c r="BL890" s="52"/>
      <c r="BM890" s="52"/>
      <c r="BN890" s="52"/>
      <c r="BO890" s="52"/>
      <c r="BP890" s="52"/>
      <c r="BQ890" s="52"/>
      <c r="BR890" s="52"/>
      <c r="BS890" s="52"/>
      <c r="BT890" s="52"/>
      <c r="BU890" s="52"/>
      <c r="BV890" s="52"/>
    </row>
    <row r="891">
      <c r="AS891" s="52"/>
      <c r="AT891" s="52"/>
      <c r="AU891" s="52"/>
      <c r="AV891" s="52"/>
      <c r="AW891" s="52"/>
      <c r="AX891" s="52"/>
      <c r="AY891" s="52"/>
      <c r="AZ891" s="52"/>
      <c r="BA891" s="52"/>
      <c r="BB891" s="52"/>
      <c r="BC891" s="52"/>
      <c r="BD891" s="52"/>
      <c r="BE891" s="52"/>
      <c r="BF891" s="52"/>
      <c r="BG891" s="52"/>
      <c r="BH891" s="52"/>
      <c r="BI891" s="52"/>
      <c r="BJ891" s="52"/>
      <c r="BK891" s="52"/>
      <c r="BL891" s="52"/>
      <c r="BM891" s="52"/>
      <c r="BN891" s="52"/>
      <c r="BO891" s="52"/>
      <c r="BP891" s="52"/>
      <c r="BQ891" s="52"/>
      <c r="BR891" s="52"/>
      <c r="BS891" s="52"/>
      <c r="BT891" s="52"/>
      <c r="BU891" s="52"/>
      <c r="BV891" s="52"/>
    </row>
    <row r="892">
      <c r="AS892" s="52"/>
      <c r="AT892" s="52"/>
      <c r="AU892" s="52"/>
      <c r="AV892" s="52"/>
      <c r="AW892" s="52"/>
      <c r="AX892" s="52"/>
      <c r="AY892" s="52"/>
      <c r="AZ892" s="52"/>
      <c r="BA892" s="52"/>
      <c r="BB892" s="52"/>
      <c r="BC892" s="52"/>
      <c r="BD892" s="52"/>
      <c r="BE892" s="52"/>
      <c r="BF892" s="52"/>
      <c r="BG892" s="52"/>
      <c r="BH892" s="52"/>
      <c r="BI892" s="52"/>
      <c r="BJ892" s="52"/>
      <c r="BK892" s="52"/>
      <c r="BL892" s="52"/>
      <c r="BM892" s="52"/>
      <c r="BN892" s="52"/>
      <c r="BO892" s="52"/>
      <c r="BP892" s="52"/>
      <c r="BQ892" s="52"/>
      <c r="BR892" s="52"/>
      <c r="BS892" s="52"/>
      <c r="BT892" s="52"/>
      <c r="BU892" s="52"/>
      <c r="BV892" s="52"/>
    </row>
    <row r="893">
      <c r="AS893" s="52"/>
      <c r="AT893" s="52"/>
      <c r="AU893" s="52"/>
      <c r="AV893" s="52"/>
      <c r="AW893" s="52"/>
      <c r="AX893" s="52"/>
      <c r="AY893" s="52"/>
      <c r="AZ893" s="52"/>
      <c r="BA893" s="52"/>
      <c r="BB893" s="52"/>
      <c r="BC893" s="52"/>
      <c r="BD893" s="52"/>
      <c r="BE893" s="52"/>
      <c r="BF893" s="52"/>
      <c r="BG893" s="52"/>
      <c r="BH893" s="52"/>
      <c r="BI893" s="52"/>
      <c r="BJ893" s="52"/>
      <c r="BK893" s="52"/>
      <c r="BL893" s="52"/>
      <c r="BM893" s="52"/>
      <c r="BN893" s="52"/>
      <c r="BO893" s="52"/>
      <c r="BP893" s="52"/>
      <c r="BQ893" s="52"/>
      <c r="BR893" s="52"/>
      <c r="BS893" s="52"/>
      <c r="BT893" s="52"/>
      <c r="BU893" s="52"/>
      <c r="BV893" s="52"/>
    </row>
    <row r="894">
      <c r="AS894" s="52"/>
      <c r="AT894" s="52"/>
      <c r="AU894" s="52"/>
      <c r="AV894" s="52"/>
      <c r="AW894" s="52"/>
      <c r="AX894" s="52"/>
      <c r="AY894" s="52"/>
      <c r="AZ894" s="52"/>
      <c r="BA894" s="52"/>
      <c r="BB894" s="52"/>
      <c r="BC894" s="52"/>
      <c r="BD894" s="52"/>
      <c r="BE894" s="52"/>
      <c r="BF894" s="52"/>
      <c r="BG894" s="52"/>
      <c r="BH894" s="52"/>
      <c r="BI894" s="52"/>
      <c r="BJ894" s="52"/>
      <c r="BK894" s="52"/>
      <c r="BL894" s="52"/>
      <c r="BM894" s="52"/>
      <c r="BN894" s="52"/>
      <c r="BO894" s="52"/>
      <c r="BP894" s="52"/>
      <c r="BQ894" s="52"/>
      <c r="BR894" s="52"/>
      <c r="BS894" s="52"/>
      <c r="BT894" s="52"/>
      <c r="BU894" s="52"/>
      <c r="BV894" s="52"/>
    </row>
    <row r="895">
      <c r="AS895" s="52"/>
      <c r="AT895" s="52"/>
      <c r="AU895" s="52"/>
      <c r="AV895" s="52"/>
      <c r="AW895" s="52"/>
      <c r="AX895" s="52"/>
      <c r="AY895" s="52"/>
      <c r="AZ895" s="52"/>
      <c r="BA895" s="52"/>
      <c r="BB895" s="52"/>
      <c r="BC895" s="52"/>
      <c r="BD895" s="52"/>
      <c r="BE895" s="52"/>
      <c r="BF895" s="52"/>
      <c r="BG895" s="52"/>
      <c r="BH895" s="52"/>
      <c r="BI895" s="52"/>
      <c r="BJ895" s="52"/>
      <c r="BK895" s="52"/>
      <c r="BL895" s="52"/>
      <c r="BM895" s="52"/>
      <c r="BN895" s="52"/>
      <c r="BO895" s="52"/>
      <c r="BP895" s="52"/>
      <c r="BQ895" s="52"/>
      <c r="BR895" s="52"/>
      <c r="BS895" s="52"/>
      <c r="BT895" s="52"/>
      <c r="BU895" s="52"/>
      <c r="BV895" s="52"/>
    </row>
    <row r="896">
      <c r="AS896" s="52"/>
      <c r="AT896" s="52"/>
      <c r="AU896" s="52"/>
      <c r="AV896" s="52"/>
      <c r="AW896" s="52"/>
      <c r="AX896" s="52"/>
      <c r="AY896" s="52"/>
      <c r="AZ896" s="52"/>
      <c r="BA896" s="52"/>
      <c r="BB896" s="52"/>
      <c r="BC896" s="52"/>
      <c r="BD896" s="52"/>
      <c r="BE896" s="52"/>
      <c r="BF896" s="52"/>
      <c r="BG896" s="52"/>
      <c r="BH896" s="52"/>
      <c r="BI896" s="52"/>
      <c r="BJ896" s="52"/>
      <c r="BK896" s="52"/>
      <c r="BL896" s="52"/>
      <c r="BM896" s="52"/>
      <c r="BN896" s="52"/>
      <c r="BO896" s="52"/>
      <c r="BP896" s="52"/>
      <c r="BQ896" s="52"/>
      <c r="BR896" s="52"/>
      <c r="BS896" s="52"/>
      <c r="BT896" s="52"/>
      <c r="BU896" s="52"/>
      <c r="BV896" s="52"/>
    </row>
    <row r="897">
      <c r="AS897" s="52"/>
      <c r="AT897" s="52"/>
      <c r="AU897" s="52"/>
      <c r="AV897" s="52"/>
      <c r="AW897" s="52"/>
      <c r="AX897" s="52"/>
      <c r="AY897" s="52"/>
      <c r="AZ897" s="52"/>
      <c r="BA897" s="52"/>
      <c r="BB897" s="52"/>
      <c r="BC897" s="52"/>
      <c r="BD897" s="52"/>
      <c r="BE897" s="52"/>
      <c r="BF897" s="52"/>
      <c r="BG897" s="52"/>
      <c r="BH897" s="52"/>
      <c r="BI897" s="52"/>
      <c r="BJ897" s="52"/>
      <c r="BK897" s="52"/>
      <c r="BL897" s="52"/>
      <c r="BM897" s="52"/>
      <c r="BN897" s="52"/>
      <c r="BO897" s="52"/>
      <c r="BP897" s="52"/>
      <c r="BQ897" s="52"/>
      <c r="BR897" s="52"/>
      <c r="BS897" s="52"/>
      <c r="BT897" s="52"/>
      <c r="BU897" s="52"/>
      <c r="BV897" s="52"/>
    </row>
    <row r="898">
      <c r="AS898" s="52"/>
      <c r="AT898" s="52"/>
      <c r="AU898" s="52"/>
      <c r="AV898" s="52"/>
      <c r="AW898" s="52"/>
      <c r="AX898" s="52"/>
      <c r="AY898" s="52"/>
      <c r="AZ898" s="52"/>
      <c r="BA898" s="52"/>
      <c r="BB898" s="52"/>
      <c r="BC898" s="52"/>
      <c r="BD898" s="52"/>
      <c r="BE898" s="52"/>
      <c r="BF898" s="52"/>
      <c r="BG898" s="52"/>
      <c r="BH898" s="52"/>
      <c r="BI898" s="52"/>
      <c r="BJ898" s="52"/>
      <c r="BK898" s="52"/>
      <c r="BL898" s="52"/>
      <c r="BM898" s="52"/>
      <c r="BN898" s="52"/>
      <c r="BO898" s="52"/>
      <c r="BP898" s="52"/>
      <c r="BQ898" s="52"/>
      <c r="BR898" s="52"/>
      <c r="BS898" s="52"/>
      <c r="BT898" s="52"/>
      <c r="BU898" s="52"/>
      <c r="BV898" s="52"/>
    </row>
    <row r="899">
      <c r="AS899" s="52"/>
      <c r="AT899" s="52"/>
      <c r="AU899" s="52"/>
      <c r="AV899" s="52"/>
      <c r="AW899" s="52"/>
      <c r="AX899" s="52"/>
      <c r="AY899" s="52"/>
      <c r="AZ899" s="52"/>
      <c r="BA899" s="52"/>
      <c r="BB899" s="52"/>
      <c r="BC899" s="52"/>
      <c r="BD899" s="52"/>
      <c r="BE899" s="52"/>
      <c r="BF899" s="52"/>
      <c r="BG899" s="52"/>
      <c r="BH899" s="52"/>
      <c r="BI899" s="52"/>
      <c r="BJ899" s="52"/>
      <c r="BK899" s="52"/>
      <c r="BL899" s="52"/>
      <c r="BM899" s="52"/>
      <c r="BN899" s="52"/>
      <c r="BO899" s="52"/>
      <c r="BP899" s="52"/>
      <c r="BQ899" s="52"/>
      <c r="BR899" s="52"/>
      <c r="BS899" s="52"/>
      <c r="BT899" s="52"/>
      <c r="BU899" s="52"/>
      <c r="BV899" s="52"/>
    </row>
    <row r="900">
      <c r="AS900" s="52"/>
      <c r="AT900" s="52"/>
      <c r="AU900" s="52"/>
      <c r="AV900" s="52"/>
      <c r="AW900" s="52"/>
      <c r="AX900" s="52"/>
      <c r="AY900" s="52"/>
      <c r="AZ900" s="52"/>
      <c r="BA900" s="52"/>
      <c r="BB900" s="52"/>
      <c r="BC900" s="52"/>
      <c r="BD900" s="52"/>
      <c r="BE900" s="52"/>
      <c r="BF900" s="52"/>
      <c r="BG900" s="52"/>
      <c r="BH900" s="52"/>
      <c r="BI900" s="52"/>
      <c r="BJ900" s="52"/>
      <c r="BK900" s="52"/>
      <c r="BL900" s="52"/>
      <c r="BM900" s="52"/>
      <c r="BN900" s="52"/>
      <c r="BO900" s="52"/>
      <c r="BP900" s="52"/>
      <c r="BQ900" s="52"/>
      <c r="BR900" s="52"/>
      <c r="BS900" s="52"/>
      <c r="BT900" s="52"/>
      <c r="BU900" s="52"/>
      <c r="BV900" s="52"/>
    </row>
    <row r="901">
      <c r="AS901" s="52"/>
      <c r="AT901" s="52"/>
      <c r="AU901" s="52"/>
      <c r="AV901" s="52"/>
      <c r="AW901" s="52"/>
      <c r="AX901" s="52"/>
      <c r="AY901" s="52"/>
      <c r="AZ901" s="52"/>
      <c r="BA901" s="52"/>
      <c r="BB901" s="52"/>
      <c r="BC901" s="52"/>
      <c r="BD901" s="52"/>
      <c r="BE901" s="52"/>
      <c r="BF901" s="52"/>
      <c r="BG901" s="52"/>
      <c r="BH901" s="52"/>
      <c r="BI901" s="52"/>
      <c r="BJ901" s="52"/>
      <c r="BK901" s="52"/>
      <c r="BL901" s="52"/>
      <c r="BM901" s="52"/>
      <c r="BN901" s="52"/>
      <c r="BO901" s="52"/>
      <c r="BP901" s="52"/>
      <c r="BQ901" s="52"/>
      <c r="BR901" s="52"/>
      <c r="BS901" s="52"/>
      <c r="BT901" s="52"/>
      <c r="BU901" s="52"/>
      <c r="BV901" s="52"/>
    </row>
    <row r="902">
      <c r="AS902" s="52"/>
      <c r="AT902" s="52"/>
      <c r="AU902" s="52"/>
      <c r="AV902" s="52"/>
      <c r="AW902" s="52"/>
      <c r="AX902" s="52"/>
      <c r="AY902" s="52"/>
      <c r="AZ902" s="52"/>
      <c r="BA902" s="52"/>
      <c r="BB902" s="52"/>
      <c r="BC902" s="52"/>
      <c r="BD902" s="52"/>
      <c r="BE902" s="52"/>
      <c r="BF902" s="52"/>
      <c r="BG902" s="52"/>
      <c r="BH902" s="52"/>
      <c r="BI902" s="52"/>
      <c r="BJ902" s="52"/>
      <c r="BK902" s="52"/>
      <c r="BL902" s="52"/>
      <c r="BM902" s="52"/>
      <c r="BN902" s="52"/>
      <c r="BO902" s="52"/>
      <c r="BP902" s="52"/>
      <c r="BQ902" s="52"/>
      <c r="BR902" s="52"/>
      <c r="BS902" s="52"/>
      <c r="BT902" s="52"/>
      <c r="BU902" s="52"/>
      <c r="BV902" s="52"/>
    </row>
    <row r="903">
      <c r="AS903" s="52"/>
      <c r="AT903" s="52"/>
      <c r="AU903" s="52"/>
      <c r="AV903" s="52"/>
      <c r="AW903" s="52"/>
      <c r="AX903" s="52"/>
      <c r="AY903" s="52"/>
      <c r="AZ903" s="52"/>
      <c r="BA903" s="52"/>
      <c r="BB903" s="52"/>
      <c r="BC903" s="52"/>
      <c r="BD903" s="52"/>
      <c r="BE903" s="52"/>
      <c r="BF903" s="52"/>
      <c r="BG903" s="52"/>
      <c r="BH903" s="52"/>
      <c r="BI903" s="52"/>
      <c r="BJ903" s="52"/>
      <c r="BK903" s="52"/>
      <c r="BL903" s="52"/>
      <c r="BM903" s="52"/>
      <c r="BN903" s="52"/>
      <c r="BO903" s="52"/>
      <c r="BP903" s="52"/>
      <c r="BQ903" s="52"/>
      <c r="BR903" s="52"/>
      <c r="BS903" s="52"/>
      <c r="BT903" s="52"/>
      <c r="BU903" s="52"/>
      <c r="BV903" s="52"/>
    </row>
    <row r="904">
      <c r="AS904" s="52"/>
      <c r="AT904" s="52"/>
      <c r="AU904" s="52"/>
      <c r="AV904" s="52"/>
      <c r="AW904" s="52"/>
      <c r="AX904" s="52"/>
      <c r="AY904" s="52"/>
      <c r="AZ904" s="52"/>
      <c r="BA904" s="52"/>
      <c r="BB904" s="52"/>
      <c r="BC904" s="52"/>
      <c r="BD904" s="52"/>
      <c r="BE904" s="52"/>
      <c r="BF904" s="52"/>
      <c r="BG904" s="52"/>
      <c r="BH904" s="52"/>
      <c r="BI904" s="52"/>
      <c r="BJ904" s="52"/>
      <c r="BK904" s="52"/>
      <c r="BL904" s="52"/>
      <c r="BM904" s="52"/>
      <c r="BN904" s="52"/>
      <c r="BO904" s="52"/>
      <c r="BP904" s="52"/>
      <c r="BQ904" s="52"/>
      <c r="BR904" s="52"/>
      <c r="BS904" s="52"/>
      <c r="BT904" s="52"/>
      <c r="BU904" s="52"/>
      <c r="BV904" s="52"/>
    </row>
    <row r="905">
      <c r="AS905" s="52"/>
      <c r="AT905" s="52"/>
      <c r="AU905" s="52"/>
      <c r="AV905" s="52"/>
      <c r="AW905" s="52"/>
      <c r="AX905" s="52"/>
      <c r="AY905" s="52"/>
      <c r="AZ905" s="52"/>
      <c r="BA905" s="52"/>
      <c r="BB905" s="52"/>
      <c r="BC905" s="52"/>
      <c r="BD905" s="52"/>
      <c r="BE905" s="52"/>
      <c r="BF905" s="52"/>
      <c r="BG905" s="52"/>
      <c r="BH905" s="52"/>
      <c r="BI905" s="52"/>
      <c r="BJ905" s="52"/>
      <c r="BK905" s="52"/>
      <c r="BL905" s="52"/>
      <c r="BM905" s="52"/>
      <c r="BN905" s="52"/>
      <c r="BO905" s="52"/>
      <c r="BP905" s="52"/>
      <c r="BQ905" s="52"/>
      <c r="BR905" s="52"/>
      <c r="BS905" s="52"/>
      <c r="BT905" s="52"/>
      <c r="BU905" s="52"/>
      <c r="BV905" s="52"/>
    </row>
    <row r="906">
      <c r="AS906" s="52"/>
      <c r="AT906" s="52"/>
      <c r="AU906" s="52"/>
      <c r="AV906" s="52"/>
      <c r="AW906" s="52"/>
      <c r="AX906" s="52"/>
      <c r="AY906" s="52"/>
      <c r="AZ906" s="52"/>
      <c r="BA906" s="52"/>
      <c r="BB906" s="52"/>
      <c r="BC906" s="52"/>
      <c r="BD906" s="52"/>
      <c r="BE906" s="52"/>
      <c r="BF906" s="52"/>
      <c r="BG906" s="52"/>
      <c r="BH906" s="52"/>
      <c r="BI906" s="52"/>
      <c r="BJ906" s="52"/>
      <c r="BK906" s="52"/>
      <c r="BL906" s="52"/>
      <c r="BM906" s="52"/>
      <c r="BN906" s="52"/>
      <c r="BO906" s="52"/>
      <c r="BP906" s="52"/>
      <c r="BQ906" s="52"/>
      <c r="BR906" s="52"/>
      <c r="BS906" s="52"/>
      <c r="BT906" s="52"/>
      <c r="BU906" s="52"/>
      <c r="BV906" s="52"/>
    </row>
    <row r="907">
      <c r="AS907" s="52"/>
      <c r="AT907" s="52"/>
      <c r="AU907" s="52"/>
      <c r="AV907" s="52"/>
      <c r="AW907" s="52"/>
      <c r="AX907" s="52"/>
      <c r="AY907" s="52"/>
      <c r="AZ907" s="52"/>
      <c r="BA907" s="52"/>
      <c r="BB907" s="52"/>
      <c r="BC907" s="52"/>
      <c r="BD907" s="52"/>
      <c r="BE907" s="52"/>
      <c r="BF907" s="52"/>
      <c r="BG907" s="52"/>
      <c r="BH907" s="52"/>
      <c r="BI907" s="52"/>
      <c r="BJ907" s="52"/>
      <c r="BK907" s="52"/>
      <c r="BL907" s="52"/>
      <c r="BM907" s="52"/>
      <c r="BN907" s="52"/>
      <c r="BO907" s="52"/>
      <c r="BP907" s="52"/>
      <c r="BQ907" s="52"/>
      <c r="BR907" s="52"/>
      <c r="BS907" s="52"/>
      <c r="BT907" s="52"/>
      <c r="BU907" s="52"/>
      <c r="BV907" s="52"/>
    </row>
    <row r="908">
      <c r="AS908" s="52"/>
      <c r="AT908" s="52"/>
      <c r="AU908" s="52"/>
      <c r="AV908" s="52"/>
      <c r="AW908" s="52"/>
      <c r="AX908" s="52"/>
      <c r="AY908" s="52"/>
      <c r="AZ908" s="52"/>
      <c r="BA908" s="52"/>
      <c r="BB908" s="52"/>
      <c r="BC908" s="52"/>
      <c r="BD908" s="52"/>
      <c r="BE908" s="52"/>
      <c r="BF908" s="52"/>
      <c r="BG908" s="52"/>
      <c r="BH908" s="52"/>
      <c r="BI908" s="52"/>
      <c r="BJ908" s="52"/>
      <c r="BK908" s="52"/>
      <c r="BL908" s="52"/>
      <c r="BM908" s="52"/>
      <c r="BN908" s="52"/>
      <c r="BO908" s="52"/>
      <c r="BP908" s="52"/>
      <c r="BQ908" s="52"/>
      <c r="BR908" s="52"/>
      <c r="BS908" s="52"/>
      <c r="BT908" s="52"/>
      <c r="BU908" s="52"/>
      <c r="BV908" s="52"/>
    </row>
    <row r="909">
      <c r="AS909" s="52"/>
      <c r="AT909" s="52"/>
      <c r="AU909" s="52"/>
      <c r="AV909" s="52"/>
      <c r="AW909" s="52"/>
      <c r="AX909" s="52"/>
      <c r="AY909" s="52"/>
      <c r="AZ909" s="52"/>
      <c r="BA909" s="52"/>
      <c r="BB909" s="52"/>
      <c r="BC909" s="52"/>
      <c r="BD909" s="52"/>
      <c r="BE909" s="52"/>
      <c r="BF909" s="52"/>
      <c r="BG909" s="52"/>
      <c r="BH909" s="52"/>
      <c r="BI909" s="52"/>
      <c r="BJ909" s="52"/>
      <c r="BK909" s="52"/>
      <c r="BL909" s="52"/>
      <c r="BM909" s="52"/>
      <c r="BN909" s="52"/>
      <c r="BO909" s="52"/>
      <c r="BP909" s="52"/>
      <c r="BQ909" s="52"/>
      <c r="BR909" s="52"/>
      <c r="BS909" s="52"/>
      <c r="BT909" s="52"/>
      <c r="BU909" s="52"/>
      <c r="BV909" s="52"/>
    </row>
    <row r="910">
      <c r="AS910" s="52"/>
      <c r="AT910" s="52"/>
      <c r="AU910" s="52"/>
      <c r="AV910" s="52"/>
      <c r="AW910" s="52"/>
      <c r="AX910" s="52"/>
      <c r="AY910" s="52"/>
      <c r="AZ910" s="52"/>
      <c r="BA910" s="52"/>
      <c r="BB910" s="52"/>
      <c r="BC910" s="52"/>
      <c r="BD910" s="52"/>
      <c r="BE910" s="52"/>
      <c r="BF910" s="52"/>
      <c r="BG910" s="52"/>
      <c r="BH910" s="52"/>
      <c r="BI910" s="52"/>
      <c r="BJ910" s="52"/>
      <c r="BK910" s="52"/>
      <c r="BL910" s="52"/>
      <c r="BM910" s="52"/>
      <c r="BN910" s="52"/>
      <c r="BO910" s="52"/>
      <c r="BP910" s="52"/>
      <c r="BQ910" s="52"/>
      <c r="BR910" s="52"/>
      <c r="BS910" s="52"/>
      <c r="BT910" s="52"/>
      <c r="BU910" s="52"/>
      <c r="BV910" s="52"/>
    </row>
    <row r="911">
      <c r="AS911" s="52"/>
      <c r="AT911" s="52"/>
      <c r="AU911" s="52"/>
      <c r="AV911" s="52"/>
      <c r="AW911" s="52"/>
      <c r="AX911" s="52"/>
      <c r="AY911" s="52"/>
      <c r="AZ911" s="52"/>
      <c r="BA911" s="52"/>
      <c r="BB911" s="52"/>
      <c r="BC911" s="52"/>
      <c r="BD911" s="52"/>
      <c r="BE911" s="52"/>
      <c r="BF911" s="52"/>
      <c r="BG911" s="52"/>
      <c r="BH911" s="52"/>
      <c r="BI911" s="52"/>
      <c r="BJ911" s="52"/>
      <c r="BK911" s="52"/>
      <c r="BL911" s="52"/>
      <c r="BM911" s="52"/>
      <c r="BN911" s="52"/>
      <c r="BO911" s="52"/>
      <c r="BP911" s="52"/>
      <c r="BQ911" s="52"/>
      <c r="BR911" s="52"/>
      <c r="BS911" s="52"/>
      <c r="BT911" s="52"/>
      <c r="BU911" s="52"/>
      <c r="BV911" s="52"/>
    </row>
    <row r="912">
      <c r="AS912" s="52"/>
      <c r="AT912" s="52"/>
      <c r="AU912" s="52"/>
      <c r="AV912" s="52"/>
      <c r="AW912" s="52"/>
      <c r="AX912" s="52"/>
      <c r="AY912" s="52"/>
      <c r="AZ912" s="52"/>
      <c r="BA912" s="52"/>
      <c r="BB912" s="52"/>
      <c r="BC912" s="52"/>
      <c r="BD912" s="52"/>
      <c r="BE912" s="52"/>
      <c r="BF912" s="52"/>
      <c r="BG912" s="52"/>
      <c r="BH912" s="52"/>
      <c r="BI912" s="52"/>
      <c r="BJ912" s="52"/>
      <c r="BK912" s="52"/>
      <c r="BL912" s="52"/>
      <c r="BM912" s="52"/>
      <c r="BN912" s="52"/>
      <c r="BO912" s="52"/>
      <c r="BP912" s="52"/>
      <c r="BQ912" s="52"/>
      <c r="BR912" s="52"/>
      <c r="BS912" s="52"/>
      <c r="BT912" s="52"/>
      <c r="BU912" s="52"/>
      <c r="BV912" s="52"/>
    </row>
    <row r="913">
      <c r="AS913" s="52"/>
      <c r="AT913" s="52"/>
      <c r="AU913" s="52"/>
      <c r="AV913" s="52"/>
      <c r="AW913" s="52"/>
      <c r="AX913" s="52"/>
      <c r="AY913" s="52"/>
      <c r="AZ913" s="52"/>
      <c r="BA913" s="52"/>
      <c r="BB913" s="52"/>
      <c r="BC913" s="52"/>
      <c r="BD913" s="52"/>
      <c r="BE913" s="52"/>
      <c r="BF913" s="52"/>
      <c r="BG913" s="52"/>
      <c r="BH913" s="52"/>
      <c r="BI913" s="52"/>
      <c r="BJ913" s="52"/>
      <c r="BK913" s="52"/>
      <c r="BL913" s="52"/>
      <c r="BM913" s="52"/>
      <c r="BN913" s="52"/>
      <c r="BO913" s="52"/>
      <c r="BP913" s="52"/>
      <c r="BQ913" s="52"/>
      <c r="BR913" s="52"/>
      <c r="BS913" s="52"/>
      <c r="BT913" s="52"/>
      <c r="BU913" s="52"/>
      <c r="BV913" s="52"/>
    </row>
    <row r="914">
      <c r="AS914" s="52"/>
      <c r="AT914" s="52"/>
      <c r="AU914" s="52"/>
      <c r="AV914" s="52"/>
      <c r="AW914" s="52"/>
      <c r="AX914" s="52"/>
      <c r="AY914" s="52"/>
      <c r="AZ914" s="52"/>
      <c r="BA914" s="52"/>
      <c r="BB914" s="52"/>
      <c r="BC914" s="52"/>
      <c r="BD914" s="52"/>
      <c r="BE914" s="52"/>
      <c r="BF914" s="52"/>
      <c r="BG914" s="52"/>
      <c r="BH914" s="52"/>
      <c r="BI914" s="52"/>
      <c r="BJ914" s="52"/>
      <c r="BK914" s="52"/>
      <c r="BL914" s="52"/>
      <c r="BM914" s="52"/>
      <c r="BN914" s="52"/>
      <c r="BO914" s="52"/>
      <c r="BP914" s="52"/>
      <c r="BQ914" s="52"/>
      <c r="BR914" s="52"/>
      <c r="BS914" s="52"/>
      <c r="BT914" s="52"/>
      <c r="BU914" s="52"/>
      <c r="BV914" s="52"/>
    </row>
    <row r="915">
      <c r="AS915" s="52"/>
      <c r="AT915" s="52"/>
      <c r="AU915" s="52"/>
      <c r="AV915" s="52"/>
      <c r="AW915" s="52"/>
      <c r="AX915" s="52"/>
      <c r="AY915" s="52"/>
      <c r="AZ915" s="52"/>
      <c r="BA915" s="52"/>
      <c r="BB915" s="52"/>
      <c r="BC915" s="52"/>
      <c r="BD915" s="52"/>
      <c r="BE915" s="52"/>
      <c r="BF915" s="52"/>
      <c r="BG915" s="52"/>
      <c r="BH915" s="52"/>
      <c r="BI915" s="52"/>
      <c r="BJ915" s="52"/>
      <c r="BK915" s="52"/>
      <c r="BL915" s="52"/>
      <c r="BM915" s="52"/>
      <c r="BN915" s="52"/>
      <c r="BO915" s="52"/>
      <c r="BP915" s="52"/>
      <c r="BQ915" s="52"/>
      <c r="BR915" s="52"/>
      <c r="BS915" s="52"/>
      <c r="BT915" s="52"/>
      <c r="BU915" s="52"/>
      <c r="BV915" s="52"/>
    </row>
    <row r="916">
      <c r="AS916" s="52"/>
      <c r="AT916" s="52"/>
      <c r="AU916" s="52"/>
      <c r="AV916" s="52"/>
      <c r="AW916" s="52"/>
      <c r="AX916" s="52"/>
      <c r="AY916" s="52"/>
      <c r="AZ916" s="52"/>
      <c r="BA916" s="52"/>
      <c r="BB916" s="52"/>
      <c r="BC916" s="52"/>
      <c r="BD916" s="52"/>
      <c r="BE916" s="52"/>
      <c r="BF916" s="52"/>
      <c r="BG916" s="52"/>
      <c r="BH916" s="52"/>
      <c r="BI916" s="52"/>
      <c r="BJ916" s="52"/>
      <c r="BK916" s="52"/>
      <c r="BL916" s="52"/>
      <c r="BM916" s="52"/>
      <c r="BN916" s="52"/>
      <c r="BO916" s="52"/>
      <c r="BP916" s="52"/>
      <c r="BQ916" s="52"/>
      <c r="BR916" s="52"/>
      <c r="BS916" s="52"/>
      <c r="BT916" s="52"/>
      <c r="BU916" s="52"/>
      <c r="BV916" s="52"/>
    </row>
    <row r="917">
      <c r="AS917" s="52"/>
      <c r="AT917" s="52"/>
      <c r="AU917" s="52"/>
      <c r="AV917" s="52"/>
      <c r="AW917" s="52"/>
      <c r="AX917" s="52"/>
      <c r="AY917" s="52"/>
      <c r="AZ917" s="52"/>
      <c r="BA917" s="52"/>
      <c r="BB917" s="52"/>
      <c r="BC917" s="52"/>
      <c r="BD917" s="52"/>
      <c r="BE917" s="52"/>
      <c r="BF917" s="52"/>
      <c r="BG917" s="52"/>
      <c r="BH917" s="52"/>
      <c r="BI917" s="52"/>
      <c r="BJ917" s="52"/>
      <c r="BK917" s="52"/>
      <c r="BL917" s="52"/>
      <c r="BM917" s="52"/>
      <c r="BN917" s="52"/>
      <c r="BO917" s="52"/>
      <c r="BP917" s="52"/>
      <c r="BQ917" s="52"/>
      <c r="BR917" s="52"/>
      <c r="BS917" s="52"/>
      <c r="BT917" s="52"/>
      <c r="BU917" s="52"/>
      <c r="BV917" s="52"/>
    </row>
    <row r="918">
      <c r="AS918" s="52"/>
      <c r="AT918" s="52"/>
      <c r="AU918" s="52"/>
      <c r="AV918" s="52"/>
      <c r="AW918" s="52"/>
      <c r="AX918" s="52"/>
      <c r="AY918" s="52"/>
      <c r="AZ918" s="52"/>
      <c r="BA918" s="52"/>
      <c r="BB918" s="52"/>
      <c r="BC918" s="52"/>
      <c r="BD918" s="52"/>
      <c r="BE918" s="52"/>
      <c r="BF918" s="52"/>
      <c r="BG918" s="52"/>
      <c r="BH918" s="52"/>
      <c r="BI918" s="52"/>
      <c r="BJ918" s="52"/>
      <c r="BK918" s="52"/>
      <c r="BL918" s="52"/>
      <c r="BM918" s="52"/>
      <c r="BN918" s="52"/>
      <c r="BO918" s="52"/>
      <c r="BP918" s="52"/>
      <c r="BQ918" s="52"/>
      <c r="BR918" s="52"/>
      <c r="BS918" s="52"/>
      <c r="BT918" s="52"/>
      <c r="BU918" s="52"/>
      <c r="BV918" s="52"/>
    </row>
    <row r="919">
      <c r="AS919" s="52"/>
      <c r="AT919" s="52"/>
      <c r="AU919" s="52"/>
      <c r="AV919" s="52"/>
      <c r="AW919" s="52"/>
      <c r="AX919" s="52"/>
      <c r="AY919" s="52"/>
      <c r="AZ919" s="52"/>
      <c r="BA919" s="52"/>
      <c r="BB919" s="52"/>
      <c r="BC919" s="52"/>
      <c r="BD919" s="52"/>
      <c r="BE919" s="52"/>
      <c r="BF919" s="52"/>
      <c r="BG919" s="52"/>
      <c r="BH919" s="52"/>
      <c r="BI919" s="52"/>
      <c r="BJ919" s="52"/>
      <c r="BK919" s="52"/>
      <c r="BL919" s="52"/>
      <c r="BM919" s="52"/>
      <c r="BN919" s="52"/>
      <c r="BO919" s="52"/>
      <c r="BP919" s="52"/>
      <c r="BQ919" s="52"/>
      <c r="BR919" s="52"/>
      <c r="BS919" s="52"/>
      <c r="BT919" s="52"/>
      <c r="BU919" s="52"/>
      <c r="BV919" s="52"/>
    </row>
    <row r="920">
      <c r="AS920" s="52"/>
      <c r="AT920" s="52"/>
      <c r="AU920" s="52"/>
      <c r="AV920" s="52"/>
      <c r="AW920" s="52"/>
      <c r="AX920" s="52"/>
      <c r="AY920" s="52"/>
      <c r="AZ920" s="52"/>
      <c r="BA920" s="52"/>
      <c r="BB920" s="52"/>
      <c r="BC920" s="52"/>
      <c r="BD920" s="52"/>
      <c r="BE920" s="52"/>
      <c r="BF920" s="52"/>
      <c r="BG920" s="52"/>
      <c r="BH920" s="52"/>
      <c r="BI920" s="52"/>
      <c r="BJ920" s="52"/>
      <c r="BK920" s="52"/>
      <c r="BL920" s="52"/>
      <c r="BM920" s="52"/>
      <c r="BN920" s="52"/>
      <c r="BO920" s="52"/>
      <c r="BP920" s="52"/>
      <c r="BQ920" s="52"/>
      <c r="BR920" s="52"/>
      <c r="BS920" s="52"/>
      <c r="BT920" s="52"/>
      <c r="BU920" s="52"/>
      <c r="BV920" s="52"/>
    </row>
    <row r="921">
      <c r="AS921" s="52"/>
      <c r="AT921" s="52"/>
      <c r="AU921" s="52"/>
      <c r="AV921" s="52"/>
      <c r="AW921" s="52"/>
      <c r="AX921" s="52"/>
      <c r="AY921" s="52"/>
      <c r="AZ921" s="52"/>
      <c r="BA921" s="52"/>
      <c r="BB921" s="52"/>
      <c r="BC921" s="52"/>
      <c r="BD921" s="52"/>
      <c r="BE921" s="52"/>
      <c r="BF921" s="52"/>
      <c r="BG921" s="52"/>
      <c r="BH921" s="52"/>
      <c r="BI921" s="52"/>
      <c r="BJ921" s="52"/>
      <c r="BK921" s="52"/>
      <c r="BL921" s="52"/>
      <c r="BM921" s="52"/>
      <c r="BN921" s="52"/>
      <c r="BO921" s="52"/>
      <c r="BP921" s="52"/>
      <c r="BQ921" s="52"/>
      <c r="BR921" s="52"/>
      <c r="BS921" s="52"/>
      <c r="BT921" s="52"/>
      <c r="BU921" s="52"/>
      <c r="BV921" s="52"/>
    </row>
    <row r="922">
      <c r="AS922" s="52"/>
      <c r="AT922" s="52"/>
      <c r="AU922" s="52"/>
      <c r="AV922" s="52"/>
      <c r="AW922" s="52"/>
      <c r="AX922" s="52"/>
      <c r="AY922" s="52"/>
      <c r="AZ922" s="52"/>
      <c r="BA922" s="52"/>
      <c r="BB922" s="52"/>
      <c r="BC922" s="52"/>
      <c r="BD922" s="52"/>
      <c r="BE922" s="52"/>
      <c r="BF922" s="52"/>
      <c r="BG922" s="52"/>
      <c r="BH922" s="52"/>
      <c r="BI922" s="52"/>
      <c r="BJ922" s="52"/>
      <c r="BK922" s="52"/>
      <c r="BL922" s="52"/>
      <c r="BM922" s="52"/>
      <c r="BN922" s="52"/>
      <c r="BO922" s="52"/>
      <c r="BP922" s="52"/>
      <c r="BQ922" s="52"/>
      <c r="BR922" s="52"/>
      <c r="BS922" s="52"/>
      <c r="BT922" s="52"/>
      <c r="BU922" s="52"/>
      <c r="BV922" s="52"/>
    </row>
    <row r="923">
      <c r="AS923" s="52"/>
      <c r="AT923" s="52"/>
      <c r="AU923" s="52"/>
      <c r="AV923" s="52"/>
      <c r="AW923" s="52"/>
      <c r="AX923" s="52"/>
      <c r="AY923" s="52"/>
      <c r="AZ923" s="52"/>
      <c r="BA923" s="52"/>
      <c r="BB923" s="52"/>
      <c r="BC923" s="52"/>
      <c r="BD923" s="52"/>
      <c r="BE923" s="52"/>
      <c r="BF923" s="52"/>
      <c r="BG923" s="52"/>
      <c r="BH923" s="52"/>
      <c r="BI923" s="52"/>
      <c r="BJ923" s="52"/>
      <c r="BK923" s="52"/>
      <c r="BL923" s="52"/>
      <c r="BM923" s="52"/>
      <c r="BN923" s="52"/>
      <c r="BO923" s="52"/>
      <c r="BP923" s="52"/>
      <c r="BQ923" s="52"/>
      <c r="BR923" s="52"/>
      <c r="BS923" s="52"/>
      <c r="BT923" s="52"/>
      <c r="BU923" s="52"/>
      <c r="BV923" s="52"/>
    </row>
    <row r="924">
      <c r="AS924" s="52"/>
      <c r="AT924" s="52"/>
      <c r="AU924" s="52"/>
      <c r="AV924" s="52"/>
      <c r="AW924" s="52"/>
      <c r="AX924" s="52"/>
      <c r="AY924" s="52"/>
      <c r="AZ924" s="52"/>
      <c r="BA924" s="52"/>
      <c r="BB924" s="52"/>
      <c r="BC924" s="52"/>
      <c r="BD924" s="52"/>
      <c r="BE924" s="52"/>
      <c r="BF924" s="52"/>
      <c r="BG924" s="52"/>
      <c r="BH924" s="52"/>
      <c r="BI924" s="52"/>
      <c r="BJ924" s="52"/>
      <c r="BK924" s="52"/>
      <c r="BL924" s="52"/>
      <c r="BM924" s="52"/>
      <c r="BN924" s="52"/>
      <c r="BO924" s="52"/>
      <c r="BP924" s="52"/>
      <c r="BQ924" s="52"/>
      <c r="BR924" s="52"/>
      <c r="BS924" s="52"/>
      <c r="BT924" s="52"/>
      <c r="BU924" s="52"/>
      <c r="BV924" s="52"/>
    </row>
    <row r="925">
      <c r="AS925" s="52"/>
      <c r="AT925" s="52"/>
      <c r="AU925" s="52"/>
      <c r="AV925" s="52"/>
      <c r="AW925" s="52"/>
      <c r="AX925" s="52"/>
      <c r="AY925" s="52"/>
      <c r="AZ925" s="52"/>
      <c r="BA925" s="52"/>
      <c r="BB925" s="52"/>
      <c r="BC925" s="52"/>
      <c r="BD925" s="52"/>
      <c r="BE925" s="52"/>
      <c r="BF925" s="52"/>
      <c r="BG925" s="52"/>
      <c r="BH925" s="52"/>
      <c r="BI925" s="52"/>
      <c r="BJ925" s="52"/>
      <c r="BK925" s="52"/>
      <c r="BL925" s="52"/>
      <c r="BM925" s="52"/>
      <c r="BN925" s="52"/>
      <c r="BO925" s="52"/>
      <c r="BP925" s="52"/>
      <c r="BQ925" s="52"/>
      <c r="BR925" s="52"/>
      <c r="BS925" s="52"/>
      <c r="BT925" s="52"/>
      <c r="BU925" s="52"/>
      <c r="BV925" s="52"/>
    </row>
    <row r="926">
      <c r="AS926" s="52"/>
      <c r="AT926" s="52"/>
      <c r="AU926" s="52"/>
      <c r="AV926" s="52"/>
      <c r="AW926" s="52"/>
      <c r="AX926" s="52"/>
      <c r="AY926" s="52"/>
      <c r="AZ926" s="52"/>
      <c r="BA926" s="52"/>
      <c r="BB926" s="52"/>
      <c r="BC926" s="52"/>
      <c r="BD926" s="52"/>
      <c r="BE926" s="52"/>
      <c r="BF926" s="52"/>
      <c r="BG926" s="52"/>
      <c r="BH926" s="52"/>
      <c r="BI926" s="52"/>
      <c r="BJ926" s="52"/>
      <c r="BK926" s="52"/>
      <c r="BL926" s="52"/>
      <c r="BM926" s="52"/>
      <c r="BN926" s="52"/>
      <c r="BO926" s="52"/>
      <c r="BP926" s="52"/>
      <c r="BQ926" s="52"/>
      <c r="BR926" s="52"/>
      <c r="BS926" s="52"/>
      <c r="BT926" s="52"/>
      <c r="BU926" s="52"/>
      <c r="BV926" s="52"/>
    </row>
    <row r="927">
      <c r="AS927" s="52"/>
      <c r="AT927" s="52"/>
      <c r="AU927" s="52"/>
      <c r="AV927" s="52"/>
      <c r="AW927" s="52"/>
      <c r="AX927" s="52"/>
      <c r="AY927" s="52"/>
      <c r="AZ927" s="52"/>
      <c r="BA927" s="52"/>
      <c r="BB927" s="52"/>
      <c r="BC927" s="52"/>
      <c r="BD927" s="52"/>
      <c r="BE927" s="52"/>
      <c r="BF927" s="52"/>
      <c r="BG927" s="52"/>
      <c r="BH927" s="52"/>
      <c r="BI927" s="52"/>
      <c r="BJ927" s="52"/>
      <c r="BK927" s="52"/>
      <c r="BL927" s="52"/>
      <c r="BM927" s="52"/>
      <c r="BN927" s="52"/>
      <c r="BO927" s="52"/>
      <c r="BP927" s="52"/>
      <c r="BQ927" s="52"/>
      <c r="BR927" s="52"/>
      <c r="BS927" s="52"/>
      <c r="BT927" s="52"/>
      <c r="BU927" s="52"/>
      <c r="BV927" s="52"/>
    </row>
    <row r="928">
      <c r="AS928" s="52"/>
      <c r="AT928" s="52"/>
      <c r="AU928" s="52"/>
      <c r="AV928" s="52"/>
      <c r="AW928" s="52"/>
      <c r="AX928" s="52"/>
      <c r="AY928" s="52"/>
      <c r="AZ928" s="52"/>
      <c r="BA928" s="52"/>
      <c r="BB928" s="52"/>
      <c r="BC928" s="52"/>
      <c r="BD928" s="52"/>
      <c r="BE928" s="52"/>
      <c r="BF928" s="52"/>
      <c r="BG928" s="52"/>
      <c r="BH928" s="52"/>
      <c r="BI928" s="52"/>
      <c r="BJ928" s="52"/>
      <c r="BK928" s="52"/>
      <c r="BL928" s="52"/>
      <c r="BM928" s="52"/>
      <c r="BN928" s="52"/>
      <c r="BO928" s="52"/>
      <c r="BP928" s="52"/>
      <c r="BQ928" s="52"/>
      <c r="BR928" s="52"/>
      <c r="BS928" s="52"/>
      <c r="BT928" s="52"/>
      <c r="BU928" s="52"/>
      <c r="BV928" s="52"/>
    </row>
    <row r="929">
      <c r="AS929" s="52"/>
      <c r="AT929" s="52"/>
      <c r="AU929" s="52"/>
      <c r="AV929" s="52"/>
      <c r="AW929" s="52"/>
      <c r="AX929" s="52"/>
      <c r="AY929" s="52"/>
      <c r="AZ929" s="52"/>
      <c r="BA929" s="52"/>
      <c r="BB929" s="52"/>
      <c r="BC929" s="52"/>
      <c r="BD929" s="52"/>
      <c r="BE929" s="52"/>
      <c r="BF929" s="52"/>
      <c r="BG929" s="52"/>
      <c r="BH929" s="52"/>
      <c r="BI929" s="52"/>
      <c r="BJ929" s="52"/>
      <c r="BK929" s="52"/>
      <c r="BL929" s="52"/>
      <c r="BM929" s="52"/>
      <c r="BN929" s="52"/>
      <c r="BO929" s="52"/>
      <c r="BP929" s="52"/>
      <c r="BQ929" s="52"/>
      <c r="BR929" s="52"/>
      <c r="BS929" s="52"/>
      <c r="BT929" s="52"/>
      <c r="BU929" s="52"/>
      <c r="BV929" s="52"/>
    </row>
    <row r="930">
      <c r="AS930" s="52"/>
      <c r="AT930" s="52"/>
      <c r="AU930" s="52"/>
      <c r="AV930" s="52"/>
      <c r="AW930" s="52"/>
      <c r="AX930" s="52"/>
      <c r="AY930" s="52"/>
      <c r="AZ930" s="52"/>
      <c r="BA930" s="52"/>
      <c r="BB930" s="52"/>
      <c r="BC930" s="52"/>
      <c r="BD930" s="52"/>
      <c r="BE930" s="52"/>
      <c r="BF930" s="52"/>
      <c r="BG930" s="52"/>
      <c r="BH930" s="52"/>
      <c r="BI930" s="52"/>
      <c r="BJ930" s="52"/>
      <c r="BK930" s="52"/>
      <c r="BL930" s="52"/>
      <c r="BM930" s="52"/>
      <c r="BN930" s="52"/>
      <c r="BO930" s="52"/>
      <c r="BP930" s="52"/>
      <c r="BQ930" s="52"/>
      <c r="BR930" s="52"/>
      <c r="BS930" s="52"/>
      <c r="BT930" s="52"/>
      <c r="BU930" s="52"/>
      <c r="BV930" s="52"/>
    </row>
    <row r="931">
      <c r="AS931" s="52"/>
      <c r="AT931" s="52"/>
      <c r="AU931" s="52"/>
      <c r="AV931" s="52"/>
      <c r="AW931" s="52"/>
      <c r="AX931" s="52"/>
      <c r="AY931" s="52"/>
      <c r="AZ931" s="52"/>
      <c r="BA931" s="52"/>
      <c r="BB931" s="52"/>
      <c r="BC931" s="52"/>
      <c r="BD931" s="52"/>
      <c r="BE931" s="52"/>
      <c r="BF931" s="52"/>
      <c r="BG931" s="52"/>
      <c r="BH931" s="52"/>
      <c r="BI931" s="52"/>
      <c r="BJ931" s="52"/>
      <c r="BK931" s="52"/>
      <c r="BL931" s="52"/>
      <c r="BM931" s="52"/>
      <c r="BN931" s="52"/>
      <c r="BO931" s="52"/>
      <c r="BP931" s="52"/>
      <c r="BQ931" s="52"/>
      <c r="BR931" s="52"/>
      <c r="BS931" s="52"/>
      <c r="BT931" s="52"/>
      <c r="BU931" s="52"/>
      <c r="BV931" s="52"/>
    </row>
    <row r="932">
      <c r="AS932" s="52"/>
      <c r="AT932" s="52"/>
      <c r="AU932" s="52"/>
      <c r="AV932" s="52"/>
      <c r="AW932" s="52"/>
      <c r="AX932" s="52"/>
      <c r="AY932" s="52"/>
      <c r="AZ932" s="52"/>
      <c r="BA932" s="52"/>
      <c r="BB932" s="52"/>
      <c r="BC932" s="52"/>
      <c r="BD932" s="52"/>
      <c r="BE932" s="52"/>
      <c r="BF932" s="52"/>
      <c r="BG932" s="52"/>
      <c r="BH932" s="52"/>
      <c r="BI932" s="52"/>
      <c r="BJ932" s="52"/>
      <c r="BK932" s="52"/>
      <c r="BL932" s="52"/>
      <c r="BM932" s="52"/>
      <c r="BN932" s="52"/>
      <c r="BO932" s="52"/>
      <c r="BP932" s="52"/>
      <c r="BQ932" s="52"/>
      <c r="BR932" s="52"/>
      <c r="BS932" s="52"/>
      <c r="BT932" s="52"/>
      <c r="BU932" s="52"/>
      <c r="BV932" s="52"/>
    </row>
    <row r="933">
      <c r="AS933" s="52"/>
      <c r="AT933" s="52"/>
      <c r="AU933" s="52"/>
      <c r="AV933" s="52"/>
      <c r="AW933" s="52"/>
      <c r="AX933" s="52"/>
      <c r="AY933" s="52"/>
      <c r="AZ933" s="52"/>
      <c r="BA933" s="52"/>
      <c r="BB933" s="52"/>
      <c r="BC933" s="52"/>
      <c r="BD933" s="52"/>
      <c r="BE933" s="52"/>
      <c r="BF933" s="52"/>
      <c r="BG933" s="52"/>
      <c r="BH933" s="52"/>
      <c r="BI933" s="52"/>
      <c r="BJ933" s="52"/>
      <c r="BK933" s="52"/>
      <c r="BL933" s="52"/>
      <c r="BM933" s="52"/>
      <c r="BN933" s="52"/>
      <c r="BO933" s="52"/>
      <c r="BP933" s="52"/>
      <c r="BQ933" s="52"/>
      <c r="BR933" s="52"/>
      <c r="BS933" s="52"/>
      <c r="BT933" s="52"/>
      <c r="BU933" s="52"/>
      <c r="BV933" s="52"/>
    </row>
    <row r="934">
      <c r="AS934" s="52"/>
      <c r="AT934" s="52"/>
      <c r="AU934" s="52"/>
      <c r="AV934" s="52"/>
      <c r="AW934" s="52"/>
      <c r="AX934" s="52"/>
      <c r="AY934" s="52"/>
      <c r="AZ934" s="52"/>
      <c r="BA934" s="52"/>
      <c r="BB934" s="52"/>
      <c r="BC934" s="52"/>
      <c r="BD934" s="52"/>
      <c r="BE934" s="52"/>
      <c r="BF934" s="52"/>
      <c r="BG934" s="52"/>
      <c r="BH934" s="52"/>
      <c r="BI934" s="52"/>
      <c r="BJ934" s="52"/>
      <c r="BK934" s="52"/>
      <c r="BL934" s="52"/>
      <c r="BM934" s="52"/>
      <c r="BN934" s="52"/>
      <c r="BO934" s="52"/>
      <c r="BP934" s="52"/>
      <c r="BQ934" s="52"/>
      <c r="BR934" s="52"/>
      <c r="BS934" s="52"/>
      <c r="BT934" s="52"/>
      <c r="BU934" s="52"/>
      <c r="BV934" s="52"/>
    </row>
    <row r="935">
      <c r="AS935" s="52"/>
      <c r="AT935" s="52"/>
      <c r="AU935" s="52"/>
      <c r="AV935" s="52"/>
      <c r="AW935" s="52"/>
      <c r="AX935" s="52"/>
      <c r="AY935" s="52"/>
      <c r="AZ935" s="52"/>
      <c r="BA935" s="52"/>
      <c r="BB935" s="52"/>
      <c r="BC935" s="52"/>
      <c r="BD935" s="52"/>
      <c r="BE935" s="52"/>
      <c r="BF935" s="52"/>
      <c r="BG935" s="52"/>
      <c r="BH935" s="52"/>
      <c r="BI935" s="52"/>
      <c r="BJ935" s="52"/>
      <c r="BK935" s="52"/>
      <c r="BL935" s="52"/>
      <c r="BM935" s="52"/>
      <c r="BN935" s="52"/>
      <c r="BO935" s="52"/>
      <c r="BP935" s="52"/>
      <c r="BQ935" s="52"/>
      <c r="BR935" s="52"/>
      <c r="BS935" s="52"/>
      <c r="BT935" s="52"/>
      <c r="BU935" s="52"/>
      <c r="BV935" s="52"/>
    </row>
    <row r="936">
      <c r="AS936" s="52"/>
      <c r="AT936" s="52"/>
      <c r="AU936" s="52"/>
      <c r="AV936" s="52"/>
      <c r="AW936" s="52"/>
      <c r="AX936" s="52"/>
      <c r="AY936" s="52"/>
      <c r="AZ936" s="52"/>
      <c r="BA936" s="52"/>
      <c r="BB936" s="52"/>
      <c r="BC936" s="52"/>
      <c r="BD936" s="52"/>
      <c r="BE936" s="52"/>
      <c r="BF936" s="52"/>
      <c r="BG936" s="52"/>
      <c r="BH936" s="52"/>
      <c r="BI936" s="52"/>
      <c r="BJ936" s="52"/>
      <c r="BK936" s="52"/>
      <c r="BL936" s="52"/>
      <c r="BM936" s="52"/>
      <c r="BN936" s="52"/>
      <c r="BO936" s="52"/>
      <c r="BP936" s="52"/>
      <c r="BQ936" s="52"/>
      <c r="BR936" s="52"/>
      <c r="BS936" s="52"/>
      <c r="BT936" s="52"/>
      <c r="BU936" s="52"/>
      <c r="BV936" s="52"/>
    </row>
    <row r="937">
      <c r="AS937" s="52"/>
      <c r="AT937" s="52"/>
      <c r="AU937" s="52"/>
      <c r="AV937" s="52"/>
      <c r="AW937" s="52"/>
      <c r="AX937" s="52"/>
      <c r="AY937" s="52"/>
      <c r="AZ937" s="52"/>
      <c r="BA937" s="52"/>
      <c r="BB937" s="52"/>
      <c r="BC937" s="52"/>
      <c r="BD937" s="52"/>
      <c r="BE937" s="52"/>
      <c r="BF937" s="52"/>
      <c r="BG937" s="52"/>
      <c r="BH937" s="52"/>
      <c r="BI937" s="52"/>
      <c r="BJ937" s="52"/>
      <c r="BK937" s="52"/>
      <c r="BL937" s="52"/>
      <c r="BM937" s="52"/>
      <c r="BN937" s="52"/>
      <c r="BO937" s="52"/>
      <c r="BP937" s="52"/>
      <c r="BQ937" s="52"/>
      <c r="BR937" s="52"/>
      <c r="BS937" s="52"/>
      <c r="BT937" s="52"/>
      <c r="BU937" s="52"/>
      <c r="BV937" s="52"/>
    </row>
    <row r="938">
      <c r="AS938" s="52"/>
      <c r="AT938" s="52"/>
      <c r="AU938" s="52"/>
      <c r="AV938" s="52"/>
      <c r="AW938" s="52"/>
      <c r="AX938" s="52"/>
      <c r="AY938" s="52"/>
      <c r="AZ938" s="52"/>
      <c r="BA938" s="52"/>
      <c r="BB938" s="52"/>
      <c r="BC938" s="52"/>
      <c r="BD938" s="52"/>
      <c r="BE938" s="52"/>
      <c r="BF938" s="52"/>
      <c r="BG938" s="52"/>
      <c r="BH938" s="52"/>
      <c r="BI938" s="52"/>
      <c r="BJ938" s="52"/>
      <c r="BK938" s="52"/>
      <c r="BL938" s="52"/>
      <c r="BM938" s="52"/>
      <c r="BN938" s="52"/>
      <c r="BO938" s="52"/>
      <c r="BP938" s="52"/>
      <c r="BQ938" s="52"/>
      <c r="BR938" s="52"/>
      <c r="BS938" s="52"/>
      <c r="BT938" s="52"/>
      <c r="BU938" s="52"/>
      <c r="BV938" s="52"/>
    </row>
    <row r="939">
      <c r="AS939" s="52"/>
      <c r="AT939" s="52"/>
      <c r="AU939" s="52"/>
      <c r="AV939" s="52"/>
      <c r="AW939" s="52"/>
      <c r="AX939" s="52"/>
      <c r="AY939" s="52"/>
      <c r="AZ939" s="52"/>
      <c r="BA939" s="52"/>
      <c r="BB939" s="52"/>
      <c r="BC939" s="52"/>
      <c r="BD939" s="52"/>
      <c r="BE939" s="52"/>
      <c r="BF939" s="52"/>
      <c r="BG939" s="52"/>
      <c r="BH939" s="52"/>
      <c r="BI939" s="52"/>
      <c r="BJ939" s="52"/>
      <c r="BK939" s="52"/>
      <c r="BL939" s="52"/>
      <c r="BM939" s="52"/>
      <c r="BN939" s="52"/>
      <c r="BO939" s="52"/>
      <c r="BP939" s="52"/>
      <c r="BQ939" s="52"/>
      <c r="BR939" s="52"/>
      <c r="BS939" s="52"/>
      <c r="BT939" s="52"/>
      <c r="BU939" s="52"/>
      <c r="BV939" s="52"/>
    </row>
    <row r="940">
      <c r="AS940" s="52"/>
      <c r="AT940" s="52"/>
      <c r="AU940" s="52"/>
      <c r="AV940" s="52"/>
      <c r="AW940" s="52"/>
      <c r="AX940" s="52"/>
      <c r="AY940" s="52"/>
      <c r="AZ940" s="52"/>
      <c r="BA940" s="52"/>
      <c r="BB940" s="52"/>
      <c r="BC940" s="52"/>
      <c r="BD940" s="52"/>
      <c r="BE940" s="52"/>
      <c r="BF940" s="52"/>
      <c r="BG940" s="52"/>
      <c r="BH940" s="52"/>
      <c r="BI940" s="52"/>
      <c r="BJ940" s="52"/>
      <c r="BK940" s="52"/>
      <c r="BL940" s="52"/>
      <c r="BM940" s="52"/>
      <c r="BN940" s="52"/>
      <c r="BO940" s="52"/>
      <c r="BP940" s="52"/>
      <c r="BQ940" s="52"/>
      <c r="BR940" s="52"/>
      <c r="BS940" s="52"/>
      <c r="BT940" s="52"/>
      <c r="BU940" s="52"/>
      <c r="BV940" s="52"/>
    </row>
    <row r="941">
      <c r="AS941" s="52"/>
      <c r="AT941" s="52"/>
      <c r="AU941" s="52"/>
      <c r="AV941" s="52"/>
      <c r="AW941" s="52"/>
      <c r="AX941" s="52"/>
      <c r="AY941" s="52"/>
      <c r="AZ941" s="52"/>
      <c r="BA941" s="52"/>
      <c r="BB941" s="52"/>
      <c r="BC941" s="52"/>
      <c r="BD941" s="52"/>
      <c r="BE941" s="52"/>
      <c r="BF941" s="52"/>
      <c r="BG941" s="52"/>
      <c r="BH941" s="52"/>
      <c r="BI941" s="52"/>
      <c r="BJ941" s="52"/>
      <c r="BK941" s="52"/>
      <c r="BL941" s="52"/>
      <c r="BM941" s="52"/>
      <c r="BN941" s="52"/>
      <c r="BO941" s="52"/>
      <c r="BP941" s="52"/>
      <c r="BQ941" s="52"/>
      <c r="BR941" s="52"/>
      <c r="BS941" s="52"/>
      <c r="BT941" s="52"/>
      <c r="BU941" s="52"/>
      <c r="BV941" s="52"/>
    </row>
    <row r="942">
      <c r="AS942" s="52"/>
      <c r="AT942" s="52"/>
      <c r="AU942" s="52"/>
      <c r="AV942" s="52"/>
      <c r="AW942" s="52"/>
      <c r="AX942" s="52"/>
      <c r="AY942" s="52"/>
      <c r="AZ942" s="52"/>
      <c r="BA942" s="52"/>
      <c r="BB942" s="52"/>
      <c r="BC942" s="52"/>
      <c r="BD942" s="52"/>
      <c r="BE942" s="52"/>
      <c r="BF942" s="52"/>
      <c r="BG942" s="52"/>
      <c r="BH942" s="52"/>
      <c r="BI942" s="52"/>
      <c r="BJ942" s="52"/>
      <c r="BK942" s="52"/>
      <c r="BL942" s="52"/>
      <c r="BM942" s="52"/>
      <c r="BN942" s="52"/>
      <c r="BO942" s="52"/>
      <c r="BP942" s="52"/>
      <c r="BQ942" s="52"/>
      <c r="BR942" s="52"/>
      <c r="BS942" s="52"/>
      <c r="BT942" s="52"/>
      <c r="BU942" s="52"/>
      <c r="BV942" s="52"/>
    </row>
    <row r="943">
      <c r="AS943" s="52"/>
      <c r="AT943" s="52"/>
      <c r="AU943" s="52"/>
      <c r="AV943" s="52"/>
      <c r="AW943" s="52"/>
      <c r="AX943" s="52"/>
      <c r="AY943" s="52"/>
      <c r="AZ943" s="52"/>
      <c r="BA943" s="52"/>
      <c r="BB943" s="52"/>
      <c r="BC943" s="52"/>
      <c r="BD943" s="52"/>
      <c r="BE943" s="52"/>
      <c r="BF943" s="52"/>
      <c r="BG943" s="52"/>
      <c r="BH943" s="52"/>
      <c r="BI943" s="52"/>
      <c r="BJ943" s="52"/>
      <c r="BK943" s="52"/>
      <c r="BL943" s="52"/>
      <c r="BM943" s="52"/>
      <c r="BN943" s="52"/>
      <c r="BO943" s="52"/>
      <c r="BP943" s="52"/>
      <c r="BQ943" s="52"/>
      <c r="BR943" s="52"/>
      <c r="BS943" s="52"/>
      <c r="BT943" s="52"/>
      <c r="BU943" s="52"/>
      <c r="BV943" s="52"/>
    </row>
  </sheetData>
  <mergeCells count="15">
    <mergeCell ref="H1:N1"/>
    <mergeCell ref="O1:AR1"/>
    <mergeCell ref="AS1:BV1"/>
    <mergeCell ref="N4:N69"/>
    <mergeCell ref="U4:U69"/>
    <mergeCell ref="AB4:AB69"/>
    <mergeCell ref="AI4:AI69"/>
    <mergeCell ref="AP4:AP69"/>
    <mergeCell ref="A1:A3"/>
    <mergeCell ref="B1:B3"/>
    <mergeCell ref="C1:C3"/>
    <mergeCell ref="D1:D3"/>
    <mergeCell ref="E1:E3"/>
    <mergeCell ref="F1:F3"/>
    <mergeCell ref="G1:G3"/>
  </mergeCells>
  <conditionalFormatting sqref="H4:BV75">
    <cfRule type="beginsWith" dxfId="0" priority="1" operator="beginsWith" text="A">
      <formula>LEFT((H4),LEN("A"))=("A")</formula>
    </cfRule>
  </conditionalFormatting>
  <conditionalFormatting sqref="H4:BV75">
    <cfRule type="beginsWith" dxfId="1" priority="2" operator="beginsWith" text="p">
      <formula>LEFT((H4),LEN("p"))=("p")</formula>
    </cfRule>
  </conditionalFormatting>
  <conditionalFormatting sqref="H4:BV75">
    <cfRule type="beginsWith" dxfId="2" priority="3" operator="beginsWith" text="op">
      <formula>LEFT((H4),LEN("op"))=("op")</formula>
    </cfRule>
  </conditionalFormatting>
  <conditionalFormatting sqref="A1">
    <cfRule type="notContainsBlanks" dxfId="3" priority="4">
      <formula>LEN(TRIM(A1))&gt;0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0"/>
    <col customWidth="1" min="3" max="3" width="13.63"/>
  </cols>
  <sheetData>
    <row r="1">
      <c r="A1" s="2" t="s">
        <v>1</v>
      </c>
    </row>
    <row r="2">
      <c r="A2" s="4" t="s">
        <v>4</v>
      </c>
    </row>
    <row r="3">
      <c r="A3" s="4" t="s">
        <v>9</v>
      </c>
    </row>
    <row r="4">
      <c r="A4" s="8" t="s">
        <v>10</v>
      </c>
      <c r="C4" s="10"/>
    </row>
    <row r="5">
      <c r="A5" s="8" t="s">
        <v>15</v>
      </c>
      <c r="C5" s="10"/>
    </row>
    <row r="6">
      <c r="A6" s="12"/>
    </row>
    <row r="7">
      <c r="A7" s="15" t="s">
        <v>18</v>
      </c>
      <c r="B7" s="18" t="s">
        <v>19</v>
      </c>
      <c r="C7" s="20" t="s">
        <v>20</v>
      </c>
    </row>
    <row r="8">
      <c r="A8" s="24">
        <v>1.0</v>
      </c>
      <c r="B8" s="27" t="s">
        <v>22</v>
      </c>
      <c r="C8" s="28" t="s">
        <v>26</v>
      </c>
    </row>
    <row r="9">
      <c r="A9" s="30"/>
      <c r="B9" s="31" t="s">
        <v>30</v>
      </c>
      <c r="C9" s="28" t="s">
        <v>26</v>
      </c>
    </row>
    <row r="10">
      <c r="A10" s="30"/>
      <c r="B10" s="31" t="s">
        <v>37</v>
      </c>
      <c r="C10" s="28" t="s">
        <v>26</v>
      </c>
    </row>
    <row r="11">
      <c r="A11" s="30"/>
      <c r="B11" s="31" t="s">
        <v>43</v>
      </c>
      <c r="C11" s="28" t="s">
        <v>26</v>
      </c>
    </row>
    <row r="12">
      <c r="A12" s="30"/>
      <c r="B12" s="31" t="s">
        <v>48</v>
      </c>
      <c r="C12" s="28" t="s">
        <v>26</v>
      </c>
    </row>
    <row r="13">
      <c r="A13" s="30"/>
      <c r="B13" s="31" t="s">
        <v>52</v>
      </c>
      <c r="C13" s="28" t="s">
        <v>26</v>
      </c>
    </row>
    <row r="14">
      <c r="A14" s="30"/>
      <c r="B14" s="31" t="s">
        <v>55</v>
      </c>
      <c r="C14" s="28" t="s">
        <v>26</v>
      </c>
    </row>
    <row r="15">
      <c r="A15" s="30"/>
      <c r="B15" s="31" t="s">
        <v>58</v>
      </c>
      <c r="C15" s="28" t="s">
        <v>26</v>
      </c>
    </row>
    <row r="16">
      <c r="A16" s="30"/>
      <c r="B16" s="31" t="s">
        <v>61</v>
      </c>
      <c r="C16" s="28" t="s">
        <v>26</v>
      </c>
    </row>
    <row r="17">
      <c r="A17" s="30"/>
      <c r="B17" s="31" t="s">
        <v>62</v>
      </c>
      <c r="C17" s="28" t="s">
        <v>26</v>
      </c>
    </row>
    <row r="18">
      <c r="A18" s="30"/>
      <c r="B18" s="31" t="s">
        <v>65</v>
      </c>
      <c r="C18" s="28" t="s">
        <v>26</v>
      </c>
    </row>
    <row r="19">
      <c r="A19" s="30"/>
      <c r="B19" s="31" t="s">
        <v>71</v>
      </c>
      <c r="C19" s="28" t="s">
        <v>26</v>
      </c>
    </row>
    <row r="20">
      <c r="A20" s="30"/>
      <c r="B20" s="31" t="s">
        <v>74</v>
      </c>
      <c r="C20" s="28" t="s">
        <v>26</v>
      </c>
    </row>
    <row r="21">
      <c r="A21" s="30"/>
      <c r="B21" s="31" t="s">
        <v>77</v>
      </c>
      <c r="C21" s="28" t="s">
        <v>26</v>
      </c>
    </row>
    <row r="22">
      <c r="A22" s="30"/>
      <c r="B22" s="31" t="s">
        <v>78</v>
      </c>
      <c r="C22" s="28" t="s">
        <v>26</v>
      </c>
    </row>
    <row r="23">
      <c r="A23" s="24">
        <v>2.0</v>
      </c>
      <c r="B23" s="31" t="s">
        <v>81</v>
      </c>
      <c r="C23" s="28" t="s">
        <v>26</v>
      </c>
    </row>
    <row r="24">
      <c r="A24" s="30"/>
      <c r="B24" s="31" t="s">
        <v>84</v>
      </c>
      <c r="C24" s="28" t="s">
        <v>26</v>
      </c>
    </row>
    <row r="25">
      <c r="A25" s="30"/>
      <c r="B25" s="31" t="s">
        <v>86</v>
      </c>
      <c r="C25" s="28" t="s">
        <v>26</v>
      </c>
    </row>
    <row r="26">
      <c r="A26" s="30"/>
      <c r="B26" s="31" t="s">
        <v>88</v>
      </c>
      <c r="C26" s="28" t="s">
        <v>26</v>
      </c>
    </row>
    <row r="27">
      <c r="A27" s="30"/>
      <c r="B27" s="31" t="s">
        <v>91</v>
      </c>
      <c r="C27" s="28" t="s">
        <v>26</v>
      </c>
    </row>
    <row r="28">
      <c r="A28" s="30"/>
      <c r="B28" s="31" t="s">
        <v>94</v>
      </c>
      <c r="C28" s="28" t="s">
        <v>26</v>
      </c>
    </row>
    <row r="29">
      <c r="A29" s="30"/>
      <c r="B29" s="31" t="s">
        <v>95</v>
      </c>
      <c r="C29" s="28" t="s">
        <v>26</v>
      </c>
    </row>
    <row r="30">
      <c r="A30" s="30"/>
      <c r="B30" s="31" t="s">
        <v>98</v>
      </c>
      <c r="C30" s="28" t="s">
        <v>26</v>
      </c>
    </row>
    <row r="31">
      <c r="A31" s="30"/>
      <c r="B31" s="31" t="s">
        <v>99</v>
      </c>
      <c r="C31" s="28" t="s">
        <v>26</v>
      </c>
    </row>
    <row r="32">
      <c r="A32" s="30"/>
      <c r="B32" s="31" t="s">
        <v>104</v>
      </c>
      <c r="C32" s="28" t="s">
        <v>26</v>
      </c>
    </row>
    <row r="33">
      <c r="A33" s="30"/>
      <c r="B33" s="31" t="s">
        <v>106</v>
      </c>
      <c r="C33" s="28" t="s">
        <v>26</v>
      </c>
    </row>
    <row r="34">
      <c r="A34" s="30"/>
      <c r="B34" s="31" t="s">
        <v>109</v>
      </c>
      <c r="C34" s="28" t="s">
        <v>26</v>
      </c>
    </row>
    <row r="35">
      <c r="A35" s="30"/>
      <c r="B35" s="31" t="s">
        <v>112</v>
      </c>
      <c r="C35" s="28" t="s">
        <v>26</v>
      </c>
    </row>
    <row r="36">
      <c r="A36" s="30"/>
      <c r="B36" s="31" t="s">
        <v>114</v>
      </c>
      <c r="C36" s="28" t="s">
        <v>26</v>
      </c>
    </row>
    <row r="37">
      <c r="A37" s="30"/>
      <c r="B37" s="31" t="s">
        <v>117</v>
      </c>
      <c r="C37" s="28" t="s">
        <v>26</v>
      </c>
    </row>
    <row r="38">
      <c r="A38" s="30"/>
      <c r="B38" s="31" t="s">
        <v>121</v>
      </c>
      <c r="C38" s="28" t="s">
        <v>26</v>
      </c>
    </row>
    <row r="39">
      <c r="A39" s="30"/>
      <c r="B39" s="31" t="s">
        <v>123</v>
      </c>
      <c r="C39" s="28" t="s">
        <v>26</v>
      </c>
    </row>
    <row r="40">
      <c r="A40" s="24">
        <v>3.0</v>
      </c>
      <c r="B40" s="31" t="s">
        <v>125</v>
      </c>
      <c r="C40" s="28" t="s">
        <v>26</v>
      </c>
    </row>
    <row r="41">
      <c r="A41" s="30"/>
      <c r="B41" s="31" t="s">
        <v>126</v>
      </c>
      <c r="C41" s="28" t="s">
        <v>26</v>
      </c>
    </row>
    <row r="42">
      <c r="A42" s="30"/>
      <c r="B42" s="31" t="s">
        <v>129</v>
      </c>
      <c r="C42" s="28" t="s">
        <v>26</v>
      </c>
    </row>
    <row r="43">
      <c r="A43" s="30"/>
      <c r="B43" s="31" t="s">
        <v>131</v>
      </c>
      <c r="C43" s="28" t="s">
        <v>26</v>
      </c>
    </row>
    <row r="44">
      <c r="A44" s="30"/>
      <c r="B44" s="31" t="s">
        <v>133</v>
      </c>
      <c r="C44" s="28" t="s">
        <v>26</v>
      </c>
    </row>
    <row r="45">
      <c r="A45" s="30"/>
      <c r="B45" s="31" t="s">
        <v>136</v>
      </c>
      <c r="C45" s="28" t="s">
        <v>26</v>
      </c>
    </row>
    <row r="46">
      <c r="A46" s="30"/>
      <c r="B46" s="31" t="s">
        <v>138</v>
      </c>
      <c r="C46" s="28" t="s">
        <v>26</v>
      </c>
    </row>
    <row r="47">
      <c r="A47" s="30"/>
      <c r="B47" s="31" t="s">
        <v>139</v>
      </c>
      <c r="C47" s="28" t="s">
        <v>26</v>
      </c>
    </row>
    <row r="48">
      <c r="A48" s="24">
        <v>4.0</v>
      </c>
      <c r="B48" s="46" t="s">
        <v>142</v>
      </c>
      <c r="C48" s="28" t="s">
        <v>26</v>
      </c>
    </row>
    <row r="49">
      <c r="A49" s="30"/>
      <c r="B49" s="31" t="s">
        <v>144</v>
      </c>
      <c r="C49" s="28" t="s">
        <v>26</v>
      </c>
    </row>
    <row r="50">
      <c r="A50" s="30"/>
      <c r="B50" s="31" t="s">
        <v>147</v>
      </c>
      <c r="C50" s="28" t="s">
        <v>26</v>
      </c>
    </row>
    <row r="51">
      <c r="A51" s="30"/>
      <c r="B51" s="27" t="s">
        <v>149</v>
      </c>
      <c r="C51" s="28" t="s">
        <v>26</v>
      </c>
    </row>
    <row r="52">
      <c r="A52" s="30"/>
      <c r="B52" s="31" t="s">
        <v>150</v>
      </c>
      <c r="C52" s="28" t="s">
        <v>26</v>
      </c>
    </row>
    <row r="53">
      <c r="A53" s="30"/>
      <c r="B53" s="31" t="s">
        <v>152</v>
      </c>
      <c r="C53" s="28" t="s">
        <v>26</v>
      </c>
    </row>
    <row r="54">
      <c r="A54" s="30"/>
      <c r="B54" s="31" t="s">
        <v>153</v>
      </c>
      <c r="C54" s="28" t="s">
        <v>26</v>
      </c>
    </row>
    <row r="55">
      <c r="A55" s="30"/>
      <c r="B55" s="31" t="s">
        <v>154</v>
      </c>
      <c r="C55" s="28" t="s">
        <v>26</v>
      </c>
    </row>
    <row r="56">
      <c r="A56" s="30"/>
      <c r="B56" s="31" t="s">
        <v>155</v>
      </c>
      <c r="C56" s="28" t="s">
        <v>26</v>
      </c>
    </row>
    <row r="57">
      <c r="A57" s="30"/>
      <c r="B57" s="31" t="s">
        <v>156</v>
      </c>
      <c r="C57" s="28" t="s">
        <v>26</v>
      </c>
    </row>
    <row r="58">
      <c r="A58" s="30"/>
      <c r="B58" s="31" t="s">
        <v>158</v>
      </c>
      <c r="C58" s="28" t="s">
        <v>26</v>
      </c>
    </row>
    <row r="59">
      <c r="A59" s="30"/>
      <c r="B59" s="31" t="s">
        <v>160</v>
      </c>
      <c r="C59" s="28" t="s">
        <v>26</v>
      </c>
    </row>
    <row r="60">
      <c r="A60" s="24">
        <v>5.0</v>
      </c>
      <c r="B60" s="31" t="s">
        <v>161</v>
      </c>
      <c r="C60" s="28" t="s">
        <v>26</v>
      </c>
    </row>
    <row r="61">
      <c r="A61" s="30"/>
      <c r="B61" s="31" t="s">
        <v>163</v>
      </c>
      <c r="C61" s="28" t="s">
        <v>26</v>
      </c>
    </row>
    <row r="62">
      <c r="A62" s="30"/>
      <c r="B62" s="31" t="s">
        <v>165</v>
      </c>
      <c r="C62" s="28" t="s">
        <v>26</v>
      </c>
    </row>
    <row r="63">
      <c r="A63" s="30"/>
      <c r="B63" s="31" t="s">
        <v>166</v>
      </c>
      <c r="C63" s="28" t="s">
        <v>26</v>
      </c>
    </row>
    <row r="64">
      <c r="A64" s="30"/>
      <c r="B64" s="31" t="s">
        <v>167</v>
      </c>
      <c r="C64" s="28" t="s">
        <v>26</v>
      </c>
    </row>
    <row r="65">
      <c r="A65" s="30"/>
      <c r="B65" s="31" t="s">
        <v>168</v>
      </c>
      <c r="C65" s="28" t="s">
        <v>26</v>
      </c>
    </row>
    <row r="66">
      <c r="A66" s="30"/>
      <c r="B66" s="31" t="s">
        <v>170</v>
      </c>
      <c r="C66" s="28" t="s">
        <v>26</v>
      </c>
    </row>
    <row r="67">
      <c r="A67" s="30"/>
      <c r="B67" s="31" t="s">
        <v>174</v>
      </c>
      <c r="C67" s="28" t="s">
        <v>26</v>
      </c>
    </row>
    <row r="68">
      <c r="A68" s="30"/>
      <c r="B68" s="31" t="s">
        <v>175</v>
      </c>
      <c r="C68" s="28" t="s">
        <v>26</v>
      </c>
    </row>
    <row r="69">
      <c r="A69" s="30"/>
      <c r="B69" s="31" t="s">
        <v>177</v>
      </c>
      <c r="C69" s="28" t="s">
        <v>26</v>
      </c>
    </row>
    <row r="70">
      <c r="A70" s="30"/>
      <c r="B70" s="31" t="s">
        <v>179</v>
      </c>
      <c r="C70" s="28" t="s">
        <v>26</v>
      </c>
    </row>
    <row r="71">
      <c r="A71" s="24">
        <v>6.0</v>
      </c>
      <c r="B71" s="31" t="s">
        <v>180</v>
      </c>
      <c r="C71" s="28" t="s">
        <v>26</v>
      </c>
    </row>
    <row r="72">
      <c r="A72" s="30"/>
      <c r="B72" s="31" t="s">
        <v>182</v>
      </c>
      <c r="C72" s="28" t="s">
        <v>26</v>
      </c>
    </row>
    <row r="73">
      <c r="A73" s="30"/>
      <c r="B73" s="31" t="s">
        <v>184</v>
      </c>
      <c r="C73" s="28" t="s">
        <v>26</v>
      </c>
    </row>
    <row r="74">
      <c r="A74" s="30"/>
      <c r="B74" s="31" t="s">
        <v>185</v>
      </c>
      <c r="C74" s="28" t="s">
        <v>26</v>
      </c>
    </row>
    <row r="75">
      <c r="A75" s="30"/>
      <c r="B75" s="31" t="s">
        <v>187</v>
      </c>
      <c r="C75" s="28" t="s">
        <v>26</v>
      </c>
    </row>
    <row r="76">
      <c r="A76" s="30"/>
      <c r="B76" s="31" t="s">
        <v>189</v>
      </c>
      <c r="C76" s="28" t="s">
        <v>26</v>
      </c>
    </row>
    <row r="77">
      <c r="A77" s="30"/>
      <c r="B77" s="31" t="s">
        <v>190</v>
      </c>
      <c r="C77" s="28" t="s">
        <v>26</v>
      </c>
    </row>
    <row r="78">
      <c r="A78" s="24">
        <v>7.0</v>
      </c>
      <c r="B78" s="31" t="s">
        <v>194</v>
      </c>
      <c r="C78" s="28" t="s">
        <v>26</v>
      </c>
    </row>
    <row r="79">
      <c r="A79" s="30"/>
      <c r="B79" s="31" t="s">
        <v>197</v>
      </c>
      <c r="C79" s="28" t="s">
        <v>26</v>
      </c>
    </row>
    <row r="80">
      <c r="A80" s="30"/>
      <c r="B80" s="31" t="s">
        <v>198</v>
      </c>
      <c r="C80" s="28" t="s">
        <v>26</v>
      </c>
    </row>
    <row r="81">
      <c r="A81" s="30"/>
      <c r="B81" s="31" t="s">
        <v>199</v>
      </c>
      <c r="C81" s="28" t="s">
        <v>26</v>
      </c>
    </row>
    <row r="82">
      <c r="A82" s="30"/>
      <c r="B82" s="31" t="s">
        <v>200</v>
      </c>
      <c r="C82" s="28" t="s">
        <v>26</v>
      </c>
    </row>
    <row r="83">
      <c r="A83" s="30"/>
      <c r="B83" s="31" t="s">
        <v>201</v>
      </c>
      <c r="C83" s="28" t="s">
        <v>26</v>
      </c>
    </row>
    <row r="84">
      <c r="A84" s="30"/>
      <c r="B84" s="46" t="s">
        <v>204</v>
      </c>
      <c r="C84" s="28" t="s">
        <v>26</v>
      </c>
    </row>
    <row r="85">
      <c r="A85" s="30"/>
      <c r="B85" s="31" t="s">
        <v>207</v>
      </c>
      <c r="C85" s="28" t="s">
        <v>26</v>
      </c>
    </row>
    <row r="86">
      <c r="A86" s="54">
        <v>8.0</v>
      </c>
      <c r="B86" s="55" t="s">
        <v>212</v>
      </c>
      <c r="C86" s="56" t="s">
        <v>26</v>
      </c>
    </row>
    <row r="87">
      <c r="A87" s="30"/>
      <c r="B87" s="57" t="s">
        <v>215</v>
      </c>
      <c r="C87" s="56" t="s">
        <v>26</v>
      </c>
    </row>
    <row r="88">
      <c r="A88" s="30"/>
      <c r="B88" s="57" t="s">
        <v>218</v>
      </c>
      <c r="C88" s="56" t="s">
        <v>26</v>
      </c>
    </row>
    <row r="89">
      <c r="A89" s="30"/>
      <c r="B89" s="59" t="s">
        <v>220</v>
      </c>
      <c r="C89" s="56" t="s">
        <v>26</v>
      </c>
    </row>
    <row r="90">
      <c r="A90" s="30"/>
      <c r="B90" s="57" t="s">
        <v>223</v>
      </c>
      <c r="C90" s="56" t="s">
        <v>26</v>
      </c>
    </row>
    <row r="91">
      <c r="A91" s="30"/>
      <c r="B91" s="57" t="s">
        <v>225</v>
      </c>
      <c r="C91" s="56" t="s">
        <v>26</v>
      </c>
    </row>
    <row r="92">
      <c r="A92" s="24">
        <v>9.0</v>
      </c>
      <c r="B92" s="27" t="s">
        <v>228</v>
      </c>
      <c r="C92" s="60"/>
    </row>
    <row r="93">
      <c r="A93" s="30"/>
      <c r="B93" s="31" t="s">
        <v>231</v>
      </c>
      <c r="C93" s="28" t="s">
        <v>26</v>
      </c>
    </row>
    <row r="94">
      <c r="A94" s="30"/>
      <c r="B94" s="31" t="s">
        <v>232</v>
      </c>
      <c r="C94" s="28" t="s">
        <v>26</v>
      </c>
    </row>
    <row r="95">
      <c r="A95" s="30"/>
      <c r="B95" s="31" t="s">
        <v>233</v>
      </c>
      <c r="C95" s="28" t="s">
        <v>26</v>
      </c>
    </row>
    <row r="96">
      <c r="A96" s="30"/>
      <c r="B96" s="31" t="s">
        <v>234</v>
      </c>
      <c r="C96" s="28" t="s">
        <v>26</v>
      </c>
    </row>
    <row r="97">
      <c r="A97" s="30"/>
      <c r="B97" s="31" t="s">
        <v>235</v>
      </c>
      <c r="C97" s="28" t="s">
        <v>26</v>
      </c>
    </row>
    <row r="98">
      <c r="A98" s="30"/>
      <c r="B98" s="31" t="s">
        <v>236</v>
      </c>
      <c r="C98" s="28" t="s">
        <v>26</v>
      </c>
    </row>
    <row r="99">
      <c r="A99" s="30"/>
      <c r="B99" s="31" t="s">
        <v>237</v>
      </c>
      <c r="C99" s="28" t="s">
        <v>26</v>
      </c>
    </row>
    <row r="100">
      <c r="A100" s="30"/>
      <c r="B100" s="31" t="s">
        <v>238</v>
      </c>
      <c r="C100" s="28" t="s">
        <v>26</v>
      </c>
    </row>
    <row r="101">
      <c r="A101" s="30"/>
      <c r="B101" s="31" t="s">
        <v>239</v>
      </c>
      <c r="C101" s="28" t="s">
        <v>26</v>
      </c>
    </row>
    <row r="102">
      <c r="A102" s="30"/>
      <c r="B102" s="31" t="s">
        <v>241</v>
      </c>
      <c r="C102" s="28" t="s">
        <v>26</v>
      </c>
    </row>
    <row r="103">
      <c r="A103" s="30"/>
      <c r="B103" s="31" t="s">
        <v>243</v>
      </c>
      <c r="C103" s="28" t="s">
        <v>26</v>
      </c>
    </row>
    <row r="104">
      <c r="A104" s="30"/>
      <c r="B104" s="31" t="s">
        <v>244</v>
      </c>
      <c r="C104" s="28" t="s">
        <v>26</v>
      </c>
    </row>
    <row r="105">
      <c r="A105" s="30"/>
      <c r="B105" s="31" t="s">
        <v>246</v>
      </c>
      <c r="C105" s="28" t="s">
        <v>26</v>
      </c>
    </row>
    <row r="106">
      <c r="A106" s="30"/>
      <c r="B106" s="31" t="s">
        <v>247</v>
      </c>
      <c r="C106" s="28" t="s">
        <v>26</v>
      </c>
    </row>
    <row r="107">
      <c r="A107" s="30"/>
      <c r="B107" s="31" t="s">
        <v>248</v>
      </c>
      <c r="C107" s="28" t="s">
        <v>26</v>
      </c>
    </row>
    <row r="108">
      <c r="A108" s="24">
        <v>10.0</v>
      </c>
      <c r="B108" s="31" t="s">
        <v>249</v>
      </c>
      <c r="C108" s="28" t="s">
        <v>26</v>
      </c>
    </row>
    <row r="109">
      <c r="A109" s="30"/>
      <c r="B109" s="31" t="s">
        <v>250</v>
      </c>
      <c r="C109" s="28" t="s">
        <v>26</v>
      </c>
    </row>
    <row r="110">
      <c r="A110" s="30"/>
      <c r="B110" s="31" t="s">
        <v>251</v>
      </c>
      <c r="C110" s="28" t="s">
        <v>26</v>
      </c>
    </row>
    <row r="111">
      <c r="A111" s="30"/>
      <c r="B111" s="31" t="s">
        <v>252</v>
      </c>
      <c r="C111" s="28" t="s">
        <v>26</v>
      </c>
    </row>
    <row r="112">
      <c r="A112" s="30"/>
      <c r="B112" s="31" t="s">
        <v>254</v>
      </c>
      <c r="C112" s="28" t="s">
        <v>26</v>
      </c>
    </row>
    <row r="113">
      <c r="A113" s="30"/>
      <c r="B113" s="31" t="s">
        <v>256</v>
      </c>
      <c r="C113" s="28" t="s">
        <v>26</v>
      </c>
    </row>
    <row r="114">
      <c r="A114" s="30"/>
      <c r="B114" s="31" t="s">
        <v>257</v>
      </c>
      <c r="C114" s="28" t="s">
        <v>26</v>
      </c>
    </row>
    <row r="115">
      <c r="A115" s="30"/>
      <c r="B115" s="31" t="s">
        <v>258</v>
      </c>
      <c r="C115" s="28" t="s">
        <v>26</v>
      </c>
    </row>
    <row r="116">
      <c r="A116" s="30"/>
      <c r="B116" s="31" t="s">
        <v>259</v>
      </c>
      <c r="C116" s="28" t="s">
        <v>26</v>
      </c>
    </row>
    <row r="117">
      <c r="A117" s="30"/>
      <c r="B117" s="31" t="s">
        <v>260</v>
      </c>
      <c r="C117" s="28" t="s">
        <v>26</v>
      </c>
    </row>
    <row r="118">
      <c r="A118" s="30"/>
      <c r="B118" s="31" t="s">
        <v>261</v>
      </c>
      <c r="C118" s="28" t="s">
        <v>26</v>
      </c>
    </row>
    <row r="119">
      <c r="A119" s="30"/>
      <c r="B119" s="31" t="s">
        <v>262</v>
      </c>
      <c r="C119" s="28" t="s">
        <v>26</v>
      </c>
    </row>
    <row r="120">
      <c r="A120" s="24">
        <v>11.0</v>
      </c>
      <c r="B120" s="31" t="s">
        <v>263</v>
      </c>
      <c r="C120" s="28" t="s">
        <v>26</v>
      </c>
    </row>
    <row r="121">
      <c r="A121" s="30"/>
      <c r="B121" s="31" t="s">
        <v>264</v>
      </c>
      <c r="C121" s="28" t="s">
        <v>26</v>
      </c>
    </row>
    <row r="122">
      <c r="A122" s="30"/>
      <c r="B122" s="31" t="s">
        <v>266</v>
      </c>
      <c r="C122" s="28" t="s">
        <v>26</v>
      </c>
    </row>
    <row r="123">
      <c r="A123" s="30"/>
      <c r="B123" s="31" t="s">
        <v>268</v>
      </c>
      <c r="C123" s="28" t="s">
        <v>26</v>
      </c>
    </row>
    <row r="124">
      <c r="A124" s="30"/>
      <c r="B124" s="31" t="s">
        <v>269</v>
      </c>
      <c r="C124" s="28" t="s">
        <v>26</v>
      </c>
    </row>
    <row r="125">
      <c r="A125" s="24">
        <v>12.0</v>
      </c>
      <c r="B125" s="31" t="s">
        <v>270</v>
      </c>
      <c r="C125" s="28" t="s">
        <v>26</v>
      </c>
    </row>
    <row r="126">
      <c r="A126" s="30"/>
      <c r="B126" s="31" t="s">
        <v>271</v>
      </c>
      <c r="C126" s="28" t="s">
        <v>26</v>
      </c>
    </row>
    <row r="127">
      <c r="A127" s="30"/>
      <c r="B127" s="31" t="s">
        <v>272</v>
      </c>
      <c r="C127" s="28" t="s">
        <v>26</v>
      </c>
    </row>
    <row r="128">
      <c r="A128" s="30"/>
      <c r="B128" s="31" t="s">
        <v>273</v>
      </c>
      <c r="C128" s="28" t="s">
        <v>26</v>
      </c>
    </row>
    <row r="129">
      <c r="A129" s="24">
        <v>13.0</v>
      </c>
      <c r="B129" s="31" t="s">
        <v>274</v>
      </c>
      <c r="C129" s="28" t="s">
        <v>26</v>
      </c>
    </row>
    <row r="130">
      <c r="A130" s="30"/>
      <c r="B130" s="31" t="s">
        <v>275</v>
      </c>
      <c r="C130" s="28" t="s">
        <v>26</v>
      </c>
    </row>
    <row r="131">
      <c r="A131" s="30"/>
      <c r="B131" s="31" t="s">
        <v>276</v>
      </c>
      <c r="C131" s="28" t="s">
        <v>26</v>
      </c>
    </row>
    <row r="132">
      <c r="A132" s="30"/>
      <c r="B132" s="31" t="s">
        <v>278</v>
      </c>
      <c r="C132" s="28" t="s">
        <v>26</v>
      </c>
    </row>
    <row r="133">
      <c r="A133" s="30"/>
      <c r="B133" s="31" t="s">
        <v>280</v>
      </c>
      <c r="C133" s="28" t="s">
        <v>26</v>
      </c>
    </row>
    <row r="134">
      <c r="A134" s="30"/>
      <c r="B134" s="31" t="s">
        <v>281</v>
      </c>
      <c r="C134" s="28" t="s">
        <v>26</v>
      </c>
    </row>
    <row r="135">
      <c r="A135" s="30"/>
      <c r="B135" s="31" t="s">
        <v>282</v>
      </c>
      <c r="C135" s="28" t="s">
        <v>26</v>
      </c>
    </row>
    <row r="136">
      <c r="A136" s="30"/>
      <c r="B136" s="31" t="s">
        <v>283</v>
      </c>
      <c r="C136" s="28" t="s">
        <v>26</v>
      </c>
    </row>
    <row r="137">
      <c r="A137" s="24">
        <v>14.0</v>
      </c>
      <c r="B137" s="31" t="s">
        <v>284</v>
      </c>
      <c r="C137" s="28" t="s">
        <v>26</v>
      </c>
    </row>
    <row r="138">
      <c r="A138" s="30"/>
      <c r="B138" s="31" t="s">
        <v>285</v>
      </c>
      <c r="C138" s="28" t="s">
        <v>26</v>
      </c>
    </row>
    <row r="139">
      <c r="A139" s="30"/>
      <c r="B139" s="31" t="s">
        <v>286</v>
      </c>
      <c r="C139" s="28" t="s">
        <v>26</v>
      </c>
    </row>
    <row r="140">
      <c r="A140" s="30"/>
      <c r="B140" s="31" t="s">
        <v>287</v>
      </c>
      <c r="C140" s="28" t="s">
        <v>26</v>
      </c>
    </row>
    <row r="141">
      <c r="A141" s="30"/>
      <c r="B141" s="31" t="s">
        <v>289</v>
      </c>
      <c r="C141" s="28" t="s">
        <v>26</v>
      </c>
    </row>
    <row r="142">
      <c r="A142" s="62">
        <v>15.0</v>
      </c>
      <c r="B142" s="63" t="s">
        <v>291</v>
      </c>
      <c r="C142" s="64" t="s">
        <v>26</v>
      </c>
    </row>
    <row r="143">
      <c r="A143" s="30"/>
      <c r="B143" s="65" t="s">
        <v>292</v>
      </c>
      <c r="C143" s="64" t="s">
        <v>26</v>
      </c>
    </row>
    <row r="144">
      <c r="A144" s="30"/>
      <c r="B144" s="66" t="s">
        <v>293</v>
      </c>
      <c r="C144" s="64" t="s">
        <v>26</v>
      </c>
    </row>
    <row r="145">
      <c r="A145" s="30"/>
      <c r="B145" s="65" t="s">
        <v>294</v>
      </c>
      <c r="C145" s="64" t="s">
        <v>26</v>
      </c>
    </row>
    <row r="146">
      <c r="A146" s="30"/>
      <c r="B146" s="65" t="s">
        <v>218</v>
      </c>
      <c r="C146" s="64" t="s">
        <v>26</v>
      </c>
    </row>
    <row r="147">
      <c r="A147" s="67">
        <v>16.0</v>
      </c>
      <c r="B147" s="68" t="s">
        <v>295</v>
      </c>
      <c r="C147" s="69" t="s">
        <v>26</v>
      </c>
    </row>
    <row r="148">
      <c r="A148" s="30"/>
      <c r="B148" s="70" t="s">
        <v>298</v>
      </c>
      <c r="C148" s="69" t="s">
        <v>26</v>
      </c>
    </row>
    <row r="149">
      <c r="A149" s="30"/>
      <c r="B149" s="70" t="s">
        <v>299</v>
      </c>
      <c r="C149" s="69" t="s">
        <v>26</v>
      </c>
    </row>
    <row r="150">
      <c r="A150" s="30"/>
      <c r="B150" s="71" t="s">
        <v>300</v>
      </c>
      <c r="C150" s="69" t="s">
        <v>26</v>
      </c>
    </row>
    <row r="151">
      <c r="A151" s="30"/>
      <c r="B151" s="70" t="s">
        <v>301</v>
      </c>
      <c r="C151" s="69" t="s">
        <v>26</v>
      </c>
    </row>
    <row r="152">
      <c r="A152" s="30"/>
      <c r="B152" s="70" t="s">
        <v>302</v>
      </c>
      <c r="C152" s="69" t="s">
        <v>26</v>
      </c>
    </row>
    <row r="153">
      <c r="A153" s="30"/>
      <c r="B153" s="70" t="s">
        <v>303</v>
      </c>
      <c r="C153" s="69" t="s">
        <v>26</v>
      </c>
    </row>
    <row r="154">
      <c r="A154" s="30"/>
      <c r="B154" s="70" t="s">
        <v>304</v>
      </c>
      <c r="C154" s="69" t="s">
        <v>26</v>
      </c>
    </row>
    <row r="155">
      <c r="A155" s="30"/>
      <c r="B155" s="70" t="s">
        <v>307</v>
      </c>
      <c r="C155" s="69" t="s">
        <v>26</v>
      </c>
    </row>
    <row r="156">
      <c r="A156" s="30"/>
      <c r="B156" s="70" t="s">
        <v>308</v>
      </c>
      <c r="C156" s="69" t="s">
        <v>26</v>
      </c>
    </row>
    <row r="157">
      <c r="A157" s="30"/>
      <c r="B157" s="70" t="s">
        <v>309</v>
      </c>
      <c r="C157" s="69" t="s">
        <v>26</v>
      </c>
    </row>
    <row r="158">
      <c r="A158" s="30"/>
      <c r="B158" s="70" t="s">
        <v>310</v>
      </c>
      <c r="C158" s="69" t="s">
        <v>26</v>
      </c>
    </row>
    <row r="159">
      <c r="A159" s="30"/>
      <c r="B159" s="70" t="s">
        <v>312</v>
      </c>
      <c r="C159" s="69" t="s">
        <v>26</v>
      </c>
    </row>
    <row r="160">
      <c r="A160" s="30"/>
      <c r="B160" s="70" t="s">
        <v>313</v>
      </c>
      <c r="C160" s="69" t="s">
        <v>26</v>
      </c>
    </row>
    <row r="161">
      <c r="A161" s="24">
        <v>17.0</v>
      </c>
      <c r="B161" s="31" t="s">
        <v>314</v>
      </c>
      <c r="C161" s="28" t="s">
        <v>26</v>
      </c>
    </row>
    <row r="162">
      <c r="A162" s="30"/>
      <c r="B162" s="31" t="s">
        <v>317</v>
      </c>
      <c r="C162" s="28" t="s">
        <v>26</v>
      </c>
    </row>
    <row r="163">
      <c r="A163" s="30"/>
      <c r="B163" s="31" t="s">
        <v>318</v>
      </c>
      <c r="C163" s="28" t="s">
        <v>26</v>
      </c>
    </row>
    <row r="164">
      <c r="A164" s="30"/>
      <c r="B164" s="31" t="s">
        <v>320</v>
      </c>
      <c r="C164" s="28" t="s">
        <v>26</v>
      </c>
    </row>
    <row r="165">
      <c r="A165" s="30"/>
      <c r="B165" s="31" t="s">
        <v>322</v>
      </c>
      <c r="C165" s="28" t="s">
        <v>26</v>
      </c>
    </row>
    <row r="166">
      <c r="A166" s="30"/>
      <c r="B166" s="31" t="s">
        <v>325</v>
      </c>
      <c r="C166" s="28" t="s">
        <v>26</v>
      </c>
    </row>
    <row r="167">
      <c r="A167" s="30"/>
      <c r="B167" s="31" t="s">
        <v>328</v>
      </c>
      <c r="C167" s="28" t="s">
        <v>26</v>
      </c>
    </row>
    <row r="168">
      <c r="A168" s="24">
        <v>18.0</v>
      </c>
      <c r="B168" s="31" t="s">
        <v>331</v>
      </c>
      <c r="C168" s="28" t="s">
        <v>26</v>
      </c>
    </row>
    <row r="169">
      <c r="A169" s="30"/>
      <c r="B169" s="31" t="s">
        <v>332</v>
      </c>
      <c r="C169" s="28" t="s">
        <v>26</v>
      </c>
    </row>
    <row r="170">
      <c r="A170" s="30"/>
      <c r="B170" s="31" t="s">
        <v>336</v>
      </c>
      <c r="C170" s="28" t="s">
        <v>26</v>
      </c>
    </row>
    <row r="171">
      <c r="A171" s="30"/>
      <c r="B171" s="31" t="s">
        <v>338</v>
      </c>
      <c r="C171" s="28" t="s">
        <v>26</v>
      </c>
    </row>
    <row r="172">
      <c r="A172" s="30"/>
      <c r="B172" s="31" t="s">
        <v>339</v>
      </c>
      <c r="C172" s="28" t="s">
        <v>26</v>
      </c>
    </row>
    <row r="173">
      <c r="A173" s="30"/>
      <c r="B173" s="31" t="s">
        <v>340</v>
      </c>
      <c r="C173" s="28" t="s">
        <v>26</v>
      </c>
    </row>
    <row r="174">
      <c r="A174" s="30"/>
      <c r="B174" s="31" t="s">
        <v>342</v>
      </c>
      <c r="C174" s="28" t="s">
        <v>26</v>
      </c>
    </row>
    <row r="175">
      <c r="A175" s="24">
        <v>19.0</v>
      </c>
      <c r="B175" s="31" t="s">
        <v>345</v>
      </c>
      <c r="C175" s="28" t="s">
        <v>26</v>
      </c>
    </row>
    <row r="176">
      <c r="A176" s="30"/>
      <c r="B176" s="31" t="s">
        <v>346</v>
      </c>
      <c r="C176" s="28" t="s">
        <v>26</v>
      </c>
    </row>
    <row r="177">
      <c r="A177" s="30"/>
      <c r="B177" s="31" t="s">
        <v>349</v>
      </c>
      <c r="C177" s="28" t="s">
        <v>26</v>
      </c>
    </row>
    <row r="178">
      <c r="A178" s="30"/>
      <c r="B178" s="31" t="s">
        <v>350</v>
      </c>
      <c r="C178" s="28" t="s">
        <v>26</v>
      </c>
    </row>
    <row r="179">
      <c r="A179" s="30"/>
      <c r="B179" s="31" t="s">
        <v>351</v>
      </c>
      <c r="C179" s="28" t="s">
        <v>26</v>
      </c>
    </row>
    <row r="180">
      <c r="A180" s="30"/>
      <c r="B180" s="31" t="s">
        <v>354</v>
      </c>
      <c r="C180" s="28" t="s">
        <v>26</v>
      </c>
    </row>
    <row r="181">
      <c r="A181" s="30"/>
      <c r="B181" s="31" t="s">
        <v>356</v>
      </c>
      <c r="C181" s="28" t="s">
        <v>26</v>
      </c>
    </row>
    <row r="182">
      <c r="A182" s="30"/>
      <c r="B182" s="31" t="s">
        <v>357</v>
      </c>
      <c r="C182" s="28" t="s">
        <v>26</v>
      </c>
    </row>
    <row r="183">
      <c r="A183" s="30"/>
      <c r="B183" s="31" t="s">
        <v>358</v>
      </c>
      <c r="C183" s="28" t="s">
        <v>26</v>
      </c>
    </row>
    <row r="184">
      <c r="A184" s="24">
        <v>20.0</v>
      </c>
      <c r="B184" s="31" t="s">
        <v>362</v>
      </c>
      <c r="C184" s="28" t="s">
        <v>26</v>
      </c>
    </row>
    <row r="185">
      <c r="A185" s="30"/>
      <c r="B185" s="31" t="s">
        <v>363</v>
      </c>
      <c r="C185" s="28" t="s">
        <v>26</v>
      </c>
    </row>
    <row r="186">
      <c r="A186" s="30"/>
      <c r="B186" s="31" t="s">
        <v>365</v>
      </c>
      <c r="C186" s="28" t="s">
        <v>26</v>
      </c>
    </row>
    <row r="187">
      <c r="A187" s="30"/>
      <c r="B187" s="31" t="s">
        <v>366</v>
      </c>
      <c r="C187" s="28" t="s">
        <v>26</v>
      </c>
    </row>
    <row r="188">
      <c r="A188" s="30"/>
      <c r="B188" s="31" t="s">
        <v>367</v>
      </c>
      <c r="C188" s="28" t="s">
        <v>26</v>
      </c>
    </row>
    <row r="189">
      <c r="A189" s="30"/>
      <c r="B189" s="31" t="s">
        <v>370</v>
      </c>
      <c r="C189" s="28" t="s">
        <v>26</v>
      </c>
    </row>
    <row r="190">
      <c r="A190" s="30"/>
      <c r="B190" s="31" t="s">
        <v>371</v>
      </c>
      <c r="C190" s="28" t="s">
        <v>26</v>
      </c>
    </row>
    <row r="191">
      <c r="A191" s="54">
        <v>21.0</v>
      </c>
      <c r="B191" s="55" t="s">
        <v>372</v>
      </c>
      <c r="C191" s="56" t="s">
        <v>26</v>
      </c>
    </row>
    <row r="192">
      <c r="A192" s="30"/>
      <c r="B192" s="57" t="s">
        <v>374</v>
      </c>
      <c r="C192" s="56" t="s">
        <v>26</v>
      </c>
    </row>
    <row r="193">
      <c r="A193" s="30"/>
      <c r="B193" s="57" t="s">
        <v>218</v>
      </c>
      <c r="C193" s="56" t="s">
        <v>26</v>
      </c>
    </row>
    <row r="194">
      <c r="A194" s="30"/>
      <c r="B194" s="57" t="s">
        <v>379</v>
      </c>
      <c r="C194" s="56" t="s">
        <v>26</v>
      </c>
    </row>
    <row r="195">
      <c r="A195" s="67">
        <v>22.0</v>
      </c>
      <c r="B195" s="68" t="s">
        <v>381</v>
      </c>
      <c r="C195" s="69" t="s">
        <v>26</v>
      </c>
    </row>
    <row r="196">
      <c r="A196" s="30"/>
      <c r="B196" s="70" t="s">
        <v>384</v>
      </c>
      <c r="C196" s="69" t="s">
        <v>26</v>
      </c>
    </row>
    <row r="197">
      <c r="A197" s="30"/>
      <c r="B197" s="70" t="s">
        <v>299</v>
      </c>
      <c r="C197" s="69" t="s">
        <v>26</v>
      </c>
    </row>
    <row r="198">
      <c r="A198" s="30"/>
      <c r="B198" s="71" t="s">
        <v>385</v>
      </c>
      <c r="C198" s="69" t="s">
        <v>26</v>
      </c>
    </row>
    <row r="199">
      <c r="A199" s="30"/>
      <c r="B199" s="70" t="s">
        <v>386</v>
      </c>
      <c r="C199" s="69" t="s">
        <v>26</v>
      </c>
    </row>
    <row r="200">
      <c r="A200" s="30"/>
      <c r="B200" s="70" t="s">
        <v>388</v>
      </c>
      <c r="C200" s="69" t="s">
        <v>26</v>
      </c>
    </row>
    <row r="201">
      <c r="A201" s="30"/>
      <c r="B201" s="70" t="s">
        <v>389</v>
      </c>
      <c r="C201" s="69" t="s">
        <v>26</v>
      </c>
    </row>
    <row r="202">
      <c r="A202" s="30"/>
      <c r="B202" s="70" t="s">
        <v>391</v>
      </c>
      <c r="C202" s="69" t="s">
        <v>26</v>
      </c>
    </row>
    <row r="203">
      <c r="A203" s="30"/>
      <c r="B203" s="70" t="s">
        <v>393</v>
      </c>
      <c r="C203" s="69" t="s">
        <v>26</v>
      </c>
    </row>
    <row r="204">
      <c r="A204" s="30"/>
      <c r="B204" s="70" t="s">
        <v>394</v>
      </c>
      <c r="C204" s="69" t="s">
        <v>26</v>
      </c>
    </row>
    <row r="205">
      <c r="A205" s="30"/>
      <c r="B205" s="70" t="s">
        <v>395</v>
      </c>
      <c r="C205" s="69" t="s">
        <v>26</v>
      </c>
    </row>
    <row r="206">
      <c r="A206" s="30"/>
      <c r="B206" s="70" t="s">
        <v>396</v>
      </c>
      <c r="C206" s="69" t="s">
        <v>26</v>
      </c>
    </row>
    <row r="207">
      <c r="A207" s="24">
        <v>23.0</v>
      </c>
      <c r="B207" s="31" t="s">
        <v>399</v>
      </c>
      <c r="C207" s="28" t="s">
        <v>26</v>
      </c>
    </row>
    <row r="208">
      <c r="A208" s="30"/>
      <c r="B208" s="31" t="s">
        <v>401</v>
      </c>
      <c r="C208" s="28" t="s">
        <v>26</v>
      </c>
    </row>
    <row r="209">
      <c r="A209" s="30"/>
      <c r="B209" s="31" t="s">
        <v>402</v>
      </c>
      <c r="C209" s="28" t="s">
        <v>26</v>
      </c>
    </row>
    <row r="210">
      <c r="A210" s="30"/>
      <c r="B210" s="31" t="s">
        <v>405</v>
      </c>
      <c r="C210" s="28" t="s">
        <v>26</v>
      </c>
    </row>
    <row r="211">
      <c r="A211" s="30"/>
      <c r="B211" s="31" t="s">
        <v>407</v>
      </c>
      <c r="C211" s="28" t="s">
        <v>26</v>
      </c>
    </row>
    <row r="212">
      <c r="A212" s="30"/>
      <c r="B212" s="31" t="s">
        <v>410</v>
      </c>
      <c r="C212" s="28" t="s">
        <v>26</v>
      </c>
    </row>
    <row r="213">
      <c r="A213" s="30"/>
      <c r="B213" s="31" t="s">
        <v>414</v>
      </c>
      <c r="C213" s="28" t="s">
        <v>26</v>
      </c>
    </row>
    <row r="214">
      <c r="A214" s="30"/>
      <c r="B214" s="31" t="s">
        <v>415</v>
      </c>
      <c r="C214" s="28" t="s">
        <v>26</v>
      </c>
    </row>
    <row r="215">
      <c r="A215" s="30"/>
      <c r="B215" s="31" t="s">
        <v>418</v>
      </c>
      <c r="C215" s="28" t="s">
        <v>26</v>
      </c>
    </row>
    <row r="216">
      <c r="A216" s="30"/>
      <c r="B216" s="31" t="s">
        <v>419</v>
      </c>
      <c r="C216" s="28" t="s">
        <v>26</v>
      </c>
    </row>
    <row r="217">
      <c r="A217" s="30"/>
      <c r="B217" s="31" t="s">
        <v>420</v>
      </c>
      <c r="C217" s="28" t="s">
        <v>26</v>
      </c>
    </row>
    <row r="218">
      <c r="A218" s="30"/>
      <c r="B218" s="31" t="s">
        <v>422</v>
      </c>
      <c r="C218" s="28" t="s">
        <v>26</v>
      </c>
    </row>
    <row r="219">
      <c r="A219" s="24">
        <v>24.0</v>
      </c>
      <c r="B219" s="31" t="s">
        <v>427</v>
      </c>
      <c r="C219" s="28" t="s">
        <v>26</v>
      </c>
    </row>
    <row r="220">
      <c r="A220" s="30"/>
      <c r="B220" s="31" t="s">
        <v>430</v>
      </c>
      <c r="C220" s="28" t="s">
        <v>26</v>
      </c>
    </row>
    <row r="221">
      <c r="A221" s="30"/>
      <c r="B221" s="31" t="s">
        <v>432</v>
      </c>
      <c r="C221" s="28" t="s">
        <v>26</v>
      </c>
    </row>
    <row r="222">
      <c r="A222" s="30"/>
      <c r="B222" s="31" t="s">
        <v>435</v>
      </c>
      <c r="C222" s="28" t="s">
        <v>26</v>
      </c>
    </row>
    <row r="223">
      <c r="A223" s="30"/>
      <c r="B223" s="31" t="s">
        <v>437</v>
      </c>
      <c r="C223" s="28" t="s">
        <v>26</v>
      </c>
    </row>
    <row r="224">
      <c r="A224" s="30"/>
      <c r="B224" s="31" t="s">
        <v>440</v>
      </c>
      <c r="C224" s="28" t="s">
        <v>26</v>
      </c>
    </row>
    <row r="225">
      <c r="A225" s="30"/>
      <c r="B225" s="31" t="s">
        <v>443</v>
      </c>
      <c r="C225" s="28" t="s">
        <v>26</v>
      </c>
    </row>
    <row r="226">
      <c r="A226" s="30"/>
      <c r="B226" s="31" t="s">
        <v>444</v>
      </c>
      <c r="C226" s="28" t="s">
        <v>26</v>
      </c>
    </row>
    <row r="227">
      <c r="A227" s="30"/>
      <c r="B227" s="31" t="s">
        <v>447</v>
      </c>
      <c r="C227" s="28" t="s">
        <v>26</v>
      </c>
    </row>
    <row r="228">
      <c r="A228" s="30"/>
      <c r="B228" s="31" t="s">
        <v>448</v>
      </c>
      <c r="C228" s="28" t="s">
        <v>26</v>
      </c>
    </row>
    <row r="229">
      <c r="A229" s="24">
        <v>25.0</v>
      </c>
      <c r="B229" s="31" t="s">
        <v>451</v>
      </c>
      <c r="C229" s="28" t="s">
        <v>26</v>
      </c>
    </row>
    <row r="230">
      <c r="A230" s="30"/>
      <c r="B230" s="31" t="s">
        <v>454</v>
      </c>
      <c r="C230" s="28" t="s">
        <v>26</v>
      </c>
    </row>
    <row r="231">
      <c r="A231" s="30"/>
      <c r="B231" s="31" t="s">
        <v>457</v>
      </c>
      <c r="C231" s="28" t="s">
        <v>26</v>
      </c>
    </row>
    <row r="232">
      <c r="A232" s="30"/>
      <c r="B232" s="31" t="s">
        <v>460</v>
      </c>
      <c r="C232" s="28" t="s">
        <v>26</v>
      </c>
    </row>
    <row r="233">
      <c r="A233" s="30"/>
      <c r="B233" s="31" t="s">
        <v>463</v>
      </c>
      <c r="C233" s="28" t="s">
        <v>26</v>
      </c>
    </row>
    <row r="234">
      <c r="A234" s="30"/>
      <c r="B234" s="31" t="s">
        <v>466</v>
      </c>
      <c r="C234" s="28" t="s">
        <v>26</v>
      </c>
    </row>
    <row r="235">
      <c r="A235" s="30"/>
      <c r="B235" s="31" t="s">
        <v>467</v>
      </c>
      <c r="C235" s="28" t="s">
        <v>26</v>
      </c>
    </row>
    <row r="236">
      <c r="A236" s="30"/>
      <c r="B236" s="31" t="s">
        <v>468</v>
      </c>
      <c r="C236" s="28" t="s">
        <v>26</v>
      </c>
    </row>
    <row r="237">
      <c r="A237" s="24">
        <v>26.0</v>
      </c>
      <c r="B237" s="31" t="s">
        <v>470</v>
      </c>
      <c r="C237" s="28" t="s">
        <v>26</v>
      </c>
    </row>
    <row r="238">
      <c r="A238" s="30"/>
      <c r="B238" s="31" t="s">
        <v>472</v>
      </c>
      <c r="C238" s="28" t="s">
        <v>26</v>
      </c>
    </row>
    <row r="239">
      <c r="A239" s="30"/>
      <c r="B239" s="31" t="s">
        <v>474</v>
      </c>
      <c r="C239" s="28" t="s">
        <v>26</v>
      </c>
    </row>
    <row r="240">
      <c r="A240" s="30"/>
      <c r="B240" s="31" t="s">
        <v>475</v>
      </c>
      <c r="C240" s="28" t="s">
        <v>26</v>
      </c>
    </row>
    <row r="241">
      <c r="A241" s="30"/>
      <c r="B241" s="31" t="s">
        <v>476</v>
      </c>
      <c r="C241" s="28" t="s">
        <v>26</v>
      </c>
    </row>
    <row r="242">
      <c r="A242" s="30"/>
      <c r="B242" s="31" t="s">
        <v>479</v>
      </c>
      <c r="C242" s="28" t="s">
        <v>26</v>
      </c>
    </row>
    <row r="243">
      <c r="A243" s="24">
        <v>27.0</v>
      </c>
      <c r="B243" s="31" t="s">
        <v>481</v>
      </c>
      <c r="C243" s="28" t="s">
        <v>26</v>
      </c>
    </row>
    <row r="244">
      <c r="A244" s="30"/>
      <c r="B244" s="31" t="s">
        <v>484</v>
      </c>
      <c r="C244" s="28" t="s">
        <v>26</v>
      </c>
    </row>
    <row r="245">
      <c r="A245" s="30"/>
      <c r="B245" s="31" t="s">
        <v>486</v>
      </c>
      <c r="C245" s="28" t="s">
        <v>26</v>
      </c>
    </row>
    <row r="246">
      <c r="A246" s="30"/>
      <c r="B246" s="31" t="s">
        <v>488</v>
      </c>
      <c r="C246" s="28" t="s">
        <v>26</v>
      </c>
    </row>
    <row r="247">
      <c r="A247" s="30"/>
      <c r="B247" s="31" t="s">
        <v>490</v>
      </c>
      <c r="C247" s="28" t="s">
        <v>26</v>
      </c>
    </row>
    <row r="248">
      <c r="A248" s="30"/>
      <c r="B248" s="31" t="s">
        <v>493</v>
      </c>
      <c r="C248" s="28" t="s">
        <v>26</v>
      </c>
    </row>
    <row r="249">
      <c r="A249" s="30"/>
      <c r="B249" s="31" t="s">
        <v>495</v>
      </c>
      <c r="C249" s="28" t="s">
        <v>26</v>
      </c>
    </row>
    <row r="250">
      <c r="A250" s="30"/>
      <c r="B250" s="31" t="s">
        <v>497</v>
      </c>
      <c r="C250" s="28" t="s">
        <v>26</v>
      </c>
    </row>
    <row r="251">
      <c r="A251" s="30"/>
      <c r="B251" s="31" t="s">
        <v>500</v>
      </c>
      <c r="C251" s="28" t="s">
        <v>26</v>
      </c>
    </row>
    <row r="252">
      <c r="A252" s="30"/>
      <c r="B252" s="31" t="s">
        <v>502</v>
      </c>
      <c r="C252" s="28" t="s">
        <v>26</v>
      </c>
    </row>
    <row r="253">
      <c r="A253" s="30"/>
      <c r="B253" s="31" t="s">
        <v>504</v>
      </c>
      <c r="C253" s="28" t="s">
        <v>26</v>
      </c>
    </row>
    <row r="254">
      <c r="A254" s="24">
        <v>28.0</v>
      </c>
      <c r="B254" s="31" t="s">
        <v>508</v>
      </c>
      <c r="C254" s="28" t="s">
        <v>26</v>
      </c>
    </row>
    <row r="255">
      <c r="A255" s="30"/>
      <c r="B255" s="31" t="s">
        <v>509</v>
      </c>
      <c r="C255" s="28" t="s">
        <v>26</v>
      </c>
    </row>
    <row r="256">
      <c r="A256" s="30"/>
      <c r="B256" s="31" t="s">
        <v>511</v>
      </c>
      <c r="C256" s="28" t="s">
        <v>26</v>
      </c>
    </row>
    <row r="257">
      <c r="A257" s="30"/>
      <c r="B257" s="31" t="s">
        <v>513</v>
      </c>
      <c r="C257" s="28" t="s">
        <v>26</v>
      </c>
    </row>
    <row r="258">
      <c r="A258" s="30"/>
      <c r="B258" s="31" t="s">
        <v>514</v>
      </c>
      <c r="C258" s="28" t="s">
        <v>26</v>
      </c>
    </row>
    <row r="259">
      <c r="A259" s="62">
        <v>29.0</v>
      </c>
      <c r="B259" s="63" t="s">
        <v>518</v>
      </c>
      <c r="C259" s="64" t="s">
        <v>26</v>
      </c>
    </row>
    <row r="260">
      <c r="A260" s="30"/>
      <c r="B260" s="65" t="s">
        <v>521</v>
      </c>
      <c r="C260" s="64" t="s">
        <v>26</v>
      </c>
    </row>
    <row r="261">
      <c r="A261" s="30"/>
      <c r="B261" s="65" t="s">
        <v>523</v>
      </c>
      <c r="C261" s="64" t="s">
        <v>26</v>
      </c>
    </row>
    <row r="262">
      <c r="A262" s="30"/>
      <c r="B262" s="66" t="s">
        <v>525</v>
      </c>
      <c r="C262" s="64" t="s">
        <v>26</v>
      </c>
    </row>
    <row r="263">
      <c r="A263" s="30"/>
      <c r="B263" s="65" t="s">
        <v>528</v>
      </c>
      <c r="C263" s="64" t="s">
        <v>26</v>
      </c>
    </row>
    <row r="264">
      <c r="A264" s="30"/>
      <c r="B264" s="65" t="s">
        <v>218</v>
      </c>
      <c r="C264" s="64" t="s">
        <v>26</v>
      </c>
    </row>
    <row r="265">
      <c r="A265" s="67">
        <v>30.0</v>
      </c>
      <c r="B265" s="68" t="s">
        <v>532</v>
      </c>
      <c r="C265" s="69" t="s">
        <v>26</v>
      </c>
    </row>
    <row r="266">
      <c r="A266" s="30"/>
      <c r="B266" s="70" t="s">
        <v>535</v>
      </c>
      <c r="C266" s="69" t="s">
        <v>26</v>
      </c>
    </row>
    <row r="267">
      <c r="A267" s="30"/>
      <c r="B267" s="70" t="s">
        <v>299</v>
      </c>
      <c r="C267" s="69" t="s">
        <v>26</v>
      </c>
    </row>
    <row r="268">
      <c r="A268" s="30"/>
      <c r="B268" s="71" t="s">
        <v>542</v>
      </c>
      <c r="C268" s="69" t="s">
        <v>26</v>
      </c>
    </row>
    <row r="269">
      <c r="A269" s="30"/>
      <c r="B269" s="70" t="s">
        <v>544</v>
      </c>
      <c r="C269" s="69" t="s">
        <v>26</v>
      </c>
    </row>
    <row r="270">
      <c r="A270" s="30"/>
      <c r="B270" s="70" t="s">
        <v>547</v>
      </c>
      <c r="C270" s="69" t="s">
        <v>26</v>
      </c>
    </row>
    <row r="271">
      <c r="A271" s="30"/>
      <c r="B271" s="70" t="s">
        <v>549</v>
      </c>
      <c r="C271" s="69" t="s">
        <v>26</v>
      </c>
    </row>
    <row r="272">
      <c r="A272" s="30"/>
      <c r="B272" s="70" t="s">
        <v>551</v>
      </c>
      <c r="C272" s="69" t="s">
        <v>26</v>
      </c>
    </row>
    <row r="273">
      <c r="A273" s="30"/>
      <c r="B273" s="70" t="s">
        <v>553</v>
      </c>
      <c r="C273" s="69" t="s">
        <v>26</v>
      </c>
    </row>
    <row r="274">
      <c r="A274" s="30"/>
      <c r="B274" s="70" t="s">
        <v>555</v>
      </c>
      <c r="C274" s="69" t="s">
        <v>26</v>
      </c>
    </row>
    <row r="275">
      <c r="A275" s="30"/>
      <c r="B275" s="70" t="s">
        <v>557</v>
      </c>
      <c r="C275" s="69" t="s">
        <v>26</v>
      </c>
    </row>
    <row r="276">
      <c r="A276" s="30"/>
      <c r="B276" s="70" t="s">
        <v>559</v>
      </c>
      <c r="C276" s="69" t="s">
        <v>26</v>
      </c>
    </row>
    <row r="277">
      <c r="A277" s="24">
        <v>31.0</v>
      </c>
      <c r="B277" s="31" t="s">
        <v>561</v>
      </c>
      <c r="C277" s="28" t="s">
        <v>26</v>
      </c>
    </row>
    <row r="278">
      <c r="A278" s="30"/>
      <c r="B278" s="31" t="s">
        <v>563</v>
      </c>
      <c r="C278" s="28" t="s">
        <v>26</v>
      </c>
    </row>
    <row r="279">
      <c r="A279" s="30"/>
      <c r="B279" s="31" t="s">
        <v>565</v>
      </c>
      <c r="C279" s="28" t="s">
        <v>26</v>
      </c>
    </row>
    <row r="280">
      <c r="A280" s="30"/>
      <c r="B280" s="31" t="s">
        <v>567</v>
      </c>
      <c r="C280" s="28" t="s">
        <v>26</v>
      </c>
    </row>
    <row r="281">
      <c r="A281" s="30"/>
      <c r="B281" s="31" t="s">
        <v>570</v>
      </c>
      <c r="C281" s="28" t="s">
        <v>26</v>
      </c>
    </row>
    <row r="282">
      <c r="A282" s="30"/>
      <c r="B282" s="31" t="s">
        <v>573</v>
      </c>
      <c r="C282" s="28" t="s">
        <v>26</v>
      </c>
    </row>
    <row r="283">
      <c r="A283" s="30"/>
      <c r="B283" s="31" t="s">
        <v>574</v>
      </c>
      <c r="C283" s="28" t="s">
        <v>26</v>
      </c>
    </row>
    <row r="284">
      <c r="A284" s="30"/>
      <c r="B284" s="31" t="s">
        <v>577</v>
      </c>
      <c r="C284" s="28" t="s">
        <v>26</v>
      </c>
    </row>
    <row r="285">
      <c r="A285" s="30"/>
      <c r="B285" s="31" t="s">
        <v>580</v>
      </c>
      <c r="C285" s="28" t="s">
        <v>26</v>
      </c>
    </row>
    <row r="286">
      <c r="A286" s="30"/>
      <c r="B286" s="31" t="s">
        <v>583</v>
      </c>
      <c r="C286" s="28" t="s">
        <v>26</v>
      </c>
    </row>
    <row r="287">
      <c r="A287" s="30"/>
      <c r="B287" s="31" t="s">
        <v>585</v>
      </c>
      <c r="C287" s="28" t="s">
        <v>26</v>
      </c>
    </row>
    <row r="288">
      <c r="A288" s="30"/>
      <c r="B288" s="31" t="s">
        <v>588</v>
      </c>
      <c r="C288" s="28" t="s">
        <v>26</v>
      </c>
    </row>
    <row r="289">
      <c r="A289" s="30"/>
      <c r="B289" s="31" t="s">
        <v>589</v>
      </c>
      <c r="C289" s="28" t="s">
        <v>26</v>
      </c>
    </row>
    <row r="290">
      <c r="A290" s="24">
        <v>32.0</v>
      </c>
      <c r="B290" s="31" t="s">
        <v>592</v>
      </c>
      <c r="C290" s="28" t="s">
        <v>26</v>
      </c>
    </row>
    <row r="291">
      <c r="A291" s="30"/>
      <c r="B291" s="31" t="s">
        <v>593</v>
      </c>
      <c r="C291" s="28" t="s">
        <v>26</v>
      </c>
    </row>
    <row r="292">
      <c r="A292" s="30"/>
      <c r="B292" s="31" t="s">
        <v>594</v>
      </c>
      <c r="C292" s="28" t="s">
        <v>26</v>
      </c>
    </row>
    <row r="293">
      <c r="A293" s="30"/>
      <c r="B293" s="31" t="s">
        <v>595</v>
      </c>
      <c r="C293" s="28" t="s">
        <v>26</v>
      </c>
    </row>
    <row r="294">
      <c r="A294" s="30"/>
      <c r="B294" s="31" t="s">
        <v>596</v>
      </c>
      <c r="C294" s="28" t="s">
        <v>26</v>
      </c>
    </row>
    <row r="295">
      <c r="A295" s="30"/>
      <c r="B295" s="31" t="s">
        <v>597</v>
      </c>
      <c r="C295" s="28" t="s">
        <v>26</v>
      </c>
    </row>
    <row r="296">
      <c r="A296" s="30"/>
      <c r="B296" s="31" t="s">
        <v>598</v>
      </c>
      <c r="C296" s="28" t="s">
        <v>26</v>
      </c>
    </row>
    <row r="297">
      <c r="A297" s="30"/>
      <c r="B297" s="31" t="s">
        <v>599</v>
      </c>
      <c r="C297" s="28" t="s">
        <v>26</v>
      </c>
    </row>
    <row r="298">
      <c r="A298" s="30"/>
      <c r="B298" s="31" t="s">
        <v>600</v>
      </c>
      <c r="C298" s="28" t="s">
        <v>26</v>
      </c>
    </row>
    <row r="299">
      <c r="A299" s="24">
        <v>33.0</v>
      </c>
      <c r="B299" s="31" t="s">
        <v>601</v>
      </c>
      <c r="C299" s="28" t="s">
        <v>26</v>
      </c>
    </row>
    <row r="300">
      <c r="A300" s="30"/>
      <c r="B300" s="31" t="s">
        <v>602</v>
      </c>
      <c r="C300" s="28" t="s">
        <v>26</v>
      </c>
    </row>
    <row r="301">
      <c r="A301" s="30"/>
      <c r="B301" s="31" t="s">
        <v>603</v>
      </c>
      <c r="C301" s="28" t="s">
        <v>26</v>
      </c>
    </row>
    <row r="302">
      <c r="A302" s="30"/>
      <c r="B302" s="31" t="s">
        <v>604</v>
      </c>
      <c r="C302" s="28" t="s">
        <v>26</v>
      </c>
    </row>
    <row r="303">
      <c r="A303" s="30"/>
      <c r="B303" s="31" t="s">
        <v>605</v>
      </c>
      <c r="C303" s="28" t="s">
        <v>26</v>
      </c>
    </row>
    <row r="304">
      <c r="A304" s="30"/>
      <c r="B304" s="31" t="s">
        <v>606</v>
      </c>
      <c r="C304" s="28" t="s">
        <v>26</v>
      </c>
    </row>
    <row r="305">
      <c r="A305" s="30"/>
      <c r="B305" s="31" t="s">
        <v>607</v>
      </c>
      <c r="C305" s="28" t="s">
        <v>26</v>
      </c>
    </row>
    <row r="306">
      <c r="A306" s="24">
        <v>34.0</v>
      </c>
      <c r="B306" s="31" t="s">
        <v>608</v>
      </c>
      <c r="C306" s="28" t="s">
        <v>26</v>
      </c>
    </row>
    <row r="307">
      <c r="A307" s="30"/>
      <c r="B307" s="31" t="s">
        <v>609</v>
      </c>
      <c r="C307" s="28" t="s">
        <v>26</v>
      </c>
    </row>
    <row r="308">
      <c r="A308" s="30"/>
      <c r="B308" s="31" t="s">
        <v>610</v>
      </c>
      <c r="C308" s="28" t="s">
        <v>26</v>
      </c>
    </row>
    <row r="309">
      <c r="A309" s="30"/>
      <c r="B309" s="31" t="s">
        <v>611</v>
      </c>
      <c r="C309" s="28" t="s">
        <v>26</v>
      </c>
    </row>
    <row r="310">
      <c r="A310" s="30"/>
      <c r="B310" s="31" t="s">
        <v>612</v>
      </c>
      <c r="C310" s="28" t="s">
        <v>26</v>
      </c>
    </row>
    <row r="311">
      <c r="A311" s="30"/>
      <c r="B311" s="31" t="s">
        <v>613</v>
      </c>
      <c r="C311" s="28" t="s">
        <v>26</v>
      </c>
    </row>
    <row r="312">
      <c r="A312" s="30"/>
      <c r="B312" s="31" t="s">
        <v>614</v>
      </c>
      <c r="C312" s="28" t="s">
        <v>26</v>
      </c>
    </row>
    <row r="313">
      <c r="A313" s="30"/>
      <c r="B313" s="31" t="s">
        <v>615</v>
      </c>
      <c r="C313" s="28" t="s">
        <v>26</v>
      </c>
    </row>
    <row r="314">
      <c r="A314" s="30"/>
      <c r="B314" s="31" t="s">
        <v>616</v>
      </c>
      <c r="C314" s="28" t="s">
        <v>26</v>
      </c>
    </row>
    <row r="315">
      <c r="A315" s="30"/>
      <c r="B315" s="31" t="s">
        <v>617</v>
      </c>
      <c r="C315" s="28" t="s">
        <v>26</v>
      </c>
    </row>
    <row r="316">
      <c r="A316" s="30"/>
      <c r="B316" s="31" t="s">
        <v>618</v>
      </c>
      <c r="C316" s="28" t="s">
        <v>26</v>
      </c>
    </row>
    <row r="317">
      <c r="A317" s="30"/>
      <c r="B317" s="31" t="s">
        <v>619</v>
      </c>
      <c r="C317" s="28" t="s">
        <v>26</v>
      </c>
    </row>
    <row r="318">
      <c r="A318" s="24">
        <v>35.0</v>
      </c>
      <c r="B318" s="31" t="s">
        <v>620</v>
      </c>
      <c r="C318" s="28" t="s">
        <v>26</v>
      </c>
    </row>
    <row r="319">
      <c r="A319" s="30"/>
      <c r="B319" s="31" t="s">
        <v>621</v>
      </c>
      <c r="C319" s="28" t="s">
        <v>26</v>
      </c>
    </row>
    <row r="320">
      <c r="A320" s="30"/>
      <c r="B320" s="31" t="s">
        <v>622</v>
      </c>
      <c r="C320" s="28" t="s">
        <v>26</v>
      </c>
    </row>
    <row r="321">
      <c r="A321" s="30"/>
      <c r="B321" s="31" t="s">
        <v>623</v>
      </c>
      <c r="C321" s="28" t="s">
        <v>26</v>
      </c>
    </row>
    <row r="322">
      <c r="A322" s="30"/>
      <c r="B322" s="31" t="s">
        <v>624</v>
      </c>
      <c r="C322" s="28" t="s">
        <v>26</v>
      </c>
    </row>
    <row r="323">
      <c r="A323" s="30"/>
      <c r="B323" s="31" t="s">
        <v>625</v>
      </c>
      <c r="C323" s="28" t="s">
        <v>26</v>
      </c>
    </row>
    <row r="324">
      <c r="A324" s="30"/>
      <c r="B324" s="31" t="s">
        <v>626</v>
      </c>
      <c r="C324" s="28" t="s">
        <v>26</v>
      </c>
    </row>
    <row r="325">
      <c r="A325" s="30"/>
      <c r="B325" s="31" t="s">
        <v>627</v>
      </c>
      <c r="C325" s="28" t="s">
        <v>26</v>
      </c>
    </row>
    <row r="326">
      <c r="A326" s="30"/>
      <c r="B326" s="31" t="s">
        <v>628</v>
      </c>
      <c r="C326" s="28" t="s">
        <v>26</v>
      </c>
    </row>
    <row r="327">
      <c r="A327" s="24">
        <v>36.0</v>
      </c>
      <c r="B327" s="31" t="s">
        <v>629</v>
      </c>
      <c r="C327" s="28" t="s">
        <v>26</v>
      </c>
    </row>
    <row r="328">
      <c r="A328" s="30"/>
      <c r="B328" s="31" t="s">
        <v>630</v>
      </c>
      <c r="C328" s="28" t="s">
        <v>26</v>
      </c>
    </row>
    <row r="329">
      <c r="A329" s="30"/>
      <c r="B329" s="31" t="s">
        <v>631</v>
      </c>
      <c r="C329" s="28" t="s">
        <v>26</v>
      </c>
    </row>
    <row r="330">
      <c r="A330" s="30"/>
      <c r="B330" s="31" t="s">
        <v>632</v>
      </c>
      <c r="C330" s="28" t="s">
        <v>26</v>
      </c>
    </row>
    <row r="331">
      <c r="A331" s="30"/>
      <c r="B331" s="31" t="s">
        <v>633</v>
      </c>
      <c r="C331" s="28" t="s">
        <v>26</v>
      </c>
    </row>
    <row r="332">
      <c r="A332" s="30"/>
      <c r="B332" s="31" t="s">
        <v>634</v>
      </c>
      <c r="C332" s="28" t="s">
        <v>26</v>
      </c>
    </row>
    <row r="333">
      <c r="A333" s="30"/>
      <c r="B333" s="31" t="s">
        <v>635</v>
      </c>
      <c r="C333" s="28" t="s">
        <v>26</v>
      </c>
    </row>
    <row r="334">
      <c r="A334" s="30"/>
      <c r="B334" s="31" t="s">
        <v>636</v>
      </c>
      <c r="C334" s="28" t="s">
        <v>26</v>
      </c>
    </row>
    <row r="335">
      <c r="A335" s="24">
        <v>37.0</v>
      </c>
      <c r="B335" s="31" t="s">
        <v>637</v>
      </c>
      <c r="C335" s="28" t="s">
        <v>26</v>
      </c>
    </row>
    <row r="336">
      <c r="A336" s="30"/>
      <c r="B336" s="31" t="s">
        <v>638</v>
      </c>
      <c r="C336" s="28" t="s">
        <v>26</v>
      </c>
    </row>
    <row r="337">
      <c r="A337" s="30"/>
      <c r="B337" s="31" t="s">
        <v>639</v>
      </c>
      <c r="C337" s="28" t="s">
        <v>26</v>
      </c>
    </row>
    <row r="338">
      <c r="A338" s="30"/>
      <c r="B338" s="31" t="s">
        <v>640</v>
      </c>
      <c r="C338" s="28" t="s">
        <v>26</v>
      </c>
    </row>
    <row r="339">
      <c r="A339" s="30"/>
      <c r="B339" s="31" t="s">
        <v>641</v>
      </c>
      <c r="C339" s="28" t="s">
        <v>26</v>
      </c>
    </row>
    <row r="340">
      <c r="A340" s="62">
        <v>38.0</v>
      </c>
      <c r="B340" s="63" t="s">
        <v>642</v>
      </c>
      <c r="C340" s="64" t="s">
        <v>26</v>
      </c>
    </row>
    <row r="341">
      <c r="A341" s="30"/>
      <c r="B341" s="65" t="s">
        <v>643</v>
      </c>
      <c r="C341" s="64" t="s">
        <v>26</v>
      </c>
    </row>
    <row r="342">
      <c r="A342" s="30"/>
      <c r="B342" s="66" t="s">
        <v>644</v>
      </c>
      <c r="C342" s="64" t="s">
        <v>26</v>
      </c>
    </row>
    <row r="343">
      <c r="A343" s="30"/>
      <c r="B343" s="65" t="s">
        <v>645</v>
      </c>
      <c r="C343" s="64" t="s">
        <v>26</v>
      </c>
    </row>
    <row r="344">
      <c r="A344" s="30"/>
      <c r="B344" s="65" t="s">
        <v>218</v>
      </c>
      <c r="C344" s="64" t="s">
        <v>26</v>
      </c>
    </row>
    <row r="345">
      <c r="A345" s="67">
        <v>39.0</v>
      </c>
      <c r="B345" s="68" t="s">
        <v>646</v>
      </c>
      <c r="C345" s="69" t="s">
        <v>26</v>
      </c>
    </row>
    <row r="346">
      <c r="A346" s="30"/>
      <c r="B346" s="70" t="s">
        <v>647</v>
      </c>
      <c r="C346" s="69" t="s">
        <v>26</v>
      </c>
    </row>
    <row r="347">
      <c r="A347" s="30"/>
      <c r="B347" s="70" t="s">
        <v>299</v>
      </c>
      <c r="C347" s="69" t="s">
        <v>26</v>
      </c>
    </row>
    <row r="348">
      <c r="A348" s="30"/>
      <c r="B348" s="71" t="s">
        <v>648</v>
      </c>
      <c r="C348" s="69" t="s">
        <v>26</v>
      </c>
    </row>
    <row r="349">
      <c r="A349" s="30"/>
      <c r="B349" s="70" t="s">
        <v>649</v>
      </c>
      <c r="C349" s="69" t="s">
        <v>26</v>
      </c>
    </row>
    <row r="350">
      <c r="A350" s="30"/>
      <c r="B350" s="70" t="s">
        <v>650</v>
      </c>
      <c r="C350" s="69" t="s">
        <v>26</v>
      </c>
    </row>
    <row r="351">
      <c r="A351" s="30"/>
      <c r="B351" s="70" t="s">
        <v>651</v>
      </c>
      <c r="C351" s="69" t="s">
        <v>26</v>
      </c>
    </row>
    <row r="352">
      <c r="A352" s="30"/>
      <c r="B352" s="70" t="s">
        <v>652</v>
      </c>
      <c r="C352" s="69" t="s">
        <v>26</v>
      </c>
    </row>
    <row r="353">
      <c r="A353" s="30"/>
      <c r="B353" s="70" t="s">
        <v>653</v>
      </c>
      <c r="C353" s="69" t="s">
        <v>26</v>
      </c>
    </row>
    <row r="354">
      <c r="A354" s="30"/>
      <c r="B354" s="70" t="s">
        <v>654</v>
      </c>
      <c r="C354" s="69" t="s">
        <v>26</v>
      </c>
    </row>
    <row r="355">
      <c r="A355" s="30"/>
      <c r="B355" s="70" t="s">
        <v>655</v>
      </c>
      <c r="C355" s="69" t="s">
        <v>26</v>
      </c>
    </row>
    <row r="356">
      <c r="A356" s="30"/>
      <c r="B356" s="70" t="s">
        <v>656</v>
      </c>
      <c r="C356" s="69" t="s">
        <v>26</v>
      </c>
    </row>
    <row r="357">
      <c r="A357" s="24">
        <v>40.0</v>
      </c>
      <c r="B357" s="31" t="s">
        <v>657</v>
      </c>
      <c r="C357" s="28" t="s">
        <v>26</v>
      </c>
    </row>
    <row r="358">
      <c r="A358" s="30"/>
      <c r="B358" s="31" t="s">
        <v>658</v>
      </c>
      <c r="C358" s="28" t="s">
        <v>26</v>
      </c>
    </row>
    <row r="359">
      <c r="A359" s="30"/>
      <c r="B359" s="31" t="s">
        <v>659</v>
      </c>
      <c r="C359" s="28" t="s">
        <v>26</v>
      </c>
    </row>
    <row r="360">
      <c r="A360" s="30"/>
      <c r="B360" s="31" t="s">
        <v>660</v>
      </c>
      <c r="C360" s="28" t="s">
        <v>26</v>
      </c>
    </row>
    <row r="361">
      <c r="A361" s="30"/>
      <c r="B361" s="31" t="s">
        <v>661</v>
      </c>
      <c r="C361" s="28" t="s">
        <v>26</v>
      </c>
    </row>
    <row r="362">
      <c r="A362" s="30"/>
      <c r="B362" s="31" t="s">
        <v>662</v>
      </c>
      <c r="C362" s="28" t="s">
        <v>26</v>
      </c>
    </row>
    <row r="363">
      <c r="A363" s="30"/>
      <c r="B363" s="31" t="s">
        <v>663</v>
      </c>
      <c r="C363" s="28" t="s">
        <v>26</v>
      </c>
    </row>
    <row r="364">
      <c r="A364" s="30"/>
      <c r="B364" s="31" t="s">
        <v>664</v>
      </c>
      <c r="C364" s="28" t="s">
        <v>26</v>
      </c>
    </row>
    <row r="365">
      <c r="A365" s="30"/>
      <c r="B365" s="31" t="s">
        <v>665</v>
      </c>
      <c r="C365" s="28" t="s">
        <v>26</v>
      </c>
    </row>
    <row r="366">
      <c r="A366" s="30"/>
      <c r="B366" s="31" t="s">
        <v>666</v>
      </c>
      <c r="C366" s="28" t="s">
        <v>26</v>
      </c>
    </row>
    <row r="367">
      <c r="A367" s="30"/>
      <c r="B367" s="31" t="s">
        <v>667</v>
      </c>
      <c r="C367" s="28" t="s">
        <v>26</v>
      </c>
    </row>
    <row r="368">
      <c r="A368" s="24">
        <v>41.0</v>
      </c>
      <c r="B368" s="31" t="s">
        <v>668</v>
      </c>
      <c r="C368" s="28" t="s">
        <v>26</v>
      </c>
    </row>
    <row r="369">
      <c r="A369" s="30"/>
      <c r="B369" s="31" t="s">
        <v>669</v>
      </c>
      <c r="C369" s="28" t="s">
        <v>26</v>
      </c>
    </row>
    <row r="370">
      <c r="A370" s="30"/>
      <c r="B370" s="31" t="s">
        <v>670</v>
      </c>
      <c r="C370" s="28" t="s">
        <v>26</v>
      </c>
    </row>
    <row r="371">
      <c r="A371" s="30"/>
      <c r="B371" s="31" t="s">
        <v>671</v>
      </c>
      <c r="C371" s="28" t="s">
        <v>26</v>
      </c>
    </row>
    <row r="372">
      <c r="A372" s="30"/>
      <c r="B372" s="31" t="s">
        <v>672</v>
      </c>
      <c r="C372" s="28" t="s">
        <v>26</v>
      </c>
    </row>
    <row r="373">
      <c r="A373" s="30"/>
      <c r="B373" s="31" t="s">
        <v>673</v>
      </c>
      <c r="C373" s="28" t="s">
        <v>26</v>
      </c>
    </row>
    <row r="374">
      <c r="A374" s="30"/>
      <c r="B374" s="31" t="s">
        <v>674</v>
      </c>
      <c r="C374" s="28" t="s">
        <v>26</v>
      </c>
    </row>
    <row r="375">
      <c r="A375" s="30"/>
      <c r="B375" s="31" t="s">
        <v>675</v>
      </c>
      <c r="C375" s="28" t="s">
        <v>26</v>
      </c>
    </row>
    <row r="376">
      <c r="A376" s="30"/>
      <c r="B376" s="31" t="s">
        <v>676</v>
      </c>
      <c r="C376" s="28" t="s">
        <v>26</v>
      </c>
    </row>
    <row r="377">
      <c r="A377" s="30"/>
      <c r="B377" s="31" t="s">
        <v>677</v>
      </c>
      <c r="C377" s="28" t="s">
        <v>26</v>
      </c>
    </row>
    <row r="378">
      <c r="A378" s="24">
        <v>42.0</v>
      </c>
      <c r="B378" s="31" t="s">
        <v>678</v>
      </c>
      <c r="C378" s="28" t="s">
        <v>26</v>
      </c>
    </row>
    <row r="379">
      <c r="A379" s="30"/>
      <c r="B379" s="31" t="s">
        <v>679</v>
      </c>
      <c r="C379" s="28" t="s">
        <v>26</v>
      </c>
    </row>
    <row r="380">
      <c r="A380" s="30"/>
      <c r="B380" s="31" t="s">
        <v>680</v>
      </c>
      <c r="C380" s="28" t="s">
        <v>26</v>
      </c>
    </row>
    <row r="381">
      <c r="A381" s="30"/>
      <c r="B381" s="31" t="s">
        <v>681</v>
      </c>
      <c r="C381" s="28" t="s">
        <v>26</v>
      </c>
    </row>
    <row r="382">
      <c r="A382" s="30"/>
      <c r="B382" s="31" t="s">
        <v>682</v>
      </c>
      <c r="C382" s="28" t="s">
        <v>26</v>
      </c>
    </row>
    <row r="383">
      <c r="A383" s="30"/>
      <c r="B383" s="31" t="s">
        <v>683</v>
      </c>
      <c r="C383" s="28" t="s">
        <v>26</v>
      </c>
    </row>
    <row r="384">
      <c r="A384" s="30"/>
      <c r="B384" s="31" t="s">
        <v>684</v>
      </c>
      <c r="C384" s="28" t="s">
        <v>26</v>
      </c>
    </row>
    <row r="385">
      <c r="A385" s="30"/>
      <c r="B385" s="31" t="s">
        <v>685</v>
      </c>
      <c r="C385" s="28" t="s">
        <v>26</v>
      </c>
    </row>
    <row r="386">
      <c r="A386" s="30"/>
      <c r="B386" s="31" t="s">
        <v>686</v>
      </c>
      <c r="C386" s="28" t="s">
        <v>26</v>
      </c>
    </row>
    <row r="387">
      <c r="A387" s="30"/>
      <c r="B387" s="31" t="s">
        <v>687</v>
      </c>
      <c r="C387" s="28" t="s">
        <v>26</v>
      </c>
    </row>
    <row r="388">
      <c r="A388" s="30"/>
      <c r="B388" s="31" t="s">
        <v>688</v>
      </c>
      <c r="C388" s="28" t="s">
        <v>26</v>
      </c>
    </row>
    <row r="389">
      <c r="A389" s="81">
        <v>43.0</v>
      </c>
      <c r="B389" s="82" t="s">
        <v>689</v>
      </c>
      <c r="C389" s="83" t="s">
        <v>26</v>
      </c>
    </row>
    <row r="390">
      <c r="A390" s="30"/>
      <c r="B390" s="84" t="s">
        <v>690</v>
      </c>
      <c r="C390" s="83" t="s">
        <v>26</v>
      </c>
    </row>
    <row r="391">
      <c r="A391" s="30"/>
      <c r="B391" s="84" t="s">
        <v>299</v>
      </c>
      <c r="C391" s="83" t="s">
        <v>26</v>
      </c>
    </row>
    <row r="392">
      <c r="A392" s="30"/>
      <c r="B392" s="85" t="s">
        <v>691</v>
      </c>
      <c r="C392" s="83" t="s">
        <v>26</v>
      </c>
    </row>
    <row r="393">
      <c r="A393" s="30"/>
      <c r="B393" s="84" t="s">
        <v>692</v>
      </c>
      <c r="C393" s="83" t="s">
        <v>26</v>
      </c>
    </row>
    <row r="394">
      <c r="A394" s="30"/>
      <c r="B394" s="84" t="s">
        <v>693</v>
      </c>
      <c r="C394" s="83" t="s">
        <v>26</v>
      </c>
    </row>
    <row r="395">
      <c r="A395" s="30"/>
      <c r="B395" s="84" t="s">
        <v>694</v>
      </c>
      <c r="C395" s="83" t="s">
        <v>26</v>
      </c>
    </row>
    <row r="396">
      <c r="A396" s="81">
        <v>44.0</v>
      </c>
      <c r="B396" s="85" t="s">
        <v>695</v>
      </c>
      <c r="C396" s="83" t="s">
        <v>26</v>
      </c>
    </row>
    <row r="397">
      <c r="A397" s="30"/>
      <c r="B397" s="84" t="s">
        <v>696</v>
      </c>
      <c r="C397" s="83" t="s">
        <v>26</v>
      </c>
    </row>
    <row r="398">
      <c r="A398" s="30"/>
      <c r="B398" s="84" t="s">
        <v>697</v>
      </c>
      <c r="C398" s="83" t="s">
        <v>26</v>
      </c>
    </row>
    <row r="399">
      <c r="A399" s="30"/>
      <c r="B399" s="84" t="s">
        <v>698</v>
      </c>
      <c r="C399" s="83" t="s">
        <v>26</v>
      </c>
    </row>
    <row r="400">
      <c r="A400" s="81">
        <v>45.0</v>
      </c>
      <c r="B400" s="85" t="s">
        <v>699</v>
      </c>
      <c r="C400" s="86"/>
    </row>
    <row r="401">
      <c r="A401" s="30"/>
      <c r="B401" s="84" t="s">
        <v>700</v>
      </c>
      <c r="C401" s="86"/>
    </row>
    <row r="402">
      <c r="A402" s="30"/>
      <c r="B402" s="84" t="s">
        <v>701</v>
      </c>
      <c r="C402" s="86"/>
    </row>
    <row r="403">
      <c r="A403" s="30"/>
      <c r="B403" s="84" t="s">
        <v>702</v>
      </c>
      <c r="C403" s="86"/>
    </row>
    <row r="404">
      <c r="A404" s="87"/>
    </row>
    <row r="405">
      <c r="A405" s="87"/>
    </row>
    <row r="406">
      <c r="A406" s="87"/>
    </row>
    <row r="407">
      <c r="A407" s="87"/>
    </row>
    <row r="408">
      <c r="A408" s="87"/>
    </row>
    <row r="409">
      <c r="A409" s="87"/>
    </row>
    <row r="410">
      <c r="A410" s="87"/>
    </row>
    <row r="411">
      <c r="A411" s="87"/>
    </row>
    <row r="412">
      <c r="A412" s="87"/>
    </row>
    <row r="413">
      <c r="A413" s="87"/>
    </row>
    <row r="414">
      <c r="A414" s="87"/>
    </row>
    <row r="415">
      <c r="A415" s="87"/>
    </row>
    <row r="416">
      <c r="A416" s="87"/>
    </row>
    <row r="417">
      <c r="A417" s="87"/>
    </row>
    <row r="418">
      <c r="A418" s="87"/>
    </row>
    <row r="419">
      <c r="A419" s="87"/>
    </row>
    <row r="420">
      <c r="A420" s="87"/>
    </row>
    <row r="421">
      <c r="A421" s="87"/>
    </row>
    <row r="422">
      <c r="A422" s="87"/>
    </row>
    <row r="423">
      <c r="A423" s="87"/>
    </row>
    <row r="424">
      <c r="A424" s="87"/>
    </row>
    <row r="425">
      <c r="A425" s="87"/>
    </row>
    <row r="426">
      <c r="A426" s="87"/>
    </row>
    <row r="427">
      <c r="A427" s="87"/>
    </row>
    <row r="428">
      <c r="A428" s="87"/>
    </row>
    <row r="429">
      <c r="A429" s="87"/>
    </row>
    <row r="430">
      <c r="A430" s="87"/>
    </row>
    <row r="431">
      <c r="A431" s="87"/>
    </row>
    <row r="432">
      <c r="A432" s="87"/>
    </row>
    <row r="433">
      <c r="A433" s="87"/>
    </row>
    <row r="434">
      <c r="A434" s="87"/>
    </row>
    <row r="435">
      <c r="A435" s="87"/>
    </row>
    <row r="436">
      <c r="A436" s="87"/>
    </row>
    <row r="437">
      <c r="A437" s="87"/>
    </row>
    <row r="438">
      <c r="A438" s="87"/>
    </row>
    <row r="439">
      <c r="A439" s="87"/>
    </row>
    <row r="440">
      <c r="A440" s="87"/>
    </row>
    <row r="441">
      <c r="A441" s="87"/>
    </row>
    <row r="442">
      <c r="A442" s="87"/>
    </row>
    <row r="443">
      <c r="A443" s="87"/>
    </row>
    <row r="444">
      <c r="A444" s="87"/>
    </row>
    <row r="445">
      <c r="A445" s="87"/>
    </row>
    <row r="446">
      <c r="A446" s="87"/>
    </row>
    <row r="447">
      <c r="A447" s="87"/>
    </row>
    <row r="448">
      <c r="A448" s="87"/>
    </row>
    <row r="449">
      <c r="A449" s="87"/>
    </row>
    <row r="450">
      <c r="A450" s="87"/>
    </row>
    <row r="451">
      <c r="A451" s="87"/>
    </row>
    <row r="452">
      <c r="A452" s="87"/>
    </row>
    <row r="453">
      <c r="A453" s="87"/>
    </row>
    <row r="454">
      <c r="A454" s="87"/>
    </row>
    <row r="455">
      <c r="A455" s="87"/>
    </row>
    <row r="456">
      <c r="A456" s="87"/>
    </row>
    <row r="457">
      <c r="A457" s="87"/>
    </row>
    <row r="458">
      <c r="A458" s="87"/>
    </row>
    <row r="459">
      <c r="A459" s="87"/>
    </row>
    <row r="460">
      <c r="A460" s="87"/>
    </row>
    <row r="461">
      <c r="A461" s="87"/>
    </row>
    <row r="462">
      <c r="A462" s="87"/>
    </row>
    <row r="463">
      <c r="A463" s="87"/>
    </row>
    <row r="464">
      <c r="A464" s="87"/>
    </row>
    <row r="465">
      <c r="A465" s="87"/>
    </row>
    <row r="466">
      <c r="A466" s="87"/>
    </row>
    <row r="467">
      <c r="A467" s="87"/>
    </row>
    <row r="468">
      <c r="A468" s="87"/>
    </row>
    <row r="469">
      <c r="A469" s="87"/>
    </row>
    <row r="470">
      <c r="A470" s="87"/>
    </row>
    <row r="471">
      <c r="A471" s="87"/>
    </row>
    <row r="472">
      <c r="A472" s="87"/>
    </row>
    <row r="473">
      <c r="A473" s="87"/>
    </row>
    <row r="474">
      <c r="A474" s="87"/>
    </row>
    <row r="475">
      <c r="A475" s="87"/>
    </row>
    <row r="476">
      <c r="A476" s="87"/>
    </row>
    <row r="477">
      <c r="A477" s="87"/>
    </row>
    <row r="478">
      <c r="A478" s="87"/>
    </row>
    <row r="479">
      <c r="A479" s="87"/>
    </row>
    <row r="480">
      <c r="A480" s="87"/>
    </row>
    <row r="481">
      <c r="A481" s="87"/>
    </row>
    <row r="482">
      <c r="A482" s="87"/>
    </row>
    <row r="483">
      <c r="A483" s="87"/>
    </row>
    <row r="484">
      <c r="A484" s="87"/>
    </row>
    <row r="485">
      <c r="A485" s="87"/>
    </row>
    <row r="486">
      <c r="A486" s="87"/>
    </row>
    <row r="487">
      <c r="A487" s="87"/>
    </row>
    <row r="488">
      <c r="A488" s="87"/>
    </row>
    <row r="489">
      <c r="A489" s="87"/>
    </row>
    <row r="490">
      <c r="A490" s="87"/>
    </row>
    <row r="491">
      <c r="A491" s="87"/>
    </row>
    <row r="492">
      <c r="A492" s="87"/>
    </row>
    <row r="493">
      <c r="A493" s="87"/>
    </row>
    <row r="494">
      <c r="A494" s="87"/>
    </row>
    <row r="495">
      <c r="A495" s="87"/>
    </row>
    <row r="496">
      <c r="A496" s="87"/>
    </row>
    <row r="497">
      <c r="A497" s="87"/>
    </row>
    <row r="498">
      <c r="A498" s="87"/>
    </row>
    <row r="499">
      <c r="A499" s="87"/>
    </row>
    <row r="500">
      <c r="A500" s="87"/>
    </row>
    <row r="501">
      <c r="A501" s="87"/>
    </row>
    <row r="502">
      <c r="A502" s="87"/>
    </row>
    <row r="503">
      <c r="A503" s="87"/>
    </row>
    <row r="504">
      <c r="A504" s="87"/>
    </row>
    <row r="505">
      <c r="A505" s="87"/>
    </row>
    <row r="506">
      <c r="A506" s="87"/>
    </row>
    <row r="507">
      <c r="A507" s="87"/>
    </row>
    <row r="508">
      <c r="A508" s="87"/>
    </row>
    <row r="509">
      <c r="A509" s="87"/>
    </row>
    <row r="510">
      <c r="A510" s="87"/>
    </row>
    <row r="511">
      <c r="A511" s="87"/>
    </row>
    <row r="512">
      <c r="A512" s="87"/>
    </row>
    <row r="513">
      <c r="A513" s="87"/>
    </row>
    <row r="514">
      <c r="A514" s="87"/>
    </row>
    <row r="515">
      <c r="A515" s="87"/>
    </row>
    <row r="516">
      <c r="A516" s="87"/>
    </row>
    <row r="517">
      <c r="A517" s="87"/>
    </row>
    <row r="518">
      <c r="A518" s="87"/>
    </row>
    <row r="519">
      <c r="A519" s="87"/>
    </row>
    <row r="520">
      <c r="A520" s="87"/>
    </row>
    <row r="521">
      <c r="A521" s="87"/>
    </row>
    <row r="522">
      <c r="A522" s="87"/>
    </row>
    <row r="523">
      <c r="A523" s="87"/>
    </row>
    <row r="524">
      <c r="A524" s="87"/>
    </row>
    <row r="525">
      <c r="A525" s="87"/>
    </row>
    <row r="526">
      <c r="A526" s="87"/>
    </row>
    <row r="527">
      <c r="A527" s="87"/>
    </row>
    <row r="528">
      <c r="A528" s="87"/>
    </row>
    <row r="529">
      <c r="A529" s="87"/>
    </row>
    <row r="530">
      <c r="A530" s="87"/>
    </row>
    <row r="531">
      <c r="A531" s="87"/>
    </row>
    <row r="532">
      <c r="A532" s="87"/>
    </row>
    <row r="533">
      <c r="A533" s="87"/>
    </row>
    <row r="534">
      <c r="A534" s="87"/>
    </row>
    <row r="535">
      <c r="A535" s="87"/>
    </row>
    <row r="536">
      <c r="A536" s="87"/>
    </row>
    <row r="537">
      <c r="A537" s="87"/>
    </row>
    <row r="538">
      <c r="A538" s="87"/>
    </row>
    <row r="539">
      <c r="A539" s="87"/>
    </row>
    <row r="540">
      <c r="A540" s="87"/>
    </row>
    <row r="541">
      <c r="A541" s="87"/>
    </row>
    <row r="542">
      <c r="A542" s="87"/>
    </row>
    <row r="543">
      <c r="A543" s="87"/>
    </row>
    <row r="544">
      <c r="A544" s="87"/>
    </row>
    <row r="545">
      <c r="A545" s="87"/>
    </row>
    <row r="546">
      <c r="A546" s="87"/>
    </row>
    <row r="547">
      <c r="A547" s="87"/>
    </row>
    <row r="548">
      <c r="A548" s="87"/>
    </row>
    <row r="549">
      <c r="A549" s="87"/>
    </row>
    <row r="550">
      <c r="A550" s="87"/>
    </row>
    <row r="551">
      <c r="A551" s="87"/>
    </row>
    <row r="552">
      <c r="A552" s="87"/>
    </row>
    <row r="553">
      <c r="A553" s="87"/>
    </row>
    <row r="554">
      <c r="A554" s="87"/>
    </row>
    <row r="555">
      <c r="A555" s="87"/>
    </row>
    <row r="556">
      <c r="A556" s="87"/>
    </row>
    <row r="557">
      <c r="A557" s="87"/>
    </row>
    <row r="558">
      <c r="A558" s="87"/>
    </row>
    <row r="559">
      <c r="A559" s="87"/>
    </row>
    <row r="560">
      <c r="A560" s="87"/>
    </row>
    <row r="561">
      <c r="A561" s="87"/>
    </row>
    <row r="562">
      <c r="A562" s="87"/>
    </row>
    <row r="563">
      <c r="A563" s="87"/>
    </row>
    <row r="564">
      <c r="A564" s="87"/>
    </row>
    <row r="565">
      <c r="A565" s="87"/>
    </row>
    <row r="566">
      <c r="A566" s="87"/>
    </row>
    <row r="567">
      <c r="A567" s="87"/>
    </row>
    <row r="568">
      <c r="A568" s="87"/>
    </row>
    <row r="569">
      <c r="A569" s="87"/>
    </row>
    <row r="570">
      <c r="A570" s="87"/>
    </row>
    <row r="571">
      <c r="A571" s="87"/>
    </row>
    <row r="572">
      <c r="A572" s="87"/>
    </row>
    <row r="573">
      <c r="A573" s="87"/>
    </row>
    <row r="574">
      <c r="A574" s="87"/>
    </row>
    <row r="575">
      <c r="A575" s="87"/>
    </row>
    <row r="576">
      <c r="A576" s="87"/>
    </row>
    <row r="577">
      <c r="A577" s="87"/>
    </row>
    <row r="578">
      <c r="A578" s="87"/>
    </row>
    <row r="579">
      <c r="A579" s="87"/>
    </row>
    <row r="580">
      <c r="A580" s="87"/>
    </row>
    <row r="581">
      <c r="A581" s="87"/>
    </row>
    <row r="582">
      <c r="A582" s="87"/>
    </row>
    <row r="583">
      <c r="A583" s="87"/>
    </row>
    <row r="584">
      <c r="A584" s="87"/>
    </row>
    <row r="585">
      <c r="A585" s="87"/>
    </row>
    <row r="586">
      <c r="A586" s="87"/>
    </row>
    <row r="587">
      <c r="A587" s="87"/>
    </row>
    <row r="588">
      <c r="A588" s="87"/>
    </row>
    <row r="589">
      <c r="A589" s="87"/>
    </row>
    <row r="590">
      <c r="A590" s="87"/>
    </row>
    <row r="591">
      <c r="A591" s="87"/>
    </row>
    <row r="592">
      <c r="A592" s="87"/>
    </row>
    <row r="593">
      <c r="A593" s="87"/>
    </row>
    <row r="594">
      <c r="A594" s="87"/>
    </row>
    <row r="595">
      <c r="A595" s="87"/>
    </row>
    <row r="596">
      <c r="A596" s="87"/>
    </row>
    <row r="597">
      <c r="A597" s="87"/>
    </row>
    <row r="598">
      <c r="A598" s="87"/>
    </row>
    <row r="599">
      <c r="A599" s="87"/>
    </row>
    <row r="600">
      <c r="A600" s="87"/>
    </row>
    <row r="601">
      <c r="A601" s="87"/>
    </row>
    <row r="602">
      <c r="A602" s="87"/>
    </row>
    <row r="603">
      <c r="A603" s="87"/>
    </row>
    <row r="604">
      <c r="A604" s="87"/>
    </row>
    <row r="605">
      <c r="A605" s="87"/>
    </row>
    <row r="606">
      <c r="A606" s="87"/>
    </row>
    <row r="607">
      <c r="A607" s="87"/>
    </row>
    <row r="608">
      <c r="A608" s="87"/>
    </row>
    <row r="609">
      <c r="A609" s="87"/>
    </row>
    <row r="610">
      <c r="A610" s="87"/>
    </row>
    <row r="611">
      <c r="A611" s="87"/>
    </row>
    <row r="612">
      <c r="A612" s="87"/>
    </row>
    <row r="613">
      <c r="A613" s="87"/>
    </row>
    <row r="614">
      <c r="A614" s="87"/>
    </row>
    <row r="615">
      <c r="A615" s="87"/>
    </row>
    <row r="616">
      <c r="A616" s="87"/>
    </row>
    <row r="617">
      <c r="A617" s="87"/>
    </row>
    <row r="618">
      <c r="A618" s="87"/>
    </row>
    <row r="619">
      <c r="A619" s="87"/>
    </row>
    <row r="620">
      <c r="A620" s="87"/>
    </row>
    <row r="621">
      <c r="A621" s="87"/>
    </row>
    <row r="622">
      <c r="A622" s="87"/>
    </row>
    <row r="623">
      <c r="A623" s="87"/>
    </row>
    <row r="624">
      <c r="A624" s="87"/>
    </row>
    <row r="625">
      <c r="A625" s="87"/>
    </row>
    <row r="626">
      <c r="A626" s="87"/>
    </row>
    <row r="627">
      <c r="A627" s="87"/>
    </row>
    <row r="628">
      <c r="A628" s="87"/>
    </row>
    <row r="629">
      <c r="A629" s="87"/>
    </row>
    <row r="630">
      <c r="A630" s="87"/>
    </row>
    <row r="631">
      <c r="A631" s="87"/>
    </row>
    <row r="632">
      <c r="A632" s="87"/>
    </row>
    <row r="633">
      <c r="A633" s="87"/>
    </row>
    <row r="634">
      <c r="A634" s="87"/>
    </row>
    <row r="635">
      <c r="A635" s="87"/>
    </row>
    <row r="636">
      <c r="A636" s="87"/>
    </row>
    <row r="637">
      <c r="A637" s="87"/>
    </row>
    <row r="638">
      <c r="A638" s="87"/>
    </row>
    <row r="639">
      <c r="A639" s="87"/>
    </row>
    <row r="640">
      <c r="A640" s="87"/>
    </row>
    <row r="641">
      <c r="A641" s="87"/>
    </row>
    <row r="642">
      <c r="A642" s="87"/>
    </row>
    <row r="643">
      <c r="A643" s="87"/>
    </row>
    <row r="644">
      <c r="A644" s="87"/>
    </row>
    <row r="645">
      <c r="A645" s="87"/>
    </row>
    <row r="646">
      <c r="A646" s="87"/>
    </row>
    <row r="647">
      <c r="A647" s="87"/>
    </row>
    <row r="648">
      <c r="A648" s="87"/>
    </row>
    <row r="649">
      <c r="A649" s="87"/>
    </row>
    <row r="650">
      <c r="A650" s="87"/>
    </row>
    <row r="651">
      <c r="A651" s="87"/>
    </row>
    <row r="652">
      <c r="A652" s="87"/>
    </row>
    <row r="653">
      <c r="A653" s="87"/>
    </row>
    <row r="654">
      <c r="A654" s="87"/>
    </row>
    <row r="655">
      <c r="A655" s="87"/>
    </row>
    <row r="656">
      <c r="A656" s="87"/>
    </row>
    <row r="657">
      <c r="A657" s="87"/>
    </row>
    <row r="658">
      <c r="A658" s="87"/>
    </row>
    <row r="659">
      <c r="A659" s="87"/>
    </row>
    <row r="660">
      <c r="A660" s="87"/>
    </row>
    <row r="661">
      <c r="A661" s="87"/>
    </row>
    <row r="662">
      <c r="A662" s="87"/>
    </row>
    <row r="663">
      <c r="A663" s="87"/>
    </row>
    <row r="664">
      <c r="A664" s="87"/>
    </row>
    <row r="665">
      <c r="A665" s="87"/>
    </row>
    <row r="666">
      <c r="A666" s="87"/>
    </row>
    <row r="667">
      <c r="A667" s="87"/>
    </row>
    <row r="668">
      <c r="A668" s="87"/>
    </row>
    <row r="669">
      <c r="A669" s="87"/>
    </row>
    <row r="670">
      <c r="A670" s="87"/>
    </row>
    <row r="671">
      <c r="A671" s="87"/>
    </row>
    <row r="672">
      <c r="A672" s="87"/>
    </row>
    <row r="673">
      <c r="A673" s="87"/>
    </row>
    <row r="674">
      <c r="A674" s="87"/>
    </row>
    <row r="675">
      <c r="A675" s="87"/>
    </row>
    <row r="676">
      <c r="A676" s="87"/>
    </row>
    <row r="677">
      <c r="A677" s="87"/>
    </row>
    <row r="678">
      <c r="A678" s="87"/>
    </row>
    <row r="679">
      <c r="A679" s="87"/>
    </row>
    <row r="680">
      <c r="A680" s="87"/>
    </row>
    <row r="681">
      <c r="A681" s="87"/>
    </row>
    <row r="682">
      <c r="A682" s="87"/>
    </row>
    <row r="683">
      <c r="A683" s="87"/>
    </row>
    <row r="684">
      <c r="A684" s="87"/>
    </row>
    <row r="685">
      <c r="A685" s="87"/>
    </row>
    <row r="686">
      <c r="A686" s="87"/>
    </row>
    <row r="687">
      <c r="A687" s="87"/>
    </row>
    <row r="688">
      <c r="A688" s="87"/>
    </row>
    <row r="689">
      <c r="A689" s="87"/>
    </row>
    <row r="690">
      <c r="A690" s="87"/>
    </row>
    <row r="691">
      <c r="A691" s="87"/>
    </row>
    <row r="692">
      <c r="A692" s="87"/>
    </row>
    <row r="693">
      <c r="A693" s="87"/>
    </row>
    <row r="694">
      <c r="A694" s="87"/>
    </row>
    <row r="695">
      <c r="A695" s="87"/>
    </row>
    <row r="696">
      <c r="A696" s="87"/>
    </row>
    <row r="697">
      <c r="A697" s="87"/>
    </row>
    <row r="698">
      <c r="A698" s="87"/>
    </row>
    <row r="699">
      <c r="A699" s="87"/>
    </row>
    <row r="700">
      <c r="A700" s="87"/>
    </row>
    <row r="701">
      <c r="A701" s="87"/>
    </row>
    <row r="702">
      <c r="A702" s="87"/>
    </row>
    <row r="703">
      <c r="A703" s="87"/>
    </row>
    <row r="704">
      <c r="A704" s="87"/>
    </row>
    <row r="705">
      <c r="A705" s="87"/>
    </row>
    <row r="706">
      <c r="A706" s="87"/>
    </row>
    <row r="707">
      <c r="A707" s="87"/>
    </row>
    <row r="708">
      <c r="A708" s="87"/>
    </row>
    <row r="709">
      <c r="A709" s="87"/>
    </row>
    <row r="710">
      <c r="A710" s="87"/>
    </row>
    <row r="711">
      <c r="A711" s="87"/>
    </row>
    <row r="712">
      <c r="A712" s="87"/>
    </row>
    <row r="713">
      <c r="A713" s="87"/>
    </row>
    <row r="714">
      <c r="A714" s="87"/>
    </row>
    <row r="715">
      <c r="A715" s="87"/>
    </row>
    <row r="716">
      <c r="A716" s="87"/>
    </row>
    <row r="717">
      <c r="A717" s="87"/>
    </row>
    <row r="718">
      <c r="A718" s="87"/>
    </row>
    <row r="719">
      <c r="A719" s="87"/>
    </row>
    <row r="720">
      <c r="A720" s="87"/>
    </row>
    <row r="721">
      <c r="A721" s="87"/>
    </row>
    <row r="722">
      <c r="A722" s="87"/>
    </row>
    <row r="723">
      <c r="A723" s="87"/>
    </row>
    <row r="724">
      <c r="A724" s="87"/>
    </row>
    <row r="725">
      <c r="A725" s="87"/>
    </row>
    <row r="726">
      <c r="A726" s="87"/>
    </row>
    <row r="727">
      <c r="A727" s="87"/>
    </row>
    <row r="728">
      <c r="A728" s="87"/>
    </row>
    <row r="729">
      <c r="A729" s="87"/>
    </row>
    <row r="730">
      <c r="A730" s="87"/>
    </row>
    <row r="731">
      <c r="A731" s="87"/>
    </row>
    <row r="732">
      <c r="A732" s="87"/>
    </row>
    <row r="733">
      <c r="A733" s="87"/>
    </row>
    <row r="734">
      <c r="A734" s="87"/>
    </row>
    <row r="735">
      <c r="A735" s="87"/>
    </row>
    <row r="736">
      <c r="A736" s="87"/>
    </row>
    <row r="737">
      <c r="A737" s="87"/>
    </row>
    <row r="738">
      <c r="A738" s="87"/>
    </row>
    <row r="739">
      <c r="A739" s="87"/>
    </row>
    <row r="740">
      <c r="A740" s="87"/>
    </row>
    <row r="741">
      <c r="A741" s="87"/>
    </row>
    <row r="742">
      <c r="A742" s="87"/>
    </row>
    <row r="743">
      <c r="A743" s="87"/>
    </row>
    <row r="744">
      <c r="A744" s="87"/>
    </row>
    <row r="745">
      <c r="A745" s="87"/>
    </row>
    <row r="746">
      <c r="A746" s="87"/>
    </row>
    <row r="747">
      <c r="A747" s="87"/>
    </row>
    <row r="748">
      <c r="A748" s="87"/>
    </row>
    <row r="749">
      <c r="A749" s="87"/>
    </row>
    <row r="750">
      <c r="A750" s="87"/>
    </row>
    <row r="751">
      <c r="A751" s="87"/>
    </row>
    <row r="752">
      <c r="A752" s="87"/>
    </row>
    <row r="753">
      <c r="A753" s="87"/>
    </row>
    <row r="754">
      <c r="A754" s="87"/>
    </row>
    <row r="755">
      <c r="A755" s="87"/>
    </row>
    <row r="756">
      <c r="A756" s="87"/>
    </row>
    <row r="757">
      <c r="A757" s="87"/>
    </row>
    <row r="758">
      <c r="A758" s="87"/>
    </row>
    <row r="759">
      <c r="A759" s="87"/>
    </row>
    <row r="760">
      <c r="A760" s="87"/>
    </row>
    <row r="761">
      <c r="A761" s="87"/>
    </row>
    <row r="762">
      <c r="A762" s="87"/>
    </row>
    <row r="763">
      <c r="A763" s="87"/>
    </row>
    <row r="764">
      <c r="A764" s="87"/>
    </row>
    <row r="765">
      <c r="A765" s="87"/>
    </row>
    <row r="766">
      <c r="A766" s="87"/>
    </row>
    <row r="767">
      <c r="A767" s="87"/>
    </row>
    <row r="768">
      <c r="A768" s="87"/>
    </row>
    <row r="769">
      <c r="A769" s="87"/>
    </row>
    <row r="770">
      <c r="A770" s="87"/>
    </row>
    <row r="771">
      <c r="A771" s="87"/>
    </row>
    <row r="772">
      <c r="A772" s="87"/>
    </row>
    <row r="773">
      <c r="A773" s="87"/>
    </row>
    <row r="774">
      <c r="A774" s="87"/>
    </row>
    <row r="775">
      <c r="A775" s="87"/>
    </row>
    <row r="776">
      <c r="A776" s="87"/>
    </row>
    <row r="777">
      <c r="A777" s="87"/>
    </row>
    <row r="778">
      <c r="A778" s="87"/>
    </row>
    <row r="779">
      <c r="A779" s="87"/>
    </row>
    <row r="780">
      <c r="A780" s="87"/>
    </row>
    <row r="781">
      <c r="A781" s="87"/>
    </row>
    <row r="782">
      <c r="A782" s="87"/>
    </row>
    <row r="783">
      <c r="A783" s="87"/>
    </row>
    <row r="784">
      <c r="A784" s="87"/>
    </row>
    <row r="785">
      <c r="A785" s="87"/>
    </row>
    <row r="786">
      <c r="A786" s="87"/>
    </row>
    <row r="787">
      <c r="A787" s="87"/>
    </row>
    <row r="788">
      <c r="A788" s="87"/>
    </row>
    <row r="789">
      <c r="A789" s="87"/>
    </row>
    <row r="790">
      <c r="A790" s="87"/>
    </row>
    <row r="791">
      <c r="A791" s="87"/>
    </row>
    <row r="792">
      <c r="A792" s="87"/>
    </row>
    <row r="793">
      <c r="A793" s="87"/>
    </row>
    <row r="794">
      <c r="A794" s="87"/>
    </row>
    <row r="795">
      <c r="A795" s="87"/>
    </row>
    <row r="796">
      <c r="A796" s="87"/>
    </row>
    <row r="797">
      <c r="A797" s="87"/>
    </row>
    <row r="798">
      <c r="A798" s="87"/>
    </row>
    <row r="799">
      <c r="A799" s="87"/>
    </row>
    <row r="800">
      <c r="A800" s="87"/>
    </row>
    <row r="801">
      <c r="A801" s="87"/>
    </row>
    <row r="802">
      <c r="A802" s="87"/>
    </row>
    <row r="803">
      <c r="A803" s="87"/>
    </row>
    <row r="804">
      <c r="A804" s="87"/>
    </row>
    <row r="805">
      <c r="A805" s="87"/>
    </row>
    <row r="806">
      <c r="A806" s="87"/>
    </row>
    <row r="807">
      <c r="A807" s="87"/>
    </row>
    <row r="808">
      <c r="A808" s="87"/>
    </row>
    <row r="809">
      <c r="A809" s="87"/>
    </row>
    <row r="810">
      <c r="A810" s="87"/>
    </row>
    <row r="811">
      <c r="A811" s="87"/>
    </row>
    <row r="812">
      <c r="A812" s="87"/>
    </row>
    <row r="813">
      <c r="A813" s="87"/>
    </row>
    <row r="814">
      <c r="A814" s="87"/>
    </row>
    <row r="815">
      <c r="A815" s="87"/>
    </row>
    <row r="816">
      <c r="A816" s="87"/>
    </row>
    <row r="817">
      <c r="A817" s="87"/>
    </row>
    <row r="818">
      <c r="A818" s="87"/>
    </row>
    <row r="819">
      <c r="A819" s="87"/>
    </row>
    <row r="820">
      <c r="A820" s="87"/>
    </row>
    <row r="821">
      <c r="A821" s="87"/>
    </row>
    <row r="822">
      <c r="A822" s="87"/>
    </row>
    <row r="823">
      <c r="A823" s="87"/>
    </row>
    <row r="824">
      <c r="A824" s="87"/>
    </row>
    <row r="825">
      <c r="A825" s="87"/>
    </row>
    <row r="826">
      <c r="A826" s="87"/>
    </row>
    <row r="827">
      <c r="A827" s="87"/>
    </row>
    <row r="828">
      <c r="A828" s="87"/>
    </row>
    <row r="829">
      <c r="A829" s="87"/>
    </row>
    <row r="830">
      <c r="A830" s="87"/>
    </row>
    <row r="831">
      <c r="A831" s="87"/>
    </row>
    <row r="832">
      <c r="A832" s="87"/>
    </row>
    <row r="833">
      <c r="A833" s="87"/>
    </row>
    <row r="834">
      <c r="A834" s="87"/>
    </row>
    <row r="835">
      <c r="A835" s="87"/>
    </row>
    <row r="836">
      <c r="A836" s="87"/>
    </row>
    <row r="837">
      <c r="A837" s="87"/>
    </row>
    <row r="838">
      <c r="A838" s="87"/>
    </row>
    <row r="839">
      <c r="A839" s="87"/>
    </row>
    <row r="840">
      <c r="A840" s="87"/>
    </row>
    <row r="841">
      <c r="A841" s="87"/>
    </row>
    <row r="842">
      <c r="A842" s="87"/>
    </row>
    <row r="843">
      <c r="A843" s="87"/>
    </row>
    <row r="844">
      <c r="A844" s="87"/>
    </row>
    <row r="845">
      <c r="A845" s="87"/>
    </row>
    <row r="846">
      <c r="A846" s="87"/>
    </row>
    <row r="847">
      <c r="A847" s="87"/>
    </row>
    <row r="848">
      <c r="A848" s="87"/>
    </row>
    <row r="849">
      <c r="A849" s="87"/>
    </row>
    <row r="850">
      <c r="A850" s="87"/>
    </row>
    <row r="851">
      <c r="A851" s="87"/>
    </row>
    <row r="852">
      <c r="A852" s="87"/>
    </row>
    <row r="853">
      <c r="A853" s="87"/>
    </row>
    <row r="854">
      <c r="A854" s="87"/>
    </row>
    <row r="855">
      <c r="A855" s="87"/>
    </row>
    <row r="856">
      <c r="A856" s="87"/>
    </row>
    <row r="857">
      <c r="A857" s="87"/>
    </row>
    <row r="858">
      <c r="A858" s="87"/>
    </row>
    <row r="859">
      <c r="A859" s="87"/>
    </row>
    <row r="860">
      <c r="A860" s="87"/>
    </row>
    <row r="861">
      <c r="A861" s="87"/>
    </row>
    <row r="862">
      <c r="A862" s="87"/>
    </row>
    <row r="863">
      <c r="A863" s="87"/>
    </row>
    <row r="864">
      <c r="A864" s="87"/>
    </row>
    <row r="865">
      <c r="A865" s="87"/>
    </row>
    <row r="866">
      <c r="A866" s="87"/>
    </row>
    <row r="867">
      <c r="A867" s="87"/>
    </row>
    <row r="868">
      <c r="A868" s="87"/>
    </row>
    <row r="869">
      <c r="A869" s="87"/>
    </row>
    <row r="870">
      <c r="A870" s="87"/>
    </row>
    <row r="871">
      <c r="A871" s="87"/>
    </row>
    <row r="872">
      <c r="A872" s="87"/>
    </row>
    <row r="873">
      <c r="A873" s="87"/>
    </row>
    <row r="874">
      <c r="A874" s="87"/>
    </row>
    <row r="875">
      <c r="A875" s="87"/>
    </row>
    <row r="876">
      <c r="A876" s="87"/>
    </row>
    <row r="877">
      <c r="A877" s="87"/>
    </row>
    <row r="878">
      <c r="A878" s="87"/>
    </row>
    <row r="879">
      <c r="A879" s="87"/>
    </row>
    <row r="880">
      <c r="A880" s="87"/>
    </row>
    <row r="881">
      <c r="A881" s="87"/>
    </row>
    <row r="882">
      <c r="A882" s="87"/>
    </row>
    <row r="883">
      <c r="A883" s="87"/>
    </row>
    <row r="884">
      <c r="A884" s="87"/>
    </row>
    <row r="885">
      <c r="A885" s="87"/>
    </row>
    <row r="886">
      <c r="A886" s="87"/>
    </row>
    <row r="887">
      <c r="A887" s="87"/>
    </row>
    <row r="888">
      <c r="A888" s="87"/>
    </row>
    <row r="889">
      <c r="A889" s="87"/>
    </row>
    <row r="890">
      <c r="A890" s="87"/>
    </row>
    <row r="891">
      <c r="A891" s="87"/>
    </row>
    <row r="892">
      <c r="A892" s="87"/>
    </row>
    <row r="893">
      <c r="A893" s="87"/>
    </row>
    <row r="894">
      <c r="A894" s="87"/>
    </row>
    <row r="895">
      <c r="A895" s="87"/>
    </row>
    <row r="896">
      <c r="A896" s="87"/>
    </row>
    <row r="897">
      <c r="A897" s="87"/>
    </row>
    <row r="898">
      <c r="A898" s="87"/>
    </row>
    <row r="899">
      <c r="A899" s="87"/>
    </row>
    <row r="900">
      <c r="A900" s="87"/>
    </row>
    <row r="901">
      <c r="A901" s="87"/>
    </row>
    <row r="902">
      <c r="A902" s="87"/>
    </row>
    <row r="903">
      <c r="A903" s="87"/>
    </row>
    <row r="904">
      <c r="A904" s="87"/>
    </row>
    <row r="905">
      <c r="A905" s="87"/>
    </row>
    <row r="906">
      <c r="A906" s="87"/>
    </row>
    <row r="907">
      <c r="A907" s="87"/>
    </row>
    <row r="908">
      <c r="A908" s="87"/>
    </row>
    <row r="909">
      <c r="A909" s="87"/>
    </row>
    <row r="910">
      <c r="A910" s="87"/>
    </row>
    <row r="911">
      <c r="A911" s="87"/>
    </row>
    <row r="912">
      <c r="A912" s="87"/>
    </row>
    <row r="913">
      <c r="A913" s="87"/>
    </row>
    <row r="914">
      <c r="A914" s="87"/>
    </row>
    <row r="915">
      <c r="A915" s="87"/>
    </row>
    <row r="916">
      <c r="A916" s="87"/>
    </row>
    <row r="917">
      <c r="A917" s="87"/>
    </row>
    <row r="918">
      <c r="A918" s="87"/>
    </row>
    <row r="919">
      <c r="A919" s="87"/>
    </row>
    <row r="920">
      <c r="A920" s="87"/>
    </row>
    <row r="921">
      <c r="A921" s="87"/>
    </row>
    <row r="922">
      <c r="A922" s="87"/>
    </row>
    <row r="923">
      <c r="A923" s="87"/>
    </row>
    <row r="924">
      <c r="A924" s="87"/>
    </row>
    <row r="925">
      <c r="A925" s="87"/>
    </row>
    <row r="926">
      <c r="A926" s="87"/>
    </row>
    <row r="927">
      <c r="A927" s="87"/>
    </row>
    <row r="928">
      <c r="A928" s="87"/>
    </row>
    <row r="929">
      <c r="A929" s="87"/>
    </row>
    <row r="930">
      <c r="A930" s="87"/>
    </row>
    <row r="931">
      <c r="A931" s="87"/>
    </row>
    <row r="932">
      <c r="A932" s="87"/>
    </row>
    <row r="933">
      <c r="A933" s="87"/>
    </row>
    <row r="934">
      <c r="A934" s="87"/>
    </row>
    <row r="935">
      <c r="A935" s="87"/>
    </row>
    <row r="936">
      <c r="A936" s="87"/>
    </row>
    <row r="937">
      <c r="A937" s="87"/>
    </row>
    <row r="938">
      <c r="A938" s="87"/>
    </row>
    <row r="939">
      <c r="A939" s="87"/>
    </row>
    <row r="940">
      <c r="A940" s="87"/>
    </row>
    <row r="941">
      <c r="A941" s="87"/>
    </row>
    <row r="942">
      <c r="A942" s="87"/>
    </row>
    <row r="943">
      <c r="A943" s="87"/>
    </row>
    <row r="944">
      <c r="A944" s="87"/>
    </row>
    <row r="945">
      <c r="A945" s="87"/>
    </row>
    <row r="946">
      <c r="A946" s="87"/>
    </row>
    <row r="947">
      <c r="A947" s="87"/>
    </row>
    <row r="948">
      <c r="A948" s="87"/>
    </row>
    <row r="949">
      <c r="A949" s="87"/>
    </row>
    <row r="950">
      <c r="A950" s="87"/>
    </row>
    <row r="951">
      <c r="A951" s="87"/>
    </row>
    <row r="952">
      <c r="A952" s="87"/>
    </row>
    <row r="953">
      <c r="A953" s="87"/>
    </row>
    <row r="954">
      <c r="A954" s="87"/>
    </row>
    <row r="955">
      <c r="A955" s="87"/>
    </row>
    <row r="956">
      <c r="A956" s="87"/>
    </row>
    <row r="957">
      <c r="A957" s="87"/>
    </row>
    <row r="958">
      <c r="A958" s="87"/>
    </row>
    <row r="959">
      <c r="A959" s="87"/>
    </row>
    <row r="960">
      <c r="A960" s="87"/>
    </row>
    <row r="961">
      <c r="A961" s="87"/>
    </row>
    <row r="962">
      <c r="A962" s="87"/>
    </row>
    <row r="963">
      <c r="A963" s="87"/>
    </row>
    <row r="964">
      <c r="A964" s="87"/>
    </row>
    <row r="965">
      <c r="A965" s="87"/>
    </row>
    <row r="966">
      <c r="A966" s="87"/>
    </row>
    <row r="967">
      <c r="A967" s="87"/>
    </row>
    <row r="968">
      <c r="A968" s="87"/>
    </row>
    <row r="969">
      <c r="A969" s="87"/>
    </row>
    <row r="970">
      <c r="A970" s="87"/>
    </row>
    <row r="971">
      <c r="A971" s="87"/>
    </row>
    <row r="972">
      <c r="A972" s="87"/>
    </row>
    <row r="973">
      <c r="A973" s="87"/>
    </row>
    <row r="974">
      <c r="A974" s="87"/>
    </row>
    <row r="975">
      <c r="A975" s="87"/>
    </row>
    <row r="976">
      <c r="A976" s="87"/>
    </row>
    <row r="977">
      <c r="A977" s="87"/>
    </row>
    <row r="978">
      <c r="A978" s="87"/>
    </row>
    <row r="979">
      <c r="A979" s="87"/>
    </row>
    <row r="980">
      <c r="A980" s="87"/>
    </row>
    <row r="981">
      <c r="A981" s="87"/>
    </row>
    <row r="982">
      <c r="A982" s="87"/>
    </row>
    <row r="983">
      <c r="A983" s="87"/>
    </row>
    <row r="984">
      <c r="A984" s="87"/>
    </row>
    <row r="985">
      <c r="A985" s="87"/>
    </row>
    <row r="986">
      <c r="A986" s="87"/>
    </row>
    <row r="987">
      <c r="A987" s="87"/>
    </row>
    <row r="988">
      <c r="A988" s="87"/>
    </row>
    <row r="989">
      <c r="A989" s="87"/>
    </row>
    <row r="990">
      <c r="A990" s="87"/>
    </row>
    <row r="991">
      <c r="A991" s="87"/>
    </row>
    <row r="992">
      <c r="A992" s="87"/>
    </row>
    <row r="993">
      <c r="A993" s="87"/>
    </row>
    <row r="994">
      <c r="A994" s="87"/>
    </row>
    <row r="995">
      <c r="A995" s="87"/>
    </row>
    <row r="996">
      <c r="A996" s="87"/>
    </row>
    <row r="997">
      <c r="A997" s="87"/>
    </row>
    <row r="998">
      <c r="A998" s="87"/>
    </row>
    <row r="999">
      <c r="A999" s="87"/>
    </row>
    <row r="1000">
      <c r="A1000" s="87"/>
    </row>
  </sheetData>
  <mergeCells count="51">
    <mergeCell ref="A1:C1"/>
    <mergeCell ref="A2:C2"/>
    <mergeCell ref="A3:C3"/>
    <mergeCell ref="A4:B4"/>
    <mergeCell ref="A5:B5"/>
    <mergeCell ref="A6:C6"/>
    <mergeCell ref="A8:A22"/>
    <mergeCell ref="A23:A39"/>
    <mergeCell ref="A40:A47"/>
    <mergeCell ref="A48:A59"/>
    <mergeCell ref="A60:A70"/>
    <mergeCell ref="A71:A77"/>
    <mergeCell ref="A78:A85"/>
    <mergeCell ref="A86:A91"/>
    <mergeCell ref="A92:A107"/>
    <mergeCell ref="A108:A119"/>
    <mergeCell ref="A120:A124"/>
    <mergeCell ref="A125:A128"/>
    <mergeCell ref="A129:A136"/>
    <mergeCell ref="A137:A141"/>
    <mergeCell ref="A142:A146"/>
    <mergeCell ref="A147:A160"/>
    <mergeCell ref="A161:A167"/>
    <mergeCell ref="A168:A174"/>
    <mergeCell ref="A175:A183"/>
    <mergeCell ref="A184:A190"/>
    <mergeCell ref="A191:A194"/>
    <mergeCell ref="A195:A206"/>
    <mergeCell ref="A207:A218"/>
    <mergeCell ref="A219:A228"/>
    <mergeCell ref="A229:A236"/>
    <mergeCell ref="A237:A242"/>
    <mergeCell ref="A243:A253"/>
    <mergeCell ref="A254:A258"/>
    <mergeCell ref="A259:A264"/>
    <mergeCell ref="A265:A276"/>
    <mergeCell ref="A277:A289"/>
    <mergeCell ref="A290:A298"/>
    <mergeCell ref="A299:A305"/>
    <mergeCell ref="A306:A317"/>
    <mergeCell ref="A318:A326"/>
    <mergeCell ref="A327:A334"/>
    <mergeCell ref="A396:A399"/>
    <mergeCell ref="A400:A403"/>
    <mergeCell ref="A335:A339"/>
    <mergeCell ref="A340:A344"/>
    <mergeCell ref="A345:A356"/>
    <mergeCell ref="A357:A367"/>
    <mergeCell ref="A368:A377"/>
    <mergeCell ref="A378:A388"/>
    <mergeCell ref="A389:A395"/>
  </mergeCells>
  <dataValidations>
    <dataValidation type="list" allowBlank="1" showErrorMessage="1" sqref="C8:C403">
      <formula1>"Done,Pending"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38"/>
    <col customWidth="1" min="4" max="4" width="34.0"/>
  </cols>
  <sheetData>
    <row r="1">
      <c r="A1" s="1" t="s">
        <v>0</v>
      </c>
      <c r="B1" s="1" t="s">
        <v>3</v>
      </c>
      <c r="C1" s="1" t="s">
        <v>5</v>
      </c>
      <c r="D1" s="1" t="s">
        <v>6</v>
      </c>
      <c r="E1" s="1" t="s">
        <v>7</v>
      </c>
    </row>
    <row r="2">
      <c r="A2" s="5">
        <v>1.0</v>
      </c>
      <c r="B2" s="7">
        <v>46167.0</v>
      </c>
      <c r="C2" s="9" t="s">
        <v>13</v>
      </c>
      <c r="D2" s="21" t="str">
        <f t="array" ref="D2:D68">TRANSPOSE(Attendence!H74:BV74)</f>
        <v>33 Online, 4 Offline</v>
      </c>
      <c r="E2" s="9" t="s">
        <v>21</v>
      </c>
      <c r="F2" s="23">
        <v>36.0</v>
      </c>
    </row>
    <row r="3">
      <c r="A3" s="5">
        <v>2.0</v>
      </c>
      <c r="B3" s="7">
        <v>46168.0</v>
      </c>
      <c r="C3" s="9" t="s">
        <v>23</v>
      </c>
      <c r="D3" s="21" t="s">
        <v>24</v>
      </c>
      <c r="E3" s="9" t="s">
        <v>21</v>
      </c>
      <c r="F3" s="23">
        <v>44.0</v>
      </c>
    </row>
    <row r="4">
      <c r="A4" s="5">
        <v>3.0</v>
      </c>
      <c r="B4" s="7">
        <v>46169.0</v>
      </c>
      <c r="C4" s="9" t="s">
        <v>27</v>
      </c>
      <c r="D4" s="21" t="s">
        <v>29</v>
      </c>
      <c r="E4" s="9" t="s">
        <v>21</v>
      </c>
      <c r="F4" s="23">
        <v>49.0</v>
      </c>
    </row>
    <row r="5">
      <c r="A5" s="5">
        <v>4.0</v>
      </c>
      <c r="B5" s="7">
        <v>46170.0</v>
      </c>
      <c r="C5" s="9" t="s">
        <v>34</v>
      </c>
      <c r="D5" s="21" t="s">
        <v>36</v>
      </c>
      <c r="E5" s="9" t="s">
        <v>21</v>
      </c>
      <c r="F5" s="23">
        <v>50.0</v>
      </c>
    </row>
    <row r="6">
      <c r="A6" s="5">
        <v>5.0</v>
      </c>
      <c r="B6" s="7">
        <v>46171.0</v>
      </c>
      <c r="C6" s="9" t="s">
        <v>41</v>
      </c>
      <c r="D6" s="21" t="s">
        <v>42</v>
      </c>
      <c r="E6" s="9" t="s">
        <v>21</v>
      </c>
      <c r="F6" s="23">
        <v>46.0</v>
      </c>
    </row>
    <row r="7">
      <c r="A7" s="5">
        <v>6.0</v>
      </c>
      <c r="B7" s="7">
        <v>46172.0</v>
      </c>
      <c r="C7" s="9" t="s">
        <v>47</v>
      </c>
      <c r="D7" s="21" t="s">
        <v>50</v>
      </c>
      <c r="E7" s="9" t="s">
        <v>21</v>
      </c>
      <c r="F7" s="23">
        <v>38.0</v>
      </c>
    </row>
    <row r="8">
      <c r="A8" s="5">
        <v>7.0</v>
      </c>
      <c r="B8" s="7">
        <v>46173.0</v>
      </c>
      <c r="C8" s="9" t="s">
        <v>53</v>
      </c>
      <c r="D8" s="21" t="s">
        <v>54</v>
      </c>
      <c r="E8" s="9"/>
      <c r="F8" s="23"/>
    </row>
    <row r="9">
      <c r="A9" s="5">
        <v>8.0</v>
      </c>
      <c r="B9" s="35">
        <v>46174.0</v>
      </c>
      <c r="C9" s="9" t="s">
        <v>56</v>
      </c>
      <c r="D9" s="21" t="s">
        <v>57</v>
      </c>
      <c r="E9" s="9" t="s">
        <v>21</v>
      </c>
      <c r="F9" s="23">
        <v>53.0</v>
      </c>
    </row>
    <row r="10">
      <c r="A10" s="5">
        <v>9.0</v>
      </c>
      <c r="B10" s="35">
        <v>46175.0</v>
      </c>
      <c r="C10" s="9" t="s">
        <v>59</v>
      </c>
      <c r="D10" s="21" t="s">
        <v>60</v>
      </c>
      <c r="E10" s="9" t="s">
        <v>21</v>
      </c>
      <c r="F10" s="23">
        <v>54.0</v>
      </c>
    </row>
    <row r="11">
      <c r="A11" s="5">
        <v>10.0</v>
      </c>
      <c r="B11" s="35">
        <v>46176.0</v>
      </c>
      <c r="C11" s="9" t="s">
        <v>63</v>
      </c>
      <c r="D11" s="21" t="s">
        <v>64</v>
      </c>
      <c r="E11" s="9" t="s">
        <v>21</v>
      </c>
      <c r="F11" s="23">
        <v>57.0</v>
      </c>
    </row>
    <row r="12">
      <c r="A12" s="5">
        <v>11.0</v>
      </c>
      <c r="B12" s="35">
        <v>46177.0</v>
      </c>
      <c r="C12" s="9" t="s">
        <v>67</v>
      </c>
      <c r="D12" s="21" t="s">
        <v>69</v>
      </c>
      <c r="E12" s="9" t="s">
        <v>21</v>
      </c>
      <c r="F12" s="23">
        <v>56.0</v>
      </c>
    </row>
    <row r="13">
      <c r="A13" s="5">
        <v>12.0</v>
      </c>
      <c r="B13" s="35">
        <v>46178.0</v>
      </c>
      <c r="C13" s="9" t="s">
        <v>72</v>
      </c>
      <c r="D13" s="21" t="s">
        <v>73</v>
      </c>
      <c r="E13" s="9" t="s">
        <v>21</v>
      </c>
      <c r="F13" s="23">
        <v>58.0</v>
      </c>
    </row>
    <row r="14">
      <c r="A14" s="5">
        <v>13.0</v>
      </c>
      <c r="B14" s="35">
        <v>46179.0</v>
      </c>
      <c r="C14" s="9" t="s">
        <v>75</v>
      </c>
      <c r="D14" s="21" t="s">
        <v>76</v>
      </c>
      <c r="E14" s="9" t="s">
        <v>21</v>
      </c>
      <c r="F14" s="23">
        <v>48.0</v>
      </c>
    </row>
    <row r="15">
      <c r="A15" s="5">
        <v>14.0</v>
      </c>
      <c r="B15" s="35">
        <v>46180.0</v>
      </c>
      <c r="C15" s="9" t="s">
        <v>53</v>
      </c>
      <c r="D15" s="21" t="s">
        <v>54</v>
      </c>
      <c r="E15" s="9"/>
      <c r="F15" s="23"/>
    </row>
    <row r="16">
      <c r="A16" s="5">
        <v>15.0</v>
      </c>
      <c r="B16" s="35">
        <v>46181.0</v>
      </c>
      <c r="C16" s="9" t="s">
        <v>79</v>
      </c>
      <c r="D16" s="21" t="s">
        <v>80</v>
      </c>
      <c r="E16" s="9" t="s">
        <v>21</v>
      </c>
      <c r="F16" s="23">
        <v>57.0</v>
      </c>
    </row>
    <row r="17">
      <c r="A17" s="5">
        <v>16.0</v>
      </c>
      <c r="B17" s="35">
        <v>46182.0</v>
      </c>
      <c r="C17" s="9" t="s">
        <v>82</v>
      </c>
      <c r="D17" s="21" t="s">
        <v>83</v>
      </c>
      <c r="E17" s="9" t="s">
        <v>21</v>
      </c>
      <c r="F17" s="23">
        <v>60.0</v>
      </c>
    </row>
    <row r="18">
      <c r="A18" s="5">
        <v>17.0</v>
      </c>
      <c r="B18" s="35">
        <v>46183.0</v>
      </c>
      <c r="C18" s="9" t="s">
        <v>85</v>
      </c>
      <c r="D18" s="21" t="s">
        <v>87</v>
      </c>
      <c r="E18" s="9" t="s">
        <v>21</v>
      </c>
      <c r="F18" s="23">
        <v>61.0</v>
      </c>
    </row>
    <row r="19">
      <c r="A19" s="5">
        <v>18.0</v>
      </c>
      <c r="B19" s="35">
        <v>46184.0</v>
      </c>
      <c r="C19" s="9" t="s">
        <v>89</v>
      </c>
      <c r="D19" s="21" t="s">
        <v>90</v>
      </c>
      <c r="E19" s="9" t="s">
        <v>21</v>
      </c>
      <c r="F19" s="23">
        <v>62.0</v>
      </c>
    </row>
    <row r="20">
      <c r="A20" s="5">
        <v>19.0</v>
      </c>
      <c r="B20" s="35">
        <v>46185.0</v>
      </c>
      <c r="C20" s="9" t="s">
        <v>92</v>
      </c>
      <c r="D20" s="21" t="s">
        <v>93</v>
      </c>
      <c r="E20" s="9" t="s">
        <v>21</v>
      </c>
      <c r="F20" s="23">
        <v>59.0</v>
      </c>
    </row>
    <row r="21">
      <c r="A21" s="5">
        <v>20.0</v>
      </c>
      <c r="B21" s="35">
        <v>46186.0</v>
      </c>
      <c r="C21" s="9" t="s">
        <v>96</v>
      </c>
      <c r="D21" s="21" t="s">
        <v>97</v>
      </c>
      <c r="E21" s="9" t="s">
        <v>21</v>
      </c>
      <c r="F21" s="23">
        <v>57.0</v>
      </c>
    </row>
    <row r="22">
      <c r="A22" s="5">
        <v>21.0</v>
      </c>
      <c r="B22" s="35">
        <v>46187.0</v>
      </c>
      <c r="C22" s="9" t="s">
        <v>53</v>
      </c>
      <c r="D22" s="21" t="s">
        <v>54</v>
      </c>
      <c r="E22" s="9"/>
      <c r="F22" s="23"/>
    </row>
    <row r="23">
      <c r="A23" s="5">
        <v>22.0</v>
      </c>
      <c r="B23" s="35">
        <v>46188.0</v>
      </c>
      <c r="C23" s="9" t="s">
        <v>101</v>
      </c>
      <c r="D23" s="21" t="s">
        <v>103</v>
      </c>
      <c r="E23" s="9" t="s">
        <v>21</v>
      </c>
      <c r="F23" s="23">
        <v>54.0</v>
      </c>
    </row>
    <row r="24">
      <c r="A24" s="5">
        <v>23.0</v>
      </c>
      <c r="B24" s="35">
        <v>46189.0</v>
      </c>
      <c r="C24" s="9" t="s">
        <v>105</v>
      </c>
      <c r="D24" s="21" t="s">
        <v>107</v>
      </c>
      <c r="E24" s="9" t="s">
        <v>21</v>
      </c>
      <c r="F24" s="23">
        <v>57.0</v>
      </c>
    </row>
    <row r="25">
      <c r="A25" s="5">
        <v>24.0</v>
      </c>
      <c r="B25" s="35">
        <v>46190.0</v>
      </c>
      <c r="C25" s="9" t="s">
        <v>108</v>
      </c>
      <c r="D25" s="21" t="s">
        <v>110</v>
      </c>
      <c r="E25" s="9" t="s">
        <v>21</v>
      </c>
      <c r="F25" s="23">
        <v>50.0</v>
      </c>
    </row>
    <row r="26">
      <c r="A26" s="5">
        <v>25.0</v>
      </c>
      <c r="B26" s="35">
        <v>46191.0</v>
      </c>
      <c r="C26" s="9" t="s">
        <v>111</v>
      </c>
      <c r="D26" s="21" t="s">
        <v>113</v>
      </c>
      <c r="E26" s="9" t="s">
        <v>21</v>
      </c>
      <c r="F26" s="23">
        <v>54.0</v>
      </c>
    </row>
    <row r="27">
      <c r="A27" s="5">
        <v>26.0</v>
      </c>
      <c r="B27" s="35">
        <v>46192.0</v>
      </c>
      <c r="C27" s="9" t="s">
        <v>115</v>
      </c>
      <c r="D27" s="21" t="s">
        <v>116</v>
      </c>
      <c r="E27" s="9" t="s">
        <v>21</v>
      </c>
      <c r="F27" s="23">
        <v>52.0</v>
      </c>
    </row>
    <row r="28">
      <c r="A28" s="5">
        <v>27.0</v>
      </c>
      <c r="B28" s="35">
        <v>46193.0</v>
      </c>
      <c r="C28" s="9" t="s">
        <v>118</v>
      </c>
      <c r="D28" s="21" t="s">
        <v>119</v>
      </c>
      <c r="E28" s="9" t="s">
        <v>21</v>
      </c>
      <c r="F28" s="23">
        <v>61.0</v>
      </c>
    </row>
    <row r="29">
      <c r="A29" s="5">
        <v>28.0</v>
      </c>
      <c r="B29" s="35">
        <v>46194.0</v>
      </c>
      <c r="C29" s="9" t="s">
        <v>53</v>
      </c>
      <c r="D29" s="21" t="s">
        <v>54</v>
      </c>
      <c r="E29" s="9"/>
      <c r="F29" s="23"/>
    </row>
    <row r="30">
      <c r="A30" s="5">
        <v>29.0</v>
      </c>
      <c r="B30" s="45">
        <v>46195.0</v>
      </c>
      <c r="C30" s="9" t="s">
        <v>124</v>
      </c>
      <c r="D30" s="21" t="s">
        <v>64</v>
      </c>
      <c r="E30" s="9" t="s">
        <v>21</v>
      </c>
      <c r="F30" s="23">
        <v>57.0</v>
      </c>
    </row>
    <row r="31">
      <c r="A31" s="5">
        <v>30.0</v>
      </c>
      <c r="B31" s="45">
        <v>46196.0</v>
      </c>
      <c r="C31" s="9" t="s">
        <v>127</v>
      </c>
      <c r="D31" s="21" t="s">
        <v>128</v>
      </c>
      <c r="E31" s="9" t="s">
        <v>21</v>
      </c>
      <c r="F31" s="23">
        <v>56.0</v>
      </c>
    </row>
    <row r="32">
      <c r="A32" s="5">
        <v>31.0</v>
      </c>
      <c r="B32" s="45">
        <v>46197.0</v>
      </c>
      <c r="C32" s="9" t="s">
        <v>130</v>
      </c>
      <c r="D32" s="21" t="s">
        <v>132</v>
      </c>
      <c r="E32" s="9" t="s">
        <v>21</v>
      </c>
      <c r="F32" s="23">
        <v>53.0</v>
      </c>
    </row>
    <row r="33">
      <c r="A33" s="5">
        <v>32.0</v>
      </c>
      <c r="B33" s="45">
        <v>46198.0</v>
      </c>
      <c r="C33" s="9" t="s">
        <v>137</v>
      </c>
      <c r="D33" s="21" t="s">
        <v>128</v>
      </c>
      <c r="E33" s="9" t="s">
        <v>21</v>
      </c>
      <c r="F33" s="23">
        <v>56.0</v>
      </c>
    </row>
    <row r="34">
      <c r="A34" s="5">
        <v>33.0</v>
      </c>
      <c r="B34" s="45">
        <v>46199.0</v>
      </c>
      <c r="C34" s="9" t="s">
        <v>140</v>
      </c>
      <c r="D34" s="21" t="s">
        <v>141</v>
      </c>
      <c r="E34" s="9" t="s">
        <v>21</v>
      </c>
      <c r="F34" s="23">
        <v>55.0</v>
      </c>
    </row>
    <row r="35">
      <c r="A35" s="5">
        <v>34.0</v>
      </c>
      <c r="B35" s="45">
        <v>46200.0</v>
      </c>
      <c r="C35" s="9" t="s">
        <v>145</v>
      </c>
      <c r="D35" s="21" t="s">
        <v>146</v>
      </c>
      <c r="E35" s="9" t="s">
        <v>21</v>
      </c>
      <c r="F35" s="23">
        <v>55.0</v>
      </c>
    </row>
    <row r="36">
      <c r="A36" s="5">
        <v>35.0</v>
      </c>
      <c r="B36" s="45">
        <v>46201.0</v>
      </c>
      <c r="C36" s="9" t="s">
        <v>53</v>
      </c>
      <c r="D36" s="21" t="s">
        <v>54</v>
      </c>
      <c r="E36" s="9"/>
      <c r="F36" s="23"/>
    </row>
    <row r="37">
      <c r="A37" s="5">
        <v>36.0</v>
      </c>
      <c r="B37" s="7">
        <v>46202.0</v>
      </c>
      <c r="C37" s="9" t="s">
        <v>157</v>
      </c>
      <c r="D37" s="21" t="s">
        <v>159</v>
      </c>
      <c r="E37" s="9" t="s">
        <v>21</v>
      </c>
      <c r="F37" s="23">
        <v>57.0</v>
      </c>
    </row>
    <row r="38">
      <c r="A38" s="5">
        <v>37.0</v>
      </c>
      <c r="B38" s="7">
        <v>46203.0</v>
      </c>
      <c r="C38" s="9" t="s">
        <v>162</v>
      </c>
      <c r="D38" s="5" t="s">
        <v>164</v>
      </c>
      <c r="E38" s="9" t="s">
        <v>21</v>
      </c>
      <c r="F38" s="48">
        <v>55.0</v>
      </c>
    </row>
    <row r="39">
      <c r="A39" s="5">
        <v>38.0</v>
      </c>
      <c r="B39" s="7">
        <v>46204.0</v>
      </c>
      <c r="C39" s="9" t="s">
        <v>169</v>
      </c>
      <c r="D39" s="5" t="s">
        <v>171</v>
      </c>
      <c r="E39" s="9" t="s">
        <v>21</v>
      </c>
      <c r="F39" s="48">
        <v>58.0</v>
      </c>
    </row>
    <row r="40">
      <c r="A40" s="5">
        <v>39.0</v>
      </c>
      <c r="B40" s="7">
        <v>46205.0</v>
      </c>
      <c r="C40" s="9" t="s">
        <v>176</v>
      </c>
      <c r="D40" s="5" t="s">
        <v>178</v>
      </c>
      <c r="E40" s="9" t="s">
        <v>21</v>
      </c>
      <c r="F40" s="48">
        <v>58.0</v>
      </c>
    </row>
    <row r="41">
      <c r="A41" s="5">
        <v>40.0</v>
      </c>
      <c r="B41" s="7">
        <v>46206.0</v>
      </c>
      <c r="C41" s="9" t="s">
        <v>181</v>
      </c>
      <c r="D41" s="5" t="s">
        <v>183</v>
      </c>
      <c r="E41" s="9" t="s">
        <v>21</v>
      </c>
      <c r="F41" s="48">
        <v>58.0</v>
      </c>
    </row>
    <row r="42">
      <c r="A42" s="5">
        <v>41.0</v>
      </c>
      <c r="B42" s="7">
        <v>46207.0</v>
      </c>
      <c r="C42" s="9" t="s">
        <v>186</v>
      </c>
      <c r="D42" s="5" t="s">
        <v>188</v>
      </c>
      <c r="E42" s="9" t="s">
        <v>21</v>
      </c>
      <c r="F42" s="48">
        <v>59.0</v>
      </c>
    </row>
    <row r="43">
      <c r="A43" s="5">
        <v>42.0</v>
      </c>
      <c r="B43" s="7">
        <v>46208.0</v>
      </c>
      <c r="C43" s="9" t="s">
        <v>53</v>
      </c>
      <c r="D43" s="5" t="s">
        <v>54</v>
      </c>
      <c r="E43" s="9"/>
      <c r="F43" s="52"/>
    </row>
    <row r="44">
      <c r="A44" s="5">
        <v>43.0</v>
      </c>
      <c r="B44" s="7">
        <v>46209.0</v>
      </c>
      <c r="C44" s="9" t="s">
        <v>193</v>
      </c>
      <c r="D44" s="5" t="s">
        <v>195</v>
      </c>
      <c r="E44" s="9" t="s">
        <v>21</v>
      </c>
      <c r="F44" s="48">
        <v>49.0</v>
      </c>
    </row>
    <row r="45">
      <c r="A45" s="5">
        <v>44.0</v>
      </c>
      <c r="B45" s="7">
        <v>46210.0</v>
      </c>
      <c r="C45" s="9" t="s">
        <v>203</v>
      </c>
      <c r="D45" s="5" t="s">
        <v>97</v>
      </c>
      <c r="E45" s="9" t="s">
        <v>21</v>
      </c>
      <c r="F45" s="48">
        <v>57.0</v>
      </c>
    </row>
    <row r="46">
      <c r="A46" s="5">
        <v>45.0</v>
      </c>
      <c r="B46" s="7">
        <v>46211.0</v>
      </c>
      <c r="C46" s="9" t="s">
        <v>205</v>
      </c>
      <c r="D46" s="5" t="s">
        <v>206</v>
      </c>
      <c r="E46" s="9" t="s">
        <v>21</v>
      </c>
      <c r="F46" s="48">
        <v>55.0</v>
      </c>
    </row>
    <row r="47">
      <c r="A47" s="5">
        <v>46.0</v>
      </c>
      <c r="B47" s="7">
        <v>46212.0</v>
      </c>
      <c r="C47" s="9" t="s">
        <v>208</v>
      </c>
      <c r="D47" s="5" t="s">
        <v>209</v>
      </c>
      <c r="E47" s="9" t="s">
        <v>21</v>
      </c>
      <c r="F47" s="48">
        <v>48.0</v>
      </c>
    </row>
    <row r="48">
      <c r="A48" s="5">
        <v>47.0</v>
      </c>
      <c r="B48" s="7">
        <v>46213.0</v>
      </c>
      <c r="C48" s="9" t="s">
        <v>210</v>
      </c>
      <c r="D48" s="5" t="s">
        <v>211</v>
      </c>
      <c r="E48" s="9" t="s">
        <v>21</v>
      </c>
      <c r="F48" s="48">
        <v>51.0</v>
      </c>
    </row>
    <row r="49">
      <c r="A49" s="5">
        <v>48.0</v>
      </c>
      <c r="B49" s="7">
        <v>46214.0</v>
      </c>
      <c r="C49" s="9" t="s">
        <v>213</v>
      </c>
      <c r="D49" s="5" t="s">
        <v>214</v>
      </c>
      <c r="E49" s="9" t="s">
        <v>21</v>
      </c>
      <c r="F49" s="48">
        <v>41.0</v>
      </c>
    </row>
    <row r="50">
      <c r="A50" s="5">
        <v>49.0</v>
      </c>
      <c r="B50" s="7">
        <v>46215.0</v>
      </c>
      <c r="C50" s="9" t="s">
        <v>53</v>
      </c>
      <c r="D50" s="5" t="s">
        <v>54</v>
      </c>
      <c r="E50" s="9"/>
      <c r="F50" s="52"/>
    </row>
    <row r="51">
      <c r="A51" s="5">
        <v>50.0</v>
      </c>
      <c r="B51" s="7">
        <v>46216.0</v>
      </c>
      <c r="C51" s="58" t="s">
        <v>219</v>
      </c>
      <c r="D51" s="5" t="s">
        <v>221</v>
      </c>
      <c r="E51" s="9" t="s">
        <v>21</v>
      </c>
      <c r="F51" s="48">
        <v>46.0</v>
      </c>
    </row>
    <row r="52">
      <c r="A52" s="5">
        <v>51.0</v>
      </c>
      <c r="B52" s="7">
        <v>46217.0</v>
      </c>
      <c r="C52" s="9" t="s">
        <v>222</v>
      </c>
      <c r="D52" s="21" t="s">
        <v>224</v>
      </c>
      <c r="E52" s="9" t="s">
        <v>21</v>
      </c>
      <c r="F52" s="48">
        <v>43.0</v>
      </c>
    </row>
    <row r="53">
      <c r="A53" s="5">
        <v>52.0</v>
      </c>
      <c r="B53" s="7">
        <v>46218.0</v>
      </c>
      <c r="C53" s="9" t="s">
        <v>226</v>
      </c>
      <c r="D53" s="21" t="s">
        <v>227</v>
      </c>
      <c r="E53" s="9" t="s">
        <v>21</v>
      </c>
      <c r="F53" s="48">
        <v>37.0</v>
      </c>
    </row>
    <row r="54">
      <c r="A54" s="5"/>
      <c r="B54" s="7"/>
      <c r="C54" s="5"/>
      <c r="D54" s="21"/>
      <c r="E54" s="9"/>
      <c r="F54" s="52"/>
    </row>
    <row r="55">
      <c r="A55" s="5"/>
      <c r="B55" s="7"/>
      <c r="C55" s="5"/>
      <c r="D55" s="21"/>
      <c r="E55" s="9"/>
    </row>
    <row r="56">
      <c r="A56" s="5"/>
      <c r="B56" s="7"/>
      <c r="C56" s="5"/>
      <c r="D56" s="21"/>
      <c r="E56" s="9"/>
    </row>
    <row r="57">
      <c r="A57" s="5"/>
      <c r="B57" s="7"/>
      <c r="C57" s="5"/>
      <c r="D57" s="21"/>
      <c r="E57" s="9"/>
    </row>
    <row r="58">
      <c r="A58" s="5"/>
      <c r="B58" s="7"/>
      <c r="C58" s="5"/>
      <c r="D58" s="21"/>
      <c r="E58" s="9"/>
    </row>
    <row r="59">
      <c r="A59" s="5"/>
      <c r="B59" s="7"/>
      <c r="C59" s="9"/>
      <c r="D59" s="21"/>
      <c r="E59" s="9"/>
    </row>
    <row r="60">
      <c r="A60" s="5"/>
      <c r="B60" s="7"/>
      <c r="C60" s="5"/>
      <c r="D60" s="21"/>
      <c r="E60" s="9"/>
    </row>
    <row r="61">
      <c r="A61" s="5"/>
      <c r="B61" s="7"/>
      <c r="C61" s="5"/>
      <c r="D61" s="21"/>
      <c r="E61" s="9"/>
    </row>
    <row r="62">
      <c r="A62" s="5"/>
      <c r="B62" s="7"/>
      <c r="C62" s="5"/>
      <c r="D62" s="21"/>
      <c r="E62" s="9"/>
    </row>
    <row r="63">
      <c r="A63" s="5"/>
      <c r="B63" s="7"/>
      <c r="C63" s="5"/>
      <c r="D63" s="21"/>
      <c r="E63" s="9"/>
    </row>
    <row r="64">
      <c r="A64" s="5"/>
      <c r="B64" s="7"/>
      <c r="C64" s="5"/>
      <c r="D64" s="21"/>
      <c r="E64" s="9"/>
    </row>
    <row r="65">
      <c r="A65" s="5"/>
      <c r="B65" s="7"/>
      <c r="C65" s="5"/>
      <c r="D65" s="21"/>
      <c r="E65" s="9"/>
    </row>
    <row r="66">
      <c r="A66" s="5"/>
      <c r="B66" s="7"/>
      <c r="C66" s="5"/>
      <c r="D66" s="21"/>
      <c r="E66" s="9"/>
    </row>
    <row r="67">
      <c r="A67" s="5"/>
      <c r="B67" s="7"/>
      <c r="C67" s="40"/>
      <c r="D67" s="21"/>
      <c r="E67" s="9"/>
    </row>
    <row r="68">
      <c r="A68" s="5"/>
      <c r="B68" s="7"/>
      <c r="C68" s="21"/>
      <c r="D68" s="21"/>
      <c r="E68" s="9"/>
    </row>
    <row r="69">
      <c r="E69" s="23"/>
    </row>
    <row r="70">
      <c r="E70" s="23"/>
    </row>
    <row r="71">
      <c r="E71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</cols>
  <sheetData>
    <row r="1">
      <c r="A1" s="6"/>
      <c r="B1" s="6"/>
      <c r="C1" s="6"/>
      <c r="D1" s="11">
        <v>1.0</v>
      </c>
      <c r="E1" s="11">
        <v>2.0</v>
      </c>
      <c r="F1" s="11">
        <v>3.0</v>
      </c>
      <c r="G1" s="11">
        <v>4.0</v>
      </c>
      <c r="H1" s="13">
        <v>5.0</v>
      </c>
      <c r="I1" s="13">
        <v>6.0</v>
      </c>
      <c r="J1" s="13"/>
      <c r="K1" s="13"/>
      <c r="L1" s="13"/>
      <c r="M1" s="13"/>
      <c r="N1" s="13"/>
      <c r="O1" s="13"/>
      <c r="P1" s="13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</row>
    <row r="2">
      <c r="A2" s="26" t="s">
        <v>2</v>
      </c>
      <c r="B2" s="26" t="s">
        <v>8</v>
      </c>
      <c r="C2" s="26" t="s">
        <v>11</v>
      </c>
      <c r="D2" s="29" t="s">
        <v>25</v>
      </c>
      <c r="E2" s="29" t="s">
        <v>28</v>
      </c>
      <c r="F2" s="29" t="s">
        <v>31</v>
      </c>
      <c r="G2" s="29" t="s">
        <v>32</v>
      </c>
      <c r="H2" s="29" t="s">
        <v>33</v>
      </c>
      <c r="I2" s="29" t="s">
        <v>35</v>
      </c>
      <c r="J2" s="29" t="s">
        <v>38</v>
      </c>
      <c r="K2" s="29" t="s">
        <v>39</v>
      </c>
      <c r="L2" s="29" t="s">
        <v>40</v>
      </c>
      <c r="M2" s="29" t="s">
        <v>44</v>
      </c>
      <c r="N2" s="29" t="s">
        <v>45</v>
      </c>
      <c r="O2" s="29" t="s">
        <v>46</v>
      </c>
      <c r="P2" s="29" t="s">
        <v>49</v>
      </c>
      <c r="Q2" s="32" t="s">
        <v>51</v>
      </c>
      <c r="R2" s="22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</row>
    <row r="3">
      <c r="A3" s="36">
        <v>1.0</v>
      </c>
      <c r="B3" s="37" t="s">
        <v>66</v>
      </c>
      <c r="C3" s="37" t="s">
        <v>68</v>
      </c>
      <c r="D3" s="38" t="s">
        <v>70</v>
      </c>
      <c r="E3" s="39">
        <v>37.0</v>
      </c>
      <c r="F3" s="39">
        <v>38.0</v>
      </c>
      <c r="G3" s="39">
        <v>37.0</v>
      </c>
      <c r="H3" s="39">
        <v>37.0</v>
      </c>
      <c r="I3" s="39">
        <v>36.0</v>
      </c>
      <c r="J3" s="39">
        <v>37.0</v>
      </c>
      <c r="K3" s="39">
        <v>36.0</v>
      </c>
      <c r="L3" s="40" t="s">
        <v>70</v>
      </c>
      <c r="M3" s="21">
        <v>37.0</v>
      </c>
      <c r="N3" s="21">
        <v>37.0</v>
      </c>
      <c r="O3" s="21">
        <v>38.0</v>
      </c>
      <c r="P3" s="21">
        <v>34.0</v>
      </c>
      <c r="Q3" s="41">
        <f t="shared" ref="Q3:Q68" si="1">Countif(D3:P3,"A")</f>
        <v>2</v>
      </c>
      <c r="R3" s="22"/>
      <c r="S3" s="42" t="str">
        <f>IFERROR(__xludf.DUMMYFUNCTION("TEXTJOIN("", "",TRUE,FILTER(D$1:P$1, D3:P3=""A""))"),"1")</f>
        <v>1</v>
      </c>
      <c r="T3" s="42">
        <f t="shared" ref="T3:T68" si="2">countif(D3:P3,"A")</f>
        <v>2</v>
      </c>
    </row>
    <row r="4">
      <c r="A4" s="36">
        <v>2.0</v>
      </c>
      <c r="B4" s="37" t="s">
        <v>100</v>
      </c>
      <c r="C4" s="37" t="s">
        <v>102</v>
      </c>
      <c r="D4" s="39">
        <v>14.0</v>
      </c>
      <c r="E4" s="39">
        <v>29.0</v>
      </c>
      <c r="F4" s="39">
        <v>37.0</v>
      </c>
      <c r="G4" s="39">
        <v>39.0</v>
      </c>
      <c r="H4" s="39">
        <v>35.0</v>
      </c>
      <c r="I4" s="39">
        <v>36.0</v>
      </c>
      <c r="J4" s="39">
        <v>38.0</v>
      </c>
      <c r="K4" s="39">
        <v>40.0</v>
      </c>
      <c r="L4" s="21">
        <v>40.0</v>
      </c>
      <c r="M4" s="21">
        <v>40.0</v>
      </c>
      <c r="N4" s="21">
        <v>38.0</v>
      </c>
      <c r="O4" s="21">
        <v>40.0</v>
      </c>
      <c r="P4" s="21">
        <v>35.0</v>
      </c>
      <c r="Q4" s="41">
        <f t="shared" si="1"/>
        <v>0</v>
      </c>
      <c r="R4" s="22"/>
      <c r="S4" s="42" t="str">
        <f>IFERROR(__xludf.DUMMYFUNCTION("TEXTJOIN("", "",TRUE,FILTER(D$1:P$1, D4:P4=""A""))"),"#N/A")</f>
        <v>#N/A</v>
      </c>
      <c r="T4" s="42">
        <f t="shared" si="2"/>
        <v>0</v>
      </c>
    </row>
    <row r="5">
      <c r="A5" s="36">
        <v>3.0</v>
      </c>
      <c r="B5" s="37" t="s">
        <v>120</v>
      </c>
      <c r="C5" s="37" t="s">
        <v>122</v>
      </c>
      <c r="D5" s="38" t="s">
        <v>70</v>
      </c>
      <c r="E5" s="39">
        <v>27.0</v>
      </c>
      <c r="F5" s="38" t="s">
        <v>70</v>
      </c>
      <c r="G5" s="38" t="s">
        <v>70</v>
      </c>
      <c r="H5" s="39">
        <v>28.0</v>
      </c>
      <c r="I5" s="39">
        <v>36.0</v>
      </c>
      <c r="J5" s="39">
        <v>35.0</v>
      </c>
      <c r="K5" s="38" t="s">
        <v>70</v>
      </c>
      <c r="L5" s="21">
        <v>39.0</v>
      </c>
      <c r="M5" s="40">
        <v>40.0</v>
      </c>
      <c r="N5" s="21">
        <v>34.0</v>
      </c>
      <c r="O5" s="21">
        <v>38.0</v>
      </c>
      <c r="P5" s="21">
        <v>34.0</v>
      </c>
      <c r="Q5" s="41">
        <f t="shared" si="1"/>
        <v>4</v>
      </c>
      <c r="R5" s="22"/>
      <c r="S5" s="42" t="str">
        <f>IFERROR(__xludf.DUMMYFUNCTION("TEXTJOIN("", "",TRUE,FILTER(D$1:P$1, D5:P5=""A""))"),"1, 3, 4")</f>
        <v>1, 3, 4</v>
      </c>
      <c r="T5" s="42">
        <f t="shared" si="2"/>
        <v>4</v>
      </c>
    </row>
    <row r="6">
      <c r="A6" s="36">
        <v>4.0</v>
      </c>
      <c r="B6" s="37" t="s">
        <v>134</v>
      </c>
      <c r="C6" s="37" t="s">
        <v>135</v>
      </c>
      <c r="D6" s="39">
        <v>33.0</v>
      </c>
      <c r="E6" s="39">
        <v>32.0</v>
      </c>
      <c r="F6" s="39">
        <v>32.0</v>
      </c>
      <c r="G6" s="39">
        <v>16.0</v>
      </c>
      <c r="H6" s="39">
        <v>38.0</v>
      </c>
      <c r="I6" s="39">
        <v>40.0</v>
      </c>
      <c r="J6" s="39">
        <v>40.0</v>
      </c>
      <c r="K6" s="39">
        <v>36.0</v>
      </c>
      <c r="L6" s="21">
        <v>35.0</v>
      </c>
      <c r="M6" s="21">
        <v>37.0</v>
      </c>
      <c r="N6" s="21">
        <v>25.0</v>
      </c>
      <c r="O6" s="40" t="s">
        <v>70</v>
      </c>
      <c r="P6" s="21">
        <v>27.0</v>
      </c>
      <c r="Q6" s="41">
        <f t="shared" si="1"/>
        <v>1</v>
      </c>
      <c r="R6" s="22"/>
      <c r="S6" s="42" t="str">
        <f>IFERROR(__xludf.DUMMYFUNCTION("TEXTJOIN("", "",TRUE,FILTER(D$1:P$1, D6:P6=""A""))"),"")</f>
        <v/>
      </c>
      <c r="T6" s="42">
        <f t="shared" si="2"/>
        <v>1</v>
      </c>
    </row>
    <row r="7">
      <c r="A7" s="36">
        <v>5.0</v>
      </c>
      <c r="B7" s="47" t="s">
        <v>143</v>
      </c>
      <c r="C7" s="47" t="s">
        <v>148</v>
      </c>
      <c r="D7" s="38" t="s">
        <v>70</v>
      </c>
      <c r="E7" s="38" t="s">
        <v>70</v>
      </c>
      <c r="F7" s="38" t="s">
        <v>151</v>
      </c>
      <c r="G7" s="39">
        <v>11.0</v>
      </c>
      <c r="H7" s="39">
        <v>16.0</v>
      </c>
      <c r="I7" s="38" t="s">
        <v>70</v>
      </c>
      <c r="J7" s="39">
        <v>40.0</v>
      </c>
      <c r="K7" s="39">
        <v>38.0</v>
      </c>
      <c r="L7" s="40" t="s">
        <v>70</v>
      </c>
      <c r="M7" s="40" t="s">
        <v>70</v>
      </c>
      <c r="N7" s="21">
        <v>34.0</v>
      </c>
      <c r="O7" s="40" t="s">
        <v>70</v>
      </c>
      <c r="P7" s="40" t="s">
        <v>70</v>
      </c>
      <c r="Q7" s="41">
        <f t="shared" si="1"/>
        <v>7</v>
      </c>
      <c r="R7" s="22"/>
      <c r="S7" s="42" t="str">
        <f>IFERROR(__xludf.DUMMYFUNCTION("TEXTJOIN("", "",TRUE,FILTER(D$1:P$1, D7:P7=""A""))"),"1, 2, 6")</f>
        <v>1, 2, 6</v>
      </c>
      <c r="T7" s="42">
        <f t="shared" si="2"/>
        <v>7</v>
      </c>
    </row>
    <row r="8">
      <c r="A8" s="36">
        <v>6.0</v>
      </c>
      <c r="B8" s="37" t="s">
        <v>172</v>
      </c>
      <c r="C8" s="37" t="s">
        <v>173</v>
      </c>
      <c r="D8" s="38" t="s">
        <v>70</v>
      </c>
      <c r="E8" s="38" t="s">
        <v>70</v>
      </c>
      <c r="F8" s="38" t="s">
        <v>70</v>
      </c>
      <c r="G8" s="39">
        <v>36.0</v>
      </c>
      <c r="H8" s="38" t="s">
        <v>70</v>
      </c>
      <c r="I8" s="38" t="s">
        <v>70</v>
      </c>
      <c r="J8" s="38" t="s">
        <v>70</v>
      </c>
      <c r="K8" s="39">
        <v>39.0</v>
      </c>
      <c r="L8" s="21">
        <v>40.0</v>
      </c>
      <c r="M8" s="21">
        <v>40.0</v>
      </c>
      <c r="N8" s="21">
        <v>37.0</v>
      </c>
      <c r="O8" s="21">
        <v>37.0</v>
      </c>
      <c r="P8" s="21">
        <v>39.0</v>
      </c>
      <c r="Q8" s="41">
        <f t="shared" si="1"/>
        <v>6</v>
      </c>
      <c r="R8" s="22"/>
      <c r="S8" s="42" t="str">
        <f>IFERROR(__xludf.DUMMYFUNCTION("TEXTJOIN("", "",TRUE,FILTER(D$1:P$1, D8:P8=""A""))"),"1, 2, 3, 5, 6")</f>
        <v>1, 2, 3, 5, 6</v>
      </c>
      <c r="T8" s="42">
        <f t="shared" si="2"/>
        <v>6</v>
      </c>
    </row>
    <row r="9">
      <c r="A9" s="36">
        <v>7.0</v>
      </c>
      <c r="B9" s="37" t="s">
        <v>192</v>
      </c>
      <c r="C9" s="37" t="s">
        <v>196</v>
      </c>
      <c r="D9" s="39">
        <v>33.0</v>
      </c>
      <c r="E9" s="39">
        <v>39.0</v>
      </c>
      <c r="F9" s="39">
        <v>35.0</v>
      </c>
      <c r="G9" s="39">
        <v>33.0</v>
      </c>
      <c r="H9" s="39">
        <v>36.0</v>
      </c>
      <c r="I9" s="39">
        <v>34.0</v>
      </c>
      <c r="J9" s="39">
        <v>37.0</v>
      </c>
      <c r="K9" s="39">
        <v>40.0</v>
      </c>
      <c r="L9" s="21">
        <v>39.0</v>
      </c>
      <c r="M9" s="21">
        <v>38.0</v>
      </c>
      <c r="N9" s="21">
        <v>37.0</v>
      </c>
      <c r="O9" s="21">
        <v>38.0</v>
      </c>
      <c r="P9" s="21">
        <v>37.0</v>
      </c>
      <c r="Q9" s="41">
        <f t="shared" si="1"/>
        <v>0</v>
      </c>
      <c r="R9" s="22"/>
      <c r="S9" s="42" t="str">
        <f>IFERROR(__xludf.DUMMYFUNCTION("TEXTJOIN("", "",TRUE,FILTER(D$1:P$1, D9:P9=""A""))"),"#N/A")</f>
        <v>#N/A</v>
      </c>
      <c r="T9" s="42">
        <f t="shared" si="2"/>
        <v>0</v>
      </c>
    </row>
    <row r="10">
      <c r="A10" s="36">
        <v>8.0</v>
      </c>
      <c r="B10" s="37" t="s">
        <v>216</v>
      </c>
      <c r="C10" s="37" t="s">
        <v>217</v>
      </c>
      <c r="D10" s="39">
        <v>36.0</v>
      </c>
      <c r="E10" s="38">
        <v>37.0</v>
      </c>
      <c r="F10" s="38">
        <v>39.0</v>
      </c>
      <c r="G10" s="38">
        <v>37.0</v>
      </c>
      <c r="H10" s="38">
        <v>33.0</v>
      </c>
      <c r="I10" s="38">
        <v>37.0</v>
      </c>
      <c r="J10" s="38">
        <v>40.0</v>
      </c>
      <c r="K10" s="38">
        <v>39.0</v>
      </c>
      <c r="L10" s="40">
        <v>38.0</v>
      </c>
      <c r="M10" s="40">
        <v>40.0</v>
      </c>
      <c r="N10" s="40">
        <v>35.0</v>
      </c>
      <c r="O10" s="40">
        <v>40.0</v>
      </c>
      <c r="P10" s="40">
        <v>40.0</v>
      </c>
      <c r="Q10" s="41">
        <f t="shared" si="1"/>
        <v>0</v>
      </c>
      <c r="R10" s="22"/>
      <c r="S10" s="42" t="str">
        <f>IFERROR(__xludf.DUMMYFUNCTION("TEXTJOIN("", "",TRUE,FILTER(D$1:P$1, D10:P10=""A""))"),"#N/A")</f>
        <v>#N/A</v>
      </c>
      <c r="T10" s="42">
        <f t="shared" si="2"/>
        <v>0</v>
      </c>
    </row>
    <row r="11">
      <c r="A11" s="36">
        <v>9.0</v>
      </c>
      <c r="B11" s="37" t="s">
        <v>229</v>
      </c>
      <c r="C11" s="37" t="s">
        <v>230</v>
      </c>
      <c r="D11" s="38" t="s">
        <v>70</v>
      </c>
      <c r="E11" s="39">
        <v>32.0</v>
      </c>
      <c r="F11" s="39">
        <v>34.0</v>
      </c>
      <c r="G11" s="39">
        <v>35.0</v>
      </c>
      <c r="H11" s="39">
        <v>32.0</v>
      </c>
      <c r="I11" s="39">
        <v>37.0</v>
      </c>
      <c r="J11" s="39">
        <v>40.0</v>
      </c>
      <c r="K11" s="39">
        <v>36.0</v>
      </c>
      <c r="L11" s="21">
        <v>33.0</v>
      </c>
      <c r="M11" s="21">
        <v>34.0</v>
      </c>
      <c r="N11" s="21">
        <v>22.0</v>
      </c>
      <c r="O11" s="21">
        <v>33.0</v>
      </c>
      <c r="P11" s="21">
        <v>34.0</v>
      </c>
      <c r="Q11" s="41">
        <f t="shared" si="1"/>
        <v>1</v>
      </c>
      <c r="R11" s="22"/>
      <c r="S11" s="42" t="str">
        <f>IFERROR(__xludf.DUMMYFUNCTION("TEXTJOIN("", "",TRUE,FILTER(D$1:P$1, D11:P11=""A""))"),"1")</f>
        <v>1</v>
      </c>
      <c r="T11" s="42">
        <f t="shared" si="2"/>
        <v>1</v>
      </c>
    </row>
    <row r="12">
      <c r="A12" s="36">
        <v>10.0</v>
      </c>
      <c r="B12" s="37" t="s">
        <v>240</v>
      </c>
      <c r="C12" s="61" t="s">
        <v>242</v>
      </c>
      <c r="D12" s="39">
        <v>31.0</v>
      </c>
      <c r="E12" s="38" t="s">
        <v>245</v>
      </c>
      <c r="F12" s="39">
        <v>36.0</v>
      </c>
      <c r="G12" s="39">
        <v>38.0</v>
      </c>
      <c r="H12" s="39">
        <v>40.0</v>
      </c>
      <c r="I12" s="39">
        <v>39.0</v>
      </c>
      <c r="J12" s="39">
        <v>40.0</v>
      </c>
      <c r="K12" s="39">
        <v>40.0</v>
      </c>
      <c r="L12" s="21">
        <v>40.0</v>
      </c>
      <c r="M12" s="21">
        <v>40.0</v>
      </c>
      <c r="N12" s="21">
        <v>37.0</v>
      </c>
      <c r="O12" s="21">
        <v>39.0</v>
      </c>
      <c r="P12" s="21">
        <v>40.0</v>
      </c>
      <c r="Q12" s="41">
        <f t="shared" si="1"/>
        <v>0</v>
      </c>
      <c r="R12" s="22"/>
      <c r="S12" s="42" t="str">
        <f>IFERROR(__xludf.DUMMYFUNCTION("TEXTJOIN("", "",TRUE,FILTER(D$1:P$1, D12:P12=""A""))"),"#N/A")</f>
        <v>#N/A</v>
      </c>
      <c r="T12" s="42">
        <f t="shared" si="2"/>
        <v>0</v>
      </c>
    </row>
    <row r="13">
      <c r="A13" s="36">
        <v>11.0</v>
      </c>
      <c r="B13" s="49" t="s">
        <v>253</v>
      </c>
      <c r="C13" s="49" t="s">
        <v>255</v>
      </c>
      <c r="D13" s="38" t="s">
        <v>70</v>
      </c>
      <c r="E13" s="38" t="s">
        <v>70</v>
      </c>
      <c r="F13" s="38" t="s">
        <v>70</v>
      </c>
      <c r="G13" s="38" t="s">
        <v>70</v>
      </c>
      <c r="H13" s="38" t="s">
        <v>70</v>
      </c>
      <c r="I13" s="38" t="s">
        <v>70</v>
      </c>
      <c r="J13" s="38" t="s">
        <v>70</v>
      </c>
      <c r="K13" s="38" t="s">
        <v>70</v>
      </c>
      <c r="L13" s="40" t="s">
        <v>70</v>
      </c>
      <c r="M13" s="40" t="s">
        <v>70</v>
      </c>
      <c r="N13" s="40" t="s">
        <v>70</v>
      </c>
      <c r="O13" s="40" t="s">
        <v>70</v>
      </c>
      <c r="P13" s="40" t="s">
        <v>70</v>
      </c>
      <c r="Q13" s="41">
        <f t="shared" si="1"/>
        <v>13</v>
      </c>
      <c r="R13" s="22"/>
      <c r="S13" s="42" t="str">
        <f>IFERROR(__xludf.DUMMYFUNCTION("TEXTJOIN("", "",TRUE,FILTER(D$1:P$1, D13:P13=""A""))"),"1, 2, 3, 4, 5, 6")</f>
        <v>1, 2, 3, 4, 5, 6</v>
      </c>
      <c r="T13" s="42">
        <f t="shared" si="2"/>
        <v>13</v>
      </c>
    </row>
    <row r="14">
      <c r="A14" s="36">
        <v>12.0</v>
      </c>
      <c r="B14" s="37" t="s">
        <v>265</v>
      </c>
      <c r="C14" s="37" t="s">
        <v>267</v>
      </c>
      <c r="D14" s="38" t="s">
        <v>70</v>
      </c>
      <c r="E14" s="38" t="s">
        <v>70</v>
      </c>
      <c r="F14" s="39">
        <v>37.0</v>
      </c>
      <c r="G14" s="38" t="s">
        <v>70</v>
      </c>
      <c r="H14" s="38" t="s">
        <v>70</v>
      </c>
      <c r="I14" s="38" t="s">
        <v>70</v>
      </c>
      <c r="J14" s="38" t="s">
        <v>70</v>
      </c>
      <c r="K14" s="38" t="s">
        <v>70</v>
      </c>
      <c r="L14" s="40" t="s">
        <v>70</v>
      </c>
      <c r="M14" s="40" t="s">
        <v>70</v>
      </c>
      <c r="N14" s="40" t="s">
        <v>70</v>
      </c>
      <c r="O14" s="40" t="s">
        <v>70</v>
      </c>
      <c r="P14" s="40" t="s">
        <v>70</v>
      </c>
      <c r="Q14" s="41">
        <f t="shared" si="1"/>
        <v>12</v>
      </c>
      <c r="R14" s="22"/>
      <c r="S14" s="42" t="str">
        <f>IFERROR(__xludf.DUMMYFUNCTION("TEXTJOIN("", "",TRUE,FILTER(D$1:P$1, D14:P14=""A""))"),"1, 2, 4, 5, 6")</f>
        <v>1, 2, 4, 5, 6</v>
      </c>
      <c r="T14" s="42">
        <f t="shared" si="2"/>
        <v>12</v>
      </c>
    </row>
    <row r="15">
      <c r="A15" s="36">
        <v>13.0</v>
      </c>
      <c r="B15" s="37" t="s">
        <v>277</v>
      </c>
      <c r="C15" s="37" t="s">
        <v>279</v>
      </c>
      <c r="D15" s="38" t="s">
        <v>70</v>
      </c>
      <c r="E15" s="39">
        <v>39.0</v>
      </c>
      <c r="F15" s="39">
        <v>39.0</v>
      </c>
      <c r="G15" s="39">
        <v>37.0</v>
      </c>
      <c r="H15" s="38" t="s">
        <v>70</v>
      </c>
      <c r="I15" s="39">
        <v>39.0</v>
      </c>
      <c r="J15" s="39">
        <v>39.0</v>
      </c>
      <c r="K15" s="39">
        <v>34.0</v>
      </c>
      <c r="L15" s="21">
        <v>37.0</v>
      </c>
      <c r="M15" s="21">
        <v>38.0</v>
      </c>
      <c r="N15" s="21">
        <v>39.0</v>
      </c>
      <c r="O15" s="21">
        <v>38.0</v>
      </c>
      <c r="P15" s="21">
        <v>40.0</v>
      </c>
      <c r="Q15" s="41">
        <f t="shared" si="1"/>
        <v>2</v>
      </c>
      <c r="R15" s="22"/>
      <c r="S15" s="42" t="str">
        <f>IFERROR(__xludf.DUMMYFUNCTION("TEXTJOIN("", "",TRUE,FILTER(D$1:P$1, D15:P15=""A""))"),"1, 5")</f>
        <v>1, 5</v>
      </c>
      <c r="T15" s="42">
        <f t="shared" si="2"/>
        <v>2</v>
      </c>
    </row>
    <row r="16">
      <c r="A16" s="36">
        <v>14.0</v>
      </c>
      <c r="B16" s="37" t="s">
        <v>288</v>
      </c>
      <c r="C16" s="37" t="s">
        <v>290</v>
      </c>
      <c r="D16" s="39">
        <v>34.0</v>
      </c>
      <c r="E16" s="39">
        <v>37.0</v>
      </c>
      <c r="F16" s="39">
        <v>37.0</v>
      </c>
      <c r="G16" s="39">
        <v>36.0</v>
      </c>
      <c r="H16" s="39">
        <v>38.0</v>
      </c>
      <c r="I16" s="39">
        <v>38.0</v>
      </c>
      <c r="J16" s="39">
        <v>32.0</v>
      </c>
      <c r="K16" s="39">
        <v>39.0</v>
      </c>
      <c r="L16" s="21">
        <v>39.0</v>
      </c>
      <c r="M16" s="40" t="s">
        <v>70</v>
      </c>
      <c r="N16" s="21">
        <v>36.0</v>
      </c>
      <c r="O16" s="21">
        <v>39.0</v>
      </c>
      <c r="P16" s="21">
        <v>38.0</v>
      </c>
      <c r="Q16" s="41">
        <f t="shared" si="1"/>
        <v>1</v>
      </c>
      <c r="R16" s="22"/>
      <c r="S16" s="42" t="str">
        <f>IFERROR(__xludf.DUMMYFUNCTION("TEXTJOIN("", "",TRUE,FILTER(D$1:P$1, D16:P16=""A""))"),"")</f>
        <v/>
      </c>
      <c r="T16" s="42">
        <f t="shared" si="2"/>
        <v>1</v>
      </c>
    </row>
    <row r="17">
      <c r="A17" s="36">
        <v>15.0</v>
      </c>
      <c r="B17" s="37" t="s">
        <v>296</v>
      </c>
      <c r="C17" s="37" t="s">
        <v>297</v>
      </c>
      <c r="D17" s="39">
        <v>28.0</v>
      </c>
      <c r="E17" s="39">
        <v>34.0</v>
      </c>
      <c r="F17" s="39">
        <v>36.0</v>
      </c>
      <c r="G17" s="39">
        <v>39.0</v>
      </c>
      <c r="H17" s="38">
        <v>36.0</v>
      </c>
      <c r="I17" s="39">
        <v>38.0</v>
      </c>
      <c r="J17" s="39">
        <v>38.0</v>
      </c>
      <c r="K17" s="39">
        <v>38.0</v>
      </c>
      <c r="L17" s="21">
        <v>39.0</v>
      </c>
      <c r="M17" s="21">
        <v>37.0</v>
      </c>
      <c r="N17" s="21">
        <v>35.0</v>
      </c>
      <c r="O17" s="21">
        <v>37.0</v>
      </c>
      <c r="P17" s="21">
        <v>36.0</v>
      </c>
      <c r="Q17" s="41">
        <f t="shared" si="1"/>
        <v>0</v>
      </c>
      <c r="R17" s="22"/>
      <c r="S17" s="42" t="str">
        <f>IFERROR(__xludf.DUMMYFUNCTION("TEXTJOIN("", "",TRUE,FILTER(D$1:P$1, D17:P17=""A""))"),"#N/A")</f>
        <v>#N/A</v>
      </c>
      <c r="T17" s="42">
        <f t="shared" si="2"/>
        <v>0</v>
      </c>
    </row>
    <row r="18">
      <c r="A18" s="36">
        <v>16.0</v>
      </c>
      <c r="B18" s="37" t="s">
        <v>305</v>
      </c>
      <c r="C18" s="37" t="s">
        <v>306</v>
      </c>
      <c r="D18" s="39">
        <v>23.0</v>
      </c>
      <c r="E18" s="39">
        <v>39.0</v>
      </c>
      <c r="F18" s="39">
        <v>37.0</v>
      </c>
      <c r="G18" s="38" t="s">
        <v>70</v>
      </c>
      <c r="H18" s="38" t="s">
        <v>70</v>
      </c>
      <c r="I18" s="38">
        <v>34.0</v>
      </c>
      <c r="J18" s="39">
        <v>25.0</v>
      </c>
      <c r="K18" s="39">
        <v>39.0</v>
      </c>
      <c r="L18" s="21">
        <v>40.0</v>
      </c>
      <c r="M18" s="40" t="s">
        <v>70</v>
      </c>
      <c r="N18" s="21">
        <v>36.0</v>
      </c>
      <c r="O18" s="40">
        <v>39.0</v>
      </c>
      <c r="P18" s="40" t="s">
        <v>70</v>
      </c>
      <c r="Q18" s="41">
        <f t="shared" si="1"/>
        <v>4</v>
      </c>
      <c r="R18" s="22"/>
      <c r="S18" s="42" t="str">
        <f>IFERROR(__xludf.DUMMYFUNCTION("TEXTJOIN("", "",TRUE,FILTER(D$1:P$1, D18:P18=""A""))"),"4, 5")</f>
        <v>4, 5</v>
      </c>
      <c r="T18" s="42">
        <f t="shared" si="2"/>
        <v>4</v>
      </c>
    </row>
    <row r="19">
      <c r="A19" s="36">
        <v>17.0</v>
      </c>
      <c r="B19" s="37" t="s">
        <v>315</v>
      </c>
      <c r="C19" s="37" t="s">
        <v>316</v>
      </c>
      <c r="D19" s="39">
        <v>22.0</v>
      </c>
      <c r="E19" s="38" t="s">
        <v>245</v>
      </c>
      <c r="F19" s="39">
        <v>37.0</v>
      </c>
      <c r="G19" s="39">
        <v>38.0</v>
      </c>
      <c r="H19" s="38" t="s">
        <v>70</v>
      </c>
      <c r="I19" s="39">
        <v>40.0</v>
      </c>
      <c r="J19" s="39">
        <v>30.0</v>
      </c>
      <c r="K19" s="39">
        <v>40.0</v>
      </c>
      <c r="L19" s="21">
        <v>40.0</v>
      </c>
      <c r="M19" s="21">
        <v>40.0</v>
      </c>
      <c r="N19" s="21">
        <v>38.0</v>
      </c>
      <c r="O19" s="21">
        <v>40.0</v>
      </c>
      <c r="P19" s="21">
        <v>40.0</v>
      </c>
      <c r="Q19" s="41">
        <f t="shared" si="1"/>
        <v>1</v>
      </c>
      <c r="R19" s="22"/>
      <c r="S19" s="42" t="str">
        <f>IFERROR(__xludf.DUMMYFUNCTION("TEXTJOIN("", "",TRUE,FILTER(D$1:P$1, D19:P19=""A""))"),"5")</f>
        <v>5</v>
      </c>
      <c r="T19" s="42">
        <f t="shared" si="2"/>
        <v>1</v>
      </c>
    </row>
    <row r="20">
      <c r="A20" s="36">
        <v>18.0</v>
      </c>
      <c r="B20" s="37" t="s">
        <v>335</v>
      </c>
      <c r="C20" s="37" t="s">
        <v>337</v>
      </c>
      <c r="D20" s="38" t="s">
        <v>70</v>
      </c>
      <c r="E20" s="38" t="s">
        <v>70</v>
      </c>
      <c r="F20" s="38">
        <v>34.0</v>
      </c>
      <c r="G20" s="38" t="s">
        <v>70</v>
      </c>
      <c r="H20" s="38">
        <v>32.0</v>
      </c>
      <c r="I20" s="38">
        <v>36.0</v>
      </c>
      <c r="J20" s="38">
        <v>37.0</v>
      </c>
      <c r="K20" s="39">
        <v>40.0</v>
      </c>
      <c r="L20" s="40" t="s">
        <v>70</v>
      </c>
      <c r="M20" s="21">
        <v>37.0</v>
      </c>
      <c r="N20" s="40">
        <v>37.0</v>
      </c>
      <c r="O20" s="40">
        <v>35.0</v>
      </c>
      <c r="P20" s="40" t="s">
        <v>70</v>
      </c>
      <c r="Q20" s="41">
        <f t="shared" si="1"/>
        <v>5</v>
      </c>
      <c r="R20" s="22"/>
      <c r="S20" s="42" t="str">
        <f>IFERROR(__xludf.DUMMYFUNCTION("TEXTJOIN("", "",TRUE,FILTER(D$1:P$1, D20:P20=""A""))"),"1, 2, 4")</f>
        <v>1, 2, 4</v>
      </c>
      <c r="T20" s="42">
        <f t="shared" si="2"/>
        <v>5</v>
      </c>
    </row>
    <row r="21">
      <c r="A21" s="36">
        <v>19.0</v>
      </c>
      <c r="B21" s="37" t="s">
        <v>359</v>
      </c>
      <c r="C21" s="37" t="s">
        <v>361</v>
      </c>
      <c r="D21" s="38" t="s">
        <v>70</v>
      </c>
      <c r="E21" s="39">
        <v>39.0</v>
      </c>
      <c r="F21" s="39">
        <v>39.0</v>
      </c>
      <c r="G21" s="39">
        <v>39.0</v>
      </c>
      <c r="H21" s="39">
        <v>36.0</v>
      </c>
      <c r="I21" s="39">
        <v>39.0</v>
      </c>
      <c r="J21" s="39">
        <v>37.0</v>
      </c>
      <c r="K21" s="39">
        <v>34.0</v>
      </c>
      <c r="L21" s="40" t="s">
        <v>70</v>
      </c>
      <c r="M21" s="21">
        <v>39.0</v>
      </c>
      <c r="N21" s="21">
        <v>37.0</v>
      </c>
      <c r="O21" s="21">
        <v>40.0</v>
      </c>
      <c r="P21" s="40" t="s">
        <v>70</v>
      </c>
      <c r="Q21" s="41">
        <f t="shared" si="1"/>
        <v>3</v>
      </c>
      <c r="R21" s="22"/>
      <c r="S21" s="42" t="str">
        <f>IFERROR(__xludf.DUMMYFUNCTION("TEXTJOIN("", "",TRUE,FILTER(D$1:P$1, D21:P21=""A""))"),"1")</f>
        <v>1</v>
      </c>
      <c r="T21" s="42">
        <f t="shared" si="2"/>
        <v>3</v>
      </c>
    </row>
    <row r="22">
      <c r="A22" s="36">
        <v>20.0</v>
      </c>
      <c r="B22" s="37" t="s">
        <v>376</v>
      </c>
      <c r="C22" s="37" t="s">
        <v>377</v>
      </c>
      <c r="D22" s="39">
        <v>26.0</v>
      </c>
      <c r="E22" s="38" t="s">
        <v>387</v>
      </c>
      <c r="F22" s="39">
        <v>31.0</v>
      </c>
      <c r="G22" s="39">
        <v>36.0</v>
      </c>
      <c r="H22" s="38">
        <v>34.0</v>
      </c>
      <c r="I22" s="38">
        <v>36.0</v>
      </c>
      <c r="J22" s="38">
        <v>36.0</v>
      </c>
      <c r="K22" s="38">
        <v>38.0</v>
      </c>
      <c r="L22" s="40">
        <v>40.0</v>
      </c>
      <c r="M22" s="40">
        <v>36.0</v>
      </c>
      <c r="N22" s="40" t="s">
        <v>70</v>
      </c>
      <c r="O22" s="21">
        <v>37.0</v>
      </c>
      <c r="P22" s="21">
        <v>29.0</v>
      </c>
      <c r="Q22" s="41">
        <f t="shared" si="1"/>
        <v>1</v>
      </c>
      <c r="R22" s="22"/>
      <c r="S22" s="42" t="str">
        <f>IFERROR(__xludf.DUMMYFUNCTION("TEXTJOIN("", "",TRUE,FILTER(D$1:P$1, D22:P22=""A""))"),"")</f>
        <v/>
      </c>
      <c r="T22" s="42">
        <f t="shared" si="2"/>
        <v>1</v>
      </c>
    </row>
    <row r="23">
      <c r="A23" s="36">
        <v>21.0</v>
      </c>
      <c r="B23" s="37" t="s">
        <v>380</v>
      </c>
      <c r="C23" s="37" t="s">
        <v>382</v>
      </c>
      <c r="D23" s="38" t="s">
        <v>70</v>
      </c>
      <c r="E23" s="38" t="s">
        <v>70</v>
      </c>
      <c r="F23" s="38" t="s">
        <v>70</v>
      </c>
      <c r="G23" s="39">
        <v>27.0</v>
      </c>
      <c r="H23" s="38" t="s">
        <v>70</v>
      </c>
      <c r="I23" s="39">
        <v>35.0</v>
      </c>
      <c r="J23" s="39">
        <v>38.0</v>
      </c>
      <c r="K23" s="38" t="s">
        <v>70</v>
      </c>
      <c r="L23" s="21">
        <v>31.0</v>
      </c>
      <c r="M23" s="21">
        <v>32.0</v>
      </c>
      <c r="N23" s="40" t="s">
        <v>70</v>
      </c>
      <c r="O23" s="40" t="s">
        <v>70</v>
      </c>
      <c r="P23" s="21">
        <v>27.0</v>
      </c>
      <c r="Q23" s="41">
        <f t="shared" si="1"/>
        <v>7</v>
      </c>
      <c r="R23" s="22"/>
      <c r="S23" s="42" t="str">
        <f>IFERROR(__xludf.DUMMYFUNCTION("TEXTJOIN("", "",TRUE,FILTER(D$1:P$1, D23:P23=""A""))"),"1, 2, 3, 5")</f>
        <v>1, 2, 3, 5</v>
      </c>
      <c r="T23" s="42">
        <f t="shared" si="2"/>
        <v>7</v>
      </c>
    </row>
    <row r="24">
      <c r="A24" s="36">
        <v>22.0</v>
      </c>
      <c r="B24" s="37" t="s">
        <v>383</v>
      </c>
      <c r="C24" s="37" t="s">
        <v>390</v>
      </c>
      <c r="D24" s="39">
        <v>34.0</v>
      </c>
      <c r="E24" s="39">
        <v>36.0</v>
      </c>
      <c r="F24" s="38" t="s">
        <v>245</v>
      </c>
      <c r="G24" s="39">
        <v>33.0</v>
      </c>
      <c r="H24" s="39">
        <v>39.0</v>
      </c>
      <c r="I24" s="39">
        <v>37.0</v>
      </c>
      <c r="J24" s="39">
        <v>39.0</v>
      </c>
      <c r="K24" s="39">
        <v>31.0</v>
      </c>
      <c r="L24" s="21">
        <v>36.0</v>
      </c>
      <c r="M24" s="21">
        <v>35.0</v>
      </c>
      <c r="N24" s="21">
        <v>28.0</v>
      </c>
      <c r="O24" s="21">
        <v>30.0</v>
      </c>
      <c r="P24" s="21">
        <v>35.0</v>
      </c>
      <c r="Q24" s="41">
        <f t="shared" si="1"/>
        <v>0</v>
      </c>
      <c r="R24" s="22"/>
      <c r="S24" s="42" t="str">
        <f>IFERROR(__xludf.DUMMYFUNCTION("TEXTJOIN("", "",TRUE,FILTER(D$1:P$1, D24:P24=""A""))"),"#N/A")</f>
        <v>#N/A</v>
      </c>
      <c r="T24" s="42">
        <f t="shared" si="2"/>
        <v>0</v>
      </c>
    </row>
    <row r="25">
      <c r="A25" s="36">
        <v>23.0</v>
      </c>
      <c r="B25" s="37" t="s">
        <v>397</v>
      </c>
      <c r="C25" s="37" t="s">
        <v>398</v>
      </c>
      <c r="D25" s="39">
        <v>23.0</v>
      </c>
      <c r="E25" s="39">
        <v>35.0</v>
      </c>
      <c r="F25" s="39">
        <v>37.0</v>
      </c>
      <c r="G25" s="39">
        <v>38.0</v>
      </c>
      <c r="H25" s="39">
        <v>36.0</v>
      </c>
      <c r="I25" s="39">
        <v>36.0</v>
      </c>
      <c r="J25" s="39">
        <v>38.0</v>
      </c>
      <c r="K25" s="39">
        <v>40.0</v>
      </c>
      <c r="L25" s="21">
        <v>33.0</v>
      </c>
      <c r="M25" s="21">
        <v>38.0</v>
      </c>
      <c r="N25" s="21">
        <v>35.0</v>
      </c>
      <c r="O25" s="21">
        <v>37.0</v>
      </c>
      <c r="P25" s="21">
        <v>35.0</v>
      </c>
      <c r="Q25" s="41">
        <f t="shared" si="1"/>
        <v>0</v>
      </c>
      <c r="R25" s="22"/>
      <c r="S25" s="42" t="str">
        <f>IFERROR(__xludf.DUMMYFUNCTION("TEXTJOIN("", "",TRUE,FILTER(D$1:P$1, D25:P25=""A""))"),"#N/A")</f>
        <v>#N/A</v>
      </c>
      <c r="T25" s="42">
        <f t="shared" si="2"/>
        <v>0</v>
      </c>
    </row>
    <row r="26">
      <c r="A26" s="36">
        <v>24.0</v>
      </c>
      <c r="B26" s="37" t="s">
        <v>400</v>
      </c>
      <c r="C26" s="37" t="s">
        <v>403</v>
      </c>
      <c r="D26" s="39">
        <v>24.0</v>
      </c>
      <c r="E26" s="39">
        <v>37.0</v>
      </c>
      <c r="F26" s="39">
        <v>39.0</v>
      </c>
      <c r="G26" s="39">
        <v>39.0</v>
      </c>
      <c r="H26" s="39">
        <v>40.0</v>
      </c>
      <c r="I26" s="39">
        <v>37.0</v>
      </c>
      <c r="J26" s="39">
        <v>36.0</v>
      </c>
      <c r="K26" s="39">
        <v>40.0</v>
      </c>
      <c r="L26" s="21">
        <v>40.0</v>
      </c>
      <c r="M26" s="21">
        <v>40.0</v>
      </c>
      <c r="N26" s="21">
        <v>37.0</v>
      </c>
      <c r="O26" s="21">
        <v>38.0</v>
      </c>
      <c r="P26" s="21">
        <v>40.0</v>
      </c>
      <c r="Q26" s="41">
        <f t="shared" si="1"/>
        <v>0</v>
      </c>
      <c r="R26" s="22"/>
      <c r="S26" s="42" t="str">
        <f>IFERROR(__xludf.DUMMYFUNCTION("TEXTJOIN("", "",TRUE,FILTER(D$1:P$1, D26:P26=""A""))"),"#N/A")</f>
        <v>#N/A</v>
      </c>
      <c r="T26" s="42">
        <f t="shared" si="2"/>
        <v>0</v>
      </c>
    </row>
    <row r="27">
      <c r="A27" s="36">
        <v>25.0</v>
      </c>
      <c r="B27" s="37" t="s">
        <v>408</v>
      </c>
      <c r="C27" s="37" t="s">
        <v>409</v>
      </c>
      <c r="D27" s="38" t="s">
        <v>70</v>
      </c>
      <c r="E27" s="39">
        <v>39.0</v>
      </c>
      <c r="F27" s="39">
        <v>39.0</v>
      </c>
      <c r="G27" s="39">
        <v>35.0</v>
      </c>
      <c r="H27" s="39">
        <v>37.0</v>
      </c>
      <c r="I27" s="39">
        <v>36.0</v>
      </c>
      <c r="J27" s="39">
        <v>40.0</v>
      </c>
      <c r="K27" s="39">
        <v>34.0</v>
      </c>
      <c r="L27" s="21">
        <v>35.0</v>
      </c>
      <c r="M27" s="21">
        <v>35.0</v>
      </c>
      <c r="N27" s="21">
        <v>35.0</v>
      </c>
      <c r="O27" s="21">
        <v>34.0</v>
      </c>
      <c r="P27" s="21">
        <v>36.0</v>
      </c>
      <c r="Q27" s="41">
        <f t="shared" si="1"/>
        <v>1</v>
      </c>
      <c r="R27" s="22"/>
      <c r="S27" s="42" t="str">
        <f>IFERROR(__xludf.DUMMYFUNCTION("TEXTJOIN("", "",TRUE,FILTER(D$1:P$1, D27:P27=""A""))"),"1")</f>
        <v>1</v>
      </c>
      <c r="T27" s="42">
        <f t="shared" si="2"/>
        <v>1</v>
      </c>
    </row>
    <row r="28">
      <c r="A28" s="36">
        <v>26.0</v>
      </c>
      <c r="B28" s="37" t="s">
        <v>412</v>
      </c>
      <c r="C28" s="37" t="s">
        <v>413</v>
      </c>
      <c r="D28" s="38" t="s">
        <v>70</v>
      </c>
      <c r="E28" s="39">
        <v>38.0</v>
      </c>
      <c r="F28" s="39">
        <v>37.0</v>
      </c>
      <c r="G28" s="39">
        <v>36.0</v>
      </c>
      <c r="H28" s="39">
        <v>38.0</v>
      </c>
      <c r="I28" s="39">
        <v>39.0</v>
      </c>
      <c r="J28" s="39">
        <v>34.0</v>
      </c>
      <c r="K28" s="39">
        <v>37.0</v>
      </c>
      <c r="L28" s="21">
        <v>40.0</v>
      </c>
      <c r="M28" s="21">
        <v>40.0</v>
      </c>
      <c r="N28" s="21">
        <v>39.0</v>
      </c>
      <c r="O28" s="21">
        <v>40.0</v>
      </c>
      <c r="P28" s="21">
        <v>40.0</v>
      </c>
      <c r="Q28" s="41">
        <f t="shared" si="1"/>
        <v>1</v>
      </c>
      <c r="R28" s="22"/>
      <c r="S28" s="42" t="str">
        <f>IFERROR(__xludf.DUMMYFUNCTION("TEXTJOIN("", "",TRUE,FILTER(D$1:P$1, D28:P28=""A""))"),"1")</f>
        <v>1</v>
      </c>
      <c r="T28" s="42">
        <f t="shared" si="2"/>
        <v>1</v>
      </c>
    </row>
    <row r="29">
      <c r="A29" s="36">
        <v>27.0</v>
      </c>
      <c r="B29" s="37" t="s">
        <v>416</v>
      </c>
      <c r="C29" s="61" t="s">
        <v>417</v>
      </c>
      <c r="D29" s="39">
        <v>27.0</v>
      </c>
      <c r="E29" s="39">
        <v>35.0</v>
      </c>
      <c r="F29" s="39">
        <v>38.0</v>
      </c>
      <c r="G29" s="38">
        <v>33.0</v>
      </c>
      <c r="H29" s="38">
        <v>38.0</v>
      </c>
      <c r="I29" s="38">
        <v>35.0</v>
      </c>
      <c r="J29" s="38">
        <v>36.0</v>
      </c>
      <c r="K29" s="38">
        <v>36.0</v>
      </c>
      <c r="L29" s="40">
        <v>39.0</v>
      </c>
      <c r="M29" s="40">
        <v>40.0</v>
      </c>
      <c r="N29" s="40">
        <v>32.0</v>
      </c>
      <c r="O29" s="40" t="s">
        <v>70</v>
      </c>
      <c r="P29" s="40">
        <v>36.0</v>
      </c>
      <c r="Q29" s="41">
        <f t="shared" si="1"/>
        <v>1</v>
      </c>
      <c r="R29" s="22"/>
      <c r="S29" s="42" t="str">
        <f>IFERROR(__xludf.DUMMYFUNCTION("TEXTJOIN("", "",TRUE,FILTER(D$1:P$1, D29:P29=""A""))"),"")</f>
        <v/>
      </c>
      <c r="T29" s="42">
        <f t="shared" si="2"/>
        <v>1</v>
      </c>
    </row>
    <row r="30">
      <c r="A30" s="36">
        <v>28.0</v>
      </c>
      <c r="B30" s="47" t="s">
        <v>423</v>
      </c>
      <c r="C30" s="47" t="s">
        <v>424</v>
      </c>
      <c r="D30" s="39">
        <v>27.0</v>
      </c>
      <c r="E30" s="39">
        <v>38.0</v>
      </c>
      <c r="F30" s="38" t="s">
        <v>245</v>
      </c>
      <c r="G30" s="39">
        <v>39.0</v>
      </c>
      <c r="H30" s="39">
        <v>40.0</v>
      </c>
      <c r="I30" s="39">
        <v>39.0</v>
      </c>
      <c r="J30" s="39">
        <v>36.0</v>
      </c>
      <c r="K30" s="39">
        <v>40.0</v>
      </c>
      <c r="L30" s="21">
        <v>40.0</v>
      </c>
      <c r="M30" s="21">
        <v>38.0</v>
      </c>
      <c r="N30" s="21">
        <v>39.0</v>
      </c>
      <c r="O30" s="21">
        <v>40.0</v>
      </c>
      <c r="P30" s="21">
        <v>40.0</v>
      </c>
      <c r="Q30" s="41">
        <f t="shared" si="1"/>
        <v>0</v>
      </c>
      <c r="R30" s="22"/>
      <c r="S30" s="42" t="str">
        <f>IFERROR(__xludf.DUMMYFUNCTION("TEXTJOIN("", "",TRUE,FILTER(D$1:P$1, D30:P30=""A""))"),"#N/A")</f>
        <v>#N/A</v>
      </c>
      <c r="T30" s="42">
        <f t="shared" si="2"/>
        <v>0</v>
      </c>
    </row>
    <row r="31">
      <c r="A31" s="36">
        <v>29.0</v>
      </c>
      <c r="B31" s="37" t="s">
        <v>428</v>
      </c>
      <c r="C31" s="37" t="s">
        <v>429</v>
      </c>
      <c r="D31" s="39">
        <v>33.0</v>
      </c>
      <c r="E31" s="39">
        <v>33.0</v>
      </c>
      <c r="F31" s="39">
        <v>34.0</v>
      </c>
      <c r="G31" s="39">
        <v>35.0</v>
      </c>
      <c r="H31" s="39">
        <v>37.0</v>
      </c>
      <c r="I31" s="39">
        <v>39.0</v>
      </c>
      <c r="J31" s="39">
        <v>40.0</v>
      </c>
      <c r="K31" s="39">
        <v>37.0</v>
      </c>
      <c r="L31" s="21">
        <v>38.0</v>
      </c>
      <c r="M31" s="21">
        <v>40.0</v>
      </c>
      <c r="N31" s="21">
        <v>36.0</v>
      </c>
      <c r="O31" s="21">
        <v>40.0</v>
      </c>
      <c r="P31" s="21">
        <v>38.0</v>
      </c>
      <c r="Q31" s="41">
        <f t="shared" si="1"/>
        <v>0</v>
      </c>
      <c r="R31" s="22"/>
      <c r="S31" s="42" t="str">
        <f>IFERROR(__xludf.DUMMYFUNCTION("TEXTJOIN("", "",TRUE,FILTER(D$1:P$1, D31:P31=""A""))"),"#N/A")</f>
        <v>#N/A</v>
      </c>
      <c r="T31" s="42">
        <f t="shared" si="2"/>
        <v>0</v>
      </c>
    </row>
    <row r="32">
      <c r="A32" s="36">
        <v>30.0</v>
      </c>
      <c r="B32" s="37" t="s">
        <v>433</v>
      </c>
      <c r="C32" s="37" t="s">
        <v>434</v>
      </c>
      <c r="D32" s="38" t="s">
        <v>70</v>
      </c>
      <c r="E32" s="39">
        <v>36.0</v>
      </c>
      <c r="F32" s="38" t="s">
        <v>245</v>
      </c>
      <c r="G32" s="38" t="s">
        <v>70</v>
      </c>
      <c r="H32" s="39">
        <v>32.0</v>
      </c>
      <c r="I32" s="38" t="s">
        <v>70</v>
      </c>
      <c r="J32" s="39">
        <v>39.0</v>
      </c>
      <c r="K32" s="39">
        <v>33.0</v>
      </c>
      <c r="L32" s="21">
        <v>40.0</v>
      </c>
      <c r="M32" s="40" t="s">
        <v>70</v>
      </c>
      <c r="N32" s="21">
        <v>37.0</v>
      </c>
      <c r="O32" s="21">
        <v>38.0</v>
      </c>
      <c r="P32" s="21">
        <v>34.0</v>
      </c>
      <c r="Q32" s="41">
        <f t="shared" si="1"/>
        <v>4</v>
      </c>
      <c r="R32" s="22"/>
      <c r="S32" s="42" t="str">
        <f>IFERROR(__xludf.DUMMYFUNCTION("TEXTJOIN("", "",TRUE,FILTER(D$1:P$1, D32:P32=""A""))"),"1, 4, 6")</f>
        <v>1, 4, 6</v>
      </c>
      <c r="T32" s="42">
        <f t="shared" si="2"/>
        <v>4</v>
      </c>
    </row>
    <row r="33">
      <c r="A33" s="36">
        <v>31.0</v>
      </c>
      <c r="B33" s="37" t="s">
        <v>438</v>
      </c>
      <c r="C33" s="37" t="s">
        <v>439</v>
      </c>
      <c r="D33" s="39">
        <v>27.0</v>
      </c>
      <c r="E33" s="39">
        <v>35.0</v>
      </c>
      <c r="F33" s="39">
        <v>35.0</v>
      </c>
      <c r="G33" s="39">
        <v>34.0</v>
      </c>
      <c r="H33" s="39">
        <v>35.0</v>
      </c>
      <c r="I33" s="39">
        <v>37.0</v>
      </c>
      <c r="J33" s="39">
        <v>40.0</v>
      </c>
      <c r="K33" s="39">
        <v>37.0</v>
      </c>
      <c r="L33" s="21">
        <v>33.0</v>
      </c>
      <c r="M33" s="21">
        <v>33.0</v>
      </c>
      <c r="N33" s="21">
        <v>36.0</v>
      </c>
      <c r="O33" s="21">
        <v>38.0</v>
      </c>
      <c r="P33" s="21">
        <v>36.0</v>
      </c>
      <c r="Q33" s="41">
        <f t="shared" si="1"/>
        <v>0</v>
      </c>
      <c r="R33" s="22"/>
      <c r="S33" s="42" t="str">
        <f>IFERROR(__xludf.DUMMYFUNCTION("TEXTJOIN("", "",TRUE,FILTER(D$1:P$1, D33:P33=""A""))"),"#N/A")</f>
        <v>#N/A</v>
      </c>
      <c r="T33" s="42">
        <f t="shared" si="2"/>
        <v>0</v>
      </c>
    </row>
    <row r="34">
      <c r="A34" s="36">
        <v>32.0</v>
      </c>
      <c r="B34" s="37" t="s">
        <v>441</v>
      </c>
      <c r="C34" s="37" t="s">
        <v>442</v>
      </c>
      <c r="D34" s="39">
        <v>27.0</v>
      </c>
      <c r="E34" s="39">
        <v>37.0</v>
      </c>
      <c r="F34" s="38">
        <v>38.0</v>
      </c>
      <c r="G34" s="38">
        <v>39.0</v>
      </c>
      <c r="H34" s="38">
        <v>40.0</v>
      </c>
      <c r="I34" s="39">
        <v>40.0</v>
      </c>
      <c r="J34" s="38">
        <v>40.0</v>
      </c>
      <c r="K34" s="38" t="s">
        <v>70</v>
      </c>
      <c r="L34" s="40" t="s">
        <v>70</v>
      </c>
      <c r="M34" s="21">
        <v>37.0</v>
      </c>
      <c r="N34" s="40">
        <v>39.0</v>
      </c>
      <c r="O34" s="21">
        <v>40.0</v>
      </c>
      <c r="P34" s="21">
        <v>40.0</v>
      </c>
      <c r="Q34" s="41">
        <f t="shared" si="1"/>
        <v>2</v>
      </c>
      <c r="R34" s="22"/>
      <c r="S34" s="42" t="str">
        <f>IFERROR(__xludf.DUMMYFUNCTION("TEXTJOIN("", "",TRUE,FILTER(D$1:P$1, D34:P34=""A""))"),"")</f>
        <v/>
      </c>
      <c r="T34" s="42">
        <f t="shared" si="2"/>
        <v>2</v>
      </c>
    </row>
    <row r="35">
      <c r="A35" s="36">
        <v>33.0</v>
      </c>
      <c r="B35" s="37" t="s">
        <v>445</v>
      </c>
      <c r="C35" s="37" t="s">
        <v>446</v>
      </c>
      <c r="D35" s="39">
        <v>33.0</v>
      </c>
      <c r="E35" s="39">
        <v>33.0</v>
      </c>
      <c r="F35" s="39">
        <v>33.0</v>
      </c>
      <c r="G35" s="39">
        <v>32.0</v>
      </c>
      <c r="H35" s="39">
        <v>32.0</v>
      </c>
      <c r="I35" s="39">
        <v>32.0</v>
      </c>
      <c r="J35" s="39">
        <v>34.0</v>
      </c>
      <c r="K35" s="39">
        <v>38.0</v>
      </c>
      <c r="L35" s="21">
        <v>37.0</v>
      </c>
      <c r="M35" s="21">
        <v>36.0</v>
      </c>
      <c r="N35" s="21">
        <v>37.0</v>
      </c>
      <c r="O35" s="40" t="s">
        <v>70</v>
      </c>
      <c r="P35" s="40" t="s">
        <v>70</v>
      </c>
      <c r="Q35" s="41">
        <f t="shared" si="1"/>
        <v>2</v>
      </c>
      <c r="R35" s="22"/>
      <c r="S35" s="42" t="str">
        <f>IFERROR(__xludf.DUMMYFUNCTION("TEXTJOIN("", "",TRUE,FILTER(D$1:P$1, D35:P35=""A""))"),"")</f>
        <v/>
      </c>
      <c r="T35" s="42">
        <f t="shared" si="2"/>
        <v>2</v>
      </c>
    </row>
    <row r="36">
      <c r="A36" s="36">
        <v>34.0</v>
      </c>
      <c r="B36" s="37" t="s">
        <v>449</v>
      </c>
      <c r="C36" s="37" t="s">
        <v>450</v>
      </c>
      <c r="D36" s="39">
        <v>29.0</v>
      </c>
      <c r="E36" s="39">
        <v>38.0</v>
      </c>
      <c r="F36" s="39">
        <v>37.0</v>
      </c>
      <c r="G36" s="39">
        <v>36.0</v>
      </c>
      <c r="H36" s="39">
        <v>36.0</v>
      </c>
      <c r="I36" s="39">
        <v>36.0</v>
      </c>
      <c r="J36" s="39">
        <v>38.0</v>
      </c>
      <c r="K36" s="39">
        <v>36.0</v>
      </c>
      <c r="L36" s="21">
        <v>39.0</v>
      </c>
      <c r="M36" s="21">
        <v>38.0</v>
      </c>
      <c r="N36" s="21">
        <v>38.0</v>
      </c>
      <c r="O36" s="21">
        <v>40.0</v>
      </c>
      <c r="P36" s="21">
        <v>39.0</v>
      </c>
      <c r="Q36" s="41">
        <f t="shared" si="1"/>
        <v>0</v>
      </c>
      <c r="R36" s="22"/>
      <c r="S36" s="42" t="str">
        <f>IFERROR(__xludf.DUMMYFUNCTION("TEXTJOIN("", "",TRUE,FILTER(D$1:P$1, D36:P36=""A""))"),"#N/A")</f>
        <v>#N/A</v>
      </c>
      <c r="T36" s="42">
        <f t="shared" si="2"/>
        <v>0</v>
      </c>
    </row>
    <row r="37">
      <c r="A37" s="36">
        <v>35.0</v>
      </c>
      <c r="B37" s="37" t="s">
        <v>452</v>
      </c>
      <c r="C37" s="37" t="s">
        <v>453</v>
      </c>
      <c r="D37" s="38" t="s">
        <v>70</v>
      </c>
      <c r="E37" s="39">
        <v>32.0</v>
      </c>
      <c r="F37" s="39">
        <v>37.0</v>
      </c>
      <c r="G37" s="38" t="s">
        <v>70</v>
      </c>
      <c r="H37" s="39">
        <v>36.0</v>
      </c>
      <c r="I37" s="38" t="s">
        <v>70</v>
      </c>
      <c r="J37" s="39">
        <v>37.0</v>
      </c>
      <c r="K37" s="38" t="s">
        <v>70</v>
      </c>
      <c r="L37" s="21">
        <v>39.0</v>
      </c>
      <c r="M37" s="40" t="s">
        <v>70</v>
      </c>
      <c r="N37" s="40" t="s">
        <v>70</v>
      </c>
      <c r="O37" s="21">
        <v>35.0</v>
      </c>
      <c r="P37" s="21">
        <v>39.0</v>
      </c>
      <c r="Q37" s="41">
        <f t="shared" si="1"/>
        <v>6</v>
      </c>
      <c r="R37" s="22"/>
      <c r="S37" s="42" t="str">
        <f>IFERROR(__xludf.DUMMYFUNCTION("TEXTJOIN("", "",TRUE,FILTER(D$1:P$1, D37:P37=""A""))"),"1, 4, 6")</f>
        <v>1, 4, 6</v>
      </c>
      <c r="T37" s="42">
        <f t="shared" si="2"/>
        <v>6</v>
      </c>
    </row>
    <row r="38">
      <c r="A38" s="36">
        <v>36.0</v>
      </c>
      <c r="B38" s="47" t="s">
        <v>458</v>
      </c>
      <c r="C38" s="47" t="s">
        <v>459</v>
      </c>
      <c r="D38" s="38" t="s">
        <v>70</v>
      </c>
      <c r="E38" s="39">
        <v>35.0</v>
      </c>
      <c r="F38" s="38" t="s">
        <v>70</v>
      </c>
      <c r="G38" s="38">
        <v>33.0</v>
      </c>
      <c r="H38" s="38">
        <v>35.0</v>
      </c>
      <c r="I38" s="39">
        <v>36.0</v>
      </c>
      <c r="J38" s="39">
        <v>34.0</v>
      </c>
      <c r="K38" s="39">
        <v>40.0</v>
      </c>
      <c r="L38" s="21">
        <v>38.0</v>
      </c>
      <c r="M38" s="40">
        <v>37.0</v>
      </c>
      <c r="N38" s="21">
        <v>36.0</v>
      </c>
      <c r="O38" s="21">
        <v>38.0</v>
      </c>
      <c r="P38" s="21">
        <v>36.0</v>
      </c>
      <c r="Q38" s="41">
        <f t="shared" si="1"/>
        <v>2</v>
      </c>
      <c r="R38" s="22"/>
      <c r="S38" s="42" t="str">
        <f>IFERROR(__xludf.DUMMYFUNCTION("TEXTJOIN("", "",TRUE,FILTER(D$1:P$1, D38:P38=""A""))"),"1, 3")</f>
        <v>1, 3</v>
      </c>
      <c r="T38" s="42">
        <f t="shared" si="2"/>
        <v>2</v>
      </c>
    </row>
    <row r="39">
      <c r="A39" s="36">
        <v>37.0</v>
      </c>
      <c r="B39" s="37" t="s">
        <v>464</v>
      </c>
      <c r="C39" s="37" t="s">
        <v>465</v>
      </c>
      <c r="D39" s="38" t="s">
        <v>70</v>
      </c>
      <c r="E39" s="39">
        <v>28.0</v>
      </c>
      <c r="F39" s="38" t="s">
        <v>70</v>
      </c>
      <c r="G39" s="39">
        <v>36.0</v>
      </c>
      <c r="H39" s="38" t="s">
        <v>70</v>
      </c>
      <c r="I39" s="39">
        <v>36.0</v>
      </c>
      <c r="J39" s="39">
        <v>40.0</v>
      </c>
      <c r="K39" s="39">
        <v>39.0</v>
      </c>
      <c r="L39" s="21">
        <v>38.0</v>
      </c>
      <c r="M39" s="21">
        <v>39.0</v>
      </c>
      <c r="N39" s="21">
        <v>33.0</v>
      </c>
      <c r="O39" s="21">
        <v>35.0</v>
      </c>
      <c r="P39" s="40">
        <v>36.0</v>
      </c>
      <c r="Q39" s="41">
        <f t="shared" si="1"/>
        <v>3</v>
      </c>
      <c r="R39" s="22"/>
      <c r="S39" s="42" t="str">
        <f>IFERROR(__xludf.DUMMYFUNCTION("TEXTJOIN("", "",TRUE,FILTER(D$1:P$1, D39:P39=""A""))"),"1, 3, 5")</f>
        <v>1, 3, 5</v>
      </c>
      <c r="T39" s="42">
        <f t="shared" si="2"/>
        <v>3</v>
      </c>
    </row>
    <row r="40">
      <c r="A40" s="36">
        <v>38.0</v>
      </c>
      <c r="B40" s="36" t="s">
        <v>471</v>
      </c>
      <c r="C40" s="80" t="s">
        <v>473</v>
      </c>
      <c r="D40" s="38" t="s">
        <v>151</v>
      </c>
      <c r="E40" s="39">
        <v>36.0</v>
      </c>
      <c r="F40" s="39">
        <v>35.0</v>
      </c>
      <c r="G40" s="39">
        <v>38.0</v>
      </c>
      <c r="H40" s="39">
        <v>36.0</v>
      </c>
      <c r="I40" s="39">
        <v>38.0</v>
      </c>
      <c r="J40" s="39">
        <v>38.0</v>
      </c>
      <c r="K40" s="39">
        <v>40.0</v>
      </c>
      <c r="L40" s="21">
        <v>40.0</v>
      </c>
      <c r="M40" s="21">
        <v>37.0</v>
      </c>
      <c r="N40" s="21">
        <v>36.0</v>
      </c>
      <c r="O40" s="21">
        <v>35.0</v>
      </c>
      <c r="P40" s="21">
        <v>39.0</v>
      </c>
      <c r="Q40" s="41">
        <f t="shared" si="1"/>
        <v>0</v>
      </c>
      <c r="R40" s="22"/>
      <c r="S40" s="42" t="str">
        <f>IFERROR(__xludf.DUMMYFUNCTION("TEXTJOIN("", "",TRUE,FILTER(D$1:P$1, D40:P40=""A""))"),"#N/A")</f>
        <v>#N/A</v>
      </c>
      <c r="T40" s="42">
        <f t="shared" si="2"/>
        <v>0</v>
      </c>
    </row>
    <row r="41">
      <c r="A41" s="36">
        <v>39.0</v>
      </c>
      <c r="B41" s="38" t="s">
        <v>477</v>
      </c>
      <c r="C41" s="36" t="s">
        <v>478</v>
      </c>
      <c r="D41" s="38" t="s">
        <v>70</v>
      </c>
      <c r="E41" s="38" t="s">
        <v>70</v>
      </c>
      <c r="F41" s="38">
        <v>36.0</v>
      </c>
      <c r="G41" s="39">
        <v>36.0</v>
      </c>
      <c r="H41" s="39">
        <v>36.0</v>
      </c>
      <c r="I41" s="39">
        <v>38.0</v>
      </c>
      <c r="J41" s="39">
        <v>36.0</v>
      </c>
      <c r="K41" s="39">
        <v>38.0</v>
      </c>
      <c r="L41" s="21">
        <v>40.0</v>
      </c>
      <c r="M41" s="21">
        <v>40.0</v>
      </c>
      <c r="N41" s="21">
        <v>36.0</v>
      </c>
      <c r="O41" s="40" t="s">
        <v>70</v>
      </c>
      <c r="P41" s="21">
        <v>30.0</v>
      </c>
      <c r="Q41" s="41">
        <f t="shared" si="1"/>
        <v>3</v>
      </c>
      <c r="R41" s="22"/>
      <c r="S41" s="42" t="str">
        <f>IFERROR(__xludf.DUMMYFUNCTION("TEXTJOIN("", "",TRUE,FILTER(D$1:P$1, D41:P41=""A""))"),"1, 2")</f>
        <v>1, 2</v>
      </c>
      <c r="T41" s="42">
        <f t="shared" si="2"/>
        <v>3</v>
      </c>
    </row>
    <row r="42">
      <c r="A42" s="36">
        <v>40.0</v>
      </c>
      <c r="B42" s="37" t="s">
        <v>480</v>
      </c>
      <c r="C42" s="37" t="s">
        <v>482</v>
      </c>
      <c r="D42" s="39">
        <v>34.0</v>
      </c>
      <c r="E42" s="39">
        <v>38.0</v>
      </c>
      <c r="F42" s="39">
        <v>37.0</v>
      </c>
      <c r="G42" s="39">
        <v>37.0</v>
      </c>
      <c r="H42" s="39">
        <v>36.0</v>
      </c>
      <c r="I42" s="39">
        <v>38.0</v>
      </c>
      <c r="J42" s="39">
        <v>40.0</v>
      </c>
      <c r="K42" s="39">
        <v>35.0</v>
      </c>
      <c r="L42" s="21">
        <v>38.0</v>
      </c>
      <c r="M42" s="21">
        <v>38.0</v>
      </c>
      <c r="N42" s="21">
        <v>34.0</v>
      </c>
      <c r="O42" s="21">
        <v>34.0</v>
      </c>
      <c r="P42" s="21">
        <v>35.0</v>
      </c>
      <c r="Q42" s="41">
        <f t="shared" si="1"/>
        <v>0</v>
      </c>
      <c r="R42" s="22"/>
      <c r="S42" s="42" t="str">
        <f>IFERROR(__xludf.DUMMYFUNCTION("TEXTJOIN("", "",TRUE,FILTER(D$1:P$1, D42:P42=""A""))"),"#N/A")</f>
        <v>#N/A</v>
      </c>
      <c r="T42" s="42">
        <f t="shared" si="2"/>
        <v>0</v>
      </c>
    </row>
    <row r="43">
      <c r="A43" s="36">
        <v>41.0</v>
      </c>
      <c r="B43" s="37" t="s">
        <v>485</v>
      </c>
      <c r="C43" s="37" t="s">
        <v>487</v>
      </c>
      <c r="D43" s="38" t="s">
        <v>387</v>
      </c>
      <c r="E43" s="39">
        <v>38.0</v>
      </c>
      <c r="F43" s="39">
        <v>38.0</v>
      </c>
      <c r="G43" s="39">
        <v>37.0</v>
      </c>
      <c r="H43" s="39">
        <v>40.0</v>
      </c>
      <c r="I43" s="39">
        <v>37.0</v>
      </c>
      <c r="J43" s="38" t="s">
        <v>70</v>
      </c>
      <c r="K43" s="39">
        <v>35.0</v>
      </c>
      <c r="L43" s="21">
        <v>40.0</v>
      </c>
      <c r="M43" s="21">
        <v>38.0</v>
      </c>
      <c r="N43" s="21">
        <v>39.0</v>
      </c>
      <c r="O43" s="21">
        <v>39.0</v>
      </c>
      <c r="P43" s="40" t="s">
        <v>70</v>
      </c>
      <c r="Q43" s="41">
        <f t="shared" si="1"/>
        <v>2</v>
      </c>
      <c r="R43" s="22"/>
      <c r="S43" s="42" t="str">
        <f>IFERROR(__xludf.DUMMYFUNCTION("TEXTJOIN("", "",TRUE,FILTER(D$1:P$1, D43:P43=""A""))"),"")</f>
        <v/>
      </c>
      <c r="T43" s="42">
        <f t="shared" si="2"/>
        <v>2</v>
      </c>
    </row>
    <row r="44">
      <c r="A44" s="36">
        <v>42.0</v>
      </c>
      <c r="B44" s="37" t="s">
        <v>489</v>
      </c>
      <c r="C44" s="37" t="s">
        <v>491</v>
      </c>
      <c r="D44" s="38" t="s">
        <v>387</v>
      </c>
      <c r="E44" s="39">
        <v>28.0</v>
      </c>
      <c r="F44" s="39">
        <v>33.0</v>
      </c>
      <c r="G44" s="38" t="s">
        <v>387</v>
      </c>
      <c r="H44" s="39">
        <v>31.0</v>
      </c>
      <c r="I44" s="39">
        <v>33.0</v>
      </c>
      <c r="J44" s="39">
        <v>33.0</v>
      </c>
      <c r="K44" s="39">
        <v>33.0</v>
      </c>
      <c r="L44" s="21">
        <v>34.0</v>
      </c>
      <c r="M44" s="21">
        <v>35.0</v>
      </c>
      <c r="N44" s="21">
        <v>34.0</v>
      </c>
      <c r="O44" s="21">
        <v>33.0</v>
      </c>
      <c r="P44" s="21">
        <v>32.0</v>
      </c>
      <c r="Q44" s="41">
        <f t="shared" si="1"/>
        <v>0</v>
      </c>
      <c r="R44" s="22"/>
      <c r="S44" s="42" t="str">
        <f>IFERROR(__xludf.DUMMYFUNCTION("TEXTJOIN("", "",TRUE,FILTER(D$1:P$1, D44:P44=""A""))"),"#N/A")</f>
        <v>#N/A</v>
      </c>
      <c r="T44" s="42">
        <f t="shared" si="2"/>
        <v>0</v>
      </c>
    </row>
    <row r="45">
      <c r="A45" s="36">
        <v>43.0</v>
      </c>
      <c r="B45" s="37" t="s">
        <v>496</v>
      </c>
      <c r="C45" s="37" t="s">
        <v>498</v>
      </c>
      <c r="D45" s="38" t="s">
        <v>70</v>
      </c>
      <c r="E45" s="39">
        <v>35.0</v>
      </c>
      <c r="F45" s="39">
        <v>37.0</v>
      </c>
      <c r="G45" s="39">
        <v>36.0</v>
      </c>
      <c r="H45" s="39">
        <v>36.0</v>
      </c>
      <c r="I45" s="39">
        <v>36.0</v>
      </c>
      <c r="J45" s="39">
        <v>33.0</v>
      </c>
      <c r="K45" s="38" t="s">
        <v>70</v>
      </c>
      <c r="L45" s="21">
        <v>40.0</v>
      </c>
      <c r="M45" s="21">
        <v>39.0</v>
      </c>
      <c r="N45" s="21">
        <v>38.0</v>
      </c>
      <c r="O45" s="21">
        <v>40.0</v>
      </c>
      <c r="P45" s="21">
        <v>38.0</v>
      </c>
      <c r="Q45" s="41">
        <f t="shared" si="1"/>
        <v>2</v>
      </c>
      <c r="R45" s="22"/>
      <c r="S45" s="42" t="str">
        <f>IFERROR(__xludf.DUMMYFUNCTION("TEXTJOIN("", "",TRUE,FILTER(D$1:P$1, D45:P45=""A""))"),"1")</f>
        <v>1</v>
      </c>
      <c r="T45" s="42">
        <f t="shared" si="2"/>
        <v>2</v>
      </c>
    </row>
    <row r="46">
      <c r="A46" s="36">
        <v>44.0</v>
      </c>
      <c r="B46" s="37" t="s">
        <v>501</v>
      </c>
      <c r="C46" s="37" t="s">
        <v>503</v>
      </c>
      <c r="D46" s="39">
        <v>31.0</v>
      </c>
      <c r="E46" s="39">
        <v>36.0</v>
      </c>
      <c r="F46" s="39">
        <v>37.0</v>
      </c>
      <c r="G46" s="38" t="s">
        <v>70</v>
      </c>
      <c r="H46" s="39">
        <v>36.0</v>
      </c>
      <c r="I46" s="39">
        <v>39.0</v>
      </c>
      <c r="J46" s="39">
        <v>35.0</v>
      </c>
      <c r="K46" s="39">
        <v>31.0</v>
      </c>
      <c r="L46" s="21">
        <v>35.0</v>
      </c>
      <c r="M46" s="21">
        <v>36.0</v>
      </c>
      <c r="N46" s="21">
        <v>20.0</v>
      </c>
      <c r="O46" s="21">
        <v>18.0</v>
      </c>
      <c r="P46" s="21">
        <v>24.0</v>
      </c>
      <c r="Q46" s="41">
        <f t="shared" si="1"/>
        <v>1</v>
      </c>
      <c r="R46" s="22"/>
      <c r="S46" s="42" t="str">
        <f>IFERROR(__xludf.DUMMYFUNCTION("TEXTJOIN("", "",TRUE,FILTER(D$1:P$1, D46:P46=""A""))"),"4")</f>
        <v>4</v>
      </c>
      <c r="T46" s="42">
        <f t="shared" si="2"/>
        <v>1</v>
      </c>
    </row>
    <row r="47">
      <c r="A47" s="36">
        <v>45.0</v>
      </c>
      <c r="B47" s="37" t="s">
        <v>506</v>
      </c>
      <c r="C47" s="37" t="s">
        <v>507</v>
      </c>
      <c r="D47" s="39">
        <v>29.0</v>
      </c>
      <c r="E47" s="39">
        <v>39.0</v>
      </c>
      <c r="F47" s="38" t="s">
        <v>245</v>
      </c>
      <c r="G47" s="39">
        <v>39.0</v>
      </c>
      <c r="H47" s="39">
        <v>40.0</v>
      </c>
      <c r="I47" s="39">
        <v>39.0</v>
      </c>
      <c r="J47" s="39">
        <v>37.0</v>
      </c>
      <c r="K47" s="39">
        <v>33.0</v>
      </c>
      <c r="L47" s="21">
        <v>40.0</v>
      </c>
      <c r="M47" s="21">
        <v>40.0</v>
      </c>
      <c r="N47" s="21">
        <v>39.0</v>
      </c>
      <c r="O47" s="21">
        <v>40.0</v>
      </c>
      <c r="P47" s="40">
        <v>40.0</v>
      </c>
      <c r="Q47" s="41">
        <f t="shared" si="1"/>
        <v>0</v>
      </c>
      <c r="R47" s="22"/>
      <c r="S47" s="42" t="str">
        <f>IFERROR(__xludf.DUMMYFUNCTION("TEXTJOIN("", "",TRUE,FILTER(D$1:P$1, D47:P47=""A""))"),"#N/A")</f>
        <v>#N/A</v>
      </c>
      <c r="T47" s="42">
        <f t="shared" si="2"/>
        <v>0</v>
      </c>
    </row>
    <row r="48">
      <c r="A48" s="36">
        <v>46.0</v>
      </c>
      <c r="B48" s="37" t="s">
        <v>510</v>
      </c>
      <c r="C48" s="37" t="s">
        <v>512</v>
      </c>
      <c r="D48" s="39">
        <v>41.0</v>
      </c>
      <c r="E48" s="39">
        <v>34.0</v>
      </c>
      <c r="F48" s="39">
        <v>35.0</v>
      </c>
      <c r="G48" s="39">
        <v>34.0</v>
      </c>
      <c r="H48" s="39">
        <v>33.0</v>
      </c>
      <c r="I48" s="38">
        <v>39.0</v>
      </c>
      <c r="J48" s="38">
        <v>40.0</v>
      </c>
      <c r="K48" s="39">
        <v>39.0</v>
      </c>
      <c r="L48" s="40">
        <v>36.0</v>
      </c>
      <c r="M48" s="40">
        <v>36.0</v>
      </c>
      <c r="N48" s="40">
        <v>25.0</v>
      </c>
      <c r="O48" s="40">
        <v>32.0</v>
      </c>
      <c r="P48" s="40">
        <v>37.0</v>
      </c>
      <c r="Q48" s="41">
        <f t="shared" si="1"/>
        <v>0</v>
      </c>
      <c r="R48" s="22"/>
      <c r="S48" s="42" t="str">
        <f>IFERROR(__xludf.DUMMYFUNCTION("TEXTJOIN("", "",TRUE,FILTER(D$1:P$1, D48:P48=""A""))"),"#N/A")</f>
        <v>#N/A</v>
      </c>
      <c r="T48" s="42">
        <f t="shared" si="2"/>
        <v>0</v>
      </c>
    </row>
    <row r="49">
      <c r="A49" s="36">
        <v>47.0</v>
      </c>
      <c r="B49" s="37" t="s">
        <v>515</v>
      </c>
      <c r="C49" s="37" t="s">
        <v>516</v>
      </c>
      <c r="D49" s="38" t="s">
        <v>70</v>
      </c>
      <c r="E49" s="38" t="s">
        <v>70</v>
      </c>
      <c r="F49" s="39">
        <v>37.0</v>
      </c>
      <c r="G49" s="39">
        <v>33.0</v>
      </c>
      <c r="H49" s="38" t="s">
        <v>70</v>
      </c>
      <c r="I49" s="38" t="s">
        <v>70</v>
      </c>
      <c r="J49" s="39">
        <v>31.0</v>
      </c>
      <c r="K49" s="39">
        <v>37.0</v>
      </c>
      <c r="L49" s="21">
        <v>34.0</v>
      </c>
      <c r="M49" s="21">
        <v>35.0</v>
      </c>
      <c r="N49" s="21">
        <v>31.0</v>
      </c>
      <c r="O49" s="21">
        <v>36.0</v>
      </c>
      <c r="P49" s="21">
        <v>31.0</v>
      </c>
      <c r="Q49" s="41">
        <f t="shared" si="1"/>
        <v>4</v>
      </c>
      <c r="R49" s="22"/>
      <c r="S49" s="42" t="str">
        <f>IFERROR(__xludf.DUMMYFUNCTION("TEXTJOIN("", "",TRUE,FILTER(D$1:P$1, D49:P49=""A""))"),"1, 2, 5, 6")</f>
        <v>1, 2, 5, 6</v>
      </c>
      <c r="T49" s="42">
        <f t="shared" si="2"/>
        <v>4</v>
      </c>
    </row>
    <row r="50">
      <c r="A50" s="36">
        <v>48.0</v>
      </c>
      <c r="B50" s="37" t="s">
        <v>517</v>
      </c>
      <c r="C50" s="37" t="s">
        <v>519</v>
      </c>
      <c r="D50" s="39">
        <v>31.0</v>
      </c>
      <c r="E50" s="39">
        <v>34.0</v>
      </c>
      <c r="F50" s="39">
        <v>37.0</v>
      </c>
      <c r="G50" s="39">
        <v>32.0</v>
      </c>
      <c r="H50" s="39">
        <v>33.0</v>
      </c>
      <c r="I50" s="39">
        <v>36.0</v>
      </c>
      <c r="J50" s="39">
        <v>37.0</v>
      </c>
      <c r="K50" s="39">
        <v>38.0</v>
      </c>
      <c r="L50" s="21">
        <v>36.0</v>
      </c>
      <c r="M50" s="21">
        <v>37.0</v>
      </c>
      <c r="N50" s="21">
        <v>34.0</v>
      </c>
      <c r="O50" s="21">
        <v>32.0</v>
      </c>
      <c r="P50" s="21">
        <v>36.0</v>
      </c>
      <c r="Q50" s="41">
        <f t="shared" si="1"/>
        <v>0</v>
      </c>
      <c r="R50" s="22"/>
      <c r="S50" s="42" t="str">
        <f>IFERROR(__xludf.DUMMYFUNCTION("TEXTJOIN("", "",TRUE,FILTER(D$1:P$1, D50:P50=""A""))"),"#N/A")</f>
        <v>#N/A</v>
      </c>
      <c r="T50" s="42">
        <f t="shared" si="2"/>
        <v>0</v>
      </c>
    </row>
    <row r="51">
      <c r="A51" s="36">
        <v>49.0</v>
      </c>
      <c r="B51" s="37" t="s">
        <v>522</v>
      </c>
      <c r="C51" s="37" t="s">
        <v>524</v>
      </c>
      <c r="D51" s="38" t="s">
        <v>70</v>
      </c>
      <c r="E51" s="38" t="s">
        <v>70</v>
      </c>
      <c r="F51" s="39">
        <v>34.0</v>
      </c>
      <c r="G51" s="39">
        <v>36.0</v>
      </c>
      <c r="H51" s="38" t="s">
        <v>70</v>
      </c>
      <c r="I51" s="39">
        <v>38.0</v>
      </c>
      <c r="J51" s="39">
        <v>40.0</v>
      </c>
      <c r="K51" s="39">
        <v>36.0</v>
      </c>
      <c r="L51" s="21">
        <v>39.0</v>
      </c>
      <c r="M51" s="40" t="s">
        <v>70</v>
      </c>
      <c r="N51" s="21">
        <v>38.0</v>
      </c>
      <c r="O51" s="21">
        <v>38.0</v>
      </c>
      <c r="P51" s="40" t="s">
        <v>70</v>
      </c>
      <c r="Q51" s="41">
        <f t="shared" si="1"/>
        <v>5</v>
      </c>
      <c r="R51" s="22"/>
      <c r="S51" s="42" t="str">
        <f>IFERROR(__xludf.DUMMYFUNCTION("TEXTJOIN("", "",TRUE,FILTER(D$1:P$1, D51:P51=""A""))"),"1, 2, 5")</f>
        <v>1, 2, 5</v>
      </c>
      <c r="T51" s="42">
        <f t="shared" si="2"/>
        <v>5</v>
      </c>
    </row>
    <row r="52">
      <c r="A52" s="36">
        <v>50.0</v>
      </c>
      <c r="B52" s="37" t="s">
        <v>526</v>
      </c>
      <c r="C52" s="37" t="s">
        <v>527</v>
      </c>
      <c r="D52" s="39">
        <v>31.0</v>
      </c>
      <c r="E52" s="39">
        <v>39.0</v>
      </c>
      <c r="F52" s="39">
        <v>38.0</v>
      </c>
      <c r="G52" s="38" t="s">
        <v>245</v>
      </c>
      <c r="H52" s="39">
        <v>38.0</v>
      </c>
      <c r="I52" s="39">
        <v>37.0</v>
      </c>
      <c r="J52" s="39">
        <v>33.0</v>
      </c>
      <c r="K52" s="39">
        <v>40.0</v>
      </c>
      <c r="L52" s="21">
        <v>40.0</v>
      </c>
      <c r="M52" s="21">
        <v>40.0</v>
      </c>
      <c r="N52" s="21">
        <v>40.0</v>
      </c>
      <c r="O52" s="21">
        <v>40.0</v>
      </c>
      <c r="P52" s="21">
        <v>36.0</v>
      </c>
      <c r="Q52" s="41">
        <f t="shared" si="1"/>
        <v>0</v>
      </c>
      <c r="R52" s="22"/>
      <c r="S52" s="42" t="str">
        <f>IFERROR(__xludf.DUMMYFUNCTION("TEXTJOIN("", "",TRUE,FILTER(D$1:P$1, D52:P52=""A""))"),"#N/A")</f>
        <v>#N/A</v>
      </c>
      <c r="T52" s="42">
        <f t="shared" si="2"/>
        <v>0</v>
      </c>
    </row>
    <row r="53">
      <c r="A53" s="36">
        <v>51.0</v>
      </c>
      <c r="B53" s="37" t="s">
        <v>530</v>
      </c>
      <c r="C53" s="37" t="s">
        <v>531</v>
      </c>
      <c r="D53" s="38" t="s">
        <v>70</v>
      </c>
      <c r="E53" s="39">
        <v>29.0</v>
      </c>
      <c r="F53" s="39">
        <v>38.0</v>
      </c>
      <c r="G53" s="38" t="s">
        <v>70</v>
      </c>
      <c r="H53" s="39">
        <v>34.0</v>
      </c>
      <c r="I53" s="39">
        <v>33.0</v>
      </c>
      <c r="J53" s="39">
        <v>38.0</v>
      </c>
      <c r="K53" s="39">
        <v>37.0</v>
      </c>
      <c r="L53" s="21">
        <v>32.0</v>
      </c>
      <c r="M53" s="21">
        <v>30.0</v>
      </c>
      <c r="N53" s="21">
        <v>28.0</v>
      </c>
      <c r="O53" s="21">
        <v>28.0</v>
      </c>
      <c r="P53" s="21">
        <v>35.0</v>
      </c>
      <c r="Q53" s="41">
        <f t="shared" si="1"/>
        <v>2</v>
      </c>
      <c r="R53" s="22"/>
      <c r="S53" s="42" t="str">
        <f>IFERROR(__xludf.DUMMYFUNCTION("TEXTJOIN("", "",TRUE,FILTER(D$1:P$1, D53:P53=""A""))"),"1, 4")</f>
        <v>1, 4</v>
      </c>
      <c r="T53" s="42">
        <f t="shared" si="2"/>
        <v>2</v>
      </c>
    </row>
    <row r="54">
      <c r="A54" s="36">
        <v>52.0</v>
      </c>
      <c r="B54" s="37" t="s">
        <v>533</v>
      </c>
      <c r="C54" s="37" t="s">
        <v>534</v>
      </c>
      <c r="D54" s="38" t="s">
        <v>70</v>
      </c>
      <c r="E54" s="39">
        <v>33.0</v>
      </c>
      <c r="F54" s="39">
        <v>32.0</v>
      </c>
      <c r="G54" s="39">
        <v>33.0</v>
      </c>
      <c r="H54" s="39">
        <v>34.0</v>
      </c>
      <c r="I54" s="39">
        <v>34.0</v>
      </c>
      <c r="J54" s="39">
        <v>40.0</v>
      </c>
      <c r="K54" s="39">
        <v>38.0</v>
      </c>
      <c r="L54" s="40" t="s">
        <v>70</v>
      </c>
      <c r="M54" s="21">
        <v>40.0</v>
      </c>
      <c r="N54" s="21">
        <v>34.0</v>
      </c>
      <c r="O54" s="21">
        <v>39.0</v>
      </c>
      <c r="P54" s="21">
        <v>39.0</v>
      </c>
      <c r="Q54" s="41">
        <f t="shared" si="1"/>
        <v>2</v>
      </c>
      <c r="R54" s="22"/>
      <c r="S54" s="42" t="str">
        <f>IFERROR(__xludf.DUMMYFUNCTION("TEXTJOIN("", "",TRUE,FILTER(D$1:P$1, D54:P54=""A""))"),"1")</f>
        <v>1</v>
      </c>
      <c r="T54" s="42">
        <f t="shared" si="2"/>
        <v>2</v>
      </c>
    </row>
    <row r="55">
      <c r="A55" s="36">
        <v>53.0</v>
      </c>
      <c r="B55" s="37" t="s">
        <v>536</v>
      </c>
      <c r="C55" s="37" t="s">
        <v>537</v>
      </c>
      <c r="D55" s="38" t="s">
        <v>70</v>
      </c>
      <c r="E55" s="39">
        <v>32.0</v>
      </c>
      <c r="F55" s="39">
        <v>23.0</v>
      </c>
      <c r="G55" s="39">
        <v>34.0</v>
      </c>
      <c r="H55" s="39">
        <v>33.0</v>
      </c>
      <c r="I55" s="39">
        <v>36.0</v>
      </c>
      <c r="J55" s="38" t="s">
        <v>70</v>
      </c>
      <c r="K55" s="39">
        <v>38.0</v>
      </c>
      <c r="L55" s="40" t="s">
        <v>70</v>
      </c>
      <c r="M55" s="21">
        <v>37.0</v>
      </c>
      <c r="N55" s="40" t="s">
        <v>70</v>
      </c>
      <c r="O55" s="40">
        <v>36.0</v>
      </c>
      <c r="P55" s="40" t="s">
        <v>70</v>
      </c>
      <c r="Q55" s="41">
        <f t="shared" si="1"/>
        <v>5</v>
      </c>
      <c r="R55" s="22"/>
      <c r="S55" s="42" t="str">
        <f>IFERROR(__xludf.DUMMYFUNCTION("TEXTJOIN("", "",TRUE,FILTER(D$1:P$1, D55:P55=""A""))"),"1")</f>
        <v>1</v>
      </c>
      <c r="T55" s="42">
        <f t="shared" si="2"/>
        <v>5</v>
      </c>
    </row>
    <row r="56">
      <c r="A56" s="36">
        <v>54.0</v>
      </c>
      <c r="B56" s="37" t="s">
        <v>538</v>
      </c>
      <c r="C56" s="37" t="s">
        <v>539</v>
      </c>
      <c r="D56" s="39">
        <v>15.0</v>
      </c>
      <c r="E56" s="38" t="s">
        <v>70</v>
      </c>
      <c r="F56" s="38">
        <v>17.0</v>
      </c>
      <c r="G56" s="39">
        <v>31.0</v>
      </c>
      <c r="H56" s="39">
        <v>29.0</v>
      </c>
      <c r="I56" s="39">
        <v>35.0</v>
      </c>
      <c r="J56" s="39">
        <v>40.0</v>
      </c>
      <c r="K56" s="38" t="s">
        <v>70</v>
      </c>
      <c r="L56" s="40" t="s">
        <v>70</v>
      </c>
      <c r="M56" s="40" t="s">
        <v>70</v>
      </c>
      <c r="N56" s="21">
        <v>18.0</v>
      </c>
      <c r="O56" s="21">
        <v>39.0</v>
      </c>
      <c r="P56" s="40" t="s">
        <v>70</v>
      </c>
      <c r="Q56" s="41">
        <f t="shared" si="1"/>
        <v>5</v>
      </c>
      <c r="R56" s="22"/>
      <c r="S56" s="42" t="str">
        <f>IFERROR(__xludf.DUMMYFUNCTION("TEXTJOIN("", "",TRUE,FILTER(D$1:P$1, D56:P56=""A""))"),"2")</f>
        <v>2</v>
      </c>
      <c r="T56" s="42">
        <f t="shared" si="2"/>
        <v>5</v>
      </c>
    </row>
    <row r="57">
      <c r="A57" s="36">
        <v>55.0</v>
      </c>
      <c r="B57" s="37" t="s">
        <v>540</v>
      </c>
      <c r="C57" s="37" t="s">
        <v>541</v>
      </c>
      <c r="D57" s="39">
        <v>32.0</v>
      </c>
      <c r="E57" s="39">
        <v>38.0</v>
      </c>
      <c r="F57" s="39">
        <v>32.0</v>
      </c>
      <c r="G57" s="39">
        <v>39.0</v>
      </c>
      <c r="H57" s="39">
        <v>40.0</v>
      </c>
      <c r="I57" s="39">
        <v>38.0</v>
      </c>
      <c r="J57" s="39">
        <v>40.0</v>
      </c>
      <c r="K57" s="39">
        <v>39.0</v>
      </c>
      <c r="L57" s="21">
        <v>39.0</v>
      </c>
      <c r="M57" s="21">
        <v>40.0</v>
      </c>
      <c r="N57" s="21">
        <v>38.0</v>
      </c>
      <c r="O57" s="21">
        <v>39.0</v>
      </c>
      <c r="P57" s="21">
        <v>38.0</v>
      </c>
      <c r="Q57" s="41">
        <f t="shared" si="1"/>
        <v>0</v>
      </c>
      <c r="R57" s="22"/>
      <c r="S57" s="42" t="str">
        <f>IFERROR(__xludf.DUMMYFUNCTION("TEXTJOIN("", "",TRUE,FILTER(D$1:P$1, D57:P57=""A""))"),"#N/A")</f>
        <v>#N/A</v>
      </c>
      <c r="T57" s="42">
        <f t="shared" si="2"/>
        <v>0</v>
      </c>
    </row>
    <row r="58">
      <c r="A58" s="36">
        <v>56.0</v>
      </c>
      <c r="B58" s="37" t="s">
        <v>546</v>
      </c>
      <c r="C58" s="37" t="s">
        <v>548</v>
      </c>
      <c r="D58" s="39">
        <v>33.0</v>
      </c>
      <c r="E58" s="39">
        <v>32.0</v>
      </c>
      <c r="F58" s="38" t="s">
        <v>387</v>
      </c>
      <c r="G58" s="39">
        <v>28.0</v>
      </c>
      <c r="H58" s="39">
        <v>30.0</v>
      </c>
      <c r="I58" s="39">
        <v>31.0</v>
      </c>
      <c r="J58" s="39">
        <v>36.0</v>
      </c>
      <c r="K58" s="39">
        <v>37.0</v>
      </c>
      <c r="L58" s="21">
        <v>32.0</v>
      </c>
      <c r="M58" s="21">
        <v>35.0</v>
      </c>
      <c r="N58" s="21">
        <v>27.0</v>
      </c>
      <c r="O58" s="21">
        <v>28.0</v>
      </c>
      <c r="P58" s="21">
        <v>28.0</v>
      </c>
      <c r="Q58" s="41">
        <f t="shared" si="1"/>
        <v>0</v>
      </c>
      <c r="R58" s="22"/>
      <c r="S58" s="42" t="str">
        <f>IFERROR(__xludf.DUMMYFUNCTION("TEXTJOIN("", "",TRUE,FILTER(D$1:P$1, D58:P58=""A""))"),"#N/A")</f>
        <v>#N/A</v>
      </c>
      <c r="T58" s="42">
        <f t="shared" si="2"/>
        <v>0</v>
      </c>
    </row>
    <row r="59">
      <c r="A59" s="36">
        <v>57.0</v>
      </c>
      <c r="B59" s="37" t="s">
        <v>550</v>
      </c>
      <c r="C59" s="37" t="s">
        <v>552</v>
      </c>
      <c r="D59" s="39">
        <v>29.0</v>
      </c>
      <c r="E59" s="39">
        <v>28.0</v>
      </c>
      <c r="F59" s="39">
        <v>32.0</v>
      </c>
      <c r="G59" s="38" t="s">
        <v>70</v>
      </c>
      <c r="H59" s="38" t="s">
        <v>70</v>
      </c>
      <c r="I59" s="39">
        <v>31.0</v>
      </c>
      <c r="J59" s="39">
        <v>35.0</v>
      </c>
      <c r="K59" s="39">
        <v>39.0</v>
      </c>
      <c r="L59" s="21">
        <v>35.0</v>
      </c>
      <c r="M59" s="21">
        <v>35.0</v>
      </c>
      <c r="N59" s="21">
        <v>36.0</v>
      </c>
      <c r="O59" s="21">
        <v>39.0</v>
      </c>
      <c r="P59" s="21">
        <v>36.0</v>
      </c>
      <c r="Q59" s="41">
        <f t="shared" si="1"/>
        <v>2</v>
      </c>
      <c r="R59" s="22"/>
      <c r="S59" s="42" t="str">
        <f>IFERROR(__xludf.DUMMYFUNCTION("TEXTJOIN("", "",TRUE,FILTER(D$1:P$1, D59:P59=""A""))"),"4, 5")</f>
        <v>4, 5</v>
      </c>
      <c r="T59" s="42">
        <f t="shared" si="2"/>
        <v>2</v>
      </c>
    </row>
    <row r="60">
      <c r="A60" s="36">
        <v>58.0</v>
      </c>
      <c r="B60" s="37" t="s">
        <v>554</v>
      </c>
      <c r="C60" s="37" t="s">
        <v>556</v>
      </c>
      <c r="D60" s="39">
        <v>29.0</v>
      </c>
      <c r="E60" s="39">
        <v>33.0</v>
      </c>
      <c r="F60" s="39">
        <v>36.0</v>
      </c>
      <c r="G60" s="39">
        <v>37.0</v>
      </c>
      <c r="H60" s="38">
        <v>40.0</v>
      </c>
      <c r="I60" s="39">
        <v>37.0</v>
      </c>
      <c r="J60" s="39">
        <v>40.0</v>
      </c>
      <c r="K60" s="39">
        <v>34.0</v>
      </c>
      <c r="L60" s="21">
        <v>38.0</v>
      </c>
      <c r="M60" s="21">
        <v>40.0</v>
      </c>
      <c r="N60" s="21">
        <v>37.0</v>
      </c>
      <c r="O60" s="21">
        <v>39.0</v>
      </c>
      <c r="P60" s="21">
        <v>40.0</v>
      </c>
      <c r="Q60" s="41">
        <f t="shared" si="1"/>
        <v>0</v>
      </c>
      <c r="R60" s="22"/>
      <c r="S60" s="42" t="str">
        <f>IFERROR(__xludf.DUMMYFUNCTION("TEXTJOIN("", "",TRUE,FILTER(D$1:P$1, D60:P60=""A""))"),"#N/A")</f>
        <v>#N/A</v>
      </c>
      <c r="T60" s="42">
        <f t="shared" si="2"/>
        <v>0</v>
      </c>
    </row>
    <row r="61">
      <c r="A61" s="36">
        <v>59.0</v>
      </c>
      <c r="B61" s="37" t="s">
        <v>558</v>
      </c>
      <c r="C61" s="37" t="s">
        <v>560</v>
      </c>
      <c r="D61" s="39">
        <v>26.0</v>
      </c>
      <c r="E61" s="39">
        <v>37.0</v>
      </c>
      <c r="F61" s="39">
        <v>37.0</v>
      </c>
      <c r="G61" s="39">
        <v>34.0</v>
      </c>
      <c r="H61" s="39">
        <v>39.0</v>
      </c>
      <c r="I61" s="39">
        <v>37.0</v>
      </c>
      <c r="J61" s="39">
        <v>40.0</v>
      </c>
      <c r="K61" s="39">
        <v>40.0</v>
      </c>
      <c r="L61" s="21">
        <v>39.0</v>
      </c>
      <c r="M61" s="40" t="s">
        <v>70</v>
      </c>
      <c r="N61" s="21">
        <v>30.0</v>
      </c>
      <c r="O61" s="21">
        <v>36.0</v>
      </c>
      <c r="P61" s="21">
        <v>39.0</v>
      </c>
      <c r="Q61" s="41">
        <f t="shared" si="1"/>
        <v>1</v>
      </c>
      <c r="R61" s="22"/>
      <c r="S61" s="42" t="str">
        <f>IFERROR(__xludf.DUMMYFUNCTION("TEXTJOIN("", "",TRUE,FILTER(D$1:P$1, D61:P61=""A""))"),"")</f>
        <v/>
      </c>
      <c r="T61" s="42">
        <f t="shared" si="2"/>
        <v>1</v>
      </c>
    </row>
    <row r="62">
      <c r="A62" s="36">
        <v>60.0</v>
      </c>
      <c r="B62" s="37" t="s">
        <v>562</v>
      </c>
      <c r="C62" s="61" t="s">
        <v>564</v>
      </c>
      <c r="D62" s="39">
        <v>27.0</v>
      </c>
      <c r="E62" s="38" t="s">
        <v>70</v>
      </c>
      <c r="F62" s="38">
        <v>37.0</v>
      </c>
      <c r="G62" s="39">
        <v>38.0</v>
      </c>
      <c r="H62" s="39">
        <v>38.0</v>
      </c>
      <c r="I62" s="39">
        <v>38.0</v>
      </c>
      <c r="J62" s="39">
        <v>40.0</v>
      </c>
      <c r="K62" s="38">
        <v>40.0</v>
      </c>
      <c r="L62" s="21">
        <v>34.0</v>
      </c>
      <c r="M62" s="21">
        <v>40.0</v>
      </c>
      <c r="N62" s="21">
        <v>37.0</v>
      </c>
      <c r="O62" s="21">
        <v>39.0</v>
      </c>
      <c r="P62" s="40" t="s">
        <v>70</v>
      </c>
      <c r="Q62" s="41">
        <f t="shared" si="1"/>
        <v>2</v>
      </c>
      <c r="R62" s="22"/>
      <c r="S62" s="42" t="str">
        <f>IFERROR(__xludf.DUMMYFUNCTION("TEXTJOIN("", "",TRUE,FILTER(D$1:P$1, D62:P62=""A""))"),"2")</f>
        <v>2</v>
      </c>
      <c r="T62" s="42">
        <f t="shared" si="2"/>
        <v>2</v>
      </c>
    </row>
    <row r="63">
      <c r="A63" s="36">
        <v>61.0</v>
      </c>
      <c r="B63" s="37" t="s">
        <v>566</v>
      </c>
      <c r="C63" s="37" t="s">
        <v>568</v>
      </c>
      <c r="D63" s="38" t="s">
        <v>70</v>
      </c>
      <c r="E63" s="39">
        <v>39.0</v>
      </c>
      <c r="F63" s="39">
        <v>38.0</v>
      </c>
      <c r="G63" s="39">
        <v>39.0</v>
      </c>
      <c r="H63" s="39">
        <v>40.0</v>
      </c>
      <c r="I63" s="39">
        <v>39.0</v>
      </c>
      <c r="J63" s="39">
        <v>36.0</v>
      </c>
      <c r="K63" s="39">
        <v>35.0</v>
      </c>
      <c r="L63" s="21">
        <v>39.0</v>
      </c>
      <c r="M63" s="21">
        <v>40.0</v>
      </c>
      <c r="N63" s="21">
        <v>40.0</v>
      </c>
      <c r="O63" s="21">
        <v>40.0</v>
      </c>
      <c r="P63" s="21">
        <v>40.0</v>
      </c>
      <c r="Q63" s="41">
        <f t="shared" si="1"/>
        <v>1</v>
      </c>
      <c r="R63" s="22"/>
      <c r="S63" s="42" t="str">
        <f>IFERROR(__xludf.DUMMYFUNCTION("TEXTJOIN("", "",TRUE,FILTER(D$1:P$1, D63:P63=""A""))"),"1")</f>
        <v>1</v>
      </c>
      <c r="T63" s="42">
        <f t="shared" si="2"/>
        <v>1</v>
      </c>
    </row>
    <row r="64">
      <c r="A64" s="36">
        <v>62.0</v>
      </c>
      <c r="B64" s="37" t="s">
        <v>571</v>
      </c>
      <c r="C64" s="37" t="s">
        <v>572</v>
      </c>
      <c r="D64" s="38" t="s">
        <v>70</v>
      </c>
      <c r="E64" s="39">
        <v>35.0</v>
      </c>
      <c r="F64" s="38" t="s">
        <v>70</v>
      </c>
      <c r="G64" s="38" t="s">
        <v>70</v>
      </c>
      <c r="H64" s="38" t="s">
        <v>70</v>
      </c>
      <c r="I64" s="39">
        <v>40.0</v>
      </c>
      <c r="J64" s="39">
        <v>40.0</v>
      </c>
      <c r="K64" s="39">
        <v>39.0</v>
      </c>
      <c r="L64" s="40" t="s">
        <v>70</v>
      </c>
      <c r="M64" s="21">
        <v>38.0</v>
      </c>
      <c r="N64" s="21">
        <v>20.0</v>
      </c>
      <c r="O64" s="21">
        <v>39.0</v>
      </c>
      <c r="P64" s="21">
        <v>36.0</v>
      </c>
      <c r="Q64" s="41">
        <f t="shared" si="1"/>
        <v>5</v>
      </c>
      <c r="R64" s="22"/>
      <c r="S64" s="42" t="str">
        <f>IFERROR(__xludf.DUMMYFUNCTION("TEXTJOIN("", "",TRUE,FILTER(D$1:P$1, D64:P64=""A""))"),"1, 3, 4, 5")</f>
        <v>1, 3, 4, 5</v>
      </c>
      <c r="T64" s="42">
        <f t="shared" si="2"/>
        <v>5</v>
      </c>
    </row>
    <row r="65">
      <c r="A65" s="36">
        <v>63.0</v>
      </c>
      <c r="B65" s="36" t="s">
        <v>575</v>
      </c>
      <c r="C65" s="36" t="s">
        <v>576</v>
      </c>
      <c r="D65" s="39">
        <v>27.0</v>
      </c>
      <c r="E65" s="38">
        <v>31.0</v>
      </c>
      <c r="F65" s="38">
        <v>32.0</v>
      </c>
      <c r="G65" s="39">
        <v>37.0</v>
      </c>
      <c r="H65" s="39">
        <v>35.0</v>
      </c>
      <c r="I65" s="38" t="s">
        <v>70</v>
      </c>
      <c r="J65" s="39">
        <v>39.0</v>
      </c>
      <c r="K65" s="39">
        <v>32.0</v>
      </c>
      <c r="L65" s="21">
        <v>35.0</v>
      </c>
      <c r="M65" s="21">
        <v>32.0</v>
      </c>
      <c r="N65" s="21">
        <v>38.0</v>
      </c>
      <c r="O65" s="21">
        <v>36.0</v>
      </c>
      <c r="P65" s="40" t="s">
        <v>70</v>
      </c>
      <c r="Q65" s="41">
        <f t="shared" si="1"/>
        <v>2</v>
      </c>
      <c r="R65" s="22"/>
      <c r="S65" s="42" t="str">
        <f>IFERROR(__xludf.DUMMYFUNCTION("TEXTJOIN("", "",TRUE,FILTER(D$1:P$1, D65:P65=""A""))"),"6")</f>
        <v>6</v>
      </c>
      <c r="T65" s="42">
        <f t="shared" si="2"/>
        <v>2</v>
      </c>
    </row>
    <row r="66">
      <c r="A66" s="36">
        <v>64.0</v>
      </c>
      <c r="B66" s="37" t="s">
        <v>581</v>
      </c>
      <c r="C66" s="37" t="s">
        <v>582</v>
      </c>
      <c r="D66" s="39">
        <v>31.0</v>
      </c>
      <c r="E66" s="39">
        <v>29.0</v>
      </c>
      <c r="F66" s="39">
        <v>35.0</v>
      </c>
      <c r="G66" s="38" t="s">
        <v>70</v>
      </c>
      <c r="H66" s="38" t="s">
        <v>70</v>
      </c>
      <c r="I66" s="38" t="s">
        <v>70</v>
      </c>
      <c r="J66" s="38" t="s">
        <v>70</v>
      </c>
      <c r="K66" s="39">
        <v>39.0</v>
      </c>
      <c r="L66" s="21">
        <v>39.0</v>
      </c>
      <c r="M66" s="40" t="s">
        <v>70</v>
      </c>
      <c r="N66" s="40" t="s">
        <v>70</v>
      </c>
      <c r="O66" s="21">
        <v>40.0</v>
      </c>
      <c r="P66" s="40" t="s">
        <v>70</v>
      </c>
      <c r="Q66" s="41">
        <f t="shared" si="1"/>
        <v>7</v>
      </c>
      <c r="R66" s="22"/>
      <c r="S66" s="42" t="str">
        <f>IFERROR(__xludf.DUMMYFUNCTION("TEXTJOIN("", "",TRUE,FILTER(D$1:P$1, D66:P66=""A""))"),"4, 5, 6")</f>
        <v>4, 5, 6</v>
      </c>
      <c r="T66" s="42">
        <f t="shared" si="2"/>
        <v>7</v>
      </c>
    </row>
    <row r="67">
      <c r="A67" s="36">
        <v>65.0</v>
      </c>
      <c r="B67" s="37" t="s">
        <v>584</v>
      </c>
      <c r="C67" s="37" t="s">
        <v>586</v>
      </c>
      <c r="D67" s="38" t="s">
        <v>70</v>
      </c>
      <c r="E67" s="39">
        <v>33.0</v>
      </c>
      <c r="F67" s="38">
        <v>34.0</v>
      </c>
      <c r="G67" s="38">
        <v>34.0</v>
      </c>
      <c r="H67" s="38">
        <v>38.0</v>
      </c>
      <c r="I67" s="38">
        <v>38.0</v>
      </c>
      <c r="J67" s="38">
        <v>38.0</v>
      </c>
      <c r="K67" s="38" t="s">
        <v>70</v>
      </c>
      <c r="L67" s="21">
        <v>36.0</v>
      </c>
      <c r="M67" s="21">
        <v>37.0</v>
      </c>
      <c r="N67" s="40">
        <v>34.0</v>
      </c>
      <c r="O67" s="40">
        <v>35.0</v>
      </c>
      <c r="P67" s="40" t="s">
        <v>70</v>
      </c>
      <c r="Q67" s="41">
        <f t="shared" si="1"/>
        <v>3</v>
      </c>
      <c r="R67" s="22"/>
      <c r="S67" s="42" t="str">
        <f>IFERROR(__xludf.DUMMYFUNCTION("TEXTJOIN("", "",TRUE,FILTER(D$1:P$1, D67:P67=""A""))"),"1")</f>
        <v>1</v>
      </c>
      <c r="T67" s="42">
        <f t="shared" si="2"/>
        <v>3</v>
      </c>
    </row>
    <row r="68">
      <c r="A68" s="36">
        <v>66.0</v>
      </c>
      <c r="B68" s="37" t="s">
        <v>590</v>
      </c>
      <c r="C68" s="37" t="s">
        <v>591</v>
      </c>
      <c r="D68" s="38" t="s">
        <v>70</v>
      </c>
      <c r="E68" s="38" t="s">
        <v>387</v>
      </c>
      <c r="F68" s="38" t="s">
        <v>387</v>
      </c>
      <c r="G68" s="39">
        <v>31.0</v>
      </c>
      <c r="H68" s="38" t="s">
        <v>70</v>
      </c>
      <c r="I68" s="39">
        <v>33.0</v>
      </c>
      <c r="J68" s="39">
        <v>36.0</v>
      </c>
      <c r="K68" s="39">
        <v>40.0</v>
      </c>
      <c r="L68" s="21">
        <v>37.0</v>
      </c>
      <c r="M68" s="21">
        <v>34.0</v>
      </c>
      <c r="N68" s="21">
        <v>35.0</v>
      </c>
      <c r="O68" s="21">
        <v>30.0</v>
      </c>
      <c r="P68" s="21">
        <v>28.0</v>
      </c>
      <c r="Q68" s="41">
        <f t="shared" si="1"/>
        <v>2</v>
      </c>
      <c r="R68" s="22"/>
      <c r="S68" s="42" t="str">
        <f>IFERROR(__xludf.DUMMYFUNCTION("TEXTJOIN("", "",TRUE,FILTER(D$1:P$1, D68:P68=""A""))"),"1, 5")</f>
        <v>1, 5</v>
      </c>
      <c r="T68" s="42">
        <f t="shared" si="2"/>
        <v>2</v>
      </c>
    </row>
    <row r="69">
      <c r="B69" s="88"/>
      <c r="C69" s="88"/>
      <c r="H69" s="52"/>
    </row>
    <row r="70">
      <c r="B70" s="88"/>
      <c r="C70" s="88"/>
      <c r="T70" s="42" t="str">
        <f>IFERROR(__xludf.DUMMYFUNCTION("FILTER(B3:C68,T3:T68&gt;6)"),"Amit kumar")</f>
        <v>Amit kumar</v>
      </c>
      <c r="U70" s="42" t="str">
        <f>IFERROR(__xludf.DUMMYFUNCTION("""COMPUTED_VALUE"""),"24EACAD008")</f>
        <v>24EACAD008</v>
      </c>
    </row>
    <row r="71">
      <c r="B71" s="88"/>
      <c r="C71" s="88"/>
      <c r="T71" s="42" t="str">
        <f>IFERROR(__xludf.DUMMYFUNCTION("""COMPUTED_VALUE"""),"Chandan Gautam")</f>
        <v>Chandan Gautam</v>
      </c>
      <c r="U71" s="42" t="str">
        <f>IFERROR(__xludf.DUMMYFUNCTION("""COMPUTED_VALUE"""),"24EACCS073")</f>
        <v>24EACCS073</v>
      </c>
    </row>
    <row r="72">
      <c r="B72" s="88"/>
      <c r="C72" s="88"/>
      <c r="T72" s="42" t="str">
        <f>IFERROR(__xludf.DUMMYFUNCTION("""COMPUTED_VALUE"""),"DAKSH TANWAR")</f>
        <v>DAKSH TANWAR</v>
      </c>
      <c r="U72" s="42" t="str">
        <f>IFERROR(__xludf.DUMMYFUNCTION("""COMPUTED_VALUE"""),"24EACAD024")</f>
        <v>24EACAD024</v>
      </c>
    </row>
    <row r="73">
      <c r="B73" s="88"/>
      <c r="C73" s="88"/>
      <c r="T73" s="42" t="str">
        <f>IFERROR(__xludf.DUMMYFUNCTION("""COMPUTED_VALUE"""),"Hemang Gaur")</f>
        <v>Hemang Gaur</v>
      </c>
      <c r="U73" s="42" t="str">
        <f>IFERROR(__xludf.DUMMYFUNCTION("""COMPUTED_VALUE"""),"24EACCS118")</f>
        <v>24EACCS118</v>
      </c>
    </row>
    <row r="74">
      <c r="B74" s="88"/>
      <c r="C74" s="88"/>
      <c r="T74" s="42" t="str">
        <f>IFERROR(__xludf.DUMMYFUNCTION("""COMPUTED_VALUE"""),"Vivek")</f>
        <v>Vivek</v>
      </c>
      <c r="U74" s="42" t="str">
        <f>IFERROR(__xludf.DUMMYFUNCTION("""COMPUTED_VALUE"""),"24EACAD101")</f>
        <v>24EACAD101</v>
      </c>
    </row>
    <row r="75">
      <c r="B75" s="88"/>
      <c r="C75" s="88"/>
    </row>
    <row r="76">
      <c r="B76" s="88"/>
      <c r="C76" s="88"/>
    </row>
    <row r="77">
      <c r="B77" s="88"/>
      <c r="C77" s="88"/>
    </row>
    <row r="78">
      <c r="B78" s="88"/>
      <c r="C78" s="88"/>
    </row>
    <row r="79">
      <c r="B79" s="88"/>
      <c r="C79" s="88"/>
    </row>
    <row r="80">
      <c r="B80" s="88"/>
      <c r="C80" s="88"/>
    </row>
    <row r="81">
      <c r="B81" s="88"/>
      <c r="C81" s="88"/>
    </row>
    <row r="82">
      <c r="B82" s="88"/>
      <c r="C82" s="88"/>
    </row>
    <row r="83">
      <c r="B83" s="88"/>
      <c r="C83" s="88"/>
    </row>
    <row r="84">
      <c r="B84" s="88"/>
      <c r="C84" s="88"/>
    </row>
    <row r="85">
      <c r="B85" s="88"/>
      <c r="C85" s="88"/>
    </row>
    <row r="86">
      <c r="B86" s="88"/>
      <c r="C86" s="88"/>
    </row>
    <row r="87">
      <c r="B87" s="88"/>
      <c r="C87" s="88"/>
    </row>
    <row r="88">
      <c r="B88" s="88"/>
      <c r="C88" s="88"/>
    </row>
    <row r="89">
      <c r="B89" s="88"/>
      <c r="C89" s="88"/>
    </row>
    <row r="90">
      <c r="B90" s="88"/>
      <c r="C90" s="88"/>
    </row>
    <row r="91">
      <c r="B91" s="88"/>
      <c r="C91" s="88"/>
    </row>
    <row r="92">
      <c r="B92" s="88"/>
      <c r="C92" s="88"/>
    </row>
    <row r="93">
      <c r="B93" s="88"/>
      <c r="C93" s="88"/>
    </row>
    <row r="94">
      <c r="B94" s="88"/>
      <c r="C94" s="88"/>
    </row>
    <row r="95">
      <c r="B95" s="88"/>
      <c r="C95" s="88"/>
    </row>
    <row r="96">
      <c r="B96" s="88"/>
      <c r="C96" s="88"/>
    </row>
    <row r="97">
      <c r="B97" s="88"/>
      <c r="C97" s="88"/>
    </row>
    <row r="98">
      <c r="B98" s="88"/>
      <c r="C98" s="88"/>
    </row>
    <row r="99">
      <c r="B99" s="88"/>
      <c r="C99" s="88"/>
    </row>
    <row r="100">
      <c r="B100" s="88"/>
      <c r="C100" s="88"/>
    </row>
    <row r="101">
      <c r="B101" s="88"/>
      <c r="C101" s="88"/>
    </row>
    <row r="102">
      <c r="B102" s="88"/>
      <c r="C102" s="88"/>
    </row>
    <row r="103">
      <c r="B103" s="88"/>
      <c r="C103" s="88"/>
    </row>
    <row r="104">
      <c r="B104" s="88"/>
      <c r="C104" s="88"/>
    </row>
    <row r="105">
      <c r="B105" s="88"/>
      <c r="C105" s="88"/>
    </row>
    <row r="106">
      <c r="B106" s="88"/>
      <c r="C106" s="88"/>
    </row>
    <row r="107">
      <c r="B107" s="88"/>
      <c r="C107" s="88"/>
    </row>
    <row r="108">
      <c r="B108" s="88"/>
      <c r="C108" s="88"/>
    </row>
    <row r="109">
      <c r="B109" s="88"/>
      <c r="C109" s="88"/>
    </row>
    <row r="110">
      <c r="B110" s="88"/>
      <c r="C110" s="88"/>
    </row>
    <row r="111">
      <c r="B111" s="88"/>
      <c r="C111" s="88"/>
    </row>
    <row r="112">
      <c r="B112" s="88"/>
      <c r="C112" s="88"/>
    </row>
    <row r="113">
      <c r="B113" s="88"/>
      <c r="C113" s="88"/>
    </row>
    <row r="114">
      <c r="B114" s="88"/>
      <c r="C114" s="88"/>
    </row>
    <row r="115">
      <c r="B115" s="88"/>
      <c r="C115" s="88"/>
    </row>
    <row r="116">
      <c r="B116" s="88"/>
      <c r="C116" s="88"/>
    </row>
    <row r="117">
      <c r="B117" s="88"/>
      <c r="C117" s="88"/>
    </row>
    <row r="118">
      <c r="B118" s="88"/>
      <c r="C118" s="88"/>
    </row>
    <row r="119">
      <c r="B119" s="88"/>
      <c r="C119" s="88"/>
    </row>
    <row r="120">
      <c r="B120" s="88"/>
      <c r="C120" s="88"/>
    </row>
    <row r="121">
      <c r="B121" s="88"/>
      <c r="C121" s="88"/>
    </row>
    <row r="122">
      <c r="B122" s="88"/>
      <c r="C122" s="88"/>
    </row>
    <row r="123">
      <c r="B123" s="88"/>
      <c r="C123" s="88"/>
    </row>
    <row r="124">
      <c r="B124" s="88"/>
      <c r="C124" s="88"/>
    </row>
    <row r="125">
      <c r="B125" s="88"/>
      <c r="C125" s="88"/>
    </row>
    <row r="126">
      <c r="B126" s="88"/>
      <c r="C126" s="88"/>
    </row>
    <row r="127">
      <c r="B127" s="88"/>
      <c r="C127" s="88"/>
    </row>
    <row r="128">
      <c r="B128" s="88"/>
      <c r="C128" s="88"/>
    </row>
    <row r="129">
      <c r="B129" s="88"/>
      <c r="C129" s="88"/>
    </row>
    <row r="130">
      <c r="B130" s="88"/>
      <c r="C130" s="88"/>
    </row>
    <row r="131">
      <c r="B131" s="88"/>
      <c r="C131" s="88"/>
    </row>
    <row r="132">
      <c r="B132" s="88"/>
      <c r="C132" s="88"/>
    </row>
    <row r="133">
      <c r="B133" s="88"/>
      <c r="C133" s="88"/>
    </row>
    <row r="134">
      <c r="B134" s="88"/>
      <c r="C134" s="88"/>
    </row>
    <row r="135">
      <c r="B135" s="88"/>
      <c r="C135" s="88"/>
    </row>
    <row r="136">
      <c r="B136" s="88"/>
      <c r="C136" s="88"/>
    </row>
    <row r="137">
      <c r="B137" s="88"/>
      <c r="C137" s="88"/>
    </row>
    <row r="138">
      <c r="B138" s="88"/>
      <c r="C138" s="88"/>
    </row>
    <row r="139">
      <c r="B139" s="88"/>
      <c r="C139" s="88"/>
    </row>
    <row r="140">
      <c r="B140" s="88"/>
      <c r="C140" s="88"/>
    </row>
    <row r="141">
      <c r="B141" s="88"/>
      <c r="C141" s="88"/>
    </row>
    <row r="142">
      <c r="B142" s="88"/>
      <c r="C142" s="88"/>
    </row>
    <row r="143">
      <c r="B143" s="88"/>
      <c r="C143" s="88"/>
    </row>
    <row r="144">
      <c r="B144" s="88"/>
      <c r="C144" s="88"/>
    </row>
    <row r="145">
      <c r="B145" s="88"/>
      <c r="C145" s="88"/>
    </row>
    <row r="146">
      <c r="B146" s="88"/>
      <c r="C146" s="88"/>
    </row>
    <row r="147">
      <c r="B147" s="88"/>
      <c r="C147" s="88"/>
    </row>
    <row r="148">
      <c r="B148" s="88"/>
      <c r="C148" s="88"/>
    </row>
    <row r="149">
      <c r="B149" s="88"/>
      <c r="C149" s="88"/>
    </row>
    <row r="150">
      <c r="B150" s="88"/>
      <c r="C150" s="88"/>
    </row>
    <row r="151">
      <c r="B151" s="88"/>
      <c r="C151" s="88"/>
    </row>
    <row r="152">
      <c r="B152" s="88"/>
      <c r="C152" s="88"/>
    </row>
    <row r="153">
      <c r="B153" s="88"/>
      <c r="C153" s="88"/>
    </row>
    <row r="154">
      <c r="B154" s="88"/>
      <c r="C154" s="88"/>
    </row>
    <row r="155">
      <c r="B155" s="88"/>
      <c r="C155" s="88"/>
    </row>
    <row r="156">
      <c r="B156" s="88"/>
      <c r="C156" s="88"/>
    </row>
    <row r="157">
      <c r="B157" s="88"/>
      <c r="C157" s="88"/>
    </row>
    <row r="158">
      <c r="B158" s="88"/>
      <c r="C158" s="88"/>
    </row>
    <row r="159">
      <c r="B159" s="88"/>
      <c r="C159" s="88"/>
    </row>
    <row r="160">
      <c r="B160" s="88"/>
      <c r="C160" s="88"/>
    </row>
    <row r="161">
      <c r="B161" s="88"/>
      <c r="C161" s="88"/>
    </row>
    <row r="162">
      <c r="B162" s="88"/>
      <c r="C162" s="88"/>
    </row>
    <row r="163">
      <c r="B163" s="88"/>
      <c r="C163" s="88"/>
    </row>
    <row r="164">
      <c r="B164" s="88"/>
      <c r="C164" s="88"/>
    </row>
    <row r="165">
      <c r="B165" s="88"/>
      <c r="C165" s="88"/>
    </row>
    <row r="166">
      <c r="B166" s="88"/>
      <c r="C166" s="88"/>
    </row>
    <row r="167">
      <c r="B167" s="88"/>
      <c r="C167" s="88"/>
    </row>
    <row r="168">
      <c r="B168" s="88"/>
      <c r="C168" s="88"/>
    </row>
    <row r="169">
      <c r="B169" s="88"/>
      <c r="C169" s="88"/>
    </row>
    <row r="170">
      <c r="B170" s="88"/>
      <c r="C170" s="88"/>
    </row>
    <row r="171">
      <c r="B171" s="88"/>
      <c r="C171" s="88"/>
    </row>
    <row r="172">
      <c r="B172" s="88"/>
      <c r="C172" s="88"/>
    </row>
    <row r="173">
      <c r="B173" s="88"/>
      <c r="C173" s="88"/>
    </row>
    <row r="174">
      <c r="B174" s="88"/>
      <c r="C174" s="88"/>
    </row>
    <row r="175">
      <c r="B175" s="88"/>
      <c r="C175" s="88"/>
    </row>
    <row r="176">
      <c r="B176" s="88"/>
      <c r="C176" s="88"/>
    </row>
    <row r="177">
      <c r="B177" s="88"/>
      <c r="C177" s="88"/>
    </row>
    <row r="178">
      <c r="B178" s="88"/>
      <c r="C178" s="88"/>
    </row>
    <row r="179">
      <c r="B179" s="88"/>
      <c r="C179" s="88"/>
    </row>
    <row r="180">
      <c r="B180" s="88"/>
      <c r="C180" s="88"/>
    </row>
    <row r="181">
      <c r="B181" s="88"/>
      <c r="C181" s="88"/>
    </row>
    <row r="182">
      <c r="B182" s="88"/>
      <c r="C182" s="88"/>
    </row>
    <row r="183">
      <c r="B183" s="88"/>
      <c r="C183" s="88"/>
    </row>
    <row r="184">
      <c r="B184" s="88"/>
      <c r="C184" s="88"/>
    </row>
    <row r="185">
      <c r="B185" s="88"/>
      <c r="C185" s="88"/>
    </row>
    <row r="186">
      <c r="B186" s="88"/>
      <c r="C186" s="88"/>
    </row>
    <row r="187">
      <c r="B187" s="88"/>
      <c r="C187" s="88"/>
    </row>
    <row r="188">
      <c r="B188" s="88"/>
      <c r="C188" s="88"/>
    </row>
    <row r="189">
      <c r="B189" s="88"/>
      <c r="C189" s="88"/>
    </row>
    <row r="190">
      <c r="B190" s="88"/>
      <c r="C190" s="88"/>
    </row>
    <row r="191">
      <c r="B191" s="88"/>
      <c r="C191" s="88"/>
    </row>
    <row r="192">
      <c r="B192" s="88"/>
      <c r="C192" s="88"/>
    </row>
    <row r="193">
      <c r="B193" s="88"/>
      <c r="C193" s="88"/>
    </row>
    <row r="194">
      <c r="B194" s="88"/>
      <c r="C194" s="88"/>
    </row>
    <row r="195">
      <c r="B195" s="88"/>
      <c r="C195" s="88"/>
    </row>
    <row r="196">
      <c r="B196" s="88"/>
      <c r="C196" s="88"/>
    </row>
    <row r="197">
      <c r="B197" s="88"/>
      <c r="C197" s="88"/>
    </row>
    <row r="198">
      <c r="B198" s="88"/>
      <c r="C198" s="88"/>
    </row>
    <row r="199">
      <c r="B199" s="88"/>
      <c r="C199" s="88"/>
    </row>
    <row r="200">
      <c r="B200" s="88"/>
      <c r="C200" s="88"/>
    </row>
    <row r="201">
      <c r="B201" s="88"/>
      <c r="C201" s="88"/>
    </row>
    <row r="202">
      <c r="B202" s="88"/>
      <c r="C202" s="88"/>
    </row>
    <row r="203">
      <c r="B203" s="88"/>
      <c r="C203" s="88"/>
    </row>
    <row r="204">
      <c r="B204" s="88"/>
      <c r="C204" s="88"/>
    </row>
    <row r="205">
      <c r="B205" s="88"/>
      <c r="C205" s="88"/>
    </row>
    <row r="206">
      <c r="B206" s="88"/>
      <c r="C206" s="88"/>
    </row>
    <row r="207">
      <c r="B207" s="88"/>
      <c r="C207" s="88"/>
    </row>
    <row r="208">
      <c r="B208" s="88"/>
      <c r="C208" s="88"/>
    </row>
    <row r="209">
      <c r="B209" s="88"/>
      <c r="C209" s="88"/>
    </row>
    <row r="210">
      <c r="B210" s="88"/>
      <c r="C210" s="88"/>
    </row>
    <row r="211">
      <c r="B211" s="88"/>
      <c r="C211" s="88"/>
    </row>
    <row r="212">
      <c r="B212" s="88"/>
      <c r="C212" s="88"/>
    </row>
    <row r="213">
      <c r="B213" s="88"/>
      <c r="C213" s="88"/>
    </row>
    <row r="214">
      <c r="B214" s="88"/>
      <c r="C214" s="88"/>
    </row>
    <row r="215">
      <c r="B215" s="88"/>
      <c r="C215" s="88"/>
    </row>
    <row r="216">
      <c r="B216" s="88"/>
      <c r="C216" s="88"/>
    </row>
    <row r="217">
      <c r="B217" s="88"/>
      <c r="C217" s="88"/>
    </row>
    <row r="218">
      <c r="B218" s="88"/>
      <c r="C218" s="88"/>
    </row>
    <row r="219">
      <c r="B219" s="88"/>
      <c r="C219" s="88"/>
    </row>
    <row r="220">
      <c r="B220" s="88"/>
      <c r="C220" s="88"/>
    </row>
    <row r="221">
      <c r="B221" s="88"/>
      <c r="C221" s="88"/>
    </row>
    <row r="222">
      <c r="B222" s="88"/>
      <c r="C222" s="88"/>
    </row>
    <row r="223">
      <c r="B223" s="88"/>
      <c r="C223" s="88"/>
    </row>
    <row r="224">
      <c r="B224" s="88"/>
      <c r="C224" s="88"/>
    </row>
    <row r="225">
      <c r="B225" s="88"/>
      <c r="C225" s="88"/>
    </row>
    <row r="226">
      <c r="B226" s="88"/>
      <c r="C226" s="88"/>
    </row>
    <row r="227">
      <c r="B227" s="88"/>
      <c r="C227" s="88"/>
    </row>
    <row r="228">
      <c r="B228" s="88"/>
      <c r="C228" s="88"/>
    </row>
    <row r="229">
      <c r="B229" s="88"/>
      <c r="C229" s="88"/>
    </row>
    <row r="230">
      <c r="B230" s="88"/>
      <c r="C230" s="88"/>
    </row>
    <row r="231">
      <c r="B231" s="88"/>
      <c r="C231" s="88"/>
    </row>
    <row r="232">
      <c r="B232" s="88"/>
      <c r="C232" s="88"/>
    </row>
    <row r="233">
      <c r="B233" s="88"/>
      <c r="C233" s="88"/>
    </row>
    <row r="234">
      <c r="B234" s="88"/>
      <c r="C234" s="88"/>
    </row>
    <row r="235">
      <c r="B235" s="88"/>
      <c r="C235" s="88"/>
    </row>
    <row r="236">
      <c r="B236" s="88"/>
      <c r="C236" s="88"/>
    </row>
    <row r="237">
      <c r="B237" s="88"/>
      <c r="C237" s="88"/>
    </row>
    <row r="238">
      <c r="B238" s="88"/>
      <c r="C238" s="88"/>
    </row>
    <row r="239">
      <c r="B239" s="88"/>
      <c r="C239" s="88"/>
    </row>
    <row r="240">
      <c r="B240" s="88"/>
      <c r="C240" s="88"/>
    </row>
    <row r="241">
      <c r="B241" s="88"/>
      <c r="C241" s="88"/>
    </row>
    <row r="242">
      <c r="B242" s="88"/>
      <c r="C242" s="88"/>
    </row>
    <row r="243">
      <c r="B243" s="88"/>
      <c r="C243" s="88"/>
    </row>
    <row r="244">
      <c r="B244" s="88"/>
      <c r="C244" s="88"/>
    </row>
    <row r="245">
      <c r="B245" s="88"/>
      <c r="C245" s="88"/>
    </row>
    <row r="246">
      <c r="B246" s="88"/>
      <c r="C246" s="88"/>
    </row>
    <row r="247">
      <c r="B247" s="88"/>
      <c r="C247" s="88"/>
    </row>
    <row r="248">
      <c r="B248" s="88"/>
      <c r="C248" s="88"/>
    </row>
    <row r="249">
      <c r="B249" s="88"/>
      <c r="C249" s="88"/>
    </row>
    <row r="250">
      <c r="B250" s="88"/>
      <c r="C250" s="88"/>
    </row>
    <row r="251">
      <c r="B251" s="88"/>
      <c r="C251" s="88"/>
    </row>
    <row r="252">
      <c r="B252" s="88"/>
      <c r="C252" s="88"/>
    </row>
    <row r="253">
      <c r="B253" s="88"/>
      <c r="C253" s="88"/>
    </row>
    <row r="254">
      <c r="B254" s="88"/>
      <c r="C254" s="88"/>
    </row>
    <row r="255">
      <c r="B255" s="88"/>
      <c r="C255" s="88"/>
    </row>
    <row r="256">
      <c r="B256" s="88"/>
      <c r="C256" s="88"/>
    </row>
    <row r="257">
      <c r="B257" s="88"/>
      <c r="C257" s="88"/>
    </row>
    <row r="258">
      <c r="B258" s="88"/>
      <c r="C258" s="88"/>
    </row>
    <row r="259">
      <c r="B259" s="88"/>
      <c r="C259" s="88"/>
    </row>
    <row r="260">
      <c r="B260" s="88"/>
      <c r="C260" s="88"/>
    </row>
    <row r="261">
      <c r="B261" s="88"/>
      <c r="C261" s="88"/>
    </row>
    <row r="262">
      <c r="B262" s="88"/>
      <c r="C262" s="88"/>
    </row>
    <row r="263">
      <c r="B263" s="88"/>
      <c r="C263" s="88"/>
    </row>
    <row r="264">
      <c r="B264" s="88"/>
      <c r="C264" s="88"/>
    </row>
    <row r="265">
      <c r="B265" s="88"/>
      <c r="C265" s="88"/>
    </row>
    <row r="266">
      <c r="B266" s="88"/>
      <c r="C266" s="88"/>
    </row>
    <row r="267">
      <c r="B267" s="88"/>
      <c r="C267" s="88"/>
    </row>
    <row r="268">
      <c r="B268" s="88"/>
      <c r="C268" s="88"/>
    </row>
    <row r="269">
      <c r="B269" s="88"/>
      <c r="C269" s="88"/>
    </row>
    <row r="270">
      <c r="B270" s="88"/>
      <c r="C270" s="88"/>
    </row>
    <row r="271">
      <c r="B271" s="88"/>
      <c r="C271" s="88"/>
    </row>
    <row r="272">
      <c r="B272" s="88"/>
      <c r="C272" s="88"/>
    </row>
    <row r="273">
      <c r="B273" s="88"/>
      <c r="C273" s="88"/>
    </row>
    <row r="274">
      <c r="B274" s="88"/>
      <c r="C274" s="88"/>
    </row>
    <row r="275">
      <c r="B275" s="88"/>
      <c r="C275" s="88"/>
    </row>
    <row r="276">
      <c r="B276" s="88"/>
      <c r="C276" s="88"/>
    </row>
    <row r="277">
      <c r="B277" s="88"/>
      <c r="C277" s="88"/>
    </row>
    <row r="278">
      <c r="B278" s="88"/>
      <c r="C278" s="88"/>
    </row>
    <row r="279">
      <c r="B279" s="88"/>
      <c r="C279" s="88"/>
    </row>
    <row r="280">
      <c r="B280" s="88"/>
      <c r="C280" s="88"/>
    </row>
    <row r="281">
      <c r="B281" s="88"/>
      <c r="C281" s="88"/>
    </row>
    <row r="282">
      <c r="B282" s="88"/>
      <c r="C282" s="88"/>
    </row>
    <row r="283">
      <c r="B283" s="88"/>
      <c r="C283" s="88"/>
    </row>
    <row r="284">
      <c r="B284" s="88"/>
      <c r="C284" s="88"/>
    </row>
    <row r="285">
      <c r="B285" s="88"/>
      <c r="C285" s="88"/>
    </row>
    <row r="286">
      <c r="B286" s="88"/>
      <c r="C286" s="88"/>
    </row>
    <row r="287">
      <c r="B287" s="88"/>
      <c r="C287" s="88"/>
    </row>
    <row r="288">
      <c r="B288" s="88"/>
      <c r="C288" s="88"/>
    </row>
    <row r="289">
      <c r="B289" s="88"/>
      <c r="C289" s="88"/>
    </row>
    <row r="290">
      <c r="B290" s="88"/>
      <c r="C290" s="88"/>
    </row>
    <row r="291">
      <c r="B291" s="88"/>
      <c r="C291" s="88"/>
    </row>
    <row r="292">
      <c r="B292" s="88"/>
      <c r="C292" s="88"/>
    </row>
    <row r="293">
      <c r="B293" s="88"/>
      <c r="C293" s="88"/>
    </row>
    <row r="294">
      <c r="B294" s="88"/>
      <c r="C294" s="88"/>
    </row>
    <row r="295">
      <c r="B295" s="88"/>
      <c r="C295" s="88"/>
    </row>
    <row r="296">
      <c r="B296" s="88"/>
      <c r="C296" s="88"/>
    </row>
    <row r="297">
      <c r="B297" s="88"/>
      <c r="C297" s="88"/>
    </row>
    <row r="298">
      <c r="B298" s="88"/>
      <c r="C298" s="88"/>
    </row>
    <row r="299">
      <c r="B299" s="88"/>
      <c r="C299" s="88"/>
    </row>
    <row r="300">
      <c r="B300" s="88"/>
      <c r="C300" s="88"/>
    </row>
    <row r="301">
      <c r="B301" s="88"/>
      <c r="C301" s="88"/>
    </row>
    <row r="302">
      <c r="B302" s="88"/>
      <c r="C302" s="88"/>
    </row>
    <row r="303">
      <c r="B303" s="88"/>
      <c r="C303" s="88"/>
    </row>
    <row r="304">
      <c r="B304" s="88"/>
      <c r="C304" s="88"/>
    </row>
    <row r="305">
      <c r="B305" s="88"/>
      <c r="C305" s="88"/>
    </row>
    <row r="306">
      <c r="B306" s="88"/>
      <c r="C306" s="88"/>
    </row>
    <row r="307">
      <c r="B307" s="88"/>
      <c r="C307" s="88"/>
    </row>
    <row r="308">
      <c r="B308" s="88"/>
      <c r="C308" s="88"/>
    </row>
    <row r="309">
      <c r="B309" s="88"/>
      <c r="C309" s="88"/>
    </row>
    <row r="310">
      <c r="B310" s="88"/>
      <c r="C310" s="88"/>
    </row>
    <row r="311">
      <c r="B311" s="88"/>
      <c r="C311" s="88"/>
    </row>
    <row r="312">
      <c r="B312" s="88"/>
      <c r="C312" s="88"/>
    </row>
    <row r="313">
      <c r="B313" s="88"/>
      <c r="C313" s="88"/>
    </row>
    <row r="314">
      <c r="B314" s="88"/>
      <c r="C314" s="88"/>
    </row>
    <row r="315">
      <c r="B315" s="88"/>
      <c r="C315" s="88"/>
    </row>
    <row r="316">
      <c r="B316" s="88"/>
      <c r="C316" s="88"/>
    </row>
    <row r="317">
      <c r="B317" s="88"/>
      <c r="C317" s="88"/>
    </row>
    <row r="318">
      <c r="B318" s="88"/>
      <c r="C318" s="88"/>
    </row>
    <row r="319">
      <c r="B319" s="88"/>
      <c r="C319" s="88"/>
    </row>
    <row r="320">
      <c r="B320" s="88"/>
      <c r="C320" s="88"/>
    </row>
    <row r="321">
      <c r="B321" s="88"/>
      <c r="C321" s="88"/>
    </row>
    <row r="322">
      <c r="B322" s="88"/>
      <c r="C322" s="88"/>
    </row>
    <row r="323">
      <c r="B323" s="88"/>
      <c r="C323" s="88"/>
    </row>
    <row r="324">
      <c r="B324" s="88"/>
      <c r="C324" s="88"/>
    </row>
    <row r="325">
      <c r="B325" s="88"/>
      <c r="C325" s="88"/>
    </row>
    <row r="326">
      <c r="B326" s="88"/>
      <c r="C326" s="88"/>
    </row>
    <row r="327">
      <c r="B327" s="88"/>
      <c r="C327" s="88"/>
    </row>
    <row r="328">
      <c r="B328" s="88"/>
      <c r="C328" s="88"/>
    </row>
    <row r="329">
      <c r="B329" s="88"/>
      <c r="C329" s="88"/>
    </row>
    <row r="330">
      <c r="B330" s="88"/>
      <c r="C330" s="88"/>
    </row>
    <row r="331">
      <c r="B331" s="88"/>
      <c r="C331" s="88"/>
    </row>
    <row r="332">
      <c r="B332" s="88"/>
      <c r="C332" s="88"/>
    </row>
    <row r="333">
      <c r="B333" s="88"/>
      <c r="C333" s="88"/>
    </row>
    <row r="334">
      <c r="B334" s="88"/>
      <c r="C334" s="88"/>
    </row>
    <row r="335">
      <c r="B335" s="88"/>
      <c r="C335" s="88"/>
    </row>
    <row r="336">
      <c r="B336" s="88"/>
      <c r="C336" s="88"/>
    </row>
    <row r="337">
      <c r="B337" s="88"/>
      <c r="C337" s="88"/>
    </row>
    <row r="338">
      <c r="B338" s="88"/>
      <c r="C338" s="88"/>
    </row>
    <row r="339">
      <c r="B339" s="88"/>
      <c r="C339" s="88"/>
    </row>
    <row r="340">
      <c r="B340" s="88"/>
      <c r="C340" s="88"/>
    </row>
    <row r="341">
      <c r="B341" s="88"/>
      <c r="C341" s="88"/>
    </row>
    <row r="342">
      <c r="B342" s="88"/>
      <c r="C342" s="88"/>
    </row>
    <row r="343">
      <c r="B343" s="88"/>
      <c r="C343" s="88"/>
    </row>
    <row r="344">
      <c r="B344" s="88"/>
      <c r="C344" s="88"/>
    </row>
    <row r="345">
      <c r="B345" s="88"/>
      <c r="C345" s="88"/>
    </row>
    <row r="346">
      <c r="B346" s="88"/>
      <c r="C346" s="88"/>
    </row>
    <row r="347">
      <c r="B347" s="88"/>
      <c r="C347" s="88"/>
    </row>
    <row r="348">
      <c r="B348" s="88"/>
      <c r="C348" s="88"/>
    </row>
    <row r="349">
      <c r="B349" s="88"/>
      <c r="C349" s="88"/>
    </row>
    <row r="350">
      <c r="B350" s="88"/>
      <c r="C350" s="88"/>
    </row>
    <row r="351">
      <c r="B351" s="88"/>
      <c r="C351" s="88"/>
    </row>
    <row r="352">
      <c r="B352" s="88"/>
      <c r="C352" s="88"/>
    </row>
    <row r="353">
      <c r="B353" s="88"/>
      <c r="C353" s="88"/>
    </row>
    <row r="354">
      <c r="B354" s="88"/>
      <c r="C354" s="88"/>
    </row>
    <row r="355">
      <c r="B355" s="88"/>
      <c r="C355" s="88"/>
    </row>
    <row r="356">
      <c r="B356" s="88"/>
      <c r="C356" s="88"/>
    </row>
    <row r="357">
      <c r="B357" s="88"/>
      <c r="C357" s="88"/>
    </row>
    <row r="358">
      <c r="B358" s="88"/>
      <c r="C358" s="88"/>
    </row>
    <row r="359">
      <c r="B359" s="88"/>
      <c r="C359" s="88"/>
    </row>
    <row r="360">
      <c r="B360" s="88"/>
      <c r="C360" s="88"/>
    </row>
    <row r="361">
      <c r="B361" s="88"/>
      <c r="C361" s="88"/>
    </row>
    <row r="362">
      <c r="B362" s="88"/>
      <c r="C362" s="88"/>
    </row>
    <row r="363">
      <c r="B363" s="88"/>
      <c r="C363" s="88"/>
    </row>
    <row r="364">
      <c r="B364" s="88"/>
      <c r="C364" s="88"/>
    </row>
    <row r="365">
      <c r="B365" s="88"/>
      <c r="C365" s="88"/>
    </row>
    <row r="366">
      <c r="B366" s="88"/>
      <c r="C366" s="88"/>
    </row>
    <row r="367">
      <c r="B367" s="88"/>
      <c r="C367" s="88"/>
    </row>
    <row r="368">
      <c r="B368" s="88"/>
      <c r="C368" s="88"/>
    </row>
    <row r="369">
      <c r="B369" s="88"/>
      <c r="C369" s="88"/>
    </row>
    <row r="370">
      <c r="B370" s="88"/>
      <c r="C370" s="88"/>
    </row>
    <row r="371">
      <c r="B371" s="88"/>
      <c r="C371" s="88"/>
    </row>
    <row r="372">
      <c r="B372" s="88"/>
      <c r="C372" s="88"/>
    </row>
    <row r="373">
      <c r="B373" s="88"/>
      <c r="C373" s="88"/>
    </row>
    <row r="374">
      <c r="B374" s="88"/>
      <c r="C374" s="88"/>
    </row>
    <row r="375">
      <c r="B375" s="88"/>
      <c r="C375" s="88"/>
    </row>
    <row r="376">
      <c r="B376" s="88"/>
      <c r="C376" s="88"/>
    </row>
    <row r="377">
      <c r="B377" s="88"/>
      <c r="C377" s="88"/>
    </row>
    <row r="378">
      <c r="B378" s="88"/>
      <c r="C378" s="88"/>
    </row>
    <row r="379">
      <c r="B379" s="88"/>
      <c r="C379" s="88"/>
    </row>
    <row r="380">
      <c r="B380" s="88"/>
      <c r="C380" s="88"/>
    </row>
    <row r="381">
      <c r="B381" s="88"/>
      <c r="C381" s="88"/>
    </row>
    <row r="382">
      <c r="B382" s="88"/>
      <c r="C382" s="88"/>
    </row>
    <row r="383">
      <c r="B383" s="88"/>
      <c r="C383" s="88"/>
    </row>
    <row r="384">
      <c r="B384" s="88"/>
      <c r="C384" s="88"/>
    </row>
    <row r="385">
      <c r="B385" s="88"/>
      <c r="C385" s="88"/>
    </row>
    <row r="386">
      <c r="B386" s="88"/>
      <c r="C386" s="88"/>
    </row>
    <row r="387">
      <c r="B387" s="88"/>
      <c r="C387" s="88"/>
    </row>
    <row r="388">
      <c r="B388" s="88"/>
      <c r="C388" s="88"/>
    </row>
    <row r="389">
      <c r="B389" s="88"/>
      <c r="C389" s="88"/>
    </row>
    <row r="390">
      <c r="B390" s="88"/>
      <c r="C390" s="88"/>
    </row>
    <row r="391">
      <c r="B391" s="88"/>
      <c r="C391" s="88"/>
    </row>
    <row r="392">
      <c r="B392" s="88"/>
      <c r="C392" s="88"/>
    </row>
    <row r="393">
      <c r="B393" s="88"/>
      <c r="C393" s="88"/>
    </row>
    <row r="394">
      <c r="B394" s="88"/>
      <c r="C394" s="88"/>
    </row>
    <row r="395">
      <c r="B395" s="88"/>
      <c r="C395" s="88"/>
    </row>
    <row r="396">
      <c r="B396" s="88"/>
      <c r="C396" s="88"/>
    </row>
    <row r="397">
      <c r="B397" s="88"/>
      <c r="C397" s="88"/>
    </row>
    <row r="398">
      <c r="B398" s="88"/>
      <c r="C398" s="88"/>
    </row>
    <row r="399">
      <c r="B399" s="88"/>
      <c r="C399" s="88"/>
    </row>
    <row r="400">
      <c r="B400" s="88"/>
      <c r="C400" s="88"/>
    </row>
    <row r="401">
      <c r="B401" s="88"/>
      <c r="C401" s="88"/>
    </row>
    <row r="402">
      <c r="B402" s="88"/>
      <c r="C402" s="88"/>
    </row>
    <row r="403">
      <c r="B403" s="88"/>
      <c r="C403" s="88"/>
    </row>
    <row r="404">
      <c r="B404" s="88"/>
      <c r="C404" s="88"/>
    </row>
    <row r="405">
      <c r="B405" s="88"/>
      <c r="C405" s="88"/>
    </row>
    <row r="406">
      <c r="B406" s="88"/>
      <c r="C406" s="88"/>
    </row>
    <row r="407">
      <c r="B407" s="88"/>
      <c r="C407" s="88"/>
    </row>
    <row r="408">
      <c r="B408" s="88"/>
      <c r="C408" s="88"/>
    </row>
    <row r="409">
      <c r="B409" s="88"/>
      <c r="C409" s="88"/>
    </row>
    <row r="410">
      <c r="B410" s="88"/>
      <c r="C410" s="88"/>
    </row>
    <row r="411">
      <c r="B411" s="88"/>
      <c r="C411" s="88"/>
    </row>
    <row r="412">
      <c r="B412" s="88"/>
      <c r="C412" s="88"/>
    </row>
    <row r="413">
      <c r="B413" s="88"/>
      <c r="C413" s="88"/>
    </row>
    <row r="414">
      <c r="B414" s="88"/>
      <c r="C414" s="88"/>
    </row>
    <row r="415">
      <c r="B415" s="88"/>
      <c r="C415" s="88"/>
    </row>
    <row r="416">
      <c r="B416" s="88"/>
      <c r="C416" s="88"/>
    </row>
    <row r="417">
      <c r="B417" s="88"/>
      <c r="C417" s="88"/>
    </row>
    <row r="418">
      <c r="B418" s="88"/>
      <c r="C418" s="88"/>
    </row>
    <row r="419">
      <c r="B419" s="88"/>
      <c r="C419" s="88"/>
    </row>
    <row r="420">
      <c r="B420" s="88"/>
      <c r="C420" s="88"/>
    </row>
    <row r="421">
      <c r="B421" s="88"/>
      <c r="C421" s="88"/>
    </row>
    <row r="422">
      <c r="B422" s="88"/>
      <c r="C422" s="88"/>
    </row>
    <row r="423">
      <c r="B423" s="88"/>
      <c r="C423" s="88"/>
    </row>
    <row r="424">
      <c r="B424" s="88"/>
      <c r="C424" s="88"/>
    </row>
    <row r="425">
      <c r="B425" s="88"/>
      <c r="C425" s="88"/>
    </row>
    <row r="426">
      <c r="B426" s="88"/>
      <c r="C426" s="88"/>
    </row>
    <row r="427">
      <c r="B427" s="88"/>
      <c r="C427" s="88"/>
    </row>
    <row r="428">
      <c r="B428" s="88"/>
      <c r="C428" s="88"/>
    </row>
    <row r="429">
      <c r="B429" s="88"/>
      <c r="C429" s="88"/>
    </row>
    <row r="430">
      <c r="B430" s="88"/>
      <c r="C430" s="88"/>
    </row>
    <row r="431">
      <c r="B431" s="88"/>
      <c r="C431" s="88"/>
    </row>
    <row r="432">
      <c r="B432" s="88"/>
      <c r="C432" s="88"/>
    </row>
    <row r="433">
      <c r="B433" s="88"/>
      <c r="C433" s="88"/>
    </row>
    <row r="434">
      <c r="B434" s="88"/>
      <c r="C434" s="88"/>
    </row>
    <row r="435">
      <c r="B435" s="88"/>
      <c r="C435" s="88"/>
    </row>
    <row r="436">
      <c r="B436" s="88"/>
      <c r="C436" s="88"/>
    </row>
    <row r="437">
      <c r="B437" s="88"/>
      <c r="C437" s="88"/>
    </row>
    <row r="438">
      <c r="B438" s="88"/>
      <c r="C438" s="88"/>
    </row>
    <row r="439">
      <c r="B439" s="88"/>
      <c r="C439" s="88"/>
    </row>
    <row r="440">
      <c r="B440" s="88"/>
      <c r="C440" s="88"/>
    </row>
    <row r="441">
      <c r="B441" s="88"/>
      <c r="C441" s="88"/>
    </row>
    <row r="442">
      <c r="B442" s="88"/>
      <c r="C442" s="88"/>
    </row>
    <row r="443">
      <c r="B443" s="88"/>
      <c r="C443" s="88"/>
    </row>
    <row r="444">
      <c r="B444" s="88"/>
      <c r="C444" s="88"/>
    </row>
    <row r="445">
      <c r="B445" s="88"/>
      <c r="C445" s="88"/>
    </row>
    <row r="446">
      <c r="B446" s="88"/>
      <c r="C446" s="88"/>
    </row>
    <row r="447">
      <c r="B447" s="88"/>
      <c r="C447" s="88"/>
    </row>
    <row r="448">
      <c r="B448" s="88"/>
      <c r="C448" s="88"/>
    </row>
    <row r="449">
      <c r="B449" s="88"/>
      <c r="C449" s="88"/>
    </row>
    <row r="450">
      <c r="B450" s="88"/>
      <c r="C450" s="88"/>
    </row>
    <row r="451">
      <c r="B451" s="88"/>
      <c r="C451" s="88"/>
    </row>
    <row r="452">
      <c r="B452" s="88"/>
      <c r="C452" s="88"/>
    </row>
    <row r="453">
      <c r="B453" s="88"/>
      <c r="C453" s="88"/>
    </row>
    <row r="454">
      <c r="B454" s="88"/>
      <c r="C454" s="88"/>
    </row>
    <row r="455">
      <c r="B455" s="88"/>
      <c r="C455" s="88"/>
    </row>
    <row r="456">
      <c r="B456" s="88"/>
      <c r="C456" s="88"/>
    </row>
    <row r="457">
      <c r="B457" s="88"/>
      <c r="C457" s="88"/>
    </row>
    <row r="458">
      <c r="B458" s="88"/>
      <c r="C458" s="88"/>
    </row>
    <row r="459">
      <c r="B459" s="88"/>
      <c r="C459" s="88"/>
    </row>
    <row r="460">
      <c r="B460" s="88"/>
      <c r="C460" s="88"/>
    </row>
    <row r="461">
      <c r="B461" s="88"/>
      <c r="C461" s="88"/>
    </row>
    <row r="462">
      <c r="B462" s="88"/>
      <c r="C462" s="88"/>
    </row>
    <row r="463">
      <c r="B463" s="88"/>
      <c r="C463" s="88"/>
    </row>
    <row r="464">
      <c r="B464" s="88"/>
      <c r="C464" s="88"/>
    </row>
    <row r="465">
      <c r="B465" s="88"/>
      <c r="C465" s="88"/>
    </row>
    <row r="466">
      <c r="B466" s="88"/>
      <c r="C466" s="88"/>
    </row>
    <row r="467">
      <c r="B467" s="88"/>
      <c r="C467" s="88"/>
    </row>
    <row r="468">
      <c r="B468" s="88"/>
      <c r="C468" s="88"/>
    </row>
    <row r="469">
      <c r="B469" s="88"/>
      <c r="C469" s="88"/>
    </row>
    <row r="470">
      <c r="B470" s="88"/>
      <c r="C470" s="88"/>
    </row>
    <row r="471">
      <c r="B471" s="88"/>
      <c r="C471" s="88"/>
    </row>
    <row r="472">
      <c r="B472" s="88"/>
      <c r="C472" s="88"/>
    </row>
    <row r="473">
      <c r="B473" s="88"/>
      <c r="C473" s="88"/>
    </row>
    <row r="474">
      <c r="B474" s="88"/>
      <c r="C474" s="88"/>
    </row>
    <row r="475">
      <c r="B475" s="88"/>
      <c r="C475" s="88"/>
    </row>
    <row r="476">
      <c r="B476" s="88"/>
      <c r="C476" s="88"/>
    </row>
    <row r="477">
      <c r="B477" s="88"/>
      <c r="C477" s="88"/>
    </row>
    <row r="478">
      <c r="B478" s="88"/>
      <c r="C478" s="88"/>
    </row>
    <row r="479">
      <c r="B479" s="88"/>
      <c r="C479" s="88"/>
    </row>
    <row r="480">
      <c r="B480" s="88"/>
      <c r="C480" s="88"/>
    </row>
    <row r="481">
      <c r="B481" s="88"/>
      <c r="C481" s="88"/>
    </row>
    <row r="482">
      <c r="B482" s="88"/>
      <c r="C482" s="88"/>
    </row>
    <row r="483">
      <c r="B483" s="88"/>
      <c r="C483" s="88"/>
    </row>
    <row r="484">
      <c r="B484" s="88"/>
      <c r="C484" s="88"/>
    </row>
    <row r="485">
      <c r="B485" s="88"/>
      <c r="C485" s="88"/>
    </row>
    <row r="486">
      <c r="B486" s="88"/>
      <c r="C486" s="88"/>
    </row>
    <row r="487">
      <c r="B487" s="88"/>
      <c r="C487" s="88"/>
    </row>
    <row r="488">
      <c r="B488" s="88"/>
      <c r="C488" s="88"/>
    </row>
    <row r="489">
      <c r="B489" s="88"/>
      <c r="C489" s="88"/>
    </row>
    <row r="490">
      <c r="B490" s="88"/>
      <c r="C490" s="88"/>
    </row>
    <row r="491">
      <c r="B491" s="88"/>
      <c r="C491" s="88"/>
    </row>
    <row r="492">
      <c r="B492" s="88"/>
      <c r="C492" s="88"/>
    </row>
    <row r="493">
      <c r="B493" s="88"/>
      <c r="C493" s="88"/>
    </row>
    <row r="494">
      <c r="B494" s="88"/>
      <c r="C494" s="88"/>
    </row>
    <row r="495">
      <c r="B495" s="88"/>
      <c r="C495" s="88"/>
    </row>
    <row r="496">
      <c r="B496" s="88"/>
      <c r="C496" s="88"/>
    </row>
    <row r="497">
      <c r="B497" s="88"/>
      <c r="C497" s="88"/>
    </row>
    <row r="498">
      <c r="B498" s="88"/>
      <c r="C498" s="88"/>
    </row>
    <row r="499">
      <c r="B499" s="88"/>
      <c r="C499" s="88"/>
    </row>
    <row r="500">
      <c r="B500" s="88"/>
      <c r="C500" s="88"/>
    </row>
    <row r="501">
      <c r="B501" s="88"/>
      <c r="C501" s="88"/>
    </row>
    <row r="502">
      <c r="B502" s="88"/>
      <c r="C502" s="88"/>
    </row>
    <row r="503">
      <c r="B503" s="88"/>
      <c r="C503" s="88"/>
    </row>
    <row r="504">
      <c r="B504" s="88"/>
      <c r="C504" s="88"/>
    </row>
    <row r="505">
      <c r="B505" s="88"/>
      <c r="C505" s="88"/>
    </row>
    <row r="506">
      <c r="B506" s="88"/>
      <c r="C506" s="88"/>
    </row>
    <row r="507">
      <c r="B507" s="88"/>
      <c r="C507" s="88"/>
    </row>
    <row r="508">
      <c r="B508" s="88"/>
      <c r="C508" s="88"/>
    </row>
    <row r="509">
      <c r="B509" s="88"/>
      <c r="C509" s="88"/>
    </row>
    <row r="510">
      <c r="B510" s="88"/>
      <c r="C510" s="88"/>
    </row>
    <row r="511">
      <c r="B511" s="88"/>
      <c r="C511" s="88"/>
    </row>
    <row r="512">
      <c r="B512" s="88"/>
      <c r="C512" s="88"/>
    </row>
    <row r="513">
      <c r="B513" s="88"/>
      <c r="C513" s="88"/>
    </row>
    <row r="514">
      <c r="B514" s="88"/>
      <c r="C514" s="88"/>
    </row>
    <row r="515">
      <c r="B515" s="88"/>
      <c r="C515" s="88"/>
    </row>
    <row r="516">
      <c r="B516" s="88"/>
      <c r="C516" s="88"/>
    </row>
    <row r="517">
      <c r="B517" s="88"/>
      <c r="C517" s="88"/>
    </row>
    <row r="518">
      <c r="B518" s="88"/>
      <c r="C518" s="88"/>
    </row>
    <row r="519">
      <c r="B519" s="88"/>
      <c r="C519" s="88"/>
    </row>
    <row r="520">
      <c r="B520" s="88"/>
      <c r="C520" s="88"/>
    </row>
    <row r="521">
      <c r="B521" s="88"/>
      <c r="C521" s="88"/>
    </row>
    <row r="522">
      <c r="B522" s="88"/>
      <c r="C522" s="88"/>
    </row>
    <row r="523">
      <c r="B523" s="88"/>
      <c r="C523" s="88"/>
    </row>
    <row r="524">
      <c r="B524" s="88"/>
      <c r="C524" s="88"/>
    </row>
    <row r="525">
      <c r="B525" s="88"/>
      <c r="C525" s="88"/>
    </row>
    <row r="526">
      <c r="B526" s="88"/>
      <c r="C526" s="88"/>
    </row>
    <row r="527">
      <c r="B527" s="88"/>
      <c r="C527" s="88"/>
    </row>
    <row r="528">
      <c r="B528" s="88"/>
      <c r="C528" s="88"/>
    </row>
    <row r="529">
      <c r="B529" s="88"/>
      <c r="C529" s="88"/>
    </row>
    <row r="530">
      <c r="B530" s="88"/>
      <c r="C530" s="88"/>
    </row>
    <row r="531">
      <c r="B531" s="88"/>
      <c r="C531" s="88"/>
    </row>
    <row r="532">
      <c r="B532" s="88"/>
      <c r="C532" s="88"/>
    </row>
    <row r="533">
      <c r="B533" s="88"/>
      <c r="C533" s="88"/>
    </row>
    <row r="534">
      <c r="B534" s="88"/>
      <c r="C534" s="88"/>
    </row>
    <row r="535">
      <c r="B535" s="88"/>
      <c r="C535" s="88"/>
    </row>
    <row r="536">
      <c r="B536" s="88"/>
      <c r="C536" s="88"/>
    </row>
    <row r="537">
      <c r="B537" s="88"/>
      <c r="C537" s="88"/>
    </row>
    <row r="538">
      <c r="B538" s="88"/>
      <c r="C538" s="88"/>
    </row>
    <row r="539">
      <c r="B539" s="88"/>
      <c r="C539" s="88"/>
    </row>
    <row r="540">
      <c r="B540" s="88"/>
      <c r="C540" s="88"/>
    </row>
    <row r="541">
      <c r="B541" s="88"/>
      <c r="C541" s="88"/>
    </row>
    <row r="542">
      <c r="B542" s="88"/>
      <c r="C542" s="88"/>
    </row>
    <row r="543">
      <c r="B543" s="88"/>
      <c r="C543" s="88"/>
    </row>
    <row r="544">
      <c r="B544" s="88"/>
      <c r="C544" s="88"/>
    </row>
    <row r="545">
      <c r="B545" s="88"/>
      <c r="C545" s="88"/>
    </row>
    <row r="546">
      <c r="B546" s="88"/>
      <c r="C546" s="88"/>
    </row>
    <row r="547">
      <c r="B547" s="88"/>
      <c r="C547" s="88"/>
    </row>
    <row r="548">
      <c r="B548" s="88"/>
      <c r="C548" s="88"/>
    </row>
    <row r="549">
      <c r="B549" s="88"/>
      <c r="C549" s="88"/>
    </row>
    <row r="550">
      <c r="B550" s="88"/>
      <c r="C550" s="88"/>
    </row>
    <row r="551">
      <c r="B551" s="88"/>
      <c r="C551" s="88"/>
    </row>
    <row r="552">
      <c r="B552" s="88"/>
      <c r="C552" s="88"/>
    </row>
    <row r="553">
      <c r="B553" s="88"/>
      <c r="C553" s="88"/>
    </row>
    <row r="554">
      <c r="B554" s="88"/>
      <c r="C554" s="88"/>
    </row>
    <row r="555">
      <c r="B555" s="88"/>
      <c r="C555" s="88"/>
    </row>
    <row r="556">
      <c r="B556" s="88"/>
      <c r="C556" s="88"/>
    </row>
    <row r="557">
      <c r="B557" s="88"/>
      <c r="C557" s="88"/>
    </row>
    <row r="558">
      <c r="B558" s="88"/>
      <c r="C558" s="88"/>
    </row>
    <row r="559">
      <c r="B559" s="88"/>
      <c r="C559" s="88"/>
    </row>
    <row r="560">
      <c r="B560" s="88"/>
      <c r="C560" s="88"/>
    </row>
    <row r="561">
      <c r="B561" s="88"/>
      <c r="C561" s="88"/>
    </row>
    <row r="562">
      <c r="B562" s="88"/>
      <c r="C562" s="88"/>
    </row>
    <row r="563">
      <c r="B563" s="88"/>
      <c r="C563" s="88"/>
    </row>
    <row r="564">
      <c r="B564" s="88"/>
      <c r="C564" s="88"/>
    </row>
    <row r="565">
      <c r="B565" s="88"/>
      <c r="C565" s="88"/>
    </row>
    <row r="566">
      <c r="B566" s="88"/>
      <c r="C566" s="88"/>
    </row>
    <row r="567">
      <c r="B567" s="88"/>
      <c r="C567" s="88"/>
    </row>
    <row r="568">
      <c r="B568" s="88"/>
      <c r="C568" s="88"/>
    </row>
    <row r="569">
      <c r="B569" s="88"/>
      <c r="C569" s="88"/>
    </row>
    <row r="570">
      <c r="B570" s="88"/>
      <c r="C570" s="88"/>
    </row>
    <row r="571">
      <c r="B571" s="88"/>
      <c r="C571" s="88"/>
    </row>
    <row r="572">
      <c r="B572" s="88"/>
      <c r="C572" s="88"/>
    </row>
    <row r="573">
      <c r="B573" s="88"/>
      <c r="C573" s="88"/>
    </row>
    <row r="574">
      <c r="B574" s="88"/>
      <c r="C574" s="88"/>
    </row>
    <row r="575">
      <c r="B575" s="88"/>
      <c r="C575" s="88"/>
    </row>
    <row r="576">
      <c r="B576" s="88"/>
      <c r="C576" s="88"/>
    </row>
    <row r="577">
      <c r="B577" s="88"/>
      <c r="C577" s="88"/>
    </row>
    <row r="578">
      <c r="B578" s="88"/>
      <c r="C578" s="88"/>
    </row>
    <row r="579">
      <c r="B579" s="88"/>
      <c r="C579" s="88"/>
    </row>
    <row r="580">
      <c r="B580" s="88"/>
      <c r="C580" s="88"/>
    </row>
    <row r="581">
      <c r="B581" s="88"/>
      <c r="C581" s="88"/>
    </row>
    <row r="582">
      <c r="B582" s="88"/>
      <c r="C582" s="88"/>
    </row>
    <row r="583">
      <c r="B583" s="88"/>
      <c r="C583" s="88"/>
    </row>
    <row r="584">
      <c r="B584" s="88"/>
      <c r="C584" s="88"/>
    </row>
    <row r="585">
      <c r="B585" s="88"/>
      <c r="C585" s="88"/>
    </row>
    <row r="586">
      <c r="B586" s="88"/>
      <c r="C586" s="88"/>
    </row>
    <row r="587">
      <c r="B587" s="88"/>
      <c r="C587" s="88"/>
    </row>
    <row r="588">
      <c r="B588" s="88"/>
      <c r="C588" s="88"/>
    </row>
    <row r="589">
      <c r="B589" s="88"/>
      <c r="C589" s="88"/>
    </row>
    <row r="590">
      <c r="B590" s="88"/>
      <c r="C590" s="88"/>
    </row>
    <row r="591">
      <c r="B591" s="88"/>
      <c r="C591" s="88"/>
    </row>
    <row r="592">
      <c r="B592" s="88"/>
      <c r="C592" s="88"/>
    </row>
    <row r="593">
      <c r="B593" s="88"/>
      <c r="C593" s="88"/>
    </row>
    <row r="594">
      <c r="B594" s="88"/>
      <c r="C594" s="88"/>
    </row>
    <row r="595">
      <c r="B595" s="88"/>
      <c r="C595" s="88"/>
    </row>
    <row r="596">
      <c r="B596" s="88"/>
      <c r="C596" s="88"/>
    </row>
    <row r="597">
      <c r="B597" s="88"/>
      <c r="C597" s="88"/>
    </row>
    <row r="598">
      <c r="B598" s="88"/>
      <c r="C598" s="88"/>
    </row>
    <row r="599">
      <c r="B599" s="88"/>
      <c r="C599" s="88"/>
    </row>
    <row r="600">
      <c r="B600" s="88"/>
      <c r="C600" s="88"/>
    </row>
    <row r="601">
      <c r="B601" s="88"/>
      <c r="C601" s="88"/>
    </row>
    <row r="602">
      <c r="B602" s="88"/>
      <c r="C602" s="88"/>
    </row>
    <row r="603">
      <c r="B603" s="88"/>
      <c r="C603" s="88"/>
    </row>
    <row r="604">
      <c r="B604" s="88"/>
      <c r="C604" s="88"/>
    </row>
    <row r="605">
      <c r="B605" s="88"/>
      <c r="C605" s="88"/>
    </row>
    <row r="606">
      <c r="B606" s="88"/>
      <c r="C606" s="88"/>
    </row>
    <row r="607">
      <c r="B607" s="88"/>
      <c r="C607" s="88"/>
    </row>
    <row r="608">
      <c r="B608" s="88"/>
      <c r="C608" s="88"/>
    </row>
    <row r="609">
      <c r="B609" s="88"/>
      <c r="C609" s="88"/>
    </row>
    <row r="610">
      <c r="B610" s="88"/>
      <c r="C610" s="88"/>
    </row>
    <row r="611">
      <c r="B611" s="88"/>
      <c r="C611" s="88"/>
    </row>
    <row r="612">
      <c r="B612" s="88"/>
      <c r="C612" s="88"/>
    </row>
    <row r="613">
      <c r="B613" s="88"/>
      <c r="C613" s="88"/>
    </row>
    <row r="614">
      <c r="B614" s="88"/>
      <c r="C614" s="88"/>
    </row>
    <row r="615">
      <c r="B615" s="88"/>
      <c r="C615" s="88"/>
    </row>
    <row r="616">
      <c r="B616" s="88"/>
      <c r="C616" s="88"/>
    </row>
    <row r="617">
      <c r="B617" s="88"/>
      <c r="C617" s="88"/>
    </row>
    <row r="618">
      <c r="B618" s="88"/>
      <c r="C618" s="88"/>
    </row>
    <row r="619">
      <c r="B619" s="88"/>
      <c r="C619" s="88"/>
    </row>
    <row r="620">
      <c r="B620" s="88"/>
      <c r="C620" s="88"/>
    </row>
    <row r="621">
      <c r="B621" s="88"/>
      <c r="C621" s="88"/>
    </row>
    <row r="622">
      <c r="B622" s="88"/>
      <c r="C622" s="88"/>
    </row>
    <row r="623">
      <c r="B623" s="88"/>
      <c r="C623" s="88"/>
    </row>
    <row r="624">
      <c r="B624" s="88"/>
      <c r="C624" s="88"/>
    </row>
    <row r="625">
      <c r="B625" s="88"/>
      <c r="C625" s="88"/>
    </row>
    <row r="626">
      <c r="B626" s="88"/>
      <c r="C626" s="88"/>
    </row>
    <row r="627">
      <c r="B627" s="88"/>
      <c r="C627" s="88"/>
    </row>
    <row r="628">
      <c r="B628" s="88"/>
      <c r="C628" s="88"/>
    </row>
    <row r="629">
      <c r="B629" s="88"/>
      <c r="C629" s="88"/>
    </row>
    <row r="630">
      <c r="B630" s="88"/>
      <c r="C630" s="88"/>
    </row>
    <row r="631">
      <c r="B631" s="88"/>
      <c r="C631" s="88"/>
    </row>
    <row r="632">
      <c r="B632" s="88"/>
      <c r="C632" s="88"/>
    </row>
    <row r="633">
      <c r="B633" s="88"/>
      <c r="C633" s="88"/>
    </row>
    <row r="634">
      <c r="B634" s="88"/>
      <c r="C634" s="88"/>
    </row>
    <row r="635">
      <c r="B635" s="88"/>
      <c r="C635" s="88"/>
    </row>
    <row r="636">
      <c r="B636" s="88"/>
      <c r="C636" s="88"/>
    </row>
    <row r="637">
      <c r="B637" s="88"/>
      <c r="C637" s="88"/>
    </row>
    <row r="638">
      <c r="B638" s="88"/>
      <c r="C638" s="88"/>
    </row>
    <row r="639">
      <c r="B639" s="88"/>
      <c r="C639" s="88"/>
    </row>
    <row r="640">
      <c r="B640" s="88"/>
      <c r="C640" s="88"/>
    </row>
    <row r="641">
      <c r="B641" s="88"/>
      <c r="C641" s="88"/>
    </row>
    <row r="642">
      <c r="B642" s="88"/>
      <c r="C642" s="88"/>
    </row>
    <row r="643">
      <c r="B643" s="88"/>
      <c r="C643" s="88"/>
    </row>
    <row r="644">
      <c r="B644" s="88"/>
      <c r="C644" s="88"/>
    </row>
    <row r="645">
      <c r="B645" s="88"/>
      <c r="C645" s="88"/>
    </row>
    <row r="646">
      <c r="B646" s="88"/>
      <c r="C646" s="88"/>
    </row>
    <row r="647">
      <c r="B647" s="88"/>
      <c r="C647" s="88"/>
    </row>
    <row r="648">
      <c r="B648" s="88"/>
      <c r="C648" s="88"/>
    </row>
    <row r="649">
      <c r="B649" s="88"/>
      <c r="C649" s="88"/>
    </row>
    <row r="650">
      <c r="B650" s="88"/>
      <c r="C650" s="88"/>
    </row>
    <row r="651">
      <c r="B651" s="88"/>
      <c r="C651" s="88"/>
    </row>
    <row r="652">
      <c r="B652" s="88"/>
      <c r="C652" s="88"/>
    </row>
    <row r="653">
      <c r="B653" s="88"/>
      <c r="C653" s="88"/>
    </row>
    <row r="654">
      <c r="B654" s="88"/>
      <c r="C654" s="88"/>
    </row>
    <row r="655">
      <c r="B655" s="88"/>
      <c r="C655" s="88"/>
    </row>
    <row r="656">
      <c r="B656" s="88"/>
      <c r="C656" s="88"/>
    </row>
    <row r="657">
      <c r="B657" s="88"/>
      <c r="C657" s="88"/>
    </row>
    <row r="658">
      <c r="B658" s="88"/>
      <c r="C658" s="88"/>
    </row>
    <row r="659">
      <c r="B659" s="88"/>
      <c r="C659" s="88"/>
    </row>
    <row r="660">
      <c r="B660" s="88"/>
      <c r="C660" s="88"/>
    </row>
    <row r="661">
      <c r="B661" s="88"/>
      <c r="C661" s="88"/>
    </row>
    <row r="662">
      <c r="B662" s="88"/>
      <c r="C662" s="88"/>
    </row>
    <row r="663">
      <c r="B663" s="88"/>
      <c r="C663" s="88"/>
    </row>
    <row r="664">
      <c r="B664" s="88"/>
      <c r="C664" s="88"/>
    </row>
    <row r="665">
      <c r="B665" s="88"/>
      <c r="C665" s="88"/>
    </row>
    <row r="666">
      <c r="B666" s="88"/>
      <c r="C666" s="88"/>
    </row>
    <row r="667">
      <c r="B667" s="88"/>
      <c r="C667" s="88"/>
    </row>
    <row r="668">
      <c r="B668" s="88"/>
      <c r="C668" s="88"/>
    </row>
    <row r="669">
      <c r="B669" s="88"/>
      <c r="C669" s="88"/>
    </row>
    <row r="670">
      <c r="B670" s="88"/>
      <c r="C670" s="88"/>
    </row>
    <row r="671">
      <c r="B671" s="88"/>
      <c r="C671" s="88"/>
    </row>
    <row r="672">
      <c r="B672" s="88"/>
      <c r="C672" s="88"/>
    </row>
    <row r="673">
      <c r="B673" s="88"/>
      <c r="C673" s="88"/>
    </row>
    <row r="674">
      <c r="B674" s="88"/>
      <c r="C674" s="88"/>
    </row>
    <row r="675">
      <c r="B675" s="88"/>
      <c r="C675" s="88"/>
    </row>
    <row r="676">
      <c r="B676" s="88"/>
      <c r="C676" s="88"/>
    </row>
    <row r="677">
      <c r="B677" s="88"/>
      <c r="C677" s="88"/>
    </row>
    <row r="678">
      <c r="B678" s="88"/>
      <c r="C678" s="88"/>
    </row>
    <row r="679">
      <c r="B679" s="88"/>
      <c r="C679" s="88"/>
    </row>
    <row r="680">
      <c r="B680" s="88"/>
      <c r="C680" s="88"/>
    </row>
    <row r="681">
      <c r="B681" s="88"/>
      <c r="C681" s="88"/>
    </row>
    <row r="682">
      <c r="B682" s="88"/>
      <c r="C682" s="88"/>
    </row>
    <row r="683">
      <c r="B683" s="88"/>
      <c r="C683" s="88"/>
    </row>
    <row r="684">
      <c r="B684" s="88"/>
      <c r="C684" s="88"/>
    </row>
    <row r="685">
      <c r="B685" s="88"/>
      <c r="C685" s="88"/>
    </row>
    <row r="686">
      <c r="B686" s="88"/>
      <c r="C686" s="88"/>
    </row>
    <row r="687">
      <c r="B687" s="88"/>
      <c r="C687" s="88"/>
    </row>
    <row r="688">
      <c r="B688" s="88"/>
      <c r="C688" s="88"/>
    </row>
    <row r="689">
      <c r="B689" s="88"/>
      <c r="C689" s="88"/>
    </row>
    <row r="690">
      <c r="B690" s="88"/>
      <c r="C690" s="88"/>
    </row>
    <row r="691">
      <c r="B691" s="88"/>
      <c r="C691" s="88"/>
    </row>
    <row r="692">
      <c r="B692" s="88"/>
      <c r="C692" s="88"/>
    </row>
    <row r="693">
      <c r="B693" s="88"/>
      <c r="C693" s="88"/>
    </row>
    <row r="694">
      <c r="B694" s="88"/>
      <c r="C694" s="88"/>
    </row>
    <row r="695">
      <c r="B695" s="88"/>
      <c r="C695" s="88"/>
    </row>
    <row r="696">
      <c r="B696" s="88"/>
      <c r="C696" s="88"/>
    </row>
    <row r="697">
      <c r="B697" s="88"/>
      <c r="C697" s="88"/>
    </row>
    <row r="698">
      <c r="B698" s="88"/>
      <c r="C698" s="88"/>
    </row>
    <row r="699">
      <c r="B699" s="88"/>
      <c r="C699" s="88"/>
    </row>
    <row r="700">
      <c r="B700" s="88"/>
      <c r="C700" s="88"/>
    </row>
    <row r="701">
      <c r="B701" s="88"/>
      <c r="C701" s="88"/>
    </row>
    <row r="702">
      <c r="B702" s="88"/>
      <c r="C702" s="88"/>
    </row>
    <row r="703">
      <c r="B703" s="88"/>
      <c r="C703" s="88"/>
    </row>
    <row r="704">
      <c r="B704" s="88"/>
      <c r="C704" s="88"/>
    </row>
    <row r="705">
      <c r="B705" s="88"/>
      <c r="C705" s="88"/>
    </row>
    <row r="706">
      <c r="B706" s="88"/>
      <c r="C706" s="88"/>
    </row>
    <row r="707">
      <c r="B707" s="88"/>
      <c r="C707" s="88"/>
    </row>
    <row r="708">
      <c r="B708" s="88"/>
      <c r="C708" s="88"/>
    </row>
    <row r="709">
      <c r="B709" s="88"/>
      <c r="C709" s="88"/>
    </row>
    <row r="710">
      <c r="B710" s="88"/>
      <c r="C710" s="88"/>
    </row>
    <row r="711">
      <c r="B711" s="88"/>
      <c r="C711" s="88"/>
    </row>
    <row r="712">
      <c r="B712" s="88"/>
      <c r="C712" s="88"/>
    </row>
    <row r="713">
      <c r="B713" s="88"/>
      <c r="C713" s="88"/>
    </row>
    <row r="714">
      <c r="B714" s="88"/>
      <c r="C714" s="88"/>
    </row>
    <row r="715">
      <c r="B715" s="88"/>
      <c r="C715" s="88"/>
    </row>
    <row r="716">
      <c r="B716" s="88"/>
      <c r="C716" s="88"/>
    </row>
    <row r="717">
      <c r="B717" s="88"/>
      <c r="C717" s="88"/>
    </row>
    <row r="718">
      <c r="B718" s="88"/>
      <c r="C718" s="88"/>
    </row>
    <row r="719">
      <c r="B719" s="88"/>
      <c r="C719" s="88"/>
    </row>
    <row r="720">
      <c r="B720" s="88"/>
      <c r="C720" s="88"/>
    </row>
    <row r="721">
      <c r="B721" s="88"/>
      <c r="C721" s="88"/>
    </row>
    <row r="722">
      <c r="B722" s="88"/>
      <c r="C722" s="88"/>
    </row>
    <row r="723">
      <c r="B723" s="88"/>
      <c r="C723" s="88"/>
    </row>
    <row r="724">
      <c r="B724" s="88"/>
      <c r="C724" s="88"/>
    </row>
    <row r="725">
      <c r="B725" s="88"/>
      <c r="C725" s="88"/>
    </row>
    <row r="726">
      <c r="B726" s="88"/>
      <c r="C726" s="88"/>
    </row>
    <row r="727">
      <c r="B727" s="88"/>
      <c r="C727" s="88"/>
    </row>
    <row r="728">
      <c r="B728" s="88"/>
      <c r="C728" s="88"/>
    </row>
    <row r="729">
      <c r="B729" s="88"/>
      <c r="C729" s="88"/>
    </row>
    <row r="730">
      <c r="B730" s="88"/>
      <c r="C730" s="88"/>
    </row>
    <row r="731">
      <c r="B731" s="88"/>
      <c r="C731" s="88"/>
    </row>
    <row r="732">
      <c r="B732" s="88"/>
      <c r="C732" s="88"/>
    </row>
    <row r="733">
      <c r="B733" s="88"/>
      <c r="C733" s="88"/>
    </row>
    <row r="734">
      <c r="B734" s="88"/>
      <c r="C734" s="88"/>
    </row>
    <row r="735">
      <c r="B735" s="88"/>
      <c r="C735" s="88"/>
    </row>
    <row r="736">
      <c r="B736" s="88"/>
      <c r="C736" s="88"/>
    </row>
    <row r="737">
      <c r="B737" s="88"/>
      <c r="C737" s="88"/>
    </row>
    <row r="738">
      <c r="B738" s="88"/>
      <c r="C738" s="88"/>
    </row>
    <row r="739">
      <c r="B739" s="88"/>
      <c r="C739" s="88"/>
    </row>
    <row r="740">
      <c r="B740" s="88"/>
      <c r="C740" s="88"/>
    </row>
    <row r="741">
      <c r="B741" s="88"/>
      <c r="C741" s="88"/>
    </row>
    <row r="742">
      <c r="B742" s="88"/>
      <c r="C742" s="88"/>
    </row>
    <row r="743">
      <c r="B743" s="88"/>
      <c r="C743" s="88"/>
    </row>
    <row r="744">
      <c r="B744" s="88"/>
      <c r="C744" s="88"/>
    </row>
    <row r="745">
      <c r="B745" s="88"/>
      <c r="C745" s="88"/>
    </row>
    <row r="746">
      <c r="B746" s="88"/>
      <c r="C746" s="88"/>
    </row>
    <row r="747">
      <c r="B747" s="88"/>
      <c r="C747" s="88"/>
    </row>
    <row r="748">
      <c r="B748" s="88"/>
      <c r="C748" s="88"/>
    </row>
    <row r="749">
      <c r="B749" s="88"/>
      <c r="C749" s="88"/>
    </row>
    <row r="750">
      <c r="B750" s="88"/>
      <c r="C750" s="88"/>
    </row>
    <row r="751">
      <c r="B751" s="88"/>
      <c r="C751" s="88"/>
    </row>
    <row r="752">
      <c r="B752" s="88"/>
      <c r="C752" s="88"/>
    </row>
    <row r="753">
      <c r="B753" s="88"/>
      <c r="C753" s="88"/>
    </row>
    <row r="754">
      <c r="B754" s="88"/>
      <c r="C754" s="88"/>
    </row>
    <row r="755">
      <c r="B755" s="88"/>
      <c r="C755" s="88"/>
    </row>
    <row r="756">
      <c r="B756" s="88"/>
      <c r="C756" s="88"/>
    </row>
    <row r="757">
      <c r="B757" s="88"/>
      <c r="C757" s="88"/>
    </row>
    <row r="758">
      <c r="B758" s="88"/>
      <c r="C758" s="88"/>
    </row>
    <row r="759">
      <c r="B759" s="88"/>
      <c r="C759" s="88"/>
    </row>
    <row r="760">
      <c r="B760" s="88"/>
      <c r="C760" s="88"/>
    </row>
    <row r="761">
      <c r="B761" s="88"/>
      <c r="C761" s="88"/>
    </row>
    <row r="762">
      <c r="B762" s="88"/>
      <c r="C762" s="88"/>
    </row>
    <row r="763">
      <c r="B763" s="88"/>
      <c r="C763" s="88"/>
    </row>
    <row r="764">
      <c r="B764" s="88"/>
      <c r="C764" s="88"/>
    </row>
    <row r="765">
      <c r="B765" s="88"/>
      <c r="C765" s="88"/>
    </row>
    <row r="766">
      <c r="B766" s="88"/>
      <c r="C766" s="88"/>
    </row>
    <row r="767">
      <c r="B767" s="88"/>
      <c r="C767" s="88"/>
    </row>
    <row r="768">
      <c r="B768" s="88"/>
      <c r="C768" s="88"/>
    </row>
    <row r="769">
      <c r="B769" s="88"/>
      <c r="C769" s="88"/>
    </row>
    <row r="770">
      <c r="B770" s="88"/>
      <c r="C770" s="88"/>
    </row>
    <row r="771">
      <c r="B771" s="88"/>
      <c r="C771" s="88"/>
    </row>
    <row r="772">
      <c r="B772" s="88"/>
      <c r="C772" s="88"/>
    </row>
    <row r="773">
      <c r="B773" s="88"/>
      <c r="C773" s="88"/>
    </row>
    <row r="774">
      <c r="B774" s="88"/>
      <c r="C774" s="88"/>
    </row>
    <row r="775">
      <c r="B775" s="88"/>
      <c r="C775" s="88"/>
    </row>
    <row r="776">
      <c r="B776" s="88"/>
      <c r="C776" s="88"/>
    </row>
    <row r="777">
      <c r="B777" s="88"/>
      <c r="C777" s="88"/>
    </row>
    <row r="778">
      <c r="B778" s="88"/>
      <c r="C778" s="88"/>
    </row>
    <row r="779">
      <c r="B779" s="88"/>
      <c r="C779" s="88"/>
    </row>
    <row r="780">
      <c r="B780" s="88"/>
      <c r="C780" s="88"/>
    </row>
    <row r="781">
      <c r="B781" s="88"/>
      <c r="C781" s="88"/>
    </row>
    <row r="782">
      <c r="B782" s="88"/>
      <c r="C782" s="88"/>
    </row>
    <row r="783">
      <c r="B783" s="88"/>
      <c r="C783" s="88"/>
    </row>
    <row r="784">
      <c r="B784" s="88"/>
      <c r="C784" s="88"/>
    </row>
    <row r="785">
      <c r="B785" s="88"/>
      <c r="C785" s="88"/>
    </row>
    <row r="786">
      <c r="B786" s="88"/>
      <c r="C786" s="88"/>
    </row>
    <row r="787">
      <c r="B787" s="88"/>
      <c r="C787" s="88"/>
    </row>
    <row r="788">
      <c r="B788" s="88"/>
      <c r="C788" s="88"/>
    </row>
    <row r="789">
      <c r="B789" s="88"/>
      <c r="C789" s="88"/>
    </row>
    <row r="790">
      <c r="B790" s="88"/>
      <c r="C790" s="88"/>
    </row>
    <row r="791">
      <c r="B791" s="88"/>
      <c r="C791" s="88"/>
    </row>
    <row r="792">
      <c r="B792" s="88"/>
      <c r="C792" s="88"/>
    </row>
    <row r="793">
      <c r="B793" s="88"/>
      <c r="C793" s="88"/>
    </row>
    <row r="794">
      <c r="B794" s="88"/>
      <c r="C794" s="88"/>
    </row>
    <row r="795">
      <c r="B795" s="88"/>
      <c r="C795" s="88"/>
    </row>
    <row r="796">
      <c r="B796" s="88"/>
      <c r="C796" s="88"/>
    </row>
    <row r="797">
      <c r="B797" s="88"/>
      <c r="C797" s="88"/>
    </row>
    <row r="798">
      <c r="B798" s="88"/>
      <c r="C798" s="88"/>
    </row>
    <row r="799">
      <c r="B799" s="88"/>
      <c r="C799" s="88"/>
    </row>
    <row r="800">
      <c r="B800" s="88"/>
      <c r="C800" s="88"/>
    </row>
    <row r="801">
      <c r="B801" s="88"/>
      <c r="C801" s="88"/>
    </row>
    <row r="802">
      <c r="B802" s="88"/>
      <c r="C802" s="88"/>
    </row>
    <row r="803">
      <c r="B803" s="88"/>
      <c r="C803" s="88"/>
    </row>
    <row r="804">
      <c r="B804" s="88"/>
      <c r="C804" s="88"/>
    </row>
    <row r="805">
      <c r="B805" s="88"/>
      <c r="C805" s="88"/>
    </row>
    <row r="806">
      <c r="B806" s="88"/>
      <c r="C806" s="88"/>
    </row>
    <row r="807">
      <c r="B807" s="88"/>
      <c r="C807" s="88"/>
    </row>
    <row r="808">
      <c r="B808" s="88"/>
      <c r="C808" s="88"/>
    </row>
    <row r="809">
      <c r="B809" s="88"/>
      <c r="C809" s="88"/>
    </row>
    <row r="810">
      <c r="B810" s="88"/>
      <c r="C810" s="88"/>
    </row>
    <row r="811">
      <c r="B811" s="88"/>
      <c r="C811" s="88"/>
    </row>
    <row r="812">
      <c r="B812" s="88"/>
      <c r="C812" s="88"/>
    </row>
    <row r="813">
      <c r="B813" s="88"/>
      <c r="C813" s="88"/>
    </row>
    <row r="814">
      <c r="B814" s="88"/>
      <c r="C814" s="88"/>
    </row>
    <row r="815">
      <c r="B815" s="88"/>
      <c r="C815" s="88"/>
    </row>
    <row r="816">
      <c r="B816" s="88"/>
      <c r="C816" s="88"/>
    </row>
    <row r="817">
      <c r="B817" s="88"/>
      <c r="C817" s="88"/>
    </row>
    <row r="818">
      <c r="B818" s="88"/>
      <c r="C818" s="88"/>
    </row>
    <row r="819">
      <c r="B819" s="88"/>
      <c r="C819" s="88"/>
    </row>
    <row r="820">
      <c r="B820" s="88"/>
      <c r="C820" s="88"/>
    </row>
    <row r="821">
      <c r="B821" s="88"/>
      <c r="C821" s="88"/>
    </row>
    <row r="822">
      <c r="B822" s="88"/>
      <c r="C822" s="88"/>
    </row>
    <row r="823">
      <c r="B823" s="88"/>
      <c r="C823" s="88"/>
    </row>
    <row r="824">
      <c r="B824" s="88"/>
      <c r="C824" s="88"/>
    </row>
    <row r="825">
      <c r="B825" s="88"/>
      <c r="C825" s="88"/>
    </row>
    <row r="826">
      <c r="B826" s="88"/>
      <c r="C826" s="88"/>
    </row>
    <row r="827">
      <c r="B827" s="88"/>
      <c r="C827" s="88"/>
    </row>
    <row r="828">
      <c r="B828" s="88"/>
      <c r="C828" s="88"/>
    </row>
    <row r="829">
      <c r="B829" s="88"/>
      <c r="C829" s="88"/>
    </row>
    <row r="830">
      <c r="B830" s="88"/>
      <c r="C830" s="88"/>
    </row>
    <row r="831">
      <c r="B831" s="88"/>
      <c r="C831" s="88"/>
    </row>
    <row r="832">
      <c r="B832" s="88"/>
      <c r="C832" s="88"/>
    </row>
    <row r="833">
      <c r="B833" s="88"/>
      <c r="C833" s="88"/>
    </row>
    <row r="834">
      <c r="B834" s="88"/>
      <c r="C834" s="88"/>
    </row>
    <row r="835">
      <c r="B835" s="88"/>
      <c r="C835" s="88"/>
    </row>
    <row r="836">
      <c r="B836" s="88"/>
      <c r="C836" s="88"/>
    </row>
    <row r="837">
      <c r="B837" s="88"/>
      <c r="C837" s="88"/>
    </row>
    <row r="838">
      <c r="B838" s="88"/>
      <c r="C838" s="88"/>
    </row>
    <row r="839">
      <c r="B839" s="88"/>
      <c r="C839" s="88"/>
    </row>
    <row r="840">
      <c r="B840" s="88"/>
      <c r="C840" s="88"/>
    </row>
    <row r="841">
      <c r="B841" s="88"/>
      <c r="C841" s="88"/>
    </row>
    <row r="842">
      <c r="B842" s="88"/>
      <c r="C842" s="88"/>
    </row>
    <row r="843">
      <c r="B843" s="88"/>
      <c r="C843" s="88"/>
    </row>
    <row r="844">
      <c r="B844" s="88"/>
      <c r="C844" s="88"/>
    </row>
    <row r="845">
      <c r="B845" s="88"/>
      <c r="C845" s="88"/>
    </row>
    <row r="846">
      <c r="B846" s="88"/>
      <c r="C846" s="88"/>
    </row>
    <row r="847">
      <c r="B847" s="88"/>
      <c r="C847" s="88"/>
    </row>
    <row r="848">
      <c r="B848" s="88"/>
      <c r="C848" s="88"/>
    </row>
    <row r="849">
      <c r="B849" s="88"/>
      <c r="C849" s="88"/>
    </row>
    <row r="850">
      <c r="B850" s="88"/>
      <c r="C850" s="88"/>
    </row>
    <row r="851">
      <c r="B851" s="88"/>
      <c r="C851" s="88"/>
    </row>
    <row r="852">
      <c r="B852" s="88"/>
      <c r="C852" s="88"/>
    </row>
    <row r="853">
      <c r="B853" s="88"/>
      <c r="C853" s="88"/>
    </row>
    <row r="854">
      <c r="B854" s="88"/>
      <c r="C854" s="88"/>
    </row>
    <row r="855">
      <c r="B855" s="88"/>
      <c r="C855" s="88"/>
    </row>
    <row r="856">
      <c r="B856" s="88"/>
      <c r="C856" s="88"/>
    </row>
    <row r="857">
      <c r="B857" s="88"/>
      <c r="C857" s="88"/>
    </row>
    <row r="858">
      <c r="B858" s="88"/>
      <c r="C858" s="88"/>
    </row>
    <row r="859">
      <c r="B859" s="88"/>
      <c r="C859" s="88"/>
    </row>
    <row r="860">
      <c r="B860" s="88"/>
      <c r="C860" s="88"/>
    </row>
    <row r="861">
      <c r="B861" s="88"/>
      <c r="C861" s="88"/>
    </row>
    <row r="862">
      <c r="B862" s="88"/>
      <c r="C862" s="88"/>
    </row>
    <row r="863">
      <c r="B863" s="88"/>
      <c r="C863" s="88"/>
    </row>
    <row r="864">
      <c r="B864" s="88"/>
      <c r="C864" s="88"/>
    </row>
    <row r="865">
      <c r="B865" s="88"/>
      <c r="C865" s="88"/>
    </row>
    <row r="866">
      <c r="B866" s="88"/>
      <c r="C866" s="88"/>
    </row>
    <row r="867">
      <c r="B867" s="88"/>
      <c r="C867" s="88"/>
    </row>
    <row r="868">
      <c r="B868" s="88"/>
      <c r="C868" s="88"/>
    </row>
    <row r="869">
      <c r="B869" s="88"/>
      <c r="C869" s="88"/>
    </row>
    <row r="870">
      <c r="B870" s="88"/>
      <c r="C870" s="88"/>
    </row>
    <row r="871">
      <c r="B871" s="88"/>
      <c r="C871" s="88"/>
    </row>
    <row r="872">
      <c r="B872" s="88"/>
      <c r="C872" s="88"/>
    </row>
    <row r="873">
      <c r="B873" s="88"/>
      <c r="C873" s="88"/>
    </row>
    <row r="874">
      <c r="B874" s="88"/>
      <c r="C874" s="88"/>
    </row>
    <row r="875">
      <c r="B875" s="88"/>
      <c r="C875" s="88"/>
    </row>
    <row r="876">
      <c r="B876" s="88"/>
      <c r="C876" s="88"/>
    </row>
    <row r="877">
      <c r="B877" s="88"/>
      <c r="C877" s="88"/>
    </row>
    <row r="878">
      <c r="B878" s="88"/>
      <c r="C878" s="88"/>
    </row>
    <row r="879">
      <c r="B879" s="88"/>
      <c r="C879" s="88"/>
    </row>
    <row r="880">
      <c r="B880" s="88"/>
      <c r="C880" s="88"/>
    </row>
    <row r="881">
      <c r="B881" s="88"/>
      <c r="C881" s="88"/>
    </row>
    <row r="882">
      <c r="B882" s="88"/>
      <c r="C882" s="88"/>
    </row>
    <row r="883">
      <c r="B883" s="88"/>
      <c r="C883" s="88"/>
    </row>
    <row r="884">
      <c r="B884" s="88"/>
      <c r="C884" s="88"/>
    </row>
    <row r="885">
      <c r="B885" s="88"/>
      <c r="C885" s="88"/>
    </row>
    <row r="886">
      <c r="B886" s="88"/>
      <c r="C886" s="88"/>
    </row>
    <row r="887">
      <c r="B887" s="88"/>
      <c r="C887" s="88"/>
    </row>
    <row r="888">
      <c r="B888" s="88"/>
      <c r="C888" s="88"/>
    </row>
    <row r="889">
      <c r="B889" s="88"/>
      <c r="C889" s="88"/>
    </row>
    <row r="890">
      <c r="B890" s="88"/>
      <c r="C890" s="88"/>
    </row>
    <row r="891">
      <c r="B891" s="88"/>
      <c r="C891" s="88"/>
    </row>
    <row r="892">
      <c r="B892" s="88"/>
      <c r="C892" s="88"/>
    </row>
    <row r="893">
      <c r="B893" s="88"/>
      <c r="C893" s="88"/>
    </row>
    <row r="894">
      <c r="B894" s="88"/>
      <c r="C894" s="88"/>
    </row>
    <row r="895">
      <c r="B895" s="88"/>
      <c r="C895" s="88"/>
    </row>
    <row r="896">
      <c r="B896" s="88"/>
      <c r="C896" s="88"/>
    </row>
    <row r="897">
      <c r="B897" s="88"/>
      <c r="C897" s="88"/>
    </row>
    <row r="898">
      <c r="B898" s="88"/>
      <c r="C898" s="88"/>
    </row>
    <row r="899">
      <c r="B899" s="88"/>
      <c r="C899" s="88"/>
    </row>
    <row r="900">
      <c r="B900" s="88"/>
      <c r="C900" s="88"/>
    </row>
    <row r="901">
      <c r="B901" s="88"/>
      <c r="C901" s="88"/>
    </row>
    <row r="902">
      <c r="B902" s="88"/>
      <c r="C902" s="88"/>
    </row>
    <row r="903">
      <c r="B903" s="88"/>
      <c r="C903" s="88"/>
    </row>
    <row r="904">
      <c r="B904" s="88"/>
      <c r="C904" s="88"/>
    </row>
    <row r="905">
      <c r="B905" s="88"/>
      <c r="C905" s="88"/>
    </row>
    <row r="906">
      <c r="B906" s="88"/>
      <c r="C906" s="88"/>
    </row>
    <row r="907">
      <c r="B907" s="88"/>
      <c r="C907" s="88"/>
    </row>
    <row r="908">
      <c r="B908" s="88"/>
      <c r="C908" s="88"/>
    </row>
    <row r="909">
      <c r="B909" s="88"/>
      <c r="C909" s="88"/>
    </row>
    <row r="910">
      <c r="B910" s="88"/>
      <c r="C910" s="88"/>
    </row>
    <row r="911">
      <c r="B911" s="88"/>
      <c r="C911" s="88"/>
    </row>
    <row r="912">
      <c r="B912" s="88"/>
      <c r="C912" s="88"/>
    </row>
    <row r="913">
      <c r="B913" s="88"/>
      <c r="C913" s="88"/>
    </row>
    <row r="914">
      <c r="B914" s="88"/>
      <c r="C914" s="88"/>
    </row>
    <row r="915">
      <c r="B915" s="88"/>
      <c r="C915" s="88"/>
    </row>
    <row r="916">
      <c r="B916" s="88"/>
      <c r="C916" s="88"/>
    </row>
    <row r="917">
      <c r="B917" s="88"/>
      <c r="C917" s="88"/>
    </row>
    <row r="918">
      <c r="B918" s="88"/>
      <c r="C918" s="88"/>
    </row>
    <row r="919">
      <c r="B919" s="88"/>
      <c r="C919" s="88"/>
    </row>
    <row r="920">
      <c r="B920" s="88"/>
      <c r="C920" s="88"/>
    </row>
    <row r="921">
      <c r="B921" s="88"/>
      <c r="C921" s="88"/>
    </row>
    <row r="922">
      <c r="B922" s="88"/>
      <c r="C922" s="88"/>
    </row>
    <row r="923">
      <c r="B923" s="88"/>
      <c r="C923" s="88"/>
    </row>
    <row r="924">
      <c r="B924" s="88"/>
      <c r="C924" s="88"/>
    </row>
    <row r="925">
      <c r="B925" s="88"/>
      <c r="C925" s="88"/>
    </row>
    <row r="926">
      <c r="B926" s="88"/>
      <c r="C926" s="88"/>
    </row>
    <row r="927">
      <c r="B927" s="88"/>
      <c r="C927" s="88"/>
    </row>
    <row r="928">
      <c r="B928" s="88"/>
      <c r="C928" s="88"/>
    </row>
    <row r="929">
      <c r="B929" s="88"/>
      <c r="C929" s="88"/>
    </row>
    <row r="930">
      <c r="B930" s="88"/>
      <c r="C930" s="88"/>
    </row>
    <row r="931">
      <c r="B931" s="88"/>
      <c r="C931" s="88"/>
    </row>
    <row r="932">
      <c r="B932" s="88"/>
      <c r="C932" s="88"/>
    </row>
    <row r="933">
      <c r="B933" s="88"/>
      <c r="C933" s="88"/>
    </row>
    <row r="934">
      <c r="B934" s="88"/>
      <c r="C934" s="88"/>
    </row>
    <row r="935">
      <c r="B935" s="88"/>
      <c r="C935" s="88"/>
    </row>
    <row r="936">
      <c r="B936" s="88"/>
      <c r="C936" s="88"/>
    </row>
    <row r="937">
      <c r="B937" s="88"/>
      <c r="C937" s="88"/>
    </row>
    <row r="938">
      <c r="B938" s="88"/>
      <c r="C938" s="88"/>
    </row>
    <row r="939">
      <c r="B939" s="88"/>
      <c r="C939" s="88"/>
    </row>
    <row r="940">
      <c r="B940" s="88"/>
      <c r="C940" s="88"/>
    </row>
    <row r="941">
      <c r="B941" s="88"/>
      <c r="C941" s="88"/>
    </row>
    <row r="942">
      <c r="B942" s="88"/>
      <c r="C942" s="88"/>
    </row>
  </sheetData>
  <mergeCells count="67">
    <mergeCell ref="Q51:R51"/>
    <mergeCell ref="Q52:R52"/>
    <mergeCell ref="Q53:R53"/>
    <mergeCell ref="Q54:R54"/>
    <mergeCell ref="Q55:R55"/>
    <mergeCell ref="Q56:R56"/>
    <mergeCell ref="Q57:R57"/>
    <mergeCell ref="Q65:R65"/>
    <mergeCell ref="Q66:R66"/>
    <mergeCell ref="Q67:R67"/>
    <mergeCell ref="Q68:R68"/>
    <mergeCell ref="Q58:R58"/>
    <mergeCell ref="Q59:R59"/>
    <mergeCell ref="Q60:R60"/>
    <mergeCell ref="Q61:R61"/>
    <mergeCell ref="Q62:R62"/>
    <mergeCell ref="Q63:R63"/>
    <mergeCell ref="Q64:R64"/>
    <mergeCell ref="Q2:R2"/>
    <mergeCell ref="Q3:R3"/>
    <mergeCell ref="Q4:R4"/>
    <mergeCell ref="Q5:R5"/>
    <mergeCell ref="Q6:R6"/>
    <mergeCell ref="Q7:R7"/>
    <mergeCell ref="Q8:R8"/>
    <mergeCell ref="Q9:R9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</mergeCells>
  <conditionalFormatting sqref="D3:P75">
    <cfRule type="beginsWith" dxfId="0" priority="1" operator="beginsWith" text="a">
      <formula>LEFT((D3),LEN("a"))=("a")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4" max="4" width="43.88"/>
    <col customWidth="1" min="5" max="5" width="42.5"/>
  </cols>
  <sheetData>
    <row r="2">
      <c r="A2" s="72" t="s">
        <v>2</v>
      </c>
      <c r="B2" s="72" t="s">
        <v>8</v>
      </c>
      <c r="C2" s="73" t="s">
        <v>11</v>
      </c>
      <c r="D2" s="74" t="s">
        <v>319</v>
      </c>
      <c r="E2" s="74" t="s">
        <v>321</v>
      </c>
    </row>
    <row r="3">
      <c r="A3" s="36">
        <v>1.0</v>
      </c>
      <c r="B3" s="49" t="s">
        <v>66</v>
      </c>
      <c r="C3" s="49" t="s">
        <v>68</v>
      </c>
      <c r="D3" s="48" t="s">
        <v>323</v>
      </c>
      <c r="E3" s="48" t="s">
        <v>324</v>
      </c>
    </row>
    <row r="4">
      <c r="A4" s="36">
        <v>2.0</v>
      </c>
      <c r="B4" s="49" t="s">
        <v>100</v>
      </c>
      <c r="C4" s="49" t="s">
        <v>102</v>
      </c>
      <c r="D4" s="48" t="s">
        <v>326</v>
      </c>
      <c r="E4" s="48" t="s">
        <v>327</v>
      </c>
    </row>
    <row r="5">
      <c r="A5" s="36">
        <v>3.0</v>
      </c>
      <c r="B5" s="49" t="s">
        <v>120</v>
      </c>
      <c r="C5" s="49" t="s">
        <v>122</v>
      </c>
      <c r="D5" s="48" t="s">
        <v>329</v>
      </c>
      <c r="E5" s="48" t="s">
        <v>330</v>
      </c>
    </row>
    <row r="6">
      <c r="A6" s="36">
        <v>4.0</v>
      </c>
      <c r="B6" s="49" t="s">
        <v>134</v>
      </c>
      <c r="C6" s="49" t="s">
        <v>135</v>
      </c>
      <c r="D6" s="48" t="s">
        <v>333</v>
      </c>
      <c r="E6" s="48" t="s">
        <v>334</v>
      </c>
    </row>
    <row r="7">
      <c r="A7" s="36">
        <v>5.0</v>
      </c>
      <c r="B7" s="75" t="s">
        <v>143</v>
      </c>
      <c r="C7" s="75" t="s">
        <v>148</v>
      </c>
      <c r="D7" s="52"/>
      <c r="E7" s="52"/>
    </row>
    <row r="8">
      <c r="A8" s="36">
        <v>6.0</v>
      </c>
      <c r="B8" s="49" t="s">
        <v>172</v>
      </c>
      <c r="C8" s="49" t="s">
        <v>173</v>
      </c>
      <c r="D8" s="52"/>
      <c r="E8" s="52"/>
    </row>
    <row r="9">
      <c r="A9" s="36">
        <v>7.0</v>
      </c>
      <c r="B9" s="49" t="s">
        <v>192</v>
      </c>
      <c r="C9" s="49" t="s">
        <v>196</v>
      </c>
      <c r="D9" s="48" t="s">
        <v>329</v>
      </c>
      <c r="E9" s="48" t="s">
        <v>341</v>
      </c>
    </row>
    <row r="10">
      <c r="A10" s="36">
        <v>8.0</v>
      </c>
      <c r="B10" s="49" t="s">
        <v>216</v>
      </c>
      <c r="C10" s="49" t="s">
        <v>217</v>
      </c>
      <c r="D10" s="48" t="s">
        <v>343</v>
      </c>
      <c r="E10" s="48" t="s">
        <v>344</v>
      </c>
    </row>
    <row r="11">
      <c r="A11" s="36">
        <v>9.0</v>
      </c>
      <c r="B11" s="49" t="s">
        <v>229</v>
      </c>
      <c r="C11" s="49" t="s">
        <v>230</v>
      </c>
      <c r="D11" s="52"/>
      <c r="E11" s="52"/>
    </row>
    <row r="12">
      <c r="A12" s="36">
        <v>10.0</v>
      </c>
      <c r="B12" s="49" t="s">
        <v>240</v>
      </c>
      <c r="C12" s="49" t="s">
        <v>242</v>
      </c>
      <c r="D12" s="48" t="s">
        <v>347</v>
      </c>
      <c r="E12" s="48" t="s">
        <v>348</v>
      </c>
    </row>
    <row r="13">
      <c r="A13" s="36">
        <v>11.0</v>
      </c>
      <c r="B13" s="49" t="s">
        <v>253</v>
      </c>
      <c r="C13" s="49" t="s">
        <v>255</v>
      </c>
      <c r="D13" s="52"/>
      <c r="E13" s="52"/>
    </row>
    <row r="14">
      <c r="A14" s="36">
        <v>12.0</v>
      </c>
      <c r="B14" s="49" t="s">
        <v>265</v>
      </c>
      <c r="C14" s="49" t="s">
        <v>267</v>
      </c>
      <c r="D14" s="48" t="s">
        <v>352</v>
      </c>
      <c r="E14" s="76" t="s">
        <v>353</v>
      </c>
    </row>
    <row r="15">
      <c r="A15" s="36">
        <v>13.0</v>
      </c>
      <c r="B15" s="49" t="s">
        <v>277</v>
      </c>
      <c r="C15" s="49" t="s">
        <v>279</v>
      </c>
      <c r="D15" s="48" t="s">
        <v>355</v>
      </c>
      <c r="E15" s="48" t="s">
        <v>333</v>
      </c>
    </row>
    <row r="16">
      <c r="A16" s="36">
        <v>14.0</v>
      </c>
      <c r="B16" s="49" t="s">
        <v>288</v>
      </c>
      <c r="C16" s="49" t="s">
        <v>290</v>
      </c>
      <c r="D16" s="52"/>
      <c r="E16" s="52"/>
    </row>
    <row r="17">
      <c r="A17" s="36">
        <v>15.0</v>
      </c>
      <c r="B17" s="49" t="s">
        <v>296</v>
      </c>
      <c r="C17" s="49" t="s">
        <v>297</v>
      </c>
      <c r="D17" s="48" t="s">
        <v>360</v>
      </c>
      <c r="E17" s="76" t="s">
        <v>353</v>
      </c>
    </row>
    <row r="18">
      <c r="A18" s="36">
        <v>16.0</v>
      </c>
      <c r="B18" s="49" t="s">
        <v>305</v>
      </c>
      <c r="C18" s="49" t="s">
        <v>306</v>
      </c>
      <c r="D18" s="48" t="s">
        <v>333</v>
      </c>
      <c r="E18" s="48" t="s">
        <v>364</v>
      </c>
    </row>
    <row r="19">
      <c r="A19" s="36">
        <v>17.0</v>
      </c>
      <c r="B19" s="49" t="s">
        <v>315</v>
      </c>
      <c r="C19" s="49" t="s">
        <v>316</v>
      </c>
      <c r="D19" s="48" t="s">
        <v>368</v>
      </c>
      <c r="E19" s="48" t="s">
        <v>369</v>
      </c>
    </row>
    <row r="20">
      <c r="A20" s="36">
        <v>18.0</v>
      </c>
      <c r="B20" s="49" t="s">
        <v>335</v>
      </c>
      <c r="C20" s="49" t="s">
        <v>337</v>
      </c>
      <c r="D20" s="52"/>
      <c r="E20" s="52"/>
    </row>
    <row r="21">
      <c r="A21" s="36">
        <v>19.0</v>
      </c>
      <c r="B21" s="49" t="s">
        <v>359</v>
      </c>
      <c r="C21" s="49" t="s">
        <v>361</v>
      </c>
      <c r="D21" s="48" t="s">
        <v>373</v>
      </c>
      <c r="E21" s="48" t="s">
        <v>375</v>
      </c>
    </row>
    <row r="22">
      <c r="A22" s="36">
        <v>20.0</v>
      </c>
      <c r="B22" s="49" t="s">
        <v>376</v>
      </c>
      <c r="C22" s="49" t="s">
        <v>377</v>
      </c>
      <c r="D22" s="48" t="s">
        <v>378</v>
      </c>
      <c r="E22" s="48" t="s">
        <v>327</v>
      </c>
    </row>
    <row r="23">
      <c r="A23" s="36">
        <v>21.0</v>
      </c>
      <c r="B23" s="49" t="s">
        <v>380</v>
      </c>
      <c r="C23" s="49" t="s">
        <v>382</v>
      </c>
      <c r="D23" s="52"/>
      <c r="E23" s="52"/>
    </row>
    <row r="24">
      <c r="A24" s="36">
        <v>22.0</v>
      </c>
      <c r="B24" s="49" t="s">
        <v>383</v>
      </c>
      <c r="C24" s="49" t="s">
        <v>390</v>
      </c>
      <c r="D24" s="48" t="s">
        <v>392</v>
      </c>
      <c r="E24" s="48" t="s">
        <v>360</v>
      </c>
    </row>
    <row r="25">
      <c r="A25" s="36">
        <v>23.0</v>
      </c>
      <c r="B25" s="49" t="s">
        <v>397</v>
      </c>
      <c r="C25" s="49" t="s">
        <v>398</v>
      </c>
      <c r="D25" s="48" t="s">
        <v>368</v>
      </c>
      <c r="E25" s="48" t="s">
        <v>369</v>
      </c>
    </row>
    <row r="26">
      <c r="A26" s="36">
        <v>24.0</v>
      </c>
      <c r="B26" s="49" t="s">
        <v>400</v>
      </c>
      <c r="C26" s="49" t="s">
        <v>403</v>
      </c>
      <c r="D26" s="48" t="s">
        <v>404</v>
      </c>
      <c r="E26" s="48" t="s">
        <v>406</v>
      </c>
    </row>
    <row r="27">
      <c r="A27" s="36">
        <v>25.0</v>
      </c>
      <c r="B27" s="49" t="s">
        <v>408</v>
      </c>
      <c r="C27" s="49" t="s">
        <v>409</v>
      </c>
      <c r="D27" s="48" t="s">
        <v>411</v>
      </c>
      <c r="E27" s="48" t="s">
        <v>334</v>
      </c>
    </row>
    <row r="28">
      <c r="A28" s="36">
        <v>26.0</v>
      </c>
      <c r="B28" s="49" t="s">
        <v>412</v>
      </c>
      <c r="C28" s="49" t="s">
        <v>413</v>
      </c>
      <c r="D28" s="76" t="s">
        <v>353</v>
      </c>
      <c r="E28" s="48" t="s">
        <v>334</v>
      </c>
    </row>
    <row r="29">
      <c r="A29" s="36">
        <v>27.0</v>
      </c>
      <c r="B29" s="49" t="s">
        <v>416</v>
      </c>
      <c r="C29" s="49" t="s">
        <v>417</v>
      </c>
      <c r="D29" s="48" t="s">
        <v>352</v>
      </c>
      <c r="E29" s="48" t="s">
        <v>421</v>
      </c>
    </row>
    <row r="30">
      <c r="A30" s="36">
        <v>28.0</v>
      </c>
      <c r="B30" s="75" t="s">
        <v>423</v>
      </c>
      <c r="C30" s="75" t="s">
        <v>424</v>
      </c>
      <c r="D30" s="48" t="s">
        <v>425</v>
      </c>
      <c r="E30" s="48" t="s">
        <v>426</v>
      </c>
    </row>
    <row r="31">
      <c r="A31" s="36">
        <v>29.0</v>
      </c>
      <c r="B31" s="49" t="s">
        <v>428</v>
      </c>
      <c r="C31" s="49" t="s">
        <v>429</v>
      </c>
      <c r="D31" s="48" t="s">
        <v>329</v>
      </c>
      <c r="E31" s="48" t="s">
        <v>431</v>
      </c>
    </row>
    <row r="32">
      <c r="A32" s="36">
        <v>30.0</v>
      </c>
      <c r="B32" s="49" t="s">
        <v>433</v>
      </c>
      <c r="C32" s="49" t="s">
        <v>434</v>
      </c>
      <c r="D32" s="48" t="s">
        <v>436</v>
      </c>
      <c r="E32" s="48" t="s">
        <v>431</v>
      </c>
    </row>
    <row r="33">
      <c r="A33" s="36">
        <v>31.0</v>
      </c>
      <c r="B33" s="49" t="s">
        <v>438</v>
      </c>
      <c r="C33" s="49" t="s">
        <v>439</v>
      </c>
      <c r="D33" s="48" t="s">
        <v>327</v>
      </c>
      <c r="E33" s="48" t="s">
        <v>360</v>
      </c>
    </row>
    <row r="34">
      <c r="A34" s="36">
        <v>32.0</v>
      </c>
      <c r="B34" s="49" t="s">
        <v>441</v>
      </c>
      <c r="C34" s="49" t="s">
        <v>442</v>
      </c>
      <c r="D34" s="48" t="s">
        <v>360</v>
      </c>
      <c r="E34" s="48" t="s">
        <v>327</v>
      </c>
    </row>
    <row r="35">
      <c r="A35" s="36">
        <v>33.0</v>
      </c>
      <c r="B35" s="49" t="s">
        <v>445</v>
      </c>
      <c r="C35" s="49" t="s">
        <v>446</v>
      </c>
      <c r="D35" s="52"/>
      <c r="E35" s="52"/>
    </row>
    <row r="36">
      <c r="A36" s="36">
        <v>34.0</v>
      </c>
      <c r="B36" s="49" t="s">
        <v>449</v>
      </c>
      <c r="C36" s="49" t="s">
        <v>450</v>
      </c>
      <c r="D36" s="52"/>
      <c r="E36" s="52"/>
    </row>
    <row r="37">
      <c r="A37" s="36">
        <v>35.0</v>
      </c>
      <c r="B37" s="49" t="s">
        <v>452</v>
      </c>
      <c r="C37" s="49" t="s">
        <v>453</v>
      </c>
      <c r="D37" s="48" t="s">
        <v>455</v>
      </c>
      <c r="E37" s="48" t="s">
        <v>456</v>
      </c>
    </row>
    <row r="38">
      <c r="A38" s="36">
        <v>36.0</v>
      </c>
      <c r="B38" s="75" t="s">
        <v>458</v>
      </c>
      <c r="C38" s="75" t="s">
        <v>459</v>
      </c>
      <c r="D38" s="48" t="s">
        <v>461</v>
      </c>
      <c r="E38" s="48" t="s">
        <v>462</v>
      </c>
    </row>
    <row r="39">
      <c r="A39" s="36">
        <v>37.0</v>
      </c>
      <c r="B39" s="49" t="s">
        <v>464</v>
      </c>
      <c r="C39" s="49" t="s">
        <v>465</v>
      </c>
      <c r="D39" s="48" t="s">
        <v>330</v>
      </c>
      <c r="E39" s="48" t="s">
        <v>469</v>
      </c>
    </row>
    <row r="40">
      <c r="A40" s="36">
        <v>38.0</v>
      </c>
      <c r="B40" s="77" t="s">
        <v>471</v>
      </c>
      <c r="C40" s="78" t="s">
        <v>473</v>
      </c>
      <c r="D40" s="48" t="s">
        <v>341</v>
      </c>
      <c r="E40" s="48" t="s">
        <v>323</v>
      </c>
    </row>
    <row r="41">
      <c r="A41" s="36">
        <v>39.0</v>
      </c>
      <c r="B41" s="77" t="s">
        <v>477</v>
      </c>
      <c r="C41" s="38" t="s">
        <v>478</v>
      </c>
      <c r="D41" s="52"/>
      <c r="E41" s="52"/>
    </row>
    <row r="42">
      <c r="A42" s="36">
        <v>40.0</v>
      </c>
      <c r="B42" s="49" t="s">
        <v>480</v>
      </c>
      <c r="C42" s="49" t="s">
        <v>482</v>
      </c>
      <c r="D42" s="48" t="s">
        <v>483</v>
      </c>
      <c r="E42" s="48" t="s">
        <v>330</v>
      </c>
    </row>
    <row r="43">
      <c r="A43" s="36">
        <v>41.0</v>
      </c>
      <c r="B43" s="49" t="s">
        <v>485</v>
      </c>
      <c r="C43" s="49" t="s">
        <v>487</v>
      </c>
      <c r="D43" s="48" t="s">
        <v>368</v>
      </c>
      <c r="E43" s="48" t="s">
        <v>333</v>
      </c>
    </row>
    <row r="44">
      <c r="A44" s="36">
        <v>42.0</v>
      </c>
      <c r="B44" s="49" t="s">
        <v>489</v>
      </c>
      <c r="C44" s="49" t="s">
        <v>491</v>
      </c>
      <c r="D44" s="48" t="s">
        <v>492</v>
      </c>
      <c r="E44" s="48" t="s">
        <v>494</v>
      </c>
    </row>
    <row r="45">
      <c r="A45" s="36">
        <v>43.0</v>
      </c>
      <c r="B45" s="49" t="s">
        <v>496</v>
      </c>
      <c r="C45" s="49" t="s">
        <v>498</v>
      </c>
      <c r="D45" s="48" t="s">
        <v>499</v>
      </c>
      <c r="E45" s="48" t="s">
        <v>334</v>
      </c>
    </row>
    <row r="46">
      <c r="A46" s="36">
        <v>44.0</v>
      </c>
      <c r="B46" s="49" t="s">
        <v>501</v>
      </c>
      <c r="C46" s="49" t="s">
        <v>503</v>
      </c>
      <c r="D46" s="48" t="s">
        <v>352</v>
      </c>
      <c r="E46" s="48" t="s">
        <v>505</v>
      </c>
    </row>
    <row r="47">
      <c r="A47" s="36">
        <v>45.0</v>
      </c>
      <c r="B47" s="49" t="s">
        <v>506</v>
      </c>
      <c r="C47" s="49" t="s">
        <v>507</v>
      </c>
      <c r="D47" s="79" t="s">
        <v>353</v>
      </c>
      <c r="E47" s="48" t="s">
        <v>494</v>
      </c>
    </row>
    <row r="48">
      <c r="A48" s="36">
        <v>46.0</v>
      </c>
      <c r="B48" s="49" t="s">
        <v>510</v>
      </c>
      <c r="C48" s="49" t="s">
        <v>512</v>
      </c>
      <c r="D48" s="48" t="s">
        <v>360</v>
      </c>
      <c r="E48" s="48" t="s">
        <v>436</v>
      </c>
    </row>
    <row r="49">
      <c r="A49" s="36">
        <v>47.0</v>
      </c>
      <c r="B49" s="49" t="s">
        <v>515</v>
      </c>
      <c r="C49" s="49" t="s">
        <v>516</v>
      </c>
      <c r="D49" s="52"/>
      <c r="E49" s="52"/>
    </row>
    <row r="50">
      <c r="A50" s="36">
        <v>48.0</v>
      </c>
      <c r="B50" s="49" t="s">
        <v>517</v>
      </c>
      <c r="C50" s="49" t="s">
        <v>519</v>
      </c>
      <c r="D50" s="48" t="s">
        <v>520</v>
      </c>
      <c r="E50" s="48" t="s">
        <v>329</v>
      </c>
    </row>
    <row r="51">
      <c r="A51" s="36">
        <v>49.0</v>
      </c>
      <c r="B51" s="49" t="s">
        <v>522</v>
      </c>
      <c r="C51" s="49" t="s">
        <v>524</v>
      </c>
      <c r="D51" s="52"/>
      <c r="E51" s="52"/>
    </row>
    <row r="52">
      <c r="A52" s="36">
        <v>50.0</v>
      </c>
      <c r="B52" s="49" t="s">
        <v>526</v>
      </c>
      <c r="C52" s="49" t="s">
        <v>527</v>
      </c>
      <c r="D52" s="48" t="s">
        <v>334</v>
      </c>
      <c r="E52" s="48" t="s">
        <v>529</v>
      </c>
    </row>
    <row r="53">
      <c r="A53" s="36">
        <v>51.0</v>
      </c>
      <c r="B53" s="49" t="s">
        <v>530</v>
      </c>
      <c r="C53" s="49" t="s">
        <v>531</v>
      </c>
      <c r="D53" s="52"/>
      <c r="E53" s="52"/>
    </row>
    <row r="54">
      <c r="A54" s="36">
        <v>52.0</v>
      </c>
      <c r="B54" s="49" t="s">
        <v>533</v>
      </c>
      <c r="C54" s="49" t="s">
        <v>534</v>
      </c>
      <c r="D54" s="52"/>
      <c r="E54" s="52"/>
    </row>
    <row r="55">
      <c r="A55" s="36">
        <v>53.0</v>
      </c>
      <c r="B55" s="49" t="s">
        <v>536</v>
      </c>
      <c r="C55" s="49" t="s">
        <v>537</v>
      </c>
      <c r="D55" s="52"/>
      <c r="E55" s="52"/>
    </row>
    <row r="56">
      <c r="A56" s="36">
        <v>54.0</v>
      </c>
      <c r="B56" s="49" t="s">
        <v>538</v>
      </c>
      <c r="C56" s="49" t="s">
        <v>539</v>
      </c>
      <c r="D56" s="48" t="s">
        <v>334</v>
      </c>
      <c r="E56" s="48" t="s">
        <v>494</v>
      </c>
    </row>
    <row r="57">
      <c r="A57" s="36">
        <v>55.0</v>
      </c>
      <c r="B57" s="49" t="s">
        <v>540</v>
      </c>
      <c r="C57" s="49" t="s">
        <v>541</v>
      </c>
      <c r="D57" s="48" t="s">
        <v>543</v>
      </c>
      <c r="E57" s="48" t="s">
        <v>545</v>
      </c>
    </row>
    <row r="58">
      <c r="A58" s="36">
        <v>56.0</v>
      </c>
      <c r="B58" s="49" t="s">
        <v>546</v>
      </c>
      <c r="C58" s="49" t="s">
        <v>548</v>
      </c>
      <c r="D58" s="48" t="s">
        <v>333</v>
      </c>
      <c r="E58" s="48" t="s">
        <v>334</v>
      </c>
    </row>
    <row r="59">
      <c r="A59" s="36">
        <v>57.0</v>
      </c>
      <c r="B59" s="49" t="s">
        <v>550</v>
      </c>
      <c r="C59" s="49" t="s">
        <v>552</v>
      </c>
      <c r="D59" s="48" t="s">
        <v>355</v>
      </c>
      <c r="E59" s="48" t="s">
        <v>333</v>
      </c>
    </row>
    <row r="60">
      <c r="A60" s="36">
        <v>58.0</v>
      </c>
      <c r="B60" s="49" t="s">
        <v>554</v>
      </c>
      <c r="C60" s="49" t="s">
        <v>556</v>
      </c>
      <c r="D60" s="48" t="s">
        <v>368</v>
      </c>
      <c r="E60" s="48" t="s">
        <v>499</v>
      </c>
    </row>
    <row r="61">
      <c r="A61" s="36">
        <v>59.0</v>
      </c>
      <c r="B61" s="49" t="s">
        <v>558</v>
      </c>
      <c r="C61" s="49" t="s">
        <v>560</v>
      </c>
      <c r="D61" s="48" t="s">
        <v>344</v>
      </c>
      <c r="E61" s="48" t="s">
        <v>326</v>
      </c>
    </row>
    <row r="62">
      <c r="A62" s="36">
        <v>60.0</v>
      </c>
      <c r="B62" s="49" t="s">
        <v>562</v>
      </c>
      <c r="C62" s="49" t="s">
        <v>564</v>
      </c>
      <c r="D62" s="52"/>
      <c r="E62" s="52"/>
    </row>
    <row r="63">
      <c r="A63" s="36">
        <v>61.0</v>
      </c>
      <c r="B63" s="49" t="s">
        <v>566</v>
      </c>
      <c r="C63" s="49" t="s">
        <v>568</v>
      </c>
      <c r="D63" s="48" t="s">
        <v>492</v>
      </c>
      <c r="E63" s="48" t="s">
        <v>569</v>
      </c>
    </row>
    <row r="64">
      <c r="A64" s="36">
        <v>62.0</v>
      </c>
      <c r="B64" s="49" t="s">
        <v>571</v>
      </c>
      <c r="C64" s="49" t="s">
        <v>572</v>
      </c>
      <c r="D64" s="48" t="s">
        <v>334</v>
      </c>
      <c r="E64" s="48" t="s">
        <v>333</v>
      </c>
    </row>
    <row r="65">
      <c r="A65" s="36">
        <v>63.0</v>
      </c>
      <c r="B65" s="38" t="s">
        <v>575</v>
      </c>
      <c r="C65" s="38" t="s">
        <v>576</v>
      </c>
      <c r="D65" s="48" t="s">
        <v>578</v>
      </c>
      <c r="E65" s="48" t="s">
        <v>579</v>
      </c>
    </row>
    <row r="66">
      <c r="A66" s="36">
        <v>64.0</v>
      </c>
      <c r="B66" s="49" t="s">
        <v>581</v>
      </c>
      <c r="C66" s="49" t="s">
        <v>582</v>
      </c>
      <c r="D66" s="48" t="s">
        <v>352</v>
      </c>
      <c r="E66" s="79" t="s">
        <v>353</v>
      </c>
    </row>
    <row r="67">
      <c r="A67" s="36">
        <v>65.0</v>
      </c>
      <c r="B67" s="49" t="s">
        <v>584</v>
      </c>
      <c r="C67" s="49" t="s">
        <v>586</v>
      </c>
      <c r="D67" s="48" t="s">
        <v>587</v>
      </c>
      <c r="E67" s="48" t="s">
        <v>368</v>
      </c>
    </row>
    <row r="68">
      <c r="A68" s="36">
        <v>66.0</v>
      </c>
      <c r="B68" s="49" t="s">
        <v>590</v>
      </c>
      <c r="C68" s="49" t="s">
        <v>591</v>
      </c>
      <c r="D68" s="52"/>
      <c r="E68" s="52"/>
    </row>
  </sheetData>
  <drawing r:id="rId1"/>
</worksheet>
</file>