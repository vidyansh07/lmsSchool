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" sheetId="1" r:id="rId5"/>
    <sheet state="visible" name="DSR" sheetId="2" r:id="rId6"/>
    <sheet state="visible" name="Assesment" sheetId="3" r:id="rId7"/>
    <sheet state="visible" name="Course Timeline" sheetId="4" r:id="rId8"/>
    <sheet state="visible" name="Project" sheetId="5" r:id="rId9"/>
  </sheets>
  <definedNames/>
  <calcPr/>
</workbook>
</file>

<file path=xl/sharedStrings.xml><?xml version="1.0" encoding="utf-8"?>
<sst xmlns="http://schemas.openxmlformats.org/spreadsheetml/2006/main" count="2132" uniqueCount="452">
  <si>
    <t>S NO</t>
  </si>
  <si>
    <t>Student Name</t>
  </si>
  <si>
    <t>RTU Roll No.</t>
  </si>
  <si>
    <t xml:space="preserve">Total Present </t>
  </si>
  <si>
    <t xml:space="preserve">Total Absent </t>
  </si>
  <si>
    <t xml:space="preserve">Total Class </t>
  </si>
  <si>
    <t>Attendance Percent</t>
  </si>
  <si>
    <t>Assesment 1 (Networking) 50</t>
  </si>
  <si>
    <t>Assesment 2 (Pasive Reconnaissance &amp; OSINT) 40</t>
  </si>
  <si>
    <t>ARYA COLLEGE OF ENGINEERING</t>
  </si>
  <si>
    <t>Assesment 3 (Active Enumeration &amp; Nmap) 40</t>
  </si>
  <si>
    <t>Assesment 4 (Privlage Escalation) 40</t>
  </si>
  <si>
    <t>Assesment 5 (Malware Analysis &amp; Password Cracking) 40</t>
  </si>
  <si>
    <t>Assesment 6 ( DoS DDos &amp; Session Hijacking) Out of 40</t>
  </si>
  <si>
    <t>SNO</t>
  </si>
  <si>
    <t xml:space="preserve">Assessment 7 (Assessment Dorking) </t>
  </si>
  <si>
    <t>BLOWN UP SYLLABUS</t>
  </si>
  <si>
    <t>Assessment 8 (Cryptography &amp; Wireless Security)</t>
  </si>
  <si>
    <t xml:space="preserve">II YEAR CYBER SECURITY INDUSTRIAL TRAINING </t>
  </si>
  <si>
    <t>Assessment 9 (Subfinder &amp; Nuclei)</t>
  </si>
  <si>
    <t>Lecturer Name:</t>
  </si>
  <si>
    <t>Assessment 10</t>
  </si>
  <si>
    <t>Total Assessments Missed</t>
  </si>
  <si>
    <t>Date</t>
  </si>
  <si>
    <t>No. of Lectures Required: 45</t>
  </si>
  <si>
    <t>Topic Cover</t>
  </si>
  <si>
    <t>Student Count Online Offline</t>
  </si>
  <si>
    <t>Lecture No.</t>
  </si>
  <si>
    <t xml:space="preserve">Trainer Name </t>
  </si>
  <si>
    <t>BLOWN UP TOPICS</t>
  </si>
  <si>
    <t>25/5/2026</t>
  </si>
  <si>
    <t>Status</t>
  </si>
  <si>
    <t>Aditya Sharma</t>
  </si>
  <si>
    <t>Intro to Cyber Security</t>
  </si>
  <si>
    <t>Online 20</t>
  </si>
  <si>
    <t>Pawan</t>
  </si>
  <si>
    <t>24EACCC002</t>
  </si>
  <si>
    <t>26/5/2026</t>
  </si>
  <si>
    <t xml:space="preserve">Intro to Networking </t>
  </si>
  <si>
    <t>MODULE 1: INTRODUCTION TO ETHICAL HACKING</t>
  </si>
  <si>
    <t>Online 28</t>
  </si>
  <si>
    <t>A</t>
  </si>
  <si>
    <t>27/5/2026</t>
  </si>
  <si>
    <t>Done</t>
  </si>
  <si>
    <t xml:space="preserve">Networking </t>
  </si>
  <si>
    <t>1. Understanding Ethical Hacking &amp; Cybersecurity</t>
  </si>
  <si>
    <t>28/5/2026</t>
  </si>
  <si>
    <t>1.1 What is Ethical Hacking</t>
  </si>
  <si>
    <t>1.2 Types of Hackers: White, Black, Grey Hat</t>
  </si>
  <si>
    <t>29/5/2026</t>
  </si>
  <si>
    <t xml:space="preserve"> Passive Reconnaissance — OSINT</t>
  </si>
  <si>
    <t>Online 23</t>
  </si>
  <si>
    <t>1.3 Attack Motivations &amp; Goals</t>
  </si>
  <si>
    <t>2. Ethical Hacking Methodology</t>
  </si>
  <si>
    <t>30/5/2026</t>
  </si>
  <si>
    <t xml:space="preserve">Networking Quiz </t>
  </si>
  <si>
    <t>2.1 Five Phases: Recon → Scan → Access → Maintain → Cover</t>
  </si>
  <si>
    <t>Online 25</t>
  </si>
  <si>
    <t>2.2 Penetration Testing Methodology</t>
  </si>
  <si>
    <t>3. Cyber Security Laws &amp; Ethics</t>
  </si>
  <si>
    <t xml:space="preserve">Passive Reconnaissance advance </t>
  </si>
  <si>
    <t>3.1 IT Act &amp; International Cybersecurity Laws</t>
  </si>
  <si>
    <t>Akshat Khandelwal</t>
  </si>
  <si>
    <t>Online 22</t>
  </si>
  <si>
    <t>24EACCS028</t>
  </si>
  <si>
    <t>3.2 Rules of Engagement &amp; Authorization</t>
  </si>
  <si>
    <t>4. Lab Setup</t>
  </si>
  <si>
    <t>4.1 Kali Linux Installation &amp; Virtual Lab Setup</t>
  </si>
  <si>
    <t xml:space="preserve">Active Reconnaissance </t>
  </si>
  <si>
    <t>Online 26</t>
  </si>
  <si>
    <t>4.2 Overview of Tools: Nmap, Wireshark, Metasploit</t>
  </si>
  <si>
    <t xml:space="preserve">Linux Installation &amp; DNS Enumeration </t>
  </si>
  <si>
    <t>MODULE 2: FOOTPRINTING &amp; RECONNAISSANCE</t>
  </si>
  <si>
    <t>1. Passive Reconnaissance — OSINT</t>
  </si>
  <si>
    <t>ASHISH KUMAR JHA</t>
  </si>
  <si>
    <t>24EACCS060</t>
  </si>
  <si>
    <t>SpiderFoot and Nmap</t>
  </si>
  <si>
    <t>1.1 Google Dorking</t>
  </si>
  <si>
    <t>1.2 Shodan for Device Discovery</t>
  </si>
  <si>
    <t>1.3 theHarvester for Email &amp; Domain Info</t>
  </si>
  <si>
    <t xml:space="preserve">System Hacking by Metasploit framework </t>
  </si>
  <si>
    <t>1.4 Maltego for Relationship Mapping</t>
  </si>
  <si>
    <t>1.5 SpiderFoot &amp; Recon-ng</t>
  </si>
  <si>
    <t>Vulnerability Scanning using Nikto , Nuclei</t>
  </si>
  <si>
    <t>Online 27</t>
  </si>
  <si>
    <t>Bharat Saini</t>
  </si>
  <si>
    <t>24EACCC005</t>
  </si>
  <si>
    <t>2. Active Reconnaissance</t>
  </si>
  <si>
    <t>2.1 Ping Sweeps &amp; Host Discovery</t>
  </si>
  <si>
    <t>OpenVAS installation and Netsparker Professional</t>
  </si>
  <si>
    <t>2.2 Traceroute Analysis</t>
  </si>
  <si>
    <t>Assignment Using tools and Report Generating</t>
  </si>
  <si>
    <t>DEEPAK KUMAWAT</t>
  </si>
  <si>
    <t>24EACCC008</t>
  </si>
  <si>
    <t>2.3 OS Fingerprinting</t>
  </si>
  <si>
    <t>Online 29</t>
  </si>
  <si>
    <t>3. Domain &amp; DNS Information Gathering</t>
  </si>
  <si>
    <t>3.1 WHOIS Lookup</t>
  </si>
  <si>
    <t>3.2 DNS Record Enumeration: A, MX, NS, TXT</t>
  </si>
  <si>
    <t>10/6/0206</t>
  </si>
  <si>
    <t>3.3 Subdomain Enumeration: Sublist3r &amp; Amass</t>
  </si>
  <si>
    <t>Deepak Tirthani</t>
  </si>
  <si>
    <t>24EACCS080</t>
  </si>
  <si>
    <t>Password Cracking Using Hydra tool</t>
  </si>
  <si>
    <t>📁 LAB PROJECT: OSINT Investigation</t>
  </si>
  <si>
    <t xml:space="preserve">Assessment &amp; Privlage Escalation &amp; Hashcat </t>
  </si>
  <si>
    <t>Passive Info Gathering: theHarvester, Maltego, Shodan</t>
  </si>
  <si>
    <t>Dhruv saini</t>
  </si>
  <si>
    <t>24EACCC009</t>
  </si>
  <si>
    <t xml:space="preserve">Malwares Analysis </t>
  </si>
  <si>
    <t>Create Target Profile &amp; Intelligence Report</t>
  </si>
  <si>
    <t>13/6/2026</t>
  </si>
  <si>
    <t>MODULE 3: SCANNING NETWORKS</t>
  </si>
  <si>
    <t xml:space="preserve">Assessment Malware Analysis &amp; Password Cracking </t>
  </si>
  <si>
    <t>Online 24</t>
  </si>
  <si>
    <t>1. Network Scanning Concepts &amp; Types</t>
  </si>
  <si>
    <t>2. Host Discovery: Ping Sweep, ARP &amp; ICMP Scanning</t>
  </si>
  <si>
    <t>15/6/2026</t>
  </si>
  <si>
    <t>Ghanshyam Jangid</t>
  </si>
  <si>
    <t>Wireshark &amp; TCP Dump</t>
  </si>
  <si>
    <t>24EACCC011</t>
  </si>
  <si>
    <t>3. Port Scanning with Nmap</t>
  </si>
  <si>
    <t>3.1 TCP Connect, SYN (Stealth), UDP Scan</t>
  </si>
  <si>
    <t>16/6/2026</t>
  </si>
  <si>
    <t>SOC , Physhing, DoS &amp; DDoS</t>
  </si>
  <si>
    <t>3.2 Null, FIN &amp; Xmas Scans</t>
  </si>
  <si>
    <t>3.3 Nmap Advanced: -sV, -O, -A, --script</t>
  </si>
  <si>
    <t>4. Service Detection &amp; Banner Grabbing</t>
  </si>
  <si>
    <t>17/6/2026</t>
  </si>
  <si>
    <t xml:space="preserve">Assessment &amp; Session Hijacking </t>
  </si>
  <si>
    <t>4.1 Service Version Detection &amp; OS Fingerprinting</t>
  </si>
  <si>
    <t>Kaushal Kishore Sharma</t>
  </si>
  <si>
    <t>24EACCC022</t>
  </si>
  <si>
    <t>4.2 Banner Grabbing with Netcat</t>
  </si>
  <si>
    <t>18/6/2026</t>
  </si>
  <si>
    <t xml:space="preserve">Session Hijacking Techniques </t>
  </si>
  <si>
    <t>4.3 Firewall &amp; IDS Evasion Techniques</t>
  </si>
  <si>
    <t>19/6/2026</t>
  </si>
  <si>
    <t>MODULE 4: ENUMERATION</t>
  </si>
  <si>
    <t>Web Application Architecture &amp; OWASP TOP 10</t>
  </si>
  <si>
    <t>1. Service Enumeration Concepts</t>
  </si>
  <si>
    <t>20/6/2026</t>
  </si>
  <si>
    <t>Web Security Assessment</t>
  </si>
  <si>
    <t>2. SMB Enumeration</t>
  </si>
  <si>
    <t>22/6/2026</t>
  </si>
  <si>
    <t>Cross Site scripting (xss) Attack</t>
  </si>
  <si>
    <t xml:space="preserve">Online 24 </t>
  </si>
  <si>
    <t>2.1 Enum4linux Tool &amp; Null Sessions</t>
  </si>
  <si>
    <t>23/6/2026</t>
  </si>
  <si>
    <t>Dvwa Solved</t>
  </si>
  <si>
    <t>3. DNS Enumeration</t>
  </si>
  <si>
    <t xml:space="preserve">Pawan </t>
  </si>
  <si>
    <t>Man Singh</t>
  </si>
  <si>
    <t>24/6/2026</t>
  </si>
  <si>
    <t>24EACCC025</t>
  </si>
  <si>
    <t>3.1 Zone Transfer Attacks</t>
  </si>
  <si>
    <t>FGDS tool for Dorking and &amp; FTP Login</t>
  </si>
  <si>
    <t>3.2 dnsenum &amp; fierce Tools</t>
  </si>
  <si>
    <t>25/6/2026</t>
  </si>
  <si>
    <t xml:space="preserve">Assessment Dorking </t>
  </si>
  <si>
    <t>4. SNMP, LDAP &amp; NetBIOS Enumeration</t>
  </si>
  <si>
    <t>26/6/2026</t>
  </si>
  <si>
    <t>Wireless Attacks</t>
  </si>
  <si>
    <t>📁 LAB PROJECT: Network Scanning &amp; Enumeration</t>
  </si>
  <si>
    <t>Online 21</t>
  </si>
  <si>
    <t>27/6/2026</t>
  </si>
  <si>
    <t>Nmap Full Scan + SMB &amp; DNS Enumeration Report</t>
  </si>
  <si>
    <t xml:space="preserve">Assessment Cryptography &amp; Wireless Security </t>
  </si>
  <si>
    <t>29/6/2026</t>
  </si>
  <si>
    <t xml:space="preserve">WordPress and Wpscan Tool Advance </t>
  </si>
  <si>
    <t>MODULE 5: VULNERABILITY ASSESSMENT</t>
  </si>
  <si>
    <t>Monu</t>
  </si>
  <si>
    <t>24EACCC027</t>
  </si>
  <si>
    <t>30/6/2026</t>
  </si>
  <si>
    <t xml:space="preserve">Hashcalc &amp; Advance Subfinder </t>
  </si>
  <si>
    <t>1. Vulnerability Assessment Concepts</t>
  </si>
  <si>
    <t>Online 18</t>
  </si>
  <si>
    <t>1.1 VA vs Penetration Testing</t>
  </si>
  <si>
    <t>1.2 CVE &amp; CVSS Score Calculation</t>
  </si>
  <si>
    <t xml:space="preserve">Assessment &amp; Dmitri tool </t>
  </si>
  <si>
    <t>2. Vulnerability Scanning Tools</t>
  </si>
  <si>
    <t xml:space="preserve">Task 1 Metasploitable 2 exploitation &amp; Task 2 TryHackMe Linux Fundamentals </t>
  </si>
  <si>
    <t>2.1 Nessus — Setup &amp; Scanning</t>
  </si>
  <si>
    <t>2.2 OpenVAS — Configuration &amp; Reports</t>
  </si>
  <si>
    <t>Mukul Kumawat</t>
  </si>
  <si>
    <t xml:space="preserve">Nmap Advance Host Discovery techniques </t>
  </si>
  <si>
    <t>24EACCC028</t>
  </si>
  <si>
    <t>2.3 Nikto for Web Server Scanning</t>
  </si>
  <si>
    <t>Assessment</t>
  </si>
  <si>
    <t>3. Risk Prioritization &amp; Reporting</t>
  </si>
  <si>
    <t xml:space="preserve">Cloud Security </t>
  </si>
  <si>
    <t>Online 19</t>
  </si>
  <si>
    <t>3.1 Critical, High, Medium, Low Classification</t>
  </si>
  <si>
    <t xml:space="preserve">Soc and Wahuh lab on TryHackMe </t>
  </si>
  <si>
    <t>3.2 Writing Vulnerability Assessment Reports</t>
  </si>
  <si>
    <t>Pankaj Rewar</t>
  </si>
  <si>
    <t>3.2.1 Executive Summary &amp; Technical Findings</t>
  </si>
  <si>
    <t>24EACCC029</t>
  </si>
  <si>
    <t>3.2.2 Remediation Recommendations</t>
  </si>
  <si>
    <t>📁 LAB PROJECT: Vulnerability Assessment</t>
  </si>
  <si>
    <t>Run Nessus/OpenVAS on Target + Generate VA Report</t>
  </si>
  <si>
    <t>🔴 TEST 1: Ethical Hacking Intro + Recon + Scanning + VA (Half Day)</t>
  </si>
  <si>
    <t>Parvej</t>
  </si>
  <si>
    <t>24EACCS626</t>
  </si>
  <si>
    <t>MCQ (15 Marks) + Practical Nmap &amp; OSINT Task (35 Marks)</t>
  </si>
  <si>
    <t>Duration: 1 to 1.5 Hours</t>
  </si>
  <si>
    <t>P</t>
  </si>
  <si>
    <t>🏭 INDUSTRY LECTURE 1 (1 Hour)</t>
  </si>
  <si>
    <t>Topic: Cybersecurity Careers &amp; Ethical Hacking in Industry</t>
  </si>
  <si>
    <t>Pranay Gurjar</t>
  </si>
  <si>
    <t>Format: Guest Lecture + Q&amp;A Session</t>
  </si>
  <si>
    <t>24EACCA075</t>
  </si>
  <si>
    <t>SUNDAY</t>
  </si>
  <si>
    <t>MODULE 6: SYSTEM HACKING</t>
  </si>
  <si>
    <t>1. Password Cracking Techniques</t>
  </si>
  <si>
    <t>1.1 Brute Force, Dictionary &amp; Rainbow Table Attacks</t>
  </si>
  <si>
    <t>1.2 Tools: John the Ripper, Hashcat, Hydra</t>
  </si>
  <si>
    <t>Praveen Kumar</t>
  </si>
  <si>
    <t>24EACCC032</t>
  </si>
  <si>
    <t>2. Privilege Escalation</t>
  </si>
  <si>
    <t>2.1 Horizontal vs Vertical Escalation</t>
  </si>
  <si>
    <t>2.2 Linux &amp; Windows Privilege Escalation</t>
  </si>
  <si>
    <t>3. Maintaining Access &amp; Covering Tracks</t>
  </si>
  <si>
    <t>3.1 Backdoors, Netcat Persistent Access</t>
  </si>
  <si>
    <t>3.2 Log Deletion &amp; Timestomping</t>
  </si>
  <si>
    <t>p</t>
  </si>
  <si>
    <t>3.3 Rootkits Overview</t>
  </si>
  <si>
    <t>📁 LAB PROJECT: Password Cracking &amp; Hash Analysis</t>
  </si>
  <si>
    <t>Crack Hashes with John the Ripper &amp; Hashcat</t>
  </si>
  <si>
    <t>MODULE 7: MALWARE THREATS</t>
  </si>
  <si>
    <t>Rohit Singh</t>
  </si>
  <si>
    <t>24EACCC035</t>
  </si>
  <si>
    <t>1. Types of Malware</t>
  </si>
  <si>
    <t>1.1 Virus, Worms, Trojans, RATs</t>
  </si>
  <si>
    <t>1.2 Ransomware: WannaCry, NotPetya</t>
  </si>
  <si>
    <t>1.3 Spyware, Adware, Keyloggers, Rootkits</t>
  </si>
  <si>
    <t>2. Trojan &amp; Backdoor Concepts</t>
  </si>
  <si>
    <t>2.1 Msfvenom for Payload Generation</t>
  </si>
  <si>
    <t>Rupesh verma</t>
  </si>
  <si>
    <t>2.2 Reverse Shell &amp; Bind Shell</t>
  </si>
  <si>
    <t>24EACCA084</t>
  </si>
  <si>
    <t>3. Malware Detection &amp; Prevention</t>
  </si>
  <si>
    <t>3.1 Static vs Dynamic Analysis</t>
  </si>
  <si>
    <t>3.2 Antivirus &amp; EDR Solutions</t>
  </si>
  <si>
    <t>3.3 Sandboxing &amp; YARA Rules</t>
  </si>
  <si>
    <t>MODULE 8: SNIFFING</t>
  </si>
  <si>
    <t>Sahil Samriya</t>
  </si>
  <si>
    <t>24EACCC037</t>
  </si>
  <si>
    <t>1. Network Sniffing Concepts</t>
  </si>
  <si>
    <t>1.1 Active vs Passive Sniffing</t>
  </si>
  <si>
    <t>24eaccs028</t>
  </si>
  <si>
    <t>1.2 Protocols Vulnerable to Sniffing</t>
  </si>
  <si>
    <t>2. Packet Capturing</t>
  </si>
  <si>
    <t>2.1 Wireshark: Capture &amp; Display Filters</t>
  </si>
  <si>
    <t>2.2 tcpdump for CLI Packet Capture</t>
  </si>
  <si>
    <t>Sanidhya Solanki</t>
  </si>
  <si>
    <t>2.3 ARP Poisoning with Bettercap</t>
  </si>
  <si>
    <t>24EACCC038</t>
  </si>
  <si>
    <t>3. Detecting &amp; Preventing Sniffing</t>
  </si>
  <si>
    <t>3.1 Promiscuous Mode Detection</t>
  </si>
  <si>
    <t>3.2 Countermeasures: Encryption, VPN, HTTPS</t>
  </si>
  <si>
    <t>🔴 TEST 2: System Hacking + Malware + Sniffing (Half Day)</t>
  </si>
  <si>
    <t>MCQ (15 Marks) + Practical Lab Task (35 Marks)</t>
  </si>
  <si>
    <t>Saniya Sharma</t>
  </si>
  <si>
    <t>24EACCC039</t>
  </si>
  <si>
    <t>🏭 INDUSTRY LECTURE 2 (1 Hour)</t>
  </si>
  <si>
    <t>Topic: Network Security &amp; Threat Detection in SOC</t>
  </si>
  <si>
    <t>MODULE 9: SOCIAL ENGINEERING</t>
  </si>
  <si>
    <t>Sanjeev Kumar Mandal</t>
  </si>
  <si>
    <t>24EACCC040</t>
  </si>
  <si>
    <t>1. Human-based Attacks</t>
  </si>
  <si>
    <t>1.1 Psychology of Social Engineering</t>
  </si>
  <si>
    <t>1.2 Pretexting, Baiting, Tailgating</t>
  </si>
  <si>
    <t>2. Phishing Techniques</t>
  </si>
  <si>
    <t xml:space="preserve">PROJECT 1 (Project Title ) Out of </t>
  </si>
  <si>
    <t>2.1 Spear Phishing, Vishing, Smishing</t>
  </si>
  <si>
    <t>2.2 Business Email Compromise (BEC)</t>
  </si>
  <si>
    <t xml:space="preserve">PROJECT 2 (Project Title ) Out of </t>
  </si>
  <si>
    <t>Shiva</t>
  </si>
  <si>
    <t>3. Prevention: MFA, Awareness Training, Email Filtering</t>
  </si>
  <si>
    <t>24EACCS688</t>
  </si>
  <si>
    <t>MODULE 10: DENIAL OF SERVICE (DoS / DDoS)</t>
  </si>
  <si>
    <t>1. Types of DoS &amp; DDoS Attacks</t>
  </si>
  <si>
    <t>1.1 Volume-based: UDP Flood, ICMP Flood</t>
  </si>
  <si>
    <t>1.2 Protocol: SYN Flood, Ping of Death</t>
  </si>
  <si>
    <t>1.3 Application Layer: HTTP Flood, Slowloris</t>
  </si>
  <si>
    <t>2. Botnets &amp; Amplification: DNS &amp; NTP Amplification</t>
  </si>
  <si>
    <t>3. DoS Prevention: Rate Limiting, Firewall, CDN</t>
  </si>
  <si>
    <t>MODULE 11: SESSION HIJACKING</t>
  </si>
  <si>
    <t>Sujal Malviya</t>
  </si>
  <si>
    <t>24EACCS707</t>
  </si>
  <si>
    <t>1. Session Management &amp; Vulnerabilities</t>
  </si>
  <si>
    <t>1.1 Session Tokens &amp; Cookies</t>
  </si>
  <si>
    <t>2. Session Hijacking Techniques</t>
  </si>
  <si>
    <t>2.1 TCP Session Hijacking</t>
  </si>
  <si>
    <t>2.2 Cross-Site Request Forgery (CSRF)</t>
  </si>
  <si>
    <t>Suman vyas</t>
  </si>
  <si>
    <t>24EACCS708</t>
  </si>
  <si>
    <t>3. Cookie Stealing via XSS</t>
  </si>
  <si>
    <t>4. Prevention: Secure Tokens, Session Timeout, HttpOnly Flag</t>
  </si>
  <si>
    <t>Tarun Gaur</t>
  </si>
  <si>
    <t>24EACCC044</t>
  </si>
  <si>
    <t>MODULE 12: HACKING WEB SERVERS</t>
  </si>
  <si>
    <t>1. Web Server Architecture &amp; Vulnerabilities</t>
  </si>
  <si>
    <t>Tilakraj</t>
  </si>
  <si>
    <t>24EACCC046</t>
  </si>
  <si>
    <t>1.1 Outdated Software, Default Credentials, Open Ports</t>
  </si>
  <si>
    <t>2. Directory Traversal Attacks</t>
  </si>
  <si>
    <t>3. Web Server Scanning: Nikto, WhatWeb, Dirb, Gobuster</t>
  </si>
  <si>
    <t>4. Metasploit for Web Server Exploitation</t>
  </si>
  <si>
    <t>4.1 Searchsploit &amp; Armitage</t>
  </si>
  <si>
    <t>Tushar Gopaliya</t>
  </si>
  <si>
    <t>24EACCS722</t>
  </si>
  <si>
    <t>4.2 WPScan for WordPress Sites</t>
  </si>
  <si>
    <t>🔴 TEST 3: Social Engineering + DoS + Session + Web Server (Half Day)</t>
  </si>
  <si>
    <t>MCQ (15 Marks) + Scenario-based Task (35 Marks)</t>
  </si>
  <si>
    <t>Tushar Sundesha</t>
  </si>
  <si>
    <t>🏭 INDUSTRY LECTURE 3 (1 Hour)</t>
  </si>
  <si>
    <t>24EACCC047</t>
  </si>
  <si>
    <t>Topic: Web Application Security in Real-world Pentesting</t>
  </si>
  <si>
    <t>MODULE 13: HACKING WEB APPLICATIONS</t>
  </si>
  <si>
    <t>Vansh Kalawatia</t>
  </si>
  <si>
    <t>1. Web Application Architecture &amp; OWASP Top 10</t>
  </si>
  <si>
    <t>24EACCC048</t>
  </si>
  <si>
    <t>2. Input Validation Vulnerabilities</t>
  </si>
  <si>
    <t>2.1 Command Injection &amp; File Upload Vulnerabilities</t>
  </si>
  <si>
    <t>3. Authentication Weaknesses</t>
  </si>
  <si>
    <t>3.1 Broken Authentication &amp; IDOR</t>
  </si>
  <si>
    <t>3.2 Brute Forcing Login Pages with Hydra</t>
  </si>
  <si>
    <t>4. Burp Suite &amp; OWASP ZAP for Web Testing</t>
  </si>
  <si>
    <t>📁 LAB PROJECT: Web Application Penetration Testing</t>
  </si>
  <si>
    <t>Test Web App using Burp Suite — Document Vulnerabilities</t>
  </si>
  <si>
    <t>MODULE 14: SQL INJECTION</t>
  </si>
  <si>
    <t>1. SQL Injection Concepts &amp; Vulnerable Code</t>
  </si>
  <si>
    <t>2. Types of SQL Injection</t>
  </si>
  <si>
    <t>2.1 In-band: Error-based &amp; Union-based SQLi</t>
  </si>
  <si>
    <t>2.2 Blind: Boolean-based &amp; Time-based SQLi</t>
  </si>
  <si>
    <t>3. Database Enumeration via SQLi</t>
  </si>
  <si>
    <t>3.1 Extracting DB Names, Tables &amp; Credentials</t>
  </si>
  <si>
    <t>4. Automated Exploitation with SQLMap</t>
  </si>
  <si>
    <t>4.1 Basic Scanning &amp; Dumping Database</t>
  </si>
  <si>
    <t>4.2 OS Shell Access via SQLMap</t>
  </si>
  <si>
    <t>5. SQL Injection Prevention</t>
  </si>
  <si>
    <t>5.1 Parameterized Queries &amp; Prepared Statements</t>
  </si>
  <si>
    <t>5.2 WAF (Web Application Firewall)</t>
  </si>
  <si>
    <t>📁 LAB PROJECT: SQL Injection Exploitation</t>
  </si>
  <si>
    <t>Manual SQLi + SQLMap on DVWA + Exploitation Report</t>
  </si>
  <si>
    <t>MODULE 15: CROSS SITE SCRIPTING (XSS)</t>
  </si>
  <si>
    <t>1. Types of XSS</t>
  </si>
  <si>
    <t>1.1 Reflected XSS — Attack Scenarios</t>
  </si>
  <si>
    <t>1.2 Stored XSS — Persistent Attacks</t>
  </si>
  <si>
    <t>1.3 DOM-based XSS</t>
  </si>
  <si>
    <t>2. Exploiting XSS</t>
  </si>
  <si>
    <t>2.1 Cookie Stealing &amp; Keylogging via XSS</t>
  </si>
  <si>
    <t>2.2 BeEF Framework for XSS Exploitation</t>
  </si>
  <si>
    <t>3. XSS Prevention: Output Encoding, CSP, HttpOnly Flag</t>
  </si>
  <si>
    <t>📁 LAB PROJECT: XSS Exploitation on DVWA</t>
  </si>
  <si>
    <t>Cookie Theft Demo + Prevention Report</t>
  </si>
  <si>
    <t>🔴 TEST 4: Web Hacking + SQL Injection + XSS (Half Day)</t>
  </si>
  <si>
    <t>MCQ (15 Marks) + Practical Web Attack Task (35 Marks)</t>
  </si>
  <si>
    <t>🏭 INDUSTRY LECTURE 4 (1 Hour)</t>
  </si>
  <si>
    <t>Topic: Web Application Security Auditing in Industry</t>
  </si>
  <si>
    <t>MODULE 16: WIRELESS NETWORK HACKING</t>
  </si>
  <si>
    <t>1. Wi-Fi Security Protocols: WEP, WPA, WPA2, WPA3</t>
  </si>
  <si>
    <t>2. Wireless Attacks</t>
  </si>
  <si>
    <t>2.1 WPA2 Handshake Capture</t>
  </si>
  <si>
    <t>2.2 Dictionary Attack with Aircrack-ng</t>
  </si>
  <si>
    <t>2.3 Evil Twin / Rogue Access Point</t>
  </si>
  <si>
    <t>2.4 Deauthentication Attack</t>
  </si>
  <si>
    <t>3. Wireless Security Best Practices</t>
  </si>
  <si>
    <t>📁 LAB PROJECT: Wireless Security Testing</t>
  </si>
  <si>
    <t>WPA2 Handshake Capture + Crack + Hardening Report</t>
  </si>
  <si>
    <t>MODULE 17: CRYPTOGRAPHY</t>
  </si>
  <si>
    <t>1. Symmetric &amp; Asymmetric Encryption</t>
  </si>
  <si>
    <t>1.1 AES, DES — Symmetric</t>
  </si>
  <si>
    <t>1.2 RSA, Public &amp; Private Key — Asymmetric</t>
  </si>
  <si>
    <t>1.3 Diffie-Hellman Key Exchange</t>
  </si>
  <si>
    <t>2. Hashing Algorithms: MD5, SHA-256, bcrypt</t>
  </si>
  <si>
    <t>3. Digital Signatures, PKI &amp; SSL/TLS Certificates</t>
  </si>
  <si>
    <t>MODULE 18: CLOUD SECURITY</t>
  </si>
  <si>
    <t>1. Cloud Security vs Traditional Security</t>
  </si>
  <si>
    <t>2. Cloud Vulnerabilities &amp; Threats</t>
  </si>
  <si>
    <t>2.1 Misconfigured S3 Buckets, Insecure APIs</t>
  </si>
  <si>
    <t>2.2 Account Hijacking &amp; Data Breaches</t>
  </si>
  <si>
    <t>3. Cloud Security Best Practices</t>
  </si>
  <si>
    <t>3.1 IAM Least Privilege, Encryption, Security Groups</t>
  </si>
  <si>
    <t>3.2 AWS Inspector &amp; GuardDuty Overview</t>
  </si>
  <si>
    <t>MODULE 19: MOBILE SECURITY</t>
  </si>
  <si>
    <t>1. Android vs iOS Security Model</t>
  </si>
  <si>
    <t>2. OWASP Mobile Top 10</t>
  </si>
  <si>
    <t>2.1 Insecure Data Storage &amp; Improper Authentication</t>
  </si>
  <si>
    <t>3. Mobile Malware: Spyware, Smishing, Fake Apps</t>
  </si>
  <si>
    <t>4. Mobile Security Practices: MDM, App Permissions</t>
  </si>
  <si>
    <t>a</t>
  </si>
  <si>
    <t>MODULE 20: INCIDENT RESPONSE &amp; SECURITY OPERATIONS</t>
  </si>
  <si>
    <t>1. SOC &amp; SIEM Overview</t>
  </si>
  <si>
    <t>2. Incident Response Lifecycle</t>
  </si>
  <si>
    <t>2.1 Preparation → Identification → Containment</t>
  </si>
  <si>
    <t>2.2 Eradication → Recovery → Lessons Learned</t>
  </si>
  <si>
    <t>3. Indicators of Compromise (IoC)</t>
  </si>
  <si>
    <t>4. Security Logging &amp; Analysis</t>
  </si>
  <si>
    <t>4.1 Windows Event Logs &amp; Linux Syslog</t>
  </si>
  <si>
    <t>4.2 Writing Incident Response Reports</t>
  </si>
  <si>
    <t>REVISION &amp; PRACTICE — Module 1 to 4</t>
  </si>
  <si>
    <t>Revisit: Recon, Scanning, Enumeration, VA</t>
  </si>
  <si>
    <t>Hands-on: Full Nmap Scan + OSINT Report</t>
  </si>
  <si>
    <t>REVISION &amp; PRACTICE — Module 5 to 8</t>
  </si>
  <si>
    <t>Revisit: System Hacking, Malware, Sniffing, Social Eng</t>
  </si>
  <si>
    <t>Hands-on: Password Cracking + Wireshark Analysis</t>
  </si>
  <si>
    <t>REVISION &amp; PRACTICE — Module 9 to 13</t>
  </si>
  <si>
    <t>Revisit: DoS, Session Hijacking, Web Server Hacking</t>
  </si>
  <si>
    <t>Hands-on: Burp Suite Practice on DVWA</t>
  </si>
  <si>
    <t>REVISION &amp; PRACTICE — Module 14 to 16</t>
  </si>
  <si>
    <t>Revisit: SQLi, XSS, Wireless Hacking</t>
  </si>
  <si>
    <t>Hands-on: SQLMap Practice + XSS Cookie Steal Demo</t>
  </si>
  <si>
    <t>REVISION &amp; PRACTICE — Module 17 to 20</t>
  </si>
  <si>
    <t>Revisit: Cryptography, Cloud, Mobile, Incident Response</t>
  </si>
  <si>
    <t>Hands-on: Hash Cracking + Incident Report Writing</t>
  </si>
  <si>
    <t>🔴 TEST 5: Comprehensive — All Modules (Half Day)</t>
  </si>
  <si>
    <t>MCQ (20 Marks) + Pentest Scenario Task (30 Marks)</t>
  </si>
  <si>
    <t>🏭 INDUSTRY LECTURE 5 (1 Hour)</t>
  </si>
  <si>
    <t>Topic: Incident Response &amp; SOC Operations in Enterprise</t>
  </si>
  <si>
    <t>CAPSTONE PROJECT — Briefing &amp; Scope Definition</t>
  </si>
  <si>
    <t>Complete Penetration Testing &amp; Security Audit</t>
  </si>
  <si>
    <t>Rules of Engagement &amp; Attack Plan Design</t>
  </si>
  <si>
    <t>Team Formation</t>
  </si>
  <si>
    <t>CAPSTONE PROJECT — Phase 1: Reconnaissance &amp; Scanning</t>
  </si>
  <si>
    <t>Passive &amp; Active Recon on Target</t>
  </si>
  <si>
    <t>Network Scanning &amp; Enumeration</t>
  </si>
  <si>
    <t>Vulnerability Assessment Report</t>
  </si>
  <si>
    <t>CAPSTONE PROJECT — Phase 2: Exploitation</t>
  </si>
  <si>
    <t>System Hacking &amp; Privilege Escalation</t>
  </si>
  <si>
    <t>Web Application Testing: SQLi, XSS, Auth Bypass</t>
  </si>
  <si>
    <t>Password Cracking &amp; Session Hijacking</t>
  </si>
  <si>
    <t>CAPSTONE PROJECT — Phase 3: Post Exploitation &amp; Reporting</t>
  </si>
  <si>
    <t>Maintaining Access &amp; Covering Tracks Documentation</t>
  </si>
  <si>
    <t>Writing Full Penetration Testing Report</t>
  </si>
  <si>
    <t>Executive Summary + Technical Findings + Remediation</t>
  </si>
  <si>
    <t>CAPSTONE PROJECT — Finalization</t>
  </si>
  <si>
    <t>Final Report Review &amp; PPT Preparation</t>
  </si>
  <si>
    <t>Project Demo Testing</t>
  </si>
  <si>
    <t>CAPSTONE PRESENTATIONS — Batch A</t>
  </si>
  <si>
    <t>Pentest Report Presentation</t>
  </si>
  <si>
    <t>Live Demo of Exploitation Techniques</t>
  </si>
  <si>
    <t>Faculty Evaluation &amp; Q&amp;A</t>
  </si>
  <si>
    <t>CAPSTONE PRESENTATIONS — Batch B</t>
  </si>
  <si>
    <t>VIVA &amp; FINAL FEEDBACK</t>
  </si>
  <si>
    <t>Individual Viva on All Modules</t>
  </si>
  <si>
    <t>Security Audit Report Submission</t>
  </si>
  <si>
    <t>Final Feedback &amp; Performance Review</t>
  </si>
  <si>
    <t>LT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</si>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</sst>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yyyy"/>
    <numFmt numFmtId="165" formatCode="d"/>
    <numFmt numFmtId="166" formatCode="m/d/yyyy"/>
  </numFmts>
  <fonts count="2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  <scheme val="minor"/>
    </font>
    <font>
      <b/>
      <color theme="1"/>
      <name val="Arial"/>
    </font>
    <font/>
    <font>
      <b/>
      <color theme="1"/>
      <name val="Times New Roman"/>
    </font>
    <font>
      <b/>
      <sz val="14.0"/>
      <color theme="1"/>
      <name val="Garamond"/>
    </font>
    <font>
      <b/>
      <sz val="11.0"/>
      <color theme="1"/>
      <name val="Garamond"/>
    </font>
    <font>
      <b/>
      <sz val="11.0"/>
      <color theme="1"/>
      <name val="Cambria"/>
    </font>
    <font>
      <sz val="11.0"/>
      <color rgb="FF000000"/>
      <name val="Calibri"/>
    </font>
    <font>
      <b/>
      <color rgb="FFFFFFFF"/>
      <name val="&quot;Calibri Light&quot;"/>
    </font>
    <font>
      <sz val="11.0"/>
      <color theme="1"/>
      <name val="Calibri"/>
    </font>
    <font>
      <b/>
      <color rgb="FFFFFFFF"/>
      <name val="Arial"/>
    </font>
    <font>
      <b/>
      <sz val="12.0"/>
      <color theme="1"/>
      <name val="&quot;Calibri Light&quot;"/>
    </font>
    <font>
      <b/>
      <sz val="11.0"/>
      <color rgb="FF1F3864"/>
      <name val="&quot;Calibri Light&quot;"/>
    </font>
    <font>
      <b/>
      <sz val="11.0"/>
      <color theme="1"/>
      <name val="&quot;Calibri Light&quot;"/>
    </font>
    <font>
      <color theme="1"/>
      <name val="Arial"/>
      <scheme val="minor"/>
    </font>
    <font>
      <b/>
      <sz val="11.0"/>
      <color rgb="FF375623"/>
      <name val="&quot;Calibri Light&quot;"/>
    </font>
    <font>
      <color theme="1"/>
      <name val="Calibri"/>
    </font>
    <font>
      <b/>
      <sz val="11.0"/>
      <color rgb="FFC00000"/>
      <name val="&quot;Calibri Light&quot;"/>
    </font>
    <font>
      <b/>
      <sz val="11.0"/>
      <color rgb="FF1F497D"/>
      <name val="&quot;Calibri Light&quot;"/>
    </font>
    <font>
      <b/>
      <color theme="1"/>
      <name val="Calibri"/>
    </font>
    <font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3864"/>
        <bgColor rgb="FF1F3864"/>
      </patternFill>
    </fill>
    <fill>
      <patternFill patternType="solid">
        <fgColor rgb="FFE7FFE7"/>
        <bgColor rgb="FFE7FFE7"/>
      </patternFill>
    </fill>
    <fill>
      <patternFill patternType="solid">
        <fgColor rgb="FFFFE7E7"/>
        <bgColor rgb="FFFFE7E7"/>
      </patternFill>
    </fill>
    <fill>
      <patternFill patternType="solid">
        <fgColor rgb="FF6D9EEB"/>
        <bgColor rgb="FF6D9EEB"/>
      </patternFill>
    </fill>
    <fill>
      <patternFill patternType="solid">
        <fgColor rgb="FFFFF3E7"/>
        <bgColor rgb="FFFFF3E7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ont="1">
      <alignment horizontal="center" vertical="center"/>
    </xf>
    <xf borderId="2" fillId="2" fontId="2" numFmtId="164" xfId="0" applyAlignment="1" applyBorder="1" applyFont="1" applyNumberForma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1" fillId="2" fontId="5" numFmtId="0" xfId="0" applyAlignment="1" applyBorder="1" applyFont="1">
      <alignment horizontal="center" readingOrder="0" vertical="center"/>
    </xf>
    <xf borderId="2" fillId="2" fontId="3" numFmtId="164" xfId="0" applyAlignment="1" applyBorder="1" applyFont="1" applyNumberFormat="1">
      <alignment horizontal="center" vertical="bottom"/>
    </xf>
    <xf borderId="5" fillId="0" fontId="3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5" fillId="0" fontId="3" numFmtId="0" xfId="0" applyAlignment="1" applyBorder="1" applyFont="1">
      <alignment horizontal="center" vertical="bottom"/>
    </xf>
    <xf borderId="0" fillId="0" fontId="8" numFmtId="0" xfId="0" applyAlignment="1" applyFont="1">
      <alignment horizontal="left" readingOrder="0" shrinkToFit="0" wrapText="0"/>
    </xf>
    <xf borderId="2" fillId="0" fontId="3" numFmtId="0" xfId="0" applyAlignment="1" applyBorder="1" applyFont="1">
      <alignment horizontal="center" vertical="center"/>
    </xf>
    <xf borderId="0" fillId="0" fontId="9" numFmtId="0" xfId="0" applyAlignment="1" applyFont="1">
      <alignment shrinkToFit="0" vertical="bottom" wrapText="0"/>
    </xf>
    <xf borderId="0" fillId="0" fontId="1" numFmtId="0" xfId="0" applyAlignment="1" applyFont="1">
      <alignment horizontal="center" vertical="center"/>
    </xf>
    <xf borderId="5" fillId="3" fontId="10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readingOrder="0" vertical="bottom"/>
    </xf>
    <xf borderId="5" fillId="3" fontId="12" numFmtId="0" xfId="0" applyAlignment="1" applyBorder="1" applyFont="1">
      <alignment horizontal="center" readingOrder="0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 readingOrder="0"/>
    </xf>
    <xf borderId="6" fillId="0" fontId="4" numFmtId="0" xfId="0" applyBorder="1" applyFont="1"/>
    <xf borderId="5" fillId="0" fontId="14" numFmtId="0" xfId="0" applyAlignment="1" applyBorder="1" applyFont="1">
      <alignment horizontal="left" readingOrder="0"/>
    </xf>
    <xf borderId="5" fillId="0" fontId="9" numFmtId="0" xfId="0" applyAlignment="1" applyBorder="1" applyFont="1">
      <alignment horizontal="center" readingOrder="0"/>
    </xf>
    <xf borderId="5" fillId="2" fontId="3" numFmtId="165" xfId="0" applyAlignment="1" applyBorder="1" applyFont="1" applyNumberFormat="1">
      <alignment horizontal="center" vertical="bottom"/>
    </xf>
    <xf borderId="5" fillId="0" fontId="15" numFmtId="0" xfId="0" applyAlignment="1" applyBorder="1" applyFont="1">
      <alignment horizontal="left" readingOrder="0"/>
    </xf>
    <xf borderId="2" fillId="0" fontId="11" numFmtId="0" xfId="0" applyAlignment="1" applyBorder="1" applyFont="1">
      <alignment horizontal="center"/>
    </xf>
    <xf borderId="0" fillId="0" fontId="16" numFmtId="0" xfId="0" applyAlignment="1" applyFont="1">
      <alignment readingOrder="0"/>
    </xf>
    <xf borderId="0" fillId="0" fontId="16" numFmtId="0" xfId="0" applyFont="1"/>
    <xf borderId="5" fillId="0" fontId="1" numFmtId="166" xfId="0" applyAlignment="1" applyBorder="1" applyFont="1" applyNumberFormat="1">
      <alignment horizontal="left" readingOrder="0" vertical="bottom"/>
    </xf>
    <xf borderId="5" fillId="0" fontId="3" numFmtId="0" xfId="0" applyAlignment="1" applyBorder="1" applyFont="1">
      <alignment readingOrder="0" vertical="bottom"/>
    </xf>
    <xf borderId="1" fillId="4" fontId="13" numFmtId="0" xfId="0" applyAlignment="1" applyBorder="1" applyFill="1" applyFont="1">
      <alignment horizontal="center" readingOrder="0"/>
    </xf>
    <xf borderId="7" fillId="0" fontId="4" numFmtId="0" xfId="0" applyBorder="1" applyFont="1"/>
    <xf borderId="5" fillId="4" fontId="17" numFmtId="0" xfId="0" applyAlignment="1" applyBorder="1" applyFont="1">
      <alignment horizontal="left" readingOrder="0"/>
    </xf>
    <xf borderId="5" fillId="4" fontId="9" numFmtId="0" xfId="0" applyAlignment="1" applyBorder="1" applyFont="1">
      <alignment horizontal="center" readingOrder="0"/>
    </xf>
    <xf borderId="5" fillId="4" fontId="15" numFmtId="0" xfId="0" applyAlignment="1" applyBorder="1" applyFont="1">
      <alignment horizontal="left" readingOrder="0"/>
    </xf>
    <xf borderId="5" fillId="2" fontId="3" numFmtId="164" xfId="0" applyAlignment="1" applyBorder="1" applyFont="1" applyNumberFormat="1">
      <alignment horizontal="center" vertical="bottom"/>
    </xf>
    <xf borderId="5" fillId="4" fontId="14" numFmtId="0" xfId="0" applyAlignment="1" applyBorder="1" applyFont="1">
      <alignment horizontal="left" readingOrder="0"/>
    </xf>
    <xf borderId="0" fillId="0" fontId="16" numFmtId="0" xfId="0" applyAlignment="1" applyFont="1">
      <alignment horizontal="center" readingOrder="0"/>
    </xf>
    <xf borderId="0" fillId="0" fontId="16" numFmtId="166" xfId="0" applyAlignment="1" applyFont="1" applyNumberFormat="1">
      <alignment horizontal="left" readingOrder="0"/>
    </xf>
    <xf borderId="5" fillId="0" fontId="18" numFmtId="0" xfId="0" applyAlignment="1" applyBorder="1" applyFont="1">
      <alignment horizontal="center" readingOrder="0" vertical="center"/>
    </xf>
    <xf borderId="1" fillId="5" fontId="13" numFmtId="0" xfId="0" applyAlignment="1" applyBorder="1" applyFill="1" applyFont="1">
      <alignment horizontal="center" readingOrder="0"/>
    </xf>
    <xf borderId="5" fillId="0" fontId="18" numFmtId="0" xfId="0" applyAlignment="1" applyBorder="1" applyFont="1">
      <alignment horizontal="center" vertical="center"/>
    </xf>
    <xf borderId="5" fillId="5" fontId="19" numFmtId="0" xfId="0" applyAlignment="1" applyBorder="1" applyFont="1">
      <alignment horizontal="left" readingOrder="0"/>
    </xf>
    <xf borderId="5" fillId="5" fontId="9" numFmtId="0" xfId="0" applyAlignment="1" applyBorder="1" applyFont="1">
      <alignment horizontal="center" readingOrder="0"/>
    </xf>
    <xf borderId="5" fillId="5" fontId="15" numFmtId="0" xfId="0" applyAlignment="1" applyBorder="1" applyFont="1">
      <alignment horizontal="left" readingOrder="0"/>
    </xf>
    <xf borderId="5" fillId="0" fontId="18" numFmtId="2" xfId="0" applyAlignment="1" applyBorder="1" applyFont="1" applyNumberFormat="1">
      <alignment horizontal="center" vertical="bottom"/>
    </xf>
    <xf borderId="5" fillId="0" fontId="18" numFmtId="0" xfId="0" applyAlignment="1" applyBorder="1" applyFont="1">
      <alignment horizontal="center" readingOrder="0"/>
    </xf>
    <xf borderId="5" fillId="5" fontId="20" numFmtId="0" xfId="0" applyAlignment="1" applyBorder="1" applyFont="1">
      <alignment horizontal="left" readingOrder="0"/>
    </xf>
    <xf borderId="1" fillId="0" fontId="13" numFmtId="0" xfId="0" applyAlignment="1" applyBorder="1" applyFont="1">
      <alignment horizontal="center"/>
    </xf>
    <xf borderId="1" fillId="6" fontId="21" numFmtId="0" xfId="0" applyAlignment="1" applyBorder="1" applyFill="1" applyFont="1">
      <alignment horizontal="center" readingOrder="0" textRotation="255" vertical="center"/>
    </xf>
    <xf borderId="5" fillId="0" fontId="11" numFmtId="0" xfId="0" applyAlignment="1" applyBorder="1" applyFont="1">
      <alignment horizontal="center"/>
    </xf>
    <xf borderId="0" fillId="0" fontId="11" numFmtId="0" xfId="0" applyAlignment="1" applyFont="1">
      <alignment horizontal="center"/>
    </xf>
    <xf borderId="5" fillId="0" fontId="18" numFmtId="0" xfId="0" applyAlignment="1" applyBorder="1" applyFont="1">
      <alignment horizontal="center"/>
    </xf>
    <xf borderId="5" fillId="0" fontId="9" numFmtId="0" xfId="0" applyAlignment="1" applyBorder="1" applyFont="1">
      <alignment horizontal="center" readingOrder="0" shrinkToFit="0" vertical="bottom" wrapText="0"/>
    </xf>
    <xf borderId="5" fillId="2" fontId="2" numFmtId="0" xfId="0" applyAlignment="1" applyBorder="1" applyFont="1">
      <alignment horizontal="center" readingOrder="0" vertical="center"/>
    </xf>
    <xf borderId="5" fillId="2" fontId="5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shrinkToFit="0" vertical="center" wrapText="1"/>
    </xf>
    <xf borderId="5" fillId="0" fontId="16" numFmtId="0" xfId="0" applyBorder="1" applyFont="1"/>
    <xf borderId="5" fillId="2" fontId="11" numFmtId="0" xfId="0" applyAlignment="1" applyBorder="1" applyFont="1">
      <alignment horizontal="center" vertical="bottom"/>
    </xf>
    <xf borderId="5" fillId="2" fontId="11" numFmtId="0" xfId="0" applyAlignment="1" applyBorder="1" applyFont="1">
      <alignment horizontal="center" vertical="center"/>
    </xf>
    <xf borderId="1" fillId="4" fontId="13" numFmtId="0" xfId="0" applyAlignment="1" applyBorder="1" applyFont="1">
      <alignment horizontal="center"/>
    </xf>
    <xf borderId="0" fillId="0" fontId="22" numFmtId="0" xfId="0" applyAlignment="1" applyFont="1">
      <alignment horizontal="center" vertical="center"/>
    </xf>
    <xf borderId="1" fillId="7" fontId="13" numFmtId="0" xfId="0" applyAlignment="1" applyBorder="1" applyFill="1" applyFont="1">
      <alignment horizontal="center" readingOrder="0"/>
    </xf>
    <xf borderId="5" fillId="7" fontId="14" numFmtId="0" xfId="0" applyAlignment="1" applyBorder="1" applyFont="1">
      <alignment horizontal="left" readingOrder="0"/>
    </xf>
    <xf borderId="5" fillId="7" fontId="9" numFmtId="0" xfId="0" applyAlignment="1" applyBorder="1" applyFont="1">
      <alignment horizontal="center" readingOrder="0"/>
    </xf>
    <xf borderId="5" fillId="7" fontId="15" numFmtId="0" xfId="0" applyAlignment="1" applyBorder="1" applyFont="1">
      <alignment horizontal="left" readingOrder="0"/>
    </xf>
    <xf borderId="0" fillId="0" fontId="1" numFmtId="2" xfId="0" applyAlignment="1" applyFont="1" applyNumberFormat="1">
      <alignment horizontal="center" vertical="bottom"/>
    </xf>
    <xf borderId="0" fillId="0" fontId="1" numFmtId="2" xfId="0" applyAlignment="1" applyFont="1" applyNumberFormat="1">
      <alignment horizontal="center" readingOrder="0" vertical="bottom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7" max="7" width="16.63"/>
    <col customWidth="1" min="8" max="44" width="4.13"/>
    <col customWidth="1" min="45" max="74" width="4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  <c r="H1" s="7">
        <v>46143.0</v>
      </c>
      <c r="I1" s="8"/>
      <c r="J1" s="8"/>
      <c r="K1" s="8"/>
      <c r="L1" s="8"/>
      <c r="M1" s="8"/>
      <c r="N1" s="9"/>
      <c r="O1" s="11">
        <v>46174.0</v>
      </c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11">
        <v>46204.0</v>
      </c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</row>
    <row r="2">
      <c r="A2" s="29"/>
      <c r="B2" s="29"/>
      <c r="C2" s="29"/>
      <c r="D2" s="29"/>
      <c r="E2" s="29"/>
      <c r="F2" s="29"/>
      <c r="G2" s="29"/>
      <c r="H2" s="32">
        <v>46167.0</v>
      </c>
      <c r="I2" s="32">
        <v>46168.0</v>
      </c>
      <c r="J2" s="32">
        <v>46169.0</v>
      </c>
      <c r="K2" s="32">
        <v>46170.0</v>
      </c>
      <c r="L2" s="32">
        <v>46171.0</v>
      </c>
      <c r="M2" s="32">
        <v>46172.0</v>
      </c>
      <c r="N2" s="32">
        <v>46173.0</v>
      </c>
      <c r="O2" s="32">
        <v>46174.0</v>
      </c>
      <c r="P2" s="32">
        <v>46175.0</v>
      </c>
      <c r="Q2" s="32">
        <v>46176.0</v>
      </c>
      <c r="R2" s="32">
        <v>46177.0</v>
      </c>
      <c r="S2" s="32">
        <v>46178.0</v>
      </c>
      <c r="T2" s="32">
        <v>46179.0</v>
      </c>
      <c r="U2" s="32">
        <v>46180.0</v>
      </c>
      <c r="V2" s="32">
        <v>46181.0</v>
      </c>
      <c r="W2" s="32">
        <v>46182.0</v>
      </c>
      <c r="X2" s="32">
        <v>46183.0</v>
      </c>
      <c r="Y2" s="32">
        <v>46184.0</v>
      </c>
      <c r="Z2" s="32">
        <v>46185.0</v>
      </c>
      <c r="AA2" s="32">
        <v>46186.0</v>
      </c>
      <c r="AB2" s="32">
        <v>46187.0</v>
      </c>
      <c r="AC2" s="32">
        <v>46188.0</v>
      </c>
      <c r="AD2" s="32">
        <v>46189.0</v>
      </c>
      <c r="AE2" s="32">
        <v>46190.0</v>
      </c>
      <c r="AF2" s="32">
        <v>46191.0</v>
      </c>
      <c r="AG2" s="32">
        <v>46192.0</v>
      </c>
      <c r="AH2" s="32">
        <v>46193.0</v>
      </c>
      <c r="AI2" s="32">
        <v>46194.0</v>
      </c>
      <c r="AJ2" s="32">
        <v>46195.0</v>
      </c>
      <c r="AK2" s="32">
        <v>46196.0</v>
      </c>
      <c r="AL2" s="32">
        <v>46197.0</v>
      </c>
      <c r="AM2" s="32">
        <v>46198.0</v>
      </c>
      <c r="AN2" s="32">
        <v>46199.0</v>
      </c>
      <c r="AO2" s="32">
        <v>46200.0</v>
      </c>
      <c r="AP2" s="32">
        <v>46201.0</v>
      </c>
      <c r="AQ2" s="32">
        <v>46202.0</v>
      </c>
      <c r="AR2" s="32">
        <v>46203.0</v>
      </c>
      <c r="AS2" s="32">
        <v>46204.0</v>
      </c>
      <c r="AT2" s="32">
        <v>46205.0</v>
      </c>
      <c r="AU2" s="32">
        <v>46206.0</v>
      </c>
      <c r="AV2" s="32">
        <v>46207.0</v>
      </c>
      <c r="AW2" s="32">
        <v>46208.0</v>
      </c>
      <c r="AX2" s="32">
        <v>46209.0</v>
      </c>
      <c r="AY2" s="32">
        <v>46210.0</v>
      </c>
      <c r="AZ2" s="32">
        <v>46211.0</v>
      </c>
      <c r="BA2" s="32">
        <v>46212.0</v>
      </c>
      <c r="BB2" s="32">
        <v>46213.0</v>
      </c>
      <c r="BC2" s="32">
        <v>46214.0</v>
      </c>
      <c r="BD2" s="32">
        <v>46215.0</v>
      </c>
      <c r="BE2" s="32">
        <v>46216.0</v>
      </c>
      <c r="BF2" s="32">
        <v>46217.0</v>
      </c>
      <c r="BG2" s="32">
        <v>46218.0</v>
      </c>
      <c r="BH2" s="32">
        <v>46219.0</v>
      </c>
      <c r="BI2" s="32">
        <v>46220.0</v>
      </c>
      <c r="BJ2" s="32">
        <v>46221.0</v>
      </c>
      <c r="BK2" s="32">
        <v>46222.0</v>
      </c>
      <c r="BL2" s="32">
        <v>46223.0</v>
      </c>
      <c r="BM2" s="32">
        <v>46224.0</v>
      </c>
      <c r="BN2" s="32">
        <v>46225.0</v>
      </c>
      <c r="BO2" s="32">
        <v>46226.0</v>
      </c>
      <c r="BP2" s="32">
        <v>46227.0</v>
      </c>
      <c r="BQ2" s="32">
        <v>46228.0</v>
      </c>
      <c r="BR2" s="32">
        <v>46229.0</v>
      </c>
      <c r="BS2" s="32">
        <v>46230.0</v>
      </c>
      <c r="BT2" s="32">
        <v>46231.0</v>
      </c>
      <c r="BU2" s="32">
        <v>46232.0</v>
      </c>
      <c r="BV2" s="32">
        <v>46233.0</v>
      </c>
    </row>
    <row r="3">
      <c r="A3" s="40"/>
      <c r="B3" s="40"/>
      <c r="C3" s="40"/>
      <c r="D3" s="40"/>
      <c r="E3" s="40"/>
      <c r="F3" s="40"/>
      <c r="G3" s="40"/>
      <c r="H3" s="44" t="str">
        <f t="shared" ref="H3:BV3" si="1">TEXT(H2,"ddd")</f>
        <v>Mon</v>
      </c>
      <c r="I3" s="44" t="str">
        <f t="shared" si="1"/>
        <v>Tue</v>
      </c>
      <c r="J3" s="44" t="str">
        <f t="shared" si="1"/>
        <v>Wed</v>
      </c>
      <c r="K3" s="44" t="str">
        <f t="shared" si="1"/>
        <v>Thu</v>
      </c>
      <c r="L3" s="44" t="str">
        <f t="shared" si="1"/>
        <v>Fri</v>
      </c>
      <c r="M3" s="44" t="str">
        <f t="shared" si="1"/>
        <v>Sat</v>
      </c>
      <c r="N3" s="44" t="str">
        <f t="shared" si="1"/>
        <v>Sun</v>
      </c>
      <c r="O3" s="44" t="str">
        <f t="shared" si="1"/>
        <v>Mon</v>
      </c>
      <c r="P3" s="44" t="str">
        <f t="shared" si="1"/>
        <v>Tue</v>
      </c>
      <c r="Q3" s="44" t="str">
        <f t="shared" si="1"/>
        <v>Wed</v>
      </c>
      <c r="R3" s="44" t="str">
        <f t="shared" si="1"/>
        <v>Thu</v>
      </c>
      <c r="S3" s="44" t="str">
        <f t="shared" si="1"/>
        <v>Fri</v>
      </c>
      <c r="T3" s="44" t="str">
        <f t="shared" si="1"/>
        <v>Sat</v>
      </c>
      <c r="U3" s="44" t="str">
        <f t="shared" si="1"/>
        <v>Sun</v>
      </c>
      <c r="V3" s="44" t="str">
        <f t="shared" si="1"/>
        <v>Mon</v>
      </c>
      <c r="W3" s="44" t="str">
        <f t="shared" si="1"/>
        <v>Tue</v>
      </c>
      <c r="X3" s="44" t="str">
        <f t="shared" si="1"/>
        <v>Wed</v>
      </c>
      <c r="Y3" s="44" t="str">
        <f t="shared" si="1"/>
        <v>Thu</v>
      </c>
      <c r="Z3" s="44" t="str">
        <f t="shared" si="1"/>
        <v>Fri</v>
      </c>
      <c r="AA3" s="44" t="str">
        <f t="shared" si="1"/>
        <v>Sat</v>
      </c>
      <c r="AB3" s="44" t="str">
        <f t="shared" si="1"/>
        <v>Sun</v>
      </c>
      <c r="AC3" s="44" t="str">
        <f t="shared" si="1"/>
        <v>Mon</v>
      </c>
      <c r="AD3" s="44" t="str">
        <f t="shared" si="1"/>
        <v>Tue</v>
      </c>
      <c r="AE3" s="44" t="str">
        <f t="shared" si="1"/>
        <v>Wed</v>
      </c>
      <c r="AF3" s="44" t="str">
        <f t="shared" si="1"/>
        <v>Thu</v>
      </c>
      <c r="AG3" s="44" t="str">
        <f t="shared" si="1"/>
        <v>Fri</v>
      </c>
      <c r="AH3" s="44" t="str">
        <f t="shared" si="1"/>
        <v>Sat</v>
      </c>
      <c r="AI3" s="44" t="str">
        <f t="shared" si="1"/>
        <v>Sun</v>
      </c>
      <c r="AJ3" s="44" t="str">
        <f t="shared" si="1"/>
        <v>Mon</v>
      </c>
      <c r="AK3" s="44" t="str">
        <f t="shared" si="1"/>
        <v>Tue</v>
      </c>
      <c r="AL3" s="44" t="str">
        <f t="shared" si="1"/>
        <v>Wed</v>
      </c>
      <c r="AM3" s="44" t="str">
        <f t="shared" si="1"/>
        <v>Thu</v>
      </c>
      <c r="AN3" s="44" t="str">
        <f t="shared" si="1"/>
        <v>Fri</v>
      </c>
      <c r="AO3" s="44" t="str">
        <f t="shared" si="1"/>
        <v>Sat</v>
      </c>
      <c r="AP3" s="44" t="str">
        <f t="shared" si="1"/>
        <v>Sun</v>
      </c>
      <c r="AQ3" s="44" t="str">
        <f t="shared" si="1"/>
        <v>Mon</v>
      </c>
      <c r="AR3" s="44" t="str">
        <f t="shared" si="1"/>
        <v>Tue</v>
      </c>
      <c r="AS3" s="44" t="str">
        <f t="shared" si="1"/>
        <v>Wed</v>
      </c>
      <c r="AT3" s="44" t="str">
        <f t="shared" si="1"/>
        <v>Thu</v>
      </c>
      <c r="AU3" s="44" t="str">
        <f t="shared" si="1"/>
        <v>Fri</v>
      </c>
      <c r="AV3" s="44" t="str">
        <f t="shared" si="1"/>
        <v>Sat</v>
      </c>
      <c r="AW3" s="44" t="str">
        <f t="shared" si="1"/>
        <v>Sun</v>
      </c>
      <c r="AX3" s="44" t="str">
        <f t="shared" si="1"/>
        <v>Mon</v>
      </c>
      <c r="AY3" s="44" t="str">
        <f t="shared" si="1"/>
        <v>Tue</v>
      </c>
      <c r="AZ3" s="44" t="str">
        <f t="shared" si="1"/>
        <v>Wed</v>
      </c>
      <c r="BA3" s="44" t="str">
        <f t="shared" si="1"/>
        <v>Thu</v>
      </c>
      <c r="BB3" s="44" t="str">
        <f t="shared" si="1"/>
        <v>Fri</v>
      </c>
      <c r="BC3" s="44" t="str">
        <f t="shared" si="1"/>
        <v>Sat</v>
      </c>
      <c r="BD3" s="44" t="str">
        <f t="shared" si="1"/>
        <v>Sun</v>
      </c>
      <c r="BE3" s="44" t="str">
        <f t="shared" si="1"/>
        <v>Mon</v>
      </c>
      <c r="BF3" s="44" t="str">
        <f t="shared" si="1"/>
        <v>Tue</v>
      </c>
      <c r="BG3" s="44" t="str">
        <f t="shared" si="1"/>
        <v>Wed</v>
      </c>
      <c r="BH3" s="44" t="str">
        <f t="shared" si="1"/>
        <v>Thu</v>
      </c>
      <c r="BI3" s="44" t="str">
        <f t="shared" si="1"/>
        <v>Fri</v>
      </c>
      <c r="BJ3" s="44" t="str">
        <f t="shared" si="1"/>
        <v>Sat</v>
      </c>
      <c r="BK3" s="44" t="str">
        <f t="shared" si="1"/>
        <v>Sun</v>
      </c>
      <c r="BL3" s="44" t="str">
        <f t="shared" si="1"/>
        <v>Mon</v>
      </c>
      <c r="BM3" s="44" t="str">
        <f t="shared" si="1"/>
        <v>Tue</v>
      </c>
      <c r="BN3" s="44" t="str">
        <f t="shared" si="1"/>
        <v>Wed</v>
      </c>
      <c r="BO3" s="44" t="str">
        <f t="shared" si="1"/>
        <v>Thu</v>
      </c>
      <c r="BP3" s="44" t="str">
        <f t="shared" si="1"/>
        <v>Fri</v>
      </c>
      <c r="BQ3" s="44" t="str">
        <f t="shared" si="1"/>
        <v>Sat</v>
      </c>
      <c r="BR3" s="44" t="str">
        <f t="shared" si="1"/>
        <v>Sun</v>
      </c>
      <c r="BS3" s="44" t="str">
        <f t="shared" si="1"/>
        <v>Mon</v>
      </c>
      <c r="BT3" s="44" t="str">
        <f t="shared" si="1"/>
        <v>Tue</v>
      </c>
      <c r="BU3" s="44" t="str">
        <f t="shared" si="1"/>
        <v>Wed</v>
      </c>
      <c r="BV3" s="44" t="str">
        <f t="shared" si="1"/>
        <v>Thu</v>
      </c>
    </row>
    <row r="4">
      <c r="A4" s="48">
        <v>1.0</v>
      </c>
      <c r="B4" s="25" t="s">
        <v>32</v>
      </c>
      <c r="C4" s="25" t="s">
        <v>36</v>
      </c>
      <c r="D4" s="48">
        <f t="shared" ref="D4:D33" si="2">COUNTIF(H4:BV4,"p") + COUNTIF(H4:BV4,"op")</f>
        <v>38</v>
      </c>
      <c r="E4" s="48">
        <f t="shared" ref="E4:E33" si="3">COUNTIF(H4:BV4,"A") + COUNTIF(H4:BV4,"oA")</f>
        <v>1</v>
      </c>
      <c r="F4" s="50">
        <f t="shared" ref="F4:F33" si="4">E4+D4</f>
        <v>39</v>
      </c>
      <c r="G4" s="54">
        <f t="shared" ref="G4:G33" si="5">(D4/F4)*100</f>
        <v>97.43589744</v>
      </c>
      <c r="H4" s="55" t="s">
        <v>206</v>
      </c>
      <c r="I4" s="55" t="s">
        <v>206</v>
      </c>
      <c r="J4" s="55" t="s">
        <v>206</v>
      </c>
      <c r="K4" s="55" t="s">
        <v>206</v>
      </c>
      <c r="L4" s="55" t="s">
        <v>206</v>
      </c>
      <c r="M4" s="55" t="s">
        <v>206</v>
      </c>
      <c r="N4" s="58" t="s">
        <v>212</v>
      </c>
      <c r="O4" s="55" t="s">
        <v>206</v>
      </c>
      <c r="P4" s="55" t="s">
        <v>206</v>
      </c>
      <c r="Q4" s="55" t="s">
        <v>206</v>
      </c>
      <c r="R4" s="55" t="s">
        <v>206</v>
      </c>
      <c r="S4" s="55" t="s">
        <v>206</v>
      </c>
      <c r="T4" s="55" t="s">
        <v>206</v>
      </c>
      <c r="U4" s="58" t="s">
        <v>212</v>
      </c>
      <c r="V4" s="55" t="s">
        <v>206</v>
      </c>
      <c r="W4" s="55" t="s">
        <v>206</v>
      </c>
      <c r="X4" s="55" t="s">
        <v>225</v>
      </c>
      <c r="Y4" s="55" t="s">
        <v>225</v>
      </c>
      <c r="Z4" s="55" t="s">
        <v>225</v>
      </c>
      <c r="AA4" s="55" t="s">
        <v>206</v>
      </c>
      <c r="AB4" s="58" t="s">
        <v>212</v>
      </c>
      <c r="AC4" s="55" t="s">
        <v>206</v>
      </c>
      <c r="AD4" s="55" t="s">
        <v>206</v>
      </c>
      <c r="AE4" s="55" t="s">
        <v>206</v>
      </c>
      <c r="AF4" s="55" t="s">
        <v>206</v>
      </c>
      <c r="AG4" s="55" t="s">
        <v>206</v>
      </c>
      <c r="AH4" s="55" t="s">
        <v>206</v>
      </c>
      <c r="AI4" s="58" t="s">
        <v>212</v>
      </c>
      <c r="AJ4" s="55" t="s">
        <v>206</v>
      </c>
      <c r="AK4" s="55" t="s">
        <v>206</v>
      </c>
      <c r="AL4" s="55" t="s">
        <v>206</v>
      </c>
      <c r="AM4" s="55" t="s">
        <v>206</v>
      </c>
      <c r="AN4" s="55" t="s">
        <v>206</v>
      </c>
      <c r="AO4" s="55" t="s">
        <v>41</v>
      </c>
      <c r="AP4" s="58" t="s">
        <v>212</v>
      </c>
      <c r="AQ4" s="55" t="s">
        <v>206</v>
      </c>
      <c r="AR4" s="55" t="s">
        <v>206</v>
      </c>
      <c r="AS4" s="55" t="s">
        <v>206</v>
      </c>
      <c r="AT4" s="55" t="s">
        <v>206</v>
      </c>
      <c r="AU4" s="55" t="s">
        <v>206</v>
      </c>
      <c r="AV4" s="55" t="s">
        <v>206</v>
      </c>
      <c r="AW4" s="58" t="s">
        <v>212</v>
      </c>
      <c r="AX4" s="55" t="s">
        <v>206</v>
      </c>
      <c r="AY4" s="55" t="s">
        <v>206</v>
      </c>
      <c r="AZ4" s="61"/>
      <c r="BA4" s="55" t="s">
        <v>206</v>
      </c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</row>
    <row r="5">
      <c r="A5" s="48">
        <v>2.0</v>
      </c>
      <c r="B5" s="25" t="s">
        <v>62</v>
      </c>
      <c r="C5" s="25" t="s">
        <v>250</v>
      </c>
      <c r="D5" s="48">
        <f t="shared" si="2"/>
        <v>36</v>
      </c>
      <c r="E5" s="48">
        <f t="shared" si="3"/>
        <v>3</v>
      </c>
      <c r="F5" s="50">
        <f t="shared" si="4"/>
        <v>39</v>
      </c>
      <c r="G5" s="54">
        <f t="shared" si="5"/>
        <v>92.30769231</v>
      </c>
      <c r="H5" s="55" t="s">
        <v>41</v>
      </c>
      <c r="I5" s="55" t="s">
        <v>206</v>
      </c>
      <c r="J5" s="55" t="s">
        <v>206</v>
      </c>
      <c r="K5" s="55" t="s">
        <v>41</v>
      </c>
      <c r="L5" s="55" t="s">
        <v>206</v>
      </c>
      <c r="M5" s="55" t="s">
        <v>206</v>
      </c>
      <c r="N5" s="29"/>
      <c r="O5" s="55" t="s">
        <v>206</v>
      </c>
      <c r="P5" s="55" t="s">
        <v>206</v>
      </c>
      <c r="Q5" s="55" t="s">
        <v>206</v>
      </c>
      <c r="R5" s="55" t="s">
        <v>206</v>
      </c>
      <c r="S5" s="55" t="s">
        <v>206</v>
      </c>
      <c r="T5" s="55" t="s">
        <v>206</v>
      </c>
      <c r="U5" s="29"/>
      <c r="V5" s="55" t="s">
        <v>206</v>
      </c>
      <c r="W5" s="55" t="s">
        <v>206</v>
      </c>
      <c r="X5" s="55" t="s">
        <v>225</v>
      </c>
      <c r="Y5" s="55" t="s">
        <v>225</v>
      </c>
      <c r="Z5" s="55" t="s">
        <v>225</v>
      </c>
      <c r="AA5" s="55" t="s">
        <v>206</v>
      </c>
      <c r="AB5" s="29"/>
      <c r="AC5" s="55" t="s">
        <v>206</v>
      </c>
      <c r="AD5" s="55" t="s">
        <v>206</v>
      </c>
      <c r="AE5" s="55" t="s">
        <v>206</v>
      </c>
      <c r="AF5" s="55" t="s">
        <v>206</v>
      </c>
      <c r="AG5" s="55" t="s">
        <v>206</v>
      </c>
      <c r="AH5" s="55" t="s">
        <v>206</v>
      </c>
      <c r="AI5" s="29"/>
      <c r="AJ5" s="55" t="s">
        <v>206</v>
      </c>
      <c r="AK5" s="55" t="s">
        <v>206</v>
      </c>
      <c r="AL5" s="55" t="s">
        <v>206</v>
      </c>
      <c r="AM5" s="55" t="s">
        <v>206</v>
      </c>
      <c r="AN5" s="55" t="s">
        <v>206</v>
      </c>
      <c r="AO5" s="55" t="s">
        <v>206</v>
      </c>
      <c r="AP5" s="29"/>
      <c r="AQ5" s="55" t="s">
        <v>206</v>
      </c>
      <c r="AR5" s="55" t="s">
        <v>41</v>
      </c>
      <c r="AS5" s="55" t="s">
        <v>206</v>
      </c>
      <c r="AT5" s="55" t="s">
        <v>206</v>
      </c>
      <c r="AU5" s="55" t="s">
        <v>206</v>
      </c>
      <c r="AV5" s="55" t="s">
        <v>206</v>
      </c>
      <c r="AW5" s="29"/>
      <c r="AX5" s="55" t="s">
        <v>206</v>
      </c>
      <c r="AY5" s="55" t="s">
        <v>206</v>
      </c>
      <c r="AZ5" s="61"/>
      <c r="BA5" s="55" t="s">
        <v>206</v>
      </c>
      <c r="BB5" s="61"/>
      <c r="BC5" s="61"/>
      <c r="BD5" s="61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</row>
    <row r="6">
      <c r="A6" s="48">
        <v>3.0</v>
      </c>
      <c r="B6" s="25" t="s">
        <v>74</v>
      </c>
      <c r="C6" s="25" t="s">
        <v>75</v>
      </c>
      <c r="D6" s="48">
        <f t="shared" si="2"/>
        <v>26</v>
      </c>
      <c r="E6" s="48">
        <f t="shared" si="3"/>
        <v>13</v>
      </c>
      <c r="F6" s="50">
        <f t="shared" si="4"/>
        <v>39</v>
      </c>
      <c r="G6" s="54">
        <f t="shared" si="5"/>
        <v>66.66666667</v>
      </c>
      <c r="H6" s="55" t="s">
        <v>41</v>
      </c>
      <c r="I6" s="55" t="s">
        <v>206</v>
      </c>
      <c r="J6" s="55" t="s">
        <v>206</v>
      </c>
      <c r="K6" s="55" t="s">
        <v>206</v>
      </c>
      <c r="L6" s="55" t="s">
        <v>206</v>
      </c>
      <c r="M6" s="55" t="s">
        <v>206</v>
      </c>
      <c r="N6" s="29"/>
      <c r="O6" s="55" t="s">
        <v>206</v>
      </c>
      <c r="P6" s="55" t="s">
        <v>206</v>
      </c>
      <c r="Q6" s="55" t="s">
        <v>206</v>
      </c>
      <c r="R6" s="55" t="s">
        <v>206</v>
      </c>
      <c r="S6" s="55" t="s">
        <v>206</v>
      </c>
      <c r="T6" s="55" t="s">
        <v>206</v>
      </c>
      <c r="U6" s="29"/>
      <c r="V6" s="55" t="s">
        <v>206</v>
      </c>
      <c r="W6" s="55" t="s">
        <v>206</v>
      </c>
      <c r="X6" s="55" t="s">
        <v>225</v>
      </c>
      <c r="Y6" s="55" t="s">
        <v>225</v>
      </c>
      <c r="Z6" s="55" t="s">
        <v>225</v>
      </c>
      <c r="AA6" s="55" t="s">
        <v>206</v>
      </c>
      <c r="AB6" s="29"/>
      <c r="AC6" s="55" t="s">
        <v>41</v>
      </c>
      <c r="AD6" s="55" t="s">
        <v>206</v>
      </c>
      <c r="AE6" s="55" t="s">
        <v>206</v>
      </c>
      <c r="AF6" s="55" t="s">
        <v>206</v>
      </c>
      <c r="AG6" s="55" t="s">
        <v>41</v>
      </c>
      <c r="AH6" s="55" t="s">
        <v>206</v>
      </c>
      <c r="AI6" s="29"/>
      <c r="AJ6" s="55" t="s">
        <v>206</v>
      </c>
      <c r="AK6" s="55" t="s">
        <v>206</v>
      </c>
      <c r="AL6" s="55" t="s">
        <v>41</v>
      </c>
      <c r="AM6" s="55" t="s">
        <v>206</v>
      </c>
      <c r="AN6" s="55" t="s">
        <v>41</v>
      </c>
      <c r="AO6" s="55" t="s">
        <v>206</v>
      </c>
      <c r="AP6" s="29"/>
      <c r="AQ6" s="55" t="s">
        <v>41</v>
      </c>
      <c r="AR6" s="55" t="s">
        <v>41</v>
      </c>
      <c r="AS6" s="55" t="s">
        <v>41</v>
      </c>
      <c r="AT6" s="55" t="s">
        <v>41</v>
      </c>
      <c r="AU6" s="55" t="s">
        <v>41</v>
      </c>
      <c r="AV6" s="55" t="s">
        <v>41</v>
      </c>
      <c r="AW6" s="29"/>
      <c r="AX6" s="55" t="s">
        <v>41</v>
      </c>
      <c r="AY6" s="55" t="s">
        <v>41</v>
      </c>
      <c r="AZ6" s="61"/>
      <c r="BA6" s="55" t="s">
        <v>206</v>
      </c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</row>
    <row r="7">
      <c r="A7" s="48">
        <v>4.0</v>
      </c>
      <c r="B7" s="25" t="s">
        <v>85</v>
      </c>
      <c r="C7" s="25" t="s">
        <v>86</v>
      </c>
      <c r="D7" s="48">
        <f t="shared" si="2"/>
        <v>22</v>
      </c>
      <c r="E7" s="48">
        <f t="shared" si="3"/>
        <v>17</v>
      </c>
      <c r="F7" s="50">
        <f t="shared" si="4"/>
        <v>39</v>
      </c>
      <c r="G7" s="54">
        <f t="shared" si="5"/>
        <v>56.41025641</v>
      </c>
      <c r="H7" s="55" t="s">
        <v>41</v>
      </c>
      <c r="I7" s="55" t="s">
        <v>206</v>
      </c>
      <c r="J7" s="55" t="s">
        <v>41</v>
      </c>
      <c r="K7" s="55" t="s">
        <v>206</v>
      </c>
      <c r="L7" s="55" t="s">
        <v>206</v>
      </c>
      <c r="M7" s="55" t="s">
        <v>206</v>
      </c>
      <c r="N7" s="29"/>
      <c r="O7" s="55" t="s">
        <v>206</v>
      </c>
      <c r="P7" s="55" t="s">
        <v>206</v>
      </c>
      <c r="Q7" s="55" t="s">
        <v>206</v>
      </c>
      <c r="R7" s="55" t="s">
        <v>206</v>
      </c>
      <c r="S7" s="55" t="s">
        <v>206</v>
      </c>
      <c r="T7" s="55" t="s">
        <v>206</v>
      </c>
      <c r="U7" s="29"/>
      <c r="V7" s="55" t="s">
        <v>206</v>
      </c>
      <c r="W7" s="55" t="s">
        <v>206</v>
      </c>
      <c r="X7" s="55" t="s">
        <v>225</v>
      </c>
      <c r="Y7" s="55" t="s">
        <v>225</v>
      </c>
      <c r="Z7" s="55" t="s">
        <v>225</v>
      </c>
      <c r="AA7" s="55" t="s">
        <v>206</v>
      </c>
      <c r="AB7" s="29"/>
      <c r="AC7" s="55" t="s">
        <v>206</v>
      </c>
      <c r="AD7" s="55" t="s">
        <v>206</v>
      </c>
      <c r="AE7" s="55" t="s">
        <v>41</v>
      </c>
      <c r="AF7" s="55" t="s">
        <v>206</v>
      </c>
      <c r="AG7" s="55" t="s">
        <v>41</v>
      </c>
      <c r="AH7" s="55" t="s">
        <v>41</v>
      </c>
      <c r="AI7" s="29"/>
      <c r="AJ7" s="55" t="s">
        <v>41</v>
      </c>
      <c r="AK7" s="55" t="s">
        <v>41</v>
      </c>
      <c r="AL7" s="55" t="s">
        <v>206</v>
      </c>
      <c r="AM7" s="55" t="s">
        <v>41</v>
      </c>
      <c r="AN7" s="55" t="s">
        <v>206</v>
      </c>
      <c r="AO7" s="55" t="s">
        <v>206</v>
      </c>
      <c r="AP7" s="29"/>
      <c r="AQ7" s="55" t="s">
        <v>41</v>
      </c>
      <c r="AR7" s="55" t="s">
        <v>41</v>
      </c>
      <c r="AS7" s="55" t="s">
        <v>41</v>
      </c>
      <c r="AT7" s="55" t="s">
        <v>41</v>
      </c>
      <c r="AU7" s="55" t="s">
        <v>41</v>
      </c>
      <c r="AV7" s="55" t="s">
        <v>41</v>
      </c>
      <c r="AW7" s="29"/>
      <c r="AX7" s="55" t="s">
        <v>41</v>
      </c>
      <c r="AY7" s="55" t="s">
        <v>41</v>
      </c>
      <c r="AZ7" s="61"/>
      <c r="BA7" s="55" t="s">
        <v>41</v>
      </c>
      <c r="BB7" s="61"/>
      <c r="BC7" s="61"/>
      <c r="BD7" s="61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1"/>
      <c r="BV7" s="61"/>
    </row>
    <row r="8">
      <c r="A8" s="48">
        <v>5.0</v>
      </c>
      <c r="B8" s="25" t="s">
        <v>92</v>
      </c>
      <c r="C8" s="25" t="s">
        <v>93</v>
      </c>
      <c r="D8" s="48">
        <f t="shared" si="2"/>
        <v>36</v>
      </c>
      <c r="E8" s="48">
        <f t="shared" si="3"/>
        <v>3</v>
      </c>
      <c r="F8" s="50">
        <f t="shared" si="4"/>
        <v>39</v>
      </c>
      <c r="G8" s="54">
        <f t="shared" si="5"/>
        <v>92.30769231</v>
      </c>
      <c r="H8" s="55" t="s">
        <v>206</v>
      </c>
      <c r="I8" s="55" t="s">
        <v>41</v>
      </c>
      <c r="J8" s="55" t="s">
        <v>206</v>
      </c>
      <c r="K8" s="55" t="s">
        <v>206</v>
      </c>
      <c r="L8" s="55" t="s">
        <v>206</v>
      </c>
      <c r="M8" s="55" t="s">
        <v>206</v>
      </c>
      <c r="N8" s="29"/>
      <c r="O8" s="55" t="s">
        <v>206</v>
      </c>
      <c r="P8" s="55" t="s">
        <v>206</v>
      </c>
      <c r="Q8" s="55" t="s">
        <v>206</v>
      </c>
      <c r="R8" s="55" t="s">
        <v>206</v>
      </c>
      <c r="S8" s="55" t="s">
        <v>206</v>
      </c>
      <c r="T8" s="55" t="s">
        <v>206</v>
      </c>
      <c r="U8" s="29"/>
      <c r="V8" s="55" t="s">
        <v>206</v>
      </c>
      <c r="W8" s="55" t="s">
        <v>206</v>
      </c>
      <c r="X8" s="55" t="s">
        <v>225</v>
      </c>
      <c r="Y8" s="55" t="s">
        <v>225</v>
      </c>
      <c r="Z8" s="55" t="s">
        <v>225</v>
      </c>
      <c r="AA8" s="55" t="s">
        <v>206</v>
      </c>
      <c r="AB8" s="29"/>
      <c r="AC8" s="55" t="s">
        <v>206</v>
      </c>
      <c r="AD8" s="55" t="s">
        <v>41</v>
      </c>
      <c r="AE8" s="55" t="s">
        <v>206</v>
      </c>
      <c r="AF8" s="55" t="s">
        <v>206</v>
      </c>
      <c r="AG8" s="55" t="s">
        <v>206</v>
      </c>
      <c r="AH8" s="55" t="s">
        <v>206</v>
      </c>
      <c r="AI8" s="29"/>
      <c r="AJ8" s="55" t="s">
        <v>206</v>
      </c>
      <c r="AK8" s="55" t="s">
        <v>206</v>
      </c>
      <c r="AL8" s="55" t="s">
        <v>206</v>
      </c>
      <c r="AM8" s="55" t="s">
        <v>206</v>
      </c>
      <c r="AN8" s="55" t="s">
        <v>206</v>
      </c>
      <c r="AO8" s="55" t="s">
        <v>206</v>
      </c>
      <c r="AP8" s="29"/>
      <c r="AQ8" s="55" t="s">
        <v>206</v>
      </c>
      <c r="AR8" s="55" t="s">
        <v>206</v>
      </c>
      <c r="AS8" s="55" t="s">
        <v>206</v>
      </c>
      <c r="AT8" s="55" t="s">
        <v>206</v>
      </c>
      <c r="AU8" s="55" t="s">
        <v>206</v>
      </c>
      <c r="AV8" s="55" t="s">
        <v>41</v>
      </c>
      <c r="AW8" s="29"/>
      <c r="AX8" s="55" t="s">
        <v>206</v>
      </c>
      <c r="AY8" s="55" t="s">
        <v>206</v>
      </c>
      <c r="AZ8" s="61"/>
      <c r="BA8" s="55" t="s">
        <v>206</v>
      </c>
      <c r="BB8" s="61"/>
      <c r="BC8" s="61"/>
      <c r="BD8" s="61"/>
      <c r="BE8" s="61"/>
      <c r="BF8" s="61"/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  <c r="BV8" s="61"/>
    </row>
    <row r="9">
      <c r="A9" s="48">
        <v>6.0</v>
      </c>
      <c r="B9" s="25" t="s">
        <v>101</v>
      </c>
      <c r="C9" s="25" t="s">
        <v>102</v>
      </c>
      <c r="D9" s="48">
        <f t="shared" si="2"/>
        <v>36</v>
      </c>
      <c r="E9" s="48">
        <f t="shared" si="3"/>
        <v>3</v>
      </c>
      <c r="F9" s="50">
        <f t="shared" si="4"/>
        <v>39</v>
      </c>
      <c r="G9" s="54">
        <f t="shared" si="5"/>
        <v>92.30769231</v>
      </c>
      <c r="H9" s="55" t="s">
        <v>206</v>
      </c>
      <c r="I9" s="55" t="s">
        <v>206</v>
      </c>
      <c r="J9" s="55" t="s">
        <v>206</v>
      </c>
      <c r="K9" s="55" t="s">
        <v>206</v>
      </c>
      <c r="L9" s="55" t="s">
        <v>206</v>
      </c>
      <c r="M9" s="55" t="s">
        <v>206</v>
      </c>
      <c r="N9" s="29"/>
      <c r="O9" s="55" t="s">
        <v>206</v>
      </c>
      <c r="P9" s="55" t="s">
        <v>206</v>
      </c>
      <c r="Q9" s="55" t="s">
        <v>206</v>
      </c>
      <c r="R9" s="55" t="s">
        <v>206</v>
      </c>
      <c r="S9" s="55" t="s">
        <v>206</v>
      </c>
      <c r="T9" s="55" t="s">
        <v>206</v>
      </c>
      <c r="U9" s="29"/>
      <c r="V9" s="55" t="s">
        <v>206</v>
      </c>
      <c r="W9" s="55" t="s">
        <v>206</v>
      </c>
      <c r="X9" s="55" t="s">
        <v>225</v>
      </c>
      <c r="Y9" s="55" t="s">
        <v>225</v>
      </c>
      <c r="Z9" s="55" t="s">
        <v>225</v>
      </c>
      <c r="AA9" s="55" t="s">
        <v>41</v>
      </c>
      <c r="AB9" s="29"/>
      <c r="AC9" s="55" t="s">
        <v>206</v>
      </c>
      <c r="AD9" s="55" t="s">
        <v>206</v>
      </c>
      <c r="AE9" s="55" t="s">
        <v>206</v>
      </c>
      <c r="AF9" s="55" t="s">
        <v>206</v>
      </c>
      <c r="AG9" s="55" t="s">
        <v>41</v>
      </c>
      <c r="AH9" s="55" t="s">
        <v>206</v>
      </c>
      <c r="AI9" s="29"/>
      <c r="AJ9" s="55" t="s">
        <v>206</v>
      </c>
      <c r="AK9" s="55" t="s">
        <v>41</v>
      </c>
      <c r="AL9" s="55" t="s">
        <v>206</v>
      </c>
      <c r="AM9" s="55" t="s">
        <v>206</v>
      </c>
      <c r="AN9" s="55" t="s">
        <v>206</v>
      </c>
      <c r="AO9" s="55" t="s">
        <v>206</v>
      </c>
      <c r="AP9" s="29"/>
      <c r="AQ9" s="55" t="s">
        <v>206</v>
      </c>
      <c r="AR9" s="55" t="s">
        <v>206</v>
      </c>
      <c r="AS9" s="55" t="s">
        <v>206</v>
      </c>
      <c r="AT9" s="55" t="s">
        <v>206</v>
      </c>
      <c r="AU9" s="55" t="s">
        <v>206</v>
      </c>
      <c r="AV9" s="55" t="s">
        <v>206</v>
      </c>
      <c r="AW9" s="29"/>
      <c r="AX9" s="55" t="s">
        <v>206</v>
      </c>
      <c r="AY9" s="55" t="s">
        <v>206</v>
      </c>
      <c r="AZ9" s="61"/>
      <c r="BA9" s="55" t="s">
        <v>206</v>
      </c>
      <c r="BB9" s="61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</row>
    <row r="10">
      <c r="A10" s="48">
        <v>7.0</v>
      </c>
      <c r="B10" s="25" t="s">
        <v>107</v>
      </c>
      <c r="C10" s="25" t="s">
        <v>108</v>
      </c>
      <c r="D10" s="48">
        <f t="shared" si="2"/>
        <v>35</v>
      </c>
      <c r="E10" s="48">
        <f t="shared" si="3"/>
        <v>4</v>
      </c>
      <c r="F10" s="50">
        <f t="shared" si="4"/>
        <v>39</v>
      </c>
      <c r="G10" s="54">
        <f t="shared" si="5"/>
        <v>89.74358974</v>
      </c>
      <c r="H10" s="55" t="s">
        <v>206</v>
      </c>
      <c r="I10" s="55" t="s">
        <v>206</v>
      </c>
      <c r="J10" s="55" t="s">
        <v>206</v>
      </c>
      <c r="K10" s="55" t="s">
        <v>206</v>
      </c>
      <c r="L10" s="55" t="s">
        <v>206</v>
      </c>
      <c r="M10" s="55" t="s">
        <v>206</v>
      </c>
      <c r="N10" s="29"/>
      <c r="O10" s="55" t="s">
        <v>206</v>
      </c>
      <c r="P10" s="55" t="s">
        <v>206</v>
      </c>
      <c r="Q10" s="55" t="s">
        <v>206</v>
      </c>
      <c r="R10" s="55" t="s">
        <v>206</v>
      </c>
      <c r="S10" s="55" t="s">
        <v>206</v>
      </c>
      <c r="T10" s="55" t="s">
        <v>206</v>
      </c>
      <c r="U10" s="29"/>
      <c r="V10" s="55" t="s">
        <v>206</v>
      </c>
      <c r="W10" s="55" t="s">
        <v>206</v>
      </c>
      <c r="X10" s="55" t="s">
        <v>225</v>
      </c>
      <c r="Y10" s="55" t="s">
        <v>225</v>
      </c>
      <c r="Z10" s="55" t="s">
        <v>225</v>
      </c>
      <c r="AA10" s="55" t="s">
        <v>206</v>
      </c>
      <c r="AB10" s="29"/>
      <c r="AC10" s="55" t="s">
        <v>41</v>
      </c>
      <c r="AD10" s="55" t="s">
        <v>41</v>
      </c>
      <c r="AE10" s="55" t="s">
        <v>206</v>
      </c>
      <c r="AF10" s="55" t="s">
        <v>206</v>
      </c>
      <c r="AG10" s="55" t="s">
        <v>206</v>
      </c>
      <c r="AH10" s="55" t="s">
        <v>206</v>
      </c>
      <c r="AI10" s="29"/>
      <c r="AJ10" s="55" t="s">
        <v>206</v>
      </c>
      <c r="AK10" s="55" t="s">
        <v>206</v>
      </c>
      <c r="AL10" s="55" t="s">
        <v>206</v>
      </c>
      <c r="AM10" s="55" t="s">
        <v>206</v>
      </c>
      <c r="AN10" s="55" t="s">
        <v>41</v>
      </c>
      <c r="AO10" s="55" t="s">
        <v>206</v>
      </c>
      <c r="AP10" s="29"/>
      <c r="AQ10" s="55" t="s">
        <v>206</v>
      </c>
      <c r="AR10" s="55" t="s">
        <v>206</v>
      </c>
      <c r="AS10" s="55" t="s">
        <v>206</v>
      </c>
      <c r="AT10" s="55" t="s">
        <v>206</v>
      </c>
      <c r="AU10" s="55" t="s">
        <v>41</v>
      </c>
      <c r="AV10" s="55" t="s">
        <v>206</v>
      </c>
      <c r="AW10" s="29"/>
      <c r="AX10" s="55" t="s">
        <v>206</v>
      </c>
      <c r="AY10" s="55" t="s">
        <v>206</v>
      </c>
      <c r="AZ10" s="61"/>
      <c r="BA10" s="55" t="s">
        <v>206</v>
      </c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</row>
    <row r="11">
      <c r="A11" s="48">
        <v>8.0</v>
      </c>
      <c r="B11" s="25" t="s">
        <v>118</v>
      </c>
      <c r="C11" s="25" t="s">
        <v>120</v>
      </c>
      <c r="D11" s="48">
        <f t="shared" si="2"/>
        <v>17</v>
      </c>
      <c r="E11" s="48">
        <f t="shared" si="3"/>
        <v>22</v>
      </c>
      <c r="F11" s="50">
        <f t="shared" si="4"/>
        <v>39</v>
      </c>
      <c r="G11" s="54">
        <f t="shared" si="5"/>
        <v>43.58974359</v>
      </c>
      <c r="H11" s="55" t="s">
        <v>41</v>
      </c>
      <c r="I11" s="55" t="s">
        <v>206</v>
      </c>
      <c r="J11" s="55" t="s">
        <v>41</v>
      </c>
      <c r="K11" s="55" t="s">
        <v>206</v>
      </c>
      <c r="L11" s="55" t="s">
        <v>206</v>
      </c>
      <c r="M11" s="55" t="s">
        <v>41</v>
      </c>
      <c r="N11" s="29"/>
      <c r="O11" s="55" t="s">
        <v>206</v>
      </c>
      <c r="P11" s="55" t="s">
        <v>206</v>
      </c>
      <c r="Q11" s="55" t="s">
        <v>206</v>
      </c>
      <c r="R11" s="55" t="s">
        <v>206</v>
      </c>
      <c r="S11" s="55" t="s">
        <v>41</v>
      </c>
      <c r="T11" s="55" t="s">
        <v>206</v>
      </c>
      <c r="U11" s="29"/>
      <c r="V11" s="55" t="s">
        <v>41</v>
      </c>
      <c r="W11" s="55" t="s">
        <v>206</v>
      </c>
      <c r="X11" s="55" t="s">
        <v>41</v>
      </c>
      <c r="Y11" s="55" t="s">
        <v>41</v>
      </c>
      <c r="Z11" s="55" t="s">
        <v>393</v>
      </c>
      <c r="AA11" s="55" t="s">
        <v>41</v>
      </c>
      <c r="AB11" s="29"/>
      <c r="AC11" s="55" t="s">
        <v>41</v>
      </c>
      <c r="AD11" s="55" t="s">
        <v>41</v>
      </c>
      <c r="AE11" s="55" t="s">
        <v>41</v>
      </c>
      <c r="AF11" s="55" t="s">
        <v>41</v>
      </c>
      <c r="AG11" s="55" t="s">
        <v>41</v>
      </c>
      <c r="AH11" s="55" t="s">
        <v>41</v>
      </c>
      <c r="AI11" s="29"/>
      <c r="AJ11" s="55" t="s">
        <v>206</v>
      </c>
      <c r="AK11" s="55" t="s">
        <v>41</v>
      </c>
      <c r="AL11" s="55" t="s">
        <v>206</v>
      </c>
      <c r="AM11" s="55" t="s">
        <v>206</v>
      </c>
      <c r="AN11" s="55" t="s">
        <v>206</v>
      </c>
      <c r="AO11" s="55" t="s">
        <v>206</v>
      </c>
      <c r="AP11" s="29"/>
      <c r="AQ11" s="55" t="s">
        <v>206</v>
      </c>
      <c r="AR11" s="55" t="s">
        <v>41</v>
      </c>
      <c r="AS11" s="55" t="s">
        <v>206</v>
      </c>
      <c r="AT11" s="55" t="s">
        <v>41</v>
      </c>
      <c r="AU11" s="55" t="s">
        <v>41</v>
      </c>
      <c r="AV11" s="55" t="s">
        <v>206</v>
      </c>
      <c r="AW11" s="29"/>
      <c r="AX11" s="55" t="s">
        <v>41</v>
      </c>
      <c r="AY11" s="55" t="s">
        <v>41</v>
      </c>
      <c r="AZ11" s="61"/>
      <c r="BA11" s="55" t="s">
        <v>41</v>
      </c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1"/>
      <c r="BV11" s="61"/>
    </row>
    <row r="12">
      <c r="A12" s="48">
        <v>9.0</v>
      </c>
      <c r="B12" s="25" t="s">
        <v>131</v>
      </c>
      <c r="C12" s="25" t="s">
        <v>132</v>
      </c>
      <c r="D12" s="48">
        <f t="shared" si="2"/>
        <v>36</v>
      </c>
      <c r="E12" s="48">
        <f t="shared" si="3"/>
        <v>3</v>
      </c>
      <c r="F12" s="50">
        <f t="shared" si="4"/>
        <v>39</v>
      </c>
      <c r="G12" s="54">
        <f t="shared" si="5"/>
        <v>92.30769231</v>
      </c>
      <c r="H12" s="55" t="s">
        <v>206</v>
      </c>
      <c r="I12" s="55" t="s">
        <v>206</v>
      </c>
      <c r="J12" s="55" t="s">
        <v>206</v>
      </c>
      <c r="K12" s="55" t="s">
        <v>206</v>
      </c>
      <c r="L12" s="55" t="s">
        <v>206</v>
      </c>
      <c r="M12" s="55" t="s">
        <v>206</v>
      </c>
      <c r="N12" s="29"/>
      <c r="O12" s="55" t="s">
        <v>206</v>
      </c>
      <c r="P12" s="55" t="s">
        <v>206</v>
      </c>
      <c r="Q12" s="55" t="s">
        <v>206</v>
      </c>
      <c r="R12" s="55" t="s">
        <v>206</v>
      </c>
      <c r="S12" s="55" t="s">
        <v>206</v>
      </c>
      <c r="T12" s="55" t="s">
        <v>206</v>
      </c>
      <c r="U12" s="29"/>
      <c r="V12" s="55" t="s">
        <v>206</v>
      </c>
      <c r="W12" s="55" t="s">
        <v>206</v>
      </c>
      <c r="X12" s="55" t="s">
        <v>225</v>
      </c>
      <c r="Y12" s="55" t="s">
        <v>225</v>
      </c>
      <c r="Z12" s="55" t="s">
        <v>225</v>
      </c>
      <c r="AA12" s="55" t="s">
        <v>206</v>
      </c>
      <c r="AB12" s="29"/>
      <c r="AC12" s="55" t="s">
        <v>206</v>
      </c>
      <c r="AD12" s="55" t="s">
        <v>206</v>
      </c>
      <c r="AE12" s="55" t="s">
        <v>206</v>
      </c>
      <c r="AF12" s="55" t="s">
        <v>206</v>
      </c>
      <c r="AG12" s="55" t="s">
        <v>206</v>
      </c>
      <c r="AH12" s="55" t="s">
        <v>206</v>
      </c>
      <c r="AI12" s="29"/>
      <c r="AJ12" s="55" t="s">
        <v>206</v>
      </c>
      <c r="AK12" s="55" t="s">
        <v>41</v>
      </c>
      <c r="AL12" s="55" t="s">
        <v>206</v>
      </c>
      <c r="AM12" s="55" t="s">
        <v>206</v>
      </c>
      <c r="AN12" s="55" t="s">
        <v>206</v>
      </c>
      <c r="AO12" s="55" t="s">
        <v>206</v>
      </c>
      <c r="AP12" s="29"/>
      <c r="AQ12" s="55" t="s">
        <v>41</v>
      </c>
      <c r="AR12" s="55" t="s">
        <v>206</v>
      </c>
      <c r="AS12" s="55" t="s">
        <v>206</v>
      </c>
      <c r="AT12" s="55" t="s">
        <v>206</v>
      </c>
      <c r="AU12" s="55" t="s">
        <v>206</v>
      </c>
      <c r="AV12" s="55" t="s">
        <v>206</v>
      </c>
      <c r="AW12" s="29"/>
      <c r="AX12" s="55" t="s">
        <v>206</v>
      </c>
      <c r="AY12" s="55" t="s">
        <v>206</v>
      </c>
      <c r="AZ12" s="61"/>
      <c r="BA12" s="55" t="s">
        <v>41</v>
      </c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  <c r="BV12" s="61"/>
    </row>
    <row r="13">
      <c r="A13" s="48">
        <v>10.0</v>
      </c>
      <c r="B13" s="25" t="s">
        <v>152</v>
      </c>
      <c r="C13" s="25" t="s">
        <v>154</v>
      </c>
      <c r="D13" s="48">
        <f t="shared" si="2"/>
        <v>26</v>
      </c>
      <c r="E13" s="48">
        <f t="shared" si="3"/>
        <v>13</v>
      </c>
      <c r="F13" s="50">
        <f t="shared" si="4"/>
        <v>39</v>
      </c>
      <c r="G13" s="54">
        <f t="shared" si="5"/>
        <v>66.66666667</v>
      </c>
      <c r="H13" s="55" t="s">
        <v>206</v>
      </c>
      <c r="I13" s="55" t="s">
        <v>41</v>
      </c>
      <c r="J13" s="55" t="s">
        <v>206</v>
      </c>
      <c r="K13" s="55" t="s">
        <v>206</v>
      </c>
      <c r="L13" s="55" t="s">
        <v>206</v>
      </c>
      <c r="M13" s="55" t="s">
        <v>206</v>
      </c>
      <c r="N13" s="29"/>
      <c r="O13" s="55" t="s">
        <v>41</v>
      </c>
      <c r="P13" s="55" t="s">
        <v>41</v>
      </c>
      <c r="Q13" s="55" t="s">
        <v>41</v>
      </c>
      <c r="R13" s="55" t="s">
        <v>206</v>
      </c>
      <c r="S13" s="55" t="s">
        <v>206</v>
      </c>
      <c r="T13" s="55" t="s">
        <v>206</v>
      </c>
      <c r="U13" s="29"/>
      <c r="V13" s="55" t="s">
        <v>41</v>
      </c>
      <c r="W13" s="55" t="s">
        <v>206</v>
      </c>
      <c r="X13" s="55" t="s">
        <v>225</v>
      </c>
      <c r="Y13" s="55" t="s">
        <v>225</v>
      </c>
      <c r="Z13" s="55" t="s">
        <v>225</v>
      </c>
      <c r="AA13" s="55" t="s">
        <v>206</v>
      </c>
      <c r="AB13" s="29"/>
      <c r="AC13" s="55" t="s">
        <v>206</v>
      </c>
      <c r="AD13" s="55" t="s">
        <v>206</v>
      </c>
      <c r="AE13" s="55" t="s">
        <v>206</v>
      </c>
      <c r="AF13" s="55" t="s">
        <v>206</v>
      </c>
      <c r="AG13" s="55" t="s">
        <v>41</v>
      </c>
      <c r="AH13" s="55" t="s">
        <v>41</v>
      </c>
      <c r="AI13" s="29"/>
      <c r="AJ13" s="55" t="s">
        <v>206</v>
      </c>
      <c r="AK13" s="55" t="s">
        <v>206</v>
      </c>
      <c r="AL13" s="55" t="s">
        <v>41</v>
      </c>
      <c r="AM13" s="55" t="s">
        <v>206</v>
      </c>
      <c r="AN13" s="55" t="s">
        <v>206</v>
      </c>
      <c r="AO13" s="55" t="s">
        <v>206</v>
      </c>
      <c r="AP13" s="29"/>
      <c r="AQ13" s="55" t="s">
        <v>206</v>
      </c>
      <c r="AR13" s="55" t="s">
        <v>41</v>
      </c>
      <c r="AS13" s="55" t="s">
        <v>206</v>
      </c>
      <c r="AT13" s="55" t="s">
        <v>41</v>
      </c>
      <c r="AU13" s="55" t="s">
        <v>41</v>
      </c>
      <c r="AV13" s="55" t="s">
        <v>206</v>
      </c>
      <c r="AW13" s="29"/>
      <c r="AX13" s="55" t="s">
        <v>41</v>
      </c>
      <c r="AY13" s="55" t="s">
        <v>206</v>
      </c>
      <c r="AZ13" s="61"/>
      <c r="BA13" s="55" t="s">
        <v>41</v>
      </c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  <c r="BP13" s="61"/>
      <c r="BQ13" s="61"/>
      <c r="BR13" s="61"/>
      <c r="BS13" s="61"/>
      <c r="BT13" s="61"/>
      <c r="BU13" s="61"/>
      <c r="BV13" s="61"/>
    </row>
    <row r="14">
      <c r="A14" s="48">
        <v>11.0</v>
      </c>
      <c r="B14" s="25" t="s">
        <v>171</v>
      </c>
      <c r="C14" s="25" t="s">
        <v>172</v>
      </c>
      <c r="D14" s="48">
        <f t="shared" si="2"/>
        <v>34</v>
      </c>
      <c r="E14" s="48">
        <f t="shared" si="3"/>
        <v>5</v>
      </c>
      <c r="F14" s="50">
        <f t="shared" si="4"/>
        <v>39</v>
      </c>
      <c r="G14" s="54">
        <f t="shared" si="5"/>
        <v>87.17948718</v>
      </c>
      <c r="H14" s="55" t="s">
        <v>206</v>
      </c>
      <c r="I14" s="55" t="s">
        <v>206</v>
      </c>
      <c r="J14" s="55" t="s">
        <v>206</v>
      </c>
      <c r="K14" s="55" t="s">
        <v>206</v>
      </c>
      <c r="L14" s="55" t="s">
        <v>206</v>
      </c>
      <c r="M14" s="55" t="s">
        <v>206</v>
      </c>
      <c r="N14" s="29"/>
      <c r="O14" s="55" t="s">
        <v>206</v>
      </c>
      <c r="P14" s="55" t="s">
        <v>206</v>
      </c>
      <c r="Q14" s="55" t="s">
        <v>206</v>
      </c>
      <c r="R14" s="55" t="s">
        <v>206</v>
      </c>
      <c r="S14" s="55" t="s">
        <v>206</v>
      </c>
      <c r="T14" s="55" t="s">
        <v>206</v>
      </c>
      <c r="U14" s="29"/>
      <c r="V14" s="55" t="s">
        <v>206</v>
      </c>
      <c r="W14" s="55" t="s">
        <v>206</v>
      </c>
      <c r="X14" s="55" t="s">
        <v>225</v>
      </c>
      <c r="Y14" s="55" t="s">
        <v>225</v>
      </c>
      <c r="Z14" s="55" t="s">
        <v>225</v>
      </c>
      <c r="AA14" s="55" t="s">
        <v>206</v>
      </c>
      <c r="AB14" s="29"/>
      <c r="AC14" s="55" t="s">
        <v>206</v>
      </c>
      <c r="AD14" s="55" t="s">
        <v>206</v>
      </c>
      <c r="AE14" s="55" t="s">
        <v>206</v>
      </c>
      <c r="AF14" s="55" t="s">
        <v>206</v>
      </c>
      <c r="AG14" s="55" t="s">
        <v>206</v>
      </c>
      <c r="AH14" s="55" t="s">
        <v>206</v>
      </c>
      <c r="AI14" s="29"/>
      <c r="AJ14" s="55" t="s">
        <v>206</v>
      </c>
      <c r="AK14" s="55" t="s">
        <v>206</v>
      </c>
      <c r="AL14" s="55" t="s">
        <v>206</v>
      </c>
      <c r="AM14" s="55" t="s">
        <v>206</v>
      </c>
      <c r="AN14" s="55" t="s">
        <v>41</v>
      </c>
      <c r="AO14" s="55" t="s">
        <v>206</v>
      </c>
      <c r="AP14" s="29"/>
      <c r="AQ14" s="55" t="s">
        <v>41</v>
      </c>
      <c r="AR14" s="55" t="s">
        <v>206</v>
      </c>
      <c r="AS14" s="55" t="s">
        <v>206</v>
      </c>
      <c r="AT14" s="55" t="s">
        <v>206</v>
      </c>
      <c r="AU14" s="55" t="s">
        <v>206</v>
      </c>
      <c r="AV14" s="55" t="s">
        <v>41</v>
      </c>
      <c r="AW14" s="29"/>
      <c r="AX14" s="55" t="s">
        <v>206</v>
      </c>
      <c r="AY14" s="55" t="s">
        <v>41</v>
      </c>
      <c r="AZ14" s="61"/>
      <c r="BA14" s="55" t="s">
        <v>41</v>
      </c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1"/>
      <c r="BQ14" s="61"/>
      <c r="BR14" s="61"/>
      <c r="BS14" s="61"/>
      <c r="BT14" s="61"/>
      <c r="BU14" s="61"/>
      <c r="BV14" s="61"/>
    </row>
    <row r="15">
      <c r="A15" s="48">
        <v>12.0</v>
      </c>
      <c r="B15" s="25" t="s">
        <v>184</v>
      </c>
      <c r="C15" s="25" t="s">
        <v>186</v>
      </c>
      <c r="D15" s="48">
        <f t="shared" si="2"/>
        <v>20</v>
      </c>
      <c r="E15" s="48">
        <f t="shared" si="3"/>
        <v>19</v>
      </c>
      <c r="F15" s="50">
        <f t="shared" si="4"/>
        <v>39</v>
      </c>
      <c r="G15" s="54">
        <f t="shared" si="5"/>
        <v>51.28205128</v>
      </c>
      <c r="H15" s="55" t="s">
        <v>206</v>
      </c>
      <c r="I15" s="55" t="s">
        <v>206</v>
      </c>
      <c r="J15" s="55" t="s">
        <v>206</v>
      </c>
      <c r="K15" s="55" t="s">
        <v>206</v>
      </c>
      <c r="L15" s="55" t="s">
        <v>206</v>
      </c>
      <c r="M15" s="55" t="s">
        <v>206</v>
      </c>
      <c r="N15" s="29"/>
      <c r="O15" s="55" t="s">
        <v>206</v>
      </c>
      <c r="P15" s="55" t="s">
        <v>206</v>
      </c>
      <c r="Q15" s="55" t="s">
        <v>206</v>
      </c>
      <c r="R15" s="55" t="s">
        <v>41</v>
      </c>
      <c r="S15" s="55" t="s">
        <v>206</v>
      </c>
      <c r="T15" s="55" t="s">
        <v>206</v>
      </c>
      <c r="U15" s="29"/>
      <c r="V15" s="55" t="s">
        <v>41</v>
      </c>
      <c r="W15" s="55" t="s">
        <v>206</v>
      </c>
      <c r="X15" s="55" t="s">
        <v>225</v>
      </c>
      <c r="Y15" s="55" t="s">
        <v>206</v>
      </c>
      <c r="Z15" s="55" t="s">
        <v>393</v>
      </c>
      <c r="AA15" s="55" t="s">
        <v>206</v>
      </c>
      <c r="AB15" s="29"/>
      <c r="AC15" s="55" t="s">
        <v>41</v>
      </c>
      <c r="AD15" s="55" t="s">
        <v>41</v>
      </c>
      <c r="AE15" s="55" t="s">
        <v>41</v>
      </c>
      <c r="AF15" s="55" t="s">
        <v>41</v>
      </c>
      <c r="AG15" s="55" t="s">
        <v>206</v>
      </c>
      <c r="AH15" s="55" t="s">
        <v>41</v>
      </c>
      <c r="AI15" s="29"/>
      <c r="AJ15" s="55" t="s">
        <v>206</v>
      </c>
      <c r="AK15" s="55" t="s">
        <v>206</v>
      </c>
      <c r="AL15" s="55" t="s">
        <v>41</v>
      </c>
      <c r="AM15" s="55" t="s">
        <v>206</v>
      </c>
      <c r="AN15" s="55" t="s">
        <v>41</v>
      </c>
      <c r="AO15" s="55" t="s">
        <v>206</v>
      </c>
      <c r="AP15" s="29"/>
      <c r="AQ15" s="55" t="s">
        <v>41</v>
      </c>
      <c r="AR15" s="55" t="s">
        <v>41</v>
      </c>
      <c r="AS15" s="55" t="s">
        <v>41</v>
      </c>
      <c r="AT15" s="55" t="s">
        <v>41</v>
      </c>
      <c r="AU15" s="55" t="s">
        <v>41</v>
      </c>
      <c r="AV15" s="55" t="s">
        <v>41</v>
      </c>
      <c r="AW15" s="29"/>
      <c r="AX15" s="55" t="s">
        <v>41</v>
      </c>
      <c r="AY15" s="55" t="s">
        <v>41</v>
      </c>
      <c r="AZ15" s="61"/>
      <c r="BA15" s="55" t="s">
        <v>41</v>
      </c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  <c r="BO15" s="61"/>
      <c r="BP15" s="61"/>
      <c r="BQ15" s="61"/>
      <c r="BR15" s="61"/>
      <c r="BS15" s="61"/>
      <c r="BT15" s="61"/>
      <c r="BU15" s="61"/>
      <c r="BV15" s="61"/>
    </row>
    <row r="16">
      <c r="A16" s="48">
        <v>13.0</v>
      </c>
      <c r="B16" s="25" t="s">
        <v>195</v>
      </c>
      <c r="C16" s="25" t="s">
        <v>197</v>
      </c>
      <c r="D16" s="48">
        <f t="shared" si="2"/>
        <v>26</v>
      </c>
      <c r="E16" s="48">
        <f t="shared" si="3"/>
        <v>13</v>
      </c>
      <c r="F16" s="50">
        <f t="shared" si="4"/>
        <v>39</v>
      </c>
      <c r="G16" s="54">
        <f t="shared" si="5"/>
        <v>66.66666667</v>
      </c>
      <c r="H16" s="55" t="s">
        <v>41</v>
      </c>
      <c r="I16" s="55" t="s">
        <v>206</v>
      </c>
      <c r="J16" s="55" t="s">
        <v>206</v>
      </c>
      <c r="K16" s="55" t="s">
        <v>206</v>
      </c>
      <c r="L16" s="55" t="s">
        <v>206</v>
      </c>
      <c r="M16" s="55" t="s">
        <v>206</v>
      </c>
      <c r="N16" s="29"/>
      <c r="O16" s="55" t="s">
        <v>41</v>
      </c>
      <c r="P16" s="55" t="s">
        <v>206</v>
      </c>
      <c r="Q16" s="55" t="s">
        <v>206</v>
      </c>
      <c r="R16" s="55" t="s">
        <v>206</v>
      </c>
      <c r="S16" s="55" t="s">
        <v>206</v>
      </c>
      <c r="T16" s="55" t="s">
        <v>206</v>
      </c>
      <c r="U16" s="29"/>
      <c r="V16" s="55" t="s">
        <v>41</v>
      </c>
      <c r="W16" s="55" t="s">
        <v>206</v>
      </c>
      <c r="X16" s="55" t="s">
        <v>225</v>
      </c>
      <c r="Y16" s="55" t="s">
        <v>225</v>
      </c>
      <c r="Z16" s="55" t="s">
        <v>225</v>
      </c>
      <c r="AA16" s="55" t="s">
        <v>206</v>
      </c>
      <c r="AB16" s="29"/>
      <c r="AC16" s="55" t="s">
        <v>206</v>
      </c>
      <c r="AD16" s="55" t="s">
        <v>206</v>
      </c>
      <c r="AE16" s="55" t="s">
        <v>206</v>
      </c>
      <c r="AF16" s="55" t="s">
        <v>41</v>
      </c>
      <c r="AG16" s="55" t="s">
        <v>206</v>
      </c>
      <c r="AH16" s="55" t="s">
        <v>206</v>
      </c>
      <c r="AI16" s="29"/>
      <c r="AJ16" s="55" t="s">
        <v>206</v>
      </c>
      <c r="AK16" s="55" t="s">
        <v>206</v>
      </c>
      <c r="AL16" s="55" t="s">
        <v>41</v>
      </c>
      <c r="AM16" s="55" t="s">
        <v>206</v>
      </c>
      <c r="AN16" s="55" t="s">
        <v>41</v>
      </c>
      <c r="AO16" s="55" t="s">
        <v>206</v>
      </c>
      <c r="AP16" s="29"/>
      <c r="AQ16" s="55" t="s">
        <v>206</v>
      </c>
      <c r="AR16" s="55" t="s">
        <v>41</v>
      </c>
      <c r="AS16" s="55" t="s">
        <v>225</v>
      </c>
      <c r="AT16" s="55" t="s">
        <v>41</v>
      </c>
      <c r="AU16" s="55" t="s">
        <v>41</v>
      </c>
      <c r="AV16" s="55" t="s">
        <v>41</v>
      </c>
      <c r="AW16" s="29"/>
      <c r="AX16" s="55" t="s">
        <v>41</v>
      </c>
      <c r="AY16" s="55" t="s">
        <v>41</v>
      </c>
      <c r="AZ16" s="61"/>
      <c r="BA16" s="55" t="s">
        <v>41</v>
      </c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  <c r="BV16" s="61"/>
    </row>
    <row r="17">
      <c r="A17" s="48">
        <v>14.0</v>
      </c>
      <c r="B17" s="25" t="s">
        <v>202</v>
      </c>
      <c r="C17" s="25" t="s">
        <v>203</v>
      </c>
      <c r="D17" s="48">
        <f t="shared" si="2"/>
        <v>38</v>
      </c>
      <c r="E17" s="48">
        <f t="shared" si="3"/>
        <v>1</v>
      </c>
      <c r="F17" s="50">
        <f t="shared" si="4"/>
        <v>39</v>
      </c>
      <c r="G17" s="54">
        <f t="shared" si="5"/>
        <v>97.43589744</v>
      </c>
      <c r="H17" s="55" t="s">
        <v>206</v>
      </c>
      <c r="I17" s="55" t="s">
        <v>206</v>
      </c>
      <c r="J17" s="55" t="s">
        <v>206</v>
      </c>
      <c r="K17" s="55" t="s">
        <v>41</v>
      </c>
      <c r="L17" s="55" t="s">
        <v>206</v>
      </c>
      <c r="M17" s="55" t="s">
        <v>206</v>
      </c>
      <c r="N17" s="29"/>
      <c r="O17" s="55" t="s">
        <v>206</v>
      </c>
      <c r="P17" s="55" t="s">
        <v>206</v>
      </c>
      <c r="Q17" s="55" t="s">
        <v>206</v>
      </c>
      <c r="R17" s="55" t="s">
        <v>206</v>
      </c>
      <c r="S17" s="55" t="s">
        <v>206</v>
      </c>
      <c r="T17" s="55" t="s">
        <v>206</v>
      </c>
      <c r="U17" s="29"/>
      <c r="V17" s="55" t="s">
        <v>206</v>
      </c>
      <c r="W17" s="55" t="s">
        <v>206</v>
      </c>
      <c r="X17" s="55" t="s">
        <v>225</v>
      </c>
      <c r="Y17" s="55" t="s">
        <v>225</v>
      </c>
      <c r="Z17" s="55" t="s">
        <v>225</v>
      </c>
      <c r="AA17" s="55" t="s">
        <v>206</v>
      </c>
      <c r="AB17" s="29"/>
      <c r="AC17" s="55" t="s">
        <v>206</v>
      </c>
      <c r="AD17" s="55" t="s">
        <v>206</v>
      </c>
      <c r="AE17" s="55" t="s">
        <v>206</v>
      </c>
      <c r="AF17" s="55" t="s">
        <v>206</v>
      </c>
      <c r="AG17" s="55" t="s">
        <v>206</v>
      </c>
      <c r="AH17" s="55" t="s">
        <v>206</v>
      </c>
      <c r="AI17" s="29"/>
      <c r="AJ17" s="55" t="s">
        <v>206</v>
      </c>
      <c r="AK17" s="55" t="s">
        <v>206</v>
      </c>
      <c r="AL17" s="55" t="s">
        <v>206</v>
      </c>
      <c r="AM17" s="55" t="s">
        <v>206</v>
      </c>
      <c r="AN17" s="55" t="s">
        <v>206</v>
      </c>
      <c r="AO17" s="55" t="s">
        <v>206</v>
      </c>
      <c r="AP17" s="29"/>
      <c r="AQ17" s="55" t="s">
        <v>206</v>
      </c>
      <c r="AR17" s="55" t="s">
        <v>206</v>
      </c>
      <c r="AS17" s="55" t="s">
        <v>206</v>
      </c>
      <c r="AT17" s="55" t="s">
        <v>206</v>
      </c>
      <c r="AU17" s="55" t="s">
        <v>206</v>
      </c>
      <c r="AV17" s="55" t="s">
        <v>206</v>
      </c>
      <c r="AW17" s="29"/>
      <c r="AX17" s="55" t="s">
        <v>206</v>
      </c>
      <c r="AY17" s="55" t="s">
        <v>206</v>
      </c>
      <c r="AZ17" s="61"/>
      <c r="BA17" s="55" t="s">
        <v>206</v>
      </c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  <c r="BR17" s="61"/>
      <c r="BS17" s="61"/>
      <c r="BT17" s="61"/>
      <c r="BU17" s="61"/>
      <c r="BV17" s="61"/>
    </row>
    <row r="18">
      <c r="A18" s="48">
        <v>15.0</v>
      </c>
      <c r="B18" s="25" t="s">
        <v>209</v>
      </c>
      <c r="C18" s="25" t="s">
        <v>211</v>
      </c>
      <c r="D18" s="48">
        <f t="shared" si="2"/>
        <v>35</v>
      </c>
      <c r="E18" s="48">
        <f t="shared" si="3"/>
        <v>4</v>
      </c>
      <c r="F18" s="50">
        <f t="shared" si="4"/>
        <v>39</v>
      </c>
      <c r="G18" s="54">
        <f t="shared" si="5"/>
        <v>89.74358974</v>
      </c>
      <c r="H18" s="55" t="s">
        <v>206</v>
      </c>
      <c r="I18" s="55" t="s">
        <v>206</v>
      </c>
      <c r="J18" s="55" t="s">
        <v>206</v>
      </c>
      <c r="K18" s="55" t="s">
        <v>206</v>
      </c>
      <c r="L18" s="55" t="s">
        <v>206</v>
      </c>
      <c r="M18" s="55" t="s">
        <v>206</v>
      </c>
      <c r="N18" s="29"/>
      <c r="O18" s="55" t="s">
        <v>206</v>
      </c>
      <c r="P18" s="55" t="s">
        <v>206</v>
      </c>
      <c r="Q18" s="55" t="s">
        <v>206</v>
      </c>
      <c r="R18" s="55" t="s">
        <v>206</v>
      </c>
      <c r="S18" s="55" t="s">
        <v>206</v>
      </c>
      <c r="T18" s="55" t="s">
        <v>206</v>
      </c>
      <c r="U18" s="29"/>
      <c r="V18" s="55" t="s">
        <v>206</v>
      </c>
      <c r="W18" s="55" t="s">
        <v>206</v>
      </c>
      <c r="X18" s="55" t="s">
        <v>41</v>
      </c>
      <c r="Y18" s="55" t="s">
        <v>225</v>
      </c>
      <c r="Z18" s="55" t="s">
        <v>225</v>
      </c>
      <c r="AA18" s="55" t="s">
        <v>206</v>
      </c>
      <c r="AB18" s="29"/>
      <c r="AC18" s="55" t="s">
        <v>206</v>
      </c>
      <c r="AD18" s="55" t="s">
        <v>206</v>
      </c>
      <c r="AE18" s="55" t="s">
        <v>206</v>
      </c>
      <c r="AF18" s="55" t="s">
        <v>206</v>
      </c>
      <c r="AG18" s="55" t="s">
        <v>206</v>
      </c>
      <c r="AH18" s="55" t="s">
        <v>206</v>
      </c>
      <c r="AI18" s="29"/>
      <c r="AJ18" s="55" t="s">
        <v>206</v>
      </c>
      <c r="AK18" s="55" t="s">
        <v>225</v>
      </c>
      <c r="AL18" s="55" t="s">
        <v>206</v>
      </c>
      <c r="AM18" s="55" t="s">
        <v>206</v>
      </c>
      <c r="AN18" s="55" t="s">
        <v>206</v>
      </c>
      <c r="AO18" s="55" t="s">
        <v>206</v>
      </c>
      <c r="AP18" s="29"/>
      <c r="AQ18" s="55" t="s">
        <v>41</v>
      </c>
      <c r="AR18" s="55" t="s">
        <v>41</v>
      </c>
      <c r="AS18" s="55" t="s">
        <v>206</v>
      </c>
      <c r="AT18" s="55" t="s">
        <v>206</v>
      </c>
      <c r="AU18" s="55" t="s">
        <v>206</v>
      </c>
      <c r="AV18" s="55" t="s">
        <v>206</v>
      </c>
      <c r="AW18" s="29"/>
      <c r="AX18" s="55" t="s">
        <v>206</v>
      </c>
      <c r="AY18" s="55" t="s">
        <v>206</v>
      </c>
      <c r="AZ18" s="61"/>
      <c r="BA18" s="55" t="s">
        <v>41</v>
      </c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</row>
    <row r="19">
      <c r="A19" s="48">
        <v>16.0</v>
      </c>
      <c r="B19" s="25" t="s">
        <v>217</v>
      </c>
      <c r="C19" s="25" t="s">
        <v>218</v>
      </c>
      <c r="D19" s="48">
        <f t="shared" si="2"/>
        <v>2</v>
      </c>
      <c r="E19" s="48">
        <f t="shared" si="3"/>
        <v>37</v>
      </c>
      <c r="F19" s="50">
        <f t="shared" si="4"/>
        <v>39</v>
      </c>
      <c r="G19" s="54">
        <f t="shared" si="5"/>
        <v>5.128205128</v>
      </c>
      <c r="H19" s="55" t="s">
        <v>41</v>
      </c>
      <c r="I19" s="55" t="s">
        <v>41</v>
      </c>
      <c r="J19" s="55" t="s">
        <v>41</v>
      </c>
      <c r="K19" s="55" t="s">
        <v>41</v>
      </c>
      <c r="L19" s="55" t="s">
        <v>41</v>
      </c>
      <c r="M19" s="55" t="s">
        <v>41</v>
      </c>
      <c r="N19" s="29"/>
      <c r="O19" s="55" t="s">
        <v>41</v>
      </c>
      <c r="P19" s="55" t="s">
        <v>41</v>
      </c>
      <c r="Q19" s="55" t="s">
        <v>41</v>
      </c>
      <c r="R19" s="55" t="s">
        <v>41</v>
      </c>
      <c r="S19" s="55" t="s">
        <v>41</v>
      </c>
      <c r="T19" s="55" t="s">
        <v>41</v>
      </c>
      <c r="U19" s="29"/>
      <c r="V19" s="55" t="s">
        <v>206</v>
      </c>
      <c r="W19" s="55" t="s">
        <v>206</v>
      </c>
      <c r="X19" s="55" t="s">
        <v>41</v>
      </c>
      <c r="Y19" s="55" t="s">
        <v>393</v>
      </c>
      <c r="Z19" s="55" t="s">
        <v>393</v>
      </c>
      <c r="AA19" s="55" t="s">
        <v>41</v>
      </c>
      <c r="AB19" s="29"/>
      <c r="AC19" s="55" t="s">
        <v>41</v>
      </c>
      <c r="AD19" s="55" t="s">
        <v>41</v>
      </c>
      <c r="AE19" s="55" t="s">
        <v>41</v>
      </c>
      <c r="AF19" s="55" t="s">
        <v>41</v>
      </c>
      <c r="AG19" s="55" t="s">
        <v>41</v>
      </c>
      <c r="AH19" s="55" t="s">
        <v>41</v>
      </c>
      <c r="AI19" s="29"/>
      <c r="AJ19" s="55" t="s">
        <v>41</v>
      </c>
      <c r="AK19" s="55" t="s">
        <v>41</v>
      </c>
      <c r="AL19" s="55" t="s">
        <v>41</v>
      </c>
      <c r="AM19" s="55" t="s">
        <v>41</v>
      </c>
      <c r="AN19" s="55" t="s">
        <v>41</v>
      </c>
      <c r="AO19" s="55" t="s">
        <v>41</v>
      </c>
      <c r="AP19" s="29"/>
      <c r="AQ19" s="55" t="s">
        <v>41</v>
      </c>
      <c r="AR19" s="55" t="s">
        <v>41</v>
      </c>
      <c r="AS19" s="55" t="s">
        <v>41</v>
      </c>
      <c r="AT19" s="55" t="s">
        <v>41</v>
      </c>
      <c r="AU19" s="55" t="s">
        <v>41</v>
      </c>
      <c r="AV19" s="55" t="s">
        <v>41</v>
      </c>
      <c r="AW19" s="29"/>
      <c r="AX19" s="55" t="s">
        <v>41</v>
      </c>
      <c r="AY19" s="55" t="s">
        <v>41</v>
      </c>
      <c r="AZ19" s="61"/>
      <c r="BA19" s="55" t="s">
        <v>41</v>
      </c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  <c r="BP19" s="61"/>
      <c r="BQ19" s="61"/>
      <c r="BR19" s="61"/>
      <c r="BS19" s="61"/>
      <c r="BT19" s="61"/>
      <c r="BU19" s="61"/>
      <c r="BV19" s="61"/>
    </row>
    <row r="20">
      <c r="A20" s="48">
        <v>17.0</v>
      </c>
      <c r="B20" s="55" t="s">
        <v>230</v>
      </c>
      <c r="C20" s="55" t="s">
        <v>231</v>
      </c>
      <c r="D20" s="48">
        <f t="shared" si="2"/>
        <v>0</v>
      </c>
      <c r="E20" s="48">
        <f t="shared" si="3"/>
        <v>12</v>
      </c>
      <c r="F20" s="50">
        <f t="shared" si="4"/>
        <v>12</v>
      </c>
      <c r="G20" s="54">
        <f t="shared" si="5"/>
        <v>0</v>
      </c>
      <c r="H20" s="55" t="s">
        <v>450</v>
      </c>
      <c r="I20" s="55" t="s">
        <v>450</v>
      </c>
      <c r="J20" s="55" t="s">
        <v>450</v>
      </c>
      <c r="K20" s="55" t="s">
        <v>450</v>
      </c>
      <c r="L20" s="55" t="s">
        <v>450</v>
      </c>
      <c r="M20" s="55" t="s">
        <v>450</v>
      </c>
      <c r="N20" s="29"/>
      <c r="O20" s="55" t="s">
        <v>450</v>
      </c>
      <c r="P20" s="55" t="s">
        <v>450</v>
      </c>
      <c r="Q20" s="55" t="s">
        <v>450</v>
      </c>
      <c r="R20" s="55" t="s">
        <v>450</v>
      </c>
      <c r="S20" s="55" t="s">
        <v>450</v>
      </c>
      <c r="T20" s="55" t="s">
        <v>450</v>
      </c>
      <c r="U20" s="29"/>
      <c r="V20" s="55" t="s">
        <v>450</v>
      </c>
      <c r="W20" s="55" t="s">
        <v>450</v>
      </c>
      <c r="X20" s="55" t="s">
        <v>450</v>
      </c>
      <c r="Y20" s="55" t="s">
        <v>450</v>
      </c>
      <c r="Z20" s="55" t="s">
        <v>450</v>
      </c>
      <c r="AA20" s="55" t="s">
        <v>450</v>
      </c>
      <c r="AB20" s="29"/>
      <c r="AC20" s="55" t="s">
        <v>450</v>
      </c>
      <c r="AD20" s="55" t="s">
        <v>450</v>
      </c>
      <c r="AE20" s="55" t="s">
        <v>450</v>
      </c>
      <c r="AF20" s="55" t="s">
        <v>450</v>
      </c>
      <c r="AG20" s="55" t="s">
        <v>450</v>
      </c>
      <c r="AH20" s="55" t="s">
        <v>450</v>
      </c>
      <c r="AI20" s="29"/>
      <c r="AJ20" s="55" t="s">
        <v>450</v>
      </c>
      <c r="AK20" s="55" t="s">
        <v>450</v>
      </c>
      <c r="AL20" s="61"/>
      <c r="AM20" s="55" t="s">
        <v>41</v>
      </c>
      <c r="AN20" s="55" t="s">
        <v>41</v>
      </c>
      <c r="AO20" s="55" t="s">
        <v>41</v>
      </c>
      <c r="AP20" s="29"/>
      <c r="AQ20" s="55" t="s">
        <v>41</v>
      </c>
      <c r="AR20" s="55" t="s">
        <v>41</v>
      </c>
      <c r="AS20" s="55" t="s">
        <v>41</v>
      </c>
      <c r="AT20" s="55" t="s">
        <v>41</v>
      </c>
      <c r="AU20" s="55" t="s">
        <v>41</v>
      </c>
      <c r="AV20" s="55" t="s">
        <v>41</v>
      </c>
      <c r="AW20" s="29"/>
      <c r="AX20" s="55" t="s">
        <v>41</v>
      </c>
      <c r="AY20" s="55" t="s">
        <v>41</v>
      </c>
      <c r="AZ20" s="61"/>
      <c r="BA20" s="55" t="s">
        <v>41</v>
      </c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61"/>
      <c r="BR20" s="61"/>
      <c r="BS20" s="61"/>
      <c r="BT20" s="61"/>
      <c r="BU20" s="61"/>
      <c r="BV20" s="61"/>
    </row>
    <row r="21">
      <c r="A21" s="48">
        <v>18.0</v>
      </c>
      <c r="B21" s="25" t="s">
        <v>238</v>
      </c>
      <c r="C21" s="25" t="s">
        <v>240</v>
      </c>
      <c r="D21" s="48">
        <f t="shared" si="2"/>
        <v>30</v>
      </c>
      <c r="E21" s="48">
        <f t="shared" si="3"/>
        <v>9</v>
      </c>
      <c r="F21" s="50">
        <f t="shared" si="4"/>
        <v>39</v>
      </c>
      <c r="G21" s="54">
        <f t="shared" si="5"/>
        <v>76.92307692</v>
      </c>
      <c r="H21" s="55" t="s">
        <v>41</v>
      </c>
      <c r="I21" s="55" t="s">
        <v>206</v>
      </c>
      <c r="J21" s="55" t="s">
        <v>206</v>
      </c>
      <c r="K21" s="55" t="s">
        <v>206</v>
      </c>
      <c r="L21" s="55" t="s">
        <v>41</v>
      </c>
      <c r="M21" s="55" t="s">
        <v>206</v>
      </c>
      <c r="N21" s="29"/>
      <c r="O21" s="55" t="s">
        <v>206</v>
      </c>
      <c r="P21" s="55" t="s">
        <v>206</v>
      </c>
      <c r="Q21" s="55" t="s">
        <v>206</v>
      </c>
      <c r="R21" s="55" t="s">
        <v>206</v>
      </c>
      <c r="S21" s="55" t="s">
        <v>206</v>
      </c>
      <c r="T21" s="55" t="s">
        <v>206</v>
      </c>
      <c r="U21" s="29"/>
      <c r="V21" s="55" t="s">
        <v>206</v>
      </c>
      <c r="W21" s="55" t="s">
        <v>206</v>
      </c>
      <c r="X21" s="55" t="s">
        <v>225</v>
      </c>
      <c r="Y21" s="55" t="s">
        <v>225</v>
      </c>
      <c r="Z21" s="55" t="s">
        <v>225</v>
      </c>
      <c r="AA21" s="55" t="s">
        <v>41</v>
      </c>
      <c r="AB21" s="29"/>
      <c r="AC21" s="55" t="s">
        <v>41</v>
      </c>
      <c r="AD21" s="55" t="s">
        <v>206</v>
      </c>
      <c r="AE21" s="55" t="s">
        <v>206</v>
      </c>
      <c r="AF21" s="55" t="s">
        <v>206</v>
      </c>
      <c r="AG21" s="55" t="s">
        <v>206</v>
      </c>
      <c r="AH21" s="55" t="s">
        <v>206</v>
      </c>
      <c r="AI21" s="29"/>
      <c r="AJ21" s="55" t="s">
        <v>41</v>
      </c>
      <c r="AK21" s="55" t="s">
        <v>41</v>
      </c>
      <c r="AL21" s="55" t="s">
        <v>206</v>
      </c>
      <c r="AM21" s="55" t="s">
        <v>206</v>
      </c>
      <c r="AN21" s="55" t="s">
        <v>41</v>
      </c>
      <c r="AO21" s="55" t="s">
        <v>206</v>
      </c>
      <c r="AP21" s="29"/>
      <c r="AQ21" s="55" t="s">
        <v>206</v>
      </c>
      <c r="AR21" s="55" t="s">
        <v>206</v>
      </c>
      <c r="AS21" s="55" t="s">
        <v>206</v>
      </c>
      <c r="AT21" s="55" t="s">
        <v>206</v>
      </c>
      <c r="AU21" s="55" t="s">
        <v>206</v>
      </c>
      <c r="AV21" s="55" t="s">
        <v>206</v>
      </c>
      <c r="AW21" s="29"/>
      <c r="AX21" s="55" t="s">
        <v>41</v>
      </c>
      <c r="AY21" s="55" t="s">
        <v>206</v>
      </c>
      <c r="AZ21" s="61"/>
      <c r="BA21" s="55" t="s">
        <v>41</v>
      </c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</row>
    <row r="22">
      <c r="A22" s="48">
        <v>19.0</v>
      </c>
      <c r="B22" s="25" t="s">
        <v>246</v>
      </c>
      <c r="C22" s="25" t="s">
        <v>247</v>
      </c>
      <c r="D22" s="48">
        <f t="shared" si="2"/>
        <v>29</v>
      </c>
      <c r="E22" s="48">
        <f t="shared" si="3"/>
        <v>10</v>
      </c>
      <c r="F22" s="50">
        <f t="shared" si="4"/>
        <v>39</v>
      </c>
      <c r="G22" s="54">
        <f t="shared" si="5"/>
        <v>74.35897436</v>
      </c>
      <c r="H22" s="55" t="s">
        <v>206</v>
      </c>
      <c r="I22" s="55" t="s">
        <v>206</v>
      </c>
      <c r="J22" s="55" t="s">
        <v>206</v>
      </c>
      <c r="K22" s="55" t="s">
        <v>41</v>
      </c>
      <c r="L22" s="55" t="s">
        <v>206</v>
      </c>
      <c r="M22" s="55" t="s">
        <v>206</v>
      </c>
      <c r="N22" s="29"/>
      <c r="O22" s="55" t="s">
        <v>206</v>
      </c>
      <c r="P22" s="55" t="s">
        <v>206</v>
      </c>
      <c r="Q22" s="55" t="s">
        <v>206</v>
      </c>
      <c r="R22" s="55" t="s">
        <v>41</v>
      </c>
      <c r="S22" s="55" t="s">
        <v>206</v>
      </c>
      <c r="T22" s="55" t="s">
        <v>206</v>
      </c>
      <c r="U22" s="29"/>
      <c r="V22" s="55" t="s">
        <v>41</v>
      </c>
      <c r="W22" s="55" t="s">
        <v>206</v>
      </c>
      <c r="X22" s="55" t="s">
        <v>41</v>
      </c>
      <c r="Y22" s="55" t="s">
        <v>206</v>
      </c>
      <c r="Z22" s="55" t="s">
        <v>393</v>
      </c>
      <c r="AA22" s="55" t="s">
        <v>41</v>
      </c>
      <c r="AB22" s="29"/>
      <c r="AC22" s="55" t="s">
        <v>206</v>
      </c>
      <c r="AD22" s="55" t="s">
        <v>206</v>
      </c>
      <c r="AE22" s="55" t="s">
        <v>206</v>
      </c>
      <c r="AF22" s="55" t="s">
        <v>206</v>
      </c>
      <c r="AG22" s="55" t="s">
        <v>206</v>
      </c>
      <c r="AH22" s="55" t="s">
        <v>206</v>
      </c>
      <c r="AI22" s="29"/>
      <c r="AJ22" s="55" t="s">
        <v>206</v>
      </c>
      <c r="AK22" s="55" t="s">
        <v>206</v>
      </c>
      <c r="AL22" s="55" t="s">
        <v>206</v>
      </c>
      <c r="AM22" s="55" t="s">
        <v>206</v>
      </c>
      <c r="AN22" s="55" t="s">
        <v>206</v>
      </c>
      <c r="AO22" s="55" t="s">
        <v>206</v>
      </c>
      <c r="AP22" s="29"/>
      <c r="AQ22" s="55" t="s">
        <v>41</v>
      </c>
      <c r="AR22" s="55" t="s">
        <v>206</v>
      </c>
      <c r="AS22" s="55" t="s">
        <v>206</v>
      </c>
      <c r="AT22" s="55" t="s">
        <v>206</v>
      </c>
      <c r="AU22" s="55" t="s">
        <v>206</v>
      </c>
      <c r="AV22" s="55" t="s">
        <v>41</v>
      </c>
      <c r="AW22" s="29"/>
      <c r="AX22" s="55" t="s">
        <v>41</v>
      </c>
      <c r="AY22" s="55" t="s">
        <v>206</v>
      </c>
      <c r="AZ22" s="61"/>
      <c r="BA22" s="55" t="s">
        <v>41</v>
      </c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</row>
    <row r="23">
      <c r="A23" s="48">
        <v>20.0</v>
      </c>
      <c r="B23" s="62" t="s">
        <v>255</v>
      </c>
      <c r="C23" s="62" t="s">
        <v>257</v>
      </c>
      <c r="D23" s="48">
        <f t="shared" si="2"/>
        <v>25</v>
      </c>
      <c r="E23" s="48">
        <f t="shared" si="3"/>
        <v>2</v>
      </c>
      <c r="F23" s="50">
        <f t="shared" si="4"/>
        <v>27</v>
      </c>
      <c r="G23" s="54">
        <f t="shared" si="5"/>
        <v>92.59259259</v>
      </c>
      <c r="H23" s="61"/>
      <c r="I23" s="61"/>
      <c r="J23" s="61"/>
      <c r="K23" s="61"/>
      <c r="L23" s="61"/>
      <c r="M23" s="61"/>
      <c r="N23" s="29"/>
      <c r="O23" s="61"/>
      <c r="P23" s="61"/>
      <c r="Q23" s="61"/>
      <c r="R23" s="61"/>
      <c r="S23" s="61"/>
      <c r="T23" s="61"/>
      <c r="U23" s="29"/>
      <c r="V23" s="55" t="s">
        <v>206</v>
      </c>
      <c r="W23" s="55" t="s">
        <v>206</v>
      </c>
      <c r="X23" s="55" t="s">
        <v>206</v>
      </c>
      <c r="Y23" s="55" t="s">
        <v>225</v>
      </c>
      <c r="Z23" s="55" t="s">
        <v>225</v>
      </c>
      <c r="AA23" s="55" t="s">
        <v>206</v>
      </c>
      <c r="AB23" s="29"/>
      <c r="AC23" s="55" t="s">
        <v>206</v>
      </c>
      <c r="AD23" s="55" t="s">
        <v>206</v>
      </c>
      <c r="AE23" s="55" t="s">
        <v>206</v>
      </c>
      <c r="AF23" s="55" t="s">
        <v>206</v>
      </c>
      <c r="AG23" s="55" t="s">
        <v>206</v>
      </c>
      <c r="AH23" s="55" t="s">
        <v>206</v>
      </c>
      <c r="AI23" s="29"/>
      <c r="AJ23" s="55" t="s">
        <v>206</v>
      </c>
      <c r="AK23" s="55" t="s">
        <v>206</v>
      </c>
      <c r="AL23" s="55" t="s">
        <v>206</v>
      </c>
      <c r="AM23" s="55" t="s">
        <v>206</v>
      </c>
      <c r="AN23" s="55" t="s">
        <v>206</v>
      </c>
      <c r="AO23" s="55" t="s">
        <v>206</v>
      </c>
      <c r="AP23" s="29"/>
      <c r="AQ23" s="55" t="s">
        <v>206</v>
      </c>
      <c r="AR23" s="55" t="s">
        <v>206</v>
      </c>
      <c r="AS23" s="55" t="s">
        <v>206</v>
      </c>
      <c r="AT23" s="55" t="s">
        <v>206</v>
      </c>
      <c r="AU23" s="55" t="s">
        <v>206</v>
      </c>
      <c r="AV23" s="55" t="s">
        <v>206</v>
      </c>
      <c r="AW23" s="29"/>
      <c r="AX23" s="55" t="s">
        <v>206</v>
      </c>
      <c r="AY23" s="55" t="s">
        <v>41</v>
      </c>
      <c r="AZ23" s="61"/>
      <c r="BA23" s="55" t="s">
        <v>41</v>
      </c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</row>
    <row r="24">
      <c r="A24" s="48">
        <v>21.0</v>
      </c>
      <c r="B24" s="25" t="s">
        <v>263</v>
      </c>
      <c r="C24" s="25" t="s">
        <v>264</v>
      </c>
      <c r="D24" s="48">
        <f t="shared" si="2"/>
        <v>38</v>
      </c>
      <c r="E24" s="48">
        <f t="shared" si="3"/>
        <v>1</v>
      </c>
      <c r="F24" s="50">
        <f t="shared" si="4"/>
        <v>39</v>
      </c>
      <c r="G24" s="54">
        <f t="shared" si="5"/>
        <v>97.43589744</v>
      </c>
      <c r="H24" s="55" t="s">
        <v>206</v>
      </c>
      <c r="I24" s="55" t="s">
        <v>206</v>
      </c>
      <c r="J24" s="55" t="s">
        <v>206</v>
      </c>
      <c r="K24" s="55" t="s">
        <v>206</v>
      </c>
      <c r="L24" s="55" t="s">
        <v>206</v>
      </c>
      <c r="M24" s="55" t="s">
        <v>206</v>
      </c>
      <c r="N24" s="29"/>
      <c r="O24" s="55" t="s">
        <v>206</v>
      </c>
      <c r="P24" s="55" t="s">
        <v>206</v>
      </c>
      <c r="Q24" s="55" t="s">
        <v>206</v>
      </c>
      <c r="R24" s="55" t="s">
        <v>206</v>
      </c>
      <c r="S24" s="55" t="s">
        <v>206</v>
      </c>
      <c r="T24" s="55" t="s">
        <v>206</v>
      </c>
      <c r="U24" s="29"/>
      <c r="V24" s="55" t="s">
        <v>41</v>
      </c>
      <c r="W24" s="55" t="s">
        <v>206</v>
      </c>
      <c r="X24" s="55" t="s">
        <v>225</v>
      </c>
      <c r="Y24" s="55" t="s">
        <v>225</v>
      </c>
      <c r="Z24" s="55" t="s">
        <v>225</v>
      </c>
      <c r="AA24" s="55" t="s">
        <v>206</v>
      </c>
      <c r="AB24" s="29"/>
      <c r="AC24" s="55" t="s">
        <v>206</v>
      </c>
      <c r="AD24" s="55" t="s">
        <v>206</v>
      </c>
      <c r="AE24" s="55" t="s">
        <v>206</v>
      </c>
      <c r="AF24" s="55" t="s">
        <v>206</v>
      </c>
      <c r="AG24" s="55" t="s">
        <v>206</v>
      </c>
      <c r="AH24" s="55" t="s">
        <v>206</v>
      </c>
      <c r="AI24" s="29"/>
      <c r="AJ24" s="55" t="s">
        <v>206</v>
      </c>
      <c r="AK24" s="55" t="s">
        <v>206</v>
      </c>
      <c r="AL24" s="55" t="s">
        <v>206</v>
      </c>
      <c r="AM24" s="55" t="s">
        <v>206</v>
      </c>
      <c r="AN24" s="55" t="s">
        <v>206</v>
      </c>
      <c r="AO24" s="55" t="s">
        <v>206</v>
      </c>
      <c r="AP24" s="29"/>
      <c r="AQ24" s="55" t="s">
        <v>206</v>
      </c>
      <c r="AR24" s="55" t="s">
        <v>206</v>
      </c>
      <c r="AS24" s="55" t="s">
        <v>206</v>
      </c>
      <c r="AT24" s="55" t="s">
        <v>206</v>
      </c>
      <c r="AU24" s="55" t="s">
        <v>206</v>
      </c>
      <c r="AV24" s="55" t="s">
        <v>206</v>
      </c>
      <c r="AW24" s="29"/>
      <c r="AX24" s="55" t="s">
        <v>206</v>
      </c>
      <c r="AY24" s="55" t="s">
        <v>206</v>
      </c>
      <c r="AZ24" s="61"/>
      <c r="BA24" s="55" t="s">
        <v>206</v>
      </c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</row>
    <row r="25">
      <c r="A25" s="48">
        <v>22.0</v>
      </c>
      <c r="B25" s="25" t="s">
        <v>268</v>
      </c>
      <c r="C25" s="25" t="s">
        <v>269</v>
      </c>
      <c r="D25" s="48">
        <f t="shared" si="2"/>
        <v>39</v>
      </c>
      <c r="E25" s="48">
        <f t="shared" si="3"/>
        <v>0</v>
      </c>
      <c r="F25" s="50">
        <f t="shared" si="4"/>
        <v>39</v>
      </c>
      <c r="G25" s="54">
        <f t="shared" si="5"/>
        <v>100</v>
      </c>
      <c r="H25" s="55" t="s">
        <v>206</v>
      </c>
      <c r="I25" s="55" t="s">
        <v>206</v>
      </c>
      <c r="J25" s="55" t="s">
        <v>206</v>
      </c>
      <c r="K25" s="55" t="s">
        <v>206</v>
      </c>
      <c r="L25" s="55" t="s">
        <v>206</v>
      </c>
      <c r="M25" s="55" t="s">
        <v>206</v>
      </c>
      <c r="N25" s="29"/>
      <c r="O25" s="55" t="s">
        <v>206</v>
      </c>
      <c r="P25" s="55" t="s">
        <v>206</v>
      </c>
      <c r="Q25" s="55" t="s">
        <v>206</v>
      </c>
      <c r="R25" s="55" t="s">
        <v>206</v>
      </c>
      <c r="S25" s="55" t="s">
        <v>206</v>
      </c>
      <c r="T25" s="55" t="s">
        <v>206</v>
      </c>
      <c r="U25" s="29"/>
      <c r="V25" s="55" t="s">
        <v>206</v>
      </c>
      <c r="W25" s="55" t="s">
        <v>206</v>
      </c>
      <c r="X25" s="55" t="s">
        <v>225</v>
      </c>
      <c r="Y25" s="55" t="s">
        <v>225</v>
      </c>
      <c r="Z25" s="55" t="s">
        <v>225</v>
      </c>
      <c r="AA25" s="55" t="s">
        <v>206</v>
      </c>
      <c r="AB25" s="29"/>
      <c r="AC25" s="55" t="s">
        <v>206</v>
      </c>
      <c r="AD25" s="55" t="s">
        <v>206</v>
      </c>
      <c r="AE25" s="55" t="s">
        <v>206</v>
      </c>
      <c r="AF25" s="55" t="s">
        <v>206</v>
      </c>
      <c r="AG25" s="55" t="s">
        <v>206</v>
      </c>
      <c r="AH25" s="55" t="s">
        <v>206</v>
      </c>
      <c r="AI25" s="29"/>
      <c r="AJ25" s="55" t="s">
        <v>206</v>
      </c>
      <c r="AK25" s="55" t="s">
        <v>206</v>
      </c>
      <c r="AL25" s="55" t="s">
        <v>206</v>
      </c>
      <c r="AM25" s="55" t="s">
        <v>206</v>
      </c>
      <c r="AN25" s="55" t="s">
        <v>206</v>
      </c>
      <c r="AO25" s="55" t="s">
        <v>206</v>
      </c>
      <c r="AP25" s="29"/>
      <c r="AQ25" s="55" t="s">
        <v>206</v>
      </c>
      <c r="AR25" s="55" t="s">
        <v>206</v>
      </c>
      <c r="AS25" s="55" t="s">
        <v>206</v>
      </c>
      <c r="AT25" s="55" t="s">
        <v>206</v>
      </c>
      <c r="AU25" s="55" t="s">
        <v>206</v>
      </c>
      <c r="AV25" s="55" t="s">
        <v>206</v>
      </c>
      <c r="AW25" s="29"/>
      <c r="AX25" s="55" t="s">
        <v>206</v>
      </c>
      <c r="AY25" s="55" t="s">
        <v>206</v>
      </c>
      <c r="AZ25" s="61"/>
      <c r="BA25" s="55" t="s">
        <v>206</v>
      </c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</row>
    <row r="26">
      <c r="A26" s="48">
        <v>23.0</v>
      </c>
      <c r="B26" s="25" t="s">
        <v>278</v>
      </c>
      <c r="C26" s="25" t="s">
        <v>280</v>
      </c>
      <c r="D26" s="48">
        <f t="shared" si="2"/>
        <v>16</v>
      </c>
      <c r="E26" s="48">
        <f t="shared" si="3"/>
        <v>23</v>
      </c>
      <c r="F26" s="50">
        <f t="shared" si="4"/>
        <v>39</v>
      </c>
      <c r="G26" s="54">
        <f t="shared" si="5"/>
        <v>41.02564103</v>
      </c>
      <c r="H26" s="55" t="s">
        <v>41</v>
      </c>
      <c r="I26" s="55" t="s">
        <v>41</v>
      </c>
      <c r="J26" s="55" t="s">
        <v>41</v>
      </c>
      <c r="K26" s="55" t="s">
        <v>41</v>
      </c>
      <c r="L26" s="55" t="s">
        <v>41</v>
      </c>
      <c r="M26" s="55" t="s">
        <v>41</v>
      </c>
      <c r="N26" s="29"/>
      <c r="O26" s="55" t="s">
        <v>206</v>
      </c>
      <c r="P26" s="55" t="s">
        <v>206</v>
      </c>
      <c r="Q26" s="55" t="s">
        <v>206</v>
      </c>
      <c r="R26" s="55" t="s">
        <v>206</v>
      </c>
      <c r="S26" s="55" t="s">
        <v>206</v>
      </c>
      <c r="T26" s="55" t="s">
        <v>206</v>
      </c>
      <c r="U26" s="29"/>
      <c r="V26" s="55" t="s">
        <v>206</v>
      </c>
      <c r="W26" s="55" t="s">
        <v>206</v>
      </c>
      <c r="X26" s="55" t="s">
        <v>225</v>
      </c>
      <c r="Y26" s="55" t="s">
        <v>225</v>
      </c>
      <c r="Z26" s="55" t="s">
        <v>225</v>
      </c>
      <c r="AA26" s="55" t="s">
        <v>206</v>
      </c>
      <c r="AB26" s="29"/>
      <c r="AC26" s="55" t="s">
        <v>41</v>
      </c>
      <c r="AD26" s="55" t="s">
        <v>41</v>
      </c>
      <c r="AE26" s="55" t="s">
        <v>41</v>
      </c>
      <c r="AF26" s="55" t="s">
        <v>41</v>
      </c>
      <c r="AG26" s="55" t="s">
        <v>41</v>
      </c>
      <c r="AH26" s="55" t="s">
        <v>41</v>
      </c>
      <c r="AI26" s="29"/>
      <c r="AJ26" s="55" t="s">
        <v>41</v>
      </c>
      <c r="AK26" s="55" t="s">
        <v>206</v>
      </c>
      <c r="AL26" s="55" t="s">
        <v>206</v>
      </c>
      <c r="AM26" s="55" t="s">
        <v>206</v>
      </c>
      <c r="AN26" s="55" t="s">
        <v>41</v>
      </c>
      <c r="AO26" s="55" t="s">
        <v>41</v>
      </c>
      <c r="AP26" s="29"/>
      <c r="AQ26" s="55" t="s">
        <v>206</v>
      </c>
      <c r="AR26" s="55" t="s">
        <v>41</v>
      </c>
      <c r="AS26" s="55" t="s">
        <v>41</v>
      </c>
      <c r="AT26" s="55" t="s">
        <v>41</v>
      </c>
      <c r="AU26" s="55" t="s">
        <v>41</v>
      </c>
      <c r="AV26" s="55" t="s">
        <v>41</v>
      </c>
      <c r="AW26" s="29"/>
      <c r="AX26" s="55" t="s">
        <v>41</v>
      </c>
      <c r="AY26" s="55" t="s">
        <v>41</v>
      </c>
      <c r="AZ26" s="61"/>
      <c r="BA26" s="55" t="s">
        <v>41</v>
      </c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</row>
    <row r="27">
      <c r="A27" s="48">
        <v>24.0</v>
      </c>
      <c r="B27" s="25" t="s">
        <v>289</v>
      </c>
      <c r="C27" s="25" t="s">
        <v>290</v>
      </c>
      <c r="D27" s="48">
        <f t="shared" si="2"/>
        <v>36</v>
      </c>
      <c r="E27" s="48">
        <f t="shared" si="3"/>
        <v>3</v>
      </c>
      <c r="F27" s="50">
        <f t="shared" si="4"/>
        <v>39</v>
      </c>
      <c r="G27" s="54">
        <f t="shared" si="5"/>
        <v>92.30769231</v>
      </c>
      <c r="H27" s="55" t="s">
        <v>206</v>
      </c>
      <c r="I27" s="55" t="s">
        <v>206</v>
      </c>
      <c r="J27" s="55" t="s">
        <v>206</v>
      </c>
      <c r="K27" s="55" t="s">
        <v>206</v>
      </c>
      <c r="L27" s="55" t="s">
        <v>41</v>
      </c>
      <c r="M27" s="55" t="s">
        <v>206</v>
      </c>
      <c r="N27" s="29"/>
      <c r="O27" s="55" t="s">
        <v>41</v>
      </c>
      <c r="P27" s="55" t="s">
        <v>206</v>
      </c>
      <c r="Q27" s="55" t="s">
        <v>206</v>
      </c>
      <c r="R27" s="55" t="s">
        <v>206</v>
      </c>
      <c r="S27" s="55" t="s">
        <v>206</v>
      </c>
      <c r="T27" s="55" t="s">
        <v>206</v>
      </c>
      <c r="U27" s="29"/>
      <c r="V27" s="55" t="s">
        <v>206</v>
      </c>
      <c r="W27" s="55" t="s">
        <v>206</v>
      </c>
      <c r="X27" s="55" t="s">
        <v>225</v>
      </c>
      <c r="Y27" s="55" t="s">
        <v>225</v>
      </c>
      <c r="Z27" s="55" t="s">
        <v>225</v>
      </c>
      <c r="AA27" s="55" t="s">
        <v>206</v>
      </c>
      <c r="AB27" s="29"/>
      <c r="AC27" s="55" t="s">
        <v>206</v>
      </c>
      <c r="AD27" s="55" t="s">
        <v>206</v>
      </c>
      <c r="AE27" s="55" t="s">
        <v>206</v>
      </c>
      <c r="AF27" s="55" t="s">
        <v>206</v>
      </c>
      <c r="AG27" s="55" t="s">
        <v>206</v>
      </c>
      <c r="AH27" s="55" t="s">
        <v>206</v>
      </c>
      <c r="AI27" s="29"/>
      <c r="AJ27" s="55" t="s">
        <v>206</v>
      </c>
      <c r="AK27" s="55" t="s">
        <v>206</v>
      </c>
      <c r="AL27" s="55" t="s">
        <v>206</v>
      </c>
      <c r="AM27" s="55" t="s">
        <v>206</v>
      </c>
      <c r="AN27" s="55" t="s">
        <v>206</v>
      </c>
      <c r="AO27" s="55" t="s">
        <v>206</v>
      </c>
      <c r="AP27" s="29"/>
      <c r="AQ27" s="55" t="s">
        <v>206</v>
      </c>
      <c r="AR27" s="55" t="s">
        <v>206</v>
      </c>
      <c r="AS27" s="55" t="s">
        <v>206</v>
      </c>
      <c r="AT27" s="55" t="s">
        <v>206</v>
      </c>
      <c r="AU27" s="55" t="s">
        <v>206</v>
      </c>
      <c r="AV27" s="55" t="s">
        <v>206</v>
      </c>
      <c r="AW27" s="29"/>
      <c r="AX27" s="55" t="s">
        <v>206</v>
      </c>
      <c r="AY27" s="55" t="s">
        <v>206</v>
      </c>
      <c r="AZ27" s="61"/>
      <c r="BA27" s="55" t="s">
        <v>41</v>
      </c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</row>
    <row r="28">
      <c r="A28" s="48">
        <v>25.0</v>
      </c>
      <c r="B28" s="25" t="s">
        <v>296</v>
      </c>
      <c r="C28" s="25" t="s">
        <v>297</v>
      </c>
      <c r="D28" s="48">
        <f t="shared" si="2"/>
        <v>37</v>
      </c>
      <c r="E28" s="48">
        <f t="shared" si="3"/>
        <v>2</v>
      </c>
      <c r="F28" s="50">
        <f t="shared" si="4"/>
        <v>39</v>
      </c>
      <c r="G28" s="54">
        <f t="shared" si="5"/>
        <v>94.87179487</v>
      </c>
      <c r="H28" s="55" t="s">
        <v>206</v>
      </c>
      <c r="I28" s="55" t="s">
        <v>206</v>
      </c>
      <c r="J28" s="55" t="s">
        <v>206</v>
      </c>
      <c r="K28" s="55" t="s">
        <v>206</v>
      </c>
      <c r="L28" s="55" t="s">
        <v>206</v>
      </c>
      <c r="M28" s="55" t="s">
        <v>206</v>
      </c>
      <c r="N28" s="29"/>
      <c r="O28" s="55" t="s">
        <v>206</v>
      </c>
      <c r="P28" s="55" t="s">
        <v>206</v>
      </c>
      <c r="Q28" s="55" t="s">
        <v>206</v>
      </c>
      <c r="R28" s="55" t="s">
        <v>206</v>
      </c>
      <c r="S28" s="55" t="s">
        <v>206</v>
      </c>
      <c r="T28" s="55" t="s">
        <v>206</v>
      </c>
      <c r="U28" s="29"/>
      <c r="V28" s="55" t="s">
        <v>41</v>
      </c>
      <c r="W28" s="55" t="s">
        <v>206</v>
      </c>
      <c r="X28" s="55" t="s">
        <v>225</v>
      </c>
      <c r="Y28" s="55" t="s">
        <v>225</v>
      </c>
      <c r="Z28" s="55" t="s">
        <v>225</v>
      </c>
      <c r="AA28" s="55" t="s">
        <v>206</v>
      </c>
      <c r="AB28" s="29"/>
      <c r="AC28" s="55" t="s">
        <v>206</v>
      </c>
      <c r="AD28" s="55" t="s">
        <v>206</v>
      </c>
      <c r="AE28" s="55" t="s">
        <v>206</v>
      </c>
      <c r="AF28" s="55" t="s">
        <v>206</v>
      </c>
      <c r="AG28" s="55" t="s">
        <v>206</v>
      </c>
      <c r="AH28" s="55" t="s">
        <v>206</v>
      </c>
      <c r="AI28" s="29"/>
      <c r="AJ28" s="55" t="s">
        <v>41</v>
      </c>
      <c r="AK28" s="55" t="s">
        <v>206</v>
      </c>
      <c r="AL28" s="55" t="s">
        <v>206</v>
      </c>
      <c r="AM28" s="55" t="s">
        <v>206</v>
      </c>
      <c r="AN28" s="55" t="s">
        <v>206</v>
      </c>
      <c r="AO28" s="55" t="s">
        <v>206</v>
      </c>
      <c r="AP28" s="29"/>
      <c r="AQ28" s="55" t="s">
        <v>206</v>
      </c>
      <c r="AR28" s="55" t="s">
        <v>206</v>
      </c>
      <c r="AS28" s="55" t="s">
        <v>206</v>
      </c>
      <c r="AT28" s="55" t="s">
        <v>206</v>
      </c>
      <c r="AU28" s="55" t="s">
        <v>206</v>
      </c>
      <c r="AV28" s="55" t="s">
        <v>206</v>
      </c>
      <c r="AW28" s="29"/>
      <c r="AX28" s="55" t="s">
        <v>206</v>
      </c>
      <c r="AY28" s="55" t="s">
        <v>206</v>
      </c>
      <c r="AZ28" s="61"/>
      <c r="BA28" s="55" t="s">
        <v>206</v>
      </c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</row>
    <row r="29">
      <c r="A29" s="48">
        <v>26.0</v>
      </c>
      <c r="B29" s="25" t="s">
        <v>300</v>
      </c>
      <c r="C29" s="25" t="s">
        <v>301</v>
      </c>
      <c r="D29" s="48">
        <f t="shared" si="2"/>
        <v>36</v>
      </c>
      <c r="E29" s="48">
        <f t="shared" si="3"/>
        <v>3</v>
      </c>
      <c r="F29" s="50">
        <f t="shared" si="4"/>
        <v>39</v>
      </c>
      <c r="G29" s="54">
        <f t="shared" si="5"/>
        <v>92.30769231</v>
      </c>
      <c r="H29" s="55" t="s">
        <v>206</v>
      </c>
      <c r="I29" s="55" t="s">
        <v>206</v>
      </c>
      <c r="J29" s="55" t="s">
        <v>206</v>
      </c>
      <c r="K29" s="55" t="s">
        <v>206</v>
      </c>
      <c r="L29" s="55" t="s">
        <v>206</v>
      </c>
      <c r="M29" s="55" t="s">
        <v>206</v>
      </c>
      <c r="N29" s="29"/>
      <c r="O29" s="55" t="s">
        <v>41</v>
      </c>
      <c r="P29" s="55" t="s">
        <v>206</v>
      </c>
      <c r="Q29" s="55" t="s">
        <v>206</v>
      </c>
      <c r="R29" s="55" t="s">
        <v>206</v>
      </c>
      <c r="S29" s="55" t="s">
        <v>206</v>
      </c>
      <c r="T29" s="55" t="s">
        <v>206</v>
      </c>
      <c r="U29" s="29"/>
      <c r="V29" s="55" t="s">
        <v>206</v>
      </c>
      <c r="W29" s="55" t="s">
        <v>206</v>
      </c>
      <c r="X29" s="55" t="s">
        <v>225</v>
      </c>
      <c r="Y29" s="55" t="s">
        <v>225</v>
      </c>
      <c r="Z29" s="55" t="s">
        <v>225</v>
      </c>
      <c r="AA29" s="55" t="s">
        <v>206</v>
      </c>
      <c r="AB29" s="29"/>
      <c r="AC29" s="55" t="s">
        <v>206</v>
      </c>
      <c r="AD29" s="55" t="s">
        <v>206</v>
      </c>
      <c r="AE29" s="55" t="s">
        <v>206</v>
      </c>
      <c r="AF29" s="55" t="s">
        <v>206</v>
      </c>
      <c r="AG29" s="55" t="s">
        <v>206</v>
      </c>
      <c r="AH29" s="55" t="s">
        <v>206</v>
      </c>
      <c r="AI29" s="29"/>
      <c r="AJ29" s="55" t="s">
        <v>206</v>
      </c>
      <c r="AK29" s="55" t="s">
        <v>206</v>
      </c>
      <c r="AL29" s="55" t="s">
        <v>206</v>
      </c>
      <c r="AM29" s="55" t="s">
        <v>206</v>
      </c>
      <c r="AN29" s="55" t="s">
        <v>206</v>
      </c>
      <c r="AO29" s="55" t="s">
        <v>206</v>
      </c>
      <c r="AP29" s="29"/>
      <c r="AQ29" s="55" t="s">
        <v>41</v>
      </c>
      <c r="AR29" s="55" t="s">
        <v>206</v>
      </c>
      <c r="AS29" s="55" t="s">
        <v>206</v>
      </c>
      <c r="AT29" s="55" t="s">
        <v>206</v>
      </c>
      <c r="AU29" s="55" t="s">
        <v>41</v>
      </c>
      <c r="AV29" s="55" t="s">
        <v>206</v>
      </c>
      <c r="AW29" s="29"/>
      <c r="AX29" s="55" t="s">
        <v>206</v>
      </c>
      <c r="AY29" s="55" t="s">
        <v>206</v>
      </c>
      <c r="AZ29" s="61"/>
      <c r="BA29" s="55" t="s">
        <v>206</v>
      </c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</row>
    <row r="30">
      <c r="A30" s="48">
        <v>27.0</v>
      </c>
      <c r="B30" s="25" t="s">
        <v>304</v>
      </c>
      <c r="C30" s="25" t="s">
        <v>305</v>
      </c>
      <c r="D30" s="48">
        <f t="shared" si="2"/>
        <v>36</v>
      </c>
      <c r="E30" s="48">
        <f t="shared" si="3"/>
        <v>3</v>
      </c>
      <c r="F30" s="50">
        <f t="shared" si="4"/>
        <v>39</v>
      </c>
      <c r="G30" s="54">
        <f t="shared" si="5"/>
        <v>92.30769231</v>
      </c>
      <c r="H30" s="55" t="s">
        <v>206</v>
      </c>
      <c r="I30" s="55" t="s">
        <v>206</v>
      </c>
      <c r="J30" s="55" t="s">
        <v>206</v>
      </c>
      <c r="K30" s="55" t="s">
        <v>206</v>
      </c>
      <c r="L30" s="55" t="s">
        <v>206</v>
      </c>
      <c r="M30" s="55" t="s">
        <v>206</v>
      </c>
      <c r="N30" s="29"/>
      <c r="O30" s="55" t="s">
        <v>206</v>
      </c>
      <c r="P30" s="55" t="s">
        <v>206</v>
      </c>
      <c r="Q30" s="55" t="s">
        <v>206</v>
      </c>
      <c r="R30" s="55" t="s">
        <v>206</v>
      </c>
      <c r="S30" s="55" t="s">
        <v>206</v>
      </c>
      <c r="T30" s="55" t="s">
        <v>206</v>
      </c>
      <c r="U30" s="29"/>
      <c r="V30" s="55" t="s">
        <v>206</v>
      </c>
      <c r="W30" s="55" t="s">
        <v>206</v>
      </c>
      <c r="X30" s="55" t="s">
        <v>225</v>
      </c>
      <c r="Y30" s="55" t="s">
        <v>206</v>
      </c>
      <c r="Z30" s="55" t="s">
        <v>225</v>
      </c>
      <c r="AA30" s="55" t="s">
        <v>206</v>
      </c>
      <c r="AB30" s="29"/>
      <c r="AC30" s="55" t="s">
        <v>206</v>
      </c>
      <c r="AD30" s="55" t="s">
        <v>41</v>
      </c>
      <c r="AE30" s="55" t="s">
        <v>206</v>
      </c>
      <c r="AF30" s="55" t="s">
        <v>206</v>
      </c>
      <c r="AG30" s="55" t="s">
        <v>206</v>
      </c>
      <c r="AH30" s="55" t="s">
        <v>206</v>
      </c>
      <c r="AI30" s="29"/>
      <c r="AJ30" s="55" t="s">
        <v>206</v>
      </c>
      <c r="AK30" s="55" t="s">
        <v>206</v>
      </c>
      <c r="AL30" s="55" t="s">
        <v>206</v>
      </c>
      <c r="AM30" s="55" t="s">
        <v>206</v>
      </c>
      <c r="AN30" s="55" t="s">
        <v>206</v>
      </c>
      <c r="AO30" s="55" t="s">
        <v>206</v>
      </c>
      <c r="AP30" s="29"/>
      <c r="AQ30" s="55" t="s">
        <v>206</v>
      </c>
      <c r="AR30" s="55" t="s">
        <v>41</v>
      </c>
      <c r="AS30" s="55" t="s">
        <v>206</v>
      </c>
      <c r="AT30" s="55" t="s">
        <v>206</v>
      </c>
      <c r="AU30" s="55" t="s">
        <v>206</v>
      </c>
      <c r="AV30" s="55" t="s">
        <v>206</v>
      </c>
      <c r="AW30" s="29"/>
      <c r="AX30" s="55" t="s">
        <v>206</v>
      </c>
      <c r="AY30" s="55" t="s">
        <v>41</v>
      </c>
      <c r="AZ30" s="61"/>
      <c r="BA30" s="55" t="s">
        <v>206</v>
      </c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</row>
    <row r="31">
      <c r="A31" s="48">
        <v>28.0</v>
      </c>
      <c r="B31" s="25" t="s">
        <v>311</v>
      </c>
      <c r="C31" s="25" t="s">
        <v>312</v>
      </c>
      <c r="D31" s="48">
        <f t="shared" si="2"/>
        <v>38</v>
      </c>
      <c r="E31" s="48">
        <f t="shared" si="3"/>
        <v>1</v>
      </c>
      <c r="F31" s="50">
        <f t="shared" si="4"/>
        <v>39</v>
      </c>
      <c r="G31" s="54">
        <f t="shared" si="5"/>
        <v>97.43589744</v>
      </c>
      <c r="H31" s="55" t="s">
        <v>206</v>
      </c>
      <c r="I31" s="55" t="s">
        <v>206</v>
      </c>
      <c r="J31" s="55" t="s">
        <v>206</v>
      </c>
      <c r="K31" s="55" t="s">
        <v>206</v>
      </c>
      <c r="L31" s="55" t="s">
        <v>206</v>
      </c>
      <c r="M31" s="55" t="s">
        <v>206</v>
      </c>
      <c r="N31" s="29"/>
      <c r="O31" s="55" t="s">
        <v>41</v>
      </c>
      <c r="P31" s="55" t="s">
        <v>206</v>
      </c>
      <c r="Q31" s="55" t="s">
        <v>206</v>
      </c>
      <c r="R31" s="55" t="s">
        <v>206</v>
      </c>
      <c r="S31" s="55" t="s">
        <v>206</v>
      </c>
      <c r="T31" s="55" t="s">
        <v>206</v>
      </c>
      <c r="U31" s="29"/>
      <c r="V31" s="55" t="s">
        <v>206</v>
      </c>
      <c r="W31" s="55" t="s">
        <v>206</v>
      </c>
      <c r="X31" s="55" t="s">
        <v>225</v>
      </c>
      <c r="Y31" s="55" t="s">
        <v>225</v>
      </c>
      <c r="Z31" s="55" t="s">
        <v>225</v>
      </c>
      <c r="AA31" s="55" t="s">
        <v>206</v>
      </c>
      <c r="AB31" s="29"/>
      <c r="AC31" s="55" t="s">
        <v>206</v>
      </c>
      <c r="AD31" s="55" t="s">
        <v>206</v>
      </c>
      <c r="AE31" s="55" t="s">
        <v>206</v>
      </c>
      <c r="AF31" s="55" t="s">
        <v>206</v>
      </c>
      <c r="AG31" s="55" t="s">
        <v>206</v>
      </c>
      <c r="AH31" s="55" t="s">
        <v>206</v>
      </c>
      <c r="AI31" s="29"/>
      <c r="AJ31" s="55" t="s">
        <v>206</v>
      </c>
      <c r="AK31" s="55" t="s">
        <v>206</v>
      </c>
      <c r="AL31" s="55" t="s">
        <v>206</v>
      </c>
      <c r="AM31" s="55" t="s">
        <v>206</v>
      </c>
      <c r="AN31" s="55" t="s">
        <v>206</v>
      </c>
      <c r="AO31" s="55" t="s">
        <v>206</v>
      </c>
      <c r="AP31" s="29"/>
      <c r="AQ31" s="55" t="s">
        <v>206</v>
      </c>
      <c r="AR31" s="55" t="s">
        <v>206</v>
      </c>
      <c r="AS31" s="55" t="s">
        <v>206</v>
      </c>
      <c r="AT31" s="55" t="s">
        <v>206</v>
      </c>
      <c r="AU31" s="55" t="s">
        <v>206</v>
      </c>
      <c r="AV31" s="55" t="s">
        <v>206</v>
      </c>
      <c r="AW31" s="29"/>
      <c r="AX31" s="55" t="s">
        <v>206</v>
      </c>
      <c r="AY31" s="55" t="s">
        <v>206</v>
      </c>
      <c r="AZ31" s="61"/>
      <c r="BA31" s="55" t="s">
        <v>206</v>
      </c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  <c r="BV31" s="61"/>
    </row>
    <row r="32">
      <c r="A32" s="48">
        <v>29.0</v>
      </c>
      <c r="B32" s="67" t="s">
        <v>316</v>
      </c>
      <c r="C32" s="67" t="s">
        <v>318</v>
      </c>
      <c r="D32" s="48">
        <f t="shared" si="2"/>
        <v>39</v>
      </c>
      <c r="E32" s="48">
        <f t="shared" si="3"/>
        <v>0</v>
      </c>
      <c r="F32" s="50">
        <f t="shared" si="4"/>
        <v>39</v>
      </c>
      <c r="G32" s="54">
        <f t="shared" si="5"/>
        <v>100</v>
      </c>
      <c r="H32" s="55" t="s">
        <v>206</v>
      </c>
      <c r="I32" s="55" t="s">
        <v>206</v>
      </c>
      <c r="J32" s="55" t="s">
        <v>206</v>
      </c>
      <c r="K32" s="55" t="s">
        <v>206</v>
      </c>
      <c r="L32" s="55" t="s">
        <v>206</v>
      </c>
      <c r="M32" s="55" t="s">
        <v>206</v>
      </c>
      <c r="N32" s="29"/>
      <c r="O32" s="55" t="s">
        <v>206</v>
      </c>
      <c r="P32" s="55" t="s">
        <v>206</v>
      </c>
      <c r="Q32" s="55" t="s">
        <v>206</v>
      </c>
      <c r="R32" s="55" t="s">
        <v>206</v>
      </c>
      <c r="S32" s="55" t="s">
        <v>206</v>
      </c>
      <c r="T32" s="55" t="s">
        <v>206</v>
      </c>
      <c r="U32" s="29"/>
      <c r="V32" s="55" t="s">
        <v>206</v>
      </c>
      <c r="W32" s="55" t="s">
        <v>206</v>
      </c>
      <c r="X32" s="55" t="s">
        <v>225</v>
      </c>
      <c r="Y32" s="55" t="s">
        <v>225</v>
      </c>
      <c r="Z32" s="55" t="s">
        <v>225</v>
      </c>
      <c r="AA32" s="55" t="s">
        <v>206</v>
      </c>
      <c r="AB32" s="29"/>
      <c r="AC32" s="55" t="s">
        <v>206</v>
      </c>
      <c r="AD32" s="55" t="s">
        <v>206</v>
      </c>
      <c r="AE32" s="55" t="s">
        <v>206</v>
      </c>
      <c r="AF32" s="55" t="s">
        <v>206</v>
      </c>
      <c r="AG32" s="55" t="s">
        <v>206</v>
      </c>
      <c r="AH32" s="55" t="s">
        <v>225</v>
      </c>
      <c r="AI32" s="29"/>
      <c r="AJ32" s="55" t="s">
        <v>206</v>
      </c>
      <c r="AK32" s="55" t="s">
        <v>206</v>
      </c>
      <c r="AL32" s="55" t="s">
        <v>206</v>
      </c>
      <c r="AM32" s="55" t="s">
        <v>206</v>
      </c>
      <c r="AN32" s="55" t="s">
        <v>206</v>
      </c>
      <c r="AO32" s="55" t="s">
        <v>206</v>
      </c>
      <c r="AP32" s="29"/>
      <c r="AQ32" s="55" t="s">
        <v>206</v>
      </c>
      <c r="AR32" s="55" t="s">
        <v>206</v>
      </c>
      <c r="AS32" s="55" t="s">
        <v>206</v>
      </c>
      <c r="AT32" s="55" t="s">
        <v>206</v>
      </c>
      <c r="AU32" s="55" t="s">
        <v>206</v>
      </c>
      <c r="AV32" s="55" t="s">
        <v>206</v>
      </c>
      <c r="AW32" s="29"/>
      <c r="AX32" s="55" t="s">
        <v>206</v>
      </c>
      <c r="AY32" s="55" t="s">
        <v>206</v>
      </c>
      <c r="AZ32" s="61"/>
      <c r="BA32" s="55" t="s">
        <v>225</v>
      </c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  <c r="BV32" s="61"/>
    </row>
    <row r="33">
      <c r="A33" s="48">
        <v>30.0</v>
      </c>
      <c r="B33" s="25" t="s">
        <v>321</v>
      </c>
      <c r="C33" s="25" t="s">
        <v>323</v>
      </c>
      <c r="D33" s="48">
        <f t="shared" si="2"/>
        <v>36</v>
      </c>
      <c r="E33" s="48">
        <f t="shared" si="3"/>
        <v>3</v>
      </c>
      <c r="F33" s="50">
        <f t="shared" si="4"/>
        <v>39</v>
      </c>
      <c r="G33" s="54">
        <f t="shared" si="5"/>
        <v>92.30769231</v>
      </c>
      <c r="H33" s="55" t="s">
        <v>41</v>
      </c>
      <c r="I33" s="55" t="s">
        <v>206</v>
      </c>
      <c r="J33" s="55" t="s">
        <v>206</v>
      </c>
      <c r="K33" s="55" t="s">
        <v>206</v>
      </c>
      <c r="L33" s="55" t="s">
        <v>41</v>
      </c>
      <c r="M33" s="55" t="s">
        <v>206</v>
      </c>
      <c r="N33" s="40"/>
      <c r="O33" s="55" t="s">
        <v>206</v>
      </c>
      <c r="P33" s="55" t="s">
        <v>206</v>
      </c>
      <c r="Q33" s="55" t="s">
        <v>206</v>
      </c>
      <c r="R33" s="55" t="s">
        <v>206</v>
      </c>
      <c r="S33" s="55" t="s">
        <v>206</v>
      </c>
      <c r="T33" s="55" t="s">
        <v>206</v>
      </c>
      <c r="U33" s="40"/>
      <c r="V33" s="55" t="s">
        <v>206</v>
      </c>
      <c r="W33" s="55" t="s">
        <v>206</v>
      </c>
      <c r="X33" s="55" t="s">
        <v>225</v>
      </c>
      <c r="Y33" s="55" t="s">
        <v>225</v>
      </c>
      <c r="Z33" s="55" t="s">
        <v>225</v>
      </c>
      <c r="AA33" s="55" t="s">
        <v>206</v>
      </c>
      <c r="AB33" s="40"/>
      <c r="AC33" s="55" t="s">
        <v>206</v>
      </c>
      <c r="AD33" s="55" t="s">
        <v>206</v>
      </c>
      <c r="AE33" s="55" t="s">
        <v>206</v>
      </c>
      <c r="AF33" s="55" t="s">
        <v>206</v>
      </c>
      <c r="AG33" s="55" t="s">
        <v>206</v>
      </c>
      <c r="AH33" s="55" t="s">
        <v>206</v>
      </c>
      <c r="AI33" s="40"/>
      <c r="AJ33" s="55" t="s">
        <v>206</v>
      </c>
      <c r="AK33" s="55" t="s">
        <v>206</v>
      </c>
      <c r="AL33" s="55" t="s">
        <v>206</v>
      </c>
      <c r="AM33" s="55" t="s">
        <v>206</v>
      </c>
      <c r="AN33" s="55" t="s">
        <v>206</v>
      </c>
      <c r="AO33" s="55" t="s">
        <v>206</v>
      </c>
      <c r="AP33" s="40"/>
      <c r="AQ33" s="55" t="s">
        <v>206</v>
      </c>
      <c r="AR33" s="55" t="s">
        <v>206</v>
      </c>
      <c r="AS33" s="55" t="s">
        <v>206</v>
      </c>
      <c r="AT33" s="55" t="s">
        <v>206</v>
      </c>
      <c r="AU33" s="55" t="s">
        <v>41</v>
      </c>
      <c r="AV33" s="55" t="s">
        <v>206</v>
      </c>
      <c r="AW33" s="40"/>
      <c r="AX33" s="55" t="s">
        <v>206</v>
      </c>
      <c r="AY33" s="55" t="s">
        <v>206</v>
      </c>
      <c r="AZ33" s="61"/>
      <c r="BA33" s="55" t="s">
        <v>206</v>
      </c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  <c r="BV33" s="61"/>
    </row>
    <row r="34">
      <c r="G34" s="75"/>
    </row>
    <row r="35">
      <c r="G35" s="75"/>
    </row>
    <row r="36">
      <c r="G36" s="75"/>
    </row>
    <row r="37">
      <c r="G37" s="75"/>
    </row>
    <row r="38">
      <c r="G38" s="75"/>
    </row>
    <row r="39">
      <c r="G39" s="75"/>
    </row>
    <row r="40">
      <c r="G40" s="75"/>
    </row>
    <row r="41">
      <c r="G41" s="75"/>
    </row>
    <row r="42">
      <c r="G42" s="75"/>
    </row>
    <row r="43">
      <c r="G43" s="75"/>
    </row>
    <row r="44">
      <c r="G44" s="75"/>
    </row>
    <row r="45">
      <c r="G45" s="76" t="s">
        <v>451</v>
      </c>
    </row>
    <row r="46">
      <c r="G46" s="75"/>
    </row>
  </sheetData>
  <mergeCells count="16">
    <mergeCell ref="H1:N1"/>
    <mergeCell ref="O1:AR1"/>
    <mergeCell ref="AS1:BV1"/>
    <mergeCell ref="N4:N33"/>
    <mergeCell ref="U4:U33"/>
    <mergeCell ref="AB4:AB33"/>
    <mergeCell ref="AI4:AI33"/>
    <mergeCell ref="AP4:AP33"/>
    <mergeCell ref="AW4:AW33"/>
    <mergeCell ref="A1:A3"/>
    <mergeCell ref="B1:B3"/>
    <mergeCell ref="C1:C3"/>
    <mergeCell ref="D1:D3"/>
    <mergeCell ref="E1:E3"/>
    <mergeCell ref="F1:F3"/>
    <mergeCell ref="G1:G3"/>
  </mergeCells>
  <conditionalFormatting sqref="H4:BV35">
    <cfRule type="beginsWith" dxfId="0" priority="1" operator="beginsWith" text="A">
      <formula>LEFT((H4),LEN("A"))=("A")</formula>
    </cfRule>
  </conditionalFormatting>
  <conditionalFormatting sqref="H4:BV35">
    <cfRule type="beginsWith" dxfId="1" priority="2" operator="beginsWith" text="p">
      <formula>LEFT((H4),LEN("p"))=("p")</formula>
    </cfRule>
  </conditionalFormatting>
  <conditionalFormatting sqref="H4:BV35">
    <cfRule type="beginsWith" dxfId="2" priority="3" operator="beginsWith" text="op">
      <formula>LEFT((H4),LEN("op"))=("op")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0.38"/>
    <col customWidth="1" min="4" max="4" width="33.63"/>
  </cols>
  <sheetData>
    <row r="1">
      <c r="A1" s="15" t="s">
        <v>14</v>
      </c>
      <c r="B1" s="15" t="s">
        <v>23</v>
      </c>
      <c r="C1" s="15" t="s">
        <v>25</v>
      </c>
      <c r="D1" s="15" t="s">
        <v>26</v>
      </c>
      <c r="E1" s="15" t="s">
        <v>28</v>
      </c>
    </row>
    <row r="2">
      <c r="A2" s="21">
        <v>1.0</v>
      </c>
      <c r="B2" s="23" t="s">
        <v>30</v>
      </c>
      <c r="C2" s="23" t="s">
        <v>33</v>
      </c>
      <c r="D2" s="23" t="s">
        <v>34</v>
      </c>
      <c r="E2" s="23" t="s">
        <v>35</v>
      </c>
    </row>
    <row r="3">
      <c r="A3" s="21">
        <v>2.0</v>
      </c>
      <c r="B3" s="23" t="s">
        <v>37</v>
      </c>
      <c r="C3" s="23" t="s">
        <v>38</v>
      </c>
      <c r="D3" s="23" t="s">
        <v>40</v>
      </c>
      <c r="E3" s="23" t="s">
        <v>35</v>
      </c>
    </row>
    <row r="4">
      <c r="A4" s="21">
        <v>3.0</v>
      </c>
      <c r="B4" s="23" t="s">
        <v>42</v>
      </c>
      <c r="C4" s="23" t="s">
        <v>44</v>
      </c>
      <c r="D4" s="23" t="s">
        <v>40</v>
      </c>
      <c r="E4" s="23" t="s">
        <v>35</v>
      </c>
    </row>
    <row r="5">
      <c r="A5" s="21">
        <v>4.0</v>
      </c>
      <c r="B5" s="23" t="s">
        <v>46</v>
      </c>
      <c r="C5" s="23" t="s">
        <v>44</v>
      </c>
      <c r="D5" s="23" t="s">
        <v>40</v>
      </c>
      <c r="E5" s="23" t="s">
        <v>35</v>
      </c>
    </row>
    <row r="6">
      <c r="A6" s="21">
        <v>5.0</v>
      </c>
      <c r="B6" s="23" t="s">
        <v>49</v>
      </c>
      <c r="C6" s="23" t="s">
        <v>50</v>
      </c>
      <c r="D6" s="23" t="s">
        <v>51</v>
      </c>
      <c r="E6" s="23" t="s">
        <v>35</v>
      </c>
    </row>
    <row r="7">
      <c r="A7" s="21">
        <v>6.0</v>
      </c>
      <c r="B7" s="23" t="s">
        <v>54</v>
      </c>
      <c r="C7" s="35" t="s">
        <v>55</v>
      </c>
      <c r="D7" s="23" t="s">
        <v>57</v>
      </c>
      <c r="E7" s="23" t="s">
        <v>35</v>
      </c>
    </row>
    <row r="8">
      <c r="A8" s="21">
        <v>7.0</v>
      </c>
      <c r="B8" s="37">
        <v>46028.0</v>
      </c>
      <c r="C8" s="23" t="s">
        <v>60</v>
      </c>
      <c r="D8" s="23" t="s">
        <v>63</v>
      </c>
      <c r="E8" s="23" t="s">
        <v>35</v>
      </c>
    </row>
    <row r="9">
      <c r="A9" s="21">
        <v>8.0</v>
      </c>
      <c r="B9" s="37">
        <v>46059.0</v>
      </c>
      <c r="C9" s="23" t="s">
        <v>68</v>
      </c>
      <c r="D9" s="23" t="s">
        <v>69</v>
      </c>
      <c r="E9" s="23" t="s">
        <v>35</v>
      </c>
    </row>
    <row r="10">
      <c r="A10" s="21">
        <v>9.0</v>
      </c>
      <c r="B10" s="37">
        <v>46087.0</v>
      </c>
      <c r="C10" s="23" t="s">
        <v>71</v>
      </c>
      <c r="D10" s="23" t="s">
        <v>69</v>
      </c>
      <c r="E10" s="23" t="s">
        <v>35</v>
      </c>
    </row>
    <row r="11">
      <c r="A11" s="21">
        <v>10.0</v>
      </c>
      <c r="B11" s="37">
        <v>46118.0</v>
      </c>
      <c r="C11" s="23" t="s">
        <v>76</v>
      </c>
      <c r="D11" s="23" t="s">
        <v>57</v>
      </c>
      <c r="E11" s="23" t="s">
        <v>35</v>
      </c>
    </row>
    <row r="12">
      <c r="A12" s="21">
        <v>11.0</v>
      </c>
      <c r="B12" s="37">
        <v>46148.0</v>
      </c>
      <c r="C12" s="23" t="s">
        <v>80</v>
      </c>
      <c r="D12" s="23" t="s">
        <v>69</v>
      </c>
      <c r="E12" s="23" t="s">
        <v>35</v>
      </c>
    </row>
    <row r="13">
      <c r="A13" s="21">
        <v>12.0</v>
      </c>
      <c r="B13" s="37">
        <v>46179.0</v>
      </c>
      <c r="C13" s="23" t="s">
        <v>83</v>
      </c>
      <c r="D13" s="23" t="s">
        <v>84</v>
      </c>
      <c r="E13" s="23" t="s">
        <v>35</v>
      </c>
    </row>
    <row r="14">
      <c r="A14" s="21">
        <v>13.0</v>
      </c>
      <c r="B14" s="37">
        <v>46240.0</v>
      </c>
      <c r="C14" s="23" t="s">
        <v>89</v>
      </c>
      <c r="D14" s="23" t="s">
        <v>63</v>
      </c>
      <c r="E14" s="23" t="s">
        <v>35</v>
      </c>
    </row>
    <row r="15">
      <c r="A15" s="21">
        <v>14.0</v>
      </c>
      <c r="B15" s="37">
        <v>46271.0</v>
      </c>
      <c r="C15" s="38" t="s">
        <v>91</v>
      </c>
      <c r="D15" s="23" t="s">
        <v>95</v>
      </c>
      <c r="E15" s="23" t="s">
        <v>35</v>
      </c>
    </row>
    <row r="16">
      <c r="A16" s="21">
        <v>15.0</v>
      </c>
      <c r="B16" s="37" t="s">
        <v>99</v>
      </c>
      <c r="C16" s="23" t="s">
        <v>103</v>
      </c>
      <c r="D16" s="23" t="s">
        <v>57</v>
      </c>
      <c r="E16" s="23" t="s">
        <v>35</v>
      </c>
    </row>
    <row r="17">
      <c r="A17" s="21">
        <v>16.0</v>
      </c>
      <c r="B17" s="37">
        <v>46332.0</v>
      </c>
      <c r="C17" s="23" t="s">
        <v>105</v>
      </c>
      <c r="D17" s="23" t="s">
        <v>95</v>
      </c>
      <c r="E17" s="23" t="s">
        <v>35</v>
      </c>
    </row>
    <row r="18">
      <c r="A18" s="21">
        <v>17.0</v>
      </c>
      <c r="B18" s="37">
        <v>46362.0</v>
      </c>
      <c r="C18" s="23" t="s">
        <v>109</v>
      </c>
      <c r="D18" s="23" t="s">
        <v>57</v>
      </c>
      <c r="E18" s="23" t="s">
        <v>35</v>
      </c>
    </row>
    <row r="19">
      <c r="A19" s="21">
        <v>18.0</v>
      </c>
      <c r="B19" s="23" t="s">
        <v>111</v>
      </c>
      <c r="C19" s="23" t="s">
        <v>113</v>
      </c>
      <c r="D19" s="23" t="s">
        <v>114</v>
      </c>
      <c r="E19" s="23" t="s">
        <v>35</v>
      </c>
    </row>
    <row r="20">
      <c r="A20" s="21">
        <v>19.0</v>
      </c>
      <c r="B20" s="23" t="s">
        <v>117</v>
      </c>
      <c r="C20" s="23" t="s">
        <v>119</v>
      </c>
      <c r="D20" s="23" t="s">
        <v>63</v>
      </c>
      <c r="E20" s="23" t="s">
        <v>35</v>
      </c>
    </row>
    <row r="21">
      <c r="A21" s="21">
        <v>20.0</v>
      </c>
      <c r="B21" s="23" t="s">
        <v>123</v>
      </c>
      <c r="C21" s="23" t="s">
        <v>124</v>
      </c>
      <c r="D21" s="23" t="s">
        <v>63</v>
      </c>
      <c r="E21" s="23" t="s">
        <v>35</v>
      </c>
    </row>
    <row r="22">
      <c r="A22" s="21">
        <v>21.0</v>
      </c>
      <c r="B22" s="23" t="s">
        <v>128</v>
      </c>
      <c r="C22" s="23" t="s">
        <v>129</v>
      </c>
      <c r="D22" s="23" t="s">
        <v>114</v>
      </c>
      <c r="E22" s="23" t="s">
        <v>35</v>
      </c>
    </row>
    <row r="23">
      <c r="A23" s="21">
        <v>22.0</v>
      </c>
      <c r="B23" s="23" t="s">
        <v>134</v>
      </c>
      <c r="C23" s="23" t="s">
        <v>135</v>
      </c>
      <c r="D23" s="23" t="s">
        <v>114</v>
      </c>
      <c r="E23" s="23" t="s">
        <v>35</v>
      </c>
    </row>
    <row r="24">
      <c r="A24" s="21">
        <v>23.0</v>
      </c>
      <c r="B24" s="35" t="s">
        <v>137</v>
      </c>
      <c r="C24" s="35" t="s">
        <v>139</v>
      </c>
      <c r="D24" s="35" t="s">
        <v>63</v>
      </c>
      <c r="E24" s="35" t="s">
        <v>35</v>
      </c>
    </row>
    <row r="25">
      <c r="A25" s="46">
        <v>24.0</v>
      </c>
      <c r="B25" s="35" t="s">
        <v>141</v>
      </c>
      <c r="C25" s="35" t="s">
        <v>142</v>
      </c>
      <c r="D25" s="35" t="s">
        <v>114</v>
      </c>
      <c r="E25" s="35" t="s">
        <v>35</v>
      </c>
    </row>
    <row r="26">
      <c r="A26" s="46">
        <v>25.0</v>
      </c>
      <c r="B26" s="35" t="s">
        <v>144</v>
      </c>
      <c r="C26" s="35" t="s">
        <v>145</v>
      </c>
      <c r="D26" s="35" t="s">
        <v>146</v>
      </c>
      <c r="E26" s="35" t="s">
        <v>35</v>
      </c>
    </row>
    <row r="27">
      <c r="A27" s="46">
        <v>26.0</v>
      </c>
      <c r="B27" s="35" t="s">
        <v>148</v>
      </c>
      <c r="C27" s="35" t="s">
        <v>149</v>
      </c>
      <c r="D27" s="35" t="s">
        <v>51</v>
      </c>
      <c r="E27" s="35" t="s">
        <v>151</v>
      </c>
    </row>
    <row r="28">
      <c r="A28" s="46">
        <v>27.0</v>
      </c>
      <c r="B28" s="35" t="s">
        <v>153</v>
      </c>
      <c r="C28" s="35" t="s">
        <v>156</v>
      </c>
      <c r="D28" s="35" t="s">
        <v>114</v>
      </c>
      <c r="E28" s="35" t="s">
        <v>151</v>
      </c>
    </row>
    <row r="29">
      <c r="A29" s="46">
        <v>28.0</v>
      </c>
      <c r="B29" s="35" t="s">
        <v>158</v>
      </c>
      <c r="C29" s="35" t="s">
        <v>159</v>
      </c>
      <c r="D29" s="35" t="s">
        <v>84</v>
      </c>
      <c r="E29" s="35" t="s">
        <v>151</v>
      </c>
    </row>
    <row r="30">
      <c r="A30" s="46">
        <v>29.0</v>
      </c>
      <c r="B30" s="35" t="s">
        <v>161</v>
      </c>
      <c r="C30" s="35" t="s">
        <v>162</v>
      </c>
      <c r="D30" s="35" t="s">
        <v>164</v>
      </c>
      <c r="E30" s="35" t="s">
        <v>151</v>
      </c>
    </row>
    <row r="31">
      <c r="A31" s="46">
        <v>30.0</v>
      </c>
      <c r="B31" s="35" t="s">
        <v>165</v>
      </c>
      <c r="C31" s="35" t="s">
        <v>167</v>
      </c>
      <c r="D31" s="35" t="s">
        <v>69</v>
      </c>
      <c r="E31" s="35" t="s">
        <v>35</v>
      </c>
    </row>
    <row r="32">
      <c r="A32" s="46">
        <v>31.0</v>
      </c>
      <c r="B32" s="35" t="s">
        <v>168</v>
      </c>
      <c r="C32" s="35" t="s">
        <v>169</v>
      </c>
      <c r="D32" s="35" t="s">
        <v>34</v>
      </c>
      <c r="E32" s="35" t="s">
        <v>35</v>
      </c>
    </row>
    <row r="33">
      <c r="A33" s="46">
        <v>32.0</v>
      </c>
      <c r="B33" s="35" t="s">
        <v>173</v>
      </c>
      <c r="C33" s="35" t="s">
        <v>174</v>
      </c>
      <c r="D33" s="35" t="s">
        <v>176</v>
      </c>
      <c r="E33" s="35" t="s">
        <v>35</v>
      </c>
    </row>
    <row r="34">
      <c r="A34" s="46">
        <v>33.0</v>
      </c>
      <c r="B34" s="47">
        <v>46029.0</v>
      </c>
      <c r="C34" s="35" t="s">
        <v>179</v>
      </c>
      <c r="D34" s="35" t="s">
        <v>114</v>
      </c>
      <c r="E34" s="35" t="s">
        <v>35</v>
      </c>
    </row>
    <row r="35">
      <c r="A35" s="46">
        <v>34.0</v>
      </c>
      <c r="B35" s="47">
        <v>46060.0</v>
      </c>
      <c r="C35" s="35" t="s">
        <v>181</v>
      </c>
      <c r="D35" s="35" t="s">
        <v>164</v>
      </c>
      <c r="E35" s="35" t="s">
        <v>35</v>
      </c>
    </row>
    <row r="36">
      <c r="A36" s="46">
        <v>35.0</v>
      </c>
      <c r="B36" s="47">
        <v>46088.0</v>
      </c>
      <c r="C36" s="35" t="s">
        <v>185</v>
      </c>
      <c r="D36" s="35" t="s">
        <v>176</v>
      </c>
      <c r="E36" s="35" t="s">
        <v>35</v>
      </c>
    </row>
    <row r="37">
      <c r="A37" s="46">
        <v>36.0</v>
      </c>
      <c r="B37" s="47">
        <v>46119.0</v>
      </c>
      <c r="C37" s="35" t="s">
        <v>188</v>
      </c>
      <c r="D37" s="35" t="s">
        <v>34</v>
      </c>
      <c r="E37" s="35" t="s">
        <v>35</v>
      </c>
    </row>
    <row r="38">
      <c r="A38" s="46">
        <v>37.0</v>
      </c>
      <c r="B38" s="47">
        <v>46180.0</v>
      </c>
      <c r="C38" s="35" t="s">
        <v>190</v>
      </c>
      <c r="D38" s="35" t="s">
        <v>191</v>
      </c>
      <c r="E38" s="35" t="s">
        <v>35</v>
      </c>
    </row>
    <row r="39">
      <c r="A39" s="46">
        <v>38.0</v>
      </c>
      <c r="B39" s="47">
        <v>46210.0</v>
      </c>
      <c r="C39" s="35" t="s">
        <v>193</v>
      </c>
      <c r="D39" s="35" t="s">
        <v>191</v>
      </c>
      <c r="E39" s="35" t="s">
        <v>35</v>
      </c>
    </row>
    <row r="40">
      <c r="A40" s="46">
        <v>39.0</v>
      </c>
    </row>
    <row r="41">
      <c r="A41" s="46">
        <v>40.0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2.5"/>
  </cols>
  <sheetData>
    <row r="1">
      <c r="A1" s="1"/>
      <c r="B1" s="1"/>
      <c r="C1" s="1"/>
      <c r="D1" s="3">
        <v>1.0</v>
      </c>
      <c r="E1" s="3">
        <v>2.0</v>
      </c>
      <c r="F1" s="3">
        <v>3.0</v>
      </c>
      <c r="G1" s="4">
        <v>4.0</v>
      </c>
      <c r="H1" s="4">
        <v>5.0</v>
      </c>
      <c r="I1" s="4">
        <v>6.0</v>
      </c>
      <c r="J1" s="4"/>
      <c r="K1" s="4"/>
      <c r="L1" s="4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2" t="s">
        <v>0</v>
      </c>
      <c r="B2" s="2" t="s">
        <v>1</v>
      </c>
      <c r="C2" s="10" t="s">
        <v>2</v>
      </c>
      <c r="D2" s="12" t="s">
        <v>7</v>
      </c>
      <c r="E2" s="12" t="s">
        <v>8</v>
      </c>
      <c r="F2" s="12" t="s">
        <v>10</v>
      </c>
      <c r="G2" s="12" t="s">
        <v>11</v>
      </c>
      <c r="H2" s="12" t="s">
        <v>12</v>
      </c>
      <c r="I2" s="12" t="s">
        <v>13</v>
      </c>
      <c r="J2" s="12" t="s">
        <v>15</v>
      </c>
      <c r="K2" s="12" t="s">
        <v>17</v>
      </c>
      <c r="L2" s="12" t="s">
        <v>19</v>
      </c>
      <c r="M2" s="12" t="s">
        <v>21</v>
      </c>
      <c r="N2" s="17" t="s">
        <v>22</v>
      </c>
      <c r="O2" s="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</row>
    <row r="3">
      <c r="A3" s="22">
        <v>1.0</v>
      </c>
      <c r="B3" s="25" t="s">
        <v>32</v>
      </c>
      <c r="C3" s="26" t="s">
        <v>36</v>
      </c>
      <c r="D3" s="27">
        <v>48.0</v>
      </c>
      <c r="E3" s="27">
        <v>33.0</v>
      </c>
      <c r="F3" s="27">
        <v>37.0</v>
      </c>
      <c r="G3" s="27">
        <v>36.0</v>
      </c>
      <c r="H3" s="27">
        <v>37.0</v>
      </c>
      <c r="I3" s="27">
        <v>36.0</v>
      </c>
      <c r="J3" s="27">
        <v>38.0</v>
      </c>
      <c r="K3" s="27" t="s">
        <v>41</v>
      </c>
      <c r="L3" s="27">
        <v>33.0</v>
      </c>
      <c r="M3" s="27">
        <v>38.0</v>
      </c>
      <c r="N3" s="34">
        <f t="shared" ref="N3:N18" si="1">Countif(D3:M3,"A")</f>
        <v>1</v>
      </c>
      <c r="O3" s="9"/>
      <c r="P3" s="36" t="str">
        <f>IFERROR(__xludf.DUMMYFUNCTION("TEXTJOIN("", "",TRUE,FILTER(D$1:M$1, D3:M3=""A""))"),"")</f>
        <v/>
      </c>
      <c r="Q3" s="36">
        <f t="shared" ref="Q3:Q32" si="2">countif(D3:M3,"A")</f>
        <v>1</v>
      </c>
    </row>
    <row r="4">
      <c r="A4" s="22">
        <v>2.0</v>
      </c>
      <c r="B4" s="25" t="s">
        <v>62</v>
      </c>
      <c r="C4" s="22" t="s">
        <v>64</v>
      </c>
      <c r="D4" s="27">
        <v>49.0</v>
      </c>
      <c r="E4" s="27">
        <v>36.0</v>
      </c>
      <c r="F4" s="27">
        <v>34.0</v>
      </c>
      <c r="G4" s="27">
        <v>40.0</v>
      </c>
      <c r="H4" s="27">
        <v>40.0</v>
      </c>
      <c r="I4" s="27" t="s">
        <v>41</v>
      </c>
      <c r="J4" s="27">
        <v>40.0</v>
      </c>
      <c r="K4" s="27">
        <v>40.0</v>
      </c>
      <c r="L4" s="27">
        <v>40.0</v>
      </c>
      <c r="M4" s="27">
        <v>40.0</v>
      </c>
      <c r="N4" s="34">
        <f t="shared" si="1"/>
        <v>1</v>
      </c>
      <c r="O4" s="9"/>
      <c r="P4" s="36" t="str">
        <f>IFERROR(__xludf.DUMMYFUNCTION("TEXTJOIN("", "",TRUE,FILTER(D$1:M$1, D4:M4=""A""))"),"6")</f>
        <v>6</v>
      </c>
      <c r="Q4" s="36">
        <f t="shared" si="2"/>
        <v>1</v>
      </c>
    </row>
    <row r="5">
      <c r="A5" s="22">
        <v>3.0</v>
      </c>
      <c r="B5" s="25" t="s">
        <v>74</v>
      </c>
      <c r="C5" s="26" t="s">
        <v>75</v>
      </c>
      <c r="D5" s="27">
        <v>50.0</v>
      </c>
      <c r="E5" s="27">
        <v>39.0</v>
      </c>
      <c r="F5" s="27">
        <v>38.0</v>
      </c>
      <c r="G5" s="27">
        <v>39.0</v>
      </c>
      <c r="H5" s="27">
        <v>40.0</v>
      </c>
      <c r="I5" s="27">
        <v>40.0</v>
      </c>
      <c r="J5" s="27">
        <v>40.0</v>
      </c>
      <c r="K5" s="27">
        <v>40.0</v>
      </c>
      <c r="L5" s="27" t="s">
        <v>41</v>
      </c>
      <c r="M5" s="27" t="s">
        <v>41</v>
      </c>
      <c r="N5" s="34">
        <f t="shared" si="1"/>
        <v>2</v>
      </c>
      <c r="O5" s="9"/>
      <c r="P5" s="36" t="str">
        <f>IFERROR(__xludf.DUMMYFUNCTION("TEXTJOIN("", "",TRUE,FILTER(D$1:M$1, D5:M5=""A""))"),"")</f>
        <v/>
      </c>
      <c r="Q5" s="36">
        <f t="shared" si="2"/>
        <v>2</v>
      </c>
    </row>
    <row r="6">
      <c r="A6" s="22">
        <v>4.0</v>
      </c>
      <c r="B6" s="25" t="s">
        <v>85</v>
      </c>
      <c r="C6" s="26" t="s">
        <v>86</v>
      </c>
      <c r="D6" s="27">
        <v>47.0</v>
      </c>
      <c r="E6" s="27">
        <v>36.0</v>
      </c>
      <c r="F6" s="27">
        <v>35.0</v>
      </c>
      <c r="G6" s="27">
        <v>36.0</v>
      </c>
      <c r="H6" s="27">
        <v>33.0</v>
      </c>
      <c r="I6" s="27">
        <v>35.0</v>
      </c>
      <c r="J6" s="27" t="s">
        <v>41</v>
      </c>
      <c r="K6" s="27">
        <v>36.0</v>
      </c>
      <c r="L6" s="27" t="s">
        <v>41</v>
      </c>
      <c r="M6" s="27" t="s">
        <v>41</v>
      </c>
      <c r="N6" s="34">
        <f t="shared" si="1"/>
        <v>3</v>
      </c>
      <c r="O6" s="9"/>
      <c r="P6" s="36" t="str">
        <f>IFERROR(__xludf.DUMMYFUNCTION("TEXTJOIN("", "",TRUE,FILTER(D$1:M$1, D6:M6=""A""))"),"")</f>
        <v/>
      </c>
      <c r="Q6" s="36">
        <f t="shared" si="2"/>
        <v>3</v>
      </c>
    </row>
    <row r="7">
      <c r="A7" s="22">
        <v>5.0</v>
      </c>
      <c r="B7" s="25" t="s">
        <v>92</v>
      </c>
      <c r="C7" s="26" t="s">
        <v>93</v>
      </c>
      <c r="D7" s="27">
        <v>41.0</v>
      </c>
      <c r="E7" s="27">
        <v>33.0</v>
      </c>
      <c r="F7" s="27">
        <v>31.0</v>
      </c>
      <c r="G7" s="27">
        <v>28.0</v>
      </c>
      <c r="H7" s="27">
        <v>25.0</v>
      </c>
      <c r="I7" s="27">
        <v>26.0</v>
      </c>
      <c r="J7" s="27">
        <v>36.0</v>
      </c>
      <c r="K7" s="27">
        <v>36.0</v>
      </c>
      <c r="L7" s="27">
        <v>35.0</v>
      </c>
      <c r="M7" s="27">
        <v>31.0</v>
      </c>
      <c r="N7" s="34">
        <f t="shared" si="1"/>
        <v>0</v>
      </c>
      <c r="O7" s="9"/>
      <c r="P7" s="36" t="str">
        <f>IFERROR(__xludf.DUMMYFUNCTION("TEXTJOIN("", "",TRUE,FILTER(D$1:M$1, D7:M7=""A""))"),"#N/A")</f>
        <v>#N/A</v>
      </c>
      <c r="Q7" s="36">
        <f t="shared" si="2"/>
        <v>0</v>
      </c>
    </row>
    <row r="8">
      <c r="A8" s="22">
        <v>6.0</v>
      </c>
      <c r="B8" s="25" t="s">
        <v>101</v>
      </c>
      <c r="C8" s="26" t="s">
        <v>102</v>
      </c>
      <c r="D8" s="27">
        <v>47.0</v>
      </c>
      <c r="E8" s="27">
        <v>37.0</v>
      </c>
      <c r="F8" s="27">
        <v>37.0</v>
      </c>
      <c r="G8" s="27">
        <v>37.0</v>
      </c>
      <c r="H8" s="27" t="s">
        <v>41</v>
      </c>
      <c r="I8" s="27">
        <v>36.0</v>
      </c>
      <c r="J8" s="27">
        <v>36.0</v>
      </c>
      <c r="K8" s="27">
        <v>36.0</v>
      </c>
      <c r="L8" s="27">
        <v>34.0</v>
      </c>
      <c r="M8" s="27">
        <v>36.0</v>
      </c>
      <c r="N8" s="34">
        <f t="shared" si="1"/>
        <v>1</v>
      </c>
      <c r="O8" s="9"/>
      <c r="P8" s="36" t="str">
        <f>IFERROR(__xludf.DUMMYFUNCTION("TEXTJOIN("", "",TRUE,FILTER(D$1:M$1, D8:M8=""A""))"),"5")</f>
        <v>5</v>
      </c>
      <c r="Q8" s="36">
        <f t="shared" si="2"/>
        <v>1</v>
      </c>
    </row>
    <row r="9">
      <c r="A9" s="22">
        <v>7.0</v>
      </c>
      <c r="B9" s="25" t="s">
        <v>107</v>
      </c>
      <c r="C9" s="26" t="s">
        <v>108</v>
      </c>
      <c r="D9" s="27">
        <v>40.0</v>
      </c>
      <c r="E9" s="27">
        <v>30.0</v>
      </c>
      <c r="F9" s="27">
        <v>34.0</v>
      </c>
      <c r="G9" s="27">
        <v>36.0</v>
      </c>
      <c r="H9" s="27">
        <v>34.0</v>
      </c>
      <c r="I9" s="27">
        <v>36.0</v>
      </c>
      <c r="J9" s="27">
        <v>36.0</v>
      </c>
      <c r="K9" s="27">
        <v>36.0</v>
      </c>
      <c r="L9" s="27">
        <v>35.0</v>
      </c>
      <c r="M9" s="27">
        <v>36.0</v>
      </c>
      <c r="N9" s="34">
        <f t="shared" si="1"/>
        <v>0</v>
      </c>
      <c r="O9" s="9"/>
      <c r="P9" s="36" t="str">
        <f>IFERROR(__xludf.DUMMYFUNCTION("TEXTJOIN("", "",TRUE,FILTER(D$1:M$1, D9:M9=""A""))"),"#N/A")</f>
        <v>#N/A</v>
      </c>
      <c r="Q9" s="36">
        <f t="shared" si="2"/>
        <v>0</v>
      </c>
    </row>
    <row r="10">
      <c r="A10" s="22">
        <v>8.0</v>
      </c>
      <c r="B10" s="25" t="s">
        <v>118</v>
      </c>
      <c r="C10" s="26" t="s">
        <v>120</v>
      </c>
      <c r="D10" s="27" t="s">
        <v>41</v>
      </c>
      <c r="E10" s="27">
        <v>38.0</v>
      </c>
      <c r="F10" s="27">
        <v>38.0</v>
      </c>
      <c r="G10" s="27" t="s">
        <v>41</v>
      </c>
      <c r="H10" s="27" t="s">
        <v>41</v>
      </c>
      <c r="I10" s="27" t="s">
        <v>41</v>
      </c>
      <c r="J10" s="27">
        <v>27.0</v>
      </c>
      <c r="K10" s="27">
        <v>35.0</v>
      </c>
      <c r="L10" s="27">
        <v>38.0</v>
      </c>
      <c r="M10" s="27">
        <v>40.0</v>
      </c>
      <c r="N10" s="34">
        <f t="shared" si="1"/>
        <v>4</v>
      </c>
      <c r="O10" s="9"/>
      <c r="P10" s="36" t="str">
        <f>IFERROR(__xludf.DUMMYFUNCTION("TEXTJOIN("", "",TRUE,FILTER(D$1:M$1, D10:M10=""A""))"),"1, 4, 5, 6")</f>
        <v>1, 4, 5, 6</v>
      </c>
      <c r="Q10" s="36">
        <f t="shared" si="2"/>
        <v>4</v>
      </c>
    </row>
    <row r="11">
      <c r="A11" s="22">
        <v>9.0</v>
      </c>
      <c r="B11" s="25" t="s">
        <v>131</v>
      </c>
      <c r="C11" s="26" t="s">
        <v>132</v>
      </c>
      <c r="D11" s="27">
        <v>49.0</v>
      </c>
      <c r="E11" s="27">
        <v>39.0</v>
      </c>
      <c r="F11" s="27">
        <v>38.0</v>
      </c>
      <c r="G11" s="27">
        <v>37.0</v>
      </c>
      <c r="H11" s="27">
        <v>40.0</v>
      </c>
      <c r="I11" s="27">
        <v>38.0</v>
      </c>
      <c r="J11" s="27">
        <v>40.0</v>
      </c>
      <c r="K11" s="27">
        <v>33.0</v>
      </c>
      <c r="L11" s="27">
        <v>39.0</v>
      </c>
      <c r="M11" s="27">
        <v>40.0</v>
      </c>
      <c r="N11" s="34">
        <f t="shared" si="1"/>
        <v>0</v>
      </c>
      <c r="O11" s="9"/>
      <c r="P11" s="36" t="str">
        <f>IFERROR(__xludf.DUMMYFUNCTION("TEXTJOIN("", "",TRUE,FILTER(D$1:M$1, D11:M11=""A""))"),"#N/A")</f>
        <v>#N/A</v>
      </c>
      <c r="Q11" s="36">
        <f t="shared" si="2"/>
        <v>0</v>
      </c>
    </row>
    <row r="12">
      <c r="A12" s="22">
        <v>10.0</v>
      </c>
      <c r="B12" s="25" t="s">
        <v>152</v>
      </c>
      <c r="C12" s="26" t="s">
        <v>154</v>
      </c>
      <c r="D12" s="27">
        <v>49.0</v>
      </c>
      <c r="E12" s="27" t="s">
        <v>41</v>
      </c>
      <c r="F12" s="27">
        <v>40.0</v>
      </c>
      <c r="G12" s="27">
        <v>40.0</v>
      </c>
      <c r="H12" s="27"/>
      <c r="I12" s="27">
        <v>39.0</v>
      </c>
      <c r="J12" s="27">
        <v>40.0</v>
      </c>
      <c r="K12" s="27">
        <v>38.0</v>
      </c>
      <c r="L12" s="27">
        <v>39.0</v>
      </c>
      <c r="M12" s="27">
        <v>40.0</v>
      </c>
      <c r="N12" s="34">
        <f t="shared" si="1"/>
        <v>1</v>
      </c>
      <c r="O12" s="9"/>
      <c r="P12" s="36" t="str">
        <f>IFERROR(__xludf.DUMMYFUNCTION("TEXTJOIN("", "",TRUE,FILTER(D$1:M$1, D12:M12=""A""))"),"2")</f>
        <v>2</v>
      </c>
      <c r="Q12" s="36">
        <f t="shared" si="2"/>
        <v>1</v>
      </c>
    </row>
    <row r="13">
      <c r="A13" s="22">
        <v>11.0</v>
      </c>
      <c r="B13" s="25" t="s">
        <v>171</v>
      </c>
      <c r="C13" s="26" t="s">
        <v>172</v>
      </c>
      <c r="D13" s="27">
        <v>40.0</v>
      </c>
      <c r="E13" s="27">
        <v>33.0</v>
      </c>
      <c r="F13" s="27">
        <v>36.0</v>
      </c>
      <c r="G13" s="27">
        <v>36.0</v>
      </c>
      <c r="H13" s="27">
        <v>38.0</v>
      </c>
      <c r="I13" s="27">
        <v>36.0</v>
      </c>
      <c r="J13" s="27">
        <v>40.0</v>
      </c>
      <c r="K13" s="27">
        <v>35.0</v>
      </c>
      <c r="L13" s="27">
        <v>37.0</v>
      </c>
      <c r="M13" s="27" t="s">
        <v>41</v>
      </c>
      <c r="N13" s="34">
        <f t="shared" si="1"/>
        <v>1</v>
      </c>
      <c r="O13" s="9"/>
      <c r="P13" s="36" t="str">
        <f>IFERROR(__xludf.DUMMYFUNCTION("TEXTJOIN("", "",TRUE,FILTER(D$1:M$1, D13:M13=""A""))"),"")</f>
        <v/>
      </c>
      <c r="Q13" s="36">
        <f t="shared" si="2"/>
        <v>1</v>
      </c>
    </row>
    <row r="14">
      <c r="A14" s="22">
        <v>12.0</v>
      </c>
      <c r="B14" s="25" t="s">
        <v>184</v>
      </c>
      <c r="C14" s="26" t="s">
        <v>186</v>
      </c>
      <c r="D14" s="27">
        <v>48.0</v>
      </c>
      <c r="E14" s="27">
        <v>38.0</v>
      </c>
      <c r="F14" s="27">
        <v>37.0</v>
      </c>
      <c r="G14" s="27">
        <v>35.0</v>
      </c>
      <c r="H14" s="27">
        <v>34.0</v>
      </c>
      <c r="I14" s="27" t="s">
        <v>41</v>
      </c>
      <c r="J14" s="27">
        <v>34.0</v>
      </c>
      <c r="K14" s="27">
        <v>36.0</v>
      </c>
      <c r="L14" s="27" t="s">
        <v>41</v>
      </c>
      <c r="M14" s="27" t="s">
        <v>41</v>
      </c>
      <c r="N14" s="34">
        <f t="shared" si="1"/>
        <v>3</v>
      </c>
      <c r="O14" s="9"/>
      <c r="P14" s="36" t="str">
        <f>IFERROR(__xludf.DUMMYFUNCTION("TEXTJOIN("", "",TRUE,FILTER(D$1:M$1, D14:M14=""A""))"),"6")</f>
        <v>6</v>
      </c>
      <c r="Q14" s="36">
        <f t="shared" si="2"/>
        <v>3</v>
      </c>
    </row>
    <row r="15">
      <c r="A15" s="22">
        <v>13.0</v>
      </c>
      <c r="B15" s="25" t="s">
        <v>195</v>
      </c>
      <c r="C15" s="26" t="s">
        <v>197</v>
      </c>
      <c r="D15" s="27">
        <v>50.0</v>
      </c>
      <c r="E15" s="27">
        <v>40.0</v>
      </c>
      <c r="F15" s="27" t="s">
        <v>41</v>
      </c>
      <c r="G15" s="27">
        <v>40.0</v>
      </c>
      <c r="H15" s="27">
        <v>40.0</v>
      </c>
      <c r="I15" s="27">
        <v>40.0</v>
      </c>
      <c r="J15" s="27">
        <v>40.0</v>
      </c>
      <c r="K15" s="27">
        <v>48.0</v>
      </c>
      <c r="L15" s="27">
        <v>38.0</v>
      </c>
      <c r="M15" s="46" t="s">
        <v>41</v>
      </c>
      <c r="N15" s="34">
        <f t="shared" si="1"/>
        <v>2</v>
      </c>
      <c r="O15" s="9"/>
      <c r="P15" s="36" t="str">
        <f>IFERROR(__xludf.DUMMYFUNCTION("TEXTJOIN("", "",TRUE,FILTER(D$1:M$1, D15:M15=""A""))"),"3")</f>
        <v>3</v>
      </c>
      <c r="Q15" s="36">
        <f t="shared" si="2"/>
        <v>2</v>
      </c>
    </row>
    <row r="16">
      <c r="A16" s="22">
        <v>14.0</v>
      </c>
      <c r="B16" s="25" t="s">
        <v>202</v>
      </c>
      <c r="C16" s="26" t="s">
        <v>203</v>
      </c>
      <c r="D16" s="27">
        <v>44.0</v>
      </c>
      <c r="E16" s="27">
        <v>39.0</v>
      </c>
      <c r="F16" s="27">
        <v>36.0</v>
      </c>
      <c r="G16" s="27">
        <v>37.0</v>
      </c>
      <c r="H16" s="27">
        <v>38.0</v>
      </c>
      <c r="I16" s="27">
        <v>39.0</v>
      </c>
      <c r="J16" s="27">
        <v>37.0</v>
      </c>
      <c r="K16" s="27">
        <v>38.0</v>
      </c>
      <c r="L16" s="27">
        <v>34.0</v>
      </c>
      <c r="M16" s="27">
        <v>36.0</v>
      </c>
      <c r="N16" s="34">
        <f t="shared" si="1"/>
        <v>0</v>
      </c>
      <c r="O16" s="9"/>
      <c r="P16" s="36" t="str">
        <f>IFERROR(__xludf.DUMMYFUNCTION("TEXTJOIN("", "",TRUE,FILTER(D$1:M$1, D16:M16=""A""))"),"#N/A")</f>
        <v>#N/A</v>
      </c>
      <c r="Q16" s="36">
        <f t="shared" si="2"/>
        <v>0</v>
      </c>
    </row>
    <row r="17">
      <c r="A17" s="22">
        <v>15.0</v>
      </c>
      <c r="B17" s="25" t="s">
        <v>209</v>
      </c>
      <c r="C17" s="26" t="s">
        <v>211</v>
      </c>
      <c r="D17" s="27">
        <v>46.0</v>
      </c>
      <c r="E17" s="27">
        <v>33.0</v>
      </c>
      <c r="F17" s="27">
        <v>38.0</v>
      </c>
      <c r="G17" s="27">
        <v>35.0</v>
      </c>
      <c r="H17" s="27">
        <v>38.0</v>
      </c>
      <c r="I17" s="27">
        <v>36.0</v>
      </c>
      <c r="J17" s="27">
        <v>38.0</v>
      </c>
      <c r="K17" s="27">
        <v>39.0</v>
      </c>
      <c r="L17" s="27">
        <v>34.0</v>
      </c>
      <c r="M17" s="27">
        <v>38.0</v>
      </c>
      <c r="N17" s="34">
        <f t="shared" si="1"/>
        <v>0</v>
      </c>
      <c r="O17" s="9"/>
      <c r="P17" s="36" t="str">
        <f>IFERROR(__xludf.DUMMYFUNCTION("TEXTJOIN("", "",TRUE,FILTER(D$1:M$1, D17:M17=""A""))"),"#N/A")</f>
        <v>#N/A</v>
      </c>
      <c r="Q17" s="36">
        <f t="shared" si="2"/>
        <v>0</v>
      </c>
    </row>
    <row r="18">
      <c r="A18" s="22">
        <v>16.0</v>
      </c>
      <c r="B18" s="25" t="s">
        <v>217</v>
      </c>
      <c r="C18" s="26" t="s">
        <v>218</v>
      </c>
      <c r="D18" s="27" t="s">
        <v>41</v>
      </c>
      <c r="E18" s="27" t="s">
        <v>41</v>
      </c>
      <c r="F18" s="27" t="s">
        <v>41</v>
      </c>
      <c r="G18" s="27" t="s">
        <v>41</v>
      </c>
      <c r="H18" s="27" t="s">
        <v>41</v>
      </c>
      <c r="I18" s="27" t="s">
        <v>41</v>
      </c>
      <c r="J18" s="27" t="s">
        <v>41</v>
      </c>
      <c r="K18" s="27" t="s">
        <v>41</v>
      </c>
      <c r="L18" s="27" t="s">
        <v>41</v>
      </c>
      <c r="M18" s="27" t="s">
        <v>41</v>
      </c>
      <c r="N18" s="34">
        <f t="shared" si="1"/>
        <v>10</v>
      </c>
      <c r="O18" s="9"/>
      <c r="P18" s="36" t="str">
        <f>IFERROR(__xludf.DUMMYFUNCTION("TEXTJOIN("", "",TRUE,FILTER(D$1:M$1, D18:M18=""A""))"),"1, 2, 3, 4, 5, 6")</f>
        <v>1, 2, 3, 4, 5, 6</v>
      </c>
      <c r="Q18" s="36">
        <f t="shared" si="2"/>
        <v>10</v>
      </c>
    </row>
    <row r="19">
      <c r="A19" s="22">
        <v>17.0</v>
      </c>
      <c r="B19" s="27" t="s">
        <v>230</v>
      </c>
      <c r="C19" s="27" t="s">
        <v>231</v>
      </c>
      <c r="D19" s="59"/>
      <c r="E19" s="59"/>
      <c r="F19" s="59"/>
      <c r="G19" s="59"/>
      <c r="H19" s="59"/>
      <c r="I19" s="59"/>
      <c r="J19" s="27" t="s">
        <v>41</v>
      </c>
      <c r="K19" s="27" t="s">
        <v>41</v>
      </c>
      <c r="L19" s="27" t="s">
        <v>41</v>
      </c>
      <c r="M19" s="27" t="s">
        <v>41</v>
      </c>
      <c r="N19" s="59"/>
      <c r="O19" s="60"/>
      <c r="P19" s="36" t="str">
        <f>IFERROR(__xludf.DUMMYFUNCTION("TEXTJOIN("", "",TRUE,FILTER(D$1:M$1, D19:M19=""A""))"),"")</f>
        <v/>
      </c>
      <c r="Q19" s="36">
        <f t="shared" si="2"/>
        <v>4</v>
      </c>
    </row>
    <row r="20">
      <c r="A20" s="22">
        <v>18.0</v>
      </c>
      <c r="B20" s="25" t="s">
        <v>238</v>
      </c>
      <c r="C20" s="26" t="s">
        <v>240</v>
      </c>
      <c r="D20" s="27">
        <v>46.0</v>
      </c>
      <c r="E20" s="27">
        <v>36.0</v>
      </c>
      <c r="F20" s="27">
        <v>36.0</v>
      </c>
      <c r="G20" s="27">
        <v>35.0</v>
      </c>
      <c r="H20" s="27" t="s">
        <v>41</v>
      </c>
      <c r="I20" s="27">
        <v>33.0</v>
      </c>
      <c r="J20" s="27">
        <v>30.0</v>
      </c>
      <c r="K20" s="27">
        <v>27.0</v>
      </c>
      <c r="L20" s="27">
        <v>32.0</v>
      </c>
      <c r="M20" s="27">
        <v>24.0</v>
      </c>
      <c r="N20" s="34">
        <f t="shared" ref="N20:N32" si="3">Countif(D20:M20,"A")</f>
        <v>1</v>
      </c>
      <c r="O20" s="9"/>
      <c r="P20" s="36" t="str">
        <f>IFERROR(__xludf.DUMMYFUNCTION("TEXTJOIN("", "",TRUE,FILTER(D$1:M$1, D20:M20=""A""))"),"5")</f>
        <v>5</v>
      </c>
      <c r="Q20" s="36">
        <f t="shared" si="2"/>
        <v>1</v>
      </c>
    </row>
    <row r="21">
      <c r="A21" s="22">
        <v>19.0</v>
      </c>
      <c r="B21" s="25" t="s">
        <v>246</v>
      </c>
      <c r="C21" s="26" t="s">
        <v>247</v>
      </c>
      <c r="D21" s="27">
        <v>48.0</v>
      </c>
      <c r="E21" s="27">
        <v>33.0</v>
      </c>
      <c r="F21" s="27">
        <v>34.0</v>
      </c>
      <c r="G21" s="27">
        <v>29.0</v>
      </c>
      <c r="H21" s="27" t="s">
        <v>41</v>
      </c>
      <c r="I21" s="27">
        <v>33.0</v>
      </c>
      <c r="J21" s="27">
        <v>39.0</v>
      </c>
      <c r="K21" s="27">
        <v>37.0</v>
      </c>
      <c r="L21" s="27">
        <v>38.0</v>
      </c>
      <c r="M21" s="27" t="s">
        <v>41</v>
      </c>
      <c r="N21" s="34">
        <f t="shared" si="3"/>
        <v>2</v>
      </c>
      <c r="O21" s="9"/>
      <c r="P21" s="36" t="str">
        <f>IFERROR(__xludf.DUMMYFUNCTION("TEXTJOIN("", "",TRUE,FILTER(D$1:M$1, D21:M21=""A""))"),"5")</f>
        <v>5</v>
      </c>
      <c r="Q21" s="36">
        <f t="shared" si="2"/>
        <v>2</v>
      </c>
    </row>
    <row r="22">
      <c r="A22" s="22">
        <v>20.0</v>
      </c>
      <c r="B22" s="62" t="s">
        <v>255</v>
      </c>
      <c r="C22" s="62" t="s">
        <v>257</v>
      </c>
      <c r="D22" s="27">
        <v>48.0</v>
      </c>
      <c r="E22" s="27">
        <v>33.0</v>
      </c>
      <c r="F22" s="27">
        <v>35.0</v>
      </c>
      <c r="G22" s="27">
        <v>38.0</v>
      </c>
      <c r="H22" s="27">
        <v>36.0</v>
      </c>
      <c r="I22" s="27">
        <v>37.0</v>
      </c>
      <c r="J22" s="27">
        <v>38.0</v>
      </c>
      <c r="K22" s="27">
        <v>38.0</v>
      </c>
      <c r="L22" s="27">
        <v>37.0</v>
      </c>
      <c r="M22" s="27">
        <v>40.0</v>
      </c>
      <c r="N22" s="34">
        <f t="shared" si="3"/>
        <v>0</v>
      </c>
      <c r="O22" s="9"/>
      <c r="P22" s="36" t="str">
        <f>IFERROR(__xludf.DUMMYFUNCTION("TEXTJOIN("", "",TRUE,FILTER(D$1:M$1, D22:M22=""A""))"),"#N/A")</f>
        <v>#N/A</v>
      </c>
      <c r="Q22" s="36">
        <f t="shared" si="2"/>
        <v>0</v>
      </c>
    </row>
    <row r="23">
      <c r="A23" s="22">
        <v>21.0</v>
      </c>
      <c r="B23" s="25" t="s">
        <v>263</v>
      </c>
      <c r="C23" s="26" t="s">
        <v>264</v>
      </c>
      <c r="D23" s="27">
        <v>49.0</v>
      </c>
      <c r="E23" s="27">
        <v>38.0</v>
      </c>
      <c r="F23" s="27">
        <v>40.0</v>
      </c>
      <c r="G23" s="27">
        <v>40.0</v>
      </c>
      <c r="H23" s="27">
        <v>40.0</v>
      </c>
      <c r="I23" s="27">
        <v>39.0</v>
      </c>
      <c r="J23" s="27">
        <v>40.0</v>
      </c>
      <c r="K23" s="27">
        <v>40.0</v>
      </c>
      <c r="L23" s="27">
        <v>38.0</v>
      </c>
      <c r="M23" s="27">
        <v>40.0</v>
      </c>
      <c r="N23" s="34">
        <f t="shared" si="3"/>
        <v>0</v>
      </c>
      <c r="O23" s="9"/>
      <c r="P23" s="36" t="str">
        <f>IFERROR(__xludf.DUMMYFUNCTION("TEXTJOIN("", "",TRUE,FILTER(D$1:M$1, D23:M23=""A""))"),"#N/A")</f>
        <v>#N/A</v>
      </c>
      <c r="Q23" s="36">
        <f t="shared" si="2"/>
        <v>0</v>
      </c>
    </row>
    <row r="24">
      <c r="A24" s="22">
        <v>22.0</v>
      </c>
      <c r="B24" s="25" t="s">
        <v>268</v>
      </c>
      <c r="C24" s="26" t="s">
        <v>269</v>
      </c>
      <c r="D24" s="27">
        <v>50.0</v>
      </c>
      <c r="E24" s="27">
        <v>38.0</v>
      </c>
      <c r="F24" s="27">
        <v>37.0</v>
      </c>
      <c r="G24" s="27">
        <v>38.0</v>
      </c>
      <c r="H24" s="27">
        <v>38.0</v>
      </c>
      <c r="I24" s="27">
        <v>39.0</v>
      </c>
      <c r="J24" s="27">
        <v>40.0</v>
      </c>
      <c r="K24" s="27">
        <v>38.0</v>
      </c>
      <c r="L24" s="27">
        <v>36.0</v>
      </c>
      <c r="M24" s="27">
        <v>32.0</v>
      </c>
      <c r="N24" s="34">
        <f t="shared" si="3"/>
        <v>0</v>
      </c>
      <c r="O24" s="9"/>
      <c r="P24" s="36" t="str">
        <f>IFERROR(__xludf.DUMMYFUNCTION("TEXTJOIN("", "",TRUE,FILTER(D$1:M$1, D24:M24=""A""))"),"#N/A")</f>
        <v>#N/A</v>
      </c>
      <c r="Q24" s="36">
        <f t="shared" si="2"/>
        <v>0</v>
      </c>
    </row>
    <row r="25">
      <c r="A25" s="22">
        <v>23.0</v>
      </c>
      <c r="B25" s="25" t="s">
        <v>278</v>
      </c>
      <c r="C25" s="26" t="s">
        <v>280</v>
      </c>
      <c r="D25" s="27" t="s">
        <v>41</v>
      </c>
      <c r="E25" s="27">
        <v>35.0</v>
      </c>
      <c r="F25" s="27">
        <v>37.0</v>
      </c>
      <c r="G25" s="27">
        <v>32.0</v>
      </c>
      <c r="H25" s="27">
        <v>37.0</v>
      </c>
      <c r="I25" s="27" t="s">
        <v>41</v>
      </c>
      <c r="J25" s="27">
        <v>40.0</v>
      </c>
      <c r="K25" s="27" t="s">
        <v>41</v>
      </c>
      <c r="L25" s="27" t="s">
        <v>41</v>
      </c>
      <c r="M25" s="27" t="s">
        <v>41</v>
      </c>
      <c r="N25" s="34">
        <f t="shared" si="3"/>
        <v>5</v>
      </c>
      <c r="O25" s="9"/>
      <c r="P25" s="36" t="str">
        <f>IFERROR(__xludf.DUMMYFUNCTION("TEXTJOIN("", "",TRUE,FILTER(D$1:M$1, D25:M25=""A""))"),"1, 6")</f>
        <v>1, 6</v>
      </c>
      <c r="Q25" s="36">
        <f t="shared" si="2"/>
        <v>5</v>
      </c>
    </row>
    <row r="26">
      <c r="A26" s="22">
        <v>24.0</v>
      </c>
      <c r="B26" s="25" t="s">
        <v>289</v>
      </c>
      <c r="C26" s="26" t="s">
        <v>290</v>
      </c>
      <c r="D26" s="27">
        <v>43.0</v>
      </c>
      <c r="E26" s="27">
        <v>35.0</v>
      </c>
      <c r="F26" s="27">
        <v>34.0</v>
      </c>
      <c r="G26" s="27">
        <v>28.0</v>
      </c>
      <c r="H26" s="27">
        <v>26.0</v>
      </c>
      <c r="I26" s="27">
        <v>33.0</v>
      </c>
      <c r="J26" s="27">
        <v>31.0</v>
      </c>
      <c r="K26" s="27">
        <v>29.0</v>
      </c>
      <c r="L26" s="27">
        <v>29.0</v>
      </c>
      <c r="M26" s="27">
        <v>32.0</v>
      </c>
      <c r="N26" s="34">
        <f t="shared" si="3"/>
        <v>0</v>
      </c>
      <c r="O26" s="9"/>
      <c r="P26" s="36" t="str">
        <f>IFERROR(__xludf.DUMMYFUNCTION("TEXTJOIN("", "",TRUE,FILTER(D$1:M$1, D26:M26=""A""))"),"#N/A")</f>
        <v>#N/A</v>
      </c>
      <c r="Q26" s="36">
        <f t="shared" si="2"/>
        <v>0</v>
      </c>
    </row>
    <row r="27">
      <c r="A27" s="22">
        <v>25.0</v>
      </c>
      <c r="B27" s="25" t="s">
        <v>296</v>
      </c>
      <c r="C27" s="26" t="s">
        <v>297</v>
      </c>
      <c r="D27" s="27">
        <v>47.0</v>
      </c>
      <c r="E27" s="27">
        <v>36.0</v>
      </c>
      <c r="F27" s="27">
        <v>36.0</v>
      </c>
      <c r="G27" s="27">
        <v>39.0</v>
      </c>
      <c r="H27" s="27">
        <v>34.0</v>
      </c>
      <c r="I27" s="27">
        <v>35.0</v>
      </c>
      <c r="J27" s="27">
        <v>37.0</v>
      </c>
      <c r="K27" s="27">
        <v>35.0</v>
      </c>
      <c r="L27" s="27">
        <v>34.0</v>
      </c>
      <c r="M27" s="27">
        <v>32.0</v>
      </c>
      <c r="N27" s="34">
        <f t="shared" si="3"/>
        <v>0</v>
      </c>
      <c r="O27" s="9"/>
      <c r="P27" s="36" t="str">
        <f>IFERROR(__xludf.DUMMYFUNCTION("TEXTJOIN("", "",TRUE,FILTER(D$1:M$1, D27:M27=""A""))"),"#N/A")</f>
        <v>#N/A</v>
      </c>
      <c r="Q27" s="36">
        <f t="shared" si="2"/>
        <v>0</v>
      </c>
    </row>
    <row r="28">
      <c r="A28" s="22">
        <v>26.0</v>
      </c>
      <c r="B28" s="25" t="s">
        <v>300</v>
      </c>
      <c r="C28" s="26" t="s">
        <v>301</v>
      </c>
      <c r="D28" s="27">
        <v>47.0</v>
      </c>
      <c r="E28" s="27">
        <v>39.0</v>
      </c>
      <c r="F28" s="27">
        <v>37.0</v>
      </c>
      <c r="G28" s="27">
        <v>39.0</v>
      </c>
      <c r="H28" s="27">
        <v>37.0</v>
      </c>
      <c r="I28" s="27">
        <v>38.0</v>
      </c>
      <c r="J28" s="27">
        <v>40.0</v>
      </c>
      <c r="K28" s="27">
        <v>37.0</v>
      </c>
      <c r="L28" s="27">
        <v>38.0</v>
      </c>
      <c r="M28" s="27" t="s">
        <v>41</v>
      </c>
      <c r="N28" s="34">
        <f t="shared" si="3"/>
        <v>1</v>
      </c>
      <c r="O28" s="9"/>
      <c r="P28" s="36" t="str">
        <f>IFERROR(__xludf.DUMMYFUNCTION("TEXTJOIN("", "",TRUE,FILTER(D$1:M$1, D28:M28=""A""))"),"")</f>
        <v/>
      </c>
      <c r="Q28" s="36">
        <f t="shared" si="2"/>
        <v>1</v>
      </c>
    </row>
    <row r="29">
      <c r="A29" s="22">
        <v>27.0</v>
      </c>
      <c r="B29" s="25" t="s">
        <v>304</v>
      </c>
      <c r="C29" s="26" t="s">
        <v>305</v>
      </c>
      <c r="D29" s="27">
        <v>48.0</v>
      </c>
      <c r="E29" s="27">
        <v>40.0</v>
      </c>
      <c r="F29" s="27">
        <v>35.0</v>
      </c>
      <c r="G29" s="27">
        <v>38.0</v>
      </c>
      <c r="H29" s="27">
        <v>36.0</v>
      </c>
      <c r="I29" s="27" t="s">
        <v>41</v>
      </c>
      <c r="J29" s="27">
        <v>40.0</v>
      </c>
      <c r="K29" s="27">
        <v>39.0</v>
      </c>
      <c r="L29" s="27">
        <v>37.0</v>
      </c>
      <c r="M29" s="27">
        <v>40.0</v>
      </c>
      <c r="N29" s="34">
        <f t="shared" si="3"/>
        <v>1</v>
      </c>
      <c r="O29" s="9"/>
      <c r="P29" s="36" t="str">
        <f>IFERROR(__xludf.DUMMYFUNCTION("TEXTJOIN("", "",TRUE,FILTER(D$1:M$1, D29:M29=""A""))"),"6")</f>
        <v>6</v>
      </c>
      <c r="Q29" s="36">
        <f t="shared" si="2"/>
        <v>1</v>
      </c>
    </row>
    <row r="30">
      <c r="A30" s="22">
        <v>28.0</v>
      </c>
      <c r="B30" s="25" t="s">
        <v>311</v>
      </c>
      <c r="C30" s="26" t="s">
        <v>312</v>
      </c>
      <c r="D30" s="27">
        <v>49.0</v>
      </c>
      <c r="E30" s="27">
        <v>39.0</v>
      </c>
      <c r="F30" s="27">
        <v>40.0</v>
      </c>
      <c r="G30" s="27">
        <v>40.0</v>
      </c>
      <c r="H30" s="27">
        <v>40.0</v>
      </c>
      <c r="I30" s="27">
        <v>40.0</v>
      </c>
      <c r="J30" s="27">
        <v>40.0</v>
      </c>
      <c r="K30" s="27">
        <v>40.0</v>
      </c>
      <c r="L30" s="27">
        <v>39.0</v>
      </c>
      <c r="M30" s="27">
        <v>40.0</v>
      </c>
      <c r="N30" s="34">
        <f t="shared" si="3"/>
        <v>0</v>
      </c>
      <c r="O30" s="9"/>
      <c r="P30" s="36" t="str">
        <f>IFERROR(__xludf.DUMMYFUNCTION("TEXTJOIN("", "",TRUE,FILTER(D$1:M$1, D30:M30=""A""))"),"#N/A")</f>
        <v>#N/A</v>
      </c>
      <c r="Q30" s="36">
        <f t="shared" si="2"/>
        <v>0</v>
      </c>
    </row>
    <row r="31">
      <c r="A31" s="22">
        <v>29.0</v>
      </c>
      <c r="B31" s="67" t="s">
        <v>316</v>
      </c>
      <c r="C31" s="68" t="s">
        <v>318</v>
      </c>
      <c r="D31" s="27">
        <v>49.0</v>
      </c>
      <c r="E31" s="27">
        <v>33.0</v>
      </c>
      <c r="F31" s="27">
        <v>37.0</v>
      </c>
      <c r="G31" s="27">
        <v>37.0</v>
      </c>
      <c r="H31" s="27">
        <v>36.0</v>
      </c>
      <c r="I31" s="27">
        <v>36.0</v>
      </c>
      <c r="J31" s="27">
        <v>38.0</v>
      </c>
      <c r="K31" s="27">
        <v>35.0</v>
      </c>
      <c r="L31" s="27">
        <v>34.0</v>
      </c>
      <c r="M31" s="27">
        <v>36.0</v>
      </c>
      <c r="N31" s="34">
        <f t="shared" si="3"/>
        <v>0</v>
      </c>
      <c r="O31" s="9"/>
      <c r="P31" s="36" t="str">
        <f>IFERROR(__xludf.DUMMYFUNCTION("TEXTJOIN("", "",TRUE,FILTER(D$1:M$1, D31:M31=""A""))"),"#N/A")</f>
        <v>#N/A</v>
      </c>
      <c r="Q31" s="36">
        <f t="shared" si="2"/>
        <v>0</v>
      </c>
    </row>
    <row r="32">
      <c r="A32" s="22">
        <v>30.0</v>
      </c>
      <c r="B32" s="25" t="s">
        <v>321</v>
      </c>
      <c r="C32" s="26" t="s">
        <v>323</v>
      </c>
      <c r="D32" s="27">
        <v>49.0</v>
      </c>
      <c r="E32" s="27">
        <v>40.0</v>
      </c>
      <c r="F32" s="27">
        <v>40.0</v>
      </c>
      <c r="G32" s="27">
        <v>40.0</v>
      </c>
      <c r="H32" s="27">
        <v>40.0</v>
      </c>
      <c r="I32" s="27">
        <v>39.0</v>
      </c>
      <c r="J32" s="27">
        <v>40.0</v>
      </c>
      <c r="K32" s="27">
        <v>37.0</v>
      </c>
      <c r="L32" s="27">
        <v>36.0</v>
      </c>
      <c r="M32" s="27">
        <v>38.0</v>
      </c>
      <c r="N32" s="34">
        <f t="shared" si="3"/>
        <v>0</v>
      </c>
      <c r="O32" s="9"/>
      <c r="P32" s="36" t="str">
        <f>IFERROR(__xludf.DUMMYFUNCTION("TEXTJOIN("", "",TRUE,FILTER(D$1:M$1, D32:M32=""A""))"),"#N/A")</f>
        <v>#N/A</v>
      </c>
      <c r="Q32" s="36">
        <f t="shared" si="2"/>
        <v>0</v>
      </c>
    </row>
    <row r="33">
      <c r="C33" s="70"/>
    </row>
    <row r="34">
      <c r="C34" s="70"/>
      <c r="Q34" s="36" t="str">
        <f>IFERROR(__xludf.DUMMYFUNCTION("FILTER(B3:C32,Q3:Q32&gt;=5)"),"Praveen Kumar")</f>
        <v>Praveen Kumar</v>
      </c>
      <c r="R34" s="36" t="str">
        <f>IFERROR(__xludf.DUMMYFUNCTION("""COMPUTED_VALUE"""),"24EACCC032")</f>
        <v>24EACCC032</v>
      </c>
    </row>
    <row r="35">
      <c r="C35" s="70"/>
      <c r="Q35" s="36" t="str">
        <f>IFERROR(__xludf.DUMMYFUNCTION("""COMPUTED_VALUE"""),"Shiva")</f>
        <v>Shiva</v>
      </c>
      <c r="R35" s="36" t="str">
        <f>IFERROR(__xludf.DUMMYFUNCTION("""COMPUTED_VALUE"""),"24EACCS688")</f>
        <v>24EACCS688</v>
      </c>
    </row>
    <row r="36">
      <c r="C36" s="70"/>
    </row>
    <row r="37">
      <c r="C37" s="70"/>
    </row>
    <row r="38">
      <c r="C38" s="70"/>
    </row>
    <row r="39">
      <c r="C39" s="70"/>
    </row>
    <row r="40">
      <c r="C40" s="70"/>
    </row>
    <row r="41">
      <c r="C41" s="70"/>
    </row>
    <row r="42">
      <c r="C42" s="70"/>
    </row>
    <row r="43">
      <c r="C43" s="70"/>
    </row>
    <row r="44">
      <c r="C44" s="70"/>
    </row>
    <row r="45">
      <c r="C45" s="70"/>
    </row>
    <row r="46">
      <c r="C46" s="70"/>
    </row>
    <row r="47">
      <c r="C47" s="70"/>
    </row>
    <row r="48">
      <c r="C48" s="70"/>
    </row>
    <row r="49">
      <c r="C49" s="70"/>
    </row>
    <row r="50">
      <c r="C50" s="70"/>
    </row>
    <row r="51">
      <c r="C51" s="70"/>
    </row>
    <row r="52">
      <c r="C52" s="70"/>
    </row>
    <row r="53">
      <c r="C53" s="70"/>
    </row>
    <row r="54">
      <c r="C54" s="70"/>
    </row>
    <row r="55">
      <c r="C55" s="70"/>
    </row>
    <row r="56">
      <c r="C56" s="70"/>
    </row>
    <row r="57">
      <c r="C57" s="70"/>
    </row>
    <row r="58">
      <c r="C58" s="70"/>
    </row>
    <row r="59">
      <c r="C59" s="70"/>
    </row>
    <row r="60">
      <c r="C60" s="70"/>
    </row>
    <row r="61">
      <c r="C61" s="70"/>
    </row>
    <row r="62">
      <c r="C62" s="70"/>
    </row>
    <row r="63">
      <c r="C63" s="70"/>
    </row>
    <row r="64">
      <c r="C64" s="70"/>
    </row>
    <row r="65">
      <c r="C65" s="70"/>
    </row>
    <row r="66">
      <c r="C66" s="70"/>
    </row>
    <row r="67">
      <c r="C67" s="70"/>
    </row>
    <row r="68">
      <c r="C68" s="70"/>
    </row>
    <row r="69">
      <c r="C69" s="70"/>
    </row>
    <row r="70">
      <c r="C70" s="70"/>
    </row>
    <row r="71">
      <c r="C71" s="70"/>
    </row>
    <row r="72">
      <c r="C72" s="70"/>
    </row>
    <row r="73">
      <c r="C73" s="70"/>
    </row>
    <row r="74">
      <c r="C74" s="70"/>
    </row>
    <row r="75">
      <c r="C75" s="70"/>
    </row>
    <row r="76">
      <c r="C76" s="70"/>
    </row>
    <row r="77">
      <c r="C77" s="70"/>
    </row>
    <row r="78">
      <c r="C78" s="70"/>
    </row>
    <row r="79">
      <c r="C79" s="70"/>
    </row>
    <row r="80">
      <c r="C80" s="70"/>
    </row>
    <row r="81">
      <c r="C81" s="70"/>
    </row>
    <row r="82">
      <c r="C82" s="70"/>
    </row>
    <row r="83">
      <c r="C83" s="70"/>
    </row>
    <row r="84">
      <c r="C84" s="70"/>
    </row>
    <row r="85">
      <c r="C85" s="70"/>
    </row>
    <row r="86">
      <c r="C86" s="70"/>
    </row>
    <row r="87">
      <c r="C87" s="70"/>
    </row>
    <row r="88">
      <c r="C88" s="70"/>
    </row>
    <row r="89">
      <c r="C89" s="70"/>
    </row>
    <row r="90">
      <c r="C90" s="70"/>
    </row>
    <row r="91">
      <c r="C91" s="70"/>
    </row>
    <row r="92">
      <c r="C92" s="70"/>
    </row>
    <row r="93">
      <c r="C93" s="70"/>
    </row>
    <row r="94">
      <c r="C94" s="70"/>
    </row>
    <row r="95">
      <c r="C95" s="70"/>
    </row>
    <row r="96">
      <c r="C96" s="70"/>
    </row>
    <row r="97">
      <c r="C97" s="70"/>
    </row>
    <row r="98">
      <c r="C98" s="70"/>
    </row>
    <row r="99">
      <c r="C99" s="70"/>
    </row>
    <row r="100">
      <c r="C100" s="70"/>
    </row>
    <row r="101">
      <c r="C101" s="70"/>
    </row>
    <row r="102">
      <c r="C102" s="70"/>
    </row>
    <row r="103">
      <c r="C103" s="70"/>
    </row>
    <row r="104">
      <c r="C104" s="70"/>
    </row>
    <row r="105">
      <c r="C105" s="70"/>
    </row>
    <row r="106">
      <c r="C106" s="70"/>
    </row>
    <row r="107">
      <c r="C107" s="70"/>
    </row>
    <row r="108">
      <c r="C108" s="70"/>
    </row>
    <row r="109">
      <c r="C109" s="70"/>
    </row>
    <row r="110">
      <c r="C110" s="70"/>
    </row>
    <row r="111">
      <c r="C111" s="70"/>
    </row>
    <row r="112">
      <c r="C112" s="70"/>
    </row>
    <row r="113">
      <c r="C113" s="70"/>
    </row>
    <row r="114">
      <c r="C114" s="70"/>
    </row>
    <row r="115">
      <c r="C115" s="70"/>
    </row>
    <row r="116">
      <c r="C116" s="70"/>
    </row>
    <row r="117">
      <c r="C117" s="70"/>
    </row>
    <row r="118">
      <c r="C118" s="70"/>
    </row>
    <row r="119">
      <c r="C119" s="70"/>
    </row>
    <row r="120">
      <c r="C120" s="70"/>
    </row>
    <row r="121">
      <c r="C121" s="70"/>
    </row>
    <row r="122">
      <c r="C122" s="70"/>
    </row>
    <row r="123">
      <c r="C123" s="70"/>
    </row>
    <row r="124">
      <c r="C124" s="70"/>
    </row>
    <row r="125">
      <c r="C125" s="70"/>
    </row>
    <row r="126">
      <c r="C126" s="70"/>
    </row>
    <row r="127">
      <c r="C127" s="70"/>
    </row>
    <row r="128">
      <c r="C128" s="70"/>
    </row>
    <row r="129">
      <c r="C129" s="70"/>
    </row>
    <row r="130">
      <c r="C130" s="70"/>
    </row>
    <row r="131">
      <c r="C131" s="70"/>
    </row>
    <row r="132">
      <c r="C132" s="70"/>
    </row>
    <row r="133">
      <c r="C133" s="70"/>
    </row>
    <row r="134">
      <c r="C134" s="70"/>
    </row>
    <row r="135">
      <c r="C135" s="70"/>
    </row>
    <row r="136">
      <c r="C136" s="70"/>
    </row>
    <row r="137">
      <c r="C137" s="70"/>
    </row>
    <row r="138">
      <c r="C138" s="70"/>
    </row>
    <row r="139">
      <c r="C139" s="70"/>
    </row>
    <row r="140">
      <c r="C140" s="70"/>
    </row>
    <row r="141">
      <c r="C141" s="70"/>
    </row>
    <row r="142">
      <c r="C142" s="70"/>
    </row>
    <row r="143">
      <c r="C143" s="70"/>
    </row>
    <row r="144">
      <c r="C144" s="70"/>
    </row>
    <row r="145">
      <c r="C145" s="70"/>
    </row>
    <row r="146">
      <c r="C146" s="70"/>
    </row>
    <row r="147">
      <c r="C147" s="70"/>
    </row>
    <row r="148">
      <c r="C148" s="70"/>
    </row>
    <row r="149">
      <c r="C149" s="70"/>
    </row>
    <row r="150">
      <c r="C150" s="70"/>
    </row>
    <row r="151">
      <c r="C151" s="70"/>
    </row>
    <row r="152">
      <c r="C152" s="70"/>
    </row>
    <row r="153">
      <c r="C153" s="70"/>
    </row>
    <row r="154">
      <c r="C154" s="70"/>
    </row>
    <row r="155">
      <c r="C155" s="70"/>
    </row>
    <row r="156">
      <c r="C156" s="70"/>
    </row>
    <row r="157">
      <c r="C157" s="70"/>
    </row>
    <row r="158">
      <c r="C158" s="70"/>
    </row>
    <row r="159">
      <c r="C159" s="70"/>
    </row>
    <row r="160">
      <c r="C160" s="70"/>
    </row>
    <row r="161">
      <c r="C161" s="70"/>
    </row>
    <row r="162">
      <c r="C162" s="70"/>
    </row>
    <row r="163">
      <c r="C163" s="70"/>
    </row>
    <row r="164">
      <c r="C164" s="70"/>
    </row>
    <row r="165">
      <c r="C165" s="70"/>
    </row>
    <row r="166">
      <c r="C166" s="70"/>
    </row>
    <row r="167">
      <c r="C167" s="70"/>
    </row>
    <row r="168">
      <c r="C168" s="70"/>
    </row>
    <row r="169">
      <c r="C169" s="70"/>
    </row>
    <row r="170">
      <c r="C170" s="70"/>
    </row>
    <row r="171">
      <c r="C171" s="70"/>
    </row>
    <row r="172">
      <c r="C172" s="70"/>
    </row>
    <row r="173">
      <c r="C173" s="70"/>
    </row>
    <row r="174">
      <c r="C174" s="70"/>
    </row>
    <row r="175">
      <c r="C175" s="70"/>
    </row>
    <row r="176">
      <c r="C176" s="70"/>
    </row>
    <row r="177">
      <c r="C177" s="70"/>
    </row>
    <row r="178">
      <c r="C178" s="70"/>
    </row>
    <row r="179">
      <c r="C179" s="70"/>
    </row>
    <row r="180">
      <c r="C180" s="70"/>
    </row>
    <row r="181">
      <c r="C181" s="70"/>
    </row>
    <row r="182">
      <c r="C182" s="70"/>
    </row>
    <row r="183">
      <c r="C183" s="70"/>
    </row>
    <row r="184">
      <c r="C184" s="70"/>
    </row>
    <row r="185">
      <c r="C185" s="70"/>
    </row>
    <row r="186">
      <c r="C186" s="70"/>
    </row>
    <row r="187">
      <c r="C187" s="70"/>
    </row>
    <row r="188">
      <c r="C188" s="70"/>
    </row>
    <row r="189">
      <c r="C189" s="70"/>
    </row>
    <row r="190">
      <c r="C190" s="70"/>
    </row>
    <row r="191">
      <c r="C191" s="70"/>
    </row>
    <row r="192">
      <c r="C192" s="70"/>
    </row>
    <row r="193">
      <c r="C193" s="70"/>
    </row>
    <row r="194">
      <c r="C194" s="70"/>
    </row>
    <row r="195">
      <c r="C195" s="70"/>
    </row>
    <row r="196">
      <c r="C196" s="70"/>
    </row>
    <row r="197">
      <c r="C197" s="70"/>
    </row>
    <row r="198">
      <c r="C198" s="70"/>
    </row>
    <row r="199">
      <c r="C199" s="70"/>
    </row>
    <row r="200">
      <c r="C200" s="70"/>
    </row>
    <row r="201">
      <c r="C201" s="70"/>
    </row>
    <row r="202">
      <c r="C202" s="70"/>
    </row>
    <row r="203">
      <c r="C203" s="70"/>
    </row>
    <row r="204">
      <c r="C204" s="70"/>
    </row>
    <row r="205">
      <c r="C205" s="70"/>
    </row>
    <row r="206">
      <c r="C206" s="70"/>
    </row>
    <row r="207">
      <c r="C207" s="70"/>
    </row>
    <row r="208">
      <c r="C208" s="70"/>
    </row>
    <row r="209">
      <c r="C209" s="70"/>
    </row>
    <row r="210">
      <c r="C210" s="70"/>
    </row>
    <row r="211">
      <c r="C211" s="70"/>
    </row>
    <row r="212">
      <c r="C212" s="70"/>
    </row>
    <row r="213">
      <c r="C213" s="70"/>
    </row>
    <row r="214">
      <c r="C214" s="70"/>
    </row>
    <row r="215">
      <c r="C215" s="70"/>
    </row>
    <row r="216">
      <c r="C216" s="70"/>
    </row>
    <row r="217">
      <c r="C217" s="70"/>
    </row>
    <row r="218">
      <c r="C218" s="70"/>
    </row>
    <row r="219">
      <c r="C219" s="70"/>
    </row>
    <row r="220">
      <c r="C220" s="70"/>
    </row>
    <row r="221">
      <c r="C221" s="70"/>
    </row>
    <row r="222">
      <c r="C222" s="70"/>
    </row>
    <row r="223">
      <c r="C223" s="70"/>
    </row>
    <row r="224">
      <c r="C224" s="70"/>
    </row>
    <row r="225">
      <c r="C225" s="70"/>
    </row>
    <row r="226">
      <c r="C226" s="70"/>
    </row>
    <row r="227">
      <c r="C227" s="70"/>
    </row>
    <row r="228">
      <c r="C228" s="70"/>
    </row>
    <row r="229">
      <c r="C229" s="70"/>
    </row>
    <row r="230">
      <c r="C230" s="70"/>
    </row>
    <row r="231">
      <c r="C231" s="70"/>
    </row>
    <row r="232">
      <c r="C232" s="70"/>
    </row>
    <row r="233">
      <c r="C233" s="70"/>
    </row>
    <row r="234">
      <c r="C234" s="70"/>
    </row>
    <row r="235">
      <c r="C235" s="70"/>
    </row>
    <row r="236">
      <c r="C236" s="70"/>
    </row>
    <row r="237">
      <c r="C237" s="70"/>
    </row>
    <row r="238">
      <c r="C238" s="70"/>
    </row>
    <row r="239">
      <c r="C239" s="70"/>
    </row>
    <row r="240">
      <c r="C240" s="70"/>
    </row>
    <row r="241">
      <c r="C241" s="70"/>
    </row>
    <row r="242">
      <c r="C242" s="70"/>
    </row>
    <row r="243">
      <c r="C243" s="70"/>
    </row>
    <row r="244">
      <c r="C244" s="70"/>
    </row>
    <row r="245">
      <c r="C245" s="70"/>
    </row>
    <row r="246">
      <c r="C246" s="70"/>
    </row>
    <row r="247">
      <c r="C247" s="70"/>
    </row>
    <row r="248">
      <c r="C248" s="70"/>
    </row>
    <row r="249">
      <c r="C249" s="70"/>
    </row>
    <row r="250">
      <c r="C250" s="70"/>
    </row>
    <row r="251">
      <c r="C251" s="70"/>
    </row>
    <row r="252">
      <c r="C252" s="70"/>
    </row>
    <row r="253">
      <c r="C253" s="70"/>
    </row>
    <row r="254">
      <c r="C254" s="70"/>
    </row>
    <row r="255">
      <c r="C255" s="70"/>
    </row>
    <row r="256">
      <c r="C256" s="70"/>
    </row>
    <row r="257">
      <c r="C257" s="70"/>
    </row>
    <row r="258">
      <c r="C258" s="70"/>
    </row>
    <row r="259">
      <c r="C259" s="70"/>
    </row>
    <row r="260">
      <c r="C260" s="70"/>
    </row>
    <row r="261">
      <c r="C261" s="70"/>
    </row>
    <row r="262">
      <c r="C262" s="70"/>
    </row>
    <row r="263">
      <c r="C263" s="70"/>
    </row>
    <row r="264">
      <c r="C264" s="70"/>
    </row>
    <row r="265">
      <c r="C265" s="70"/>
    </row>
    <row r="266">
      <c r="C266" s="70"/>
    </row>
    <row r="267">
      <c r="C267" s="70"/>
    </row>
    <row r="268">
      <c r="C268" s="70"/>
    </row>
    <row r="269">
      <c r="C269" s="70"/>
    </row>
    <row r="270">
      <c r="C270" s="70"/>
    </row>
    <row r="271">
      <c r="C271" s="70"/>
    </row>
    <row r="272">
      <c r="C272" s="70"/>
    </row>
    <row r="273">
      <c r="C273" s="70"/>
    </row>
    <row r="274">
      <c r="C274" s="70"/>
    </row>
    <row r="275">
      <c r="C275" s="70"/>
    </row>
    <row r="276">
      <c r="C276" s="70"/>
    </row>
    <row r="277">
      <c r="C277" s="70"/>
    </row>
    <row r="278">
      <c r="C278" s="70"/>
    </row>
    <row r="279">
      <c r="C279" s="70"/>
    </row>
    <row r="280">
      <c r="C280" s="70"/>
    </row>
    <row r="281">
      <c r="C281" s="70"/>
    </row>
    <row r="282">
      <c r="C282" s="70"/>
    </row>
    <row r="283">
      <c r="C283" s="70"/>
    </row>
    <row r="284">
      <c r="C284" s="70"/>
    </row>
    <row r="285">
      <c r="C285" s="70"/>
    </row>
    <row r="286">
      <c r="C286" s="70"/>
    </row>
    <row r="287">
      <c r="C287" s="70"/>
    </row>
    <row r="288">
      <c r="C288" s="70"/>
    </row>
    <row r="289">
      <c r="C289" s="70"/>
    </row>
    <row r="290">
      <c r="C290" s="70"/>
    </row>
    <row r="291">
      <c r="C291" s="70"/>
    </row>
    <row r="292">
      <c r="C292" s="70"/>
    </row>
    <row r="293">
      <c r="C293" s="70"/>
    </row>
    <row r="294">
      <c r="C294" s="70"/>
    </row>
    <row r="295">
      <c r="C295" s="70"/>
    </row>
    <row r="296">
      <c r="C296" s="70"/>
    </row>
    <row r="297">
      <c r="C297" s="70"/>
    </row>
    <row r="298">
      <c r="C298" s="70"/>
    </row>
    <row r="299">
      <c r="C299" s="70"/>
    </row>
    <row r="300">
      <c r="C300" s="70"/>
    </row>
    <row r="301">
      <c r="C301" s="70"/>
    </row>
    <row r="302">
      <c r="C302" s="70"/>
    </row>
    <row r="303">
      <c r="C303" s="70"/>
    </row>
    <row r="304">
      <c r="C304" s="70"/>
    </row>
    <row r="305">
      <c r="C305" s="70"/>
    </row>
    <row r="306">
      <c r="C306" s="70"/>
    </row>
    <row r="307">
      <c r="C307" s="70"/>
    </row>
    <row r="308">
      <c r="C308" s="70"/>
    </row>
    <row r="309">
      <c r="C309" s="70"/>
    </row>
    <row r="310">
      <c r="C310" s="70"/>
    </row>
    <row r="311">
      <c r="C311" s="70"/>
    </row>
    <row r="312">
      <c r="C312" s="70"/>
    </row>
    <row r="313">
      <c r="C313" s="70"/>
    </row>
    <row r="314">
      <c r="C314" s="70"/>
    </row>
    <row r="315">
      <c r="C315" s="70"/>
    </row>
    <row r="316">
      <c r="C316" s="70"/>
    </row>
    <row r="317">
      <c r="C317" s="70"/>
    </row>
    <row r="318">
      <c r="C318" s="70"/>
    </row>
    <row r="319">
      <c r="C319" s="70"/>
    </row>
    <row r="320">
      <c r="C320" s="70"/>
    </row>
    <row r="321">
      <c r="C321" s="70"/>
    </row>
    <row r="322">
      <c r="C322" s="70"/>
    </row>
    <row r="323">
      <c r="C323" s="70"/>
    </row>
    <row r="324">
      <c r="C324" s="70"/>
    </row>
    <row r="325">
      <c r="C325" s="70"/>
    </row>
    <row r="326">
      <c r="C326" s="70"/>
    </row>
    <row r="327">
      <c r="C327" s="70"/>
    </row>
    <row r="328">
      <c r="C328" s="70"/>
    </row>
    <row r="329">
      <c r="C329" s="70"/>
    </row>
    <row r="330">
      <c r="C330" s="70"/>
    </row>
    <row r="331">
      <c r="C331" s="70"/>
    </row>
    <row r="332">
      <c r="C332" s="70"/>
    </row>
    <row r="333">
      <c r="C333" s="70"/>
    </row>
    <row r="334">
      <c r="C334" s="70"/>
    </row>
    <row r="335">
      <c r="C335" s="70"/>
    </row>
    <row r="336">
      <c r="C336" s="70"/>
    </row>
    <row r="337">
      <c r="C337" s="70"/>
    </row>
    <row r="338">
      <c r="C338" s="70"/>
    </row>
    <row r="339">
      <c r="C339" s="70"/>
    </row>
    <row r="340">
      <c r="C340" s="70"/>
    </row>
    <row r="341">
      <c r="C341" s="70"/>
    </row>
    <row r="342">
      <c r="C342" s="70"/>
    </row>
    <row r="343">
      <c r="C343" s="70"/>
    </row>
    <row r="344">
      <c r="C344" s="70"/>
    </row>
    <row r="345">
      <c r="C345" s="70"/>
    </row>
    <row r="346">
      <c r="C346" s="70"/>
    </row>
    <row r="347">
      <c r="C347" s="70"/>
    </row>
    <row r="348">
      <c r="C348" s="70"/>
    </row>
    <row r="349">
      <c r="C349" s="70"/>
    </row>
    <row r="350">
      <c r="C350" s="70"/>
    </row>
    <row r="351">
      <c r="C351" s="70"/>
    </row>
    <row r="352">
      <c r="C352" s="70"/>
    </row>
    <row r="353">
      <c r="C353" s="70"/>
    </row>
    <row r="354">
      <c r="C354" s="70"/>
    </row>
    <row r="355">
      <c r="C355" s="70"/>
    </row>
    <row r="356">
      <c r="C356" s="70"/>
    </row>
    <row r="357">
      <c r="C357" s="70"/>
    </row>
    <row r="358">
      <c r="C358" s="70"/>
    </row>
    <row r="359">
      <c r="C359" s="70"/>
    </row>
    <row r="360">
      <c r="C360" s="70"/>
    </row>
    <row r="361">
      <c r="C361" s="70"/>
    </row>
    <row r="362">
      <c r="C362" s="70"/>
    </row>
    <row r="363">
      <c r="C363" s="70"/>
    </row>
    <row r="364">
      <c r="C364" s="70"/>
    </row>
    <row r="365">
      <c r="C365" s="70"/>
    </row>
    <row r="366">
      <c r="C366" s="70"/>
    </row>
    <row r="367">
      <c r="C367" s="70"/>
    </row>
    <row r="368">
      <c r="C368" s="70"/>
    </row>
    <row r="369">
      <c r="C369" s="70"/>
    </row>
    <row r="370">
      <c r="C370" s="70"/>
    </row>
    <row r="371">
      <c r="C371" s="70"/>
    </row>
    <row r="372">
      <c r="C372" s="70"/>
    </row>
    <row r="373">
      <c r="C373" s="70"/>
    </row>
    <row r="374">
      <c r="C374" s="70"/>
    </row>
    <row r="375">
      <c r="C375" s="70"/>
    </row>
    <row r="376">
      <c r="C376" s="70"/>
    </row>
    <row r="377">
      <c r="C377" s="70"/>
    </row>
    <row r="378">
      <c r="C378" s="70"/>
    </row>
    <row r="379">
      <c r="C379" s="70"/>
    </row>
    <row r="380">
      <c r="C380" s="70"/>
    </row>
    <row r="381">
      <c r="C381" s="70"/>
    </row>
    <row r="382">
      <c r="C382" s="70"/>
    </row>
    <row r="383">
      <c r="C383" s="70"/>
    </row>
    <row r="384">
      <c r="C384" s="70"/>
    </row>
    <row r="385">
      <c r="C385" s="70"/>
    </row>
    <row r="386">
      <c r="C386" s="70"/>
    </row>
    <row r="387">
      <c r="C387" s="70"/>
    </row>
    <row r="388">
      <c r="C388" s="70"/>
    </row>
    <row r="389">
      <c r="C389" s="70"/>
    </row>
    <row r="390">
      <c r="C390" s="70"/>
    </row>
    <row r="391">
      <c r="C391" s="70"/>
    </row>
    <row r="392">
      <c r="C392" s="70"/>
    </row>
    <row r="393">
      <c r="C393" s="70"/>
    </row>
    <row r="394">
      <c r="C394" s="70"/>
    </row>
    <row r="395">
      <c r="C395" s="70"/>
    </row>
    <row r="396">
      <c r="C396" s="70"/>
    </row>
    <row r="397">
      <c r="C397" s="70"/>
    </row>
    <row r="398">
      <c r="C398" s="70"/>
    </row>
    <row r="399">
      <c r="C399" s="70"/>
    </row>
    <row r="400">
      <c r="C400" s="70"/>
    </row>
    <row r="401">
      <c r="C401" s="70"/>
    </row>
    <row r="402">
      <c r="C402" s="70"/>
    </row>
    <row r="403">
      <c r="C403" s="70"/>
    </row>
    <row r="404">
      <c r="C404" s="70"/>
    </row>
    <row r="405">
      <c r="C405" s="70"/>
    </row>
    <row r="406">
      <c r="C406" s="70"/>
    </row>
    <row r="407">
      <c r="C407" s="70"/>
    </row>
    <row r="408">
      <c r="C408" s="70"/>
    </row>
    <row r="409">
      <c r="C409" s="70"/>
    </row>
    <row r="410">
      <c r="C410" s="70"/>
    </row>
    <row r="411">
      <c r="C411" s="70"/>
    </row>
    <row r="412">
      <c r="C412" s="70"/>
    </row>
    <row r="413">
      <c r="C413" s="70"/>
    </row>
    <row r="414">
      <c r="C414" s="70"/>
    </row>
    <row r="415">
      <c r="C415" s="70"/>
    </row>
    <row r="416">
      <c r="C416" s="70"/>
    </row>
    <row r="417">
      <c r="C417" s="70"/>
    </row>
    <row r="418">
      <c r="C418" s="70"/>
    </row>
    <row r="419">
      <c r="C419" s="70"/>
    </row>
    <row r="420">
      <c r="C420" s="70"/>
    </row>
    <row r="421">
      <c r="C421" s="70"/>
    </row>
    <row r="422">
      <c r="C422" s="70"/>
    </row>
    <row r="423">
      <c r="C423" s="70"/>
    </row>
    <row r="424">
      <c r="C424" s="70"/>
    </row>
    <row r="425">
      <c r="C425" s="70"/>
    </row>
    <row r="426">
      <c r="C426" s="70"/>
    </row>
    <row r="427">
      <c r="C427" s="70"/>
    </row>
    <row r="428">
      <c r="C428" s="70"/>
    </row>
    <row r="429">
      <c r="C429" s="70"/>
    </row>
    <row r="430">
      <c r="C430" s="70"/>
    </row>
    <row r="431">
      <c r="C431" s="70"/>
    </row>
    <row r="432">
      <c r="C432" s="70"/>
    </row>
    <row r="433">
      <c r="C433" s="70"/>
    </row>
    <row r="434">
      <c r="C434" s="70"/>
    </row>
    <row r="435">
      <c r="C435" s="70"/>
    </row>
    <row r="436">
      <c r="C436" s="70"/>
    </row>
    <row r="437">
      <c r="C437" s="70"/>
    </row>
    <row r="438">
      <c r="C438" s="70"/>
    </row>
    <row r="439">
      <c r="C439" s="70"/>
    </row>
    <row r="440">
      <c r="C440" s="70"/>
    </row>
    <row r="441">
      <c r="C441" s="70"/>
    </row>
    <row r="442">
      <c r="C442" s="70"/>
    </row>
    <row r="443">
      <c r="C443" s="70"/>
    </row>
    <row r="444">
      <c r="C444" s="70"/>
    </row>
    <row r="445">
      <c r="C445" s="70"/>
    </row>
    <row r="446">
      <c r="C446" s="70"/>
    </row>
    <row r="447">
      <c r="C447" s="70"/>
    </row>
    <row r="448">
      <c r="C448" s="70"/>
    </row>
    <row r="449">
      <c r="C449" s="70"/>
    </row>
    <row r="450">
      <c r="C450" s="70"/>
    </row>
    <row r="451">
      <c r="C451" s="70"/>
    </row>
    <row r="452">
      <c r="C452" s="70"/>
    </row>
    <row r="453">
      <c r="C453" s="70"/>
    </row>
    <row r="454">
      <c r="C454" s="70"/>
    </row>
    <row r="455">
      <c r="C455" s="70"/>
    </row>
    <row r="456">
      <c r="C456" s="70"/>
    </row>
    <row r="457">
      <c r="C457" s="70"/>
    </row>
    <row r="458">
      <c r="C458" s="70"/>
    </row>
    <row r="459">
      <c r="C459" s="70"/>
    </row>
    <row r="460">
      <c r="C460" s="70"/>
    </row>
    <row r="461">
      <c r="C461" s="70"/>
    </row>
    <row r="462">
      <c r="C462" s="70"/>
    </row>
    <row r="463">
      <c r="C463" s="70"/>
    </row>
    <row r="464">
      <c r="C464" s="70"/>
    </row>
    <row r="465">
      <c r="C465" s="70"/>
    </row>
    <row r="466">
      <c r="C466" s="70"/>
    </row>
    <row r="467">
      <c r="C467" s="70"/>
    </row>
    <row r="468">
      <c r="C468" s="70"/>
    </row>
    <row r="469">
      <c r="C469" s="70"/>
    </row>
    <row r="470">
      <c r="C470" s="70"/>
    </row>
    <row r="471">
      <c r="C471" s="70"/>
    </row>
    <row r="472">
      <c r="C472" s="70"/>
    </row>
    <row r="473">
      <c r="C473" s="70"/>
    </row>
    <row r="474">
      <c r="C474" s="70"/>
    </row>
    <row r="475">
      <c r="C475" s="70"/>
    </row>
    <row r="476">
      <c r="C476" s="70"/>
    </row>
    <row r="477">
      <c r="C477" s="70"/>
    </row>
    <row r="478">
      <c r="C478" s="70"/>
    </row>
    <row r="479">
      <c r="C479" s="70"/>
    </row>
    <row r="480">
      <c r="C480" s="70"/>
    </row>
    <row r="481">
      <c r="C481" s="70"/>
    </row>
    <row r="482">
      <c r="C482" s="70"/>
    </row>
    <row r="483">
      <c r="C483" s="70"/>
    </row>
    <row r="484">
      <c r="C484" s="70"/>
    </row>
    <row r="485">
      <c r="C485" s="70"/>
    </row>
    <row r="486">
      <c r="C486" s="70"/>
    </row>
    <row r="487">
      <c r="C487" s="70"/>
    </row>
    <row r="488">
      <c r="C488" s="70"/>
    </row>
    <row r="489">
      <c r="C489" s="70"/>
    </row>
    <row r="490">
      <c r="C490" s="70"/>
    </row>
    <row r="491">
      <c r="C491" s="70"/>
    </row>
    <row r="492">
      <c r="C492" s="70"/>
    </row>
    <row r="493">
      <c r="C493" s="70"/>
    </row>
    <row r="494">
      <c r="C494" s="70"/>
    </row>
    <row r="495">
      <c r="C495" s="70"/>
    </row>
    <row r="496">
      <c r="C496" s="70"/>
    </row>
    <row r="497">
      <c r="C497" s="70"/>
    </row>
    <row r="498">
      <c r="C498" s="70"/>
    </row>
    <row r="499">
      <c r="C499" s="70"/>
    </row>
    <row r="500">
      <c r="C500" s="70"/>
    </row>
    <row r="501">
      <c r="C501" s="70"/>
    </row>
    <row r="502">
      <c r="C502" s="70"/>
    </row>
    <row r="503">
      <c r="C503" s="70"/>
    </row>
    <row r="504">
      <c r="C504" s="70"/>
    </row>
    <row r="505">
      <c r="C505" s="70"/>
    </row>
    <row r="506">
      <c r="C506" s="70"/>
    </row>
    <row r="507">
      <c r="C507" s="70"/>
    </row>
    <row r="508">
      <c r="C508" s="70"/>
    </row>
    <row r="509">
      <c r="C509" s="70"/>
    </row>
    <row r="510">
      <c r="C510" s="70"/>
    </row>
    <row r="511">
      <c r="C511" s="70"/>
    </row>
    <row r="512">
      <c r="C512" s="70"/>
    </row>
    <row r="513">
      <c r="C513" s="70"/>
    </row>
    <row r="514">
      <c r="C514" s="70"/>
    </row>
    <row r="515">
      <c r="C515" s="70"/>
    </row>
    <row r="516">
      <c r="C516" s="70"/>
    </row>
    <row r="517">
      <c r="C517" s="70"/>
    </row>
    <row r="518">
      <c r="C518" s="70"/>
    </row>
    <row r="519">
      <c r="C519" s="70"/>
    </row>
    <row r="520">
      <c r="C520" s="70"/>
    </row>
    <row r="521">
      <c r="C521" s="70"/>
    </row>
    <row r="522">
      <c r="C522" s="70"/>
    </row>
    <row r="523">
      <c r="C523" s="70"/>
    </row>
    <row r="524">
      <c r="C524" s="70"/>
    </row>
    <row r="525">
      <c r="C525" s="70"/>
    </row>
    <row r="526">
      <c r="C526" s="70"/>
    </row>
    <row r="527">
      <c r="C527" s="70"/>
    </row>
    <row r="528">
      <c r="C528" s="70"/>
    </row>
    <row r="529">
      <c r="C529" s="70"/>
    </row>
    <row r="530">
      <c r="C530" s="70"/>
    </row>
    <row r="531">
      <c r="C531" s="70"/>
    </row>
    <row r="532">
      <c r="C532" s="70"/>
    </row>
    <row r="533">
      <c r="C533" s="70"/>
    </row>
    <row r="534">
      <c r="C534" s="70"/>
    </row>
    <row r="535">
      <c r="C535" s="70"/>
    </row>
    <row r="536">
      <c r="C536" s="70"/>
    </row>
    <row r="537">
      <c r="C537" s="70"/>
    </row>
    <row r="538">
      <c r="C538" s="70"/>
    </row>
    <row r="539">
      <c r="C539" s="70"/>
    </row>
    <row r="540">
      <c r="C540" s="70"/>
    </row>
    <row r="541">
      <c r="C541" s="70"/>
    </row>
    <row r="542">
      <c r="C542" s="70"/>
    </row>
    <row r="543">
      <c r="C543" s="70"/>
    </row>
    <row r="544">
      <c r="C544" s="70"/>
    </row>
    <row r="545">
      <c r="C545" s="70"/>
    </row>
    <row r="546">
      <c r="C546" s="70"/>
    </row>
    <row r="547">
      <c r="C547" s="70"/>
    </row>
    <row r="548">
      <c r="C548" s="70"/>
    </row>
    <row r="549">
      <c r="C549" s="70"/>
    </row>
    <row r="550">
      <c r="C550" s="70"/>
    </row>
    <row r="551">
      <c r="C551" s="70"/>
    </row>
    <row r="552">
      <c r="C552" s="70"/>
    </row>
    <row r="553">
      <c r="C553" s="70"/>
    </row>
    <row r="554">
      <c r="C554" s="70"/>
    </row>
    <row r="555">
      <c r="C555" s="70"/>
    </row>
    <row r="556">
      <c r="C556" s="70"/>
    </row>
    <row r="557">
      <c r="C557" s="70"/>
    </row>
    <row r="558">
      <c r="C558" s="70"/>
    </row>
    <row r="559">
      <c r="C559" s="70"/>
    </row>
    <row r="560">
      <c r="C560" s="70"/>
    </row>
    <row r="561">
      <c r="C561" s="70"/>
    </row>
    <row r="562">
      <c r="C562" s="70"/>
    </row>
    <row r="563">
      <c r="C563" s="70"/>
    </row>
    <row r="564">
      <c r="C564" s="70"/>
    </row>
    <row r="565">
      <c r="C565" s="70"/>
    </row>
    <row r="566">
      <c r="C566" s="70"/>
    </row>
    <row r="567">
      <c r="C567" s="70"/>
    </row>
    <row r="568">
      <c r="C568" s="70"/>
    </row>
    <row r="569">
      <c r="C569" s="70"/>
    </row>
    <row r="570">
      <c r="C570" s="70"/>
    </row>
    <row r="571">
      <c r="C571" s="70"/>
    </row>
    <row r="572">
      <c r="C572" s="70"/>
    </row>
    <row r="573">
      <c r="C573" s="70"/>
    </row>
    <row r="574">
      <c r="C574" s="70"/>
    </row>
    <row r="575">
      <c r="C575" s="70"/>
    </row>
    <row r="576">
      <c r="C576" s="70"/>
    </row>
    <row r="577">
      <c r="C577" s="70"/>
    </row>
    <row r="578">
      <c r="C578" s="70"/>
    </row>
    <row r="579">
      <c r="C579" s="70"/>
    </row>
    <row r="580">
      <c r="C580" s="70"/>
    </row>
    <row r="581">
      <c r="C581" s="70"/>
    </row>
    <row r="582">
      <c r="C582" s="70"/>
    </row>
    <row r="583">
      <c r="C583" s="70"/>
    </row>
    <row r="584">
      <c r="C584" s="70"/>
    </row>
    <row r="585">
      <c r="C585" s="70"/>
    </row>
    <row r="586">
      <c r="C586" s="70"/>
    </row>
    <row r="587">
      <c r="C587" s="70"/>
    </row>
    <row r="588">
      <c r="C588" s="70"/>
    </row>
    <row r="589">
      <c r="C589" s="70"/>
    </row>
    <row r="590">
      <c r="C590" s="70"/>
    </row>
    <row r="591">
      <c r="C591" s="70"/>
    </row>
    <row r="592">
      <c r="C592" s="70"/>
    </row>
    <row r="593">
      <c r="C593" s="70"/>
    </row>
    <row r="594">
      <c r="C594" s="70"/>
    </row>
    <row r="595">
      <c r="C595" s="70"/>
    </row>
    <row r="596">
      <c r="C596" s="70"/>
    </row>
    <row r="597">
      <c r="C597" s="70"/>
    </row>
    <row r="598">
      <c r="C598" s="70"/>
    </row>
    <row r="599">
      <c r="C599" s="70"/>
    </row>
    <row r="600">
      <c r="C600" s="70"/>
    </row>
    <row r="601">
      <c r="C601" s="70"/>
    </row>
    <row r="602">
      <c r="C602" s="70"/>
    </row>
    <row r="603">
      <c r="C603" s="70"/>
    </row>
    <row r="604">
      <c r="C604" s="70"/>
    </row>
    <row r="605">
      <c r="C605" s="70"/>
    </row>
    <row r="606">
      <c r="C606" s="70"/>
    </row>
    <row r="607">
      <c r="C607" s="70"/>
    </row>
    <row r="608">
      <c r="C608" s="70"/>
    </row>
    <row r="609">
      <c r="C609" s="70"/>
    </row>
    <row r="610">
      <c r="C610" s="70"/>
    </row>
    <row r="611">
      <c r="C611" s="70"/>
    </row>
    <row r="612">
      <c r="C612" s="70"/>
    </row>
    <row r="613">
      <c r="C613" s="70"/>
    </row>
    <row r="614">
      <c r="C614" s="70"/>
    </row>
    <row r="615">
      <c r="C615" s="70"/>
    </row>
    <row r="616">
      <c r="C616" s="70"/>
    </row>
    <row r="617">
      <c r="C617" s="70"/>
    </row>
    <row r="618">
      <c r="C618" s="70"/>
    </row>
    <row r="619">
      <c r="C619" s="70"/>
    </row>
    <row r="620">
      <c r="C620" s="70"/>
    </row>
    <row r="621">
      <c r="C621" s="70"/>
    </row>
    <row r="622">
      <c r="C622" s="70"/>
    </row>
    <row r="623">
      <c r="C623" s="70"/>
    </row>
    <row r="624">
      <c r="C624" s="70"/>
    </row>
    <row r="625">
      <c r="C625" s="70"/>
    </row>
    <row r="626">
      <c r="C626" s="70"/>
    </row>
    <row r="627">
      <c r="C627" s="70"/>
    </row>
    <row r="628">
      <c r="C628" s="70"/>
    </row>
    <row r="629">
      <c r="C629" s="70"/>
    </row>
    <row r="630">
      <c r="C630" s="70"/>
    </row>
    <row r="631">
      <c r="C631" s="70"/>
    </row>
    <row r="632">
      <c r="C632" s="70"/>
    </row>
    <row r="633">
      <c r="C633" s="70"/>
    </row>
    <row r="634">
      <c r="C634" s="70"/>
    </row>
    <row r="635">
      <c r="C635" s="70"/>
    </row>
    <row r="636">
      <c r="C636" s="70"/>
    </row>
    <row r="637">
      <c r="C637" s="70"/>
    </row>
    <row r="638">
      <c r="C638" s="70"/>
    </row>
    <row r="639">
      <c r="C639" s="70"/>
    </row>
    <row r="640">
      <c r="C640" s="70"/>
    </row>
    <row r="641">
      <c r="C641" s="70"/>
    </row>
    <row r="642">
      <c r="C642" s="70"/>
    </row>
    <row r="643">
      <c r="C643" s="70"/>
    </row>
    <row r="644">
      <c r="C644" s="70"/>
    </row>
    <row r="645">
      <c r="C645" s="70"/>
    </row>
    <row r="646">
      <c r="C646" s="70"/>
    </row>
    <row r="647">
      <c r="C647" s="70"/>
    </row>
    <row r="648">
      <c r="C648" s="70"/>
    </row>
    <row r="649">
      <c r="C649" s="70"/>
    </row>
    <row r="650">
      <c r="C650" s="70"/>
    </row>
    <row r="651">
      <c r="C651" s="70"/>
    </row>
    <row r="652">
      <c r="C652" s="70"/>
    </row>
    <row r="653">
      <c r="C653" s="70"/>
    </row>
    <row r="654">
      <c r="C654" s="70"/>
    </row>
    <row r="655">
      <c r="C655" s="70"/>
    </row>
    <row r="656">
      <c r="C656" s="70"/>
    </row>
    <row r="657">
      <c r="C657" s="70"/>
    </row>
    <row r="658">
      <c r="C658" s="70"/>
    </row>
    <row r="659">
      <c r="C659" s="70"/>
    </row>
    <row r="660">
      <c r="C660" s="70"/>
    </row>
    <row r="661">
      <c r="C661" s="70"/>
    </row>
    <row r="662">
      <c r="C662" s="70"/>
    </row>
    <row r="663">
      <c r="C663" s="70"/>
    </row>
    <row r="664">
      <c r="C664" s="70"/>
    </row>
    <row r="665">
      <c r="C665" s="70"/>
    </row>
    <row r="666">
      <c r="C666" s="70"/>
    </row>
    <row r="667">
      <c r="C667" s="70"/>
    </row>
    <row r="668">
      <c r="C668" s="70"/>
    </row>
    <row r="669">
      <c r="C669" s="70"/>
    </row>
    <row r="670">
      <c r="C670" s="70"/>
    </row>
    <row r="671">
      <c r="C671" s="70"/>
    </row>
    <row r="672">
      <c r="C672" s="70"/>
    </row>
    <row r="673">
      <c r="C673" s="70"/>
    </row>
    <row r="674">
      <c r="C674" s="70"/>
    </row>
    <row r="675">
      <c r="C675" s="70"/>
    </row>
    <row r="676">
      <c r="C676" s="70"/>
    </row>
    <row r="677">
      <c r="C677" s="70"/>
    </row>
    <row r="678">
      <c r="C678" s="70"/>
    </row>
    <row r="679">
      <c r="C679" s="70"/>
    </row>
    <row r="680">
      <c r="C680" s="70"/>
    </row>
    <row r="681">
      <c r="C681" s="70"/>
    </row>
    <row r="682">
      <c r="C682" s="70"/>
    </row>
    <row r="683">
      <c r="C683" s="70"/>
    </row>
    <row r="684">
      <c r="C684" s="70"/>
    </row>
    <row r="685">
      <c r="C685" s="70"/>
    </row>
    <row r="686">
      <c r="C686" s="70"/>
    </row>
    <row r="687">
      <c r="C687" s="70"/>
    </row>
    <row r="688">
      <c r="C688" s="70"/>
    </row>
    <row r="689">
      <c r="C689" s="70"/>
    </row>
    <row r="690">
      <c r="C690" s="70"/>
    </row>
    <row r="691">
      <c r="C691" s="70"/>
    </row>
    <row r="692">
      <c r="C692" s="70"/>
    </row>
    <row r="693">
      <c r="C693" s="70"/>
    </row>
    <row r="694">
      <c r="C694" s="70"/>
    </row>
    <row r="695">
      <c r="C695" s="70"/>
    </row>
    <row r="696">
      <c r="C696" s="70"/>
    </row>
    <row r="697">
      <c r="C697" s="70"/>
    </row>
    <row r="698">
      <c r="C698" s="70"/>
    </row>
    <row r="699">
      <c r="C699" s="70"/>
    </row>
    <row r="700">
      <c r="C700" s="70"/>
    </row>
    <row r="701">
      <c r="C701" s="70"/>
    </row>
    <row r="702">
      <c r="C702" s="70"/>
    </row>
    <row r="703">
      <c r="C703" s="70"/>
    </row>
    <row r="704">
      <c r="C704" s="70"/>
    </row>
    <row r="705">
      <c r="C705" s="70"/>
    </row>
    <row r="706">
      <c r="C706" s="70"/>
    </row>
    <row r="707">
      <c r="C707" s="70"/>
    </row>
    <row r="708">
      <c r="C708" s="70"/>
    </row>
    <row r="709">
      <c r="C709" s="70"/>
    </row>
    <row r="710">
      <c r="C710" s="70"/>
    </row>
    <row r="711">
      <c r="C711" s="70"/>
    </row>
    <row r="712">
      <c r="C712" s="70"/>
    </row>
    <row r="713">
      <c r="C713" s="70"/>
    </row>
    <row r="714">
      <c r="C714" s="70"/>
    </row>
    <row r="715">
      <c r="C715" s="70"/>
    </row>
    <row r="716">
      <c r="C716" s="70"/>
    </row>
    <row r="717">
      <c r="C717" s="70"/>
    </row>
    <row r="718">
      <c r="C718" s="70"/>
    </row>
    <row r="719">
      <c r="C719" s="70"/>
    </row>
    <row r="720">
      <c r="C720" s="70"/>
    </row>
    <row r="721">
      <c r="C721" s="70"/>
    </row>
    <row r="722">
      <c r="C722" s="70"/>
    </row>
    <row r="723">
      <c r="C723" s="70"/>
    </row>
    <row r="724">
      <c r="C724" s="70"/>
    </row>
    <row r="725">
      <c r="C725" s="70"/>
    </row>
    <row r="726">
      <c r="C726" s="70"/>
    </row>
    <row r="727">
      <c r="C727" s="70"/>
    </row>
    <row r="728">
      <c r="C728" s="70"/>
    </row>
    <row r="729">
      <c r="C729" s="70"/>
    </row>
    <row r="730">
      <c r="C730" s="70"/>
    </row>
    <row r="731">
      <c r="C731" s="70"/>
    </row>
    <row r="732">
      <c r="C732" s="70"/>
    </row>
    <row r="733">
      <c r="C733" s="70"/>
    </row>
    <row r="734">
      <c r="C734" s="70"/>
    </row>
    <row r="735">
      <c r="C735" s="70"/>
    </row>
    <row r="736">
      <c r="C736" s="70"/>
    </row>
    <row r="737">
      <c r="C737" s="70"/>
    </row>
    <row r="738">
      <c r="C738" s="70"/>
    </row>
    <row r="739">
      <c r="C739" s="70"/>
    </row>
    <row r="740">
      <c r="C740" s="70"/>
    </row>
    <row r="741">
      <c r="C741" s="70"/>
    </row>
    <row r="742">
      <c r="C742" s="70"/>
    </row>
    <row r="743">
      <c r="C743" s="70"/>
    </row>
    <row r="744">
      <c r="C744" s="70"/>
    </row>
    <row r="745">
      <c r="C745" s="70"/>
    </row>
    <row r="746">
      <c r="C746" s="70"/>
    </row>
    <row r="747">
      <c r="C747" s="70"/>
    </row>
    <row r="748">
      <c r="C748" s="70"/>
    </row>
    <row r="749">
      <c r="C749" s="70"/>
    </row>
    <row r="750">
      <c r="C750" s="70"/>
    </row>
    <row r="751">
      <c r="C751" s="70"/>
    </row>
    <row r="752">
      <c r="C752" s="70"/>
    </row>
    <row r="753">
      <c r="C753" s="70"/>
    </row>
    <row r="754">
      <c r="C754" s="70"/>
    </row>
    <row r="755">
      <c r="C755" s="70"/>
    </row>
    <row r="756">
      <c r="C756" s="70"/>
    </row>
    <row r="757">
      <c r="C757" s="70"/>
    </row>
    <row r="758">
      <c r="C758" s="70"/>
    </row>
    <row r="759">
      <c r="C759" s="70"/>
    </row>
    <row r="760">
      <c r="C760" s="70"/>
    </row>
    <row r="761">
      <c r="C761" s="70"/>
    </row>
    <row r="762">
      <c r="C762" s="70"/>
    </row>
    <row r="763">
      <c r="C763" s="70"/>
    </row>
    <row r="764">
      <c r="C764" s="70"/>
    </row>
    <row r="765">
      <c r="C765" s="70"/>
    </row>
    <row r="766">
      <c r="C766" s="70"/>
    </row>
    <row r="767">
      <c r="C767" s="70"/>
    </row>
    <row r="768">
      <c r="C768" s="70"/>
    </row>
    <row r="769">
      <c r="C769" s="70"/>
    </row>
    <row r="770">
      <c r="C770" s="70"/>
    </row>
    <row r="771">
      <c r="C771" s="70"/>
    </row>
    <row r="772">
      <c r="C772" s="70"/>
    </row>
    <row r="773">
      <c r="C773" s="70"/>
    </row>
    <row r="774">
      <c r="C774" s="70"/>
    </row>
    <row r="775">
      <c r="C775" s="70"/>
    </row>
    <row r="776">
      <c r="C776" s="70"/>
    </row>
    <row r="777">
      <c r="C777" s="70"/>
    </row>
    <row r="778">
      <c r="C778" s="70"/>
    </row>
    <row r="779">
      <c r="C779" s="70"/>
    </row>
    <row r="780">
      <c r="C780" s="70"/>
    </row>
    <row r="781">
      <c r="C781" s="70"/>
    </row>
    <row r="782">
      <c r="C782" s="70"/>
    </row>
    <row r="783">
      <c r="C783" s="70"/>
    </row>
    <row r="784">
      <c r="C784" s="70"/>
    </row>
    <row r="785">
      <c r="C785" s="70"/>
    </row>
    <row r="786">
      <c r="C786" s="70"/>
    </row>
    <row r="787">
      <c r="C787" s="70"/>
    </row>
    <row r="788">
      <c r="C788" s="70"/>
    </row>
    <row r="789">
      <c r="C789" s="70"/>
    </row>
    <row r="790">
      <c r="C790" s="70"/>
    </row>
    <row r="791">
      <c r="C791" s="70"/>
    </row>
    <row r="792">
      <c r="C792" s="70"/>
    </row>
    <row r="793">
      <c r="C793" s="70"/>
    </row>
    <row r="794">
      <c r="C794" s="70"/>
    </row>
    <row r="795">
      <c r="C795" s="70"/>
    </row>
    <row r="796">
      <c r="C796" s="70"/>
    </row>
    <row r="797">
      <c r="C797" s="70"/>
    </row>
    <row r="798">
      <c r="C798" s="70"/>
    </row>
    <row r="799">
      <c r="C799" s="70"/>
    </row>
    <row r="800">
      <c r="C800" s="70"/>
    </row>
    <row r="801">
      <c r="C801" s="70"/>
    </row>
    <row r="802">
      <c r="C802" s="70"/>
    </row>
    <row r="803">
      <c r="C803" s="70"/>
    </row>
    <row r="804">
      <c r="C804" s="70"/>
    </row>
    <row r="805">
      <c r="C805" s="70"/>
    </row>
    <row r="806">
      <c r="C806" s="70"/>
    </row>
    <row r="807">
      <c r="C807" s="70"/>
    </row>
    <row r="808">
      <c r="C808" s="70"/>
    </row>
    <row r="809">
      <c r="C809" s="70"/>
    </row>
    <row r="810">
      <c r="C810" s="70"/>
    </row>
    <row r="811">
      <c r="C811" s="70"/>
    </row>
    <row r="812">
      <c r="C812" s="70"/>
    </row>
    <row r="813">
      <c r="C813" s="70"/>
    </row>
    <row r="814">
      <c r="C814" s="70"/>
    </row>
    <row r="815">
      <c r="C815" s="70"/>
    </row>
    <row r="816">
      <c r="C816" s="70"/>
    </row>
    <row r="817">
      <c r="C817" s="70"/>
    </row>
    <row r="818">
      <c r="C818" s="70"/>
    </row>
    <row r="819">
      <c r="C819" s="70"/>
    </row>
    <row r="820">
      <c r="C820" s="70"/>
    </row>
    <row r="821">
      <c r="C821" s="70"/>
    </row>
    <row r="822">
      <c r="C822" s="70"/>
    </row>
    <row r="823">
      <c r="C823" s="70"/>
    </row>
    <row r="824">
      <c r="C824" s="70"/>
    </row>
    <row r="825">
      <c r="C825" s="70"/>
    </row>
    <row r="826">
      <c r="C826" s="70"/>
    </row>
    <row r="827">
      <c r="C827" s="70"/>
    </row>
    <row r="828">
      <c r="C828" s="70"/>
    </row>
    <row r="829">
      <c r="C829" s="70"/>
    </row>
    <row r="830">
      <c r="C830" s="70"/>
    </row>
    <row r="831">
      <c r="C831" s="70"/>
    </row>
    <row r="832">
      <c r="C832" s="70"/>
    </row>
    <row r="833">
      <c r="C833" s="70"/>
    </row>
    <row r="834">
      <c r="C834" s="70"/>
    </row>
    <row r="835">
      <c r="C835" s="70"/>
    </row>
    <row r="836">
      <c r="C836" s="70"/>
    </row>
    <row r="837">
      <c r="C837" s="70"/>
    </row>
    <row r="838">
      <c r="C838" s="70"/>
    </row>
    <row r="839">
      <c r="C839" s="70"/>
    </row>
    <row r="840">
      <c r="C840" s="70"/>
    </row>
    <row r="841">
      <c r="C841" s="70"/>
    </row>
    <row r="842">
      <c r="C842" s="70"/>
    </row>
    <row r="843">
      <c r="C843" s="70"/>
    </row>
    <row r="844">
      <c r="C844" s="70"/>
    </row>
    <row r="845">
      <c r="C845" s="70"/>
    </row>
    <row r="846">
      <c r="C846" s="70"/>
    </row>
    <row r="847">
      <c r="C847" s="70"/>
    </row>
    <row r="848">
      <c r="C848" s="70"/>
    </row>
    <row r="849">
      <c r="C849" s="70"/>
    </row>
    <row r="850">
      <c r="C850" s="70"/>
    </row>
    <row r="851">
      <c r="C851" s="70"/>
    </row>
    <row r="852">
      <c r="C852" s="70"/>
    </row>
    <row r="853">
      <c r="C853" s="70"/>
    </row>
    <row r="854">
      <c r="C854" s="70"/>
    </row>
    <row r="855">
      <c r="C855" s="70"/>
    </row>
    <row r="856">
      <c r="C856" s="70"/>
    </row>
    <row r="857">
      <c r="C857" s="70"/>
    </row>
    <row r="858">
      <c r="C858" s="70"/>
    </row>
    <row r="859">
      <c r="C859" s="70"/>
    </row>
    <row r="860">
      <c r="C860" s="70"/>
    </row>
    <row r="861">
      <c r="C861" s="70"/>
    </row>
    <row r="862">
      <c r="C862" s="70"/>
    </row>
    <row r="863">
      <c r="C863" s="70"/>
    </row>
    <row r="864">
      <c r="C864" s="70"/>
    </row>
    <row r="865">
      <c r="C865" s="70"/>
    </row>
    <row r="866">
      <c r="C866" s="70"/>
    </row>
    <row r="867">
      <c r="C867" s="70"/>
    </row>
    <row r="868">
      <c r="C868" s="70"/>
    </row>
    <row r="869">
      <c r="C869" s="70"/>
    </row>
    <row r="870">
      <c r="C870" s="70"/>
    </row>
    <row r="871">
      <c r="C871" s="70"/>
    </row>
    <row r="872">
      <c r="C872" s="70"/>
    </row>
    <row r="873">
      <c r="C873" s="70"/>
    </row>
    <row r="874">
      <c r="C874" s="70"/>
    </row>
    <row r="875">
      <c r="C875" s="70"/>
    </row>
    <row r="876">
      <c r="C876" s="70"/>
    </row>
    <row r="877">
      <c r="C877" s="70"/>
    </row>
    <row r="878">
      <c r="C878" s="70"/>
    </row>
    <row r="879">
      <c r="C879" s="70"/>
    </row>
    <row r="880">
      <c r="C880" s="70"/>
    </row>
    <row r="881">
      <c r="C881" s="70"/>
    </row>
    <row r="882">
      <c r="C882" s="70"/>
    </row>
    <row r="883">
      <c r="C883" s="70"/>
    </row>
    <row r="884">
      <c r="C884" s="70"/>
    </row>
    <row r="885">
      <c r="C885" s="70"/>
    </row>
    <row r="886">
      <c r="C886" s="70"/>
    </row>
    <row r="887">
      <c r="C887" s="70"/>
    </row>
    <row r="888">
      <c r="C888" s="70"/>
    </row>
    <row r="889">
      <c r="C889" s="70"/>
    </row>
    <row r="890">
      <c r="C890" s="70"/>
    </row>
    <row r="891">
      <c r="C891" s="70"/>
    </row>
    <row r="892">
      <c r="C892" s="70"/>
    </row>
    <row r="893">
      <c r="C893" s="70"/>
    </row>
    <row r="894">
      <c r="C894" s="70"/>
    </row>
    <row r="895">
      <c r="C895" s="70"/>
    </row>
    <row r="896">
      <c r="C896" s="70"/>
    </row>
    <row r="897">
      <c r="C897" s="70"/>
    </row>
    <row r="898">
      <c r="C898" s="70"/>
    </row>
    <row r="899">
      <c r="C899" s="70"/>
    </row>
    <row r="900">
      <c r="C900" s="70"/>
    </row>
    <row r="901">
      <c r="C901" s="70"/>
    </row>
    <row r="902">
      <c r="C902" s="70"/>
    </row>
    <row r="903">
      <c r="C903" s="70"/>
    </row>
    <row r="904">
      <c r="C904" s="70"/>
    </row>
    <row r="905">
      <c r="C905" s="70"/>
    </row>
    <row r="906">
      <c r="C906" s="70"/>
    </row>
    <row r="907">
      <c r="C907" s="70"/>
    </row>
    <row r="908">
      <c r="C908" s="70"/>
    </row>
    <row r="909">
      <c r="C909" s="70"/>
    </row>
    <row r="910">
      <c r="C910" s="70"/>
    </row>
    <row r="911">
      <c r="C911" s="70"/>
    </row>
    <row r="912">
      <c r="C912" s="70"/>
    </row>
    <row r="913">
      <c r="C913" s="70"/>
    </row>
    <row r="914">
      <c r="C914" s="70"/>
    </row>
    <row r="915">
      <c r="C915" s="70"/>
    </row>
  </sheetData>
  <mergeCells count="30">
    <mergeCell ref="N2:O2"/>
    <mergeCell ref="N3:O3"/>
    <mergeCell ref="N4:O4"/>
    <mergeCell ref="N5:O5"/>
    <mergeCell ref="N6:O6"/>
    <mergeCell ref="N7:O7"/>
    <mergeCell ref="N8:O8"/>
    <mergeCell ref="N9:O9"/>
    <mergeCell ref="N10:O10"/>
    <mergeCell ref="N11:O11"/>
    <mergeCell ref="N12:O12"/>
    <mergeCell ref="N13:O13"/>
    <mergeCell ref="N14:O14"/>
    <mergeCell ref="N15:O15"/>
    <mergeCell ref="N16:O16"/>
    <mergeCell ref="N17:O17"/>
    <mergeCell ref="N18:O18"/>
    <mergeCell ref="N20:O20"/>
    <mergeCell ref="N21:O21"/>
    <mergeCell ref="N22:O22"/>
    <mergeCell ref="N23:O23"/>
    <mergeCell ref="N31:O31"/>
    <mergeCell ref="N32:O32"/>
    <mergeCell ref="N24:O24"/>
    <mergeCell ref="N25:O25"/>
    <mergeCell ref="N26:O26"/>
    <mergeCell ref="N27:O27"/>
    <mergeCell ref="N28:O28"/>
    <mergeCell ref="N29:O29"/>
    <mergeCell ref="N30:O30"/>
  </mergeCells>
  <conditionalFormatting sqref="D3:M35">
    <cfRule type="beginsWith" dxfId="0" priority="1" operator="beginsWith" text="a">
      <formula>LEFT((D3),LEN("a"))=("a")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88"/>
    <col customWidth="1" min="3" max="3" width="13.63"/>
  </cols>
  <sheetData>
    <row r="1">
      <c r="A1" s="13" t="s">
        <v>9</v>
      </c>
    </row>
    <row r="2">
      <c r="A2" s="14" t="s">
        <v>16</v>
      </c>
    </row>
    <row r="3">
      <c r="A3" s="14" t="s">
        <v>18</v>
      </c>
    </row>
    <row r="4">
      <c r="A4" s="16" t="s">
        <v>20</v>
      </c>
      <c r="C4" s="18"/>
    </row>
    <row r="5">
      <c r="A5" s="16" t="s">
        <v>24</v>
      </c>
      <c r="C5" s="18"/>
    </row>
    <row r="6">
      <c r="A6" s="18"/>
    </row>
    <row r="7">
      <c r="A7" s="20" t="s">
        <v>27</v>
      </c>
      <c r="B7" s="20" t="s">
        <v>29</v>
      </c>
      <c r="C7" s="24" t="s">
        <v>31</v>
      </c>
    </row>
    <row r="8">
      <c r="A8" s="28">
        <v>1.0</v>
      </c>
      <c r="B8" s="30" t="s">
        <v>39</v>
      </c>
      <c r="C8" s="31" t="s">
        <v>43</v>
      </c>
    </row>
    <row r="9">
      <c r="A9" s="29"/>
      <c r="B9" s="33" t="s">
        <v>45</v>
      </c>
      <c r="C9" s="31" t="s">
        <v>43</v>
      </c>
    </row>
    <row r="10">
      <c r="A10" s="29"/>
      <c r="B10" s="33" t="s">
        <v>47</v>
      </c>
      <c r="C10" s="31" t="s">
        <v>43</v>
      </c>
    </row>
    <row r="11">
      <c r="A11" s="29"/>
      <c r="B11" s="33" t="s">
        <v>48</v>
      </c>
      <c r="C11" s="31" t="s">
        <v>43</v>
      </c>
    </row>
    <row r="12">
      <c r="A12" s="29"/>
      <c r="B12" s="33" t="s">
        <v>52</v>
      </c>
      <c r="C12" s="31" t="s">
        <v>43</v>
      </c>
    </row>
    <row r="13">
      <c r="A13" s="29"/>
      <c r="B13" s="33" t="s">
        <v>53</v>
      </c>
      <c r="C13" s="31" t="s">
        <v>43</v>
      </c>
    </row>
    <row r="14">
      <c r="A14" s="29"/>
      <c r="B14" s="33" t="s">
        <v>56</v>
      </c>
      <c r="C14" s="31" t="s">
        <v>43</v>
      </c>
    </row>
    <row r="15">
      <c r="A15" s="29"/>
      <c r="B15" s="33" t="s">
        <v>58</v>
      </c>
      <c r="C15" s="31" t="s">
        <v>43</v>
      </c>
    </row>
    <row r="16">
      <c r="A16" s="29"/>
      <c r="B16" s="33" t="s">
        <v>59</v>
      </c>
      <c r="C16" s="31" t="s">
        <v>43</v>
      </c>
    </row>
    <row r="17">
      <c r="A17" s="29"/>
      <c r="B17" s="33" t="s">
        <v>61</v>
      </c>
      <c r="C17" s="31" t="s">
        <v>43</v>
      </c>
    </row>
    <row r="18">
      <c r="A18" s="29"/>
      <c r="B18" s="33" t="s">
        <v>65</v>
      </c>
      <c r="C18" s="31" t="s">
        <v>43</v>
      </c>
    </row>
    <row r="19">
      <c r="A19" s="29"/>
      <c r="B19" s="33" t="s">
        <v>66</v>
      </c>
      <c r="C19" s="31" t="s">
        <v>43</v>
      </c>
    </row>
    <row r="20">
      <c r="A20" s="29"/>
      <c r="B20" s="33" t="s">
        <v>67</v>
      </c>
      <c r="C20" s="31" t="s">
        <v>43</v>
      </c>
    </row>
    <row r="21">
      <c r="A21" s="29"/>
      <c r="B21" s="33" t="s">
        <v>70</v>
      </c>
      <c r="C21" s="31" t="s">
        <v>43</v>
      </c>
    </row>
    <row r="22">
      <c r="A22" s="28">
        <v>2.0</v>
      </c>
      <c r="B22" s="30" t="s">
        <v>72</v>
      </c>
      <c r="C22" s="31" t="s">
        <v>43</v>
      </c>
    </row>
    <row r="23">
      <c r="A23" s="29"/>
      <c r="B23" s="33" t="s">
        <v>73</v>
      </c>
      <c r="C23" s="31" t="s">
        <v>43</v>
      </c>
    </row>
    <row r="24">
      <c r="A24" s="29"/>
      <c r="B24" s="33" t="s">
        <v>77</v>
      </c>
      <c r="C24" s="31" t="s">
        <v>43</v>
      </c>
    </row>
    <row r="25">
      <c r="A25" s="29"/>
      <c r="B25" s="33" t="s">
        <v>78</v>
      </c>
      <c r="C25" s="31" t="s">
        <v>43</v>
      </c>
    </row>
    <row r="26">
      <c r="A26" s="29"/>
      <c r="B26" s="33" t="s">
        <v>79</v>
      </c>
      <c r="C26" s="31" t="s">
        <v>43</v>
      </c>
    </row>
    <row r="27">
      <c r="A27" s="29"/>
      <c r="B27" s="33" t="s">
        <v>81</v>
      </c>
      <c r="C27" s="31" t="s">
        <v>43</v>
      </c>
    </row>
    <row r="28">
      <c r="A28" s="29"/>
      <c r="B28" s="33" t="s">
        <v>82</v>
      </c>
      <c r="C28" s="31" t="s">
        <v>43</v>
      </c>
    </row>
    <row r="29">
      <c r="A29" s="28">
        <v>3.0</v>
      </c>
      <c r="B29" s="33" t="s">
        <v>87</v>
      </c>
      <c r="C29" s="31" t="s">
        <v>43</v>
      </c>
    </row>
    <row r="30">
      <c r="A30" s="29"/>
      <c r="B30" s="33" t="s">
        <v>88</v>
      </c>
      <c r="C30" s="31" t="s">
        <v>43</v>
      </c>
    </row>
    <row r="31">
      <c r="A31" s="29"/>
      <c r="B31" s="33" t="s">
        <v>90</v>
      </c>
      <c r="C31" s="31" t="s">
        <v>43</v>
      </c>
    </row>
    <row r="32">
      <c r="A32" s="29"/>
      <c r="B32" s="33" t="s">
        <v>94</v>
      </c>
      <c r="C32" s="31" t="s">
        <v>43</v>
      </c>
    </row>
    <row r="33">
      <c r="A33" s="29"/>
      <c r="B33" s="33" t="s">
        <v>96</v>
      </c>
      <c r="C33" s="31" t="s">
        <v>43</v>
      </c>
    </row>
    <row r="34">
      <c r="A34" s="29"/>
      <c r="B34" s="33" t="s">
        <v>97</v>
      </c>
      <c r="C34" s="31" t="s">
        <v>43</v>
      </c>
    </row>
    <row r="35">
      <c r="A35" s="29"/>
      <c r="B35" s="33" t="s">
        <v>98</v>
      </c>
      <c r="C35" s="31" t="s">
        <v>43</v>
      </c>
    </row>
    <row r="36">
      <c r="A36" s="29"/>
      <c r="B36" s="33" t="s">
        <v>100</v>
      </c>
      <c r="C36" s="31" t="s">
        <v>43</v>
      </c>
    </row>
    <row r="37">
      <c r="A37" s="39">
        <v>4.0</v>
      </c>
      <c r="B37" s="41" t="s">
        <v>104</v>
      </c>
      <c r="C37" s="42" t="s">
        <v>43</v>
      </c>
    </row>
    <row r="38">
      <c r="A38" s="29"/>
      <c r="B38" s="43" t="s">
        <v>106</v>
      </c>
      <c r="C38" s="42" t="s">
        <v>43</v>
      </c>
    </row>
    <row r="39">
      <c r="A39" s="29"/>
      <c r="B39" s="43" t="s">
        <v>110</v>
      </c>
      <c r="C39" s="42" t="s">
        <v>43</v>
      </c>
    </row>
    <row r="40">
      <c r="A40" s="28">
        <v>5.0</v>
      </c>
      <c r="B40" s="30" t="s">
        <v>112</v>
      </c>
      <c r="C40" s="31" t="s">
        <v>43</v>
      </c>
    </row>
    <row r="41">
      <c r="A41" s="29"/>
      <c r="B41" s="33" t="s">
        <v>115</v>
      </c>
      <c r="C41" s="31" t="s">
        <v>43</v>
      </c>
    </row>
    <row r="42">
      <c r="A42" s="29"/>
      <c r="B42" s="33" t="s">
        <v>116</v>
      </c>
      <c r="C42" s="31" t="s">
        <v>43</v>
      </c>
    </row>
    <row r="43">
      <c r="A43" s="29"/>
      <c r="B43" s="33" t="s">
        <v>121</v>
      </c>
      <c r="C43" s="31" t="s">
        <v>43</v>
      </c>
    </row>
    <row r="44">
      <c r="A44" s="29"/>
      <c r="B44" s="33" t="s">
        <v>122</v>
      </c>
      <c r="C44" s="31" t="s">
        <v>43</v>
      </c>
    </row>
    <row r="45">
      <c r="A45" s="29"/>
      <c r="B45" s="33" t="s">
        <v>125</v>
      </c>
      <c r="C45" s="31" t="s">
        <v>43</v>
      </c>
    </row>
    <row r="46">
      <c r="A46" s="29"/>
      <c r="B46" s="33" t="s">
        <v>126</v>
      </c>
      <c r="C46" s="31" t="s">
        <v>43</v>
      </c>
    </row>
    <row r="47">
      <c r="A47" s="29"/>
      <c r="B47" s="33" t="s">
        <v>127</v>
      </c>
      <c r="C47" s="31" t="s">
        <v>43</v>
      </c>
    </row>
    <row r="48">
      <c r="A48" s="29"/>
      <c r="B48" s="33" t="s">
        <v>130</v>
      </c>
      <c r="C48" s="31" t="s">
        <v>43</v>
      </c>
    </row>
    <row r="49">
      <c r="A49" s="29"/>
      <c r="B49" s="33" t="s">
        <v>133</v>
      </c>
      <c r="C49" s="31" t="s">
        <v>43</v>
      </c>
    </row>
    <row r="50">
      <c r="A50" s="29"/>
      <c r="B50" s="33" t="s">
        <v>136</v>
      </c>
      <c r="C50" s="31" t="s">
        <v>43</v>
      </c>
    </row>
    <row r="51">
      <c r="A51" s="39">
        <v>6.0</v>
      </c>
      <c r="B51" s="45" t="s">
        <v>138</v>
      </c>
      <c r="C51" s="42" t="s">
        <v>43</v>
      </c>
    </row>
    <row r="52">
      <c r="A52" s="29"/>
      <c r="B52" s="43" t="s">
        <v>140</v>
      </c>
      <c r="C52" s="42" t="s">
        <v>43</v>
      </c>
    </row>
    <row r="53">
      <c r="A53" s="29"/>
      <c r="B53" s="43" t="s">
        <v>143</v>
      </c>
      <c r="C53" s="42" t="s">
        <v>43</v>
      </c>
    </row>
    <row r="54">
      <c r="A54" s="29"/>
      <c r="B54" s="43" t="s">
        <v>147</v>
      </c>
      <c r="C54" s="42" t="s">
        <v>43</v>
      </c>
    </row>
    <row r="55">
      <c r="A55" s="29"/>
      <c r="B55" s="43" t="s">
        <v>150</v>
      </c>
      <c r="C55" s="42" t="s">
        <v>43</v>
      </c>
    </row>
    <row r="56">
      <c r="A56" s="29"/>
      <c r="B56" s="43" t="s">
        <v>155</v>
      </c>
      <c r="C56" s="42" t="s">
        <v>43</v>
      </c>
    </row>
    <row r="57">
      <c r="A57" s="29"/>
      <c r="B57" s="43" t="s">
        <v>157</v>
      </c>
      <c r="C57" s="42" t="s">
        <v>43</v>
      </c>
    </row>
    <row r="58">
      <c r="A58" s="29"/>
      <c r="B58" s="43" t="s">
        <v>160</v>
      </c>
      <c r="C58" s="42" t="s">
        <v>43</v>
      </c>
    </row>
    <row r="59">
      <c r="A59" s="29"/>
      <c r="B59" s="41" t="s">
        <v>163</v>
      </c>
      <c r="C59" s="42" t="s">
        <v>43</v>
      </c>
    </row>
    <row r="60">
      <c r="A60" s="29"/>
      <c r="B60" s="43" t="s">
        <v>166</v>
      </c>
      <c r="C60" s="42" t="s">
        <v>43</v>
      </c>
    </row>
    <row r="61">
      <c r="A61" s="28">
        <v>7.0</v>
      </c>
      <c r="B61" s="30" t="s">
        <v>170</v>
      </c>
      <c r="C61" s="31" t="s">
        <v>43</v>
      </c>
    </row>
    <row r="62">
      <c r="A62" s="29"/>
      <c r="B62" s="33" t="s">
        <v>175</v>
      </c>
      <c r="C62" s="31" t="s">
        <v>43</v>
      </c>
    </row>
    <row r="63">
      <c r="A63" s="29"/>
      <c r="B63" s="33" t="s">
        <v>177</v>
      </c>
      <c r="C63" s="31" t="s">
        <v>43</v>
      </c>
    </row>
    <row r="64">
      <c r="A64" s="29"/>
      <c r="B64" s="33" t="s">
        <v>178</v>
      </c>
      <c r="C64" s="31" t="s">
        <v>43</v>
      </c>
    </row>
    <row r="65">
      <c r="A65" s="29"/>
      <c r="B65" s="33" t="s">
        <v>180</v>
      </c>
      <c r="C65" s="31" t="s">
        <v>43</v>
      </c>
    </row>
    <row r="66">
      <c r="A66" s="29"/>
      <c r="B66" s="33" t="s">
        <v>182</v>
      </c>
      <c r="C66" s="31" t="s">
        <v>43</v>
      </c>
    </row>
    <row r="67">
      <c r="A67" s="29"/>
      <c r="B67" s="33" t="s">
        <v>183</v>
      </c>
      <c r="C67" s="31" t="s">
        <v>43</v>
      </c>
    </row>
    <row r="68">
      <c r="A68" s="29"/>
      <c r="B68" s="33" t="s">
        <v>187</v>
      </c>
      <c r="C68" s="31" t="s">
        <v>43</v>
      </c>
    </row>
    <row r="69">
      <c r="A69" s="39">
        <v>8.0</v>
      </c>
      <c r="B69" s="43" t="s">
        <v>189</v>
      </c>
      <c r="C69" s="42" t="s">
        <v>43</v>
      </c>
    </row>
    <row r="70">
      <c r="A70" s="29"/>
      <c r="B70" s="43" t="s">
        <v>192</v>
      </c>
      <c r="C70" s="42" t="s">
        <v>43</v>
      </c>
    </row>
    <row r="71">
      <c r="A71" s="29"/>
      <c r="B71" s="43" t="s">
        <v>194</v>
      </c>
      <c r="C71" s="42" t="s">
        <v>43</v>
      </c>
    </row>
    <row r="72">
      <c r="A72" s="29"/>
      <c r="B72" s="43" t="s">
        <v>196</v>
      </c>
      <c r="C72" s="42" t="s">
        <v>43</v>
      </c>
    </row>
    <row r="73">
      <c r="A73" s="29"/>
      <c r="B73" s="43" t="s">
        <v>198</v>
      </c>
      <c r="C73" s="42" t="s">
        <v>43</v>
      </c>
    </row>
    <row r="74">
      <c r="A74" s="29"/>
      <c r="B74" s="41" t="s">
        <v>199</v>
      </c>
      <c r="C74" s="42" t="s">
        <v>43</v>
      </c>
    </row>
    <row r="75">
      <c r="A75" s="29"/>
      <c r="B75" s="43" t="s">
        <v>200</v>
      </c>
      <c r="C75" s="42" t="s">
        <v>43</v>
      </c>
    </row>
    <row r="76">
      <c r="A76" s="49">
        <v>9.0</v>
      </c>
      <c r="B76" s="51" t="s">
        <v>201</v>
      </c>
      <c r="C76" s="52" t="s">
        <v>43</v>
      </c>
    </row>
    <row r="77">
      <c r="A77" s="29"/>
      <c r="B77" s="53" t="s">
        <v>204</v>
      </c>
      <c r="C77" s="52" t="s">
        <v>43</v>
      </c>
    </row>
    <row r="78">
      <c r="A78" s="29"/>
      <c r="B78" s="53" t="s">
        <v>205</v>
      </c>
      <c r="C78" s="52" t="s">
        <v>43</v>
      </c>
    </row>
    <row r="79">
      <c r="A79" s="29"/>
      <c r="B79" s="56" t="s">
        <v>207</v>
      </c>
      <c r="C79" s="52" t="s">
        <v>43</v>
      </c>
    </row>
    <row r="80">
      <c r="A80" s="29"/>
      <c r="B80" s="53" t="s">
        <v>208</v>
      </c>
      <c r="C80" s="52" t="s">
        <v>43</v>
      </c>
    </row>
    <row r="81">
      <c r="A81" s="29"/>
      <c r="B81" s="53" t="s">
        <v>210</v>
      </c>
      <c r="C81" s="52" t="s">
        <v>43</v>
      </c>
    </row>
    <row r="82">
      <c r="A82" s="57"/>
      <c r="B82" s="30" t="s">
        <v>213</v>
      </c>
      <c r="C82" s="31" t="s">
        <v>43</v>
      </c>
    </row>
    <row r="83">
      <c r="A83" s="29"/>
      <c r="B83" s="33" t="s">
        <v>214</v>
      </c>
      <c r="C83" s="31" t="s">
        <v>43</v>
      </c>
    </row>
    <row r="84">
      <c r="A84" s="29"/>
      <c r="B84" s="33" t="s">
        <v>215</v>
      </c>
      <c r="C84" s="31" t="s">
        <v>43</v>
      </c>
    </row>
    <row r="85">
      <c r="A85" s="29"/>
      <c r="B85" s="33" t="s">
        <v>216</v>
      </c>
      <c r="C85" s="31" t="s">
        <v>43</v>
      </c>
    </row>
    <row r="86">
      <c r="A86" s="29"/>
      <c r="B86" s="33" t="s">
        <v>219</v>
      </c>
      <c r="C86" s="31" t="s">
        <v>43</v>
      </c>
    </row>
    <row r="87">
      <c r="A87" s="29"/>
      <c r="B87" s="33" t="s">
        <v>220</v>
      </c>
      <c r="C87" s="31" t="s">
        <v>43</v>
      </c>
    </row>
    <row r="88">
      <c r="A88" s="29"/>
      <c r="B88" s="33" t="s">
        <v>221</v>
      </c>
      <c r="C88" s="31" t="s">
        <v>43</v>
      </c>
    </row>
    <row r="89">
      <c r="A89" s="39">
        <v>10.0</v>
      </c>
      <c r="B89" s="43" t="s">
        <v>222</v>
      </c>
      <c r="C89" s="42" t="s">
        <v>43</v>
      </c>
    </row>
    <row r="90">
      <c r="A90" s="29"/>
      <c r="B90" s="43" t="s">
        <v>223</v>
      </c>
      <c r="C90" s="42" t="s">
        <v>43</v>
      </c>
    </row>
    <row r="91">
      <c r="A91" s="29"/>
      <c r="B91" s="43" t="s">
        <v>224</v>
      </c>
      <c r="C91" s="42" t="s">
        <v>43</v>
      </c>
    </row>
    <row r="92">
      <c r="A92" s="29"/>
      <c r="B92" s="43" t="s">
        <v>226</v>
      </c>
      <c r="C92" s="42" t="s">
        <v>43</v>
      </c>
    </row>
    <row r="93">
      <c r="A93" s="29"/>
      <c r="B93" s="41" t="s">
        <v>227</v>
      </c>
      <c r="C93" s="42" t="s">
        <v>43</v>
      </c>
    </row>
    <row r="94">
      <c r="A94" s="29"/>
      <c r="B94" s="43" t="s">
        <v>228</v>
      </c>
      <c r="C94" s="42" t="s">
        <v>43</v>
      </c>
    </row>
    <row r="95">
      <c r="A95" s="28">
        <v>11.0</v>
      </c>
      <c r="B95" s="30" t="s">
        <v>229</v>
      </c>
      <c r="C95" s="31" t="s">
        <v>43</v>
      </c>
    </row>
    <row r="96">
      <c r="A96" s="29"/>
      <c r="B96" s="33" t="s">
        <v>232</v>
      </c>
      <c r="C96" s="31" t="s">
        <v>43</v>
      </c>
    </row>
    <row r="97">
      <c r="A97" s="29"/>
      <c r="B97" s="33" t="s">
        <v>233</v>
      </c>
      <c r="C97" s="31" t="s">
        <v>43</v>
      </c>
    </row>
    <row r="98">
      <c r="A98" s="29"/>
      <c r="B98" s="33" t="s">
        <v>234</v>
      </c>
      <c r="C98" s="31" t="s">
        <v>43</v>
      </c>
    </row>
    <row r="99">
      <c r="A99" s="29"/>
      <c r="B99" s="33" t="s">
        <v>235</v>
      </c>
      <c r="C99" s="31" t="s">
        <v>43</v>
      </c>
    </row>
    <row r="100">
      <c r="A100" s="29"/>
      <c r="B100" s="33" t="s">
        <v>236</v>
      </c>
      <c r="C100" s="31" t="s">
        <v>43</v>
      </c>
    </row>
    <row r="101">
      <c r="A101" s="29"/>
      <c r="B101" s="33" t="s">
        <v>237</v>
      </c>
      <c r="C101" s="31" t="s">
        <v>43</v>
      </c>
    </row>
    <row r="102">
      <c r="A102" s="29"/>
      <c r="B102" s="33" t="s">
        <v>239</v>
      </c>
      <c r="C102" s="31" t="s">
        <v>43</v>
      </c>
    </row>
    <row r="103">
      <c r="A103" s="28">
        <v>12.0</v>
      </c>
      <c r="B103" s="33" t="s">
        <v>241</v>
      </c>
      <c r="C103" s="31" t="s">
        <v>43</v>
      </c>
    </row>
    <row r="104">
      <c r="A104" s="29"/>
      <c r="B104" s="33" t="s">
        <v>242</v>
      </c>
      <c r="C104" s="31" t="s">
        <v>43</v>
      </c>
    </row>
    <row r="105">
      <c r="A105" s="29"/>
      <c r="B105" s="33" t="s">
        <v>243</v>
      </c>
      <c r="C105" s="31" t="s">
        <v>43</v>
      </c>
    </row>
    <row r="106">
      <c r="A106" s="29"/>
      <c r="B106" s="33" t="s">
        <v>244</v>
      </c>
      <c r="C106" s="31" t="s">
        <v>43</v>
      </c>
    </row>
    <row r="107">
      <c r="A107" s="28">
        <v>13.0</v>
      </c>
      <c r="B107" s="30" t="s">
        <v>245</v>
      </c>
      <c r="C107" s="31" t="s">
        <v>43</v>
      </c>
    </row>
    <row r="108">
      <c r="A108" s="29"/>
      <c r="B108" s="33" t="s">
        <v>248</v>
      </c>
      <c r="C108" s="31" t="s">
        <v>43</v>
      </c>
    </row>
    <row r="109">
      <c r="A109" s="29"/>
      <c r="B109" s="33" t="s">
        <v>249</v>
      </c>
      <c r="C109" s="31" t="s">
        <v>43</v>
      </c>
    </row>
    <row r="110">
      <c r="A110" s="29"/>
      <c r="B110" s="33" t="s">
        <v>251</v>
      </c>
      <c r="C110" s="31" t="s">
        <v>43</v>
      </c>
    </row>
    <row r="111">
      <c r="A111" s="29"/>
      <c r="B111" s="33" t="s">
        <v>252</v>
      </c>
      <c r="C111" s="31" t="s">
        <v>43</v>
      </c>
    </row>
    <row r="112">
      <c r="A112" s="29"/>
      <c r="B112" s="33" t="s">
        <v>253</v>
      </c>
      <c r="C112" s="31" t="s">
        <v>43</v>
      </c>
    </row>
    <row r="113">
      <c r="A113" s="29"/>
      <c r="B113" s="33" t="s">
        <v>254</v>
      </c>
      <c r="C113" s="31" t="s">
        <v>43</v>
      </c>
    </row>
    <row r="114">
      <c r="A114" s="29"/>
      <c r="B114" s="33" t="s">
        <v>256</v>
      </c>
      <c r="C114" s="31" t="s">
        <v>43</v>
      </c>
    </row>
    <row r="115">
      <c r="A115" s="29"/>
      <c r="B115" s="33" t="s">
        <v>258</v>
      </c>
      <c r="C115" s="31" t="s">
        <v>43</v>
      </c>
    </row>
    <row r="116">
      <c r="A116" s="29"/>
      <c r="B116" s="33" t="s">
        <v>259</v>
      </c>
      <c r="C116" s="31" t="s">
        <v>43</v>
      </c>
    </row>
    <row r="117">
      <c r="A117" s="29"/>
      <c r="B117" s="33" t="s">
        <v>260</v>
      </c>
      <c r="C117" s="31" t="s">
        <v>43</v>
      </c>
    </row>
    <row r="118">
      <c r="A118" s="49">
        <v>14.0</v>
      </c>
      <c r="B118" s="51" t="s">
        <v>261</v>
      </c>
      <c r="C118" s="52" t="s">
        <v>43</v>
      </c>
    </row>
    <row r="119">
      <c r="A119" s="29"/>
      <c r="B119" s="53" t="s">
        <v>262</v>
      </c>
      <c r="C119" s="52" t="s">
        <v>43</v>
      </c>
    </row>
    <row r="120">
      <c r="A120" s="29"/>
      <c r="B120" s="53" t="s">
        <v>205</v>
      </c>
      <c r="C120" s="52" t="s">
        <v>43</v>
      </c>
    </row>
    <row r="121">
      <c r="A121" s="29"/>
      <c r="B121" s="56" t="s">
        <v>265</v>
      </c>
      <c r="C121" s="52" t="s">
        <v>43</v>
      </c>
    </row>
    <row r="122">
      <c r="A122" s="29"/>
      <c r="B122" s="53" t="s">
        <v>266</v>
      </c>
      <c r="C122" s="52" t="s">
        <v>43</v>
      </c>
    </row>
    <row r="123">
      <c r="A123" s="29"/>
      <c r="B123" s="53" t="s">
        <v>210</v>
      </c>
      <c r="C123" s="52" t="s">
        <v>43</v>
      </c>
    </row>
    <row r="124">
      <c r="A124" s="57"/>
      <c r="B124" s="30" t="s">
        <v>267</v>
      </c>
      <c r="C124" s="31" t="s">
        <v>43</v>
      </c>
    </row>
    <row r="125">
      <c r="A125" s="29"/>
      <c r="B125" s="33" t="s">
        <v>270</v>
      </c>
      <c r="C125" s="31" t="s">
        <v>43</v>
      </c>
    </row>
    <row r="126">
      <c r="A126" s="29"/>
      <c r="B126" s="33" t="s">
        <v>271</v>
      </c>
      <c r="C126" s="31" t="s">
        <v>43</v>
      </c>
    </row>
    <row r="127">
      <c r="A127" s="29"/>
      <c r="B127" s="33" t="s">
        <v>272</v>
      </c>
      <c r="C127" s="31" t="s">
        <v>43</v>
      </c>
    </row>
    <row r="128">
      <c r="A128" s="29"/>
      <c r="B128" s="33" t="s">
        <v>273</v>
      </c>
      <c r="C128" s="31" t="s">
        <v>43</v>
      </c>
    </row>
    <row r="129">
      <c r="A129" s="29"/>
      <c r="B129" s="33" t="s">
        <v>275</v>
      </c>
      <c r="C129" s="31" t="s">
        <v>43</v>
      </c>
    </row>
    <row r="130">
      <c r="A130" s="29"/>
      <c r="B130" s="33" t="s">
        <v>276</v>
      </c>
      <c r="C130" s="31" t="s">
        <v>43</v>
      </c>
    </row>
    <row r="131">
      <c r="A131" s="29"/>
      <c r="B131" s="33" t="s">
        <v>279</v>
      </c>
      <c r="C131" s="31" t="s">
        <v>43</v>
      </c>
    </row>
    <row r="132">
      <c r="A132" s="28">
        <v>15.0</v>
      </c>
      <c r="B132" s="30" t="s">
        <v>281</v>
      </c>
      <c r="C132" s="31" t="s">
        <v>43</v>
      </c>
    </row>
    <row r="133">
      <c r="A133" s="29"/>
      <c r="B133" s="33" t="s">
        <v>282</v>
      </c>
      <c r="C133" s="31" t="s">
        <v>43</v>
      </c>
    </row>
    <row r="134">
      <c r="A134" s="29"/>
      <c r="B134" s="33" t="s">
        <v>283</v>
      </c>
      <c r="C134" s="31" t="s">
        <v>43</v>
      </c>
    </row>
    <row r="135">
      <c r="A135" s="29"/>
      <c r="B135" s="33" t="s">
        <v>284</v>
      </c>
      <c r="C135" s="31" t="s">
        <v>43</v>
      </c>
    </row>
    <row r="136">
      <c r="A136" s="29"/>
      <c r="B136" s="33" t="s">
        <v>285</v>
      </c>
      <c r="C136" s="31" t="s">
        <v>43</v>
      </c>
    </row>
    <row r="137">
      <c r="A137" s="29"/>
      <c r="B137" s="33" t="s">
        <v>286</v>
      </c>
      <c r="C137" s="31" t="s">
        <v>43</v>
      </c>
    </row>
    <row r="138">
      <c r="A138" s="29"/>
      <c r="B138" s="33" t="s">
        <v>287</v>
      </c>
      <c r="C138" s="31" t="s">
        <v>43</v>
      </c>
    </row>
    <row r="139">
      <c r="A139" s="28">
        <v>16.0</v>
      </c>
      <c r="B139" s="30" t="s">
        <v>288</v>
      </c>
      <c r="C139" s="31" t="s">
        <v>43</v>
      </c>
    </row>
    <row r="140">
      <c r="A140" s="29"/>
      <c r="B140" s="33" t="s">
        <v>291</v>
      </c>
      <c r="C140" s="31" t="s">
        <v>43</v>
      </c>
    </row>
    <row r="141">
      <c r="A141" s="29"/>
      <c r="B141" s="33" t="s">
        <v>292</v>
      </c>
      <c r="C141" s="31" t="s">
        <v>43</v>
      </c>
    </row>
    <row r="142">
      <c r="A142" s="29"/>
      <c r="B142" s="33" t="s">
        <v>293</v>
      </c>
      <c r="C142" s="31" t="s">
        <v>43</v>
      </c>
    </row>
    <row r="143">
      <c r="A143" s="29"/>
      <c r="B143" s="33" t="s">
        <v>294</v>
      </c>
      <c r="C143" s="31" t="s">
        <v>43</v>
      </c>
    </row>
    <row r="144">
      <c r="A144" s="29"/>
      <c r="B144" s="33" t="s">
        <v>295</v>
      </c>
      <c r="C144" s="31" t="s">
        <v>43</v>
      </c>
    </row>
    <row r="145">
      <c r="A145" s="29"/>
      <c r="B145" s="33" t="s">
        <v>298</v>
      </c>
      <c r="C145" s="31" t="s">
        <v>43</v>
      </c>
    </row>
    <row r="146">
      <c r="A146" s="29"/>
      <c r="B146" s="33" t="s">
        <v>299</v>
      </c>
      <c r="C146" s="31" t="s">
        <v>43</v>
      </c>
    </row>
    <row r="147">
      <c r="A147" s="28">
        <v>17.0</v>
      </c>
      <c r="B147" s="30" t="s">
        <v>302</v>
      </c>
      <c r="C147" s="31" t="s">
        <v>43</v>
      </c>
    </row>
    <row r="148">
      <c r="A148" s="29"/>
      <c r="B148" s="33" t="s">
        <v>303</v>
      </c>
      <c r="C148" s="31" t="s">
        <v>43</v>
      </c>
    </row>
    <row r="149">
      <c r="A149" s="29"/>
      <c r="B149" s="33" t="s">
        <v>306</v>
      </c>
      <c r="C149" s="31" t="s">
        <v>43</v>
      </c>
    </row>
    <row r="150">
      <c r="A150" s="29"/>
      <c r="B150" s="33" t="s">
        <v>307</v>
      </c>
      <c r="C150" s="31" t="s">
        <v>43</v>
      </c>
    </row>
    <row r="151">
      <c r="A151" s="29"/>
      <c r="B151" s="33" t="s">
        <v>308</v>
      </c>
      <c r="C151" s="31" t="s">
        <v>43</v>
      </c>
    </row>
    <row r="152">
      <c r="A152" s="29"/>
      <c r="B152" s="33" t="s">
        <v>309</v>
      </c>
      <c r="C152" s="31" t="s">
        <v>43</v>
      </c>
    </row>
    <row r="153">
      <c r="A153" s="29"/>
      <c r="B153" s="33" t="s">
        <v>310</v>
      </c>
      <c r="C153" s="31" t="s">
        <v>43</v>
      </c>
    </row>
    <row r="154">
      <c r="A154" s="29"/>
      <c r="B154" s="33" t="s">
        <v>313</v>
      </c>
      <c r="C154" s="31" t="s">
        <v>43</v>
      </c>
    </row>
    <row r="155">
      <c r="A155" s="49">
        <v>18.0</v>
      </c>
      <c r="B155" s="51" t="s">
        <v>314</v>
      </c>
      <c r="C155" s="52" t="s">
        <v>43</v>
      </c>
    </row>
    <row r="156">
      <c r="A156" s="29"/>
      <c r="B156" s="53" t="s">
        <v>315</v>
      </c>
      <c r="C156" s="52" t="s">
        <v>43</v>
      </c>
    </row>
    <row r="157">
      <c r="A157" s="29"/>
      <c r="B157" s="53" t="s">
        <v>205</v>
      </c>
      <c r="C157" s="52" t="s">
        <v>43</v>
      </c>
    </row>
    <row r="158">
      <c r="A158" s="29"/>
      <c r="B158" s="56" t="s">
        <v>317</v>
      </c>
      <c r="C158" s="52" t="s">
        <v>43</v>
      </c>
    </row>
    <row r="159">
      <c r="A159" s="29"/>
      <c r="B159" s="53" t="s">
        <v>319</v>
      </c>
      <c r="C159" s="52" t="s">
        <v>43</v>
      </c>
    </row>
    <row r="160">
      <c r="A160" s="29"/>
      <c r="B160" s="53" t="s">
        <v>210</v>
      </c>
      <c r="C160" s="52" t="s">
        <v>43</v>
      </c>
    </row>
    <row r="161">
      <c r="A161" s="69"/>
      <c r="B161" s="45" t="s">
        <v>320</v>
      </c>
      <c r="C161" s="42" t="s">
        <v>43</v>
      </c>
    </row>
    <row r="162">
      <c r="A162" s="29"/>
      <c r="B162" s="43" t="s">
        <v>322</v>
      </c>
      <c r="C162" s="42" t="s">
        <v>43</v>
      </c>
    </row>
    <row r="163">
      <c r="A163" s="29"/>
      <c r="B163" s="43" t="s">
        <v>324</v>
      </c>
      <c r="C163" s="42" t="s">
        <v>43</v>
      </c>
    </row>
    <row r="164">
      <c r="A164" s="29"/>
      <c r="B164" s="43" t="s">
        <v>325</v>
      </c>
      <c r="C164" s="42" t="s">
        <v>43</v>
      </c>
    </row>
    <row r="165">
      <c r="A165" s="29"/>
      <c r="B165" s="43" t="s">
        <v>326</v>
      </c>
      <c r="C165" s="42" t="s">
        <v>43</v>
      </c>
    </row>
    <row r="166">
      <c r="A166" s="29"/>
      <c r="B166" s="43" t="s">
        <v>327</v>
      </c>
      <c r="C166" s="42" t="s">
        <v>43</v>
      </c>
    </row>
    <row r="167">
      <c r="A167" s="29"/>
      <c r="B167" s="43" t="s">
        <v>328</v>
      </c>
      <c r="C167" s="42" t="s">
        <v>43</v>
      </c>
    </row>
    <row r="168">
      <c r="A168" s="29"/>
      <c r="B168" s="43" t="s">
        <v>329</v>
      </c>
      <c r="C168" s="42" t="s">
        <v>43</v>
      </c>
    </row>
    <row r="169">
      <c r="A169" s="29"/>
      <c r="B169" s="41" t="s">
        <v>330</v>
      </c>
      <c r="C169" s="42" t="s">
        <v>43</v>
      </c>
    </row>
    <row r="170">
      <c r="A170" s="29"/>
      <c r="B170" s="43" t="s">
        <v>331</v>
      </c>
      <c r="C170" s="42" t="s">
        <v>43</v>
      </c>
    </row>
    <row r="171">
      <c r="A171" s="28">
        <v>19.0</v>
      </c>
      <c r="B171" s="30" t="s">
        <v>332</v>
      </c>
      <c r="C171" s="31" t="s">
        <v>43</v>
      </c>
    </row>
    <row r="172">
      <c r="A172" s="29"/>
      <c r="B172" s="33" t="s">
        <v>333</v>
      </c>
      <c r="C172" s="31" t="s">
        <v>43</v>
      </c>
    </row>
    <row r="173">
      <c r="A173" s="29"/>
      <c r="B173" s="33" t="s">
        <v>334</v>
      </c>
      <c r="C173" s="31" t="s">
        <v>43</v>
      </c>
    </row>
    <row r="174">
      <c r="A174" s="29"/>
      <c r="B174" s="33" t="s">
        <v>335</v>
      </c>
      <c r="C174" s="31" t="s">
        <v>43</v>
      </c>
    </row>
    <row r="175">
      <c r="A175" s="29"/>
      <c r="B175" s="33" t="s">
        <v>336</v>
      </c>
      <c r="C175" s="31" t="s">
        <v>43</v>
      </c>
    </row>
    <row r="176">
      <c r="A176" s="29"/>
      <c r="B176" s="33" t="s">
        <v>337</v>
      </c>
      <c r="C176" s="31" t="s">
        <v>43</v>
      </c>
    </row>
    <row r="177">
      <c r="A177" s="29"/>
      <c r="B177" s="33" t="s">
        <v>338</v>
      </c>
      <c r="C177" s="31" t="s">
        <v>43</v>
      </c>
    </row>
    <row r="178">
      <c r="A178" s="39">
        <v>20.0</v>
      </c>
      <c r="B178" s="43" t="s">
        <v>339</v>
      </c>
      <c r="C178" s="42" t="s">
        <v>43</v>
      </c>
    </row>
    <row r="179">
      <c r="A179" s="29"/>
      <c r="B179" s="43" t="s">
        <v>340</v>
      </c>
      <c r="C179" s="42" t="s">
        <v>43</v>
      </c>
    </row>
    <row r="180">
      <c r="A180" s="29"/>
      <c r="B180" s="43" t="s">
        <v>341</v>
      </c>
      <c r="C180" s="42" t="s">
        <v>43</v>
      </c>
    </row>
    <row r="181">
      <c r="A181" s="29"/>
      <c r="B181" s="43" t="s">
        <v>342</v>
      </c>
      <c r="C181" s="42" t="s">
        <v>43</v>
      </c>
    </row>
    <row r="182">
      <c r="A182" s="29"/>
      <c r="B182" s="43" t="s">
        <v>343</v>
      </c>
      <c r="C182" s="42" t="s">
        <v>43</v>
      </c>
    </row>
    <row r="183">
      <c r="A183" s="29"/>
      <c r="B183" s="43" t="s">
        <v>344</v>
      </c>
      <c r="C183" s="42" t="s">
        <v>43</v>
      </c>
    </row>
    <row r="184">
      <c r="A184" s="29"/>
      <c r="B184" s="41" t="s">
        <v>345</v>
      </c>
      <c r="C184" s="42" t="s">
        <v>43</v>
      </c>
    </row>
    <row r="185">
      <c r="A185" s="29"/>
      <c r="B185" s="43" t="s">
        <v>346</v>
      </c>
      <c r="C185" s="42" t="s">
        <v>43</v>
      </c>
    </row>
    <row r="186">
      <c r="A186" s="39">
        <v>21.0</v>
      </c>
      <c r="B186" s="45" t="s">
        <v>347</v>
      </c>
      <c r="C186" s="42" t="s">
        <v>43</v>
      </c>
    </row>
    <row r="187">
      <c r="A187" s="29"/>
      <c r="B187" s="43" t="s">
        <v>348</v>
      </c>
      <c r="C187" s="42" t="s">
        <v>43</v>
      </c>
    </row>
    <row r="188">
      <c r="A188" s="29"/>
      <c r="B188" s="43" t="s">
        <v>349</v>
      </c>
      <c r="C188" s="42" t="s">
        <v>43</v>
      </c>
    </row>
    <row r="189">
      <c r="A189" s="29"/>
      <c r="B189" s="43" t="s">
        <v>350</v>
      </c>
      <c r="C189" s="42" t="s">
        <v>43</v>
      </c>
    </row>
    <row r="190">
      <c r="A190" s="29"/>
      <c r="B190" s="43" t="s">
        <v>351</v>
      </c>
      <c r="C190" s="42" t="s">
        <v>43</v>
      </c>
    </row>
    <row r="191">
      <c r="A191" s="29"/>
      <c r="B191" s="43" t="s">
        <v>352</v>
      </c>
      <c r="C191" s="42" t="s">
        <v>43</v>
      </c>
    </row>
    <row r="192">
      <c r="A192" s="29"/>
      <c r="B192" s="43" t="s">
        <v>353</v>
      </c>
      <c r="C192" s="42" t="s">
        <v>43</v>
      </c>
    </row>
    <row r="193">
      <c r="A193" s="29"/>
      <c r="B193" s="43" t="s">
        <v>354</v>
      </c>
      <c r="C193" s="42" t="s">
        <v>43</v>
      </c>
    </row>
    <row r="194">
      <c r="A194" s="29"/>
      <c r="B194" s="43" t="s">
        <v>355</v>
      </c>
      <c r="C194" s="42" t="s">
        <v>43</v>
      </c>
    </row>
    <row r="195">
      <c r="A195" s="29"/>
      <c r="B195" s="41" t="s">
        <v>356</v>
      </c>
      <c r="C195" s="42" t="s">
        <v>43</v>
      </c>
    </row>
    <row r="196">
      <c r="A196" s="29"/>
      <c r="B196" s="43" t="s">
        <v>357</v>
      </c>
      <c r="C196" s="42" t="s">
        <v>43</v>
      </c>
    </row>
    <row r="197">
      <c r="A197" s="49">
        <v>22.0</v>
      </c>
      <c r="B197" s="51" t="s">
        <v>358</v>
      </c>
      <c r="C197" s="52" t="s">
        <v>43</v>
      </c>
    </row>
    <row r="198">
      <c r="A198" s="29"/>
      <c r="B198" s="53" t="s">
        <v>359</v>
      </c>
      <c r="C198" s="52" t="s">
        <v>43</v>
      </c>
    </row>
    <row r="199">
      <c r="A199" s="29"/>
      <c r="B199" s="53" t="s">
        <v>205</v>
      </c>
      <c r="C199" s="52" t="s">
        <v>43</v>
      </c>
    </row>
    <row r="200">
      <c r="A200" s="29"/>
      <c r="B200" s="56" t="s">
        <v>360</v>
      </c>
      <c r="C200" s="52" t="s">
        <v>43</v>
      </c>
    </row>
    <row r="201">
      <c r="A201" s="29"/>
      <c r="B201" s="53" t="s">
        <v>361</v>
      </c>
      <c r="C201" s="52" t="s">
        <v>43</v>
      </c>
    </row>
    <row r="202">
      <c r="A202" s="29"/>
      <c r="B202" s="53" t="s">
        <v>210</v>
      </c>
      <c r="C202" s="52" t="s">
        <v>43</v>
      </c>
    </row>
    <row r="203">
      <c r="A203" s="69"/>
      <c r="B203" s="45" t="s">
        <v>362</v>
      </c>
      <c r="C203" s="42" t="s">
        <v>43</v>
      </c>
    </row>
    <row r="204">
      <c r="A204" s="29"/>
      <c r="B204" s="43" t="s">
        <v>363</v>
      </c>
      <c r="C204" s="42" t="s">
        <v>43</v>
      </c>
    </row>
    <row r="205">
      <c r="A205" s="29"/>
      <c r="B205" s="43" t="s">
        <v>364</v>
      </c>
      <c r="C205" s="42" t="s">
        <v>43</v>
      </c>
    </row>
    <row r="206">
      <c r="A206" s="29"/>
      <c r="B206" s="43" t="s">
        <v>365</v>
      </c>
      <c r="C206" s="42" t="s">
        <v>43</v>
      </c>
    </row>
    <row r="207">
      <c r="A207" s="29"/>
      <c r="B207" s="43" t="s">
        <v>366</v>
      </c>
      <c r="C207" s="42" t="s">
        <v>43</v>
      </c>
    </row>
    <row r="208">
      <c r="A208" s="29"/>
      <c r="B208" s="43" t="s">
        <v>367</v>
      </c>
      <c r="C208" s="42" t="s">
        <v>43</v>
      </c>
    </row>
    <row r="209">
      <c r="A209" s="29"/>
      <c r="B209" s="43" t="s">
        <v>368</v>
      </c>
      <c r="C209" s="42" t="s">
        <v>43</v>
      </c>
    </row>
    <row r="210">
      <c r="A210" s="29"/>
      <c r="B210" s="43" t="s">
        <v>369</v>
      </c>
      <c r="C210" s="42" t="s">
        <v>43</v>
      </c>
    </row>
    <row r="211">
      <c r="A211" s="29"/>
      <c r="B211" s="41" t="s">
        <v>370</v>
      </c>
      <c r="C211" s="42" t="s">
        <v>43</v>
      </c>
    </row>
    <row r="212">
      <c r="A212" s="29"/>
      <c r="B212" s="43" t="s">
        <v>371</v>
      </c>
      <c r="C212" s="42" t="s">
        <v>43</v>
      </c>
    </row>
    <row r="213">
      <c r="A213" s="28">
        <v>23.0</v>
      </c>
      <c r="B213" s="30" t="s">
        <v>372</v>
      </c>
      <c r="C213" s="31" t="s">
        <v>43</v>
      </c>
    </row>
    <row r="214">
      <c r="A214" s="29"/>
      <c r="B214" s="33" t="s">
        <v>373</v>
      </c>
      <c r="C214" s="31" t="s">
        <v>43</v>
      </c>
    </row>
    <row r="215">
      <c r="A215" s="29"/>
      <c r="B215" s="33" t="s">
        <v>374</v>
      </c>
      <c r="C215" s="31" t="s">
        <v>43</v>
      </c>
    </row>
    <row r="216">
      <c r="A216" s="29"/>
      <c r="B216" s="33" t="s">
        <v>375</v>
      </c>
      <c r="C216" s="31" t="s">
        <v>43</v>
      </c>
    </row>
    <row r="217">
      <c r="A217" s="29"/>
      <c r="B217" s="33" t="s">
        <v>376</v>
      </c>
      <c r="C217" s="31" t="s">
        <v>43</v>
      </c>
    </row>
    <row r="218">
      <c r="A218" s="29"/>
      <c r="B218" s="33" t="s">
        <v>377</v>
      </c>
      <c r="C218" s="31" t="s">
        <v>43</v>
      </c>
    </row>
    <row r="219">
      <c r="A219" s="29"/>
      <c r="B219" s="33" t="s">
        <v>378</v>
      </c>
      <c r="C219" s="31" t="s">
        <v>43</v>
      </c>
    </row>
    <row r="220">
      <c r="A220" s="28">
        <v>24.0</v>
      </c>
      <c r="B220" s="30" t="s">
        <v>379</v>
      </c>
      <c r="C220" s="31" t="s">
        <v>43</v>
      </c>
    </row>
    <row r="221">
      <c r="A221" s="29"/>
      <c r="B221" s="33" t="s">
        <v>380</v>
      </c>
      <c r="C221" s="31" t="s">
        <v>43</v>
      </c>
    </row>
    <row r="222">
      <c r="A222" s="29"/>
      <c r="B222" s="33" t="s">
        <v>381</v>
      </c>
      <c r="C222" s="31" t="s">
        <v>43</v>
      </c>
    </row>
    <row r="223">
      <c r="A223" s="29"/>
      <c r="B223" s="33" t="s">
        <v>382</v>
      </c>
      <c r="C223" s="31" t="s">
        <v>43</v>
      </c>
    </row>
    <row r="224">
      <c r="A224" s="29"/>
      <c r="B224" s="33" t="s">
        <v>383</v>
      </c>
      <c r="C224" s="31" t="s">
        <v>43</v>
      </c>
    </row>
    <row r="225">
      <c r="A225" s="29"/>
      <c r="B225" s="33" t="s">
        <v>384</v>
      </c>
      <c r="C225" s="31" t="s">
        <v>43</v>
      </c>
    </row>
    <row r="226">
      <c r="A226" s="29"/>
      <c r="B226" s="33" t="s">
        <v>385</v>
      </c>
      <c r="C226" s="31" t="s">
        <v>43</v>
      </c>
    </row>
    <row r="227">
      <c r="A227" s="29"/>
      <c r="B227" s="33" t="s">
        <v>386</v>
      </c>
      <c r="C227" s="31" t="s">
        <v>43</v>
      </c>
    </row>
    <row r="228">
      <c r="A228" s="28">
        <v>25.0</v>
      </c>
      <c r="B228" s="30" t="s">
        <v>387</v>
      </c>
      <c r="C228" s="31" t="s">
        <v>43</v>
      </c>
    </row>
    <row r="229">
      <c r="A229" s="29"/>
      <c r="B229" s="33" t="s">
        <v>388</v>
      </c>
      <c r="C229" s="31" t="s">
        <v>43</v>
      </c>
    </row>
    <row r="230">
      <c r="A230" s="29"/>
      <c r="B230" s="33" t="s">
        <v>389</v>
      </c>
      <c r="C230" s="31" t="s">
        <v>43</v>
      </c>
    </row>
    <row r="231">
      <c r="A231" s="29"/>
      <c r="B231" s="33" t="s">
        <v>390</v>
      </c>
      <c r="C231" s="31" t="s">
        <v>43</v>
      </c>
    </row>
    <row r="232">
      <c r="A232" s="29"/>
      <c r="B232" s="33" t="s">
        <v>391</v>
      </c>
      <c r="C232" s="31" t="s">
        <v>43</v>
      </c>
    </row>
    <row r="233">
      <c r="A233" s="29"/>
      <c r="B233" s="33" t="s">
        <v>392</v>
      </c>
      <c r="C233" s="31" t="s">
        <v>43</v>
      </c>
    </row>
    <row r="234">
      <c r="A234" s="28">
        <v>26.0</v>
      </c>
      <c r="B234" s="30" t="s">
        <v>394</v>
      </c>
      <c r="C234" s="31" t="s">
        <v>43</v>
      </c>
    </row>
    <row r="235">
      <c r="A235" s="29"/>
      <c r="B235" s="33" t="s">
        <v>395</v>
      </c>
      <c r="C235" s="31" t="s">
        <v>43</v>
      </c>
    </row>
    <row r="236">
      <c r="A236" s="29"/>
      <c r="B236" s="33" t="s">
        <v>396</v>
      </c>
      <c r="C236" s="31" t="s">
        <v>43</v>
      </c>
    </row>
    <row r="237">
      <c r="A237" s="29"/>
      <c r="B237" s="33" t="s">
        <v>397</v>
      </c>
      <c r="C237" s="31" t="s">
        <v>43</v>
      </c>
    </row>
    <row r="238">
      <c r="A238" s="29"/>
      <c r="B238" s="33" t="s">
        <v>398</v>
      </c>
      <c r="C238" s="31" t="s">
        <v>43</v>
      </c>
    </row>
    <row r="239">
      <c r="A239" s="29"/>
      <c r="B239" s="33" t="s">
        <v>399</v>
      </c>
      <c r="C239" s="31" t="s">
        <v>43</v>
      </c>
    </row>
    <row r="240">
      <c r="A240" s="29"/>
      <c r="B240" s="33" t="s">
        <v>400</v>
      </c>
      <c r="C240" s="31" t="s">
        <v>43</v>
      </c>
    </row>
    <row r="241">
      <c r="A241" s="29"/>
      <c r="B241" s="33" t="s">
        <v>401</v>
      </c>
      <c r="C241" s="31" t="s">
        <v>43</v>
      </c>
    </row>
    <row r="242">
      <c r="A242" s="29"/>
      <c r="B242" s="33" t="s">
        <v>402</v>
      </c>
      <c r="C242" s="31" t="s">
        <v>43</v>
      </c>
    </row>
    <row r="243">
      <c r="A243" s="28">
        <v>27.0</v>
      </c>
      <c r="B243" s="33" t="s">
        <v>403</v>
      </c>
      <c r="C243" s="31" t="s">
        <v>43</v>
      </c>
    </row>
    <row r="244">
      <c r="A244" s="29"/>
      <c r="B244" s="33" t="s">
        <v>404</v>
      </c>
      <c r="C244" s="31" t="s">
        <v>43</v>
      </c>
    </row>
    <row r="245">
      <c r="A245" s="29"/>
      <c r="B245" s="33" t="s">
        <v>405</v>
      </c>
      <c r="C245" s="31" t="s">
        <v>43</v>
      </c>
    </row>
    <row r="246">
      <c r="A246" s="28">
        <v>28.0</v>
      </c>
      <c r="B246" s="33" t="s">
        <v>406</v>
      </c>
      <c r="C246" s="31" t="s">
        <v>43</v>
      </c>
    </row>
    <row r="247">
      <c r="A247" s="29"/>
      <c r="B247" s="33" t="s">
        <v>407</v>
      </c>
      <c r="C247" s="31" t="s">
        <v>43</v>
      </c>
    </row>
    <row r="248">
      <c r="A248" s="29"/>
      <c r="B248" s="33" t="s">
        <v>408</v>
      </c>
      <c r="C248" s="31" t="s">
        <v>43</v>
      </c>
    </row>
    <row r="249">
      <c r="A249" s="28">
        <v>29.0</v>
      </c>
      <c r="B249" s="33" t="s">
        <v>409</v>
      </c>
      <c r="C249" s="31" t="s">
        <v>43</v>
      </c>
    </row>
    <row r="250">
      <c r="A250" s="29"/>
      <c r="B250" s="33" t="s">
        <v>410</v>
      </c>
      <c r="C250" s="31" t="s">
        <v>43</v>
      </c>
    </row>
    <row r="251">
      <c r="A251" s="29"/>
      <c r="B251" s="33" t="s">
        <v>411</v>
      </c>
      <c r="C251" s="31" t="s">
        <v>43</v>
      </c>
    </row>
    <row r="252">
      <c r="A252" s="28">
        <v>30.0</v>
      </c>
      <c r="B252" s="33" t="s">
        <v>412</v>
      </c>
      <c r="C252" s="31" t="s">
        <v>43</v>
      </c>
    </row>
    <row r="253">
      <c r="A253" s="29"/>
      <c r="B253" s="33" t="s">
        <v>413</v>
      </c>
      <c r="C253" s="31" t="s">
        <v>43</v>
      </c>
    </row>
    <row r="254">
      <c r="A254" s="29"/>
      <c r="B254" s="33" t="s">
        <v>414</v>
      </c>
      <c r="C254" s="31" t="s">
        <v>43</v>
      </c>
    </row>
    <row r="255">
      <c r="A255" s="28">
        <v>31.0</v>
      </c>
      <c r="B255" s="33" t="s">
        <v>415</v>
      </c>
      <c r="C255" s="31" t="s">
        <v>43</v>
      </c>
    </row>
    <row r="256">
      <c r="A256" s="29"/>
      <c r="B256" s="33" t="s">
        <v>416</v>
      </c>
      <c r="C256" s="31" t="s">
        <v>43</v>
      </c>
    </row>
    <row r="257">
      <c r="A257" s="29"/>
      <c r="B257" s="33" t="s">
        <v>417</v>
      </c>
      <c r="C257" s="31" t="s">
        <v>43</v>
      </c>
    </row>
    <row r="258">
      <c r="A258" s="49">
        <v>32.0</v>
      </c>
      <c r="B258" s="51" t="s">
        <v>418</v>
      </c>
      <c r="C258" s="52" t="s">
        <v>43</v>
      </c>
    </row>
    <row r="259">
      <c r="A259" s="29"/>
      <c r="B259" s="53" t="s">
        <v>419</v>
      </c>
      <c r="C259" s="52" t="s">
        <v>43</v>
      </c>
    </row>
    <row r="260">
      <c r="A260" s="29"/>
      <c r="B260" s="53" t="s">
        <v>205</v>
      </c>
      <c r="C260" s="52" t="s">
        <v>43</v>
      </c>
    </row>
    <row r="261">
      <c r="A261" s="29"/>
      <c r="B261" s="56" t="s">
        <v>420</v>
      </c>
      <c r="C261" s="52" t="s">
        <v>43</v>
      </c>
    </row>
    <row r="262">
      <c r="A262" s="29"/>
      <c r="B262" s="53" t="s">
        <v>421</v>
      </c>
      <c r="C262" s="52" t="s">
        <v>43</v>
      </c>
    </row>
    <row r="263">
      <c r="A263" s="29"/>
      <c r="B263" s="53" t="s">
        <v>210</v>
      </c>
      <c r="C263" s="52" t="s">
        <v>43</v>
      </c>
    </row>
    <row r="264">
      <c r="A264" s="71">
        <v>33.0</v>
      </c>
      <c r="B264" s="72" t="s">
        <v>422</v>
      </c>
      <c r="C264" s="73" t="s">
        <v>43</v>
      </c>
    </row>
    <row r="265">
      <c r="A265" s="29"/>
      <c r="B265" s="74" t="s">
        <v>423</v>
      </c>
      <c r="C265" s="73" t="s">
        <v>43</v>
      </c>
    </row>
    <row r="266">
      <c r="A266" s="29"/>
      <c r="B266" s="74" t="s">
        <v>424</v>
      </c>
      <c r="C266" s="73" t="s">
        <v>43</v>
      </c>
    </row>
    <row r="267">
      <c r="A267" s="29"/>
      <c r="B267" s="74" t="s">
        <v>425</v>
      </c>
      <c r="C267" s="73" t="s">
        <v>43</v>
      </c>
    </row>
    <row r="268">
      <c r="A268" s="71">
        <v>34.0</v>
      </c>
      <c r="B268" s="72" t="s">
        <v>426</v>
      </c>
      <c r="C268" s="73" t="s">
        <v>43</v>
      </c>
    </row>
    <row r="269">
      <c r="A269" s="29"/>
      <c r="B269" s="74" t="s">
        <v>427</v>
      </c>
      <c r="C269" s="73" t="s">
        <v>43</v>
      </c>
    </row>
    <row r="270">
      <c r="A270" s="29"/>
      <c r="B270" s="74" t="s">
        <v>428</v>
      </c>
      <c r="C270" s="73" t="s">
        <v>43</v>
      </c>
    </row>
    <row r="271">
      <c r="A271" s="29"/>
      <c r="B271" s="74" t="s">
        <v>429</v>
      </c>
      <c r="C271" s="73" t="s">
        <v>43</v>
      </c>
    </row>
    <row r="272">
      <c r="A272" s="71">
        <v>35.0</v>
      </c>
      <c r="B272" s="72" t="s">
        <v>430</v>
      </c>
      <c r="C272" s="73" t="s">
        <v>43</v>
      </c>
    </row>
    <row r="273">
      <c r="A273" s="29"/>
      <c r="B273" s="74" t="s">
        <v>431</v>
      </c>
      <c r="C273" s="73" t="s">
        <v>43</v>
      </c>
    </row>
    <row r="274">
      <c r="A274" s="29"/>
      <c r="B274" s="74" t="s">
        <v>432</v>
      </c>
      <c r="C274" s="73" t="s">
        <v>43</v>
      </c>
    </row>
    <row r="275">
      <c r="A275" s="29"/>
      <c r="B275" s="74" t="s">
        <v>433</v>
      </c>
      <c r="C275" s="73" t="s">
        <v>43</v>
      </c>
    </row>
    <row r="276">
      <c r="A276" s="71">
        <v>36.0</v>
      </c>
      <c r="B276" s="72" t="s">
        <v>434</v>
      </c>
      <c r="C276" s="73" t="s">
        <v>43</v>
      </c>
    </row>
    <row r="277">
      <c r="A277" s="29"/>
      <c r="B277" s="74" t="s">
        <v>435</v>
      </c>
      <c r="C277" s="73" t="s">
        <v>43</v>
      </c>
    </row>
    <row r="278">
      <c r="A278" s="29"/>
      <c r="B278" s="74" t="s">
        <v>436</v>
      </c>
      <c r="C278" s="73" t="s">
        <v>43</v>
      </c>
    </row>
    <row r="279">
      <c r="A279" s="29"/>
      <c r="B279" s="74" t="s">
        <v>437</v>
      </c>
      <c r="C279" s="73" t="s">
        <v>43</v>
      </c>
    </row>
    <row r="280">
      <c r="A280" s="71">
        <v>37.0</v>
      </c>
      <c r="B280" s="72" t="s">
        <v>438</v>
      </c>
      <c r="C280" s="73" t="s">
        <v>43</v>
      </c>
    </row>
    <row r="281">
      <c r="A281" s="29"/>
      <c r="B281" s="74" t="s">
        <v>439</v>
      </c>
      <c r="C281" s="73" t="s">
        <v>43</v>
      </c>
    </row>
    <row r="282">
      <c r="A282" s="29"/>
      <c r="B282" s="74" t="s">
        <v>440</v>
      </c>
      <c r="C282" s="73" t="s">
        <v>43</v>
      </c>
    </row>
    <row r="283">
      <c r="A283" s="71">
        <v>38.0</v>
      </c>
      <c r="B283" s="72" t="s">
        <v>441</v>
      </c>
      <c r="C283" s="73" t="s">
        <v>43</v>
      </c>
    </row>
    <row r="284">
      <c r="A284" s="29"/>
      <c r="B284" s="74" t="s">
        <v>442</v>
      </c>
      <c r="C284" s="73" t="s">
        <v>43</v>
      </c>
    </row>
    <row r="285">
      <c r="A285" s="29"/>
      <c r="B285" s="74" t="s">
        <v>443</v>
      </c>
      <c r="C285" s="73" t="s">
        <v>43</v>
      </c>
    </row>
    <row r="286">
      <c r="A286" s="29"/>
      <c r="B286" s="74" t="s">
        <v>444</v>
      </c>
      <c r="C286" s="73" t="s">
        <v>43</v>
      </c>
    </row>
    <row r="287">
      <c r="A287" s="71">
        <v>39.0</v>
      </c>
      <c r="B287" s="72" t="s">
        <v>445</v>
      </c>
      <c r="C287" s="73" t="s">
        <v>43</v>
      </c>
    </row>
    <row r="288">
      <c r="A288" s="29"/>
      <c r="B288" s="74" t="s">
        <v>442</v>
      </c>
      <c r="C288" s="73" t="s">
        <v>43</v>
      </c>
    </row>
    <row r="289">
      <c r="A289" s="29"/>
      <c r="B289" s="74" t="s">
        <v>443</v>
      </c>
      <c r="C289" s="73" t="s">
        <v>43</v>
      </c>
    </row>
    <row r="290">
      <c r="A290" s="29"/>
      <c r="B290" s="74" t="s">
        <v>444</v>
      </c>
      <c r="C290" s="73" t="s">
        <v>43</v>
      </c>
    </row>
    <row r="291">
      <c r="A291" s="71">
        <v>40.0</v>
      </c>
      <c r="B291" s="72" t="s">
        <v>446</v>
      </c>
      <c r="C291" s="73"/>
    </row>
    <row r="292">
      <c r="A292" s="29"/>
      <c r="B292" s="74" t="s">
        <v>447</v>
      </c>
      <c r="C292" s="73"/>
    </row>
    <row r="293">
      <c r="A293" s="29"/>
      <c r="B293" s="74" t="s">
        <v>448</v>
      </c>
      <c r="C293" s="73"/>
    </row>
    <row r="294">
      <c r="A294" s="29"/>
      <c r="B294" s="74" t="s">
        <v>449</v>
      </c>
      <c r="C294" s="73"/>
    </row>
  </sheetData>
  <mergeCells count="50">
    <mergeCell ref="A1:C1"/>
    <mergeCell ref="A2:C2"/>
    <mergeCell ref="A3:C3"/>
    <mergeCell ref="A4:B4"/>
    <mergeCell ref="A5:B5"/>
    <mergeCell ref="A6:C6"/>
    <mergeCell ref="A8:A21"/>
    <mergeCell ref="A22:A28"/>
    <mergeCell ref="A29:A36"/>
    <mergeCell ref="A37:A39"/>
    <mergeCell ref="A40:A50"/>
    <mergeCell ref="A51:A60"/>
    <mergeCell ref="A61:A68"/>
    <mergeCell ref="A69:A75"/>
    <mergeCell ref="A76:A81"/>
    <mergeCell ref="A82:A88"/>
    <mergeCell ref="A89:A94"/>
    <mergeCell ref="A95:A102"/>
    <mergeCell ref="A103:A106"/>
    <mergeCell ref="A107:A117"/>
    <mergeCell ref="A118:A123"/>
    <mergeCell ref="A124:A131"/>
    <mergeCell ref="A132:A138"/>
    <mergeCell ref="A139:A146"/>
    <mergeCell ref="A147:A154"/>
    <mergeCell ref="A155:A160"/>
    <mergeCell ref="A161:A170"/>
    <mergeCell ref="A171:A177"/>
    <mergeCell ref="A178:A185"/>
    <mergeCell ref="A186:A196"/>
    <mergeCell ref="A197:A202"/>
    <mergeCell ref="A203:A212"/>
    <mergeCell ref="A213:A219"/>
    <mergeCell ref="A220:A227"/>
    <mergeCell ref="A228:A233"/>
    <mergeCell ref="A264:A267"/>
    <mergeCell ref="A268:A271"/>
    <mergeCell ref="A272:A275"/>
    <mergeCell ref="A276:A279"/>
    <mergeCell ref="A280:A282"/>
    <mergeCell ref="A283:A286"/>
    <mergeCell ref="A287:A290"/>
    <mergeCell ref="A291:A294"/>
    <mergeCell ref="A234:A242"/>
    <mergeCell ref="A243:A245"/>
    <mergeCell ref="A246:A248"/>
    <mergeCell ref="A249:A251"/>
    <mergeCell ref="A252:A254"/>
    <mergeCell ref="A255:A257"/>
    <mergeCell ref="A258:A263"/>
  </mergeCells>
  <dataValidations>
    <dataValidation type="list" allowBlank="1" showErrorMessage="1" sqref="C8:C294">
      <formula1>"Done,Pending"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</cols>
  <sheetData>
    <row r="2" ht="62.25" customHeight="1">
      <c r="A2" s="63" t="s">
        <v>0</v>
      </c>
      <c r="B2" s="63" t="s">
        <v>1</v>
      </c>
      <c r="C2" s="64" t="s">
        <v>2</v>
      </c>
      <c r="D2" s="65" t="s">
        <v>274</v>
      </c>
      <c r="E2" s="65" t="s">
        <v>277</v>
      </c>
    </row>
    <row r="3">
      <c r="A3" s="48">
        <v>1.0</v>
      </c>
      <c r="B3" s="25" t="s">
        <v>32</v>
      </c>
      <c r="C3" s="25" t="s">
        <v>36</v>
      </c>
      <c r="D3" s="66"/>
      <c r="E3" s="66"/>
    </row>
    <row r="4">
      <c r="A4" s="48">
        <v>2.0</v>
      </c>
      <c r="B4" s="25" t="s">
        <v>62</v>
      </c>
      <c r="C4" s="25" t="s">
        <v>250</v>
      </c>
      <c r="D4" s="66"/>
      <c r="E4" s="66"/>
    </row>
    <row r="5">
      <c r="A5" s="48">
        <v>3.0</v>
      </c>
      <c r="B5" s="25" t="s">
        <v>74</v>
      </c>
      <c r="C5" s="25" t="s">
        <v>75</v>
      </c>
      <c r="D5" s="66"/>
      <c r="E5" s="66"/>
    </row>
    <row r="6">
      <c r="A6" s="48">
        <v>4.0</v>
      </c>
      <c r="B6" s="25" t="s">
        <v>85</v>
      </c>
      <c r="C6" s="25" t="s">
        <v>86</v>
      </c>
      <c r="D6" s="66"/>
      <c r="E6" s="66"/>
    </row>
    <row r="7">
      <c r="A7" s="48">
        <v>5.0</v>
      </c>
      <c r="B7" s="25" t="s">
        <v>92</v>
      </c>
      <c r="C7" s="25" t="s">
        <v>93</v>
      </c>
      <c r="D7" s="66"/>
      <c r="E7" s="66"/>
    </row>
    <row r="8">
      <c r="A8" s="48">
        <v>6.0</v>
      </c>
      <c r="B8" s="25" t="s">
        <v>101</v>
      </c>
      <c r="C8" s="25" t="s">
        <v>102</v>
      </c>
      <c r="D8" s="66"/>
      <c r="E8" s="66"/>
    </row>
    <row r="9">
      <c r="A9" s="48">
        <v>7.0</v>
      </c>
      <c r="B9" s="25" t="s">
        <v>107</v>
      </c>
      <c r="C9" s="25" t="s">
        <v>108</v>
      </c>
      <c r="D9" s="66"/>
      <c r="E9" s="66"/>
    </row>
    <row r="10">
      <c r="A10" s="48">
        <v>8.0</v>
      </c>
      <c r="B10" s="25" t="s">
        <v>118</v>
      </c>
      <c r="C10" s="25" t="s">
        <v>120</v>
      </c>
      <c r="D10" s="66"/>
      <c r="E10" s="66"/>
    </row>
    <row r="11">
      <c r="A11" s="48">
        <v>9.0</v>
      </c>
      <c r="B11" s="25" t="s">
        <v>131</v>
      </c>
      <c r="C11" s="25" t="s">
        <v>132</v>
      </c>
      <c r="D11" s="66"/>
      <c r="E11" s="66"/>
    </row>
    <row r="12">
      <c r="A12" s="48">
        <v>10.0</v>
      </c>
      <c r="B12" s="25" t="s">
        <v>152</v>
      </c>
      <c r="C12" s="25" t="s">
        <v>154</v>
      </c>
      <c r="D12" s="66"/>
      <c r="E12" s="66"/>
    </row>
    <row r="13">
      <c r="A13" s="48">
        <v>11.0</v>
      </c>
      <c r="B13" s="25" t="s">
        <v>171</v>
      </c>
      <c r="C13" s="25" t="s">
        <v>172</v>
      </c>
      <c r="D13" s="66"/>
      <c r="E13" s="66"/>
    </row>
    <row r="14">
      <c r="A14" s="48">
        <v>12.0</v>
      </c>
      <c r="B14" s="25" t="s">
        <v>184</v>
      </c>
      <c r="C14" s="25" t="s">
        <v>186</v>
      </c>
      <c r="D14" s="66"/>
      <c r="E14" s="66"/>
    </row>
    <row r="15">
      <c r="A15" s="48">
        <v>13.0</v>
      </c>
      <c r="B15" s="25" t="s">
        <v>195</v>
      </c>
      <c r="C15" s="25" t="s">
        <v>197</v>
      </c>
      <c r="D15" s="66"/>
      <c r="E15" s="66"/>
    </row>
    <row r="16">
      <c r="A16" s="48">
        <v>14.0</v>
      </c>
      <c r="B16" s="25" t="s">
        <v>202</v>
      </c>
      <c r="C16" s="25" t="s">
        <v>203</v>
      </c>
      <c r="D16" s="66"/>
      <c r="E16" s="66"/>
    </row>
    <row r="17">
      <c r="A17" s="48">
        <v>15.0</v>
      </c>
      <c r="B17" s="25" t="s">
        <v>209</v>
      </c>
      <c r="C17" s="25" t="s">
        <v>211</v>
      </c>
      <c r="D17" s="66"/>
      <c r="E17" s="66"/>
    </row>
    <row r="18">
      <c r="A18" s="48">
        <v>16.0</v>
      </c>
      <c r="B18" s="25" t="s">
        <v>217</v>
      </c>
      <c r="C18" s="25" t="s">
        <v>218</v>
      </c>
      <c r="D18" s="66"/>
      <c r="E18" s="66"/>
    </row>
    <row r="19">
      <c r="A19" s="48">
        <v>17.0</v>
      </c>
      <c r="B19" s="55" t="s">
        <v>230</v>
      </c>
      <c r="C19" s="55" t="s">
        <v>231</v>
      </c>
      <c r="D19" s="66"/>
      <c r="E19" s="66"/>
    </row>
    <row r="20">
      <c r="A20" s="48">
        <v>18.0</v>
      </c>
      <c r="B20" s="25" t="s">
        <v>238</v>
      </c>
      <c r="C20" s="25" t="s">
        <v>240</v>
      </c>
      <c r="D20" s="66"/>
      <c r="E20" s="66"/>
    </row>
    <row r="21">
      <c r="A21" s="48">
        <v>19.0</v>
      </c>
      <c r="B21" s="25" t="s">
        <v>246</v>
      </c>
      <c r="C21" s="25" t="s">
        <v>247</v>
      </c>
      <c r="D21" s="66"/>
      <c r="E21" s="66"/>
    </row>
    <row r="22">
      <c r="A22" s="48">
        <v>20.0</v>
      </c>
      <c r="B22" s="62" t="s">
        <v>255</v>
      </c>
      <c r="C22" s="62" t="s">
        <v>257</v>
      </c>
      <c r="D22" s="66"/>
      <c r="E22" s="66"/>
    </row>
    <row r="23">
      <c r="A23" s="48">
        <v>21.0</v>
      </c>
      <c r="B23" s="25" t="s">
        <v>263</v>
      </c>
      <c r="C23" s="25" t="s">
        <v>264</v>
      </c>
      <c r="D23" s="66"/>
      <c r="E23" s="66"/>
    </row>
    <row r="24">
      <c r="A24" s="48">
        <v>22.0</v>
      </c>
      <c r="B24" s="25" t="s">
        <v>268</v>
      </c>
      <c r="C24" s="25" t="s">
        <v>269</v>
      </c>
      <c r="D24" s="66"/>
      <c r="E24" s="66"/>
    </row>
    <row r="25">
      <c r="A25" s="48">
        <v>23.0</v>
      </c>
      <c r="B25" s="25" t="s">
        <v>278</v>
      </c>
      <c r="C25" s="25" t="s">
        <v>280</v>
      </c>
      <c r="D25" s="66"/>
      <c r="E25" s="66"/>
    </row>
    <row r="26">
      <c r="A26" s="48">
        <v>24.0</v>
      </c>
      <c r="B26" s="25" t="s">
        <v>289</v>
      </c>
      <c r="C26" s="25" t="s">
        <v>290</v>
      </c>
      <c r="D26" s="66"/>
      <c r="E26" s="66"/>
    </row>
    <row r="27">
      <c r="A27" s="48">
        <v>25.0</v>
      </c>
      <c r="B27" s="25" t="s">
        <v>296</v>
      </c>
      <c r="C27" s="25" t="s">
        <v>297</v>
      </c>
      <c r="D27" s="66"/>
      <c r="E27" s="66"/>
    </row>
    <row r="28">
      <c r="A28" s="48">
        <v>26.0</v>
      </c>
      <c r="B28" s="25" t="s">
        <v>300</v>
      </c>
      <c r="C28" s="25" t="s">
        <v>301</v>
      </c>
      <c r="D28" s="66"/>
      <c r="E28" s="66"/>
    </row>
    <row r="29">
      <c r="A29" s="48">
        <v>27.0</v>
      </c>
      <c r="B29" s="25" t="s">
        <v>304</v>
      </c>
      <c r="C29" s="25" t="s">
        <v>305</v>
      </c>
      <c r="D29" s="66"/>
      <c r="E29" s="66"/>
    </row>
    <row r="30">
      <c r="A30" s="48">
        <v>28.0</v>
      </c>
      <c r="B30" s="25" t="s">
        <v>311</v>
      </c>
      <c r="C30" s="25" t="s">
        <v>312</v>
      </c>
      <c r="D30" s="66"/>
      <c r="E30" s="66"/>
    </row>
    <row r="31">
      <c r="A31" s="48">
        <v>29.0</v>
      </c>
      <c r="B31" s="67" t="s">
        <v>316</v>
      </c>
      <c r="C31" s="67" t="s">
        <v>318</v>
      </c>
      <c r="D31" s="66"/>
      <c r="E31" s="66"/>
    </row>
    <row r="32">
      <c r="A32" s="48">
        <v>30.0</v>
      </c>
      <c r="B32" s="25" t="s">
        <v>321</v>
      </c>
      <c r="C32" s="25" t="s">
        <v>323</v>
      </c>
      <c r="D32" s="66"/>
      <c r="E32" s="66"/>
    </row>
  </sheetData>
  <drawing r:id="rId1"/>
</worksheet>
</file>