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" sheetId="1" r:id="rId5"/>
    <sheet state="visible" name="DSR" sheetId="2" r:id="rId6"/>
    <sheet state="visible" name="Assessment" sheetId="3" r:id="rId7"/>
    <sheet state="visible" name="Course Timeline" sheetId="4" r:id="rId8"/>
    <sheet state="visible" name="Project" sheetId="5" r:id="rId9"/>
  </sheets>
  <definedNames/>
  <calcPr/>
</workbook>
</file>

<file path=xl/sharedStrings.xml><?xml version="1.0" encoding="utf-8"?>
<sst xmlns="http://schemas.openxmlformats.org/spreadsheetml/2006/main" count="1268" uniqueCount="512">
  <si>
    <t>SNO</t>
  </si>
  <si>
    <t>S NO</t>
  </si>
  <si>
    <t>Date</t>
  </si>
  <si>
    <t>Topic Cover</t>
  </si>
  <si>
    <t>Student Email</t>
  </si>
  <si>
    <t>Student Count Online Offline</t>
  </si>
  <si>
    <t xml:space="preserve">Trainer Name </t>
  </si>
  <si>
    <t>ARYA COLLEGE OF ENGINEERING</t>
  </si>
  <si>
    <t>Student Name</t>
  </si>
  <si>
    <t>RTU Roll No.</t>
  </si>
  <si>
    <t xml:space="preserve">Total Present </t>
  </si>
  <si>
    <t xml:space="preserve">Total Absent </t>
  </si>
  <si>
    <t xml:space="preserve">Total Class </t>
  </si>
  <si>
    <t>Attendance Percent</t>
  </si>
  <si>
    <t>BLOWN UP SYLLABUS</t>
  </si>
  <si>
    <t>INDUSTRIAL TRAINING</t>
  </si>
  <si>
    <t>Lecturer Name:</t>
  </si>
  <si>
    <t>INTRODUCTION TO PYTHON &amp; ENVIRONMENT SETUP</t>
  </si>
  <si>
    <t>Assesment 1 (Intdoction to python, installation, variables, data types, operators, conditional statements) Out of 30</t>
  </si>
  <si>
    <t>Assesment 2 (Looping, tuple, dictionary, set, list, string) Out of 30</t>
  </si>
  <si>
    <t>Assesment 3 (Functions, Modules, Problem solving and logic building) Out of 30</t>
  </si>
  <si>
    <t>Assesment 4 (Python Basics, Core Concepts, OOPs, Exceptions) Out of  30</t>
  </si>
  <si>
    <t>Assesment 5 (List Comprehension &amp; Advanced Data Structures, JSON/CSV Files, Virtual Environment, Iterators, Generators, Decorators, Web Scraping and APIs) Out of 30</t>
  </si>
  <si>
    <t xml:space="preserve">Assesment 6 (Topics Name ) Out of </t>
  </si>
  <si>
    <t>Online 5, Offline 0 | out of 11</t>
  </si>
  <si>
    <t>No. of Lectures Required: 30</t>
  </si>
  <si>
    <t>Kapil Jangid</t>
  </si>
  <si>
    <t>RECAPE SESSION, VARIABLES</t>
  </si>
  <si>
    <t>Online 9, Offline 0 | out of 11</t>
  </si>
  <si>
    <t>Lecture No.</t>
  </si>
  <si>
    <t>DATA TYPES &amp; TYPE CONVERSION</t>
  </si>
  <si>
    <t>BLOWN UP TOPICS</t>
  </si>
  <si>
    <t>Arjit Kaushik</t>
  </si>
  <si>
    <t>Date of Delivery</t>
  </si>
  <si>
    <t>OPERATORS &amp; EXPRESSIONS</t>
  </si>
  <si>
    <t>Online 7, Offline 0 | out of 11</t>
  </si>
  <si>
    <t>Status</t>
  </si>
  <si>
    <t>CONDITIONAL STATEMENTS</t>
  </si>
  <si>
    <t>Online 8, Offline 0 | out of 11</t>
  </si>
  <si>
    <t>25EACEE003</t>
  </si>
  <si>
    <t>LOOPS — PART 1 (for LOOP)</t>
  </si>
  <si>
    <t>DAY 1: INTRODUCTION TO PYTHON &amp; ENVIRONMENT SETUP</t>
  </si>
  <si>
    <t>ASSESSMENT-1 AND for LOOP exmaples</t>
  </si>
  <si>
    <t>Done</t>
  </si>
  <si>
    <t>LOOPS — PART 2 (while LOOP)</t>
  </si>
  <si>
    <t>STRINGS</t>
  </si>
  <si>
    <t>1. Getting Started with Python</t>
  </si>
  <si>
    <t>LIST</t>
  </si>
  <si>
    <t>Online 6, Offline 0 | out of 11</t>
  </si>
  <si>
    <t>1.1 What is Programming? Why Python?</t>
  </si>
  <si>
    <t>Somya gupta</t>
  </si>
  <si>
    <t>25EACCE026</t>
  </si>
  <si>
    <t>TUPLES, SETS &amp; DICTIONARIES</t>
  </si>
  <si>
    <t>1.2 Installing Python &amp; Setting Up VS Code / IDLE</t>
  </si>
  <si>
    <t>FUNCTIONS — PART 1</t>
  </si>
  <si>
    <t>1.3 Understanding the Python Interpreter</t>
  </si>
  <si>
    <t>Rishu Devi</t>
  </si>
  <si>
    <t>ASSESSMENT-2</t>
  </si>
  <si>
    <t>25EACCE018</t>
  </si>
  <si>
    <t>1.4 Writing and Running Your First Python Program</t>
  </si>
  <si>
    <t>FUNCTIONS — PART 2 &amp; MODULES</t>
  </si>
  <si>
    <t>2. Python Basics</t>
  </si>
  <si>
    <t>MANISH KUMAR YOGI</t>
  </si>
  <si>
    <t>FILE HANDLING (BASIC) - Introduction</t>
  </si>
  <si>
    <t>2.1 Python Syntax &amp; Indentation Rules</t>
  </si>
  <si>
    <t>25EACEE013</t>
  </si>
  <si>
    <t>Online 3, Offline 0 | out of 11</t>
  </si>
  <si>
    <t>2.2 Comments (Single-line &amp; Multi-line)</t>
  </si>
  <si>
    <t>FILE HANDLING (BASIC)</t>
  </si>
  <si>
    <t>Pending</t>
  </si>
  <si>
    <t>2.3 print() Function &amp; Basic Output</t>
  </si>
  <si>
    <t>Jayesh yogi</t>
  </si>
  <si>
    <t>PROBLEM SOLVING &amp; LOGIC BUILDING</t>
  </si>
  <si>
    <t>25EACEE009</t>
  </si>
  <si>
    <t>2.4 input() Function — Taking User Input</t>
  </si>
  <si>
    <t>MINI PROJECT - STUDENT RESULT MANAGEMENT SYSTEM</t>
  </si>
  <si>
    <t>🛠️ Practice: Write programs to print name, age, and city using input()</t>
  </si>
  <si>
    <t>REVISION, QUIZ &amp; COURSE WRAP-UP (PART-1)</t>
  </si>
  <si>
    <t>laviraj jangid</t>
  </si>
  <si>
    <t>25EACEE012</t>
  </si>
  <si>
    <t>ASSESSMENT-3 AND OBJECT-ORIENTED PROGRAMMING — PART 1 (CLASSES &amp; OBJECTS) - Pending</t>
  </si>
  <si>
    <t>DAY 2: VARIABLES, DATA TYPES &amp; TYPE CONVERSION</t>
  </si>
  <si>
    <t>Rohit meena</t>
  </si>
  <si>
    <t>25EACEE017</t>
  </si>
  <si>
    <t>Absent</t>
  </si>
  <si>
    <t>OBJECT-ORIENTED PROGRAMMING — PART -1, PART 2 (INHERITANCE)</t>
  </si>
  <si>
    <t>1. Variables</t>
  </si>
  <si>
    <t>EXCEPTION HANDLING &amp; ERROR MANAGEMENT</t>
  </si>
  <si>
    <t>1.1 What is a Variable? Rules for Naming</t>
  </si>
  <si>
    <t>Jayant Katariya</t>
  </si>
  <si>
    <t>1.2 Assigning &amp; Reassigning Values</t>
  </si>
  <si>
    <t>25EACEE008</t>
  </si>
  <si>
    <t>LIST COMPREHENSIONS &amp; ADVANCED DATA STRUCTURES, WORKING WITH JSON &amp; CSV FILES</t>
  </si>
  <si>
    <t>1.3 Multiple Assignments in One Line</t>
  </si>
  <si>
    <t>2. Data Types</t>
  </si>
  <si>
    <t>Krishan saini</t>
  </si>
  <si>
    <t>25EACEE011</t>
  </si>
  <si>
    <t>REGULAR EXPRESSIONS (REGEX)</t>
  </si>
  <si>
    <t>ABSENT</t>
  </si>
  <si>
    <t>2.1 Integer (int)</t>
  </si>
  <si>
    <t>VIRTUAL ENVIRONMENTS &amp; PACKAGE MANAGEMENT, ITERATORS</t>
  </si>
  <si>
    <t>2.2 Float (float)</t>
  </si>
  <si>
    <t>Rupesh Yadav</t>
  </si>
  <si>
    <t>25EACEE019</t>
  </si>
  <si>
    <t>GENERATORS &amp; DECORATORS and PROJECT DISCUSSION</t>
  </si>
  <si>
    <t>2.3 String (str)</t>
  </si>
  <si>
    <t>WEB SCRAPING WITH BEAUTIFULSOUP, INTRODUCTION TO APIs &amp; HTTP REQUESTS</t>
  </si>
  <si>
    <t>Amarjeet Singh</t>
  </si>
  <si>
    <t>2.4 Boolean (bool)</t>
  </si>
  <si>
    <t>25EACEE002</t>
  </si>
  <si>
    <t>2.5 type() Function — Checking Data Type</t>
  </si>
  <si>
    <t>PROJECT-1 RESISTOR COLOR CODE DECODER</t>
  </si>
  <si>
    <t>3. Type Conversion</t>
  </si>
  <si>
    <t>arjitkaushik99@gmail.com</t>
  </si>
  <si>
    <t>3.1 int(), float(), str() Conversions</t>
  </si>
  <si>
    <t>3.2 Implicit vs Explicit Conversion</t>
  </si>
  <si>
    <t>🛠️ Practice: Take two numbers from user, convert types, and display results</t>
  </si>
  <si>
    <t>DAY 3: OPERATORS &amp; EXPRESSIONS</t>
  </si>
  <si>
    <t>1. Arithmetic Operators</t>
  </si>
  <si>
    <t>1.1 +, -, *, /, //, %, ** (with examples)</t>
  </si>
  <si>
    <t>P</t>
  </si>
  <si>
    <t>A</t>
  </si>
  <si>
    <t>1.2 Order of Operations (BODMAS in Python)</t>
  </si>
  <si>
    <t>SUNDAY</t>
  </si>
  <si>
    <t>2. Comparison Operators</t>
  </si>
  <si>
    <t>2.1 ==, !=, &gt;, &lt;, &gt;=, &lt;=</t>
  </si>
  <si>
    <t>2.2 Output: True or False</t>
  </si>
  <si>
    <t>3. Logical Operators</t>
  </si>
  <si>
    <t>3.1 and, or, not</t>
  </si>
  <si>
    <t>3.2 Combining Conditions</t>
  </si>
  <si>
    <t>4. Assignment Operators</t>
  </si>
  <si>
    <t>4.1 =, +=, -=, *=, /=</t>
  </si>
  <si>
    <t>🛠️ Practice: Simple calculator — take two inputs, perform all operations</t>
  </si>
  <si>
    <t>DAY 4: CONDITIONAL STATEMENTS</t>
  </si>
  <si>
    <t>1. if Statement</t>
  </si>
  <si>
    <t>somayagupta4860@gmail.com</t>
  </si>
  <si>
    <t>1.1 Syntax &amp; Indentation</t>
  </si>
  <si>
    <t>1.2 Simple if Example</t>
  </si>
  <si>
    <t>2. if-else Statement</t>
  </si>
  <si>
    <t>2.1 Two-way Decision Making</t>
  </si>
  <si>
    <t>2.2 Real-life Examples (Pass/Fail, Even/Odd)</t>
  </si>
  <si>
    <t>3. if-elif-else Statement</t>
  </si>
  <si>
    <t>3.1 Multi-way Decision Making</t>
  </si>
  <si>
    <t>3.2 Grade Calculator Example</t>
  </si>
  <si>
    <t>4. Nested if Statements</t>
  </si>
  <si>
    <t>4.1 if Inside Another if</t>
  </si>
  <si>
    <t>🛠️ Practice: Write a program to check voting eligibility, grade system</t>
  </si>
  <si>
    <t>DAY 5: LOOPS — PART 1 (for LOOP)</t>
  </si>
  <si>
    <t>rd9441870@gmail.com</t>
  </si>
  <si>
    <t>1. Introduction to Loops</t>
  </si>
  <si>
    <t>1.1 Why do we need Loops?</t>
  </si>
  <si>
    <t>1.2 Types of Loops in Python</t>
  </si>
  <si>
    <t>2. for Loop</t>
  </si>
  <si>
    <t>2.1 Syntax of for Loop</t>
  </si>
  <si>
    <t>2.2 Iterating over a Range — range() Function</t>
  </si>
  <si>
    <t>2.3 Iterating over a String</t>
  </si>
  <si>
    <t>3. Loop Control Statements</t>
  </si>
  <si>
    <t>3.1 break — Exit the Loop</t>
  </si>
  <si>
    <t>mksktp2007@gmail.com</t>
  </si>
  <si>
    <t>3.2 continue — Skip an Iteration</t>
  </si>
  <si>
    <t>3.3 pass — Placeholder Statement</t>
  </si>
  <si>
    <t>🛠️ Practice: Print multiplication table, sum of digits, count vowels in a word</t>
  </si>
  <si>
    <t>DAY 6: LOOPS — PART 2 (while LOOP &amp; PATTERNS)</t>
  </si>
  <si>
    <t>1. while Loop</t>
  </si>
  <si>
    <t>1.1 Syntax of while Loop</t>
  </si>
  <si>
    <t>Yogijayesh3@gmail.com</t>
  </si>
  <si>
    <t>1.2 Difference: for vs while</t>
  </si>
  <si>
    <t>1.3 Avoiding Infinite Loops</t>
  </si>
  <si>
    <t>1.4 Real-life Examples (Login Attempts, Countdown)</t>
  </si>
  <si>
    <t>2. Nested Loops</t>
  </si>
  <si>
    <t>2.1 Loop inside a Loop</t>
  </si>
  <si>
    <t>2.2 Printing Star &amp; Number Patterns</t>
  </si>
  <si>
    <t>🛠️ Practice: Number guessing game, right-triangle star pattern, factorial</t>
  </si>
  <si>
    <t>DAY 7: STRINGS</t>
  </si>
  <si>
    <t>1. Introduction to Strings</t>
  </si>
  <si>
    <t>1.1 Creating Strings (Single, Double, Triple Quotes)</t>
  </si>
  <si>
    <t>lavirajjangid@gmail.com</t>
  </si>
  <si>
    <t>1.2 String Indexing &amp; Negative Indexing</t>
  </si>
  <si>
    <t>1.3 String Slicing</t>
  </si>
  <si>
    <t>2. String Operations</t>
  </si>
  <si>
    <t>2.1 Concatenation &amp; Repetition</t>
  </si>
  <si>
    <t>2.2 len(), upper(), lower(), strip()</t>
  </si>
  <si>
    <t>2.3 replace(), find(), split(), count()</t>
  </si>
  <si>
    <t>PROJECT 1 (Resistor Color Code Decoder) Out of 50</t>
  </si>
  <si>
    <t>PROJECT 2 (Signal Generator) Out of 50</t>
  </si>
  <si>
    <t>2.4 String Formatting — f-strings</t>
  </si>
  <si>
    <t>3. String Iteration</t>
  </si>
  <si>
    <t>rohitmeenajan@gmail.com</t>
  </si>
  <si>
    <t>3.1 Looping Through a String</t>
  </si>
  <si>
    <t>🛠️ Practice: Reverse a string, check palindrome, count words in a sentence</t>
  </si>
  <si>
    <t>DAY 8: LISTS</t>
  </si>
  <si>
    <t>1. Introduction to Lists</t>
  </si>
  <si>
    <t>1.1 What is a List? Creating a List</t>
  </si>
  <si>
    <t>1.2 Indexing, Slicing, and Negative Indexing</t>
  </si>
  <si>
    <t>2. List Methods</t>
  </si>
  <si>
    <t>2.1 append(), insert(), remove(), pop()</t>
  </si>
  <si>
    <t>2.2 sort(), reverse(), len(), count()</t>
  </si>
  <si>
    <t>katariyajayant95@gmail.com</t>
  </si>
  <si>
    <t>2.3 Checking Membership: in, not in</t>
  </si>
  <si>
    <t>3. Iterating Over Lists</t>
  </si>
  <si>
    <t>3.1 for Loop with Lists</t>
  </si>
  <si>
    <t>3.2 Nested Lists (2D Lists — Matrix Concept)</t>
  </si>
  <si>
    <t>🛠️ Practice: Find max/min in a list, remove duplicates, student marks list</t>
  </si>
  <si>
    <t>DAY 9: TUPLES, SETS &amp; DICTIONARIES</t>
  </si>
  <si>
    <t>1. Tuples</t>
  </si>
  <si>
    <t>1.1 Creating a Tuple — Immutability</t>
  </si>
  <si>
    <t>1.2 Indexing, Slicing, Tuple Methods</t>
  </si>
  <si>
    <t>krishan.jpr23@gmail.com</t>
  </si>
  <si>
    <t>1.3 When to use Tuple vs List?</t>
  </si>
  <si>
    <t>2. Sets</t>
  </si>
  <si>
    <t>2.1 Creating a Set — No Duplicates</t>
  </si>
  <si>
    <t>2.2 Set Operations: union, intersection, difference</t>
  </si>
  <si>
    <t>3. Dictionaries</t>
  </si>
  <si>
    <t>3.1 Key-Value Pair Concept</t>
  </si>
  <si>
    <t>3.2 Creating, Accessing &amp; Updating a Dictionary</t>
  </si>
  <si>
    <t>3.3 keys(), values(), items() Methods</t>
  </si>
  <si>
    <t>3.4 Looping Through a Dictionary</t>
  </si>
  <si>
    <t>🛠️ Practice: Student mark-sheet using dictionary, set operations on two lists</t>
  </si>
  <si>
    <t>DAY 10: FUNCTIONS — PART 1</t>
  </si>
  <si>
    <t>1. Introduction to Functions</t>
  </si>
  <si>
    <t>srao27526@gmail.com</t>
  </si>
  <si>
    <t>1.1 What is a Function? Why Use Functions?</t>
  </si>
  <si>
    <t>1.2 Defining a Function — def Keyword</t>
  </si>
  <si>
    <t>1.3 Calling a Function</t>
  </si>
  <si>
    <t>2. Function Parameters</t>
  </si>
  <si>
    <t>2.1 Arguments &amp; Parameters</t>
  </si>
  <si>
    <t>2.2 Default Arguments</t>
  </si>
  <si>
    <t>2.3 Keyword Arguments</t>
  </si>
  <si>
    <t>3. Return Statement</t>
  </si>
  <si>
    <t>3.1 Returning a Single Value</t>
  </si>
  <si>
    <t>amarjeetsinghjaghina@gmail.com</t>
  </si>
  <si>
    <t>3.2 Returning Multiple Values</t>
  </si>
  <si>
    <t>🛠️ Practice: Functions for area calculation, even/odd check, factorial using function</t>
  </si>
  <si>
    <t>DAY 11: FUNCTIONS — PART 2 &amp; MODULES</t>
  </si>
  <si>
    <t>1. Scope of Variables</t>
  </si>
  <si>
    <t>1.1 Local vs Global Variables</t>
  </si>
  <si>
    <t>1.2 global Keyword</t>
  </si>
  <si>
    <t>2. Lambda Functions</t>
  </si>
  <si>
    <t>2.1 Syntax of Lambda</t>
  </si>
  <si>
    <t>2.2 Lambda with sorted(), map(), filter()</t>
  </si>
  <si>
    <t>3. Python Built-in Modules</t>
  </si>
  <si>
    <t>3.1 import Statement</t>
  </si>
  <si>
    <t>3.2 math Module — sqrt(), pow(), pi</t>
  </si>
  <si>
    <t>3.3 random Module — random(), randint()</t>
  </si>
  <si>
    <t>3.4 datetime Module — today's date, time</t>
  </si>
  <si>
    <t>🛠️ Practice: Random number guessing game, simple math utility using functions</t>
  </si>
  <si>
    <t>DAY 12: FILE HANDLING (BASIC)</t>
  </si>
  <si>
    <t>1. Introduction to File Handling</t>
  </si>
  <si>
    <t>1.1 What is File Handling? Why is it needed?</t>
  </si>
  <si>
    <t>1.2 Opening a File — open() with Modes (r, w, a)</t>
  </si>
  <si>
    <t>2. Reading Files</t>
  </si>
  <si>
    <t>2.1 read() — Read Entire File</t>
  </si>
  <si>
    <t>2.2 readline() — Read One Line</t>
  </si>
  <si>
    <t>2.3 readlines() — Read All Lines as List</t>
  </si>
  <si>
    <t>3. Writing to Files</t>
  </si>
  <si>
    <t>3.1 write() — Overwrite Content</t>
  </si>
  <si>
    <t>3.2 append Mode — Add Without Deleting</t>
  </si>
  <si>
    <t>4. Closing Files Properly</t>
  </si>
  <si>
    <t>4.1 close() Method</t>
  </si>
  <si>
    <t>4.2 Using with Statement (Recommended)</t>
  </si>
  <si>
    <t>🛠️ Practice: Create a notes file, write student names, read them back</t>
  </si>
  <si>
    <t>DAY 13: PROBLEM SOLVING &amp; LOGIC BUILDING</t>
  </si>
  <si>
    <t>1. Approaching a Problem</t>
  </si>
  <si>
    <t>1.1 Understanding the Problem Statement</t>
  </si>
  <si>
    <t>1.2 Breaking it into Steps (Pseudocode)</t>
  </si>
  <si>
    <t>1.3 Writing the Code Step-by-Step</t>
  </si>
  <si>
    <t>2. Pattern &amp; Logic Problems</t>
  </si>
  <si>
    <t>2.1 Number Patterns (Fibonacci, Prime, Armstrong)</t>
  </si>
  <si>
    <t>2.2 List-based Logic (Find duplicates, second largest)</t>
  </si>
  <si>
    <t>2.3 String-based Logic (Anagram check, Caesar Cipher)</t>
  </si>
  <si>
    <t>3. Debugging Basics</t>
  </si>
  <si>
    <t>3.1 Reading Error Messages (SyntaxError, TypeError)</t>
  </si>
  <si>
    <t>3.2 Using print() to Debug</t>
  </si>
  <si>
    <t>🛠️ Practice: Solve 5–6 mixed problems combining loops, strings, and functions</t>
  </si>
  <si>
    <t>DAY 14: MINI PROJECT — STUDENT RESULT MANAGEMENT SYSTEM</t>
  </si>
  <si>
    <t>Project Overview: Build a simple student result system</t>
  </si>
  <si>
    <t>Features to Implement:</t>
  </si>
  <si>
    <t>→ Add student name and marks (using input &amp; list/dict)</t>
  </si>
  <si>
    <t>→ Calculate total and percentage</t>
  </si>
  <si>
    <t>→ Assign grade using if-elif-else</t>
  </si>
  <si>
    <t>→ Display results in a formatted way using f-strings</t>
  </si>
  <si>
    <t>→ Save results to a .txt file using file handling</t>
  </si>
  <si>
    <t>Concepts Applied: Variables, Loops, Functions, Dictionary, File Handling</t>
  </si>
  <si>
    <t>Students build the project step-by-step with guidance</t>
  </si>
  <si>
    <t>DAY 15: REVISION, QUIZ &amp; COURSE WRAP-UP (PART 1)</t>
  </si>
  <si>
    <t>1. Full Course Revision — Days 1 to 7</t>
  </si>
  <si>
    <t>1.1 Quick Recap: Python Basics, Variables, Operators</t>
  </si>
  <si>
    <t>1.2 Conditional Statements — Key Patterns</t>
  </si>
  <si>
    <t>1.3 Loops — for, while, Nested Loops</t>
  </si>
  <si>
    <t>1.4 Strings — Operations &amp; Methods</t>
  </si>
  <si>
    <t>2. Mini Quiz — Set A</t>
  </si>
  <si>
    <t>2.1 MCQ — 10 Questions (Days 1–7 Topics)</t>
  </si>
  <si>
    <t>2.2 Short Answer — 3 Questions</t>
  </si>
  <si>
    <t>2.3 Practical Task — 1 Program using Loops &amp; Strings</t>
  </si>
  <si>
    <t>🛠️ Practice: Solve 3–4 mixed revision problems from Days 1–7</t>
  </si>
  <si>
    <t>DAY 16: OBJECT-ORIENTED PROGRAMMING — PART 1 (CLASSES &amp; OBJECTS)</t>
  </si>
  <si>
    <t>1. Introduction to OOP</t>
  </si>
  <si>
    <t>1.1 What is OOP? Why Use It?</t>
  </si>
  <si>
    <t>1.2 OOP vs Procedural Programming</t>
  </si>
  <si>
    <t>1.3 Key Concepts: Class, Object, Method, Attribute</t>
  </si>
  <si>
    <t>2. Defining a Class</t>
  </si>
  <si>
    <t>2.1 class Keyword &amp; Syntax</t>
  </si>
  <si>
    <t>2.2 __init__() Constructor Method</t>
  </si>
  <si>
    <t>2.3 self Parameter — What It Means</t>
  </si>
  <si>
    <t>3. Creating Objects</t>
  </si>
  <si>
    <t>3.1 Instantiating a Class</t>
  </si>
  <si>
    <t>3.2 Accessing Attributes &amp; Methods</t>
  </si>
  <si>
    <t>3.3 Multiple Objects from One Class</t>
  </si>
  <si>
    <t>🛠️ Practice: Create a Student class with name, roll no, marks attributes and display method</t>
  </si>
  <si>
    <t>DAY 17: OBJECT-ORIENTED PROGRAMMING — PART 2 (INHERITANCE)</t>
  </si>
  <si>
    <t>1. Inheritance</t>
  </si>
  <si>
    <t>1.1 What is Inheritance?</t>
  </si>
  <si>
    <t>1.2 Parent Class &amp; Child Class</t>
  </si>
  <si>
    <t>1.3 super() Function — Calling Parent Methods</t>
  </si>
  <si>
    <t>2. Types of Inheritance</t>
  </si>
  <si>
    <t>2.1 Single Inheritance</t>
  </si>
  <si>
    <t>2.2 Multi-level Inheritance</t>
  </si>
  <si>
    <t>2.3 Multiple Inheritance</t>
  </si>
  <si>
    <t>3. Method Overriding</t>
  </si>
  <si>
    <t>3.1 Overriding Parent Methods in Child</t>
  </si>
  <si>
    <t>3.2 Polymorphism Concept</t>
  </si>
  <si>
    <t>🛠️ Practice: Create Animal → Dog/Cat hierarchy with speak() method override</t>
  </si>
  <si>
    <t>DAY 18: EXCEPTION HANDLING &amp; ERROR MANAGEMENT</t>
  </si>
  <si>
    <t>1. Understanding Errors</t>
  </si>
  <si>
    <t>1.1 Types of Errors: Syntax, Runtime, Logical</t>
  </si>
  <si>
    <t>1.2 Common Built-in Exceptions (ZeroDivisionError, ValueError, etc.)</t>
  </si>
  <si>
    <t>2. try-except Block</t>
  </si>
  <si>
    <t>2.1 Basic try-except Syntax</t>
  </si>
  <si>
    <t>2.2 Catching Multiple Exceptions</t>
  </si>
  <si>
    <t>2.3 except Exception as e — Getting Error Message</t>
  </si>
  <si>
    <t>3. else &amp; finally Blocks</t>
  </si>
  <si>
    <t>3.1 else — Runs When No Exception</t>
  </si>
  <si>
    <t>3.2 finally — Always Runs</t>
  </si>
  <si>
    <t>4. Raising Exceptions</t>
  </si>
  <si>
    <t>4.1 raise Keyword</t>
  </si>
  <si>
    <t>4.2 Custom Exception Messages</t>
  </si>
  <si>
    <t>🛠️ Practice: Safe calculator with division-by-zero handling, file-not-found handling</t>
  </si>
  <si>
    <t>DAY 19: LIST COMPREHENSIONS &amp; ADVANCED DATA STRUCTURES</t>
  </si>
  <si>
    <t>1. List Comprehensions</t>
  </si>
  <si>
    <t>1.1 Syntax: [expression for item in iterable]</t>
  </si>
  <si>
    <t>1.2 List Comprehension with Condition</t>
  </si>
  <si>
    <t>1.3 Nested List Comprehensions</t>
  </si>
  <si>
    <t>2. Dictionary &amp; Set Comprehensions</t>
  </si>
  <si>
    <t>2.1 Dictionary Comprehension Syntax</t>
  </si>
  <si>
    <t>2.2 Set Comprehension Syntax</t>
  </si>
  <si>
    <t>3. Advanced List Operations</t>
  </si>
  <si>
    <t>3.1 zip() — Combine Two Lists</t>
  </si>
  <si>
    <t>3.2 enumerate() — Index + Value</t>
  </si>
  <si>
    <t>3.3 sorted() with key Parameter</t>
  </si>
  <si>
    <t>🛠️ Practice: Generate squares list, filter even numbers, zip names with marks</t>
  </si>
  <si>
    <t>DAY 20: WORKING WITH JSON &amp; CSV FILES</t>
  </si>
  <si>
    <t>1. JSON in Python</t>
  </si>
  <si>
    <t>1.1 What is JSON? Real-world Use</t>
  </si>
  <si>
    <t>1.2 import json Module</t>
  </si>
  <si>
    <t>1.3 json.dumps() — Python to JSON String</t>
  </si>
  <si>
    <t>1.4 json.loads() — JSON String to Python</t>
  </si>
  <si>
    <t>1.5 Reading &amp; Writing JSON Files</t>
  </si>
  <si>
    <t>2. CSV Files in Python</t>
  </si>
  <si>
    <t>2.1 What is CSV? When to Use It?</t>
  </si>
  <si>
    <t>2.2 import csv Module</t>
  </si>
  <si>
    <t>2.3 csv.reader() — Reading CSV</t>
  </si>
  <si>
    <t>2.4 csv.writer() — Writing CSV</t>
  </si>
  <si>
    <t>2.5 DictReader &amp; DictWriter</t>
  </si>
  <si>
    <t>🛠️ Practice: Save student records to JSON &amp; CSV, read them back and display</t>
  </si>
  <si>
    <t>DAY 21: REGULAR EXPRESSIONS (REGEX)</t>
  </si>
  <si>
    <t>1. Introduction to Regex</t>
  </si>
  <si>
    <t>1.1 What is Regex? Why Use It?</t>
  </si>
  <si>
    <t>1.2 import re Module</t>
  </si>
  <si>
    <t>2. Basic Regex Patterns</t>
  </si>
  <si>
    <t>2.1 ., *, +, ?, ^ , $ — Meta Characters</t>
  </si>
  <si>
    <t>2.2 Character Classes: [a-z], [0-9], \d, \w, \s</t>
  </si>
  <si>
    <t>3. Regex Functions</t>
  </si>
  <si>
    <t>3.1 re.match() — Match at Start</t>
  </si>
  <si>
    <t>3.2 re.search() — Search Anywhere</t>
  </si>
  <si>
    <t>3.3 re.findall() — Find All Matches</t>
  </si>
  <si>
    <t>3.4 re.sub() — Replace Pattern</t>
  </si>
  <si>
    <t>4. Practical Applications</t>
  </si>
  <si>
    <t>4.1 Email Validation</t>
  </si>
  <si>
    <t>4.2 Phone Number Extraction</t>
  </si>
  <si>
    <t>🛠️ Practice: Validate email, extract all numbers from text, find keywords</t>
  </si>
  <si>
    <t>DAY 22: ITERATORS, GENERATORS &amp; DECORATORS</t>
  </si>
  <si>
    <t>1. Iterators</t>
  </si>
  <si>
    <t>1.1 What is an Iterator? __iter__() and __next__()</t>
  </si>
  <si>
    <t>1.2 Creating Custom Iterator</t>
  </si>
  <si>
    <t>2. Generators</t>
  </si>
  <si>
    <t>2.1 yield Keyword — Lazy Evaluation</t>
  </si>
  <si>
    <t>2.2 Generator Function vs Regular Function</t>
  </si>
  <si>
    <t>2.3 Generator Expressions</t>
  </si>
  <si>
    <t>3. Decorators</t>
  </si>
  <si>
    <t>3.1 What is a Decorator? Higher-Order Functions</t>
  </si>
  <si>
    <t>3.2 Writing a Simple Decorator</t>
  </si>
  <si>
    <t>3.3 @decorator Syntax</t>
  </si>
  <si>
    <t>3.4 Real-world Uses: Logging, Timing</t>
  </si>
  <si>
    <t>🛠️ Practice: Create a number generator, write a timer decorator for functions</t>
  </si>
  <si>
    <t>DAY 23: VIRTUAL ENVIRONMENTS &amp; PACKAGE MANAGEMENT</t>
  </si>
  <si>
    <t>1. Virtual Environments</t>
  </si>
  <si>
    <t>1.1 Why Virtual Environments?</t>
  </si>
  <si>
    <t>1.2 Creating venv: python -m venv myenv</t>
  </si>
  <si>
    <t>1.3 Activating &amp; Deactivating venv</t>
  </si>
  <si>
    <t>2. pip — Python Package Manager</t>
  </si>
  <si>
    <t>2.1 pip install, pip uninstall</t>
  </si>
  <si>
    <t>2.2 pip list, pip show</t>
  </si>
  <si>
    <t>2.3 requirements.txt — Saving Dependencies</t>
  </si>
  <si>
    <t>2.4 pip install -r requirements.txt</t>
  </si>
  <si>
    <t>3. Introduction to Popular Libraries</t>
  </si>
  <si>
    <t>3.1 requests — HTTP calls</t>
  </si>
  <si>
    <t>3.2 colorama — Colorful terminal output</t>
  </si>
  <si>
    <t>3.3 tqdm — Progress bars</t>
  </si>
  <si>
    <t>🛠️ Practice: Set up a venv, install requests, make a simple API call</t>
  </si>
  <si>
    <t>DAY 24: INTRODUCTION TO NumPy</t>
  </si>
  <si>
    <t>1. What is NumPy?</t>
  </si>
  <si>
    <t>1.1 NumPy vs Python Lists — Speed &amp; Features</t>
  </si>
  <si>
    <t>1.2 Installing &amp; Importing NumPy</t>
  </si>
  <si>
    <t>2. NumPy Arrays</t>
  </si>
  <si>
    <t>2.1 Creating 1D &amp; 2D Arrays</t>
  </si>
  <si>
    <t>2.2 Array Shape, Size, ndim</t>
  </si>
  <si>
    <t>2.3 Array Indexing &amp; Slicing</t>
  </si>
  <si>
    <t>3. Array Operations</t>
  </si>
  <si>
    <t>3.1 Element-wise Arithmetic</t>
  </si>
  <si>
    <t>3.2 Broadcasting</t>
  </si>
  <si>
    <t>3.3 Statistical Functions: mean(), sum(), std()</t>
  </si>
  <si>
    <t>4. Useful NumPy Functions</t>
  </si>
  <si>
    <t>4.1 zeros(), ones(), arange(), linspace()</t>
  </si>
  <si>
    <t>4.2 reshape(), flatten()</t>
  </si>
  <si>
    <t>🛠️ Practice: Create a marks array, compute average, find students above cutoff</t>
  </si>
  <si>
    <t>DAY 25: INTRODUCTION TO PANDAS</t>
  </si>
  <si>
    <t>1. What is Pandas?</t>
  </si>
  <si>
    <t>1.1 Series vs DataFrame</t>
  </si>
  <si>
    <t>1.2 Installing &amp; Importing Pandas</t>
  </si>
  <si>
    <t>2. Working with DataFrames</t>
  </si>
  <si>
    <t>2.1 Creating DataFrame from Dictionary</t>
  </si>
  <si>
    <t>2.2 Reading CSV with pd.read_csv()</t>
  </si>
  <si>
    <t>2.3 head(), tail(), info(), describe()</t>
  </si>
  <si>
    <t>3. DataFrame Operations</t>
  </si>
  <si>
    <t>3.1 Selecting Columns &amp; Rows</t>
  </si>
  <si>
    <t>3.2 Filtering Data with Conditions</t>
  </si>
  <si>
    <t>3.3 Adding &amp; Dropping Columns</t>
  </si>
  <si>
    <t>3.4 Handling Missing Values: isnull(), fillna(), dropna()</t>
  </si>
  <si>
    <t>🛠️ Practice: Load student data CSV, filter toppers, calculate average marks</t>
  </si>
  <si>
    <t>DAY 26: DATA VISUALIZATION WITH MATPLOTLIB</t>
  </si>
  <si>
    <t>1. Introduction to Matplotlib</t>
  </si>
  <si>
    <t>1.1 What is Data Visualization?</t>
  </si>
  <si>
    <t>1.2 Installing &amp; Importing matplotlib.pyplot</t>
  </si>
  <si>
    <t>2. Basic Plots</t>
  </si>
  <si>
    <t>2.1 Line Chart — plt.plot()</t>
  </si>
  <si>
    <t>2.2 Bar Chart — plt.bar()</t>
  </si>
  <si>
    <t>2.3 Pie Chart — plt.pie()</t>
  </si>
  <si>
    <t>2.4 Histogram — plt.hist()</t>
  </si>
  <si>
    <t>2.5 Scatter Plot — plt.scatter()</t>
  </si>
  <si>
    <t>3. Customizing Plots</t>
  </si>
  <si>
    <t>3.1 Title, Labels, Legend</t>
  </si>
  <si>
    <t>3.2 Colors, Line Styles, Markers</t>
  </si>
  <si>
    <t>3.3 plt.show() &amp; Saving Figures</t>
  </si>
  <si>
    <t>🛠️ Practice: Plot marks bar chart, subject score pie chart, score scatter plot</t>
  </si>
  <si>
    <t>DAY 27: WEB SCRAPING WITH BEAUTIFULSOUP</t>
  </si>
  <si>
    <t>1. Introduction to Web Scraping</t>
  </si>
  <si>
    <t>1.1 What is Web Scraping? Ethical &amp; Legal Basics</t>
  </si>
  <si>
    <t>1.2 How Websites Work: HTML Structure Recap</t>
  </si>
  <si>
    <t>2. Required Libraries</t>
  </si>
  <si>
    <t>2.1 requests — Fetching Web Pages</t>
  </si>
  <si>
    <t>2.2 BeautifulSoup — Parsing HTML</t>
  </si>
  <si>
    <t>3. Scraping Basics</t>
  </si>
  <si>
    <t>3.1 Getting Page Source with requests.get()</t>
  </si>
  <si>
    <t>3.2 Parsing with BeautifulSoup(html, 'html.parser')</t>
  </si>
  <si>
    <t>3.3 find() and find_all() Methods</t>
  </si>
  <si>
    <t>3.4 Extracting Text, Links, and Attributes</t>
  </si>
  <si>
    <t>4. Saving Scraped Data</t>
  </si>
  <si>
    <t>4.1 Saving to CSV or Text File</t>
  </si>
  <si>
    <t>🛠️ Practice: Scrape quotes from quotes.toscrape.com, save to CSV</t>
  </si>
  <si>
    <t>DAY 28: INTRODUCTION TO APIs &amp; HTTP REQUESTS</t>
  </si>
  <si>
    <t>1. What is an API?</t>
  </si>
  <si>
    <t>1.1 API Concept — Real-world Analogies</t>
  </si>
  <si>
    <t>1.2 REST APIs &amp; JSON Responses</t>
  </si>
  <si>
    <t>1.3 HTTP Methods: GET, POST</t>
  </si>
  <si>
    <t>2. requests Library Deep Dive</t>
  </si>
  <si>
    <t>2.1 requests.get() — Fetching Data</t>
  </si>
  <si>
    <t>2.2 Response Status Codes (200, 404, 500)</t>
  </si>
  <si>
    <t>2.3 Parsing JSON Response — response.json()</t>
  </si>
  <si>
    <t>2.4 Passing Parameters in URL</t>
  </si>
  <si>
    <t>3. Working with Free Public APIs</t>
  </si>
  <si>
    <t>3.1 Open-Meteo Weather API</t>
  </si>
  <si>
    <t>3.2 JSONPlaceholder — Fake REST API for Testing</t>
  </si>
  <si>
    <t>3.3 Numbers API — Fun Facts</t>
  </si>
  <si>
    <t>🛠️ Practice: Fetch current weather for a city, display temp &amp; condition</t>
  </si>
  <si>
    <t>DAY 29: CAPSTONE PROJECT — PERSONAL EXPENSE TRACKER</t>
  </si>
  <si>
    <t>Project Overview: Build a CLI Expense Tracker Application</t>
  </si>
  <si>
    <t>→ Add, View, and Delete Expenses (category, amount, date)</t>
  </si>
  <si>
    <t>→ Store data persistently in JSON file</t>
  </si>
  <si>
    <t>→ Show total expenses &amp; breakdown by category</t>
  </si>
  <si>
    <t>→ Filter expenses by month or category</t>
  </si>
  <si>
    <t>→ Export summary report to CSV</t>
  </si>
  <si>
    <t>→ Visualize spending using Matplotlib bar chart</t>
  </si>
  <si>
    <t>Concepts Applied: OOP, File Handling, JSON, Pandas, Matplotlib</t>
  </si>
  <si>
    <t>Bonus: Add a budget limit warning feature</t>
  </si>
  <si>
    <t>DAY 30: FINAL REVISION, ASSESSMENT &amp; NEXT STEPS</t>
  </si>
  <si>
    <t>1. Complete Course Revision</t>
  </si>
  <si>
    <t>1.1 Quick Recap of All 30 Days Topics</t>
  </si>
  <si>
    <t>1.2 Common Mistakes &amp; How to Avoid Them</t>
  </si>
  <si>
    <t>1.3 Best Practices in Python Programming</t>
  </si>
  <si>
    <t>2. Final Assessment</t>
  </si>
  <si>
    <t>2.1 MCQ — 20 Questions (Full Course)</t>
  </si>
  <si>
    <t>2.2 Short Answer — 5 Questions</t>
  </si>
  <si>
    <t>2.3 Practical Task — Build a small program in 30 minutes</t>
  </si>
  <si>
    <t>3. Python Project Ideas for Self-Practice</t>
  </si>
  <si>
    <t>3.1 Idea 1: Quiz Game with Score Tracking</t>
  </si>
  <si>
    <t>3.2 Idea 2: Inventory Management System</t>
  </si>
  <si>
    <t>3.3 Idea 3: News Headline Scraper + Email Report</t>
  </si>
  <si>
    <t>3.4 Idea 4: Stock Price Dashboard using APIs &amp; Matplotlib</t>
  </si>
  <si>
    <t>4. Closing Session</t>
  </si>
  <si>
    <t>4.1 Career Paths in Python (Data Science, Web Dev, Automation, ML)</t>
  </si>
  <si>
    <t>4.2 Recommended Learning Roadmap: Django / Flask / Pandas / ML</t>
  </si>
  <si>
    <t>4.3 Certifications &amp; Online 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</si>
</sst>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mmmm yyyy"/>
    <numFmt numFmtId="166" formatCode="dd"/>
  </numFmts>
  <fonts count="1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4.0"/>
      <color theme="1"/>
      <name val="Garamond"/>
    </font>
    <font/>
    <font>
      <color theme="1"/>
      <name val="Arial"/>
      <scheme val="minor"/>
    </font>
    <font>
      <b/>
      <sz val="11.0"/>
      <color theme="1"/>
      <name val="Cambria"/>
    </font>
    <font>
      <sz val="11.0"/>
      <color rgb="FF000000"/>
      <name val="Calibri"/>
    </font>
    <font>
      <b/>
      <color rgb="FFFFFFFF"/>
      <name val="&quot;Calibri Light&quot;"/>
    </font>
    <font>
      <b/>
      <color rgb="FFFFFFFF"/>
      <name val="Arial"/>
    </font>
    <font>
      <sz val="11.0"/>
      <color theme="1"/>
      <name val="Calibri"/>
    </font>
    <font>
      <sz val="12.0"/>
      <color rgb="FF1F3864"/>
      <name val="&quot;Calibri Light&quot;"/>
    </font>
    <font>
      <b/>
      <sz val="11.0"/>
      <color rgb="FF1F3864"/>
      <name val="Arial"/>
    </font>
    <font>
      <sz val="11.0"/>
      <color rgb="FF1F3864"/>
      <name val="&quot;Calibri Light&quot;"/>
    </font>
    <font>
      <b/>
      <sz val="11.0"/>
      <color rgb="FF1F3864"/>
      <name val="&quot;Calibri Light&quot;"/>
    </font>
    <font>
      <sz val="11.0"/>
      <color rgb="FF1F3864"/>
      <name val="Arial"/>
    </font>
    <font>
      <b/>
      <color theme="1"/>
      <name val="Times New Roman"/>
    </font>
    <font>
      <sz val="11.0"/>
      <color theme="1"/>
      <name val="Aptos Narrow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B7E1CD"/>
        <bgColor rgb="FFB7E1CD"/>
      </patternFill>
    </fill>
    <fill>
      <patternFill patternType="solid">
        <fgColor rgb="FF46BDC6"/>
        <bgColor rgb="FF46BDC6"/>
      </patternFill>
    </fill>
    <fill>
      <patternFill patternType="solid">
        <fgColor rgb="FF6D9EEB"/>
        <bgColor rgb="FF6D9EEB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0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shrinkToFit="0" wrapText="1"/>
    </xf>
    <xf borderId="2" fillId="2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bottom"/>
    </xf>
    <xf borderId="0" fillId="0" fontId="2" numFmtId="0" xfId="0" applyFont="1"/>
    <xf borderId="3" fillId="0" fontId="3" numFmtId="0" xfId="0" applyAlignment="1" applyBorder="1" applyFont="1">
      <alignment horizontal="center" readingOrder="0" shrinkToFit="0" wrapText="0"/>
    </xf>
    <xf borderId="4" fillId="0" fontId="4" numFmtId="0" xfId="0" applyBorder="1" applyFont="1"/>
    <xf borderId="5" fillId="0" fontId="4" numFmtId="0" xfId="0" applyBorder="1" applyFont="1"/>
    <xf borderId="1" fillId="0" fontId="2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vertical="center"/>
    </xf>
    <xf borderId="1" fillId="0" fontId="5" numFmtId="164" xfId="0" applyAlignment="1" applyBorder="1" applyFont="1" applyNumberFormat="1">
      <alignment readingOrder="0"/>
    </xf>
    <xf borderId="1" fillId="2" fontId="1" numFmtId="0" xfId="0" applyAlignment="1" applyBorder="1" applyFont="1">
      <alignment horizontal="center" shrinkToFit="0" wrapText="1"/>
    </xf>
    <xf borderId="3" fillId="2" fontId="1" numFmtId="165" xfId="0" applyAlignment="1" applyBorder="1" applyFont="1" applyNumberFormat="1">
      <alignment horizontal="center" readingOrder="0" vertical="bottom"/>
    </xf>
    <xf borderId="1" fillId="0" fontId="1" numFmtId="0" xfId="0" applyAlignment="1" applyBorder="1" applyFont="1">
      <alignment horizontal="center" readingOrder="0" shrinkToFit="0" wrapText="1"/>
    </xf>
    <xf borderId="3" fillId="0" fontId="6" numFmtId="0" xfId="0" applyAlignment="1" applyBorder="1" applyFont="1">
      <alignment readingOrder="0" shrinkToFit="0" wrapText="0"/>
    </xf>
    <xf borderId="1" fillId="0" fontId="5" numFmtId="0" xfId="0" applyAlignment="1" applyBorder="1" applyFont="1">
      <alignment readingOrder="0"/>
    </xf>
    <xf borderId="3" fillId="0" fontId="7" numFmtId="0" xfId="0" applyAlignment="1" applyBorder="1" applyFont="1">
      <alignment shrinkToFit="0" vertical="bottom" wrapText="0"/>
    </xf>
    <xf borderId="4" fillId="2" fontId="1" numFmtId="165" xfId="0" applyAlignment="1" applyBorder="1" applyFont="1" applyNumberFormat="1">
      <alignment horizontal="center" readingOrder="0" vertical="bottom"/>
    </xf>
    <xf borderId="1" fillId="0" fontId="1" numFmtId="0" xfId="0" applyAlignment="1" applyBorder="1" applyFont="1">
      <alignment horizontal="center" shrinkToFit="0" wrapText="1"/>
    </xf>
    <xf borderId="0" fillId="2" fontId="1" numFmtId="165" xfId="0" applyAlignment="1" applyFont="1" applyNumberFormat="1">
      <alignment horizontal="center" readingOrder="0" vertical="bottom"/>
    </xf>
    <xf borderId="6" fillId="0" fontId="4" numFmtId="0" xfId="0" applyBorder="1" applyFont="1"/>
    <xf borderId="1" fillId="3" fontId="8" numFmtId="0" xfId="0" applyAlignment="1" applyBorder="1" applyFill="1" applyFont="1">
      <alignment horizontal="center" readingOrder="0"/>
    </xf>
    <xf borderId="1" fillId="4" fontId="1" numFmtId="166" xfId="0" applyAlignment="1" applyBorder="1" applyFill="1" applyFont="1" applyNumberFormat="1">
      <alignment horizontal="center" vertical="bottom"/>
    </xf>
    <xf borderId="2" fillId="3" fontId="9" numFmtId="0" xfId="0" applyAlignment="1" applyBorder="1" applyFont="1">
      <alignment horizontal="center" readingOrder="0"/>
    </xf>
    <xf borderId="1" fillId="0" fontId="10" numFmtId="0" xfId="0" applyAlignment="1" applyBorder="1" applyFont="1">
      <alignment vertical="bottom"/>
    </xf>
    <xf borderId="2" fillId="0" fontId="11" numFmtId="0" xfId="0" applyAlignment="1" applyBorder="1" applyFont="1">
      <alignment horizontal="center" readingOrder="0"/>
    </xf>
    <xf borderId="3" fillId="0" fontId="12" numFmtId="0" xfId="0" applyAlignment="1" applyBorder="1" applyFont="1">
      <alignment readingOrder="0"/>
    </xf>
    <xf borderId="1" fillId="0" fontId="5" numFmtId="0" xfId="0" applyBorder="1" applyFont="1"/>
    <xf borderId="1" fillId="0" fontId="7" numFmtId="0" xfId="0" applyAlignment="1" applyBorder="1" applyFont="1">
      <alignment readingOrder="0" shrinkToFit="0" vertical="bottom" wrapText="0"/>
    </xf>
    <xf borderId="1" fillId="0" fontId="13" numFmtId="0" xfId="0" applyAlignment="1" applyBorder="1" applyFont="1">
      <alignment readingOrder="0"/>
    </xf>
    <xf borderId="0" fillId="0" fontId="5" numFmtId="0" xfId="0" applyFont="1"/>
    <xf borderId="1" fillId="2" fontId="2" numFmtId="0" xfId="0" applyAlignment="1" applyBorder="1" applyFont="1">
      <alignment horizontal="center" vertical="bottom"/>
    </xf>
    <xf borderId="0" fillId="2" fontId="2" numFmtId="0" xfId="0" applyAlignment="1" applyFont="1">
      <alignment vertical="bottom"/>
    </xf>
    <xf borderId="7" fillId="0" fontId="4" numFmtId="0" xfId="0" applyBorder="1" applyFont="1"/>
    <xf borderId="1" fillId="4" fontId="1" numFmtId="0" xfId="0" applyAlignment="1" applyBorder="1" applyFont="1">
      <alignment horizontal="center" vertical="bottom"/>
    </xf>
    <xf borderId="1" fillId="0" fontId="12" numFmtId="0" xfId="0" applyAlignment="1" applyBorder="1" applyFont="1">
      <alignment readingOrder="0"/>
    </xf>
    <xf borderId="3" fillId="2" fontId="1" numFmtId="0" xfId="0" applyAlignment="1" applyBorder="1" applyFon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1" fillId="0" fontId="5" numFmtId="0" xfId="0" applyAlignment="1" applyBorder="1" applyFont="1">
      <alignment horizontal="center" readingOrder="0"/>
    </xf>
    <xf borderId="0" fillId="5" fontId="10" numFmtId="0" xfId="0" applyAlignment="1" applyFill="1" applyFont="1">
      <alignment horizontal="center" vertical="bottom"/>
    </xf>
    <xf borderId="1" fillId="0" fontId="10" numFmtId="0" xfId="0" applyAlignment="1" applyBorder="1" applyFont="1">
      <alignment horizontal="center" vertical="bottom"/>
    </xf>
    <xf borderId="1" fillId="0" fontId="2" numFmtId="2" xfId="0" applyAlignment="1" applyBorder="1" applyFont="1" applyNumberFormat="1">
      <alignment horizontal="center" vertical="bottom"/>
    </xf>
    <xf borderId="0" fillId="0" fontId="5" numFmtId="0" xfId="0" applyAlignment="1" applyFont="1">
      <alignment horizontal="center"/>
    </xf>
    <xf borderId="2" fillId="6" fontId="1" numFmtId="0" xfId="0" applyAlignment="1" applyBorder="1" applyFill="1" applyFont="1">
      <alignment horizontal="center" textRotation="255" vertical="center"/>
    </xf>
    <xf borderId="1" fillId="0" fontId="5" numFmtId="0" xfId="0" applyAlignment="1" applyBorder="1" applyFont="1">
      <alignment horizontal="center"/>
    </xf>
    <xf borderId="1" fillId="0" fontId="14" numFmtId="0" xfId="0" applyAlignment="1" applyBorder="1" applyFont="1">
      <alignment readingOrder="0"/>
    </xf>
    <xf borderId="0" fillId="0" fontId="5" numFmtId="0" xfId="0" applyAlignment="1" applyFont="1">
      <alignment horizontal="center"/>
    </xf>
    <xf borderId="1" fillId="0" fontId="15" numFmtId="0" xfId="0" applyAlignment="1" applyBorder="1" applyFont="1">
      <alignment readingOrder="0"/>
    </xf>
    <xf borderId="1" fillId="2" fontId="1" numFmtId="0" xfId="0" applyAlignment="1" applyBorder="1" applyFont="1">
      <alignment horizontal="center"/>
    </xf>
    <xf borderId="1" fillId="2" fontId="16" numFmtId="0" xfId="0" applyAlignment="1" applyBorder="1" applyFont="1">
      <alignment horizontal="center"/>
    </xf>
    <xf borderId="0" fillId="5" fontId="17" numFmtId="0" xfId="0" applyAlignment="1" applyFont="1">
      <alignment horizontal="center" vertical="bottom"/>
    </xf>
    <xf borderId="1" fillId="0" fontId="7" numFmtId="0" xfId="0" applyAlignment="1" applyBorder="1" applyFont="1">
      <alignment shrinkToFit="0" vertical="bottom" wrapText="0"/>
    </xf>
    <xf borderId="1" fillId="0" fontId="2" numFmtId="2" xfId="0" applyAlignment="1" applyBorder="1" applyFont="1" applyNumberFormat="1">
      <alignment horizontal="right" vertical="bottom"/>
    </xf>
    <xf borderId="2" fillId="0" fontId="2" numFmtId="0" xfId="0" applyAlignment="1" applyBorder="1" applyFont="1">
      <alignment horizontal="center" vertical="bottom"/>
    </xf>
    <xf borderId="2" fillId="0" fontId="2" numFmtId="2" xfId="0" applyAlignment="1" applyBorder="1" applyFont="1" applyNumberForma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2" xfId="0" applyAlignment="1" applyFont="1" applyNumberFormat="1">
      <alignment horizontal="right" vertical="bottom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  <col customWidth="1" min="3" max="3" width="17.5"/>
    <col customWidth="1" min="7" max="7" width="10.25"/>
    <col customWidth="1" min="8" max="8" width="16.63"/>
    <col customWidth="1" min="9" max="48" width="5.38"/>
  </cols>
  <sheetData>
    <row r="1">
      <c r="A1" s="3" t="s">
        <v>1</v>
      </c>
      <c r="B1" s="5" t="s">
        <v>4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12" t="s">
        <v>13</v>
      </c>
      <c r="I1" s="15">
        <v>46183.0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20">
        <v>46204.0</v>
      </c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22"/>
      <c r="AU1" s="22"/>
      <c r="AV1" s="22"/>
    </row>
    <row r="2">
      <c r="A2" s="23"/>
      <c r="B2" s="23"/>
      <c r="C2" s="23"/>
      <c r="D2" s="23"/>
      <c r="E2" s="23"/>
      <c r="F2" s="23"/>
      <c r="G2" s="23"/>
      <c r="H2" s="23"/>
      <c r="I2" s="25">
        <v>46183.0</v>
      </c>
      <c r="J2" s="25">
        <v>46184.0</v>
      </c>
      <c r="K2" s="25">
        <v>46185.0</v>
      </c>
      <c r="L2" s="25">
        <v>46186.0</v>
      </c>
      <c r="M2" s="25">
        <v>46187.0</v>
      </c>
      <c r="N2" s="25">
        <v>46188.0</v>
      </c>
      <c r="O2" s="25">
        <v>46189.0</v>
      </c>
      <c r="P2" s="25">
        <v>46190.0</v>
      </c>
      <c r="Q2" s="25">
        <v>46191.0</v>
      </c>
      <c r="R2" s="25">
        <v>46192.0</v>
      </c>
      <c r="S2" s="25">
        <v>46193.0</v>
      </c>
      <c r="T2" s="25">
        <v>46194.0</v>
      </c>
      <c r="U2" s="25">
        <v>46195.0</v>
      </c>
      <c r="V2" s="25">
        <v>46196.0</v>
      </c>
      <c r="W2" s="25">
        <v>46197.0</v>
      </c>
      <c r="X2" s="25">
        <v>46198.0</v>
      </c>
      <c r="Y2" s="25">
        <v>46199.0</v>
      </c>
      <c r="Z2" s="25">
        <v>46200.0</v>
      </c>
      <c r="AA2" s="25">
        <v>46201.0</v>
      </c>
      <c r="AB2" s="25">
        <v>46202.0</v>
      </c>
      <c r="AC2" s="25">
        <v>46203.0</v>
      </c>
      <c r="AD2" s="25">
        <v>46204.0</v>
      </c>
      <c r="AE2" s="25">
        <v>46205.0</v>
      </c>
      <c r="AF2" s="25">
        <v>46206.0</v>
      </c>
      <c r="AG2" s="25">
        <v>46207.0</v>
      </c>
      <c r="AH2" s="25">
        <v>46208.0</v>
      </c>
      <c r="AI2" s="25">
        <v>46209.0</v>
      </c>
      <c r="AJ2" s="25">
        <v>46210.0</v>
      </c>
      <c r="AK2" s="25">
        <v>46211.0</v>
      </c>
      <c r="AL2" s="25">
        <v>46212.0</v>
      </c>
      <c r="AM2" s="25">
        <v>46213.0</v>
      </c>
      <c r="AN2" s="25">
        <v>46214.0</v>
      </c>
      <c r="AO2" s="25">
        <v>46215.0</v>
      </c>
      <c r="AP2" s="25">
        <v>46216.0</v>
      </c>
      <c r="AQ2" s="25">
        <v>46217.0</v>
      </c>
      <c r="AR2" s="25">
        <v>46218.0</v>
      </c>
      <c r="AS2" s="34"/>
      <c r="AT2" s="35"/>
      <c r="AU2" s="35"/>
      <c r="AV2" s="35"/>
    </row>
    <row r="3">
      <c r="A3" s="36"/>
      <c r="B3" s="36"/>
      <c r="C3" s="36"/>
      <c r="D3" s="36"/>
      <c r="E3" s="36"/>
      <c r="F3" s="36"/>
      <c r="G3" s="36"/>
      <c r="H3" s="36"/>
      <c r="I3" s="37" t="str">
        <f t="shared" ref="I3:AR3" si="1">TEXT(I2,"ddd")</f>
        <v>Wed</v>
      </c>
      <c r="J3" s="37" t="str">
        <f t="shared" si="1"/>
        <v>Thu</v>
      </c>
      <c r="K3" s="37" t="str">
        <f t="shared" si="1"/>
        <v>Fri</v>
      </c>
      <c r="L3" s="37" t="str">
        <f t="shared" si="1"/>
        <v>Sat</v>
      </c>
      <c r="M3" s="37" t="str">
        <f t="shared" si="1"/>
        <v>Sun</v>
      </c>
      <c r="N3" s="37" t="str">
        <f t="shared" si="1"/>
        <v>Mon</v>
      </c>
      <c r="O3" s="37" t="str">
        <f t="shared" si="1"/>
        <v>Tue</v>
      </c>
      <c r="P3" s="37" t="str">
        <f t="shared" si="1"/>
        <v>Wed</v>
      </c>
      <c r="Q3" s="37" t="str">
        <f t="shared" si="1"/>
        <v>Thu</v>
      </c>
      <c r="R3" s="37" t="str">
        <f t="shared" si="1"/>
        <v>Fri</v>
      </c>
      <c r="S3" s="37" t="str">
        <f t="shared" si="1"/>
        <v>Sat</v>
      </c>
      <c r="T3" s="37" t="str">
        <f t="shared" si="1"/>
        <v>Sun</v>
      </c>
      <c r="U3" s="37" t="str">
        <f t="shared" si="1"/>
        <v>Mon</v>
      </c>
      <c r="V3" s="37" t="str">
        <f t="shared" si="1"/>
        <v>Tue</v>
      </c>
      <c r="W3" s="37" t="str">
        <f t="shared" si="1"/>
        <v>Wed</v>
      </c>
      <c r="X3" s="37" t="str">
        <f t="shared" si="1"/>
        <v>Thu</v>
      </c>
      <c r="Y3" s="37" t="str">
        <f t="shared" si="1"/>
        <v>Fri</v>
      </c>
      <c r="Z3" s="37" t="str">
        <f t="shared" si="1"/>
        <v>Sat</v>
      </c>
      <c r="AA3" s="37" t="str">
        <f t="shared" si="1"/>
        <v>Sun</v>
      </c>
      <c r="AB3" s="37" t="str">
        <f t="shared" si="1"/>
        <v>Mon</v>
      </c>
      <c r="AC3" s="37" t="str">
        <f t="shared" si="1"/>
        <v>Tue</v>
      </c>
      <c r="AD3" s="37" t="str">
        <f t="shared" si="1"/>
        <v>Wed</v>
      </c>
      <c r="AE3" s="37" t="str">
        <f t="shared" si="1"/>
        <v>Thu</v>
      </c>
      <c r="AF3" s="37" t="str">
        <f t="shared" si="1"/>
        <v>Fri</v>
      </c>
      <c r="AG3" s="37" t="str">
        <f t="shared" si="1"/>
        <v>Sat</v>
      </c>
      <c r="AH3" s="37" t="str">
        <f t="shared" si="1"/>
        <v>Sun</v>
      </c>
      <c r="AI3" s="37" t="str">
        <f t="shared" si="1"/>
        <v>Mon</v>
      </c>
      <c r="AJ3" s="37" t="str">
        <f t="shared" si="1"/>
        <v>Tue</v>
      </c>
      <c r="AK3" s="37" t="str">
        <f t="shared" si="1"/>
        <v>Wed</v>
      </c>
      <c r="AL3" s="37" t="str">
        <f t="shared" si="1"/>
        <v>Thu</v>
      </c>
      <c r="AM3" s="37" t="str">
        <f t="shared" si="1"/>
        <v>Fri</v>
      </c>
      <c r="AN3" s="37" t="str">
        <f t="shared" si="1"/>
        <v>Sat</v>
      </c>
      <c r="AO3" s="37" t="str">
        <f t="shared" si="1"/>
        <v>Sun</v>
      </c>
      <c r="AP3" s="37" t="str">
        <f t="shared" si="1"/>
        <v>Mon</v>
      </c>
      <c r="AQ3" s="37" t="str">
        <f t="shared" si="1"/>
        <v>Tue</v>
      </c>
      <c r="AR3" s="37" t="str">
        <f t="shared" si="1"/>
        <v>Wed</v>
      </c>
      <c r="AS3" s="39"/>
      <c r="AT3" s="40"/>
      <c r="AU3" s="40"/>
      <c r="AV3" s="40"/>
    </row>
    <row r="4">
      <c r="A4" s="41">
        <v>1.0</v>
      </c>
      <c r="B4" s="42" t="s">
        <v>113</v>
      </c>
      <c r="C4" s="43" t="s">
        <v>32</v>
      </c>
      <c r="D4" s="43" t="s">
        <v>39</v>
      </c>
      <c r="E4" s="11">
        <f t="shared" ref="E4:E14" si="2">COUNTIF(I4:AR4,"P")</f>
        <v>12</v>
      </c>
      <c r="F4" s="11">
        <f t="shared" ref="F4:F14" si="3">COUNTIF(I4:AR4,"A")</f>
        <v>16</v>
      </c>
      <c r="G4" s="11">
        <f t="shared" ref="G4:G14" si="4">E4+F4</f>
        <v>28</v>
      </c>
      <c r="H4" s="44">
        <f t="shared" ref="H4:H14" si="5">(E4/G4)*100</f>
        <v>42.85714286</v>
      </c>
      <c r="I4" s="45" t="s">
        <v>120</v>
      </c>
      <c r="J4" s="41" t="s">
        <v>120</v>
      </c>
      <c r="K4" s="41" t="s">
        <v>121</v>
      </c>
      <c r="L4" s="41" t="s">
        <v>121</v>
      </c>
      <c r="M4" s="46" t="s">
        <v>123</v>
      </c>
      <c r="N4" s="41" t="s">
        <v>121</v>
      </c>
      <c r="O4" s="41" t="s">
        <v>120</v>
      </c>
      <c r="P4" s="41" t="s">
        <v>120</v>
      </c>
      <c r="Q4" s="41" t="s">
        <v>120</v>
      </c>
      <c r="R4" s="41" t="s">
        <v>121</v>
      </c>
      <c r="S4" s="41" t="s">
        <v>121</v>
      </c>
      <c r="T4" s="46" t="s">
        <v>123</v>
      </c>
      <c r="U4" s="41" t="s">
        <v>121</v>
      </c>
      <c r="V4" s="41" t="s">
        <v>120</v>
      </c>
      <c r="W4" s="41" t="s">
        <v>120</v>
      </c>
      <c r="X4" s="41" t="s">
        <v>121</v>
      </c>
      <c r="Y4" s="41" t="s">
        <v>121</v>
      </c>
      <c r="Z4" s="41" t="s">
        <v>120</v>
      </c>
      <c r="AA4" s="46" t="s">
        <v>123</v>
      </c>
      <c r="AB4" s="41" t="s">
        <v>120</v>
      </c>
      <c r="AC4" s="41" t="s">
        <v>120</v>
      </c>
      <c r="AD4" s="41" t="s">
        <v>120</v>
      </c>
      <c r="AE4" s="41" t="s">
        <v>121</v>
      </c>
      <c r="AF4" s="41" t="s">
        <v>120</v>
      </c>
      <c r="AG4" s="41" t="s">
        <v>121</v>
      </c>
      <c r="AH4" s="46" t="s">
        <v>123</v>
      </c>
      <c r="AI4" s="41" t="s">
        <v>121</v>
      </c>
      <c r="AJ4" s="41" t="s">
        <v>121</v>
      </c>
      <c r="AK4" s="41" t="s">
        <v>121</v>
      </c>
      <c r="AL4" s="41" t="s">
        <v>121</v>
      </c>
      <c r="AM4" s="41" t="s">
        <v>121</v>
      </c>
      <c r="AN4" s="41" t="s">
        <v>121</v>
      </c>
      <c r="AO4" s="47"/>
      <c r="AP4" s="47"/>
      <c r="AQ4" s="47"/>
      <c r="AR4" s="47"/>
      <c r="AS4" s="49"/>
    </row>
    <row r="5">
      <c r="A5" s="41">
        <v>2.0</v>
      </c>
      <c r="B5" s="42" t="s">
        <v>135</v>
      </c>
      <c r="C5" s="43" t="s">
        <v>50</v>
      </c>
      <c r="D5" s="43" t="s">
        <v>51</v>
      </c>
      <c r="E5" s="11">
        <f t="shared" si="2"/>
        <v>25</v>
      </c>
      <c r="F5" s="11">
        <f t="shared" si="3"/>
        <v>3</v>
      </c>
      <c r="G5" s="11">
        <f t="shared" si="4"/>
        <v>28</v>
      </c>
      <c r="H5" s="44">
        <f t="shared" si="5"/>
        <v>89.28571429</v>
      </c>
      <c r="I5" s="41" t="s">
        <v>120</v>
      </c>
      <c r="J5" s="41" t="s">
        <v>120</v>
      </c>
      <c r="K5" s="41" t="s">
        <v>120</v>
      </c>
      <c r="L5" s="41" t="s">
        <v>120</v>
      </c>
      <c r="M5" s="23"/>
      <c r="N5" s="41" t="s">
        <v>120</v>
      </c>
      <c r="O5" s="41" t="s">
        <v>120</v>
      </c>
      <c r="P5" s="41" t="s">
        <v>120</v>
      </c>
      <c r="Q5" s="41" t="s">
        <v>120</v>
      </c>
      <c r="R5" s="41" t="s">
        <v>120</v>
      </c>
      <c r="S5" s="41" t="s">
        <v>120</v>
      </c>
      <c r="T5" s="23"/>
      <c r="U5" s="41" t="s">
        <v>120</v>
      </c>
      <c r="V5" s="41" t="s">
        <v>120</v>
      </c>
      <c r="W5" s="41" t="s">
        <v>120</v>
      </c>
      <c r="X5" s="41" t="s">
        <v>120</v>
      </c>
      <c r="Y5" s="41" t="s">
        <v>120</v>
      </c>
      <c r="Z5" s="41" t="s">
        <v>120</v>
      </c>
      <c r="AA5" s="23"/>
      <c r="AB5" s="41" t="s">
        <v>120</v>
      </c>
      <c r="AC5" s="41" t="s">
        <v>120</v>
      </c>
      <c r="AD5" s="41" t="s">
        <v>120</v>
      </c>
      <c r="AE5" s="41" t="s">
        <v>121</v>
      </c>
      <c r="AF5" s="41" t="s">
        <v>120</v>
      </c>
      <c r="AG5" s="41" t="s">
        <v>121</v>
      </c>
      <c r="AH5" s="23"/>
      <c r="AI5" s="41" t="s">
        <v>120</v>
      </c>
      <c r="AJ5" s="41" t="s">
        <v>120</v>
      </c>
      <c r="AK5" s="41" t="s">
        <v>120</v>
      </c>
      <c r="AL5" s="41" t="s">
        <v>120</v>
      </c>
      <c r="AM5" s="41" t="s">
        <v>120</v>
      </c>
      <c r="AN5" s="41" t="s">
        <v>121</v>
      </c>
      <c r="AO5" s="47"/>
      <c r="AP5" s="47"/>
      <c r="AQ5" s="47"/>
      <c r="AR5" s="47"/>
      <c r="AS5" s="49"/>
    </row>
    <row r="6">
      <c r="A6" s="41">
        <v>3.0</v>
      </c>
      <c r="B6" s="42" t="s">
        <v>148</v>
      </c>
      <c r="C6" s="43" t="s">
        <v>56</v>
      </c>
      <c r="D6" s="43" t="s">
        <v>58</v>
      </c>
      <c r="E6" s="11">
        <f t="shared" si="2"/>
        <v>26</v>
      </c>
      <c r="F6" s="11">
        <f t="shared" si="3"/>
        <v>2</v>
      </c>
      <c r="G6" s="11">
        <f t="shared" si="4"/>
        <v>28</v>
      </c>
      <c r="H6" s="44">
        <f t="shared" si="5"/>
        <v>92.85714286</v>
      </c>
      <c r="I6" s="41" t="s">
        <v>121</v>
      </c>
      <c r="J6" s="41" t="s">
        <v>120</v>
      </c>
      <c r="K6" s="41" t="s">
        <v>120</v>
      </c>
      <c r="L6" s="41" t="s">
        <v>120</v>
      </c>
      <c r="M6" s="23"/>
      <c r="N6" s="41" t="s">
        <v>120</v>
      </c>
      <c r="O6" s="41" t="s">
        <v>120</v>
      </c>
      <c r="P6" s="41" t="s">
        <v>120</v>
      </c>
      <c r="Q6" s="41" t="s">
        <v>120</v>
      </c>
      <c r="R6" s="41" t="s">
        <v>120</v>
      </c>
      <c r="S6" s="41" t="s">
        <v>120</v>
      </c>
      <c r="T6" s="23"/>
      <c r="U6" s="41" t="s">
        <v>120</v>
      </c>
      <c r="V6" s="41" t="s">
        <v>120</v>
      </c>
      <c r="W6" s="41" t="s">
        <v>121</v>
      </c>
      <c r="X6" s="41" t="s">
        <v>120</v>
      </c>
      <c r="Y6" s="41" t="s">
        <v>120</v>
      </c>
      <c r="Z6" s="41" t="s">
        <v>120</v>
      </c>
      <c r="AA6" s="23"/>
      <c r="AB6" s="41" t="s">
        <v>120</v>
      </c>
      <c r="AC6" s="41" t="s">
        <v>120</v>
      </c>
      <c r="AD6" s="41" t="s">
        <v>120</v>
      </c>
      <c r="AE6" s="41" t="s">
        <v>120</v>
      </c>
      <c r="AF6" s="41" t="s">
        <v>120</v>
      </c>
      <c r="AG6" s="41" t="s">
        <v>120</v>
      </c>
      <c r="AH6" s="23"/>
      <c r="AI6" s="41" t="s">
        <v>120</v>
      </c>
      <c r="AJ6" s="41" t="s">
        <v>120</v>
      </c>
      <c r="AK6" s="41" t="s">
        <v>120</v>
      </c>
      <c r="AL6" s="41" t="s">
        <v>120</v>
      </c>
      <c r="AM6" s="41" t="s">
        <v>120</v>
      </c>
      <c r="AN6" s="41" t="s">
        <v>120</v>
      </c>
      <c r="AO6" s="47"/>
      <c r="AP6" s="47"/>
      <c r="AQ6" s="47"/>
      <c r="AR6" s="47"/>
      <c r="AS6" s="49"/>
    </row>
    <row r="7">
      <c r="A7" s="41">
        <v>4.0</v>
      </c>
      <c r="B7" s="42" t="s">
        <v>158</v>
      </c>
      <c r="C7" s="43" t="s">
        <v>62</v>
      </c>
      <c r="D7" s="43" t="s">
        <v>65</v>
      </c>
      <c r="E7" s="11">
        <f t="shared" si="2"/>
        <v>16</v>
      </c>
      <c r="F7" s="11">
        <f t="shared" si="3"/>
        <v>12</v>
      </c>
      <c r="G7" s="11">
        <f t="shared" si="4"/>
        <v>28</v>
      </c>
      <c r="H7" s="44">
        <f t="shared" si="5"/>
        <v>57.14285714</v>
      </c>
      <c r="I7" s="41" t="s">
        <v>120</v>
      </c>
      <c r="J7" s="41" t="s">
        <v>120</v>
      </c>
      <c r="K7" s="41" t="s">
        <v>120</v>
      </c>
      <c r="L7" s="41" t="s">
        <v>120</v>
      </c>
      <c r="M7" s="23"/>
      <c r="N7" s="41" t="s">
        <v>120</v>
      </c>
      <c r="O7" s="41" t="s">
        <v>120</v>
      </c>
      <c r="P7" s="41" t="s">
        <v>120</v>
      </c>
      <c r="Q7" s="41" t="s">
        <v>120</v>
      </c>
      <c r="R7" s="41" t="s">
        <v>120</v>
      </c>
      <c r="S7" s="41" t="s">
        <v>120</v>
      </c>
      <c r="T7" s="23"/>
      <c r="U7" s="41" t="s">
        <v>120</v>
      </c>
      <c r="V7" s="41" t="s">
        <v>120</v>
      </c>
      <c r="W7" s="41" t="s">
        <v>120</v>
      </c>
      <c r="X7" s="41" t="s">
        <v>120</v>
      </c>
      <c r="Y7" s="41" t="s">
        <v>121</v>
      </c>
      <c r="Z7" s="41" t="s">
        <v>121</v>
      </c>
      <c r="AA7" s="23"/>
      <c r="AB7" s="41" t="s">
        <v>120</v>
      </c>
      <c r="AC7" s="41" t="s">
        <v>121</v>
      </c>
      <c r="AD7" s="41" t="s">
        <v>121</v>
      </c>
      <c r="AE7" s="41" t="s">
        <v>121</v>
      </c>
      <c r="AF7" s="41" t="s">
        <v>121</v>
      </c>
      <c r="AG7" s="41" t="s">
        <v>121</v>
      </c>
      <c r="AH7" s="23"/>
      <c r="AI7" s="41" t="s">
        <v>121</v>
      </c>
      <c r="AJ7" s="41" t="s">
        <v>121</v>
      </c>
      <c r="AK7" s="41" t="s">
        <v>120</v>
      </c>
      <c r="AL7" s="41" t="s">
        <v>121</v>
      </c>
      <c r="AM7" s="41" t="s">
        <v>121</v>
      </c>
      <c r="AN7" s="41" t="s">
        <v>121</v>
      </c>
      <c r="AO7" s="47"/>
      <c r="AP7" s="47"/>
      <c r="AQ7" s="47"/>
      <c r="AR7" s="47"/>
      <c r="AS7" s="49"/>
    </row>
    <row r="8">
      <c r="A8" s="41">
        <v>5.0</v>
      </c>
      <c r="B8" s="42" t="s">
        <v>165</v>
      </c>
      <c r="C8" s="43" t="s">
        <v>71</v>
      </c>
      <c r="D8" s="43" t="s">
        <v>73</v>
      </c>
      <c r="E8" s="11">
        <f t="shared" si="2"/>
        <v>12</v>
      </c>
      <c r="F8" s="11">
        <f t="shared" si="3"/>
        <v>16</v>
      </c>
      <c r="G8" s="11">
        <f t="shared" si="4"/>
        <v>28</v>
      </c>
      <c r="H8" s="44">
        <f t="shared" si="5"/>
        <v>42.85714286</v>
      </c>
      <c r="I8" s="41" t="s">
        <v>121</v>
      </c>
      <c r="J8" s="41" t="s">
        <v>120</v>
      </c>
      <c r="K8" s="41" t="s">
        <v>120</v>
      </c>
      <c r="L8" s="41" t="s">
        <v>120</v>
      </c>
      <c r="M8" s="23"/>
      <c r="N8" s="41" t="s">
        <v>120</v>
      </c>
      <c r="O8" s="41" t="s">
        <v>120</v>
      </c>
      <c r="P8" s="41" t="s">
        <v>120</v>
      </c>
      <c r="Q8" s="41" t="s">
        <v>121</v>
      </c>
      <c r="R8" s="41" t="s">
        <v>120</v>
      </c>
      <c r="S8" s="41" t="s">
        <v>120</v>
      </c>
      <c r="T8" s="23"/>
      <c r="U8" s="41" t="s">
        <v>120</v>
      </c>
      <c r="V8" s="41" t="s">
        <v>121</v>
      </c>
      <c r="W8" s="41" t="s">
        <v>121</v>
      </c>
      <c r="X8" s="41" t="s">
        <v>121</v>
      </c>
      <c r="Y8" s="41" t="s">
        <v>121</v>
      </c>
      <c r="Z8" s="41" t="s">
        <v>121</v>
      </c>
      <c r="AA8" s="23"/>
      <c r="AB8" s="41" t="s">
        <v>121</v>
      </c>
      <c r="AC8" s="41" t="s">
        <v>121</v>
      </c>
      <c r="AD8" s="41" t="s">
        <v>121</v>
      </c>
      <c r="AE8" s="41" t="s">
        <v>120</v>
      </c>
      <c r="AF8" s="41" t="s">
        <v>120</v>
      </c>
      <c r="AG8" s="41" t="s">
        <v>121</v>
      </c>
      <c r="AH8" s="23"/>
      <c r="AI8" s="41" t="s">
        <v>120</v>
      </c>
      <c r="AJ8" s="41" t="s">
        <v>121</v>
      </c>
      <c r="AK8" s="41" t="s">
        <v>121</v>
      </c>
      <c r="AL8" s="41" t="s">
        <v>121</v>
      </c>
      <c r="AM8" s="41" t="s">
        <v>121</v>
      </c>
      <c r="AN8" s="41" t="s">
        <v>121</v>
      </c>
      <c r="AO8" s="47"/>
      <c r="AP8" s="47"/>
      <c r="AQ8" s="47"/>
      <c r="AR8" s="47"/>
      <c r="AS8" s="49"/>
    </row>
    <row r="9">
      <c r="A9" s="41">
        <v>6.0</v>
      </c>
      <c r="B9" s="42" t="s">
        <v>176</v>
      </c>
      <c r="C9" s="43" t="s">
        <v>78</v>
      </c>
      <c r="D9" s="43" t="s">
        <v>79</v>
      </c>
      <c r="E9" s="11">
        <f t="shared" si="2"/>
        <v>26</v>
      </c>
      <c r="F9" s="11">
        <f t="shared" si="3"/>
        <v>2</v>
      </c>
      <c r="G9" s="11">
        <f t="shared" si="4"/>
        <v>28</v>
      </c>
      <c r="H9" s="44">
        <f t="shared" si="5"/>
        <v>92.85714286</v>
      </c>
      <c r="I9" s="41" t="s">
        <v>120</v>
      </c>
      <c r="J9" s="41" t="s">
        <v>120</v>
      </c>
      <c r="K9" s="41" t="s">
        <v>120</v>
      </c>
      <c r="L9" s="41" t="s">
        <v>120</v>
      </c>
      <c r="M9" s="23"/>
      <c r="N9" s="41" t="s">
        <v>120</v>
      </c>
      <c r="O9" s="41" t="s">
        <v>120</v>
      </c>
      <c r="P9" s="41" t="s">
        <v>120</v>
      </c>
      <c r="Q9" s="41" t="s">
        <v>120</v>
      </c>
      <c r="R9" s="41" t="s">
        <v>120</v>
      </c>
      <c r="S9" s="41" t="s">
        <v>120</v>
      </c>
      <c r="T9" s="23"/>
      <c r="U9" s="41" t="s">
        <v>120</v>
      </c>
      <c r="V9" s="41" t="s">
        <v>120</v>
      </c>
      <c r="W9" s="41" t="s">
        <v>120</v>
      </c>
      <c r="X9" s="41" t="s">
        <v>120</v>
      </c>
      <c r="Y9" s="41" t="s">
        <v>121</v>
      </c>
      <c r="Z9" s="41" t="s">
        <v>120</v>
      </c>
      <c r="AA9" s="23"/>
      <c r="AB9" s="41" t="s">
        <v>120</v>
      </c>
      <c r="AC9" s="41" t="s">
        <v>120</v>
      </c>
      <c r="AD9" s="41" t="s">
        <v>120</v>
      </c>
      <c r="AE9" s="41" t="s">
        <v>120</v>
      </c>
      <c r="AF9" s="41" t="s">
        <v>120</v>
      </c>
      <c r="AG9" s="41" t="s">
        <v>120</v>
      </c>
      <c r="AH9" s="23"/>
      <c r="AI9" s="41" t="s">
        <v>121</v>
      </c>
      <c r="AJ9" s="41" t="s">
        <v>120</v>
      </c>
      <c r="AK9" s="41" t="s">
        <v>120</v>
      </c>
      <c r="AL9" s="41" t="s">
        <v>120</v>
      </c>
      <c r="AM9" s="41" t="s">
        <v>120</v>
      </c>
      <c r="AN9" s="41" t="s">
        <v>120</v>
      </c>
      <c r="AO9" s="47"/>
      <c r="AP9" s="47"/>
      <c r="AQ9" s="47"/>
      <c r="AR9" s="47"/>
      <c r="AS9" s="49"/>
    </row>
    <row r="10">
      <c r="A10" s="41">
        <v>7.0</v>
      </c>
      <c r="B10" s="53" t="s">
        <v>187</v>
      </c>
      <c r="C10" s="43" t="s">
        <v>82</v>
      </c>
      <c r="D10" s="43" t="s">
        <v>83</v>
      </c>
      <c r="E10" s="11">
        <f t="shared" si="2"/>
        <v>14</v>
      </c>
      <c r="F10" s="11">
        <f t="shared" si="3"/>
        <v>14</v>
      </c>
      <c r="G10" s="11">
        <f t="shared" si="4"/>
        <v>28</v>
      </c>
      <c r="H10" s="44">
        <f t="shared" si="5"/>
        <v>50</v>
      </c>
      <c r="I10" s="41" t="s">
        <v>121</v>
      </c>
      <c r="J10" s="41" t="s">
        <v>121</v>
      </c>
      <c r="K10" s="41" t="s">
        <v>120</v>
      </c>
      <c r="L10" s="41" t="s">
        <v>121</v>
      </c>
      <c r="M10" s="23"/>
      <c r="N10" s="41" t="s">
        <v>120</v>
      </c>
      <c r="O10" s="41" t="s">
        <v>121</v>
      </c>
      <c r="P10" s="41" t="s">
        <v>121</v>
      </c>
      <c r="Q10" s="41" t="s">
        <v>121</v>
      </c>
      <c r="R10" s="41" t="s">
        <v>121</v>
      </c>
      <c r="S10" s="41" t="s">
        <v>121</v>
      </c>
      <c r="T10" s="23"/>
      <c r="U10" s="41" t="s">
        <v>121</v>
      </c>
      <c r="V10" s="41" t="s">
        <v>121</v>
      </c>
      <c r="W10" s="41" t="s">
        <v>121</v>
      </c>
      <c r="X10" s="41" t="s">
        <v>121</v>
      </c>
      <c r="Y10" s="41" t="s">
        <v>121</v>
      </c>
      <c r="Z10" s="41" t="s">
        <v>121</v>
      </c>
      <c r="AA10" s="23"/>
      <c r="AB10" s="41" t="s">
        <v>120</v>
      </c>
      <c r="AC10" s="41" t="s">
        <v>120</v>
      </c>
      <c r="AD10" s="41" t="s">
        <v>120</v>
      </c>
      <c r="AE10" s="41" t="s">
        <v>120</v>
      </c>
      <c r="AF10" s="41" t="s">
        <v>120</v>
      </c>
      <c r="AG10" s="41" t="s">
        <v>120</v>
      </c>
      <c r="AH10" s="23"/>
      <c r="AI10" s="41" t="s">
        <v>120</v>
      </c>
      <c r="AJ10" s="41" t="s">
        <v>120</v>
      </c>
      <c r="AK10" s="41" t="s">
        <v>120</v>
      </c>
      <c r="AL10" s="41" t="s">
        <v>120</v>
      </c>
      <c r="AM10" s="41" t="s">
        <v>120</v>
      </c>
      <c r="AN10" s="41" t="s">
        <v>120</v>
      </c>
      <c r="AO10" s="47"/>
      <c r="AP10" s="47"/>
      <c r="AQ10" s="47"/>
      <c r="AR10" s="47"/>
      <c r="AS10" s="49"/>
    </row>
    <row r="11">
      <c r="A11" s="41">
        <v>8.0</v>
      </c>
      <c r="B11" s="53" t="s">
        <v>197</v>
      </c>
      <c r="C11" s="43" t="s">
        <v>89</v>
      </c>
      <c r="D11" s="43" t="s">
        <v>91</v>
      </c>
      <c r="E11" s="11">
        <f t="shared" si="2"/>
        <v>12</v>
      </c>
      <c r="F11" s="11">
        <f t="shared" si="3"/>
        <v>16</v>
      </c>
      <c r="G11" s="11">
        <f t="shared" si="4"/>
        <v>28</v>
      </c>
      <c r="H11" s="44">
        <f t="shared" si="5"/>
        <v>42.85714286</v>
      </c>
      <c r="I11" s="41" t="s">
        <v>121</v>
      </c>
      <c r="J11" s="41" t="s">
        <v>121</v>
      </c>
      <c r="K11" s="41" t="s">
        <v>121</v>
      </c>
      <c r="L11" s="41" t="s">
        <v>121</v>
      </c>
      <c r="M11" s="23"/>
      <c r="N11" s="41" t="s">
        <v>121</v>
      </c>
      <c r="O11" s="41" t="s">
        <v>121</v>
      </c>
      <c r="P11" s="41" t="s">
        <v>121</v>
      </c>
      <c r="Q11" s="41" t="s">
        <v>121</v>
      </c>
      <c r="R11" s="41" t="s">
        <v>121</v>
      </c>
      <c r="S11" s="41" t="s">
        <v>121</v>
      </c>
      <c r="T11" s="23"/>
      <c r="U11" s="41" t="s">
        <v>121</v>
      </c>
      <c r="V11" s="41" t="s">
        <v>121</v>
      </c>
      <c r="W11" s="41" t="s">
        <v>121</v>
      </c>
      <c r="X11" s="41" t="s">
        <v>121</v>
      </c>
      <c r="Y11" s="41" t="s">
        <v>121</v>
      </c>
      <c r="Z11" s="41" t="s">
        <v>121</v>
      </c>
      <c r="AA11" s="23"/>
      <c r="AB11" s="41" t="s">
        <v>120</v>
      </c>
      <c r="AC11" s="41" t="s">
        <v>120</v>
      </c>
      <c r="AD11" s="41" t="s">
        <v>120</v>
      </c>
      <c r="AE11" s="41" t="s">
        <v>120</v>
      </c>
      <c r="AF11" s="41" t="s">
        <v>120</v>
      </c>
      <c r="AG11" s="41" t="s">
        <v>120</v>
      </c>
      <c r="AH11" s="23"/>
      <c r="AI11" s="41" t="s">
        <v>120</v>
      </c>
      <c r="AJ11" s="41" t="s">
        <v>120</v>
      </c>
      <c r="AK11" s="41" t="s">
        <v>120</v>
      </c>
      <c r="AL11" s="41" t="s">
        <v>120</v>
      </c>
      <c r="AM11" s="41" t="s">
        <v>120</v>
      </c>
      <c r="AN11" s="41" t="s">
        <v>120</v>
      </c>
      <c r="AO11" s="47"/>
      <c r="AP11" s="47"/>
      <c r="AQ11" s="47"/>
      <c r="AR11" s="47"/>
      <c r="AS11" s="49"/>
    </row>
    <row r="12">
      <c r="A12" s="41">
        <v>9.0</v>
      </c>
      <c r="B12" s="53" t="s">
        <v>207</v>
      </c>
      <c r="C12" s="43" t="s">
        <v>95</v>
      </c>
      <c r="D12" s="43" t="s">
        <v>96</v>
      </c>
      <c r="E12" s="11">
        <f t="shared" si="2"/>
        <v>6</v>
      </c>
      <c r="F12" s="11">
        <f t="shared" si="3"/>
        <v>22</v>
      </c>
      <c r="G12" s="11">
        <f t="shared" si="4"/>
        <v>28</v>
      </c>
      <c r="H12" s="44">
        <f t="shared" si="5"/>
        <v>21.42857143</v>
      </c>
      <c r="I12" s="41" t="s">
        <v>121</v>
      </c>
      <c r="J12" s="41" t="s">
        <v>121</v>
      </c>
      <c r="K12" s="41" t="s">
        <v>121</v>
      </c>
      <c r="L12" s="41" t="s">
        <v>121</v>
      </c>
      <c r="M12" s="23"/>
      <c r="N12" s="41" t="s">
        <v>121</v>
      </c>
      <c r="O12" s="41" t="s">
        <v>121</v>
      </c>
      <c r="P12" s="41" t="s">
        <v>121</v>
      </c>
      <c r="Q12" s="41" t="s">
        <v>121</v>
      </c>
      <c r="R12" s="41" t="s">
        <v>121</v>
      </c>
      <c r="S12" s="41" t="s">
        <v>121</v>
      </c>
      <c r="T12" s="23"/>
      <c r="U12" s="41" t="s">
        <v>121</v>
      </c>
      <c r="V12" s="41" t="s">
        <v>121</v>
      </c>
      <c r="W12" s="41" t="s">
        <v>121</v>
      </c>
      <c r="X12" s="41" t="s">
        <v>121</v>
      </c>
      <c r="Y12" s="41" t="s">
        <v>121</v>
      </c>
      <c r="Z12" s="41" t="s">
        <v>121</v>
      </c>
      <c r="AA12" s="23"/>
      <c r="AB12" s="41" t="s">
        <v>120</v>
      </c>
      <c r="AC12" s="41" t="s">
        <v>120</v>
      </c>
      <c r="AD12" s="41" t="s">
        <v>120</v>
      </c>
      <c r="AE12" s="41" t="s">
        <v>120</v>
      </c>
      <c r="AF12" s="41" t="s">
        <v>120</v>
      </c>
      <c r="AG12" s="41" t="s">
        <v>121</v>
      </c>
      <c r="AH12" s="23"/>
      <c r="AI12" s="41" t="s">
        <v>120</v>
      </c>
      <c r="AJ12" s="41" t="s">
        <v>121</v>
      </c>
      <c r="AK12" s="41" t="s">
        <v>121</v>
      </c>
      <c r="AL12" s="41" t="s">
        <v>121</v>
      </c>
      <c r="AM12" s="41" t="s">
        <v>121</v>
      </c>
      <c r="AN12" s="41" t="s">
        <v>121</v>
      </c>
      <c r="AO12" s="47"/>
      <c r="AP12" s="47"/>
      <c r="AQ12" s="47"/>
      <c r="AR12" s="47"/>
      <c r="AS12" s="49"/>
    </row>
    <row r="13">
      <c r="A13" s="41">
        <v>10.0</v>
      </c>
      <c r="B13" s="42" t="s">
        <v>220</v>
      </c>
      <c r="C13" s="43" t="s">
        <v>102</v>
      </c>
      <c r="D13" s="43" t="s">
        <v>103</v>
      </c>
      <c r="E13" s="11">
        <f t="shared" si="2"/>
        <v>22</v>
      </c>
      <c r="F13" s="11">
        <f t="shared" si="3"/>
        <v>6</v>
      </c>
      <c r="G13" s="11">
        <f t="shared" si="4"/>
        <v>28</v>
      </c>
      <c r="H13" s="44">
        <f t="shared" si="5"/>
        <v>78.57142857</v>
      </c>
      <c r="I13" s="41" t="s">
        <v>121</v>
      </c>
      <c r="J13" s="41" t="s">
        <v>120</v>
      </c>
      <c r="K13" s="41" t="s">
        <v>120</v>
      </c>
      <c r="L13" s="41" t="s">
        <v>120</v>
      </c>
      <c r="M13" s="23"/>
      <c r="N13" s="41" t="s">
        <v>120</v>
      </c>
      <c r="O13" s="41" t="s">
        <v>121</v>
      </c>
      <c r="P13" s="41" t="s">
        <v>120</v>
      </c>
      <c r="Q13" s="41" t="s">
        <v>120</v>
      </c>
      <c r="R13" s="41" t="s">
        <v>120</v>
      </c>
      <c r="S13" s="41" t="s">
        <v>120</v>
      </c>
      <c r="T13" s="23"/>
      <c r="U13" s="41" t="s">
        <v>120</v>
      </c>
      <c r="V13" s="41" t="s">
        <v>120</v>
      </c>
      <c r="W13" s="41" t="s">
        <v>120</v>
      </c>
      <c r="X13" s="41" t="s">
        <v>120</v>
      </c>
      <c r="Y13" s="41" t="s">
        <v>120</v>
      </c>
      <c r="Z13" s="41" t="s">
        <v>120</v>
      </c>
      <c r="AA13" s="23"/>
      <c r="AB13" s="41" t="s">
        <v>121</v>
      </c>
      <c r="AC13" s="41" t="s">
        <v>120</v>
      </c>
      <c r="AD13" s="41" t="s">
        <v>120</v>
      </c>
      <c r="AE13" s="41" t="s">
        <v>120</v>
      </c>
      <c r="AF13" s="41" t="s">
        <v>121</v>
      </c>
      <c r="AG13" s="41" t="s">
        <v>120</v>
      </c>
      <c r="AH13" s="23"/>
      <c r="AI13" s="41" t="s">
        <v>120</v>
      </c>
      <c r="AJ13" s="41" t="s">
        <v>121</v>
      </c>
      <c r="AK13" s="41" t="s">
        <v>120</v>
      </c>
      <c r="AL13" s="41" t="s">
        <v>121</v>
      </c>
      <c r="AM13" s="41" t="s">
        <v>120</v>
      </c>
      <c r="AN13" s="41" t="s">
        <v>120</v>
      </c>
      <c r="AO13" s="47"/>
      <c r="AP13" s="47"/>
      <c r="AQ13" s="47"/>
      <c r="AR13" s="47"/>
      <c r="AS13" s="49"/>
    </row>
    <row r="14">
      <c r="A14" s="41">
        <v>11.0</v>
      </c>
      <c r="B14" s="42" t="s">
        <v>230</v>
      </c>
      <c r="C14" s="43" t="s">
        <v>107</v>
      </c>
      <c r="D14" s="43" t="s">
        <v>109</v>
      </c>
      <c r="E14" s="11">
        <f t="shared" si="2"/>
        <v>21</v>
      </c>
      <c r="F14" s="11">
        <f t="shared" si="3"/>
        <v>7</v>
      </c>
      <c r="G14" s="11">
        <f t="shared" si="4"/>
        <v>28</v>
      </c>
      <c r="H14" s="44">
        <f t="shared" si="5"/>
        <v>75</v>
      </c>
      <c r="I14" s="41" t="s">
        <v>120</v>
      </c>
      <c r="J14" s="41" t="s">
        <v>120</v>
      </c>
      <c r="K14" s="41" t="s">
        <v>120</v>
      </c>
      <c r="L14" s="41" t="s">
        <v>120</v>
      </c>
      <c r="M14" s="23"/>
      <c r="N14" s="41" t="s">
        <v>120</v>
      </c>
      <c r="O14" s="41" t="s">
        <v>120</v>
      </c>
      <c r="P14" s="41" t="s">
        <v>120</v>
      </c>
      <c r="Q14" s="41" t="s">
        <v>120</v>
      </c>
      <c r="R14" s="41" t="s">
        <v>120</v>
      </c>
      <c r="S14" s="41" t="s">
        <v>121</v>
      </c>
      <c r="T14" s="23"/>
      <c r="U14" s="41" t="s">
        <v>120</v>
      </c>
      <c r="V14" s="41" t="s">
        <v>120</v>
      </c>
      <c r="W14" s="41" t="s">
        <v>120</v>
      </c>
      <c r="X14" s="41" t="s">
        <v>121</v>
      </c>
      <c r="Y14" s="41" t="s">
        <v>121</v>
      </c>
      <c r="Z14" s="41" t="s">
        <v>120</v>
      </c>
      <c r="AA14" s="23"/>
      <c r="AB14" s="41" t="s">
        <v>121</v>
      </c>
      <c r="AC14" s="41" t="s">
        <v>120</v>
      </c>
      <c r="AD14" s="41" t="s">
        <v>121</v>
      </c>
      <c r="AE14" s="41" t="s">
        <v>120</v>
      </c>
      <c r="AF14" s="41" t="s">
        <v>120</v>
      </c>
      <c r="AG14" s="41" t="s">
        <v>120</v>
      </c>
      <c r="AH14" s="23"/>
      <c r="AI14" s="41" t="s">
        <v>121</v>
      </c>
      <c r="AJ14" s="41" t="s">
        <v>120</v>
      </c>
      <c r="AK14" s="41" t="s">
        <v>121</v>
      </c>
      <c r="AL14" s="41" t="s">
        <v>120</v>
      </c>
      <c r="AM14" s="41" t="s">
        <v>120</v>
      </c>
      <c r="AN14" s="41" t="s">
        <v>120</v>
      </c>
      <c r="AO14" s="47"/>
      <c r="AP14" s="47"/>
      <c r="AQ14" s="47"/>
      <c r="AR14" s="47"/>
      <c r="AS14" s="49"/>
    </row>
    <row r="15">
      <c r="A15" s="47"/>
      <c r="B15" s="47"/>
      <c r="C15" s="47"/>
      <c r="D15" s="47"/>
      <c r="E15" s="11"/>
      <c r="F15" s="11"/>
      <c r="G15" s="11"/>
      <c r="H15" s="44"/>
      <c r="I15" s="47"/>
      <c r="J15" s="47"/>
      <c r="K15" s="47"/>
      <c r="L15" s="47"/>
      <c r="M15" s="23"/>
      <c r="N15" s="47"/>
      <c r="O15" s="47"/>
      <c r="P15" s="47"/>
      <c r="Q15" s="47"/>
      <c r="R15" s="47"/>
      <c r="S15" s="47"/>
      <c r="T15" s="23"/>
      <c r="U15" s="47"/>
      <c r="V15" s="47"/>
      <c r="W15" s="47"/>
      <c r="X15" s="47"/>
      <c r="Y15" s="47"/>
      <c r="Z15" s="47"/>
      <c r="AA15" s="23"/>
      <c r="AB15" s="47"/>
      <c r="AC15" s="47"/>
      <c r="AD15" s="47"/>
      <c r="AE15" s="47"/>
      <c r="AF15" s="47"/>
      <c r="AG15" s="47"/>
      <c r="AH15" s="23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9"/>
    </row>
    <row r="16">
      <c r="A16" s="47"/>
      <c r="B16" s="47"/>
      <c r="C16" s="47"/>
      <c r="D16" s="47"/>
      <c r="E16" s="11"/>
      <c r="F16" s="11"/>
      <c r="G16" s="11"/>
      <c r="H16" s="44"/>
      <c r="I16" s="47"/>
      <c r="J16" s="47"/>
      <c r="K16" s="47"/>
      <c r="L16" s="47"/>
      <c r="M16" s="23"/>
      <c r="N16" s="47"/>
      <c r="O16" s="47"/>
      <c r="P16" s="47"/>
      <c r="Q16" s="47"/>
      <c r="R16" s="47"/>
      <c r="S16" s="47"/>
      <c r="T16" s="23"/>
      <c r="U16" s="47"/>
      <c r="V16" s="47"/>
      <c r="W16" s="47"/>
      <c r="X16" s="47"/>
      <c r="Y16" s="47"/>
      <c r="Z16" s="47"/>
      <c r="AA16" s="23"/>
      <c r="AB16" s="47"/>
      <c r="AC16" s="47"/>
      <c r="AD16" s="47"/>
      <c r="AE16" s="47"/>
      <c r="AF16" s="47"/>
      <c r="AG16" s="47"/>
      <c r="AH16" s="23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9"/>
    </row>
    <row r="17">
      <c r="A17" s="47"/>
      <c r="B17" s="47"/>
      <c r="C17" s="47"/>
      <c r="D17" s="47"/>
      <c r="E17" s="11"/>
      <c r="F17" s="11"/>
      <c r="G17" s="11"/>
      <c r="H17" s="44"/>
      <c r="I17" s="47"/>
      <c r="J17" s="47"/>
      <c r="K17" s="47"/>
      <c r="L17" s="47"/>
      <c r="M17" s="23"/>
      <c r="N17" s="47"/>
      <c r="O17" s="47"/>
      <c r="P17" s="47"/>
      <c r="Q17" s="47"/>
      <c r="R17" s="47"/>
      <c r="S17" s="47"/>
      <c r="T17" s="23"/>
      <c r="U17" s="47"/>
      <c r="V17" s="47"/>
      <c r="W17" s="47"/>
      <c r="X17" s="47"/>
      <c r="Y17" s="47"/>
      <c r="Z17" s="47"/>
      <c r="AA17" s="23"/>
      <c r="AB17" s="47"/>
      <c r="AC17" s="47"/>
      <c r="AD17" s="47"/>
      <c r="AE17" s="47"/>
      <c r="AF17" s="47"/>
      <c r="AG17" s="47"/>
      <c r="AH17" s="23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9"/>
    </row>
    <row r="18">
      <c r="A18" s="47"/>
      <c r="B18" s="47"/>
      <c r="C18" s="47"/>
      <c r="D18" s="47"/>
      <c r="E18" s="11"/>
      <c r="F18" s="11"/>
      <c r="G18" s="11"/>
      <c r="H18" s="44"/>
      <c r="I18" s="47"/>
      <c r="J18" s="47"/>
      <c r="K18" s="47"/>
      <c r="L18" s="47"/>
      <c r="M18" s="23"/>
      <c r="N18" s="47"/>
      <c r="O18" s="47"/>
      <c r="P18" s="47"/>
      <c r="Q18" s="47"/>
      <c r="R18" s="47"/>
      <c r="S18" s="47"/>
      <c r="T18" s="23"/>
      <c r="U18" s="47"/>
      <c r="V18" s="47"/>
      <c r="W18" s="47"/>
      <c r="X18" s="47"/>
      <c r="Y18" s="47"/>
      <c r="Z18" s="47"/>
      <c r="AA18" s="23"/>
      <c r="AB18" s="47"/>
      <c r="AC18" s="47"/>
      <c r="AD18" s="47"/>
      <c r="AE18" s="47"/>
      <c r="AF18" s="47"/>
      <c r="AG18" s="47"/>
      <c r="AH18" s="23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9"/>
    </row>
    <row r="19">
      <c r="A19" s="47"/>
      <c r="B19" s="47"/>
      <c r="C19" s="47"/>
      <c r="D19" s="47"/>
      <c r="E19" s="11"/>
      <c r="F19" s="11"/>
      <c r="G19" s="11"/>
      <c r="H19" s="44"/>
      <c r="I19" s="47"/>
      <c r="J19" s="47"/>
      <c r="K19" s="47"/>
      <c r="L19" s="47"/>
      <c r="M19" s="23"/>
      <c r="N19" s="47"/>
      <c r="O19" s="47"/>
      <c r="P19" s="47"/>
      <c r="Q19" s="47"/>
      <c r="R19" s="47"/>
      <c r="S19" s="47"/>
      <c r="T19" s="23"/>
      <c r="U19" s="47"/>
      <c r="V19" s="47"/>
      <c r="W19" s="47"/>
      <c r="X19" s="47"/>
      <c r="Y19" s="47"/>
      <c r="Z19" s="47"/>
      <c r="AA19" s="23"/>
      <c r="AB19" s="47"/>
      <c r="AC19" s="47"/>
      <c r="AD19" s="47"/>
      <c r="AE19" s="47"/>
      <c r="AF19" s="47"/>
      <c r="AG19" s="47"/>
      <c r="AH19" s="23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9"/>
    </row>
    <row r="20">
      <c r="A20" s="47"/>
      <c r="B20" s="47"/>
      <c r="C20" s="47"/>
      <c r="D20" s="47"/>
      <c r="E20" s="11"/>
      <c r="F20" s="11"/>
      <c r="G20" s="11"/>
      <c r="H20" s="44"/>
      <c r="I20" s="47"/>
      <c r="J20" s="47"/>
      <c r="K20" s="47"/>
      <c r="L20" s="47"/>
      <c r="M20" s="23"/>
      <c r="N20" s="47"/>
      <c r="O20" s="47"/>
      <c r="P20" s="47"/>
      <c r="Q20" s="47"/>
      <c r="R20" s="47"/>
      <c r="S20" s="47"/>
      <c r="T20" s="23"/>
      <c r="U20" s="47"/>
      <c r="V20" s="47"/>
      <c r="W20" s="47"/>
      <c r="X20" s="47"/>
      <c r="Y20" s="47"/>
      <c r="Z20" s="47"/>
      <c r="AA20" s="23"/>
      <c r="AB20" s="47"/>
      <c r="AC20" s="47"/>
      <c r="AD20" s="47"/>
      <c r="AE20" s="47"/>
      <c r="AF20" s="47"/>
      <c r="AG20" s="47"/>
      <c r="AH20" s="23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9"/>
    </row>
    <row r="21">
      <c r="A21" s="47"/>
      <c r="B21" s="47"/>
      <c r="C21" s="47"/>
      <c r="D21" s="47"/>
      <c r="E21" s="11"/>
      <c r="F21" s="11"/>
      <c r="G21" s="11"/>
      <c r="H21" s="44"/>
      <c r="I21" s="47"/>
      <c r="J21" s="47"/>
      <c r="K21" s="47"/>
      <c r="L21" s="47"/>
      <c r="M21" s="23"/>
      <c r="N21" s="47"/>
      <c r="O21" s="47"/>
      <c r="P21" s="47"/>
      <c r="Q21" s="47"/>
      <c r="R21" s="47"/>
      <c r="S21" s="47"/>
      <c r="T21" s="23"/>
      <c r="U21" s="47"/>
      <c r="V21" s="47"/>
      <c r="W21" s="47"/>
      <c r="X21" s="47"/>
      <c r="Y21" s="47"/>
      <c r="Z21" s="47"/>
      <c r="AA21" s="23"/>
      <c r="AB21" s="47"/>
      <c r="AC21" s="47"/>
      <c r="AD21" s="47"/>
      <c r="AE21" s="47"/>
      <c r="AF21" s="47"/>
      <c r="AG21" s="47"/>
      <c r="AH21" s="23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9"/>
    </row>
    <row r="22">
      <c r="A22" s="47"/>
      <c r="B22" s="47"/>
      <c r="C22" s="47"/>
      <c r="D22" s="47"/>
      <c r="E22" s="11"/>
      <c r="F22" s="11"/>
      <c r="G22" s="11"/>
      <c r="H22" s="44"/>
      <c r="I22" s="47"/>
      <c r="J22" s="47"/>
      <c r="K22" s="47"/>
      <c r="L22" s="47"/>
      <c r="M22" s="23"/>
      <c r="N22" s="47"/>
      <c r="O22" s="47"/>
      <c r="P22" s="47"/>
      <c r="Q22" s="47"/>
      <c r="R22" s="47"/>
      <c r="S22" s="47"/>
      <c r="T22" s="23"/>
      <c r="U22" s="47"/>
      <c r="V22" s="47"/>
      <c r="W22" s="47"/>
      <c r="X22" s="47"/>
      <c r="Y22" s="47"/>
      <c r="Z22" s="47"/>
      <c r="AA22" s="23"/>
      <c r="AB22" s="47"/>
      <c r="AC22" s="47"/>
      <c r="AD22" s="47"/>
      <c r="AE22" s="47"/>
      <c r="AF22" s="47"/>
      <c r="AG22" s="47"/>
      <c r="AH22" s="23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9"/>
    </row>
    <row r="23">
      <c r="A23" s="47"/>
      <c r="B23" s="47"/>
      <c r="C23" s="47"/>
      <c r="D23" s="47"/>
      <c r="E23" s="11"/>
      <c r="F23" s="11"/>
      <c r="G23" s="11"/>
      <c r="H23" s="44"/>
      <c r="I23" s="47"/>
      <c r="J23" s="47"/>
      <c r="K23" s="47"/>
      <c r="L23" s="47"/>
      <c r="M23" s="23"/>
      <c r="N23" s="47"/>
      <c r="O23" s="47"/>
      <c r="P23" s="47"/>
      <c r="Q23" s="47"/>
      <c r="R23" s="47"/>
      <c r="S23" s="47"/>
      <c r="T23" s="23"/>
      <c r="U23" s="47"/>
      <c r="V23" s="47"/>
      <c r="W23" s="47"/>
      <c r="X23" s="47"/>
      <c r="Y23" s="47"/>
      <c r="Z23" s="47"/>
      <c r="AA23" s="23"/>
      <c r="AB23" s="47"/>
      <c r="AC23" s="47"/>
      <c r="AD23" s="47"/>
      <c r="AE23" s="47"/>
      <c r="AF23" s="47"/>
      <c r="AG23" s="47"/>
      <c r="AH23" s="23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9"/>
    </row>
    <row r="24">
      <c r="A24" s="47"/>
      <c r="B24" s="47"/>
      <c r="C24" s="47"/>
      <c r="D24" s="47"/>
      <c r="E24" s="11"/>
      <c r="F24" s="11"/>
      <c r="G24" s="11"/>
      <c r="H24" s="44"/>
      <c r="I24" s="47"/>
      <c r="J24" s="47"/>
      <c r="K24" s="47"/>
      <c r="L24" s="47"/>
      <c r="M24" s="23"/>
      <c r="N24" s="47"/>
      <c r="O24" s="47"/>
      <c r="P24" s="47"/>
      <c r="Q24" s="47"/>
      <c r="R24" s="47"/>
      <c r="S24" s="47"/>
      <c r="T24" s="23"/>
      <c r="U24" s="47"/>
      <c r="V24" s="47"/>
      <c r="W24" s="47"/>
      <c r="X24" s="47"/>
      <c r="Y24" s="47"/>
      <c r="Z24" s="47"/>
      <c r="AA24" s="23"/>
      <c r="AB24" s="47"/>
      <c r="AC24" s="47"/>
      <c r="AD24" s="47"/>
      <c r="AE24" s="47"/>
      <c r="AF24" s="47"/>
      <c r="AG24" s="47"/>
      <c r="AH24" s="23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9"/>
    </row>
    <row r="25">
      <c r="A25" s="47"/>
      <c r="B25" s="47"/>
      <c r="C25" s="47"/>
      <c r="D25" s="47"/>
      <c r="E25" s="11"/>
      <c r="F25" s="11"/>
      <c r="G25" s="11"/>
      <c r="H25" s="44"/>
      <c r="I25" s="47"/>
      <c r="J25" s="47"/>
      <c r="K25" s="47"/>
      <c r="L25" s="47"/>
      <c r="M25" s="23"/>
      <c r="N25" s="47"/>
      <c r="O25" s="47"/>
      <c r="P25" s="47"/>
      <c r="Q25" s="47"/>
      <c r="R25" s="47"/>
      <c r="S25" s="47"/>
      <c r="T25" s="23"/>
      <c r="U25" s="47"/>
      <c r="V25" s="47"/>
      <c r="W25" s="47"/>
      <c r="X25" s="47"/>
      <c r="Y25" s="47"/>
      <c r="Z25" s="47"/>
      <c r="AA25" s="23"/>
      <c r="AB25" s="47"/>
      <c r="AC25" s="47"/>
      <c r="AD25" s="47"/>
      <c r="AE25" s="47"/>
      <c r="AF25" s="47"/>
      <c r="AG25" s="47"/>
      <c r="AH25" s="23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9"/>
    </row>
    <row r="26">
      <c r="A26" s="47"/>
      <c r="B26" s="47"/>
      <c r="C26" s="47"/>
      <c r="D26" s="47"/>
      <c r="E26" s="11"/>
      <c r="F26" s="11"/>
      <c r="G26" s="11"/>
      <c r="H26" s="44"/>
      <c r="I26" s="47"/>
      <c r="J26" s="47"/>
      <c r="K26" s="47"/>
      <c r="L26" s="47"/>
      <c r="M26" s="23"/>
      <c r="N26" s="47"/>
      <c r="O26" s="47"/>
      <c r="P26" s="47"/>
      <c r="Q26" s="47"/>
      <c r="R26" s="47"/>
      <c r="S26" s="47"/>
      <c r="T26" s="23"/>
      <c r="U26" s="47"/>
      <c r="V26" s="47"/>
      <c r="W26" s="47"/>
      <c r="X26" s="47"/>
      <c r="Y26" s="47"/>
      <c r="Z26" s="47"/>
      <c r="AA26" s="23"/>
      <c r="AB26" s="47"/>
      <c r="AC26" s="47"/>
      <c r="AD26" s="47"/>
      <c r="AE26" s="47"/>
      <c r="AF26" s="47"/>
      <c r="AG26" s="47"/>
      <c r="AH26" s="23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9"/>
    </row>
    <row r="27">
      <c r="A27" s="47"/>
      <c r="B27" s="47"/>
      <c r="C27" s="47"/>
      <c r="D27" s="47"/>
      <c r="E27" s="11"/>
      <c r="F27" s="11"/>
      <c r="G27" s="11"/>
      <c r="H27" s="44"/>
      <c r="I27" s="47"/>
      <c r="J27" s="47"/>
      <c r="K27" s="47"/>
      <c r="L27" s="47"/>
      <c r="M27" s="23"/>
      <c r="N27" s="47"/>
      <c r="O27" s="47"/>
      <c r="P27" s="47"/>
      <c r="Q27" s="47"/>
      <c r="R27" s="47"/>
      <c r="S27" s="47"/>
      <c r="T27" s="23"/>
      <c r="U27" s="47"/>
      <c r="V27" s="47"/>
      <c r="W27" s="47"/>
      <c r="X27" s="47"/>
      <c r="Y27" s="47"/>
      <c r="Z27" s="47"/>
      <c r="AA27" s="23"/>
      <c r="AB27" s="47"/>
      <c r="AC27" s="47"/>
      <c r="AD27" s="47"/>
      <c r="AE27" s="47"/>
      <c r="AF27" s="47"/>
      <c r="AG27" s="47"/>
      <c r="AH27" s="23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9"/>
    </row>
    <row r="28">
      <c r="A28" s="47"/>
      <c r="B28" s="47"/>
      <c r="C28" s="47"/>
      <c r="D28" s="47"/>
      <c r="E28" s="11"/>
      <c r="F28" s="11"/>
      <c r="G28" s="11"/>
      <c r="H28" s="44"/>
      <c r="I28" s="47"/>
      <c r="J28" s="47"/>
      <c r="K28" s="47"/>
      <c r="L28" s="47"/>
      <c r="M28" s="23"/>
      <c r="N28" s="47"/>
      <c r="O28" s="47"/>
      <c r="P28" s="47"/>
      <c r="Q28" s="47"/>
      <c r="R28" s="47"/>
      <c r="S28" s="47"/>
      <c r="T28" s="23"/>
      <c r="U28" s="47"/>
      <c r="V28" s="47"/>
      <c r="W28" s="47"/>
      <c r="X28" s="47"/>
      <c r="Y28" s="47"/>
      <c r="Z28" s="47"/>
      <c r="AA28" s="23"/>
      <c r="AB28" s="47"/>
      <c r="AC28" s="47"/>
      <c r="AD28" s="47"/>
      <c r="AE28" s="47"/>
      <c r="AF28" s="47"/>
      <c r="AG28" s="47"/>
      <c r="AH28" s="23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9"/>
    </row>
    <row r="29">
      <c r="A29" s="47"/>
      <c r="B29" s="47"/>
      <c r="C29" s="47"/>
      <c r="D29" s="47"/>
      <c r="E29" s="11"/>
      <c r="F29" s="11"/>
      <c r="G29" s="11"/>
      <c r="H29" s="44"/>
      <c r="I29" s="47"/>
      <c r="J29" s="47"/>
      <c r="K29" s="47"/>
      <c r="L29" s="47"/>
      <c r="M29" s="23"/>
      <c r="N29" s="47"/>
      <c r="O29" s="47"/>
      <c r="P29" s="47"/>
      <c r="Q29" s="47"/>
      <c r="R29" s="47"/>
      <c r="S29" s="47"/>
      <c r="T29" s="23"/>
      <c r="U29" s="47"/>
      <c r="V29" s="47"/>
      <c r="W29" s="47"/>
      <c r="X29" s="47"/>
      <c r="Y29" s="47"/>
      <c r="Z29" s="47"/>
      <c r="AA29" s="23"/>
      <c r="AB29" s="47"/>
      <c r="AC29" s="47"/>
      <c r="AD29" s="47"/>
      <c r="AE29" s="47"/>
      <c r="AF29" s="47"/>
      <c r="AG29" s="47"/>
      <c r="AH29" s="23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9"/>
    </row>
    <row r="30">
      <c r="A30" s="47"/>
      <c r="B30" s="47"/>
      <c r="C30" s="47"/>
      <c r="D30" s="47"/>
      <c r="E30" s="11"/>
      <c r="F30" s="11"/>
      <c r="G30" s="11"/>
      <c r="H30" s="44"/>
      <c r="I30" s="47"/>
      <c r="J30" s="47"/>
      <c r="K30" s="47"/>
      <c r="L30" s="47"/>
      <c r="M30" s="23"/>
      <c r="N30" s="47"/>
      <c r="O30" s="47"/>
      <c r="P30" s="47"/>
      <c r="Q30" s="47"/>
      <c r="R30" s="47"/>
      <c r="S30" s="47"/>
      <c r="T30" s="23"/>
      <c r="U30" s="47"/>
      <c r="V30" s="47"/>
      <c r="W30" s="47"/>
      <c r="X30" s="47"/>
      <c r="Y30" s="47"/>
      <c r="Z30" s="47"/>
      <c r="AA30" s="23"/>
      <c r="AB30" s="47"/>
      <c r="AC30" s="47"/>
      <c r="AD30" s="47"/>
      <c r="AE30" s="47"/>
      <c r="AF30" s="47"/>
      <c r="AG30" s="47"/>
      <c r="AH30" s="23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9"/>
    </row>
    <row r="31">
      <c r="A31" s="47"/>
      <c r="B31" s="47"/>
      <c r="C31" s="47"/>
      <c r="D31" s="47"/>
      <c r="E31" s="11"/>
      <c r="F31" s="11"/>
      <c r="G31" s="11"/>
      <c r="H31" s="44"/>
      <c r="I31" s="47"/>
      <c r="J31" s="47"/>
      <c r="K31" s="47"/>
      <c r="L31" s="47"/>
      <c r="M31" s="23"/>
      <c r="N31" s="47"/>
      <c r="O31" s="47"/>
      <c r="P31" s="47"/>
      <c r="Q31" s="47"/>
      <c r="R31" s="47"/>
      <c r="S31" s="47"/>
      <c r="T31" s="23"/>
      <c r="U31" s="47"/>
      <c r="V31" s="47"/>
      <c r="W31" s="47"/>
      <c r="X31" s="47"/>
      <c r="Y31" s="47"/>
      <c r="Z31" s="47"/>
      <c r="AA31" s="23"/>
      <c r="AB31" s="47"/>
      <c r="AC31" s="47"/>
      <c r="AD31" s="47"/>
      <c r="AE31" s="47"/>
      <c r="AF31" s="47"/>
      <c r="AG31" s="47"/>
      <c r="AH31" s="23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9"/>
    </row>
    <row r="32">
      <c r="A32" s="47"/>
      <c r="B32" s="47"/>
      <c r="C32" s="47"/>
      <c r="D32" s="47"/>
      <c r="E32" s="11"/>
      <c r="F32" s="11"/>
      <c r="G32" s="11"/>
      <c r="H32" s="44"/>
      <c r="I32" s="47"/>
      <c r="J32" s="47"/>
      <c r="K32" s="47"/>
      <c r="L32" s="47"/>
      <c r="M32" s="23"/>
      <c r="N32" s="47"/>
      <c r="O32" s="47"/>
      <c r="P32" s="47"/>
      <c r="Q32" s="47"/>
      <c r="R32" s="47"/>
      <c r="S32" s="47"/>
      <c r="T32" s="23"/>
      <c r="U32" s="47"/>
      <c r="V32" s="47"/>
      <c r="W32" s="47"/>
      <c r="X32" s="47"/>
      <c r="Y32" s="47"/>
      <c r="Z32" s="47"/>
      <c r="AA32" s="23"/>
      <c r="AB32" s="47"/>
      <c r="AC32" s="47"/>
      <c r="AD32" s="47"/>
      <c r="AE32" s="47"/>
      <c r="AF32" s="47"/>
      <c r="AG32" s="47"/>
      <c r="AH32" s="23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9"/>
    </row>
    <row r="33">
      <c r="A33" s="47"/>
      <c r="B33" s="47"/>
      <c r="C33" s="47"/>
      <c r="D33" s="47"/>
      <c r="E33" s="11"/>
      <c r="F33" s="11"/>
      <c r="G33" s="11"/>
      <c r="H33" s="44"/>
      <c r="I33" s="47"/>
      <c r="J33" s="47"/>
      <c r="K33" s="47"/>
      <c r="L33" s="47"/>
      <c r="M33" s="23"/>
      <c r="N33" s="47"/>
      <c r="O33" s="47"/>
      <c r="P33" s="47"/>
      <c r="Q33" s="47"/>
      <c r="R33" s="47"/>
      <c r="S33" s="47"/>
      <c r="T33" s="23"/>
      <c r="U33" s="47"/>
      <c r="V33" s="47"/>
      <c r="W33" s="47"/>
      <c r="X33" s="47"/>
      <c r="Y33" s="47"/>
      <c r="Z33" s="47"/>
      <c r="AA33" s="23"/>
      <c r="AB33" s="47"/>
      <c r="AC33" s="47"/>
      <c r="AD33" s="47"/>
      <c r="AE33" s="47"/>
      <c r="AF33" s="47"/>
      <c r="AG33" s="47"/>
      <c r="AH33" s="23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9"/>
    </row>
    <row r="34">
      <c r="A34" s="47"/>
      <c r="B34" s="47"/>
      <c r="C34" s="47"/>
      <c r="D34" s="47"/>
      <c r="E34" s="11"/>
      <c r="F34" s="11"/>
      <c r="G34" s="11"/>
      <c r="H34" s="44"/>
      <c r="I34" s="47"/>
      <c r="J34" s="47"/>
      <c r="K34" s="47"/>
      <c r="L34" s="47"/>
      <c r="M34" s="23"/>
      <c r="N34" s="47"/>
      <c r="O34" s="47"/>
      <c r="P34" s="47"/>
      <c r="Q34" s="47"/>
      <c r="R34" s="47"/>
      <c r="S34" s="47"/>
      <c r="T34" s="23"/>
      <c r="U34" s="47"/>
      <c r="V34" s="47"/>
      <c r="W34" s="47"/>
      <c r="X34" s="47"/>
      <c r="Y34" s="47"/>
      <c r="Z34" s="47"/>
      <c r="AA34" s="23"/>
      <c r="AB34" s="47"/>
      <c r="AC34" s="47"/>
      <c r="AD34" s="47"/>
      <c r="AE34" s="47"/>
      <c r="AF34" s="47"/>
      <c r="AG34" s="47"/>
      <c r="AH34" s="23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9"/>
    </row>
    <row r="35">
      <c r="A35" s="47"/>
      <c r="B35" s="47"/>
      <c r="C35" s="47"/>
      <c r="D35" s="47"/>
      <c r="E35" s="11"/>
      <c r="F35" s="11"/>
      <c r="G35" s="11"/>
      <c r="H35" s="44"/>
      <c r="I35" s="47"/>
      <c r="J35" s="47"/>
      <c r="K35" s="47"/>
      <c r="L35" s="47"/>
      <c r="M35" s="23"/>
      <c r="N35" s="47"/>
      <c r="O35" s="47"/>
      <c r="P35" s="47"/>
      <c r="Q35" s="47"/>
      <c r="R35" s="47"/>
      <c r="S35" s="47"/>
      <c r="T35" s="23"/>
      <c r="U35" s="47"/>
      <c r="V35" s="47"/>
      <c r="W35" s="47"/>
      <c r="X35" s="47"/>
      <c r="Y35" s="47"/>
      <c r="Z35" s="47"/>
      <c r="AA35" s="23"/>
      <c r="AB35" s="47"/>
      <c r="AC35" s="47"/>
      <c r="AD35" s="47"/>
      <c r="AE35" s="47"/>
      <c r="AF35" s="47"/>
      <c r="AG35" s="47"/>
      <c r="AH35" s="23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9"/>
    </row>
    <row r="36">
      <c r="A36" s="47"/>
      <c r="B36" s="47"/>
      <c r="C36" s="47"/>
      <c r="D36" s="47"/>
      <c r="E36" s="11"/>
      <c r="F36" s="11"/>
      <c r="G36" s="11"/>
      <c r="H36" s="44"/>
      <c r="I36" s="47"/>
      <c r="J36" s="47"/>
      <c r="K36" s="47"/>
      <c r="L36" s="47"/>
      <c r="M36" s="23"/>
      <c r="N36" s="47"/>
      <c r="O36" s="47"/>
      <c r="P36" s="47"/>
      <c r="Q36" s="47"/>
      <c r="R36" s="47"/>
      <c r="S36" s="47"/>
      <c r="T36" s="23"/>
      <c r="U36" s="47"/>
      <c r="V36" s="47"/>
      <c r="W36" s="47"/>
      <c r="X36" s="47"/>
      <c r="Y36" s="47"/>
      <c r="Z36" s="47"/>
      <c r="AA36" s="23"/>
      <c r="AB36" s="47"/>
      <c r="AC36" s="47"/>
      <c r="AD36" s="47"/>
      <c r="AE36" s="47"/>
      <c r="AF36" s="47"/>
      <c r="AG36" s="47"/>
      <c r="AH36" s="23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9"/>
    </row>
    <row r="37">
      <c r="A37" s="47"/>
      <c r="B37" s="47"/>
      <c r="C37" s="47"/>
      <c r="D37" s="47"/>
      <c r="E37" s="11"/>
      <c r="F37" s="11"/>
      <c r="G37" s="11"/>
      <c r="H37" s="44"/>
      <c r="I37" s="47"/>
      <c r="J37" s="47"/>
      <c r="K37" s="47"/>
      <c r="L37" s="47"/>
      <c r="M37" s="23"/>
      <c r="N37" s="47"/>
      <c r="O37" s="47"/>
      <c r="P37" s="47"/>
      <c r="Q37" s="47"/>
      <c r="R37" s="47"/>
      <c r="S37" s="47"/>
      <c r="T37" s="23"/>
      <c r="U37" s="47"/>
      <c r="V37" s="47"/>
      <c r="W37" s="47"/>
      <c r="X37" s="47"/>
      <c r="Y37" s="47"/>
      <c r="Z37" s="47"/>
      <c r="AA37" s="23"/>
      <c r="AB37" s="47"/>
      <c r="AC37" s="47"/>
      <c r="AD37" s="47"/>
      <c r="AE37" s="47"/>
      <c r="AF37" s="47"/>
      <c r="AG37" s="47"/>
      <c r="AH37" s="23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9"/>
    </row>
    <row r="38">
      <c r="A38" s="47"/>
      <c r="B38" s="47"/>
      <c r="C38" s="47"/>
      <c r="D38" s="47"/>
      <c r="E38" s="11"/>
      <c r="F38" s="11"/>
      <c r="G38" s="11"/>
      <c r="H38" s="44"/>
      <c r="I38" s="47"/>
      <c r="J38" s="47"/>
      <c r="K38" s="47"/>
      <c r="L38" s="47"/>
      <c r="M38" s="23"/>
      <c r="N38" s="47"/>
      <c r="O38" s="47"/>
      <c r="P38" s="47"/>
      <c r="Q38" s="47"/>
      <c r="R38" s="47"/>
      <c r="S38" s="47"/>
      <c r="T38" s="23"/>
      <c r="U38" s="47"/>
      <c r="V38" s="47"/>
      <c r="W38" s="47"/>
      <c r="X38" s="47"/>
      <c r="Y38" s="47"/>
      <c r="Z38" s="47"/>
      <c r="AA38" s="23"/>
      <c r="AB38" s="47"/>
      <c r="AC38" s="47"/>
      <c r="AD38" s="47"/>
      <c r="AE38" s="47"/>
      <c r="AF38" s="47"/>
      <c r="AG38" s="47"/>
      <c r="AH38" s="23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9"/>
    </row>
    <row r="39">
      <c r="A39" s="47"/>
      <c r="B39" s="47"/>
      <c r="C39" s="47"/>
      <c r="D39" s="47"/>
      <c r="E39" s="11"/>
      <c r="F39" s="11"/>
      <c r="G39" s="11"/>
      <c r="H39" s="44"/>
      <c r="I39" s="47"/>
      <c r="J39" s="47"/>
      <c r="K39" s="47"/>
      <c r="L39" s="47"/>
      <c r="M39" s="23"/>
      <c r="N39" s="47"/>
      <c r="O39" s="47"/>
      <c r="P39" s="47"/>
      <c r="Q39" s="47"/>
      <c r="R39" s="47"/>
      <c r="S39" s="47"/>
      <c r="T39" s="23"/>
      <c r="U39" s="47"/>
      <c r="V39" s="47"/>
      <c r="W39" s="47"/>
      <c r="X39" s="47"/>
      <c r="Y39" s="47"/>
      <c r="Z39" s="47"/>
      <c r="AA39" s="23"/>
      <c r="AB39" s="47"/>
      <c r="AC39" s="47"/>
      <c r="AD39" s="47"/>
      <c r="AE39" s="47"/>
      <c r="AF39" s="47"/>
      <c r="AG39" s="47"/>
      <c r="AH39" s="23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9"/>
    </row>
    <row r="40">
      <c r="A40" s="47"/>
      <c r="B40" s="47"/>
      <c r="C40" s="47"/>
      <c r="D40" s="47"/>
      <c r="E40" s="11"/>
      <c r="F40" s="11"/>
      <c r="G40" s="11"/>
      <c r="H40" s="44"/>
      <c r="I40" s="47"/>
      <c r="J40" s="47"/>
      <c r="K40" s="47"/>
      <c r="L40" s="47"/>
      <c r="M40" s="23"/>
      <c r="N40" s="47"/>
      <c r="O40" s="47"/>
      <c r="P40" s="47"/>
      <c r="Q40" s="47"/>
      <c r="R40" s="47"/>
      <c r="S40" s="47"/>
      <c r="T40" s="23"/>
      <c r="U40" s="47"/>
      <c r="V40" s="47"/>
      <c r="W40" s="47"/>
      <c r="X40" s="47"/>
      <c r="Y40" s="47"/>
      <c r="Z40" s="47"/>
      <c r="AA40" s="23"/>
      <c r="AB40" s="47"/>
      <c r="AC40" s="47"/>
      <c r="AD40" s="47"/>
      <c r="AE40" s="47"/>
      <c r="AF40" s="47"/>
      <c r="AG40" s="47"/>
      <c r="AH40" s="23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9"/>
    </row>
    <row r="41">
      <c r="A41" s="47"/>
      <c r="B41" s="47"/>
      <c r="C41" s="47"/>
      <c r="D41" s="47"/>
      <c r="E41" s="11"/>
      <c r="F41" s="11"/>
      <c r="G41" s="11"/>
      <c r="H41" s="44"/>
      <c r="I41" s="47"/>
      <c r="J41" s="47"/>
      <c r="K41" s="47"/>
      <c r="L41" s="47"/>
      <c r="M41" s="23"/>
      <c r="N41" s="47"/>
      <c r="O41" s="47"/>
      <c r="P41" s="47"/>
      <c r="Q41" s="47"/>
      <c r="R41" s="47"/>
      <c r="S41" s="47"/>
      <c r="T41" s="23"/>
      <c r="U41" s="47"/>
      <c r="V41" s="47"/>
      <c r="W41" s="47"/>
      <c r="X41" s="47"/>
      <c r="Y41" s="47"/>
      <c r="Z41" s="47"/>
      <c r="AA41" s="23"/>
      <c r="AB41" s="47"/>
      <c r="AC41" s="47"/>
      <c r="AD41" s="47"/>
      <c r="AE41" s="47"/>
      <c r="AF41" s="47"/>
      <c r="AG41" s="47"/>
      <c r="AH41" s="23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9"/>
    </row>
    <row r="42">
      <c r="A42" s="47"/>
      <c r="B42" s="47"/>
      <c r="C42" s="47"/>
      <c r="D42" s="47"/>
      <c r="E42" s="11"/>
      <c r="F42" s="11"/>
      <c r="G42" s="11"/>
      <c r="H42" s="44"/>
      <c r="I42" s="47"/>
      <c r="J42" s="47"/>
      <c r="K42" s="47"/>
      <c r="L42" s="47"/>
      <c r="M42" s="23"/>
      <c r="N42" s="47"/>
      <c r="O42" s="47"/>
      <c r="P42" s="47"/>
      <c r="Q42" s="47"/>
      <c r="R42" s="47"/>
      <c r="S42" s="47"/>
      <c r="T42" s="23"/>
      <c r="U42" s="47"/>
      <c r="V42" s="47"/>
      <c r="W42" s="47"/>
      <c r="X42" s="47"/>
      <c r="Y42" s="47"/>
      <c r="Z42" s="47"/>
      <c r="AA42" s="23"/>
      <c r="AB42" s="47"/>
      <c r="AC42" s="47"/>
      <c r="AD42" s="47"/>
      <c r="AE42" s="47"/>
      <c r="AF42" s="47"/>
      <c r="AG42" s="47"/>
      <c r="AH42" s="23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9"/>
    </row>
    <row r="43">
      <c r="A43" s="47"/>
      <c r="B43" s="47"/>
      <c r="C43" s="47"/>
      <c r="D43" s="47"/>
      <c r="E43" s="11"/>
      <c r="F43" s="11"/>
      <c r="G43" s="11"/>
      <c r="H43" s="44"/>
      <c r="I43" s="47"/>
      <c r="J43" s="47"/>
      <c r="K43" s="47"/>
      <c r="L43" s="47"/>
      <c r="M43" s="23"/>
      <c r="N43" s="47"/>
      <c r="O43" s="47"/>
      <c r="P43" s="47"/>
      <c r="Q43" s="47"/>
      <c r="R43" s="47"/>
      <c r="S43" s="47"/>
      <c r="T43" s="23"/>
      <c r="U43" s="47"/>
      <c r="V43" s="47"/>
      <c r="W43" s="47"/>
      <c r="X43" s="47"/>
      <c r="Y43" s="47"/>
      <c r="Z43" s="47"/>
      <c r="AA43" s="23"/>
      <c r="AB43" s="47"/>
      <c r="AC43" s="47"/>
      <c r="AD43" s="47"/>
      <c r="AE43" s="47"/>
      <c r="AF43" s="47"/>
      <c r="AG43" s="47"/>
      <c r="AH43" s="23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9"/>
    </row>
    <row r="44">
      <c r="A44" s="47"/>
      <c r="B44" s="47"/>
      <c r="C44" s="47"/>
      <c r="D44" s="47"/>
      <c r="E44" s="11"/>
      <c r="F44" s="11"/>
      <c r="G44" s="11"/>
      <c r="H44" s="44"/>
      <c r="I44" s="47"/>
      <c r="J44" s="47"/>
      <c r="K44" s="47"/>
      <c r="L44" s="47"/>
      <c r="M44" s="23"/>
      <c r="N44" s="47"/>
      <c r="O44" s="47"/>
      <c r="P44" s="47"/>
      <c r="Q44" s="47"/>
      <c r="R44" s="47"/>
      <c r="S44" s="47"/>
      <c r="T44" s="23"/>
      <c r="U44" s="47"/>
      <c r="V44" s="47"/>
      <c r="W44" s="47"/>
      <c r="X44" s="47"/>
      <c r="Y44" s="47"/>
      <c r="Z44" s="47"/>
      <c r="AA44" s="23"/>
      <c r="AB44" s="47"/>
      <c r="AC44" s="47"/>
      <c r="AD44" s="47"/>
      <c r="AE44" s="47"/>
      <c r="AF44" s="47"/>
      <c r="AG44" s="47"/>
      <c r="AH44" s="23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9"/>
    </row>
    <row r="45">
      <c r="A45" s="47"/>
      <c r="B45" s="47"/>
      <c r="C45" s="47"/>
      <c r="D45" s="47"/>
      <c r="E45" s="11"/>
      <c r="F45" s="11"/>
      <c r="G45" s="11"/>
      <c r="H45" s="44"/>
      <c r="I45" s="47"/>
      <c r="J45" s="47"/>
      <c r="K45" s="47"/>
      <c r="L45" s="47"/>
      <c r="M45" s="23"/>
      <c r="N45" s="47"/>
      <c r="O45" s="47"/>
      <c r="P45" s="47"/>
      <c r="Q45" s="47"/>
      <c r="R45" s="47"/>
      <c r="S45" s="47"/>
      <c r="T45" s="23"/>
      <c r="U45" s="47"/>
      <c r="V45" s="47"/>
      <c r="W45" s="47"/>
      <c r="X45" s="47"/>
      <c r="Y45" s="47"/>
      <c r="Z45" s="47"/>
      <c r="AA45" s="23"/>
      <c r="AB45" s="47"/>
      <c r="AC45" s="47"/>
      <c r="AD45" s="47"/>
      <c r="AE45" s="47"/>
      <c r="AF45" s="47"/>
      <c r="AG45" s="47"/>
      <c r="AH45" s="23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9"/>
    </row>
    <row r="46">
      <c r="A46" s="47"/>
      <c r="B46" s="47"/>
      <c r="C46" s="47"/>
      <c r="D46" s="47"/>
      <c r="E46" s="11"/>
      <c r="F46" s="11"/>
      <c r="G46" s="11"/>
      <c r="H46" s="44"/>
      <c r="I46" s="47"/>
      <c r="J46" s="47"/>
      <c r="K46" s="47"/>
      <c r="L46" s="47"/>
      <c r="M46" s="36"/>
      <c r="N46" s="47"/>
      <c r="O46" s="47"/>
      <c r="P46" s="47"/>
      <c r="Q46" s="47"/>
      <c r="R46" s="47"/>
      <c r="S46" s="47"/>
      <c r="T46" s="36"/>
      <c r="U46" s="47"/>
      <c r="V46" s="47"/>
      <c r="W46" s="47"/>
      <c r="X46" s="47"/>
      <c r="Y46" s="47"/>
      <c r="Z46" s="47"/>
      <c r="AA46" s="36"/>
      <c r="AB46" s="47"/>
      <c r="AC46" s="47"/>
      <c r="AD46" s="47"/>
      <c r="AE46" s="47"/>
      <c r="AF46" s="47"/>
      <c r="AG46" s="47"/>
      <c r="AH46" s="36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9"/>
    </row>
    <row r="47">
      <c r="A47" s="30"/>
      <c r="B47" s="30"/>
      <c r="C47" s="30"/>
      <c r="D47" s="30"/>
      <c r="E47" s="11"/>
      <c r="F47" s="11"/>
      <c r="G47" s="11"/>
      <c r="H47" s="55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</row>
    <row r="48">
      <c r="A48" s="30"/>
      <c r="B48" s="30"/>
      <c r="C48" s="30"/>
      <c r="D48" s="30"/>
      <c r="E48" s="11"/>
      <c r="F48" s="11"/>
      <c r="G48" s="11"/>
      <c r="H48" s="55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</row>
    <row r="49">
      <c r="A49" s="30"/>
      <c r="B49" s="30"/>
      <c r="C49" s="30"/>
      <c r="D49" s="30"/>
      <c r="E49" s="11"/>
      <c r="F49" s="11"/>
      <c r="G49" s="11"/>
      <c r="H49" s="55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</row>
    <row r="50">
      <c r="A50" s="30"/>
      <c r="B50" s="30"/>
      <c r="C50" s="30"/>
      <c r="D50" s="30"/>
      <c r="E50" s="11"/>
      <c r="F50" s="11"/>
      <c r="G50" s="11"/>
      <c r="H50" s="55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</row>
    <row r="51">
      <c r="A51" s="30"/>
      <c r="B51" s="30"/>
      <c r="C51" s="30"/>
      <c r="D51" s="30"/>
      <c r="E51" s="11"/>
      <c r="F51" s="11"/>
      <c r="G51" s="11"/>
      <c r="H51" s="55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</row>
    <row r="52">
      <c r="A52" s="30"/>
      <c r="B52" s="30"/>
      <c r="C52" s="30"/>
      <c r="D52" s="30"/>
      <c r="E52" s="11"/>
      <c r="F52" s="11"/>
      <c r="G52" s="11"/>
      <c r="H52" s="55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</row>
    <row r="53">
      <c r="A53" s="30"/>
      <c r="B53" s="30"/>
      <c r="C53" s="30"/>
      <c r="D53" s="30"/>
      <c r="E53" s="11"/>
      <c r="F53" s="11"/>
      <c r="G53" s="11"/>
      <c r="H53" s="55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</row>
    <row r="54">
      <c r="A54" s="30"/>
      <c r="B54" s="30"/>
      <c r="C54" s="30"/>
      <c r="D54" s="30"/>
      <c r="E54" s="11"/>
      <c r="F54" s="11"/>
      <c r="G54" s="11"/>
      <c r="H54" s="55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</row>
    <row r="55">
      <c r="A55" s="30"/>
      <c r="B55" s="30"/>
      <c r="C55" s="30"/>
      <c r="D55" s="30"/>
      <c r="E55" s="11"/>
      <c r="F55" s="11"/>
      <c r="G55" s="11"/>
      <c r="H55" s="55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</row>
    <row r="56">
      <c r="A56" s="30"/>
      <c r="B56" s="30"/>
      <c r="C56" s="30"/>
      <c r="D56" s="30"/>
      <c r="E56" s="11"/>
      <c r="F56" s="11"/>
      <c r="G56" s="11"/>
      <c r="H56" s="55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</row>
    <row r="57">
      <c r="A57" s="30"/>
      <c r="B57" s="30"/>
      <c r="C57" s="30"/>
      <c r="D57" s="30"/>
      <c r="E57" s="11"/>
      <c r="F57" s="11"/>
      <c r="G57" s="11"/>
      <c r="H57" s="55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</row>
    <row r="58">
      <c r="A58" s="30"/>
      <c r="B58" s="30"/>
      <c r="C58" s="30"/>
      <c r="D58" s="30"/>
      <c r="E58" s="11"/>
      <c r="F58" s="11"/>
      <c r="G58" s="11"/>
      <c r="H58" s="55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</row>
    <row r="59">
      <c r="A59" s="30"/>
      <c r="B59" s="30"/>
      <c r="C59" s="30"/>
      <c r="D59" s="30"/>
      <c r="E59" s="11"/>
      <c r="F59" s="11"/>
      <c r="G59" s="11"/>
      <c r="H59" s="55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</row>
    <row r="60">
      <c r="A60" s="30"/>
      <c r="B60" s="30"/>
      <c r="C60" s="30"/>
      <c r="D60" s="30"/>
      <c r="E60" s="11"/>
      <c r="F60" s="11"/>
      <c r="G60" s="11"/>
      <c r="H60" s="55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</row>
    <row r="61">
      <c r="A61" s="30"/>
      <c r="B61" s="30"/>
      <c r="C61" s="30"/>
      <c r="D61" s="30"/>
      <c r="E61" s="11"/>
      <c r="F61" s="11"/>
      <c r="G61" s="11"/>
      <c r="H61" s="55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</row>
    <row r="62">
      <c r="A62" s="30"/>
      <c r="B62" s="30"/>
      <c r="C62" s="30"/>
      <c r="D62" s="30"/>
      <c r="E62" s="11"/>
      <c r="F62" s="11"/>
      <c r="G62" s="11"/>
      <c r="H62" s="55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</row>
    <row r="63">
      <c r="A63" s="30"/>
      <c r="B63" s="30"/>
      <c r="C63" s="30"/>
      <c r="D63" s="30"/>
      <c r="E63" s="11"/>
      <c r="F63" s="11"/>
      <c r="G63" s="11"/>
      <c r="H63" s="55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</row>
    <row r="64">
      <c r="A64" s="30"/>
      <c r="B64" s="30"/>
      <c r="C64" s="30"/>
      <c r="D64" s="30"/>
      <c r="E64" s="11"/>
      <c r="F64" s="11"/>
      <c r="G64" s="11"/>
      <c r="H64" s="55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</row>
    <row r="65">
      <c r="A65" s="30"/>
      <c r="B65" s="30"/>
      <c r="C65" s="30"/>
      <c r="D65" s="30"/>
      <c r="E65" s="11"/>
      <c r="F65" s="11"/>
      <c r="G65" s="11"/>
      <c r="H65" s="55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</row>
    <row r="66">
      <c r="A66" s="30"/>
      <c r="B66" s="30"/>
      <c r="C66" s="30"/>
      <c r="D66" s="30"/>
      <c r="E66" s="11"/>
      <c r="F66" s="11"/>
      <c r="G66" s="11"/>
      <c r="H66" s="55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</row>
    <row r="67">
      <c r="A67" s="30"/>
      <c r="B67" s="30"/>
      <c r="C67" s="30"/>
      <c r="D67" s="30"/>
      <c r="E67" s="11"/>
      <c r="F67" s="11"/>
      <c r="G67" s="11"/>
      <c r="H67" s="55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</row>
    <row r="68">
      <c r="A68" s="30"/>
      <c r="B68" s="30"/>
      <c r="C68" s="30"/>
      <c r="D68" s="30"/>
      <c r="E68" s="11"/>
      <c r="F68" s="11"/>
      <c r="G68" s="11"/>
      <c r="H68" s="55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</row>
    <row r="69">
      <c r="A69" s="30"/>
      <c r="B69" s="30"/>
      <c r="C69" s="30"/>
      <c r="D69" s="30"/>
      <c r="E69" s="11"/>
      <c r="F69" s="11"/>
      <c r="G69" s="11"/>
      <c r="H69" s="55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</row>
    <row r="70">
      <c r="A70" s="30"/>
      <c r="B70" s="30"/>
      <c r="C70" s="30"/>
      <c r="D70" s="30"/>
      <c r="E70" s="11"/>
      <c r="F70" s="11"/>
      <c r="G70" s="11"/>
      <c r="H70" s="55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</row>
    <row r="71">
      <c r="A71" s="30"/>
      <c r="B71" s="30"/>
      <c r="C71" s="30"/>
      <c r="D71" s="30"/>
      <c r="E71" s="11"/>
      <c r="F71" s="11"/>
      <c r="G71" s="11"/>
      <c r="H71" s="55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</row>
    <row r="72">
      <c r="A72" s="30"/>
      <c r="B72" s="30"/>
      <c r="C72" s="30"/>
      <c r="D72" s="30"/>
      <c r="E72" s="11"/>
      <c r="F72" s="11"/>
      <c r="G72" s="11"/>
      <c r="H72" s="55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</row>
    <row r="73">
      <c r="A73" s="30"/>
      <c r="B73" s="30"/>
      <c r="C73" s="30"/>
      <c r="D73" s="30"/>
      <c r="E73" s="11"/>
      <c r="F73" s="11"/>
      <c r="G73" s="11"/>
      <c r="H73" s="55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</row>
    <row r="74">
      <c r="A74" s="30"/>
      <c r="B74" s="30"/>
      <c r="C74" s="30"/>
      <c r="D74" s="30"/>
      <c r="E74" s="11"/>
      <c r="F74" s="11"/>
      <c r="G74" s="11"/>
      <c r="H74" s="55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</row>
    <row r="75">
      <c r="A75" s="30"/>
      <c r="B75" s="30"/>
      <c r="C75" s="30"/>
      <c r="D75" s="30"/>
      <c r="E75" s="11"/>
      <c r="F75" s="11"/>
      <c r="G75" s="11"/>
      <c r="H75" s="55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</row>
    <row r="76">
      <c r="A76" s="30"/>
      <c r="B76" s="30"/>
      <c r="C76" s="30"/>
      <c r="D76" s="30"/>
      <c r="E76" s="11"/>
      <c r="F76" s="11"/>
      <c r="G76" s="11"/>
      <c r="H76" s="55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</row>
    <row r="77">
      <c r="A77" s="30"/>
      <c r="B77" s="30"/>
      <c r="C77" s="30"/>
      <c r="D77" s="30"/>
      <c r="E77" s="11"/>
      <c r="F77" s="11"/>
      <c r="G77" s="11"/>
      <c r="H77" s="55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</row>
    <row r="78">
      <c r="A78" s="30"/>
      <c r="B78" s="30"/>
      <c r="C78" s="30"/>
      <c r="D78" s="30"/>
      <c r="E78" s="11"/>
      <c r="F78" s="11"/>
      <c r="G78" s="11"/>
      <c r="H78" s="55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</row>
    <row r="79">
      <c r="A79" s="30"/>
      <c r="B79" s="30"/>
      <c r="C79" s="30"/>
      <c r="D79" s="30"/>
      <c r="E79" s="11"/>
      <c r="F79" s="11"/>
      <c r="G79" s="11"/>
      <c r="H79" s="55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</row>
    <row r="80">
      <c r="A80" s="30"/>
      <c r="B80" s="30"/>
      <c r="C80" s="30"/>
      <c r="D80" s="30"/>
      <c r="E80" s="11"/>
      <c r="F80" s="11"/>
      <c r="G80" s="11"/>
      <c r="H80" s="55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</row>
    <row r="81">
      <c r="A81" s="30"/>
      <c r="B81" s="30"/>
      <c r="C81" s="30"/>
      <c r="D81" s="30"/>
      <c r="E81" s="11"/>
      <c r="F81" s="11"/>
      <c r="G81" s="11"/>
      <c r="H81" s="55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</row>
    <row r="82">
      <c r="A82" s="30"/>
      <c r="B82" s="30"/>
      <c r="C82" s="30"/>
      <c r="D82" s="30"/>
      <c r="E82" s="11"/>
      <c r="F82" s="11"/>
      <c r="G82" s="11"/>
      <c r="H82" s="55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</row>
    <row r="83">
      <c r="A83" s="30"/>
      <c r="B83" s="30"/>
      <c r="C83" s="30"/>
      <c r="D83" s="30"/>
      <c r="E83" s="11"/>
      <c r="F83" s="11"/>
      <c r="G83" s="11"/>
      <c r="H83" s="55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</row>
    <row r="84">
      <c r="A84" s="30"/>
      <c r="B84" s="30"/>
      <c r="C84" s="30"/>
      <c r="D84" s="30"/>
      <c r="E84" s="11"/>
      <c r="F84" s="11"/>
      <c r="G84" s="11"/>
      <c r="H84" s="55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</row>
    <row r="85">
      <c r="A85" s="30"/>
      <c r="B85" s="30"/>
      <c r="C85" s="30"/>
      <c r="D85" s="30"/>
      <c r="E85" s="11"/>
      <c r="F85" s="11"/>
      <c r="G85" s="11"/>
      <c r="H85" s="55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</row>
    <row r="86">
      <c r="A86" s="30"/>
      <c r="B86" s="30"/>
      <c r="C86" s="30"/>
      <c r="D86" s="30"/>
      <c r="E86" s="11"/>
      <c r="F86" s="11"/>
      <c r="G86" s="11"/>
      <c r="H86" s="55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</row>
    <row r="87">
      <c r="A87" s="30"/>
      <c r="B87" s="30"/>
      <c r="C87" s="30"/>
      <c r="D87" s="30"/>
      <c r="E87" s="11"/>
      <c r="F87" s="11"/>
      <c r="G87" s="11"/>
      <c r="H87" s="55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</row>
    <row r="88">
      <c r="A88" s="30"/>
      <c r="B88" s="30"/>
      <c r="C88" s="30"/>
      <c r="D88" s="30"/>
      <c r="E88" s="11"/>
      <c r="F88" s="11"/>
      <c r="G88" s="11"/>
      <c r="H88" s="55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</row>
    <row r="89">
      <c r="A89" s="30"/>
      <c r="B89" s="30"/>
      <c r="C89" s="30"/>
      <c r="D89" s="30"/>
      <c r="E89" s="11"/>
      <c r="F89" s="11"/>
      <c r="G89" s="11"/>
      <c r="H89" s="55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</row>
    <row r="90">
      <c r="A90" s="30"/>
      <c r="B90" s="30"/>
      <c r="C90" s="30"/>
      <c r="D90" s="30"/>
      <c r="E90" s="11"/>
      <c r="F90" s="11"/>
      <c r="G90" s="11"/>
      <c r="H90" s="55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</row>
    <row r="91">
      <c r="A91" s="30"/>
      <c r="B91" s="30"/>
      <c r="C91" s="30"/>
      <c r="D91" s="30"/>
      <c r="E91" s="11"/>
      <c r="F91" s="11"/>
      <c r="G91" s="11"/>
      <c r="H91" s="55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</row>
    <row r="92">
      <c r="A92" s="30"/>
      <c r="B92" s="30"/>
      <c r="C92" s="30"/>
      <c r="D92" s="30"/>
      <c r="E92" s="11"/>
      <c r="F92" s="11"/>
      <c r="G92" s="11"/>
      <c r="H92" s="55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</row>
    <row r="93">
      <c r="A93" s="30"/>
      <c r="B93" s="30"/>
      <c r="C93" s="30"/>
      <c r="D93" s="30"/>
      <c r="E93" s="11"/>
      <c r="F93" s="11"/>
      <c r="G93" s="11"/>
      <c r="H93" s="55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</row>
    <row r="94">
      <c r="A94" s="30"/>
      <c r="B94" s="30"/>
      <c r="C94" s="30"/>
      <c r="D94" s="30"/>
      <c r="E94" s="11"/>
      <c r="F94" s="11"/>
      <c r="G94" s="11"/>
      <c r="H94" s="55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</row>
    <row r="95">
      <c r="A95" s="30"/>
      <c r="B95" s="30"/>
      <c r="C95" s="30"/>
      <c r="D95" s="30"/>
      <c r="E95" s="11"/>
      <c r="F95" s="11"/>
      <c r="G95" s="11"/>
      <c r="H95" s="55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</row>
    <row r="96">
      <c r="A96" s="30"/>
      <c r="B96" s="30"/>
      <c r="C96" s="30"/>
      <c r="D96" s="30"/>
      <c r="E96" s="11"/>
      <c r="F96" s="11"/>
      <c r="G96" s="11"/>
      <c r="H96" s="55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</row>
    <row r="97">
      <c r="A97" s="30"/>
      <c r="B97" s="30"/>
      <c r="C97" s="30"/>
      <c r="D97" s="30"/>
      <c r="E97" s="11"/>
      <c r="F97" s="11"/>
      <c r="G97" s="11"/>
      <c r="H97" s="55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</row>
    <row r="98">
      <c r="A98" s="30"/>
      <c r="B98" s="30"/>
      <c r="C98" s="30"/>
      <c r="D98" s="30"/>
      <c r="E98" s="11"/>
      <c r="F98" s="11"/>
      <c r="G98" s="11"/>
      <c r="H98" s="55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</row>
    <row r="99">
      <c r="A99" s="30"/>
      <c r="B99" s="30"/>
      <c r="C99" s="30"/>
      <c r="D99" s="30"/>
      <c r="E99" s="11"/>
      <c r="F99" s="11"/>
      <c r="G99" s="11"/>
      <c r="H99" s="55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</row>
    <row r="100">
      <c r="A100" s="30"/>
      <c r="B100" s="30"/>
      <c r="C100" s="30"/>
      <c r="D100" s="30"/>
      <c r="E100" s="56"/>
      <c r="F100" s="56"/>
      <c r="G100" s="56"/>
      <c r="H100" s="57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</row>
    <row r="101">
      <c r="E101" s="58"/>
      <c r="F101" s="58"/>
      <c r="G101" s="58"/>
      <c r="H101" s="59"/>
    </row>
    <row r="102">
      <c r="E102" s="58"/>
      <c r="F102" s="58"/>
      <c r="G102" s="58"/>
      <c r="H102" s="59"/>
    </row>
    <row r="103">
      <c r="E103" s="58"/>
      <c r="F103" s="58"/>
      <c r="G103" s="58"/>
      <c r="H103" s="59"/>
    </row>
    <row r="104">
      <c r="E104" s="58"/>
      <c r="F104" s="58"/>
      <c r="G104" s="58"/>
      <c r="H104" s="59"/>
    </row>
    <row r="105">
      <c r="E105" s="58"/>
      <c r="F105" s="58"/>
      <c r="G105" s="58"/>
      <c r="H105" s="59"/>
    </row>
    <row r="106">
      <c r="E106" s="58"/>
      <c r="F106" s="58"/>
      <c r="G106" s="58"/>
      <c r="H106" s="59"/>
    </row>
    <row r="107">
      <c r="E107" s="58"/>
      <c r="F107" s="58"/>
      <c r="G107" s="58"/>
      <c r="H107" s="59"/>
    </row>
    <row r="108">
      <c r="E108" s="58"/>
      <c r="F108" s="58"/>
      <c r="G108" s="58"/>
      <c r="H108" s="59"/>
    </row>
    <row r="109">
      <c r="E109" s="58"/>
      <c r="F109" s="58"/>
      <c r="G109" s="58"/>
      <c r="H109" s="59"/>
    </row>
    <row r="110">
      <c r="E110" s="58"/>
      <c r="F110" s="58"/>
      <c r="G110" s="58"/>
      <c r="H110" s="59"/>
    </row>
    <row r="111">
      <c r="E111" s="58"/>
      <c r="F111" s="58"/>
      <c r="G111" s="58"/>
      <c r="H111" s="59"/>
    </row>
    <row r="112">
      <c r="E112" s="58"/>
      <c r="F112" s="58"/>
      <c r="G112" s="58"/>
      <c r="H112" s="59"/>
    </row>
    <row r="113">
      <c r="E113" s="58"/>
      <c r="F113" s="58"/>
      <c r="G113" s="58"/>
      <c r="H113" s="59"/>
    </row>
    <row r="114">
      <c r="E114" s="58"/>
      <c r="F114" s="58"/>
      <c r="G114" s="58"/>
      <c r="H114" s="59"/>
    </row>
    <row r="115">
      <c r="E115" s="58"/>
      <c r="F115" s="58"/>
      <c r="G115" s="58"/>
      <c r="H115" s="59"/>
    </row>
    <row r="116">
      <c r="E116" s="58"/>
      <c r="F116" s="58"/>
      <c r="G116" s="58"/>
      <c r="H116" s="59"/>
    </row>
    <row r="117">
      <c r="E117" s="58"/>
      <c r="F117" s="58"/>
      <c r="G117" s="58"/>
      <c r="H117" s="59"/>
    </row>
    <row r="118">
      <c r="E118" s="58"/>
      <c r="F118" s="58"/>
      <c r="G118" s="58"/>
      <c r="H118" s="59"/>
    </row>
    <row r="119">
      <c r="E119" s="58"/>
      <c r="F119" s="58"/>
      <c r="G119" s="58"/>
      <c r="H119" s="59"/>
    </row>
    <row r="120">
      <c r="E120" s="58"/>
      <c r="F120" s="58"/>
      <c r="G120" s="58"/>
      <c r="H120" s="59"/>
    </row>
    <row r="121">
      <c r="E121" s="58"/>
      <c r="F121" s="58"/>
      <c r="G121" s="58"/>
      <c r="H121" s="59"/>
    </row>
    <row r="122">
      <c r="E122" s="58"/>
      <c r="F122" s="58"/>
      <c r="G122" s="58"/>
      <c r="H122" s="59"/>
    </row>
    <row r="123">
      <c r="E123" s="58"/>
      <c r="F123" s="58"/>
      <c r="G123" s="58"/>
      <c r="H123" s="59"/>
    </row>
    <row r="124">
      <c r="E124" s="58"/>
      <c r="F124" s="58"/>
      <c r="G124" s="58"/>
      <c r="H124" s="59"/>
    </row>
    <row r="125">
      <c r="E125" s="58"/>
      <c r="F125" s="58"/>
      <c r="G125" s="58"/>
      <c r="H125" s="59"/>
    </row>
    <row r="126">
      <c r="E126" s="58"/>
      <c r="F126" s="58"/>
      <c r="G126" s="58"/>
      <c r="H126" s="59"/>
    </row>
    <row r="127">
      <c r="E127" s="58"/>
      <c r="F127" s="58"/>
      <c r="G127" s="58"/>
      <c r="H127" s="59"/>
    </row>
    <row r="128">
      <c r="E128" s="58"/>
      <c r="F128" s="58"/>
      <c r="G128" s="58"/>
      <c r="H128" s="59"/>
    </row>
    <row r="129">
      <c r="E129" s="58"/>
      <c r="F129" s="58"/>
      <c r="G129" s="58"/>
      <c r="H129" s="59"/>
    </row>
    <row r="130">
      <c r="E130" s="58"/>
      <c r="F130" s="58"/>
      <c r="G130" s="58"/>
      <c r="H130" s="59"/>
    </row>
    <row r="131">
      <c r="E131" s="58"/>
      <c r="F131" s="58"/>
      <c r="G131" s="58"/>
      <c r="H131" s="59"/>
    </row>
    <row r="132">
      <c r="E132" s="58"/>
      <c r="F132" s="58"/>
      <c r="G132" s="58"/>
      <c r="H132" s="59"/>
    </row>
    <row r="133">
      <c r="E133" s="58"/>
      <c r="F133" s="58"/>
      <c r="G133" s="58"/>
      <c r="H133" s="59"/>
    </row>
    <row r="134">
      <c r="E134" s="58"/>
      <c r="F134" s="58"/>
      <c r="G134" s="58"/>
      <c r="H134" s="59"/>
    </row>
    <row r="135">
      <c r="E135" s="58"/>
      <c r="F135" s="58"/>
      <c r="G135" s="58"/>
      <c r="H135" s="59"/>
    </row>
    <row r="136">
      <c r="E136" s="58"/>
      <c r="F136" s="58"/>
      <c r="G136" s="58"/>
      <c r="H136" s="59"/>
    </row>
    <row r="137">
      <c r="E137" s="58"/>
      <c r="F137" s="58"/>
      <c r="G137" s="58"/>
      <c r="H137" s="59"/>
    </row>
    <row r="138">
      <c r="E138" s="58"/>
      <c r="F138" s="58"/>
      <c r="G138" s="58"/>
      <c r="H138" s="59"/>
    </row>
  </sheetData>
  <mergeCells count="14">
    <mergeCell ref="H1:H3"/>
    <mergeCell ref="I1:AC1"/>
    <mergeCell ref="AD1:AS1"/>
    <mergeCell ref="M4:M46"/>
    <mergeCell ref="T4:T46"/>
    <mergeCell ref="AA4:AA46"/>
    <mergeCell ref="AH4:AH46"/>
    <mergeCell ref="A1:A3"/>
    <mergeCell ref="B1:B3"/>
    <mergeCell ref="C1:C3"/>
    <mergeCell ref="D1:D3"/>
    <mergeCell ref="E1:E3"/>
    <mergeCell ref="F1:F3"/>
    <mergeCell ref="G1:G3"/>
  </mergeCells>
  <conditionalFormatting sqref="I4:AR20">
    <cfRule type="beginsWith" dxfId="1" priority="1" operator="beginsWith" text="p">
      <formula>LEFT((I4),LEN("p"))=("p")</formula>
    </cfRule>
  </conditionalFormatting>
  <conditionalFormatting sqref="I4:AR20">
    <cfRule type="beginsWith" dxfId="0" priority="2" operator="beginsWith" text="a">
      <formula>LEFT((I4),LEN("a"))=("a")</formula>
    </cfRule>
  </conditionalFormatting>
  <conditionalFormatting sqref="I4:AR20">
    <cfRule type="beginsWith" dxfId="2" priority="3" operator="beginsWith" text="o">
      <formula>LEFT((I4),LEN("o"))=("o")</formula>
    </cfRule>
  </conditionalFormatting>
  <conditionalFormatting sqref="A1:AG1">
    <cfRule type="notContainsBlanks" dxfId="3" priority="4">
      <formula>LEN(TRIM(A1))&gt;0</formula>
    </cfRule>
  </conditionalFormatting>
  <conditionalFormatting sqref="I4">
    <cfRule type="notContainsBlanks" dxfId="3" priority="5">
      <formula>LEN(TRIM(I4))&gt;0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2.13"/>
    <col customWidth="1" min="4" max="4" width="23.88"/>
    <col customWidth="1" min="5" max="5" width="17.38"/>
  </cols>
  <sheetData>
    <row r="1">
      <c r="A1" s="2" t="s">
        <v>0</v>
      </c>
      <c r="B1" s="2" t="s">
        <v>2</v>
      </c>
      <c r="C1" s="2" t="s">
        <v>3</v>
      </c>
      <c r="D1" s="2" t="s">
        <v>5</v>
      </c>
      <c r="E1" s="2" t="s">
        <v>6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1">
        <v>1.0</v>
      </c>
      <c r="B2" s="13">
        <v>46183.0</v>
      </c>
      <c r="C2" s="18" t="s">
        <v>17</v>
      </c>
      <c r="D2" s="18" t="s">
        <v>24</v>
      </c>
      <c r="E2" s="18" t="s">
        <v>26</v>
      </c>
    </row>
    <row r="3">
      <c r="A3" s="11">
        <v>2.0</v>
      </c>
      <c r="B3" s="13">
        <v>46184.0</v>
      </c>
      <c r="C3" s="18" t="s">
        <v>27</v>
      </c>
      <c r="D3" s="18" t="s">
        <v>28</v>
      </c>
      <c r="E3" s="18" t="s">
        <v>26</v>
      </c>
    </row>
    <row r="4">
      <c r="A4" s="11">
        <v>3.0</v>
      </c>
      <c r="B4" s="13">
        <v>46185.0</v>
      </c>
      <c r="C4" s="18" t="s">
        <v>30</v>
      </c>
      <c r="D4" s="18" t="s">
        <v>28</v>
      </c>
      <c r="E4" s="18" t="s">
        <v>26</v>
      </c>
    </row>
    <row r="5">
      <c r="A5" s="11">
        <v>4.0</v>
      </c>
      <c r="B5" s="13">
        <v>46186.0</v>
      </c>
      <c r="C5" s="18" t="s">
        <v>34</v>
      </c>
      <c r="D5" s="18" t="s">
        <v>35</v>
      </c>
      <c r="E5" s="18" t="s">
        <v>26</v>
      </c>
    </row>
    <row r="6">
      <c r="A6" s="11">
        <v>5.0</v>
      </c>
      <c r="B6" s="13">
        <v>46188.0</v>
      </c>
      <c r="C6" s="18" t="s">
        <v>37</v>
      </c>
      <c r="D6" s="18" t="s">
        <v>38</v>
      </c>
      <c r="E6" s="18" t="s">
        <v>26</v>
      </c>
    </row>
    <row r="7">
      <c r="A7" s="11">
        <v>6.0</v>
      </c>
      <c r="B7" s="13">
        <v>46189.0</v>
      </c>
      <c r="C7" s="18" t="s">
        <v>40</v>
      </c>
      <c r="D7" s="18" t="s">
        <v>35</v>
      </c>
      <c r="E7" s="18" t="s">
        <v>26</v>
      </c>
    </row>
    <row r="8">
      <c r="A8" s="11">
        <v>7.0</v>
      </c>
      <c r="B8" s="13">
        <v>46190.0</v>
      </c>
      <c r="C8" s="18" t="s">
        <v>42</v>
      </c>
      <c r="D8" s="18" t="s">
        <v>38</v>
      </c>
      <c r="E8" s="18" t="s">
        <v>26</v>
      </c>
    </row>
    <row r="9">
      <c r="A9" s="11">
        <v>8.0</v>
      </c>
      <c r="B9" s="13">
        <v>46191.0</v>
      </c>
      <c r="C9" s="18" t="s">
        <v>44</v>
      </c>
      <c r="D9" s="18" t="s">
        <v>35</v>
      </c>
      <c r="E9" s="18" t="s">
        <v>26</v>
      </c>
    </row>
    <row r="10">
      <c r="A10" s="11">
        <v>9.0</v>
      </c>
      <c r="B10" s="13">
        <v>46192.0</v>
      </c>
      <c r="C10" s="18" t="s">
        <v>45</v>
      </c>
      <c r="D10" s="18" t="s">
        <v>35</v>
      </c>
      <c r="E10" s="18" t="s">
        <v>26</v>
      </c>
    </row>
    <row r="11">
      <c r="A11" s="11">
        <v>10.0</v>
      </c>
      <c r="B11" s="13">
        <v>46193.0</v>
      </c>
      <c r="C11" s="18" t="s">
        <v>47</v>
      </c>
      <c r="D11" s="18" t="s">
        <v>48</v>
      </c>
      <c r="E11" s="18" t="s">
        <v>26</v>
      </c>
    </row>
    <row r="12">
      <c r="A12" s="11">
        <v>11.0</v>
      </c>
      <c r="B12" s="13">
        <v>46195.0</v>
      </c>
      <c r="C12" s="18" t="s">
        <v>52</v>
      </c>
      <c r="D12" s="18" t="s">
        <v>35</v>
      </c>
      <c r="E12" s="18" t="s">
        <v>26</v>
      </c>
    </row>
    <row r="13">
      <c r="A13" s="11">
        <v>12.0</v>
      </c>
      <c r="B13" s="13">
        <v>46196.0</v>
      </c>
      <c r="C13" s="18" t="s">
        <v>54</v>
      </c>
      <c r="D13" s="18" t="s">
        <v>35</v>
      </c>
      <c r="E13" s="18" t="s">
        <v>26</v>
      </c>
    </row>
    <row r="14">
      <c r="A14" s="11">
        <v>13.0</v>
      </c>
      <c r="B14" s="13">
        <v>46197.0</v>
      </c>
      <c r="C14" s="18" t="s">
        <v>57</v>
      </c>
      <c r="D14" s="18" t="s">
        <v>48</v>
      </c>
      <c r="E14" s="18" t="s">
        <v>26</v>
      </c>
    </row>
    <row r="15">
      <c r="A15" s="11">
        <v>14.0</v>
      </c>
      <c r="B15" s="13">
        <v>46198.0</v>
      </c>
      <c r="C15" s="18" t="s">
        <v>60</v>
      </c>
      <c r="D15" s="18" t="s">
        <v>24</v>
      </c>
      <c r="E15" s="18" t="s">
        <v>26</v>
      </c>
    </row>
    <row r="16">
      <c r="A16" s="11">
        <v>15.0</v>
      </c>
      <c r="B16" s="13">
        <v>46199.0</v>
      </c>
      <c r="C16" s="18" t="s">
        <v>63</v>
      </c>
      <c r="D16" s="18" t="s">
        <v>66</v>
      </c>
      <c r="E16" s="18" t="s">
        <v>26</v>
      </c>
    </row>
    <row r="17">
      <c r="A17" s="11">
        <v>16.0</v>
      </c>
      <c r="B17" s="13">
        <v>46200.0</v>
      </c>
      <c r="C17" s="18" t="s">
        <v>68</v>
      </c>
      <c r="D17" s="18" t="s">
        <v>48</v>
      </c>
      <c r="E17" s="18" t="s">
        <v>26</v>
      </c>
    </row>
    <row r="18">
      <c r="A18" s="11">
        <v>17.0</v>
      </c>
      <c r="B18" s="13">
        <v>46202.0</v>
      </c>
      <c r="C18" s="18" t="s">
        <v>72</v>
      </c>
      <c r="D18" s="18" t="s">
        <v>38</v>
      </c>
      <c r="E18" s="18" t="s">
        <v>26</v>
      </c>
    </row>
    <row r="19">
      <c r="A19" s="11">
        <v>18.0</v>
      </c>
      <c r="B19" s="13">
        <v>46203.0</v>
      </c>
      <c r="C19" s="18" t="s">
        <v>75</v>
      </c>
      <c r="D19" s="18" t="s">
        <v>28</v>
      </c>
      <c r="E19" s="18" t="s">
        <v>26</v>
      </c>
    </row>
    <row r="20">
      <c r="A20" s="11">
        <v>19.0</v>
      </c>
      <c r="B20" s="13">
        <v>46204.0</v>
      </c>
      <c r="C20" s="18" t="s">
        <v>77</v>
      </c>
      <c r="D20" s="18" t="s">
        <v>38</v>
      </c>
      <c r="E20" s="18" t="s">
        <v>26</v>
      </c>
    </row>
    <row r="21">
      <c r="A21" s="11">
        <v>20.0</v>
      </c>
      <c r="B21" s="13">
        <v>46205.0</v>
      </c>
      <c r="C21" s="18" t="s">
        <v>80</v>
      </c>
      <c r="D21" s="18" t="s">
        <v>38</v>
      </c>
      <c r="E21" s="18" t="s">
        <v>26</v>
      </c>
    </row>
    <row r="22">
      <c r="A22" s="11">
        <v>21.0</v>
      </c>
      <c r="B22" s="13">
        <v>46206.0</v>
      </c>
      <c r="C22" s="18" t="s">
        <v>85</v>
      </c>
      <c r="D22" s="18" t="s">
        <v>28</v>
      </c>
      <c r="E22" s="18" t="s">
        <v>26</v>
      </c>
    </row>
    <row r="23">
      <c r="A23" s="11">
        <v>22.0</v>
      </c>
      <c r="B23" s="13">
        <v>46207.0</v>
      </c>
      <c r="C23" s="18" t="s">
        <v>87</v>
      </c>
      <c r="D23" s="18" t="s">
        <v>48</v>
      </c>
      <c r="E23" s="18" t="s">
        <v>26</v>
      </c>
    </row>
    <row r="24">
      <c r="A24" s="11">
        <v>23.0</v>
      </c>
      <c r="B24" s="13">
        <v>46209.0</v>
      </c>
      <c r="C24" s="18" t="s">
        <v>92</v>
      </c>
      <c r="D24" s="18" t="s">
        <v>35</v>
      </c>
      <c r="E24" s="18" t="s">
        <v>26</v>
      </c>
    </row>
    <row r="25">
      <c r="A25" s="11">
        <v>24.0</v>
      </c>
      <c r="B25" s="13">
        <v>46210.0</v>
      </c>
      <c r="C25" s="18" t="s">
        <v>97</v>
      </c>
      <c r="D25" s="18" t="s">
        <v>48</v>
      </c>
      <c r="E25" s="18" t="s">
        <v>26</v>
      </c>
    </row>
    <row r="26">
      <c r="A26" s="11">
        <v>25.0</v>
      </c>
      <c r="B26" s="13">
        <v>46211.0</v>
      </c>
      <c r="C26" s="18" t="s">
        <v>100</v>
      </c>
      <c r="D26" s="18" t="s">
        <v>35</v>
      </c>
      <c r="E26" s="18" t="s">
        <v>26</v>
      </c>
    </row>
    <row r="27">
      <c r="A27" s="11">
        <v>26.0</v>
      </c>
      <c r="B27" s="13">
        <v>46212.0</v>
      </c>
      <c r="C27" s="18" t="s">
        <v>104</v>
      </c>
      <c r="D27" s="18" t="s">
        <v>48</v>
      </c>
      <c r="E27" s="18" t="s">
        <v>26</v>
      </c>
    </row>
    <row r="28">
      <c r="A28" s="11">
        <v>27.0</v>
      </c>
      <c r="B28" s="13">
        <v>46213.0</v>
      </c>
      <c r="C28" s="18" t="s">
        <v>106</v>
      </c>
      <c r="D28" s="18" t="s">
        <v>35</v>
      </c>
      <c r="E28" s="18" t="s">
        <v>26</v>
      </c>
    </row>
    <row r="29">
      <c r="A29" s="11">
        <v>28.0</v>
      </c>
      <c r="B29" s="13">
        <v>46214.0</v>
      </c>
      <c r="C29" s="18" t="s">
        <v>111</v>
      </c>
      <c r="D29" s="18" t="s">
        <v>48</v>
      </c>
      <c r="E29" s="18" t="s">
        <v>26</v>
      </c>
    </row>
    <row r="30">
      <c r="A30" s="11">
        <v>29.0</v>
      </c>
      <c r="B30" s="13"/>
      <c r="C30" s="30"/>
      <c r="D30" s="30"/>
      <c r="E30" s="18" t="s">
        <v>26</v>
      </c>
    </row>
    <row r="31">
      <c r="A31" s="11">
        <v>30.0</v>
      </c>
      <c r="B31" s="13"/>
      <c r="C31" s="30"/>
      <c r="D31" s="30"/>
      <c r="E31" s="18" t="s">
        <v>26</v>
      </c>
    </row>
    <row r="32">
      <c r="A32" s="11">
        <v>31.0</v>
      </c>
      <c r="B32" s="30"/>
      <c r="C32" s="30"/>
      <c r="D32" s="30"/>
      <c r="E32" s="18"/>
    </row>
    <row r="33">
      <c r="A33" s="11">
        <v>32.0</v>
      </c>
      <c r="B33" s="30"/>
      <c r="C33" s="30"/>
      <c r="D33" s="30"/>
      <c r="E33" s="18"/>
    </row>
    <row r="34">
      <c r="A34" s="11">
        <v>33.0</v>
      </c>
      <c r="B34" s="30"/>
      <c r="C34" s="30"/>
      <c r="D34" s="30"/>
      <c r="E34" s="18"/>
    </row>
    <row r="35">
      <c r="A35" s="11">
        <v>34.0</v>
      </c>
      <c r="B35" s="30"/>
      <c r="C35" s="30"/>
      <c r="D35" s="30"/>
      <c r="E35" s="18"/>
    </row>
    <row r="36">
      <c r="A36" s="11">
        <v>35.0</v>
      </c>
      <c r="B36" s="30"/>
      <c r="C36" s="30"/>
      <c r="D36" s="30"/>
      <c r="E36" s="18"/>
    </row>
    <row r="37">
      <c r="A37" s="11">
        <v>36.0</v>
      </c>
      <c r="B37" s="30"/>
      <c r="C37" s="30"/>
      <c r="D37" s="30"/>
      <c r="E37" s="30"/>
    </row>
    <row r="38">
      <c r="A38" s="11">
        <v>37.0</v>
      </c>
      <c r="B38" s="30"/>
      <c r="C38" s="30"/>
      <c r="D38" s="30"/>
      <c r="E38" s="30"/>
    </row>
    <row r="39">
      <c r="A39" s="11">
        <v>38.0</v>
      </c>
      <c r="B39" s="30"/>
      <c r="C39" s="30"/>
      <c r="D39" s="30"/>
      <c r="E39" s="30"/>
    </row>
    <row r="40">
      <c r="A40" s="11">
        <v>39.0</v>
      </c>
      <c r="B40" s="30"/>
      <c r="C40" s="30"/>
      <c r="D40" s="30"/>
      <c r="E40" s="30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</cols>
  <sheetData>
    <row r="1">
      <c r="A1" s="1"/>
      <c r="B1" s="1"/>
      <c r="C1" s="1"/>
      <c r="D1" s="4">
        <v>1.0</v>
      </c>
      <c r="E1" s="4">
        <v>2.0</v>
      </c>
      <c r="F1" s="4">
        <v>3.0</v>
      </c>
      <c r="G1" s="4">
        <v>4.0</v>
      </c>
      <c r="H1" s="4">
        <v>5.0</v>
      </c>
      <c r="I1" s="4">
        <v>6.0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A2" s="14" t="s">
        <v>1</v>
      </c>
      <c r="B2" s="14" t="s">
        <v>8</v>
      </c>
      <c r="C2" s="14" t="s">
        <v>9</v>
      </c>
      <c r="D2" s="16" t="s">
        <v>18</v>
      </c>
      <c r="E2" s="16" t="s">
        <v>19</v>
      </c>
      <c r="F2" s="16" t="s">
        <v>20</v>
      </c>
      <c r="G2" s="16" t="s">
        <v>21</v>
      </c>
      <c r="H2" s="16" t="s">
        <v>22</v>
      </c>
      <c r="I2" s="21" t="s">
        <v>23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18">
        <v>1.0</v>
      </c>
      <c r="B3" s="27" t="s">
        <v>32</v>
      </c>
      <c r="C3" s="27" t="s">
        <v>39</v>
      </c>
      <c r="D3" s="18">
        <v>25.0</v>
      </c>
      <c r="E3" s="18">
        <v>25.0</v>
      </c>
      <c r="F3" s="18">
        <v>27.0</v>
      </c>
      <c r="G3" s="18">
        <v>25.0</v>
      </c>
      <c r="H3" s="18">
        <v>16.0</v>
      </c>
      <c r="I3" s="30"/>
      <c r="J3" s="33" t="str">
        <f>IFERROR(__xludf.DUMMYFUNCTION("TEXTJOIN("", "",TRUE,FILTER(D$1:I$1, D3:I3=""Absent""))"),"#N/A")</f>
        <v>#N/A</v>
      </c>
    </row>
    <row r="4">
      <c r="A4" s="18">
        <v>2.0</v>
      </c>
      <c r="B4" s="27" t="s">
        <v>50</v>
      </c>
      <c r="C4" s="27" t="s">
        <v>51</v>
      </c>
      <c r="D4" s="18">
        <v>22.0</v>
      </c>
      <c r="E4" s="18">
        <v>27.0</v>
      </c>
      <c r="F4" s="18">
        <v>28.0</v>
      </c>
      <c r="G4" s="18">
        <v>29.0</v>
      </c>
      <c r="H4" s="18">
        <v>24.0</v>
      </c>
      <c r="I4" s="30"/>
      <c r="J4" s="33" t="str">
        <f>IFERROR(__xludf.DUMMYFUNCTION("TEXTJOIN("", "",TRUE,FILTER(D$1:I$1, D4:I4=""Absent""))"),"#N/A")</f>
        <v>#N/A</v>
      </c>
    </row>
    <row r="5">
      <c r="A5" s="18">
        <v>3.0</v>
      </c>
      <c r="B5" s="27" t="s">
        <v>56</v>
      </c>
      <c r="C5" s="27" t="s">
        <v>58</v>
      </c>
      <c r="D5" s="18">
        <v>30.0</v>
      </c>
      <c r="E5" s="18">
        <v>30.0</v>
      </c>
      <c r="F5" s="18">
        <v>25.0</v>
      </c>
      <c r="G5" s="18">
        <v>29.0</v>
      </c>
      <c r="H5" s="18">
        <v>29.0</v>
      </c>
      <c r="I5" s="30"/>
      <c r="J5" s="33" t="str">
        <f>IFERROR(__xludf.DUMMYFUNCTION("TEXTJOIN("", "",TRUE,FILTER(D$1:I$1, D5:I5=""Absent""))"),"#N/A")</f>
        <v>#N/A</v>
      </c>
    </row>
    <row r="6">
      <c r="A6" s="18">
        <v>4.0</v>
      </c>
      <c r="B6" s="27" t="s">
        <v>62</v>
      </c>
      <c r="C6" s="27" t="s">
        <v>65</v>
      </c>
      <c r="D6" s="18">
        <v>19.0</v>
      </c>
      <c r="E6" s="18">
        <v>25.0</v>
      </c>
      <c r="F6" s="18">
        <v>26.0</v>
      </c>
      <c r="G6" s="18">
        <v>26.0</v>
      </c>
      <c r="H6" s="18" t="s">
        <v>69</v>
      </c>
      <c r="I6" s="30"/>
      <c r="J6" s="33" t="str">
        <f>IFERROR(__xludf.DUMMYFUNCTION("TEXTJOIN("", "",TRUE,FILTER(D$1:I$1, D6:I6=""Absent""))"),"#N/A")</f>
        <v>#N/A</v>
      </c>
    </row>
    <row r="7">
      <c r="A7" s="18">
        <v>5.0</v>
      </c>
      <c r="B7" s="27" t="s">
        <v>71</v>
      </c>
      <c r="C7" s="27" t="s">
        <v>73</v>
      </c>
      <c r="D7" s="18">
        <v>25.0</v>
      </c>
      <c r="E7" s="18">
        <v>25.0</v>
      </c>
      <c r="F7" s="18">
        <v>22.0</v>
      </c>
      <c r="G7" s="18">
        <v>25.0</v>
      </c>
      <c r="H7" s="18" t="s">
        <v>69</v>
      </c>
      <c r="I7" s="30"/>
      <c r="J7" s="33" t="str">
        <f>IFERROR(__xludf.DUMMYFUNCTION("TEXTJOIN("", "",TRUE,FILTER(D$1:I$1, D7:I7=""Absent""))"),"#N/A")</f>
        <v>#N/A</v>
      </c>
    </row>
    <row r="8">
      <c r="A8" s="18">
        <v>6.0</v>
      </c>
      <c r="B8" s="27" t="s">
        <v>78</v>
      </c>
      <c r="C8" s="27" t="s">
        <v>79</v>
      </c>
      <c r="D8" s="18">
        <v>29.0</v>
      </c>
      <c r="E8" s="18">
        <v>30.0</v>
      </c>
      <c r="F8" s="18">
        <v>30.0</v>
      </c>
      <c r="G8" s="18">
        <v>28.0</v>
      </c>
      <c r="H8" s="18" t="s">
        <v>69</v>
      </c>
      <c r="I8" s="30"/>
      <c r="J8" s="33" t="str">
        <f>IFERROR(__xludf.DUMMYFUNCTION("TEXTJOIN("", "",TRUE,FILTER(D$1:I$1, D8:I8=""Absent""))"),"#N/A")</f>
        <v>#N/A</v>
      </c>
    </row>
    <row r="9">
      <c r="A9" s="18">
        <v>7.0</v>
      </c>
      <c r="B9" s="27" t="s">
        <v>82</v>
      </c>
      <c r="C9" s="27" t="s">
        <v>83</v>
      </c>
      <c r="D9" s="18" t="s">
        <v>84</v>
      </c>
      <c r="E9" s="18" t="s">
        <v>84</v>
      </c>
      <c r="F9" s="18">
        <v>27.0</v>
      </c>
      <c r="G9" s="18">
        <v>25.0</v>
      </c>
      <c r="H9" s="18">
        <v>27.0</v>
      </c>
      <c r="I9" s="30"/>
      <c r="J9" s="33" t="str">
        <f>IFERROR(__xludf.DUMMYFUNCTION("TEXTJOIN("", "",TRUE,FILTER(D$1:I$1, D9:I9=""Absent""))"),"1, 2")</f>
        <v>1, 2</v>
      </c>
    </row>
    <row r="10">
      <c r="A10" s="18">
        <v>8.0</v>
      </c>
      <c r="B10" s="27" t="s">
        <v>89</v>
      </c>
      <c r="C10" s="27" t="s">
        <v>91</v>
      </c>
      <c r="D10" s="18" t="s">
        <v>84</v>
      </c>
      <c r="E10" s="18" t="s">
        <v>84</v>
      </c>
      <c r="F10" s="18">
        <v>23.0</v>
      </c>
      <c r="G10" s="18">
        <v>23.0</v>
      </c>
      <c r="H10" s="18" t="s">
        <v>69</v>
      </c>
      <c r="I10" s="30"/>
      <c r="J10" s="33" t="str">
        <f>IFERROR(__xludf.DUMMYFUNCTION("TEXTJOIN("", "",TRUE,FILTER(D$1:I$1, D10:I10=""Absent""))"),"1, 2")</f>
        <v>1, 2</v>
      </c>
    </row>
    <row r="11">
      <c r="A11" s="18">
        <v>9.0</v>
      </c>
      <c r="B11" s="27" t="s">
        <v>95</v>
      </c>
      <c r="C11" s="27" t="s">
        <v>96</v>
      </c>
      <c r="D11" s="18" t="s">
        <v>84</v>
      </c>
      <c r="E11" s="18" t="s">
        <v>84</v>
      </c>
      <c r="F11" s="18" t="s">
        <v>98</v>
      </c>
      <c r="G11" s="18" t="s">
        <v>84</v>
      </c>
      <c r="H11" s="18" t="s">
        <v>69</v>
      </c>
      <c r="I11" s="30"/>
      <c r="J11" s="33" t="str">
        <f>IFERROR(__xludf.DUMMYFUNCTION("TEXTJOIN("", "",TRUE,FILTER(D$1:I$1, D11:I11=""Absent""))"),"1, 2, 3, 4")</f>
        <v>1, 2, 3, 4</v>
      </c>
    </row>
    <row r="12">
      <c r="A12" s="18">
        <v>10.0</v>
      </c>
      <c r="B12" s="27" t="s">
        <v>102</v>
      </c>
      <c r="C12" s="27" t="s">
        <v>103</v>
      </c>
      <c r="D12" s="18">
        <v>28.0</v>
      </c>
      <c r="E12" s="18">
        <v>30.0</v>
      </c>
      <c r="F12" s="18">
        <v>21.0</v>
      </c>
      <c r="G12" s="18">
        <v>26.0</v>
      </c>
      <c r="H12" s="18" t="s">
        <v>69</v>
      </c>
      <c r="I12" s="30"/>
      <c r="J12" s="33" t="str">
        <f>IFERROR(__xludf.DUMMYFUNCTION("TEXTJOIN("", "",TRUE,FILTER(D$1:I$1, D12:I12=""Absent""))"),"#N/A")</f>
        <v>#N/A</v>
      </c>
    </row>
    <row r="13">
      <c r="A13" s="18">
        <v>11.0</v>
      </c>
      <c r="B13" s="27" t="s">
        <v>107</v>
      </c>
      <c r="C13" s="27" t="s">
        <v>109</v>
      </c>
      <c r="D13" s="18">
        <v>27.0</v>
      </c>
      <c r="E13" s="18">
        <v>24.0</v>
      </c>
      <c r="F13" s="18">
        <v>29.0</v>
      </c>
      <c r="G13" s="18">
        <v>21.0</v>
      </c>
      <c r="H13" s="18" t="s">
        <v>69</v>
      </c>
      <c r="I13" s="30"/>
      <c r="J13" s="33" t="str">
        <f>IFERROR(__xludf.DUMMYFUNCTION("TEXTJOIN("", "",TRUE,FILTER(D$1:I$1, D13:I13=""Absent""))"),"#N/A")</f>
        <v>#N/A</v>
      </c>
    </row>
    <row r="14">
      <c r="A14" s="30"/>
      <c r="B14" s="30"/>
      <c r="C14" s="30"/>
      <c r="D14" s="30"/>
      <c r="E14" s="30"/>
      <c r="F14" s="30"/>
      <c r="G14" s="30"/>
      <c r="H14" s="30"/>
      <c r="I14" s="30"/>
    </row>
    <row r="15">
      <c r="A15" s="30"/>
      <c r="B15" s="30"/>
      <c r="C15" s="30"/>
      <c r="D15" s="30"/>
      <c r="E15" s="30"/>
      <c r="F15" s="30"/>
      <c r="G15" s="30"/>
      <c r="H15" s="30"/>
      <c r="I15" s="30"/>
    </row>
  </sheetData>
  <conditionalFormatting sqref="D3:I13">
    <cfRule type="beginsWith" dxfId="0" priority="1" operator="beginsWith" text="a">
      <formula>LEFT((D3),LEN("a"))=("a")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5.5"/>
    <col customWidth="1" min="3" max="3" width="15.63"/>
    <col customWidth="1" min="4" max="4" width="13.63"/>
  </cols>
  <sheetData>
    <row r="1">
      <c r="A1" s="8" t="s">
        <v>7</v>
      </c>
      <c r="B1" s="9"/>
      <c r="C1" s="9"/>
      <c r="D1" s="10"/>
    </row>
    <row r="2">
      <c r="A2" s="8" t="s">
        <v>14</v>
      </c>
      <c r="B2" s="9"/>
      <c r="C2" s="9"/>
      <c r="D2" s="10"/>
    </row>
    <row r="3">
      <c r="A3" s="8" t="s">
        <v>15</v>
      </c>
      <c r="B3" s="9"/>
      <c r="C3" s="9"/>
      <c r="D3" s="10"/>
    </row>
    <row r="4">
      <c r="A4" s="17" t="s">
        <v>16</v>
      </c>
      <c r="B4" s="10"/>
      <c r="C4" s="19"/>
      <c r="D4" s="10"/>
    </row>
    <row r="5">
      <c r="A5" s="17" t="s">
        <v>25</v>
      </c>
      <c r="B5" s="10"/>
      <c r="C5" s="19"/>
      <c r="D5" s="10"/>
    </row>
    <row r="6">
      <c r="A6" s="19"/>
      <c r="B6" s="9"/>
      <c r="C6" s="9"/>
      <c r="D6" s="10"/>
    </row>
    <row r="7">
      <c r="A7" s="24" t="s">
        <v>29</v>
      </c>
      <c r="B7" s="24" t="s">
        <v>31</v>
      </c>
      <c r="C7" s="26" t="s">
        <v>33</v>
      </c>
      <c r="D7" s="26" t="s">
        <v>36</v>
      </c>
    </row>
    <row r="8">
      <c r="A8" s="28">
        <v>1.0</v>
      </c>
      <c r="B8" s="29" t="s">
        <v>41</v>
      </c>
      <c r="C8" s="13">
        <v>46183.0</v>
      </c>
      <c r="D8" s="31" t="s">
        <v>43</v>
      </c>
    </row>
    <row r="9">
      <c r="A9" s="23"/>
      <c r="B9" s="32" t="s">
        <v>46</v>
      </c>
      <c r="C9" s="13">
        <v>46183.0</v>
      </c>
      <c r="D9" s="31" t="s">
        <v>43</v>
      </c>
    </row>
    <row r="10">
      <c r="A10" s="23"/>
      <c r="B10" s="32" t="s">
        <v>49</v>
      </c>
      <c r="C10" s="13">
        <v>46183.0</v>
      </c>
      <c r="D10" s="31" t="s">
        <v>43</v>
      </c>
    </row>
    <row r="11">
      <c r="A11" s="23"/>
      <c r="B11" s="32" t="s">
        <v>53</v>
      </c>
      <c r="C11" s="13">
        <v>46183.0</v>
      </c>
      <c r="D11" s="31" t="s">
        <v>43</v>
      </c>
    </row>
    <row r="12">
      <c r="A12" s="23"/>
      <c r="B12" s="32" t="s">
        <v>55</v>
      </c>
      <c r="C12" s="13">
        <v>46183.0</v>
      </c>
      <c r="D12" s="31" t="s">
        <v>43</v>
      </c>
    </row>
    <row r="13">
      <c r="A13" s="23"/>
      <c r="B13" s="32" t="s">
        <v>59</v>
      </c>
      <c r="C13" s="13">
        <v>46183.0</v>
      </c>
      <c r="D13" s="31" t="s">
        <v>43</v>
      </c>
    </row>
    <row r="14">
      <c r="A14" s="23"/>
      <c r="B14" s="32" t="s">
        <v>61</v>
      </c>
      <c r="C14" s="13">
        <v>46183.0</v>
      </c>
      <c r="D14" s="31" t="s">
        <v>43</v>
      </c>
    </row>
    <row r="15">
      <c r="A15" s="23"/>
      <c r="B15" s="32" t="s">
        <v>64</v>
      </c>
      <c r="C15" s="13">
        <v>46183.0</v>
      </c>
      <c r="D15" s="31" t="s">
        <v>43</v>
      </c>
    </row>
    <row r="16">
      <c r="A16" s="23"/>
      <c r="B16" s="32" t="s">
        <v>67</v>
      </c>
      <c r="C16" s="13">
        <v>46183.0</v>
      </c>
      <c r="D16" s="31" t="s">
        <v>43</v>
      </c>
    </row>
    <row r="17">
      <c r="A17" s="23"/>
      <c r="B17" s="32" t="s">
        <v>70</v>
      </c>
      <c r="C17" s="13">
        <v>46183.0</v>
      </c>
      <c r="D17" s="31" t="s">
        <v>43</v>
      </c>
    </row>
    <row r="18">
      <c r="A18" s="23"/>
      <c r="B18" s="32" t="s">
        <v>74</v>
      </c>
      <c r="C18" s="13">
        <v>46183.0</v>
      </c>
      <c r="D18" s="31" t="s">
        <v>43</v>
      </c>
    </row>
    <row r="19">
      <c r="A19" s="36"/>
      <c r="B19" s="32" t="s">
        <v>76</v>
      </c>
      <c r="C19" s="13">
        <v>46183.0</v>
      </c>
      <c r="D19" s="31" t="s">
        <v>43</v>
      </c>
    </row>
    <row r="20">
      <c r="A20" s="28">
        <v>2.0</v>
      </c>
      <c r="B20" s="38" t="s">
        <v>81</v>
      </c>
      <c r="C20" s="13">
        <v>46184.0</v>
      </c>
      <c r="D20" s="31" t="s">
        <v>43</v>
      </c>
    </row>
    <row r="21">
      <c r="A21" s="23"/>
      <c r="B21" s="32" t="s">
        <v>86</v>
      </c>
      <c r="C21" s="13">
        <v>46185.0</v>
      </c>
      <c r="D21" s="31" t="s">
        <v>43</v>
      </c>
    </row>
    <row r="22">
      <c r="A22" s="23"/>
      <c r="B22" s="32" t="s">
        <v>88</v>
      </c>
      <c r="C22" s="13">
        <v>46185.0</v>
      </c>
      <c r="D22" s="31" t="s">
        <v>43</v>
      </c>
    </row>
    <row r="23">
      <c r="A23" s="23"/>
      <c r="B23" s="32" t="s">
        <v>90</v>
      </c>
      <c r="C23" s="13">
        <v>46185.0</v>
      </c>
      <c r="D23" s="31" t="s">
        <v>43</v>
      </c>
    </row>
    <row r="24">
      <c r="A24" s="23"/>
      <c r="B24" s="32" t="s">
        <v>93</v>
      </c>
      <c r="C24" s="13">
        <v>46185.0</v>
      </c>
      <c r="D24" s="31" t="s">
        <v>43</v>
      </c>
    </row>
    <row r="25">
      <c r="A25" s="23"/>
      <c r="B25" s="32" t="s">
        <v>94</v>
      </c>
      <c r="C25" s="13">
        <v>46185.0</v>
      </c>
      <c r="D25" s="31" t="s">
        <v>43</v>
      </c>
    </row>
    <row r="26">
      <c r="A26" s="23"/>
      <c r="B26" s="32" t="s">
        <v>99</v>
      </c>
      <c r="C26" s="13">
        <v>46185.0</v>
      </c>
      <c r="D26" s="31" t="s">
        <v>43</v>
      </c>
    </row>
    <row r="27">
      <c r="A27" s="23"/>
      <c r="B27" s="32" t="s">
        <v>101</v>
      </c>
      <c r="C27" s="13">
        <v>46185.0</v>
      </c>
      <c r="D27" s="31" t="s">
        <v>43</v>
      </c>
    </row>
    <row r="28">
      <c r="A28" s="23"/>
      <c r="B28" s="32" t="s">
        <v>105</v>
      </c>
      <c r="C28" s="13">
        <v>46185.0</v>
      </c>
      <c r="D28" s="31" t="s">
        <v>43</v>
      </c>
    </row>
    <row r="29">
      <c r="A29" s="23"/>
      <c r="B29" s="32" t="s">
        <v>108</v>
      </c>
      <c r="C29" s="13">
        <v>46185.0</v>
      </c>
      <c r="D29" s="31" t="s">
        <v>43</v>
      </c>
    </row>
    <row r="30">
      <c r="A30" s="23"/>
      <c r="B30" s="32" t="s">
        <v>110</v>
      </c>
      <c r="C30" s="13">
        <v>46185.0</v>
      </c>
      <c r="D30" s="31" t="s">
        <v>43</v>
      </c>
    </row>
    <row r="31">
      <c r="A31" s="23"/>
      <c r="B31" s="32" t="s">
        <v>112</v>
      </c>
      <c r="C31" s="13">
        <v>46185.0</v>
      </c>
      <c r="D31" s="31" t="s">
        <v>43</v>
      </c>
    </row>
    <row r="32">
      <c r="A32" s="23"/>
      <c r="B32" s="32" t="s">
        <v>114</v>
      </c>
      <c r="C32" s="13">
        <v>46185.0</v>
      </c>
      <c r="D32" s="31" t="s">
        <v>43</v>
      </c>
    </row>
    <row r="33">
      <c r="A33" s="23"/>
      <c r="B33" s="32" t="s">
        <v>115</v>
      </c>
      <c r="C33" s="13">
        <v>46185.0</v>
      </c>
      <c r="D33" s="31" t="s">
        <v>43</v>
      </c>
    </row>
    <row r="34">
      <c r="A34" s="36"/>
      <c r="B34" s="32" t="s">
        <v>116</v>
      </c>
      <c r="C34" s="13">
        <v>46185.0</v>
      </c>
      <c r="D34" s="31" t="s">
        <v>43</v>
      </c>
    </row>
    <row r="35">
      <c r="A35" s="28">
        <v>3.0</v>
      </c>
      <c r="B35" s="38" t="s">
        <v>117</v>
      </c>
      <c r="C35" s="13">
        <v>46186.0</v>
      </c>
      <c r="D35" s="31" t="s">
        <v>43</v>
      </c>
    </row>
    <row r="36">
      <c r="A36" s="23"/>
      <c r="B36" s="32" t="s">
        <v>118</v>
      </c>
      <c r="C36" s="13">
        <v>46186.0</v>
      </c>
      <c r="D36" s="31" t="s">
        <v>43</v>
      </c>
    </row>
    <row r="37">
      <c r="A37" s="23"/>
      <c r="B37" s="32" t="s">
        <v>119</v>
      </c>
      <c r="C37" s="13">
        <v>46186.0</v>
      </c>
      <c r="D37" s="31" t="s">
        <v>43</v>
      </c>
    </row>
    <row r="38">
      <c r="A38" s="23"/>
      <c r="B38" s="32" t="s">
        <v>122</v>
      </c>
      <c r="C38" s="13">
        <v>46186.0</v>
      </c>
      <c r="D38" s="31" t="s">
        <v>43</v>
      </c>
    </row>
    <row r="39">
      <c r="A39" s="23"/>
      <c r="B39" s="32" t="s">
        <v>124</v>
      </c>
      <c r="C39" s="13">
        <v>46186.0</v>
      </c>
      <c r="D39" s="31" t="s">
        <v>43</v>
      </c>
    </row>
    <row r="40">
      <c r="A40" s="23"/>
      <c r="B40" s="32" t="s">
        <v>125</v>
      </c>
      <c r="C40" s="13">
        <v>46186.0</v>
      </c>
      <c r="D40" s="31" t="s">
        <v>43</v>
      </c>
    </row>
    <row r="41">
      <c r="A41" s="23"/>
      <c r="B41" s="32" t="s">
        <v>126</v>
      </c>
      <c r="C41" s="13">
        <v>46186.0</v>
      </c>
      <c r="D41" s="31" t="s">
        <v>43</v>
      </c>
    </row>
    <row r="42">
      <c r="A42" s="23"/>
      <c r="B42" s="32" t="s">
        <v>127</v>
      </c>
      <c r="C42" s="13">
        <v>46186.0</v>
      </c>
      <c r="D42" s="31" t="s">
        <v>43</v>
      </c>
    </row>
    <row r="43">
      <c r="A43" s="23"/>
      <c r="B43" s="32" t="s">
        <v>128</v>
      </c>
      <c r="C43" s="13">
        <v>46186.0</v>
      </c>
      <c r="D43" s="31" t="s">
        <v>43</v>
      </c>
    </row>
    <row r="44">
      <c r="A44" s="23"/>
      <c r="B44" s="32" t="s">
        <v>129</v>
      </c>
      <c r="C44" s="13">
        <v>46186.0</v>
      </c>
      <c r="D44" s="31" t="s">
        <v>43</v>
      </c>
    </row>
    <row r="45">
      <c r="A45" s="23"/>
      <c r="B45" s="32" t="s">
        <v>130</v>
      </c>
      <c r="C45" s="13">
        <v>46186.0</v>
      </c>
      <c r="D45" s="31" t="s">
        <v>43</v>
      </c>
    </row>
    <row r="46">
      <c r="A46" s="23"/>
      <c r="B46" s="32" t="s">
        <v>131</v>
      </c>
      <c r="C46" s="13">
        <v>46186.0</v>
      </c>
      <c r="D46" s="31" t="s">
        <v>43</v>
      </c>
    </row>
    <row r="47">
      <c r="A47" s="36"/>
      <c r="B47" s="32" t="s">
        <v>132</v>
      </c>
      <c r="C47" s="13">
        <v>46186.0</v>
      </c>
      <c r="D47" s="31" t="s">
        <v>43</v>
      </c>
    </row>
    <row r="48">
      <c r="A48" s="28">
        <v>4.0</v>
      </c>
      <c r="B48" s="48" t="s">
        <v>133</v>
      </c>
      <c r="C48" s="13">
        <v>46188.0</v>
      </c>
      <c r="D48" s="31" t="s">
        <v>43</v>
      </c>
    </row>
    <row r="49">
      <c r="A49" s="23"/>
      <c r="B49" s="32" t="s">
        <v>134</v>
      </c>
      <c r="C49" s="13">
        <v>46188.0</v>
      </c>
      <c r="D49" s="31" t="s">
        <v>43</v>
      </c>
    </row>
    <row r="50">
      <c r="A50" s="23"/>
      <c r="B50" s="32" t="s">
        <v>136</v>
      </c>
      <c r="C50" s="13">
        <v>46188.0</v>
      </c>
      <c r="D50" s="31" t="s">
        <v>43</v>
      </c>
    </row>
    <row r="51">
      <c r="A51" s="23"/>
      <c r="B51" s="32" t="s">
        <v>137</v>
      </c>
      <c r="C51" s="13">
        <v>46188.0</v>
      </c>
      <c r="D51" s="31" t="s">
        <v>43</v>
      </c>
    </row>
    <row r="52">
      <c r="A52" s="23"/>
      <c r="B52" s="32" t="s">
        <v>138</v>
      </c>
      <c r="C52" s="13">
        <v>46188.0</v>
      </c>
      <c r="D52" s="31" t="s">
        <v>43</v>
      </c>
    </row>
    <row r="53">
      <c r="A53" s="23"/>
      <c r="B53" s="32" t="s">
        <v>139</v>
      </c>
      <c r="C53" s="13">
        <v>46188.0</v>
      </c>
      <c r="D53" s="31" t="s">
        <v>43</v>
      </c>
    </row>
    <row r="54">
      <c r="A54" s="23"/>
      <c r="B54" s="32" t="s">
        <v>140</v>
      </c>
      <c r="C54" s="13">
        <v>46188.0</v>
      </c>
      <c r="D54" s="31" t="s">
        <v>43</v>
      </c>
    </row>
    <row r="55">
      <c r="A55" s="23"/>
      <c r="B55" s="32" t="s">
        <v>141</v>
      </c>
      <c r="C55" s="13">
        <v>46188.0</v>
      </c>
      <c r="D55" s="31" t="s">
        <v>43</v>
      </c>
    </row>
    <row r="56">
      <c r="A56" s="23"/>
      <c r="B56" s="32" t="s">
        <v>142</v>
      </c>
      <c r="C56" s="13">
        <v>46188.0</v>
      </c>
      <c r="D56" s="31" t="s">
        <v>43</v>
      </c>
    </row>
    <row r="57">
      <c r="A57" s="23"/>
      <c r="B57" s="32" t="s">
        <v>143</v>
      </c>
      <c r="C57" s="13">
        <v>46188.0</v>
      </c>
      <c r="D57" s="31" t="s">
        <v>43</v>
      </c>
    </row>
    <row r="58">
      <c r="A58" s="23"/>
      <c r="B58" s="32" t="s">
        <v>144</v>
      </c>
      <c r="C58" s="13">
        <v>46188.0</v>
      </c>
      <c r="D58" s="31" t="s">
        <v>43</v>
      </c>
    </row>
    <row r="59">
      <c r="A59" s="23"/>
      <c r="B59" s="32" t="s">
        <v>145</v>
      </c>
      <c r="C59" s="13">
        <v>46188.0</v>
      </c>
      <c r="D59" s="31" t="s">
        <v>43</v>
      </c>
    </row>
    <row r="60">
      <c r="A60" s="36"/>
      <c r="B60" s="32" t="s">
        <v>146</v>
      </c>
      <c r="C60" s="13">
        <v>46188.0</v>
      </c>
      <c r="D60" s="31" t="s">
        <v>43</v>
      </c>
    </row>
    <row r="61">
      <c r="A61" s="28">
        <v>5.0</v>
      </c>
      <c r="B61" s="38" t="s">
        <v>147</v>
      </c>
      <c r="C61" s="13">
        <v>46189.0</v>
      </c>
      <c r="D61" s="31" t="s">
        <v>43</v>
      </c>
    </row>
    <row r="62">
      <c r="A62" s="23"/>
      <c r="B62" s="32" t="s">
        <v>149</v>
      </c>
      <c r="C62" s="13">
        <v>46189.0</v>
      </c>
      <c r="D62" s="31" t="s">
        <v>43</v>
      </c>
    </row>
    <row r="63">
      <c r="A63" s="23"/>
      <c r="B63" s="32" t="s">
        <v>150</v>
      </c>
      <c r="C63" s="13">
        <v>46189.0</v>
      </c>
      <c r="D63" s="31" t="s">
        <v>43</v>
      </c>
    </row>
    <row r="64">
      <c r="A64" s="23"/>
      <c r="B64" s="32" t="s">
        <v>151</v>
      </c>
      <c r="C64" s="13">
        <v>46189.0</v>
      </c>
      <c r="D64" s="31" t="s">
        <v>43</v>
      </c>
    </row>
    <row r="65">
      <c r="A65" s="23"/>
      <c r="B65" s="32" t="s">
        <v>152</v>
      </c>
      <c r="C65" s="13">
        <v>46189.0</v>
      </c>
      <c r="D65" s="31" t="s">
        <v>43</v>
      </c>
    </row>
    <row r="66">
      <c r="A66" s="23"/>
      <c r="B66" s="32" t="s">
        <v>153</v>
      </c>
      <c r="C66" s="13">
        <v>46189.0</v>
      </c>
      <c r="D66" s="31" t="s">
        <v>43</v>
      </c>
    </row>
    <row r="67">
      <c r="A67" s="23"/>
      <c r="B67" s="32" t="s">
        <v>154</v>
      </c>
      <c r="C67" s="13">
        <v>46189.0</v>
      </c>
      <c r="D67" s="31" t="s">
        <v>43</v>
      </c>
    </row>
    <row r="68">
      <c r="A68" s="23"/>
      <c r="B68" s="32" t="s">
        <v>155</v>
      </c>
      <c r="C68" s="13">
        <v>46190.0</v>
      </c>
      <c r="D68" s="31" t="s">
        <v>43</v>
      </c>
    </row>
    <row r="69">
      <c r="A69" s="23"/>
      <c r="B69" s="32" t="s">
        <v>156</v>
      </c>
      <c r="C69" s="13">
        <v>46190.0</v>
      </c>
      <c r="D69" s="31" t="s">
        <v>43</v>
      </c>
    </row>
    <row r="70">
      <c r="A70" s="23"/>
      <c r="B70" s="32" t="s">
        <v>157</v>
      </c>
      <c r="C70" s="13">
        <v>46190.0</v>
      </c>
      <c r="D70" s="31" t="s">
        <v>43</v>
      </c>
    </row>
    <row r="71">
      <c r="A71" s="23"/>
      <c r="B71" s="32" t="s">
        <v>159</v>
      </c>
      <c r="C71" s="13">
        <v>46190.0</v>
      </c>
      <c r="D71" s="31" t="s">
        <v>43</v>
      </c>
    </row>
    <row r="72">
      <c r="A72" s="23"/>
      <c r="B72" s="32" t="s">
        <v>160</v>
      </c>
      <c r="C72" s="13">
        <v>46190.0</v>
      </c>
      <c r="D72" s="31" t="s">
        <v>43</v>
      </c>
    </row>
    <row r="73">
      <c r="A73" s="36"/>
      <c r="B73" s="50" t="s">
        <v>161</v>
      </c>
      <c r="C73" s="13">
        <v>46190.0</v>
      </c>
      <c r="D73" s="31" t="s">
        <v>43</v>
      </c>
    </row>
    <row r="74">
      <c r="A74" s="28">
        <v>6.0</v>
      </c>
      <c r="B74" s="38" t="s">
        <v>162</v>
      </c>
      <c r="C74" s="13">
        <v>46191.0</v>
      </c>
      <c r="D74" s="31" t="s">
        <v>43</v>
      </c>
    </row>
    <row r="75">
      <c r="A75" s="23"/>
      <c r="B75" s="32" t="s">
        <v>163</v>
      </c>
      <c r="C75" s="13">
        <v>46191.0</v>
      </c>
      <c r="D75" s="31" t="s">
        <v>43</v>
      </c>
    </row>
    <row r="76">
      <c r="A76" s="23"/>
      <c r="B76" s="32" t="s">
        <v>164</v>
      </c>
      <c r="C76" s="13">
        <v>46191.0</v>
      </c>
      <c r="D76" s="31" t="s">
        <v>43</v>
      </c>
    </row>
    <row r="77">
      <c r="A77" s="23"/>
      <c r="B77" s="32" t="s">
        <v>166</v>
      </c>
      <c r="C77" s="13">
        <v>46191.0</v>
      </c>
      <c r="D77" s="31" t="s">
        <v>43</v>
      </c>
    </row>
    <row r="78">
      <c r="A78" s="23"/>
      <c r="B78" s="32" t="s">
        <v>167</v>
      </c>
      <c r="C78" s="13">
        <v>46191.0</v>
      </c>
      <c r="D78" s="31" t="s">
        <v>43</v>
      </c>
    </row>
    <row r="79">
      <c r="A79" s="23"/>
      <c r="B79" s="32" t="s">
        <v>168</v>
      </c>
      <c r="C79" s="13">
        <v>46191.0</v>
      </c>
      <c r="D79" s="31" t="s">
        <v>43</v>
      </c>
    </row>
    <row r="80">
      <c r="A80" s="23"/>
      <c r="B80" s="32" t="s">
        <v>169</v>
      </c>
      <c r="C80" s="13">
        <v>46191.0</v>
      </c>
      <c r="D80" s="31" t="s">
        <v>43</v>
      </c>
    </row>
    <row r="81">
      <c r="A81" s="23"/>
      <c r="B81" s="32" t="s">
        <v>170</v>
      </c>
      <c r="C81" s="13">
        <v>46191.0</v>
      </c>
      <c r="D81" s="31" t="s">
        <v>43</v>
      </c>
    </row>
    <row r="82">
      <c r="A82" s="23"/>
      <c r="B82" s="32" t="s">
        <v>171</v>
      </c>
      <c r="C82" s="13">
        <v>46191.0</v>
      </c>
      <c r="D82" s="31" t="s">
        <v>43</v>
      </c>
    </row>
    <row r="83">
      <c r="A83" s="36"/>
      <c r="B83" s="32" t="s">
        <v>172</v>
      </c>
      <c r="C83" s="13">
        <v>46191.0</v>
      </c>
      <c r="D83" s="31" t="s">
        <v>43</v>
      </c>
    </row>
    <row r="84">
      <c r="A84" s="28">
        <v>7.0</v>
      </c>
      <c r="B84" s="48" t="s">
        <v>173</v>
      </c>
      <c r="C84" s="13">
        <v>46192.0</v>
      </c>
      <c r="D84" s="31" t="s">
        <v>43</v>
      </c>
    </row>
    <row r="85">
      <c r="A85" s="23"/>
      <c r="B85" s="32" t="s">
        <v>174</v>
      </c>
      <c r="C85" s="13">
        <v>46192.0</v>
      </c>
      <c r="D85" s="31" t="s">
        <v>43</v>
      </c>
    </row>
    <row r="86">
      <c r="A86" s="23"/>
      <c r="B86" s="32" t="s">
        <v>175</v>
      </c>
      <c r="C86" s="13">
        <v>46192.0</v>
      </c>
      <c r="D86" s="31" t="s">
        <v>43</v>
      </c>
    </row>
    <row r="87">
      <c r="A87" s="23"/>
      <c r="B87" s="32" t="s">
        <v>177</v>
      </c>
      <c r="C87" s="13">
        <v>46192.0</v>
      </c>
      <c r="D87" s="31" t="s">
        <v>43</v>
      </c>
    </row>
    <row r="88">
      <c r="A88" s="23"/>
      <c r="B88" s="32" t="s">
        <v>178</v>
      </c>
      <c r="C88" s="13">
        <v>46192.0</v>
      </c>
      <c r="D88" s="31" t="s">
        <v>43</v>
      </c>
    </row>
    <row r="89">
      <c r="A89" s="23"/>
      <c r="B89" s="32" t="s">
        <v>179</v>
      </c>
      <c r="C89" s="13">
        <v>46192.0</v>
      </c>
      <c r="D89" s="31" t="s">
        <v>43</v>
      </c>
    </row>
    <row r="90">
      <c r="A90" s="23"/>
      <c r="B90" s="32" t="s">
        <v>180</v>
      </c>
      <c r="C90" s="13">
        <v>46192.0</v>
      </c>
      <c r="D90" s="31" t="s">
        <v>43</v>
      </c>
    </row>
    <row r="91">
      <c r="A91" s="23"/>
      <c r="B91" s="32" t="s">
        <v>181</v>
      </c>
      <c r="C91" s="13">
        <v>46192.0</v>
      </c>
      <c r="D91" s="31" t="s">
        <v>43</v>
      </c>
    </row>
    <row r="92">
      <c r="A92" s="23"/>
      <c r="B92" s="32" t="s">
        <v>182</v>
      </c>
      <c r="C92" s="13">
        <v>46192.0</v>
      </c>
      <c r="D92" s="31" t="s">
        <v>43</v>
      </c>
    </row>
    <row r="93">
      <c r="A93" s="23"/>
      <c r="B93" s="32" t="s">
        <v>185</v>
      </c>
      <c r="C93" s="13">
        <v>46192.0</v>
      </c>
      <c r="D93" s="31" t="s">
        <v>43</v>
      </c>
    </row>
    <row r="94">
      <c r="A94" s="23"/>
      <c r="B94" s="32" t="s">
        <v>186</v>
      </c>
      <c r="C94" s="13">
        <v>46192.0</v>
      </c>
      <c r="D94" s="31" t="s">
        <v>43</v>
      </c>
    </row>
    <row r="95">
      <c r="A95" s="23"/>
      <c r="B95" s="32" t="s">
        <v>188</v>
      </c>
      <c r="C95" s="13">
        <v>46192.0</v>
      </c>
      <c r="D95" s="31" t="s">
        <v>43</v>
      </c>
    </row>
    <row r="96">
      <c r="A96" s="36"/>
      <c r="B96" s="32" t="s">
        <v>189</v>
      </c>
      <c r="C96" s="13">
        <v>46192.0</v>
      </c>
      <c r="D96" s="31" t="s">
        <v>43</v>
      </c>
    </row>
    <row r="97">
      <c r="A97" s="28">
        <v>8.0</v>
      </c>
      <c r="B97" s="48" t="s">
        <v>190</v>
      </c>
      <c r="C97" s="13">
        <v>46193.0</v>
      </c>
      <c r="D97" s="31" t="s">
        <v>43</v>
      </c>
    </row>
    <row r="98">
      <c r="A98" s="23"/>
      <c r="B98" s="32" t="s">
        <v>191</v>
      </c>
      <c r="C98" s="13">
        <v>46193.0</v>
      </c>
      <c r="D98" s="31" t="s">
        <v>43</v>
      </c>
    </row>
    <row r="99">
      <c r="A99" s="23"/>
      <c r="B99" s="32" t="s">
        <v>192</v>
      </c>
      <c r="C99" s="13">
        <v>46193.0</v>
      </c>
      <c r="D99" s="31" t="s">
        <v>43</v>
      </c>
    </row>
    <row r="100">
      <c r="A100" s="23"/>
      <c r="B100" s="32" t="s">
        <v>193</v>
      </c>
      <c r="C100" s="13">
        <v>46193.0</v>
      </c>
      <c r="D100" s="31" t="s">
        <v>43</v>
      </c>
    </row>
    <row r="101">
      <c r="A101" s="23"/>
      <c r="B101" s="32" t="s">
        <v>194</v>
      </c>
      <c r="C101" s="13">
        <v>46193.0</v>
      </c>
      <c r="D101" s="31" t="s">
        <v>43</v>
      </c>
    </row>
    <row r="102">
      <c r="A102" s="23"/>
      <c r="B102" s="32" t="s">
        <v>195</v>
      </c>
      <c r="C102" s="13">
        <v>46193.0</v>
      </c>
      <c r="D102" s="31" t="s">
        <v>43</v>
      </c>
    </row>
    <row r="103">
      <c r="A103" s="23"/>
      <c r="B103" s="32" t="s">
        <v>196</v>
      </c>
      <c r="C103" s="13">
        <v>46193.0</v>
      </c>
      <c r="D103" s="31" t="s">
        <v>43</v>
      </c>
    </row>
    <row r="104">
      <c r="A104" s="23"/>
      <c r="B104" s="32" t="s">
        <v>198</v>
      </c>
      <c r="C104" s="13">
        <v>46193.0</v>
      </c>
      <c r="D104" s="31" t="s">
        <v>43</v>
      </c>
    </row>
    <row r="105">
      <c r="A105" s="23"/>
      <c r="B105" s="32" t="s">
        <v>199</v>
      </c>
      <c r="C105" s="13">
        <v>46193.0</v>
      </c>
      <c r="D105" s="31" t="s">
        <v>43</v>
      </c>
    </row>
    <row r="106">
      <c r="A106" s="23"/>
      <c r="B106" s="32" t="s">
        <v>200</v>
      </c>
      <c r="C106" s="13">
        <v>46193.0</v>
      </c>
      <c r="D106" s="31" t="s">
        <v>43</v>
      </c>
    </row>
    <row r="107">
      <c r="A107" s="23"/>
      <c r="B107" s="32" t="s">
        <v>201</v>
      </c>
      <c r="C107" s="13">
        <v>46193.0</v>
      </c>
      <c r="D107" s="31" t="s">
        <v>43</v>
      </c>
    </row>
    <row r="108">
      <c r="A108" s="36"/>
      <c r="B108" s="32" t="s">
        <v>202</v>
      </c>
      <c r="C108" s="13">
        <v>46193.0</v>
      </c>
      <c r="D108" s="31" t="s">
        <v>43</v>
      </c>
    </row>
    <row r="109">
      <c r="A109" s="28">
        <v>9.0</v>
      </c>
      <c r="B109" s="48" t="s">
        <v>203</v>
      </c>
      <c r="C109" s="13">
        <v>46195.0</v>
      </c>
      <c r="D109" s="31" t="s">
        <v>43</v>
      </c>
    </row>
    <row r="110">
      <c r="A110" s="23"/>
      <c r="B110" s="32" t="s">
        <v>204</v>
      </c>
      <c r="C110" s="13">
        <v>46195.0</v>
      </c>
      <c r="D110" s="31" t="s">
        <v>43</v>
      </c>
    </row>
    <row r="111">
      <c r="A111" s="23"/>
      <c r="B111" s="32" t="s">
        <v>205</v>
      </c>
      <c r="C111" s="13">
        <v>46195.0</v>
      </c>
      <c r="D111" s="31" t="s">
        <v>43</v>
      </c>
    </row>
    <row r="112">
      <c r="A112" s="23"/>
      <c r="B112" s="32" t="s">
        <v>206</v>
      </c>
      <c r="C112" s="13">
        <v>46195.0</v>
      </c>
      <c r="D112" s="31" t="s">
        <v>43</v>
      </c>
    </row>
    <row r="113">
      <c r="A113" s="23"/>
      <c r="B113" s="32" t="s">
        <v>208</v>
      </c>
      <c r="C113" s="13">
        <v>46195.0</v>
      </c>
      <c r="D113" s="31" t="s">
        <v>43</v>
      </c>
    </row>
    <row r="114">
      <c r="A114" s="23"/>
      <c r="B114" s="32" t="s">
        <v>209</v>
      </c>
      <c r="C114" s="13">
        <v>46195.0</v>
      </c>
      <c r="D114" s="31" t="s">
        <v>43</v>
      </c>
    </row>
    <row r="115">
      <c r="A115" s="23"/>
      <c r="B115" s="32" t="s">
        <v>210</v>
      </c>
      <c r="C115" s="13">
        <v>46195.0</v>
      </c>
      <c r="D115" s="31" t="s">
        <v>43</v>
      </c>
    </row>
    <row r="116">
      <c r="A116" s="23"/>
      <c r="B116" s="32" t="s">
        <v>211</v>
      </c>
      <c r="C116" s="13">
        <v>46195.0</v>
      </c>
      <c r="D116" s="31" t="s">
        <v>43</v>
      </c>
    </row>
    <row r="117">
      <c r="A117" s="23"/>
      <c r="B117" s="32" t="s">
        <v>212</v>
      </c>
      <c r="C117" s="13">
        <v>46195.0</v>
      </c>
      <c r="D117" s="31" t="s">
        <v>43</v>
      </c>
    </row>
    <row r="118">
      <c r="A118" s="23"/>
      <c r="B118" s="32" t="s">
        <v>213</v>
      </c>
      <c r="C118" s="13">
        <v>46195.0</v>
      </c>
      <c r="D118" s="31" t="s">
        <v>43</v>
      </c>
    </row>
    <row r="119">
      <c r="A119" s="23"/>
      <c r="B119" s="32" t="s">
        <v>214</v>
      </c>
      <c r="C119" s="13">
        <v>46195.0</v>
      </c>
      <c r="D119" s="31" t="s">
        <v>43</v>
      </c>
    </row>
    <row r="120">
      <c r="A120" s="23"/>
      <c r="B120" s="32" t="s">
        <v>215</v>
      </c>
      <c r="C120" s="13">
        <v>46195.0</v>
      </c>
      <c r="D120" s="31" t="s">
        <v>43</v>
      </c>
    </row>
    <row r="121">
      <c r="A121" s="23"/>
      <c r="B121" s="32" t="s">
        <v>216</v>
      </c>
      <c r="C121" s="13">
        <v>46195.0</v>
      </c>
      <c r="D121" s="31" t="s">
        <v>43</v>
      </c>
    </row>
    <row r="122">
      <c r="A122" s="36"/>
      <c r="B122" s="32" t="s">
        <v>217</v>
      </c>
      <c r="C122" s="13">
        <v>46195.0</v>
      </c>
      <c r="D122" s="31" t="s">
        <v>43</v>
      </c>
    </row>
    <row r="123">
      <c r="A123" s="28">
        <v>10.0</v>
      </c>
      <c r="B123" s="48" t="s">
        <v>218</v>
      </c>
      <c r="C123" s="13">
        <v>46196.0</v>
      </c>
      <c r="D123" s="31" t="s">
        <v>43</v>
      </c>
    </row>
    <row r="124">
      <c r="A124" s="23"/>
      <c r="B124" s="32" t="s">
        <v>219</v>
      </c>
      <c r="C124" s="13">
        <v>46196.0</v>
      </c>
      <c r="D124" s="31" t="s">
        <v>43</v>
      </c>
    </row>
    <row r="125">
      <c r="A125" s="23"/>
      <c r="B125" s="32" t="s">
        <v>221</v>
      </c>
      <c r="C125" s="13">
        <v>46196.0</v>
      </c>
      <c r="D125" s="31" t="s">
        <v>43</v>
      </c>
    </row>
    <row r="126">
      <c r="A126" s="23"/>
      <c r="B126" s="32" t="s">
        <v>222</v>
      </c>
      <c r="C126" s="13">
        <v>46196.0</v>
      </c>
      <c r="D126" s="31" t="s">
        <v>43</v>
      </c>
    </row>
    <row r="127">
      <c r="A127" s="23"/>
      <c r="B127" s="32" t="s">
        <v>223</v>
      </c>
      <c r="C127" s="13">
        <v>46196.0</v>
      </c>
      <c r="D127" s="31" t="s">
        <v>43</v>
      </c>
    </row>
    <row r="128">
      <c r="A128" s="23"/>
      <c r="B128" s="32" t="s">
        <v>224</v>
      </c>
      <c r="C128" s="13">
        <v>46196.0</v>
      </c>
      <c r="D128" s="31" t="s">
        <v>43</v>
      </c>
    </row>
    <row r="129">
      <c r="A129" s="23"/>
      <c r="B129" s="32" t="s">
        <v>225</v>
      </c>
      <c r="C129" s="13">
        <v>46196.0</v>
      </c>
      <c r="D129" s="31" t="s">
        <v>43</v>
      </c>
    </row>
    <row r="130">
      <c r="A130" s="23"/>
      <c r="B130" s="32" t="s">
        <v>226</v>
      </c>
      <c r="C130" s="13">
        <v>46196.0</v>
      </c>
      <c r="D130" s="31" t="s">
        <v>43</v>
      </c>
    </row>
    <row r="131">
      <c r="A131" s="23"/>
      <c r="B131" s="32" t="s">
        <v>227</v>
      </c>
      <c r="C131" s="13">
        <v>46196.0</v>
      </c>
      <c r="D131" s="31" t="s">
        <v>43</v>
      </c>
    </row>
    <row r="132">
      <c r="A132" s="23"/>
      <c r="B132" s="32" t="s">
        <v>228</v>
      </c>
      <c r="C132" s="13">
        <v>46196.0</v>
      </c>
      <c r="D132" s="31" t="s">
        <v>43</v>
      </c>
    </row>
    <row r="133">
      <c r="A133" s="23"/>
      <c r="B133" s="32" t="s">
        <v>229</v>
      </c>
      <c r="C133" s="13">
        <v>46196.0</v>
      </c>
      <c r="D133" s="31" t="s">
        <v>43</v>
      </c>
    </row>
    <row r="134">
      <c r="A134" s="23"/>
      <c r="B134" s="32" t="s">
        <v>231</v>
      </c>
      <c r="C134" s="13">
        <v>46196.0</v>
      </c>
      <c r="D134" s="31" t="s">
        <v>43</v>
      </c>
    </row>
    <row r="135">
      <c r="A135" s="36"/>
      <c r="B135" s="32" t="s">
        <v>232</v>
      </c>
      <c r="C135" s="13">
        <v>46196.0</v>
      </c>
      <c r="D135" s="31" t="s">
        <v>43</v>
      </c>
    </row>
    <row r="136">
      <c r="A136" s="28">
        <v>11.0</v>
      </c>
      <c r="B136" s="48" t="s">
        <v>233</v>
      </c>
      <c r="C136" s="13">
        <v>46197.0</v>
      </c>
      <c r="D136" s="31" t="s">
        <v>43</v>
      </c>
    </row>
    <row r="137">
      <c r="A137" s="23"/>
      <c r="B137" s="32" t="s">
        <v>234</v>
      </c>
      <c r="C137" s="13">
        <v>46197.0</v>
      </c>
      <c r="D137" s="31" t="s">
        <v>43</v>
      </c>
    </row>
    <row r="138">
      <c r="A138" s="23"/>
      <c r="B138" s="32" t="s">
        <v>235</v>
      </c>
      <c r="C138" s="13">
        <v>46197.0</v>
      </c>
      <c r="D138" s="31" t="s">
        <v>43</v>
      </c>
    </row>
    <row r="139">
      <c r="A139" s="23"/>
      <c r="B139" s="32" t="s">
        <v>236</v>
      </c>
      <c r="C139" s="13">
        <v>46197.0</v>
      </c>
      <c r="D139" s="31" t="s">
        <v>43</v>
      </c>
    </row>
    <row r="140">
      <c r="A140" s="23"/>
      <c r="B140" s="32" t="s">
        <v>237</v>
      </c>
      <c r="C140" s="13">
        <v>46197.0</v>
      </c>
      <c r="D140" s="31" t="s">
        <v>43</v>
      </c>
    </row>
    <row r="141">
      <c r="A141" s="23"/>
      <c r="B141" s="32" t="s">
        <v>238</v>
      </c>
      <c r="C141" s="13">
        <v>46197.0</v>
      </c>
      <c r="D141" s="31" t="s">
        <v>43</v>
      </c>
    </row>
    <row r="142">
      <c r="A142" s="23"/>
      <c r="B142" s="32" t="s">
        <v>239</v>
      </c>
      <c r="C142" s="13">
        <v>46198.0</v>
      </c>
      <c r="D142" s="31" t="s">
        <v>43</v>
      </c>
    </row>
    <row r="143">
      <c r="A143" s="23"/>
      <c r="B143" s="32" t="s">
        <v>240</v>
      </c>
      <c r="C143" s="13">
        <v>46198.0</v>
      </c>
      <c r="D143" s="31" t="s">
        <v>43</v>
      </c>
    </row>
    <row r="144">
      <c r="A144" s="23"/>
      <c r="B144" s="32" t="s">
        <v>241</v>
      </c>
      <c r="C144" s="13">
        <v>46198.0</v>
      </c>
      <c r="D144" s="31" t="s">
        <v>43</v>
      </c>
    </row>
    <row r="145">
      <c r="A145" s="23"/>
      <c r="B145" s="32" t="s">
        <v>242</v>
      </c>
      <c r="C145" s="13">
        <v>46198.0</v>
      </c>
      <c r="D145" s="31" t="s">
        <v>43</v>
      </c>
    </row>
    <row r="146">
      <c r="A146" s="23"/>
      <c r="B146" s="32" t="s">
        <v>243</v>
      </c>
      <c r="C146" s="13">
        <v>46198.0</v>
      </c>
      <c r="D146" s="31" t="s">
        <v>43</v>
      </c>
    </row>
    <row r="147">
      <c r="A147" s="23"/>
      <c r="B147" s="32" t="s">
        <v>244</v>
      </c>
      <c r="C147" s="13">
        <v>46198.0</v>
      </c>
      <c r="D147" s="31" t="s">
        <v>43</v>
      </c>
    </row>
    <row r="148">
      <c r="A148" s="36"/>
      <c r="B148" s="32" t="s">
        <v>245</v>
      </c>
      <c r="C148" s="13">
        <v>46198.0</v>
      </c>
      <c r="D148" s="31" t="s">
        <v>43</v>
      </c>
    </row>
    <row r="149">
      <c r="A149" s="28">
        <v>12.0</v>
      </c>
      <c r="B149" s="38" t="s">
        <v>246</v>
      </c>
      <c r="C149" s="13">
        <v>46199.0</v>
      </c>
      <c r="D149" s="31" t="s">
        <v>43</v>
      </c>
    </row>
    <row r="150">
      <c r="A150" s="23"/>
      <c r="B150" s="32" t="s">
        <v>247</v>
      </c>
      <c r="C150" s="13">
        <v>46199.0</v>
      </c>
      <c r="D150" s="31" t="s">
        <v>43</v>
      </c>
    </row>
    <row r="151">
      <c r="A151" s="23"/>
      <c r="B151" s="32" t="s">
        <v>248</v>
      </c>
      <c r="C151" s="13">
        <v>46199.0</v>
      </c>
      <c r="D151" s="31" t="s">
        <v>43</v>
      </c>
    </row>
    <row r="152">
      <c r="A152" s="23"/>
      <c r="B152" s="32" t="s">
        <v>249</v>
      </c>
      <c r="C152" s="13">
        <v>46199.0</v>
      </c>
      <c r="D152" s="31" t="s">
        <v>43</v>
      </c>
    </row>
    <row r="153">
      <c r="A153" s="23"/>
      <c r="B153" s="32" t="s">
        <v>250</v>
      </c>
      <c r="C153" s="13">
        <v>46199.0</v>
      </c>
      <c r="D153" s="31" t="s">
        <v>43</v>
      </c>
    </row>
    <row r="154">
      <c r="A154" s="23"/>
      <c r="B154" s="32" t="s">
        <v>251</v>
      </c>
      <c r="C154" s="13">
        <v>46199.0</v>
      </c>
      <c r="D154" s="31" t="s">
        <v>43</v>
      </c>
    </row>
    <row r="155">
      <c r="A155" s="23"/>
      <c r="B155" s="32" t="s">
        <v>252</v>
      </c>
      <c r="C155" s="13">
        <v>46199.0</v>
      </c>
      <c r="D155" s="31" t="s">
        <v>43</v>
      </c>
    </row>
    <row r="156">
      <c r="A156" s="23"/>
      <c r="B156" s="32" t="s">
        <v>253</v>
      </c>
      <c r="C156" s="13">
        <v>46199.0</v>
      </c>
      <c r="D156" s="31" t="s">
        <v>43</v>
      </c>
    </row>
    <row r="157">
      <c r="A157" s="23"/>
      <c r="B157" s="32" t="s">
        <v>254</v>
      </c>
      <c r="C157" s="13">
        <v>46199.0</v>
      </c>
      <c r="D157" s="31" t="s">
        <v>43</v>
      </c>
    </row>
    <row r="158">
      <c r="A158" s="23"/>
      <c r="B158" s="32" t="s">
        <v>255</v>
      </c>
      <c r="C158" s="13">
        <v>46199.0</v>
      </c>
      <c r="D158" s="31" t="s">
        <v>43</v>
      </c>
    </row>
    <row r="159">
      <c r="A159" s="23"/>
      <c r="B159" s="32" t="s">
        <v>256</v>
      </c>
      <c r="C159" s="13">
        <v>46199.0</v>
      </c>
      <c r="D159" s="31" t="s">
        <v>43</v>
      </c>
    </row>
    <row r="160">
      <c r="A160" s="23"/>
      <c r="B160" s="32" t="s">
        <v>257</v>
      </c>
      <c r="C160" s="13">
        <v>46199.0</v>
      </c>
      <c r="D160" s="31" t="s">
        <v>43</v>
      </c>
    </row>
    <row r="161">
      <c r="A161" s="23"/>
      <c r="B161" s="32" t="s">
        <v>258</v>
      </c>
      <c r="C161" s="13">
        <v>46199.0</v>
      </c>
      <c r="D161" s="31" t="s">
        <v>43</v>
      </c>
    </row>
    <row r="162">
      <c r="A162" s="23"/>
      <c r="B162" s="32" t="s">
        <v>259</v>
      </c>
      <c r="C162" s="13">
        <v>46200.0</v>
      </c>
      <c r="D162" s="31" t="s">
        <v>43</v>
      </c>
    </row>
    <row r="163">
      <c r="A163" s="36"/>
      <c r="B163" s="32" t="s">
        <v>260</v>
      </c>
      <c r="C163" s="13">
        <v>46200.0</v>
      </c>
      <c r="D163" s="31" t="s">
        <v>43</v>
      </c>
    </row>
    <row r="164">
      <c r="A164" s="28">
        <v>13.0</v>
      </c>
      <c r="B164" s="38" t="s">
        <v>261</v>
      </c>
      <c r="C164" s="13">
        <v>46202.0</v>
      </c>
      <c r="D164" s="31" t="s">
        <v>43</v>
      </c>
    </row>
    <row r="165">
      <c r="A165" s="23"/>
      <c r="B165" s="32" t="s">
        <v>262</v>
      </c>
      <c r="C165" s="13">
        <v>46202.0</v>
      </c>
      <c r="D165" s="31" t="s">
        <v>43</v>
      </c>
    </row>
    <row r="166">
      <c r="A166" s="23"/>
      <c r="B166" s="32" t="s">
        <v>263</v>
      </c>
      <c r="C166" s="13">
        <v>46202.0</v>
      </c>
      <c r="D166" s="31" t="s">
        <v>43</v>
      </c>
    </row>
    <row r="167">
      <c r="A167" s="23"/>
      <c r="B167" s="32" t="s">
        <v>264</v>
      </c>
      <c r="C167" s="13">
        <v>46202.0</v>
      </c>
      <c r="D167" s="31" t="s">
        <v>43</v>
      </c>
    </row>
    <row r="168">
      <c r="A168" s="23"/>
      <c r="B168" s="32" t="s">
        <v>265</v>
      </c>
      <c r="C168" s="13">
        <v>46202.0</v>
      </c>
      <c r="D168" s="31" t="s">
        <v>43</v>
      </c>
    </row>
    <row r="169">
      <c r="A169" s="23"/>
      <c r="B169" s="32" t="s">
        <v>266</v>
      </c>
      <c r="C169" s="13">
        <v>46202.0</v>
      </c>
      <c r="D169" s="31" t="s">
        <v>43</v>
      </c>
    </row>
    <row r="170">
      <c r="A170" s="23"/>
      <c r="B170" s="32" t="s">
        <v>267</v>
      </c>
      <c r="C170" s="13">
        <v>46202.0</v>
      </c>
      <c r="D170" s="31" t="s">
        <v>43</v>
      </c>
    </row>
    <row r="171">
      <c r="A171" s="23"/>
      <c r="B171" s="32" t="s">
        <v>268</v>
      </c>
      <c r="C171" s="13">
        <v>46202.0</v>
      </c>
      <c r="D171" s="31" t="s">
        <v>43</v>
      </c>
    </row>
    <row r="172">
      <c r="A172" s="23"/>
      <c r="B172" s="32" t="s">
        <v>269</v>
      </c>
      <c r="C172" s="13">
        <v>46202.0</v>
      </c>
      <c r="D172" s="31" t="s">
        <v>43</v>
      </c>
    </row>
    <row r="173">
      <c r="A173" s="23"/>
      <c r="B173" s="32" t="s">
        <v>270</v>
      </c>
      <c r="C173" s="13">
        <v>46202.0</v>
      </c>
      <c r="D173" s="31" t="s">
        <v>43</v>
      </c>
    </row>
    <row r="174">
      <c r="A174" s="23"/>
      <c r="B174" s="32" t="s">
        <v>271</v>
      </c>
      <c r="C174" s="13">
        <v>46202.0</v>
      </c>
      <c r="D174" s="31" t="s">
        <v>43</v>
      </c>
    </row>
    <row r="175">
      <c r="A175" s="23"/>
      <c r="B175" s="32" t="s">
        <v>272</v>
      </c>
      <c r="C175" s="13">
        <v>46202.0</v>
      </c>
      <c r="D175" s="31" t="s">
        <v>43</v>
      </c>
    </row>
    <row r="176">
      <c r="A176" s="36"/>
      <c r="B176" s="32" t="s">
        <v>273</v>
      </c>
      <c r="C176" s="13">
        <v>46202.0</v>
      </c>
      <c r="D176" s="31" t="s">
        <v>43</v>
      </c>
    </row>
    <row r="177">
      <c r="A177" s="28">
        <v>14.0</v>
      </c>
      <c r="B177" s="38" t="s">
        <v>274</v>
      </c>
      <c r="C177" s="13">
        <v>46203.0</v>
      </c>
      <c r="D177" s="31" t="s">
        <v>43</v>
      </c>
    </row>
    <row r="178">
      <c r="A178" s="23"/>
      <c r="B178" s="32" t="s">
        <v>275</v>
      </c>
      <c r="C178" s="13">
        <v>46203.0</v>
      </c>
      <c r="D178" s="31" t="s">
        <v>43</v>
      </c>
    </row>
    <row r="179">
      <c r="A179" s="23"/>
      <c r="B179" s="32" t="s">
        <v>276</v>
      </c>
      <c r="C179" s="13">
        <v>46203.0</v>
      </c>
      <c r="D179" s="31" t="s">
        <v>43</v>
      </c>
    </row>
    <row r="180">
      <c r="A180" s="23"/>
      <c r="B180" s="32" t="s">
        <v>277</v>
      </c>
      <c r="C180" s="13">
        <v>46203.0</v>
      </c>
      <c r="D180" s="31" t="s">
        <v>43</v>
      </c>
    </row>
    <row r="181">
      <c r="A181" s="23"/>
      <c r="B181" s="32" t="s">
        <v>278</v>
      </c>
      <c r="C181" s="13">
        <v>46203.0</v>
      </c>
      <c r="D181" s="31" t="s">
        <v>43</v>
      </c>
    </row>
    <row r="182">
      <c r="A182" s="23"/>
      <c r="B182" s="32" t="s">
        <v>279</v>
      </c>
      <c r="C182" s="13">
        <v>46203.0</v>
      </c>
      <c r="D182" s="31" t="s">
        <v>43</v>
      </c>
    </row>
    <row r="183">
      <c r="A183" s="23"/>
      <c r="B183" s="32" t="s">
        <v>280</v>
      </c>
      <c r="C183" s="13">
        <v>46203.0</v>
      </c>
      <c r="D183" s="31" t="s">
        <v>43</v>
      </c>
    </row>
    <row r="184">
      <c r="A184" s="23"/>
      <c r="B184" s="32" t="s">
        <v>281</v>
      </c>
      <c r="C184" s="13">
        <v>46203.0</v>
      </c>
      <c r="D184" s="31" t="s">
        <v>43</v>
      </c>
    </row>
    <row r="185">
      <c r="A185" s="23"/>
      <c r="B185" s="32" t="s">
        <v>282</v>
      </c>
      <c r="C185" s="13">
        <v>46203.0</v>
      </c>
      <c r="D185" s="31" t="s">
        <v>43</v>
      </c>
    </row>
    <row r="186">
      <c r="A186" s="36"/>
      <c r="B186" s="32" t="s">
        <v>283</v>
      </c>
      <c r="C186" s="13">
        <v>46203.0</v>
      </c>
      <c r="D186" s="31" t="s">
        <v>43</v>
      </c>
    </row>
    <row r="187">
      <c r="A187" s="28">
        <v>15.0</v>
      </c>
      <c r="B187" s="38" t="s">
        <v>284</v>
      </c>
      <c r="C187" s="13">
        <v>46204.0</v>
      </c>
      <c r="D187" s="31" t="s">
        <v>43</v>
      </c>
    </row>
    <row r="188">
      <c r="A188" s="23"/>
      <c r="B188" s="32" t="s">
        <v>285</v>
      </c>
      <c r="C188" s="13">
        <v>46204.0</v>
      </c>
      <c r="D188" s="31" t="s">
        <v>43</v>
      </c>
    </row>
    <row r="189">
      <c r="A189" s="23"/>
      <c r="B189" s="32" t="s">
        <v>286</v>
      </c>
      <c r="C189" s="13">
        <v>46204.0</v>
      </c>
      <c r="D189" s="31" t="s">
        <v>43</v>
      </c>
    </row>
    <row r="190">
      <c r="A190" s="23"/>
      <c r="B190" s="32" t="s">
        <v>287</v>
      </c>
      <c r="C190" s="13">
        <v>46204.0</v>
      </c>
      <c r="D190" s="31" t="s">
        <v>43</v>
      </c>
    </row>
    <row r="191">
      <c r="A191" s="23"/>
      <c r="B191" s="32" t="s">
        <v>288</v>
      </c>
      <c r="C191" s="13">
        <v>46204.0</v>
      </c>
      <c r="D191" s="31" t="s">
        <v>43</v>
      </c>
    </row>
    <row r="192">
      <c r="A192" s="23"/>
      <c r="B192" s="32" t="s">
        <v>289</v>
      </c>
      <c r="C192" s="13">
        <v>46204.0</v>
      </c>
      <c r="D192" s="31" t="s">
        <v>43</v>
      </c>
    </row>
    <row r="193">
      <c r="A193" s="23"/>
      <c r="B193" s="32" t="s">
        <v>290</v>
      </c>
      <c r="C193" s="13">
        <v>46204.0</v>
      </c>
      <c r="D193" s="31" t="s">
        <v>43</v>
      </c>
    </row>
    <row r="194">
      <c r="A194" s="23"/>
      <c r="B194" s="32" t="s">
        <v>291</v>
      </c>
      <c r="C194" s="13">
        <v>46204.0</v>
      </c>
      <c r="D194" s="31" t="s">
        <v>43</v>
      </c>
    </row>
    <row r="195">
      <c r="A195" s="23"/>
      <c r="B195" s="32" t="s">
        <v>292</v>
      </c>
      <c r="C195" s="13">
        <v>46204.0</v>
      </c>
      <c r="D195" s="31" t="s">
        <v>43</v>
      </c>
    </row>
    <row r="196">
      <c r="A196" s="23"/>
      <c r="B196" s="32" t="s">
        <v>293</v>
      </c>
      <c r="C196" s="13">
        <v>46204.0</v>
      </c>
      <c r="D196" s="31" t="s">
        <v>43</v>
      </c>
    </row>
    <row r="197">
      <c r="A197" s="36"/>
      <c r="B197" s="32" t="s">
        <v>294</v>
      </c>
      <c r="C197" s="13">
        <v>46204.0</v>
      </c>
      <c r="D197" s="31" t="s">
        <v>43</v>
      </c>
    </row>
    <row r="198">
      <c r="A198" s="28">
        <v>16.0</v>
      </c>
      <c r="B198" s="38" t="s">
        <v>295</v>
      </c>
      <c r="C198" s="13">
        <v>46205.0</v>
      </c>
      <c r="D198" s="31" t="s">
        <v>43</v>
      </c>
    </row>
    <row r="199">
      <c r="A199" s="23"/>
      <c r="B199" s="32" t="s">
        <v>296</v>
      </c>
      <c r="C199" s="13">
        <v>46205.0</v>
      </c>
      <c r="D199" s="31" t="s">
        <v>43</v>
      </c>
    </row>
    <row r="200">
      <c r="A200" s="23"/>
      <c r="B200" s="32" t="s">
        <v>297</v>
      </c>
      <c r="C200" s="13">
        <v>46205.0</v>
      </c>
      <c r="D200" s="31" t="s">
        <v>43</v>
      </c>
    </row>
    <row r="201">
      <c r="A201" s="23"/>
      <c r="B201" s="32" t="s">
        <v>298</v>
      </c>
      <c r="C201" s="13">
        <v>46205.0</v>
      </c>
      <c r="D201" s="31" t="s">
        <v>43</v>
      </c>
    </row>
    <row r="202">
      <c r="A202" s="23"/>
      <c r="B202" s="32" t="s">
        <v>299</v>
      </c>
      <c r="C202" s="13">
        <v>46205.0</v>
      </c>
      <c r="D202" s="31" t="s">
        <v>43</v>
      </c>
    </row>
    <row r="203">
      <c r="A203" s="23"/>
      <c r="B203" s="32" t="s">
        <v>300</v>
      </c>
      <c r="C203" s="13">
        <v>46205.0</v>
      </c>
      <c r="D203" s="31" t="s">
        <v>43</v>
      </c>
    </row>
    <row r="204">
      <c r="A204" s="23"/>
      <c r="B204" s="32" t="s">
        <v>301</v>
      </c>
      <c r="C204" s="13">
        <v>46205.0</v>
      </c>
      <c r="D204" s="31" t="s">
        <v>43</v>
      </c>
    </row>
    <row r="205">
      <c r="A205" s="23"/>
      <c r="B205" s="32" t="s">
        <v>302</v>
      </c>
      <c r="C205" s="13">
        <v>46205.0</v>
      </c>
      <c r="D205" s="31" t="s">
        <v>43</v>
      </c>
    </row>
    <row r="206">
      <c r="A206" s="23"/>
      <c r="B206" s="32" t="s">
        <v>303</v>
      </c>
      <c r="C206" s="13">
        <v>46205.0</v>
      </c>
      <c r="D206" s="31" t="s">
        <v>43</v>
      </c>
    </row>
    <row r="207">
      <c r="A207" s="23"/>
      <c r="B207" s="32" t="s">
        <v>304</v>
      </c>
      <c r="C207" s="13">
        <v>46206.0</v>
      </c>
      <c r="D207" s="31" t="s">
        <v>43</v>
      </c>
    </row>
    <row r="208">
      <c r="A208" s="23"/>
      <c r="B208" s="32" t="s">
        <v>305</v>
      </c>
      <c r="C208" s="13">
        <v>46206.0</v>
      </c>
      <c r="D208" s="31" t="s">
        <v>43</v>
      </c>
    </row>
    <row r="209">
      <c r="A209" s="23"/>
      <c r="B209" s="32" t="s">
        <v>306</v>
      </c>
      <c r="C209" s="13">
        <v>46206.0</v>
      </c>
      <c r="D209" s="31" t="s">
        <v>43</v>
      </c>
    </row>
    <row r="210">
      <c r="A210" s="23"/>
      <c r="B210" s="32" t="s">
        <v>307</v>
      </c>
      <c r="C210" s="13">
        <v>46206.0</v>
      </c>
      <c r="D210" s="31" t="s">
        <v>43</v>
      </c>
    </row>
    <row r="211">
      <c r="A211" s="36"/>
      <c r="B211" s="50" t="s">
        <v>308</v>
      </c>
      <c r="C211" s="13">
        <v>46206.0</v>
      </c>
      <c r="D211" s="31" t="s">
        <v>43</v>
      </c>
    </row>
    <row r="212">
      <c r="A212" s="28">
        <v>17.0</v>
      </c>
      <c r="B212" s="38" t="s">
        <v>309</v>
      </c>
      <c r="C212" s="13">
        <v>46206.0</v>
      </c>
      <c r="D212" s="31" t="s">
        <v>43</v>
      </c>
    </row>
    <row r="213">
      <c r="A213" s="23"/>
      <c r="B213" s="32" t="s">
        <v>310</v>
      </c>
      <c r="C213" s="13">
        <v>46206.0</v>
      </c>
      <c r="D213" s="31" t="s">
        <v>43</v>
      </c>
    </row>
    <row r="214">
      <c r="A214" s="23"/>
      <c r="B214" s="32" t="s">
        <v>311</v>
      </c>
      <c r="C214" s="13">
        <v>46206.0</v>
      </c>
      <c r="D214" s="31" t="s">
        <v>43</v>
      </c>
    </row>
    <row r="215">
      <c r="A215" s="23"/>
      <c r="B215" s="32" t="s">
        <v>312</v>
      </c>
      <c r="C215" s="13">
        <v>46206.0</v>
      </c>
      <c r="D215" s="31" t="s">
        <v>43</v>
      </c>
    </row>
    <row r="216">
      <c r="A216" s="23"/>
      <c r="B216" s="32" t="s">
        <v>313</v>
      </c>
      <c r="C216" s="13">
        <v>46206.0</v>
      </c>
      <c r="D216" s="31" t="s">
        <v>43</v>
      </c>
    </row>
    <row r="217">
      <c r="A217" s="23"/>
      <c r="B217" s="32" t="s">
        <v>314</v>
      </c>
      <c r="C217" s="13">
        <v>46206.0</v>
      </c>
      <c r="D217" s="31" t="s">
        <v>43</v>
      </c>
    </row>
    <row r="218">
      <c r="A218" s="23"/>
      <c r="B218" s="32" t="s">
        <v>315</v>
      </c>
      <c r="C218" s="13">
        <v>46206.0</v>
      </c>
      <c r="D218" s="31" t="s">
        <v>43</v>
      </c>
    </row>
    <row r="219">
      <c r="A219" s="23"/>
      <c r="B219" s="32" t="s">
        <v>316</v>
      </c>
      <c r="C219" s="13">
        <v>46206.0</v>
      </c>
      <c r="D219" s="31" t="s">
        <v>43</v>
      </c>
    </row>
    <row r="220">
      <c r="A220" s="23"/>
      <c r="B220" s="32" t="s">
        <v>317</v>
      </c>
      <c r="C220" s="13">
        <v>46206.0</v>
      </c>
      <c r="D220" s="31" t="s">
        <v>43</v>
      </c>
    </row>
    <row r="221">
      <c r="A221" s="23"/>
      <c r="B221" s="32" t="s">
        <v>318</v>
      </c>
      <c r="C221" s="13">
        <v>46206.0</v>
      </c>
      <c r="D221" s="31" t="s">
        <v>43</v>
      </c>
    </row>
    <row r="222">
      <c r="A222" s="23"/>
      <c r="B222" s="32" t="s">
        <v>319</v>
      </c>
      <c r="C222" s="13">
        <v>46206.0</v>
      </c>
      <c r="D222" s="31" t="s">
        <v>43</v>
      </c>
    </row>
    <row r="223">
      <c r="A223" s="23"/>
      <c r="B223" s="32" t="s">
        <v>320</v>
      </c>
      <c r="C223" s="13">
        <v>46206.0</v>
      </c>
      <c r="D223" s="31" t="s">
        <v>43</v>
      </c>
    </row>
    <row r="224">
      <c r="A224" s="36"/>
      <c r="B224" s="32" t="s">
        <v>321</v>
      </c>
      <c r="C224" s="13">
        <v>46206.0</v>
      </c>
      <c r="D224" s="31" t="s">
        <v>43</v>
      </c>
    </row>
    <row r="225">
      <c r="A225" s="28">
        <v>18.0</v>
      </c>
      <c r="B225" s="38" t="s">
        <v>322</v>
      </c>
      <c r="C225" s="13">
        <v>46207.0</v>
      </c>
      <c r="D225" s="31" t="s">
        <v>43</v>
      </c>
    </row>
    <row r="226">
      <c r="A226" s="23"/>
      <c r="B226" s="32" t="s">
        <v>323</v>
      </c>
      <c r="C226" s="13">
        <v>46207.0</v>
      </c>
      <c r="D226" s="31" t="s">
        <v>43</v>
      </c>
    </row>
    <row r="227">
      <c r="A227" s="23"/>
      <c r="B227" s="32" t="s">
        <v>324</v>
      </c>
      <c r="C227" s="13">
        <v>46207.0</v>
      </c>
      <c r="D227" s="31" t="s">
        <v>43</v>
      </c>
    </row>
    <row r="228">
      <c r="A228" s="23"/>
      <c r="B228" s="32" t="s">
        <v>325</v>
      </c>
      <c r="C228" s="13">
        <v>46207.0</v>
      </c>
      <c r="D228" s="31" t="s">
        <v>43</v>
      </c>
    </row>
    <row r="229">
      <c r="A229" s="23"/>
      <c r="B229" s="32" t="s">
        <v>326</v>
      </c>
      <c r="C229" s="13">
        <v>46207.0</v>
      </c>
      <c r="D229" s="31" t="s">
        <v>43</v>
      </c>
    </row>
    <row r="230">
      <c r="A230" s="23"/>
      <c r="B230" s="32" t="s">
        <v>327</v>
      </c>
      <c r="C230" s="13">
        <v>46207.0</v>
      </c>
      <c r="D230" s="31" t="s">
        <v>43</v>
      </c>
    </row>
    <row r="231">
      <c r="A231" s="23"/>
      <c r="B231" s="32" t="s">
        <v>328</v>
      </c>
      <c r="C231" s="13">
        <v>46207.0</v>
      </c>
      <c r="D231" s="31" t="s">
        <v>43</v>
      </c>
    </row>
    <row r="232">
      <c r="A232" s="23"/>
      <c r="B232" s="32" t="s">
        <v>329</v>
      </c>
      <c r="C232" s="13">
        <v>46207.0</v>
      </c>
      <c r="D232" s="31" t="s">
        <v>43</v>
      </c>
    </row>
    <row r="233">
      <c r="A233" s="23"/>
      <c r="B233" s="32" t="s">
        <v>330</v>
      </c>
      <c r="C233" s="13">
        <v>46207.0</v>
      </c>
      <c r="D233" s="31" t="s">
        <v>43</v>
      </c>
    </row>
    <row r="234">
      <c r="A234" s="23"/>
      <c r="B234" s="32" t="s">
        <v>331</v>
      </c>
      <c r="C234" s="13">
        <v>46207.0</v>
      </c>
      <c r="D234" s="31" t="s">
        <v>43</v>
      </c>
    </row>
    <row r="235">
      <c r="A235" s="23"/>
      <c r="B235" s="32" t="s">
        <v>332</v>
      </c>
      <c r="C235" s="13">
        <v>46207.0</v>
      </c>
      <c r="D235" s="31" t="s">
        <v>43</v>
      </c>
    </row>
    <row r="236">
      <c r="A236" s="23"/>
      <c r="B236" s="32" t="s">
        <v>333</v>
      </c>
      <c r="C236" s="13">
        <v>46207.0</v>
      </c>
      <c r="D236" s="31" t="s">
        <v>43</v>
      </c>
    </row>
    <row r="237">
      <c r="A237" s="23"/>
      <c r="B237" s="32" t="s">
        <v>334</v>
      </c>
      <c r="C237" s="13">
        <v>46207.0</v>
      </c>
      <c r="D237" s="31" t="s">
        <v>43</v>
      </c>
    </row>
    <row r="238">
      <c r="A238" s="23"/>
      <c r="B238" s="32" t="s">
        <v>335</v>
      </c>
      <c r="C238" s="13">
        <v>46207.0</v>
      </c>
      <c r="D238" s="31" t="s">
        <v>43</v>
      </c>
    </row>
    <row r="239">
      <c r="A239" s="36"/>
      <c r="B239" s="32" t="s">
        <v>336</v>
      </c>
      <c r="C239" s="13">
        <v>46207.0</v>
      </c>
      <c r="D239" s="31" t="s">
        <v>43</v>
      </c>
    </row>
    <row r="240">
      <c r="A240" s="28">
        <v>19.0</v>
      </c>
      <c r="B240" s="38" t="s">
        <v>337</v>
      </c>
      <c r="C240" s="13">
        <v>46209.0</v>
      </c>
      <c r="D240" s="31" t="s">
        <v>43</v>
      </c>
    </row>
    <row r="241">
      <c r="A241" s="23"/>
      <c r="B241" s="32" t="s">
        <v>338</v>
      </c>
      <c r="C241" s="13">
        <v>46209.0</v>
      </c>
      <c r="D241" s="31" t="s">
        <v>43</v>
      </c>
    </row>
    <row r="242">
      <c r="A242" s="23"/>
      <c r="B242" s="32" t="s">
        <v>339</v>
      </c>
      <c r="C242" s="13">
        <v>46209.0</v>
      </c>
      <c r="D242" s="31" t="s">
        <v>43</v>
      </c>
    </row>
    <row r="243">
      <c r="A243" s="23"/>
      <c r="B243" s="32" t="s">
        <v>340</v>
      </c>
      <c r="C243" s="13">
        <v>46209.0</v>
      </c>
      <c r="D243" s="31" t="s">
        <v>43</v>
      </c>
    </row>
    <row r="244">
      <c r="A244" s="23"/>
      <c r="B244" s="32" t="s">
        <v>341</v>
      </c>
      <c r="C244" s="13">
        <v>46209.0</v>
      </c>
      <c r="D244" s="31" t="s">
        <v>43</v>
      </c>
    </row>
    <row r="245">
      <c r="A245" s="23"/>
      <c r="B245" s="32" t="s">
        <v>342</v>
      </c>
      <c r="C245" s="13">
        <v>46209.0</v>
      </c>
      <c r="D245" s="31" t="s">
        <v>43</v>
      </c>
    </row>
    <row r="246">
      <c r="A246" s="23"/>
      <c r="B246" s="32" t="s">
        <v>343</v>
      </c>
      <c r="C246" s="13">
        <v>46209.0</v>
      </c>
      <c r="D246" s="31" t="s">
        <v>43</v>
      </c>
    </row>
    <row r="247">
      <c r="A247" s="23"/>
      <c r="B247" s="32" t="s">
        <v>344</v>
      </c>
      <c r="C247" s="13">
        <v>46209.0</v>
      </c>
      <c r="D247" s="31" t="s">
        <v>43</v>
      </c>
    </row>
    <row r="248">
      <c r="A248" s="23"/>
      <c r="B248" s="32" t="s">
        <v>345</v>
      </c>
      <c r="C248" s="13">
        <v>46209.0</v>
      </c>
      <c r="D248" s="31" t="s">
        <v>43</v>
      </c>
    </row>
    <row r="249">
      <c r="A249" s="23"/>
      <c r="B249" s="32" t="s">
        <v>346</v>
      </c>
      <c r="C249" s="13">
        <v>46209.0</v>
      </c>
      <c r="D249" s="31" t="s">
        <v>43</v>
      </c>
    </row>
    <row r="250">
      <c r="A250" s="23"/>
      <c r="B250" s="32" t="s">
        <v>347</v>
      </c>
      <c r="C250" s="13">
        <v>46209.0</v>
      </c>
      <c r="D250" s="31" t="s">
        <v>43</v>
      </c>
    </row>
    <row r="251">
      <c r="A251" s="23"/>
      <c r="B251" s="32" t="s">
        <v>348</v>
      </c>
      <c r="C251" s="13">
        <v>46209.0</v>
      </c>
      <c r="D251" s="31" t="s">
        <v>43</v>
      </c>
    </row>
    <row r="252">
      <c r="A252" s="36"/>
      <c r="B252" s="32" t="s">
        <v>349</v>
      </c>
      <c r="C252" s="13">
        <v>46209.0</v>
      </c>
      <c r="D252" s="31" t="s">
        <v>43</v>
      </c>
    </row>
    <row r="253">
      <c r="A253" s="28">
        <v>20.0</v>
      </c>
      <c r="B253" s="38" t="s">
        <v>350</v>
      </c>
      <c r="C253" s="13">
        <v>46209.0</v>
      </c>
      <c r="D253" s="31" t="s">
        <v>43</v>
      </c>
    </row>
    <row r="254">
      <c r="A254" s="23"/>
      <c r="B254" s="32" t="s">
        <v>351</v>
      </c>
      <c r="C254" s="13">
        <v>46209.0</v>
      </c>
      <c r="D254" s="31" t="s">
        <v>43</v>
      </c>
    </row>
    <row r="255">
      <c r="A255" s="23"/>
      <c r="B255" s="32" t="s">
        <v>352</v>
      </c>
      <c r="C255" s="13">
        <v>46209.0</v>
      </c>
      <c r="D255" s="31" t="s">
        <v>43</v>
      </c>
    </row>
    <row r="256">
      <c r="A256" s="23"/>
      <c r="B256" s="32" t="s">
        <v>353</v>
      </c>
      <c r="C256" s="13">
        <v>46209.0</v>
      </c>
      <c r="D256" s="31" t="s">
        <v>43</v>
      </c>
    </row>
    <row r="257">
      <c r="A257" s="23"/>
      <c r="B257" s="32" t="s">
        <v>354</v>
      </c>
      <c r="C257" s="13">
        <v>46209.0</v>
      </c>
      <c r="D257" s="31" t="s">
        <v>43</v>
      </c>
    </row>
    <row r="258">
      <c r="A258" s="23"/>
      <c r="B258" s="32" t="s">
        <v>355</v>
      </c>
      <c r="C258" s="13">
        <v>46209.0</v>
      </c>
      <c r="D258" s="31" t="s">
        <v>43</v>
      </c>
    </row>
    <row r="259">
      <c r="A259" s="23"/>
      <c r="B259" s="32" t="s">
        <v>356</v>
      </c>
      <c r="C259" s="13">
        <v>46209.0</v>
      </c>
      <c r="D259" s="31" t="s">
        <v>43</v>
      </c>
    </row>
    <row r="260">
      <c r="A260" s="23"/>
      <c r="B260" s="32" t="s">
        <v>357</v>
      </c>
      <c r="C260" s="13">
        <v>46209.0</v>
      </c>
      <c r="D260" s="31" t="s">
        <v>43</v>
      </c>
    </row>
    <row r="261">
      <c r="A261" s="23"/>
      <c r="B261" s="32" t="s">
        <v>358</v>
      </c>
      <c r="C261" s="13">
        <v>46209.0</v>
      </c>
      <c r="D261" s="31" t="s">
        <v>43</v>
      </c>
    </row>
    <row r="262">
      <c r="A262" s="23"/>
      <c r="B262" s="32" t="s">
        <v>359</v>
      </c>
      <c r="C262" s="13">
        <v>46209.0</v>
      </c>
      <c r="D262" s="31" t="s">
        <v>43</v>
      </c>
    </row>
    <row r="263">
      <c r="A263" s="23"/>
      <c r="B263" s="32" t="s">
        <v>360</v>
      </c>
      <c r="C263" s="13">
        <v>46209.0</v>
      </c>
      <c r="D263" s="31" t="s">
        <v>43</v>
      </c>
    </row>
    <row r="264">
      <c r="A264" s="23"/>
      <c r="B264" s="32" t="s">
        <v>361</v>
      </c>
      <c r="C264" s="13">
        <v>46209.0</v>
      </c>
      <c r="D264" s="31" t="s">
        <v>43</v>
      </c>
    </row>
    <row r="265">
      <c r="A265" s="23"/>
      <c r="B265" s="32" t="s">
        <v>362</v>
      </c>
      <c r="C265" s="13">
        <v>46209.0</v>
      </c>
      <c r="D265" s="31" t="s">
        <v>43</v>
      </c>
    </row>
    <row r="266">
      <c r="A266" s="36"/>
      <c r="B266" s="32" t="s">
        <v>363</v>
      </c>
      <c r="C266" s="13">
        <v>46209.0</v>
      </c>
      <c r="D266" s="31" t="s">
        <v>43</v>
      </c>
    </row>
    <row r="267">
      <c r="A267" s="28">
        <v>21.0</v>
      </c>
      <c r="B267" s="38" t="s">
        <v>364</v>
      </c>
      <c r="C267" s="13">
        <v>46210.0</v>
      </c>
      <c r="D267" s="31" t="s">
        <v>43</v>
      </c>
    </row>
    <row r="268">
      <c r="A268" s="23"/>
      <c r="B268" s="32" t="s">
        <v>365</v>
      </c>
      <c r="C268" s="13">
        <v>46210.0</v>
      </c>
      <c r="D268" s="31" t="s">
        <v>43</v>
      </c>
    </row>
    <row r="269">
      <c r="A269" s="23"/>
      <c r="B269" s="32" t="s">
        <v>366</v>
      </c>
      <c r="C269" s="13">
        <v>46210.0</v>
      </c>
      <c r="D269" s="31" t="s">
        <v>43</v>
      </c>
    </row>
    <row r="270">
      <c r="A270" s="23"/>
      <c r="B270" s="32" t="s">
        <v>367</v>
      </c>
      <c r="C270" s="13">
        <v>46210.0</v>
      </c>
      <c r="D270" s="31" t="s">
        <v>43</v>
      </c>
    </row>
    <row r="271">
      <c r="A271" s="23"/>
      <c r="B271" s="32" t="s">
        <v>368</v>
      </c>
      <c r="C271" s="13">
        <v>46210.0</v>
      </c>
      <c r="D271" s="31" t="s">
        <v>43</v>
      </c>
    </row>
    <row r="272">
      <c r="A272" s="23"/>
      <c r="B272" s="32" t="s">
        <v>369</v>
      </c>
      <c r="C272" s="13">
        <v>46210.0</v>
      </c>
      <c r="D272" s="31" t="s">
        <v>43</v>
      </c>
    </row>
    <row r="273">
      <c r="A273" s="23"/>
      <c r="B273" s="32" t="s">
        <v>370</v>
      </c>
      <c r="C273" s="13">
        <v>46210.0</v>
      </c>
      <c r="D273" s="31" t="s">
        <v>43</v>
      </c>
    </row>
    <row r="274">
      <c r="A274" s="23"/>
      <c r="B274" s="32" t="s">
        <v>371</v>
      </c>
      <c r="C274" s="13">
        <v>46210.0</v>
      </c>
      <c r="D274" s="31" t="s">
        <v>43</v>
      </c>
    </row>
    <row r="275">
      <c r="A275" s="23"/>
      <c r="B275" s="32" t="s">
        <v>372</v>
      </c>
      <c r="C275" s="13">
        <v>46210.0</v>
      </c>
      <c r="D275" s="31" t="s">
        <v>43</v>
      </c>
    </row>
    <row r="276">
      <c r="A276" s="23"/>
      <c r="B276" s="32" t="s">
        <v>373</v>
      </c>
      <c r="C276" s="13">
        <v>46210.0</v>
      </c>
      <c r="D276" s="31" t="s">
        <v>43</v>
      </c>
    </row>
    <row r="277">
      <c r="A277" s="23"/>
      <c r="B277" s="32" t="s">
        <v>374</v>
      </c>
      <c r="C277" s="13">
        <v>46210.0</v>
      </c>
      <c r="D277" s="31" t="s">
        <v>43</v>
      </c>
    </row>
    <row r="278">
      <c r="A278" s="23"/>
      <c r="B278" s="32" t="s">
        <v>375</v>
      </c>
      <c r="C278" s="13">
        <v>46210.0</v>
      </c>
      <c r="D278" s="31" t="s">
        <v>43</v>
      </c>
    </row>
    <row r="279">
      <c r="A279" s="23"/>
      <c r="B279" s="32" t="s">
        <v>376</v>
      </c>
      <c r="C279" s="13">
        <v>46210.0</v>
      </c>
      <c r="D279" s="31" t="s">
        <v>43</v>
      </c>
    </row>
    <row r="280">
      <c r="A280" s="23"/>
      <c r="B280" s="32" t="s">
        <v>377</v>
      </c>
      <c r="C280" s="13">
        <v>46210.0</v>
      </c>
      <c r="D280" s="31" t="s">
        <v>43</v>
      </c>
    </row>
    <row r="281">
      <c r="A281" s="23"/>
      <c r="B281" s="32" t="s">
        <v>378</v>
      </c>
      <c r="C281" s="13">
        <v>46210.0</v>
      </c>
      <c r="D281" s="31" t="s">
        <v>43</v>
      </c>
    </row>
    <row r="282">
      <c r="A282" s="36"/>
      <c r="B282" s="32" t="s">
        <v>379</v>
      </c>
      <c r="C282" s="13">
        <v>46210.0</v>
      </c>
      <c r="D282" s="31" t="s">
        <v>43</v>
      </c>
    </row>
    <row r="283">
      <c r="A283" s="28">
        <v>22.0</v>
      </c>
      <c r="B283" s="38" t="s">
        <v>380</v>
      </c>
      <c r="C283" s="13">
        <v>46211.0</v>
      </c>
      <c r="D283" s="31" t="s">
        <v>43</v>
      </c>
    </row>
    <row r="284">
      <c r="A284" s="23"/>
      <c r="B284" s="32" t="s">
        <v>381</v>
      </c>
      <c r="C284" s="13">
        <v>46211.0</v>
      </c>
      <c r="D284" s="31" t="s">
        <v>43</v>
      </c>
    </row>
    <row r="285">
      <c r="A285" s="23"/>
      <c r="B285" s="32" t="s">
        <v>382</v>
      </c>
      <c r="C285" s="13">
        <v>46211.0</v>
      </c>
      <c r="D285" s="31" t="s">
        <v>43</v>
      </c>
    </row>
    <row r="286">
      <c r="A286" s="23"/>
      <c r="B286" s="32" t="s">
        <v>383</v>
      </c>
      <c r="C286" s="13">
        <v>46211.0</v>
      </c>
      <c r="D286" s="31" t="s">
        <v>43</v>
      </c>
    </row>
    <row r="287">
      <c r="A287" s="23"/>
      <c r="B287" s="32" t="s">
        <v>384</v>
      </c>
      <c r="C287" s="13">
        <v>46212.0</v>
      </c>
      <c r="D287" s="31" t="s">
        <v>43</v>
      </c>
    </row>
    <row r="288">
      <c r="A288" s="23"/>
      <c r="B288" s="32" t="s">
        <v>385</v>
      </c>
      <c r="C288" s="13">
        <v>46212.0</v>
      </c>
      <c r="D288" s="31" t="s">
        <v>43</v>
      </c>
    </row>
    <row r="289">
      <c r="A289" s="23"/>
      <c r="B289" s="32" t="s">
        <v>386</v>
      </c>
      <c r="C289" s="13">
        <v>46212.0</v>
      </c>
      <c r="D289" s="31" t="s">
        <v>43</v>
      </c>
    </row>
    <row r="290">
      <c r="A290" s="23"/>
      <c r="B290" s="32" t="s">
        <v>387</v>
      </c>
      <c r="C290" s="13">
        <v>46212.0</v>
      </c>
      <c r="D290" s="31" t="s">
        <v>43</v>
      </c>
    </row>
    <row r="291">
      <c r="A291" s="23"/>
      <c r="B291" s="32" t="s">
        <v>388</v>
      </c>
      <c r="C291" s="13">
        <v>46212.0</v>
      </c>
      <c r="D291" s="31" t="s">
        <v>43</v>
      </c>
    </row>
    <row r="292">
      <c r="A292" s="23"/>
      <c r="B292" s="32" t="s">
        <v>389</v>
      </c>
      <c r="C292" s="13">
        <v>46212.0</v>
      </c>
      <c r="D292" s="31" t="s">
        <v>43</v>
      </c>
    </row>
    <row r="293">
      <c r="A293" s="23"/>
      <c r="B293" s="32" t="s">
        <v>390</v>
      </c>
      <c r="C293" s="13">
        <v>46212.0</v>
      </c>
      <c r="D293" s="31" t="s">
        <v>43</v>
      </c>
    </row>
    <row r="294">
      <c r="A294" s="23"/>
      <c r="B294" s="32" t="s">
        <v>391</v>
      </c>
      <c r="C294" s="13">
        <v>46212.0</v>
      </c>
      <c r="D294" s="31" t="s">
        <v>43</v>
      </c>
    </row>
    <row r="295">
      <c r="A295" s="23"/>
      <c r="B295" s="32" t="s">
        <v>392</v>
      </c>
      <c r="C295" s="13">
        <v>46212.0</v>
      </c>
      <c r="D295" s="31" t="s">
        <v>43</v>
      </c>
    </row>
    <row r="296">
      <c r="A296" s="36"/>
      <c r="B296" s="32" t="s">
        <v>393</v>
      </c>
      <c r="C296" s="13">
        <v>46212.0</v>
      </c>
      <c r="D296" s="31" t="s">
        <v>43</v>
      </c>
    </row>
    <row r="297">
      <c r="A297" s="28">
        <v>23.0</v>
      </c>
      <c r="B297" s="38" t="s">
        <v>394</v>
      </c>
      <c r="C297" s="13">
        <v>46211.0</v>
      </c>
      <c r="D297" s="31" t="s">
        <v>43</v>
      </c>
    </row>
    <row r="298">
      <c r="A298" s="23"/>
      <c r="B298" s="32" t="s">
        <v>395</v>
      </c>
      <c r="C298" s="13">
        <v>46211.0</v>
      </c>
      <c r="D298" s="31" t="s">
        <v>43</v>
      </c>
    </row>
    <row r="299">
      <c r="A299" s="23"/>
      <c r="B299" s="32" t="s">
        <v>396</v>
      </c>
      <c r="C299" s="13">
        <v>46211.0</v>
      </c>
      <c r="D299" s="31" t="s">
        <v>43</v>
      </c>
    </row>
    <row r="300">
      <c r="A300" s="23"/>
      <c r="B300" s="32" t="s">
        <v>397</v>
      </c>
      <c r="C300" s="13">
        <v>46211.0</v>
      </c>
      <c r="D300" s="31" t="s">
        <v>43</v>
      </c>
    </row>
    <row r="301">
      <c r="A301" s="23"/>
      <c r="B301" s="32" t="s">
        <v>398</v>
      </c>
      <c r="C301" s="13">
        <v>46211.0</v>
      </c>
      <c r="D301" s="31" t="s">
        <v>43</v>
      </c>
    </row>
    <row r="302">
      <c r="A302" s="23"/>
      <c r="B302" s="32" t="s">
        <v>399</v>
      </c>
      <c r="C302" s="13">
        <v>46211.0</v>
      </c>
      <c r="D302" s="31" t="s">
        <v>43</v>
      </c>
    </row>
    <row r="303">
      <c r="A303" s="23"/>
      <c r="B303" s="32" t="s">
        <v>400</v>
      </c>
      <c r="C303" s="13">
        <v>46211.0</v>
      </c>
      <c r="D303" s="31" t="s">
        <v>43</v>
      </c>
    </row>
    <row r="304">
      <c r="A304" s="23"/>
      <c r="B304" s="32" t="s">
        <v>401</v>
      </c>
      <c r="C304" s="13">
        <v>46211.0</v>
      </c>
      <c r="D304" s="31" t="s">
        <v>43</v>
      </c>
    </row>
    <row r="305">
      <c r="A305" s="23"/>
      <c r="B305" s="32" t="s">
        <v>402</v>
      </c>
      <c r="C305" s="13">
        <v>46211.0</v>
      </c>
      <c r="D305" s="31" t="s">
        <v>43</v>
      </c>
    </row>
    <row r="306">
      <c r="A306" s="23"/>
      <c r="B306" s="32" t="s">
        <v>403</v>
      </c>
      <c r="C306" s="13">
        <v>46211.0</v>
      </c>
      <c r="D306" s="31" t="s">
        <v>43</v>
      </c>
    </row>
    <row r="307">
      <c r="A307" s="23"/>
      <c r="B307" s="32" t="s">
        <v>404</v>
      </c>
      <c r="C307" s="13">
        <v>46211.0</v>
      </c>
      <c r="D307" s="31" t="s">
        <v>43</v>
      </c>
    </row>
    <row r="308">
      <c r="A308" s="23"/>
      <c r="B308" s="32" t="s">
        <v>405</v>
      </c>
      <c r="C308" s="13">
        <v>46211.0</v>
      </c>
      <c r="D308" s="31" t="s">
        <v>43</v>
      </c>
    </row>
    <row r="309">
      <c r="A309" s="23"/>
      <c r="B309" s="32" t="s">
        <v>406</v>
      </c>
      <c r="C309" s="13">
        <v>46211.0</v>
      </c>
      <c r="D309" s="31" t="s">
        <v>43</v>
      </c>
    </row>
    <row r="310">
      <c r="A310" s="23"/>
      <c r="B310" s="32" t="s">
        <v>407</v>
      </c>
      <c r="C310" s="13">
        <v>46211.0</v>
      </c>
      <c r="D310" s="31" t="s">
        <v>43</v>
      </c>
    </row>
    <row r="311">
      <c r="A311" s="36"/>
      <c r="B311" s="32" t="s">
        <v>408</v>
      </c>
      <c r="C311" s="13">
        <v>46211.0</v>
      </c>
      <c r="D311" s="31" t="s">
        <v>43</v>
      </c>
    </row>
    <row r="312">
      <c r="A312" s="28">
        <v>24.0</v>
      </c>
      <c r="B312" s="48" t="s">
        <v>409</v>
      </c>
      <c r="C312" s="54"/>
      <c r="D312" s="54"/>
    </row>
    <row r="313">
      <c r="A313" s="23"/>
      <c r="B313" s="32" t="s">
        <v>410</v>
      </c>
      <c r="C313" s="54"/>
      <c r="D313" s="54"/>
    </row>
    <row r="314">
      <c r="A314" s="23"/>
      <c r="B314" s="32" t="s">
        <v>411</v>
      </c>
      <c r="C314" s="54"/>
      <c r="D314" s="54"/>
    </row>
    <row r="315">
      <c r="A315" s="23"/>
      <c r="B315" s="32" t="s">
        <v>412</v>
      </c>
      <c r="C315" s="54"/>
      <c r="D315" s="54"/>
    </row>
    <row r="316">
      <c r="A316" s="23"/>
      <c r="B316" s="32" t="s">
        <v>413</v>
      </c>
      <c r="C316" s="54"/>
      <c r="D316" s="54"/>
    </row>
    <row r="317">
      <c r="A317" s="23"/>
      <c r="B317" s="32" t="s">
        <v>414</v>
      </c>
      <c r="C317" s="54"/>
      <c r="D317" s="54"/>
    </row>
    <row r="318">
      <c r="A318" s="23"/>
      <c r="B318" s="32" t="s">
        <v>415</v>
      </c>
      <c r="C318" s="54"/>
      <c r="D318" s="54"/>
    </row>
    <row r="319">
      <c r="A319" s="23"/>
      <c r="B319" s="32" t="s">
        <v>416</v>
      </c>
      <c r="C319" s="54"/>
      <c r="D319" s="54"/>
    </row>
    <row r="320">
      <c r="A320" s="23"/>
      <c r="B320" s="32" t="s">
        <v>417</v>
      </c>
      <c r="C320" s="54"/>
      <c r="D320" s="54"/>
    </row>
    <row r="321">
      <c r="A321" s="23"/>
      <c r="B321" s="32" t="s">
        <v>418</v>
      </c>
      <c r="C321" s="54"/>
      <c r="D321" s="54"/>
    </row>
    <row r="322">
      <c r="A322" s="23"/>
      <c r="B322" s="32" t="s">
        <v>419</v>
      </c>
      <c r="C322" s="54"/>
      <c r="D322" s="54"/>
    </row>
    <row r="323">
      <c r="A323" s="23"/>
      <c r="B323" s="32" t="s">
        <v>420</v>
      </c>
      <c r="C323" s="54"/>
      <c r="D323" s="54"/>
    </row>
    <row r="324">
      <c r="A324" s="23"/>
      <c r="B324" s="32" t="s">
        <v>421</v>
      </c>
      <c r="C324" s="54"/>
      <c r="D324" s="54"/>
    </row>
    <row r="325">
      <c r="A325" s="23"/>
      <c r="B325" s="32" t="s">
        <v>422</v>
      </c>
      <c r="C325" s="54"/>
      <c r="D325" s="54"/>
    </row>
    <row r="326">
      <c r="A326" s="23"/>
      <c r="B326" s="32" t="s">
        <v>423</v>
      </c>
      <c r="C326" s="54"/>
      <c r="D326" s="54"/>
    </row>
    <row r="327">
      <c r="A327" s="36"/>
      <c r="B327" s="32" t="s">
        <v>424</v>
      </c>
      <c r="C327" s="54"/>
      <c r="D327" s="54"/>
    </row>
    <row r="328">
      <c r="A328" s="28">
        <v>25.0</v>
      </c>
      <c r="B328" s="48" t="s">
        <v>425</v>
      </c>
      <c r="C328" s="54"/>
      <c r="D328" s="54"/>
    </row>
    <row r="329">
      <c r="A329" s="23"/>
      <c r="B329" s="32" t="s">
        <v>426</v>
      </c>
      <c r="C329" s="54"/>
      <c r="D329" s="54"/>
    </row>
    <row r="330">
      <c r="A330" s="23"/>
      <c r="B330" s="32" t="s">
        <v>427</v>
      </c>
      <c r="C330" s="54"/>
      <c r="D330" s="54"/>
    </row>
    <row r="331">
      <c r="A331" s="23"/>
      <c r="B331" s="32" t="s">
        <v>428</v>
      </c>
      <c r="C331" s="54"/>
      <c r="D331" s="54"/>
    </row>
    <row r="332">
      <c r="A332" s="23"/>
      <c r="B332" s="32" t="s">
        <v>429</v>
      </c>
      <c r="C332" s="54"/>
      <c r="D332" s="54"/>
    </row>
    <row r="333">
      <c r="A333" s="23"/>
      <c r="B333" s="32" t="s">
        <v>430</v>
      </c>
      <c r="C333" s="54"/>
      <c r="D333" s="54"/>
    </row>
    <row r="334">
      <c r="A334" s="23"/>
      <c r="B334" s="32" t="s">
        <v>431</v>
      </c>
      <c r="C334" s="54"/>
      <c r="D334" s="54"/>
    </row>
    <row r="335">
      <c r="A335" s="23"/>
      <c r="B335" s="32" t="s">
        <v>432</v>
      </c>
      <c r="C335" s="54"/>
      <c r="D335" s="54"/>
    </row>
    <row r="336">
      <c r="A336" s="23"/>
      <c r="B336" s="32" t="s">
        <v>433</v>
      </c>
      <c r="C336" s="54"/>
      <c r="D336" s="54"/>
    </row>
    <row r="337">
      <c r="A337" s="23"/>
      <c r="B337" s="32" t="s">
        <v>434</v>
      </c>
      <c r="C337" s="54"/>
      <c r="D337" s="54"/>
    </row>
    <row r="338">
      <c r="A338" s="23"/>
      <c r="B338" s="32" t="s">
        <v>435</v>
      </c>
      <c r="C338" s="54"/>
      <c r="D338" s="54"/>
    </row>
    <row r="339">
      <c r="A339" s="23"/>
      <c r="B339" s="32" t="s">
        <v>436</v>
      </c>
      <c r="C339" s="54"/>
      <c r="D339" s="54"/>
    </row>
    <row r="340">
      <c r="A340" s="23"/>
      <c r="B340" s="32" t="s">
        <v>437</v>
      </c>
      <c r="C340" s="54"/>
      <c r="D340" s="54"/>
    </row>
    <row r="341">
      <c r="A341" s="36"/>
      <c r="B341" s="32" t="s">
        <v>438</v>
      </c>
      <c r="C341" s="54"/>
      <c r="D341" s="54"/>
    </row>
    <row r="342">
      <c r="A342" s="28">
        <v>26.0</v>
      </c>
      <c r="B342" s="48" t="s">
        <v>439</v>
      </c>
      <c r="C342" s="54"/>
      <c r="D342" s="54"/>
    </row>
    <row r="343">
      <c r="A343" s="23"/>
      <c r="B343" s="32" t="s">
        <v>440</v>
      </c>
      <c r="C343" s="54"/>
      <c r="D343" s="54"/>
    </row>
    <row r="344">
      <c r="A344" s="23"/>
      <c r="B344" s="32" t="s">
        <v>441</v>
      </c>
      <c r="C344" s="54"/>
      <c r="D344" s="54"/>
    </row>
    <row r="345">
      <c r="A345" s="23"/>
      <c r="B345" s="32" t="s">
        <v>442</v>
      </c>
      <c r="C345" s="54"/>
      <c r="D345" s="54"/>
    </row>
    <row r="346">
      <c r="A346" s="23"/>
      <c r="B346" s="32" t="s">
        <v>443</v>
      </c>
      <c r="C346" s="54"/>
      <c r="D346" s="54"/>
    </row>
    <row r="347">
      <c r="A347" s="23"/>
      <c r="B347" s="32" t="s">
        <v>444</v>
      </c>
      <c r="C347" s="54"/>
      <c r="D347" s="54"/>
    </row>
    <row r="348">
      <c r="A348" s="23"/>
      <c r="B348" s="32" t="s">
        <v>445</v>
      </c>
      <c r="C348" s="54"/>
      <c r="D348" s="54"/>
    </row>
    <row r="349">
      <c r="A349" s="23"/>
      <c r="B349" s="32" t="s">
        <v>446</v>
      </c>
      <c r="C349" s="54"/>
      <c r="D349" s="54"/>
    </row>
    <row r="350">
      <c r="A350" s="23"/>
      <c r="B350" s="32" t="s">
        <v>447</v>
      </c>
      <c r="C350" s="54"/>
      <c r="D350" s="54"/>
    </row>
    <row r="351">
      <c r="A351" s="23"/>
      <c r="B351" s="32" t="s">
        <v>448</v>
      </c>
      <c r="C351" s="54"/>
      <c r="D351" s="54"/>
    </row>
    <row r="352">
      <c r="A352" s="23"/>
      <c r="B352" s="32" t="s">
        <v>449</v>
      </c>
      <c r="C352" s="54"/>
      <c r="D352" s="54"/>
    </row>
    <row r="353">
      <c r="A353" s="23"/>
      <c r="B353" s="32" t="s">
        <v>450</v>
      </c>
      <c r="C353" s="54"/>
      <c r="D353" s="54"/>
    </row>
    <row r="354">
      <c r="A354" s="23"/>
      <c r="B354" s="32" t="s">
        <v>451</v>
      </c>
      <c r="C354" s="54"/>
      <c r="D354" s="54"/>
    </row>
    <row r="355">
      <c r="A355" s="23"/>
      <c r="B355" s="32" t="s">
        <v>452</v>
      </c>
      <c r="C355" s="54"/>
      <c r="D355" s="54"/>
    </row>
    <row r="356">
      <c r="A356" s="36"/>
      <c r="B356" s="50" t="s">
        <v>453</v>
      </c>
      <c r="C356" s="54"/>
      <c r="D356" s="54"/>
    </row>
    <row r="357">
      <c r="A357" s="28">
        <v>27.0</v>
      </c>
      <c r="B357" s="48" t="s">
        <v>454</v>
      </c>
      <c r="C357" s="13">
        <v>46213.0</v>
      </c>
      <c r="D357" s="31" t="s">
        <v>43</v>
      </c>
    </row>
    <row r="358">
      <c r="A358" s="23"/>
      <c r="B358" s="32" t="s">
        <v>455</v>
      </c>
      <c r="C358" s="13">
        <v>46213.0</v>
      </c>
      <c r="D358" s="31" t="s">
        <v>43</v>
      </c>
    </row>
    <row r="359">
      <c r="A359" s="23"/>
      <c r="B359" s="32" t="s">
        <v>456</v>
      </c>
      <c r="C359" s="13">
        <v>46213.0</v>
      </c>
      <c r="D359" s="31" t="s">
        <v>43</v>
      </c>
    </row>
    <row r="360">
      <c r="A360" s="23"/>
      <c r="B360" s="32" t="s">
        <v>457</v>
      </c>
      <c r="C360" s="13">
        <v>46213.0</v>
      </c>
      <c r="D360" s="31" t="s">
        <v>43</v>
      </c>
    </row>
    <row r="361">
      <c r="A361" s="23"/>
      <c r="B361" s="32" t="s">
        <v>458</v>
      </c>
      <c r="C361" s="13">
        <v>46213.0</v>
      </c>
      <c r="D361" s="31" t="s">
        <v>43</v>
      </c>
    </row>
    <row r="362">
      <c r="A362" s="23"/>
      <c r="B362" s="32" t="s">
        <v>459</v>
      </c>
      <c r="C362" s="13">
        <v>46213.0</v>
      </c>
      <c r="D362" s="31" t="s">
        <v>43</v>
      </c>
    </row>
    <row r="363">
      <c r="A363" s="23"/>
      <c r="B363" s="32" t="s">
        <v>460</v>
      </c>
      <c r="C363" s="13">
        <v>46213.0</v>
      </c>
      <c r="D363" s="31" t="s">
        <v>43</v>
      </c>
    </row>
    <row r="364">
      <c r="A364" s="23"/>
      <c r="B364" s="32" t="s">
        <v>461</v>
      </c>
      <c r="C364" s="13">
        <v>46213.0</v>
      </c>
      <c r="D364" s="31" t="s">
        <v>43</v>
      </c>
    </row>
    <row r="365">
      <c r="A365" s="23"/>
      <c r="B365" s="32" t="s">
        <v>462</v>
      </c>
      <c r="C365" s="13">
        <v>46213.0</v>
      </c>
      <c r="D365" s="31" t="s">
        <v>43</v>
      </c>
    </row>
    <row r="366">
      <c r="A366" s="23"/>
      <c r="B366" s="32" t="s">
        <v>463</v>
      </c>
      <c r="C366" s="13">
        <v>46213.0</v>
      </c>
      <c r="D366" s="31" t="s">
        <v>43</v>
      </c>
    </row>
    <row r="367">
      <c r="A367" s="23"/>
      <c r="B367" s="32" t="s">
        <v>464</v>
      </c>
      <c r="C367" s="13">
        <v>46213.0</v>
      </c>
      <c r="D367" s="31" t="s">
        <v>43</v>
      </c>
    </row>
    <row r="368">
      <c r="A368" s="23"/>
      <c r="B368" s="32" t="s">
        <v>465</v>
      </c>
      <c r="C368" s="13">
        <v>46213.0</v>
      </c>
      <c r="D368" s="31" t="s">
        <v>43</v>
      </c>
    </row>
    <row r="369">
      <c r="A369" s="23"/>
      <c r="B369" s="32" t="s">
        <v>466</v>
      </c>
      <c r="C369" s="13">
        <v>46213.0</v>
      </c>
      <c r="D369" s="31" t="s">
        <v>43</v>
      </c>
    </row>
    <row r="370">
      <c r="A370" s="23"/>
      <c r="B370" s="32" t="s">
        <v>467</v>
      </c>
      <c r="C370" s="13">
        <v>46213.0</v>
      </c>
      <c r="D370" s="31" t="s">
        <v>43</v>
      </c>
    </row>
    <row r="371">
      <c r="A371" s="36"/>
      <c r="B371" s="32" t="s">
        <v>468</v>
      </c>
      <c r="C371" s="13">
        <v>46213.0</v>
      </c>
      <c r="D371" s="31" t="s">
        <v>43</v>
      </c>
    </row>
    <row r="372">
      <c r="A372" s="28">
        <v>28.0</v>
      </c>
      <c r="B372" s="38" t="s">
        <v>469</v>
      </c>
      <c r="C372" s="13">
        <v>46213.0</v>
      </c>
      <c r="D372" s="31" t="s">
        <v>43</v>
      </c>
    </row>
    <row r="373">
      <c r="A373" s="23"/>
      <c r="B373" s="32" t="s">
        <v>470</v>
      </c>
      <c r="C373" s="13">
        <v>46213.0</v>
      </c>
      <c r="D373" s="31" t="s">
        <v>43</v>
      </c>
    </row>
    <row r="374">
      <c r="A374" s="23"/>
      <c r="B374" s="32" t="s">
        <v>471</v>
      </c>
      <c r="C374" s="13">
        <v>46213.0</v>
      </c>
      <c r="D374" s="31" t="s">
        <v>43</v>
      </c>
    </row>
    <row r="375">
      <c r="A375" s="23"/>
      <c r="B375" s="32" t="s">
        <v>472</v>
      </c>
      <c r="C375" s="13">
        <v>46213.0</v>
      </c>
      <c r="D375" s="31" t="s">
        <v>43</v>
      </c>
    </row>
    <row r="376">
      <c r="A376" s="23"/>
      <c r="B376" s="32" t="s">
        <v>473</v>
      </c>
      <c r="C376" s="13">
        <v>46213.0</v>
      </c>
      <c r="D376" s="31" t="s">
        <v>43</v>
      </c>
    </row>
    <row r="377">
      <c r="A377" s="23"/>
      <c r="B377" s="32" t="s">
        <v>474</v>
      </c>
      <c r="C377" s="13">
        <v>46213.0</v>
      </c>
      <c r="D377" s="31" t="s">
        <v>43</v>
      </c>
    </row>
    <row r="378">
      <c r="A378" s="23"/>
      <c r="B378" s="32" t="s">
        <v>475</v>
      </c>
      <c r="C378" s="13">
        <v>46213.0</v>
      </c>
      <c r="D378" s="31" t="s">
        <v>43</v>
      </c>
    </row>
    <row r="379">
      <c r="A379" s="23"/>
      <c r="B379" s="32" t="s">
        <v>476</v>
      </c>
      <c r="C379" s="13">
        <v>46214.0</v>
      </c>
      <c r="D379" s="31" t="s">
        <v>43</v>
      </c>
    </row>
    <row r="380">
      <c r="A380" s="23"/>
      <c r="B380" s="32" t="s">
        <v>477</v>
      </c>
      <c r="C380" s="13">
        <v>46214.0</v>
      </c>
      <c r="D380" s="31" t="s">
        <v>43</v>
      </c>
    </row>
    <row r="381">
      <c r="A381" s="23"/>
      <c r="B381" s="32" t="s">
        <v>478</v>
      </c>
      <c r="C381" s="13">
        <v>46214.0</v>
      </c>
      <c r="D381" s="31" t="s">
        <v>43</v>
      </c>
    </row>
    <row r="382">
      <c r="A382" s="23"/>
      <c r="B382" s="32" t="s">
        <v>479</v>
      </c>
      <c r="C382" s="13">
        <v>46214.0</v>
      </c>
      <c r="D382" s="31" t="s">
        <v>43</v>
      </c>
    </row>
    <row r="383">
      <c r="A383" s="23"/>
      <c r="B383" s="32" t="s">
        <v>480</v>
      </c>
      <c r="C383" s="13">
        <v>46214.0</v>
      </c>
      <c r="D383" s="31" t="s">
        <v>43</v>
      </c>
    </row>
    <row r="384">
      <c r="A384" s="23"/>
      <c r="B384" s="32" t="s">
        <v>481</v>
      </c>
      <c r="C384" s="13">
        <v>46214.0</v>
      </c>
      <c r="D384" s="31" t="s">
        <v>43</v>
      </c>
    </row>
    <row r="385">
      <c r="A385" s="23"/>
      <c r="B385" s="32" t="s">
        <v>482</v>
      </c>
      <c r="C385" s="13">
        <v>46214.0</v>
      </c>
      <c r="D385" s="31" t="s">
        <v>43</v>
      </c>
    </row>
    <row r="386">
      <c r="A386" s="36"/>
      <c r="B386" s="32" t="s">
        <v>483</v>
      </c>
      <c r="C386" s="13">
        <v>46214.0</v>
      </c>
      <c r="D386" s="54"/>
    </row>
    <row r="387">
      <c r="A387" s="28">
        <v>29.0</v>
      </c>
      <c r="B387" s="48" t="s">
        <v>484</v>
      </c>
      <c r="C387" s="54"/>
      <c r="D387" s="54"/>
    </row>
    <row r="388">
      <c r="A388" s="23"/>
      <c r="B388" s="32" t="s">
        <v>485</v>
      </c>
      <c r="C388" s="54"/>
      <c r="D388" s="54"/>
    </row>
    <row r="389">
      <c r="A389" s="23"/>
      <c r="B389" s="32" t="s">
        <v>276</v>
      </c>
      <c r="C389" s="54"/>
      <c r="D389" s="54"/>
    </row>
    <row r="390">
      <c r="A390" s="23"/>
      <c r="B390" s="32" t="s">
        <v>486</v>
      </c>
      <c r="C390" s="54"/>
      <c r="D390" s="54"/>
    </row>
    <row r="391">
      <c r="A391" s="23"/>
      <c r="B391" s="32" t="s">
        <v>487</v>
      </c>
      <c r="C391" s="54"/>
      <c r="D391" s="54"/>
    </row>
    <row r="392">
      <c r="A392" s="23"/>
      <c r="B392" s="32" t="s">
        <v>488</v>
      </c>
      <c r="C392" s="54"/>
      <c r="D392" s="54"/>
    </row>
    <row r="393">
      <c r="A393" s="23"/>
      <c r="B393" s="32" t="s">
        <v>489</v>
      </c>
      <c r="C393" s="54"/>
      <c r="D393" s="54"/>
    </row>
    <row r="394">
      <c r="A394" s="23"/>
      <c r="B394" s="32" t="s">
        <v>490</v>
      </c>
      <c r="C394" s="54"/>
      <c r="D394" s="54"/>
    </row>
    <row r="395">
      <c r="A395" s="23"/>
      <c r="B395" s="32" t="s">
        <v>491</v>
      </c>
      <c r="C395" s="54"/>
      <c r="D395" s="54"/>
    </row>
    <row r="396">
      <c r="A396" s="23"/>
      <c r="B396" s="32" t="s">
        <v>492</v>
      </c>
      <c r="C396" s="54"/>
      <c r="D396" s="54"/>
    </row>
    <row r="397">
      <c r="A397" s="23"/>
      <c r="B397" s="32" t="s">
        <v>283</v>
      </c>
      <c r="C397" s="54"/>
      <c r="D397" s="54"/>
    </row>
    <row r="398">
      <c r="A398" s="36"/>
      <c r="B398" s="32" t="s">
        <v>493</v>
      </c>
      <c r="C398" s="54"/>
      <c r="D398" s="54"/>
    </row>
    <row r="399">
      <c r="A399" s="28">
        <v>30.0</v>
      </c>
      <c r="B399" s="48" t="s">
        <v>494</v>
      </c>
      <c r="C399" s="54"/>
      <c r="D399" s="54"/>
    </row>
    <row r="400">
      <c r="A400" s="23"/>
      <c r="B400" s="32" t="s">
        <v>495</v>
      </c>
      <c r="C400" s="54"/>
      <c r="D400" s="54"/>
    </row>
    <row r="401">
      <c r="A401" s="23"/>
      <c r="B401" s="32" t="s">
        <v>496</v>
      </c>
      <c r="C401" s="54"/>
      <c r="D401" s="54"/>
    </row>
    <row r="402">
      <c r="A402" s="23"/>
      <c r="B402" s="32" t="s">
        <v>497</v>
      </c>
      <c r="C402" s="54"/>
      <c r="D402" s="54"/>
    </row>
    <row r="403">
      <c r="A403" s="23"/>
      <c r="B403" s="32" t="s">
        <v>498</v>
      </c>
      <c r="C403" s="54"/>
      <c r="D403" s="54"/>
    </row>
    <row r="404">
      <c r="A404" s="23"/>
      <c r="B404" s="32" t="s">
        <v>499</v>
      </c>
      <c r="C404" s="54"/>
      <c r="D404" s="54"/>
    </row>
    <row r="405">
      <c r="A405" s="23"/>
      <c r="B405" s="32" t="s">
        <v>500</v>
      </c>
      <c r="C405" s="54"/>
      <c r="D405" s="54"/>
    </row>
    <row r="406">
      <c r="A406" s="23"/>
      <c r="B406" s="32" t="s">
        <v>501</v>
      </c>
      <c r="C406" s="54"/>
      <c r="D406" s="54"/>
    </row>
    <row r="407">
      <c r="A407" s="23"/>
      <c r="B407" s="32" t="s">
        <v>502</v>
      </c>
      <c r="C407" s="54"/>
      <c r="D407" s="54"/>
    </row>
    <row r="408">
      <c r="A408" s="23"/>
      <c r="B408" s="32" t="s">
        <v>503</v>
      </c>
      <c r="C408" s="54"/>
      <c r="D408" s="54"/>
    </row>
    <row r="409">
      <c r="A409" s="23"/>
      <c r="B409" s="32" t="s">
        <v>504</v>
      </c>
      <c r="C409" s="54"/>
      <c r="D409" s="54"/>
    </row>
    <row r="410">
      <c r="A410" s="23"/>
      <c r="B410" s="32" t="s">
        <v>505</v>
      </c>
      <c r="C410" s="54"/>
      <c r="D410" s="54"/>
    </row>
    <row r="411">
      <c r="A411" s="23"/>
      <c r="B411" s="32" t="s">
        <v>506</v>
      </c>
      <c r="C411" s="54"/>
      <c r="D411" s="54"/>
    </row>
    <row r="412">
      <c r="A412" s="23"/>
      <c r="B412" s="32" t="s">
        <v>507</v>
      </c>
      <c r="C412" s="54"/>
      <c r="D412" s="54"/>
    </row>
    <row r="413">
      <c r="A413" s="23"/>
      <c r="B413" s="32" t="s">
        <v>508</v>
      </c>
      <c r="C413" s="54"/>
      <c r="D413" s="54"/>
    </row>
    <row r="414">
      <c r="A414" s="23"/>
      <c r="B414" s="32" t="s">
        <v>509</v>
      </c>
      <c r="C414" s="54"/>
      <c r="D414" s="54"/>
    </row>
    <row r="415">
      <c r="A415" s="23"/>
      <c r="B415" s="32" t="s">
        <v>510</v>
      </c>
      <c r="C415" s="54"/>
      <c r="D415" s="54"/>
    </row>
    <row r="416">
      <c r="A416" s="36"/>
      <c r="B416" s="32" t="s">
        <v>511</v>
      </c>
      <c r="C416" s="54"/>
      <c r="D416" s="54"/>
    </row>
  </sheetData>
  <mergeCells count="38">
    <mergeCell ref="A1:D1"/>
    <mergeCell ref="A2:D2"/>
    <mergeCell ref="A3:D3"/>
    <mergeCell ref="A4:B4"/>
    <mergeCell ref="C4:D4"/>
    <mergeCell ref="C5:D5"/>
    <mergeCell ref="A6:D6"/>
    <mergeCell ref="A5:B5"/>
    <mergeCell ref="A8:A19"/>
    <mergeCell ref="A20:A34"/>
    <mergeCell ref="A35:A47"/>
    <mergeCell ref="A48:A60"/>
    <mergeCell ref="A61:A73"/>
    <mergeCell ref="A74:A83"/>
    <mergeCell ref="A84:A96"/>
    <mergeCell ref="A97:A108"/>
    <mergeCell ref="A109:A122"/>
    <mergeCell ref="A123:A135"/>
    <mergeCell ref="A136:A148"/>
    <mergeCell ref="A149:A163"/>
    <mergeCell ref="A164:A176"/>
    <mergeCell ref="A177:A186"/>
    <mergeCell ref="A187:A197"/>
    <mergeCell ref="A198:A211"/>
    <mergeCell ref="A212:A224"/>
    <mergeCell ref="A225:A239"/>
    <mergeCell ref="A240:A252"/>
    <mergeCell ref="A253:A266"/>
    <mergeCell ref="A372:A386"/>
    <mergeCell ref="A387:A398"/>
    <mergeCell ref="A399:A416"/>
    <mergeCell ref="A267:A282"/>
    <mergeCell ref="A283:A296"/>
    <mergeCell ref="A297:A311"/>
    <mergeCell ref="A312:A327"/>
    <mergeCell ref="A328:A341"/>
    <mergeCell ref="A342:A356"/>
    <mergeCell ref="A357:A371"/>
  </mergeCells>
  <dataValidations>
    <dataValidation type="list" allowBlank="1" showErrorMessage="1" sqref="D8:D416">
      <formula1>"Pending,Done"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51" t="s">
        <v>1</v>
      </c>
      <c r="B2" s="51" t="s">
        <v>8</v>
      </c>
      <c r="C2" s="52" t="s">
        <v>9</v>
      </c>
      <c r="D2" s="16" t="s">
        <v>183</v>
      </c>
      <c r="E2" s="16" t="s">
        <v>184</v>
      </c>
    </row>
    <row r="3">
      <c r="A3" s="18">
        <v>1.0</v>
      </c>
      <c r="B3" s="27" t="s">
        <v>32</v>
      </c>
      <c r="C3" s="27" t="s">
        <v>39</v>
      </c>
      <c r="D3" s="30"/>
      <c r="E3" s="30"/>
    </row>
    <row r="4">
      <c r="A4" s="18">
        <v>2.0</v>
      </c>
      <c r="B4" s="27" t="s">
        <v>50</v>
      </c>
      <c r="C4" s="27" t="s">
        <v>51</v>
      </c>
      <c r="D4" s="30"/>
      <c r="E4" s="30"/>
    </row>
    <row r="5">
      <c r="A5" s="18">
        <v>3.0</v>
      </c>
      <c r="B5" s="27" t="s">
        <v>56</v>
      </c>
      <c r="C5" s="27" t="s">
        <v>58</v>
      </c>
      <c r="D5" s="30"/>
      <c r="E5" s="30"/>
    </row>
    <row r="6">
      <c r="A6" s="18">
        <v>4.0</v>
      </c>
      <c r="B6" s="27" t="s">
        <v>62</v>
      </c>
      <c r="C6" s="27" t="s">
        <v>65</v>
      </c>
      <c r="D6" s="30"/>
      <c r="E6" s="30"/>
    </row>
    <row r="7">
      <c r="A7" s="18">
        <v>5.0</v>
      </c>
      <c r="B7" s="27" t="s">
        <v>71</v>
      </c>
      <c r="C7" s="27" t="s">
        <v>73</v>
      </c>
      <c r="D7" s="30"/>
      <c r="E7" s="30"/>
    </row>
    <row r="8">
      <c r="A8" s="18">
        <v>6.0</v>
      </c>
      <c r="B8" s="27" t="s">
        <v>78</v>
      </c>
      <c r="C8" s="27" t="s">
        <v>79</v>
      </c>
      <c r="D8" s="30"/>
      <c r="E8" s="30"/>
    </row>
    <row r="9">
      <c r="A9" s="18">
        <v>7.0</v>
      </c>
      <c r="B9" s="27" t="s">
        <v>82</v>
      </c>
      <c r="C9" s="27" t="s">
        <v>83</v>
      </c>
      <c r="D9" s="30"/>
      <c r="E9" s="30"/>
    </row>
    <row r="10">
      <c r="A10" s="18">
        <v>8.0</v>
      </c>
      <c r="B10" s="27" t="s">
        <v>89</v>
      </c>
      <c r="C10" s="27" t="s">
        <v>91</v>
      </c>
      <c r="D10" s="30"/>
      <c r="E10" s="30"/>
    </row>
    <row r="11">
      <c r="A11" s="18">
        <v>9.0</v>
      </c>
      <c r="B11" s="27" t="s">
        <v>95</v>
      </c>
      <c r="C11" s="27" t="s">
        <v>96</v>
      </c>
      <c r="D11" s="30"/>
      <c r="E11" s="30"/>
    </row>
    <row r="12">
      <c r="A12" s="18">
        <v>10.0</v>
      </c>
      <c r="B12" s="27" t="s">
        <v>102</v>
      </c>
      <c r="C12" s="27" t="s">
        <v>103</v>
      </c>
      <c r="D12" s="30"/>
      <c r="E12" s="30"/>
    </row>
    <row r="13">
      <c r="A13" s="18">
        <v>11.0</v>
      </c>
      <c r="B13" s="27" t="s">
        <v>107</v>
      </c>
      <c r="C13" s="27" t="s">
        <v>109</v>
      </c>
      <c r="D13" s="30"/>
      <c r="E13" s="30"/>
    </row>
  </sheetData>
  <drawing r:id="rId1"/>
</worksheet>
</file>