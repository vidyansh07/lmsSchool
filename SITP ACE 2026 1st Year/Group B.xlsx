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ttendance" sheetId="1" r:id="rId5"/>
    <sheet state="visible" name="DSR" sheetId="2" r:id="rId6"/>
    <sheet state="visible" name="Assessment" sheetId="3" r:id="rId7"/>
    <sheet state="visible" name="Course Timeline" sheetId="4" r:id="rId8"/>
    <sheet state="visible" name="Project" sheetId="5" r:id="rId9"/>
  </sheets>
  <definedNames/>
  <calcPr/>
</workbook>
</file>

<file path=xl/sharedStrings.xml><?xml version="1.0" encoding="utf-8"?>
<sst xmlns="http://schemas.openxmlformats.org/spreadsheetml/2006/main" count="4229" uniqueCount="814">
  <si>
    <t>S NO</t>
  </si>
  <si>
    <t>SNO</t>
  </si>
  <si>
    <t>Date</t>
  </si>
  <si>
    <t>Topic Cover</t>
  </si>
  <si>
    <t>Student Count Online Offline</t>
  </si>
  <si>
    <t>Student Email</t>
  </si>
  <si>
    <t xml:space="preserve">Trainer Name </t>
  </si>
  <si>
    <t>Student Name</t>
  </si>
  <si>
    <t>RTU Roll No.</t>
  </si>
  <si>
    <t xml:space="preserve">Total Present </t>
  </si>
  <si>
    <t xml:space="preserve">Total Absent </t>
  </si>
  <si>
    <t xml:space="preserve">Total Class </t>
  </si>
  <si>
    <t>Attendance Percent</t>
  </si>
  <si>
    <t>Introduction to Python</t>
  </si>
  <si>
    <t>Deepratan Kushwaha</t>
  </si>
  <si>
    <t>Introduction to Python Day-2</t>
  </si>
  <si>
    <t>79: Online / 4: Offline</t>
  </si>
  <si>
    <t>Anmol Shah</t>
  </si>
  <si>
    <t>Python Installation, CLI, GUI, Google Colab</t>
  </si>
  <si>
    <t>73: Online / 3: Offline</t>
  </si>
  <si>
    <t>Python Variables,Datatypes, Type()</t>
  </si>
  <si>
    <t>76: Online / 5: Offline</t>
  </si>
  <si>
    <t>Assessment, Python Operators, Type Casting</t>
  </si>
  <si>
    <t>74: Online / 5: Offline</t>
  </si>
  <si>
    <t>Conditional Statements in Python</t>
  </si>
  <si>
    <t>72: Online / 3 : Offline</t>
  </si>
  <si>
    <t>String Methods in Python</t>
  </si>
  <si>
    <t>66: Online / 3 : Offline</t>
  </si>
  <si>
    <t>List Methods in Python</t>
  </si>
  <si>
    <t>71: Online / 5 : Offline</t>
  </si>
  <si>
    <t>Introduction to Loops: While Loop</t>
  </si>
  <si>
    <t>76: Online / 4 : Offline</t>
  </si>
  <si>
    <t>For Loops in Python</t>
  </si>
  <si>
    <t>68: Online / 5: Offline</t>
  </si>
  <si>
    <t>Functions In Python Day 1</t>
  </si>
  <si>
    <t>69 Online / 3: Offline</t>
  </si>
  <si>
    <t>Assessment 2, Functions In Python Day 2</t>
  </si>
  <si>
    <t>72 : Online / 3: Offline</t>
  </si>
  <si>
    <t>Functions In Python Day 3</t>
  </si>
  <si>
    <t>71: Online / 2: Offline</t>
  </si>
  <si>
    <t>File Handling in Python</t>
  </si>
  <si>
    <t>76: Online / 2: Offline</t>
  </si>
  <si>
    <t>File Handling in Python Day 2</t>
  </si>
  <si>
    <t>72: Online / 0: Offline</t>
  </si>
  <si>
    <t>A</t>
  </si>
  <si>
    <t>Project 1 Student Result Management System</t>
  </si>
  <si>
    <t>72: Online / 2: Offline</t>
  </si>
  <si>
    <t xml:space="preserve">Assesment 1 (Topics Name ) Out of </t>
  </si>
  <si>
    <t xml:space="preserve">Assesment 2 (Topics Name ) Out of </t>
  </si>
  <si>
    <t>OOP in Python Day 1</t>
  </si>
  <si>
    <t>68:Online / 3:Oflfine</t>
  </si>
  <si>
    <t xml:space="preserve">Assesment 3 (Topics Name ) Out of </t>
  </si>
  <si>
    <t xml:space="preserve">Assesment 4 (Topics Name ) Out of </t>
  </si>
  <si>
    <t xml:space="preserve">Assesment 5 (Topics Name ) Out of </t>
  </si>
  <si>
    <t>OOP in Python Day 2</t>
  </si>
  <si>
    <t xml:space="preserve">Assesment 6 (Topics Name ) Out of </t>
  </si>
  <si>
    <t>OOP in Python Day 3</t>
  </si>
  <si>
    <t>69: Online / 0: Offline</t>
  </si>
  <si>
    <t>Harshit</t>
  </si>
  <si>
    <t>Exceptional Handling in Python</t>
  </si>
  <si>
    <t>25EACCS119</t>
  </si>
  <si>
    <t>81:Online / 2: Offline</t>
  </si>
  <si>
    <t>Absent</t>
  </si>
  <si>
    <t>29 / 30</t>
  </si>
  <si>
    <t>List Comprehension in Python</t>
  </si>
  <si>
    <t>70: Online / 0: Offline</t>
  </si>
  <si>
    <t>hm3269129@gmail.com</t>
  </si>
  <si>
    <t>Working with Json &amp; Csv</t>
  </si>
  <si>
    <t>64: Online / 0 : Offline</t>
  </si>
  <si>
    <t>57: Online / 1: Offline</t>
  </si>
  <si>
    <t>Regular Expression in Python</t>
  </si>
  <si>
    <t>DIVYANSHU SINGH CHOUHAN</t>
  </si>
  <si>
    <t>56: Online / 1: Offline</t>
  </si>
  <si>
    <t>25EACCS100</t>
  </si>
  <si>
    <t>25 / 30</t>
  </si>
  <si>
    <t>Virtual Environment &amp; Package Management</t>
  </si>
  <si>
    <t>Introduction to Numpy</t>
  </si>
  <si>
    <t>Ravina Gurjar</t>
  </si>
  <si>
    <t>25EACCS254</t>
  </si>
  <si>
    <t>Introduction to Pandas</t>
  </si>
  <si>
    <t>P</t>
  </si>
  <si>
    <t>Introduction to Matplotlib</t>
  </si>
  <si>
    <t>SUNDAY</t>
  </si>
  <si>
    <t>Aditya sharma</t>
  </si>
  <si>
    <t>25EACCS021</t>
  </si>
  <si>
    <t>26 / 30</t>
  </si>
  <si>
    <t>22 / 30</t>
  </si>
  <si>
    <t>Abhinav</t>
  </si>
  <si>
    <t>25EACCS014</t>
  </si>
  <si>
    <t>27 / 30</t>
  </si>
  <si>
    <t>28 / 30</t>
  </si>
  <si>
    <t>Karan Singh</t>
  </si>
  <si>
    <t>25EACIT012</t>
  </si>
  <si>
    <t>30 / 30</t>
  </si>
  <si>
    <t>Nitin Sharma</t>
  </si>
  <si>
    <t>25EACCS212</t>
  </si>
  <si>
    <t>Anmol Sharma</t>
  </si>
  <si>
    <t>25EAACCS046</t>
  </si>
  <si>
    <t>Anuj Chandel</t>
  </si>
  <si>
    <t>25EACCS047</t>
  </si>
  <si>
    <t>23 / 30</t>
  </si>
  <si>
    <t>Chanchal kumawat</t>
  </si>
  <si>
    <t>25EACCS077</t>
  </si>
  <si>
    <t>Shailesh dadhich</t>
  </si>
  <si>
    <t>25EACCS282</t>
  </si>
  <si>
    <t>Akshara Sharma</t>
  </si>
  <si>
    <t>25EACCS029</t>
  </si>
  <si>
    <t>24 / 30</t>
  </si>
  <si>
    <t>divyanshusinghchouhan18@gmail.com</t>
  </si>
  <si>
    <t>ARYAN SHARMA</t>
  </si>
  <si>
    <t>25EACCS055</t>
  </si>
  <si>
    <t>Karan Suthar</t>
  </si>
  <si>
    <t>25EACCS150</t>
  </si>
  <si>
    <t>Sweta kumari</t>
  </si>
  <si>
    <t>25EACCS317</t>
  </si>
  <si>
    <t>Diti Kawdia</t>
  </si>
  <si>
    <t>25EACCS099</t>
  </si>
  <si>
    <t>Sayan Ghosh</t>
  </si>
  <si>
    <t>25EACIT021</t>
  </si>
  <si>
    <t>25EACCS118</t>
  </si>
  <si>
    <t>ravinagurjar0910@gmail.com</t>
  </si>
  <si>
    <t>Dhairy Gour</t>
  </si>
  <si>
    <t>25EACCS089</t>
  </si>
  <si>
    <t>Ankit kumar</t>
  </si>
  <si>
    <t>25EACCS043</t>
  </si>
  <si>
    <t>Deepanshu</t>
  </si>
  <si>
    <t>25EACCS086</t>
  </si>
  <si>
    <t>Jaydeep</t>
  </si>
  <si>
    <t>adityarksharma999@gmail.com</t>
  </si>
  <si>
    <t>25EACCS141</t>
  </si>
  <si>
    <t>20 / 30</t>
  </si>
  <si>
    <t>15 / 30</t>
  </si>
  <si>
    <t>Hanshika jangid</t>
  </si>
  <si>
    <t>25EACCS112</t>
  </si>
  <si>
    <t>Hemant</t>
  </si>
  <si>
    <t>25EACCS123</t>
  </si>
  <si>
    <t>Himanshu kumar</t>
  </si>
  <si>
    <t>25EACCS130</t>
  </si>
  <si>
    <t>abhinavsharma93513427@gmail.com</t>
  </si>
  <si>
    <t>Rakesh bhoi</t>
  </si>
  <si>
    <t>25EACCS248</t>
  </si>
  <si>
    <t>Anirudh singh</t>
  </si>
  <si>
    <t>25EACCS040</t>
  </si>
  <si>
    <t>deepak Jangid</t>
  </si>
  <si>
    <t>25EACCS083</t>
  </si>
  <si>
    <t>19 / 30</t>
  </si>
  <si>
    <t>Jitendra Kumar</t>
  </si>
  <si>
    <t>25EACCS144</t>
  </si>
  <si>
    <t>kensingh1612@gmail.com</t>
  </si>
  <si>
    <t>Amit Prajapat</t>
  </si>
  <si>
    <t>25EACCS036</t>
  </si>
  <si>
    <t>ARYA COLLEGE OF ENGINEERING</t>
  </si>
  <si>
    <t>BLOWN UP SYLLABUS</t>
  </si>
  <si>
    <t>INDUSTRIAL TRAINING</t>
  </si>
  <si>
    <t>Lecturer Name:</t>
  </si>
  <si>
    <t>No. of Lectures Required: 30</t>
  </si>
  <si>
    <t>Lecture No.</t>
  </si>
  <si>
    <t>BLOWN UP TOPICS</t>
  </si>
  <si>
    <t>Date of Delivery</t>
  </si>
  <si>
    <t>Status</t>
  </si>
  <si>
    <t>DAY 1: INTRODUCTION TO PYTHON &amp; ENVIRONMENT SETUP</t>
  </si>
  <si>
    <t>Done</t>
  </si>
  <si>
    <t>1. Getting Started with Python</t>
  </si>
  <si>
    <t>1.1 What is Programming? Why Python?</t>
  </si>
  <si>
    <t>1.2 Installing Python &amp; Setting Up VS Code / IDLE</t>
  </si>
  <si>
    <t>1.3 Understanding the Python Interpreter</t>
  </si>
  <si>
    <t>1.4 Writing and Running Your First Python Program</t>
  </si>
  <si>
    <t>2. Python Basics</t>
  </si>
  <si>
    <t>2.1 Python Syntax &amp; Indentation Rules</t>
  </si>
  <si>
    <t>2.2 Comments (Single-line &amp; Multi-line)</t>
  </si>
  <si>
    <t>2.3 print() Function &amp; Basic Output</t>
  </si>
  <si>
    <t>2.4 input() Function — Taking User Input</t>
  </si>
  <si>
    <t>🛠️ Practice: Write programs to print name, age, and city using input()</t>
  </si>
  <si>
    <t>DAY 2: VARIABLES, DATA TYPES &amp; TYPE CONVERSION</t>
  </si>
  <si>
    <t>1. Variables</t>
  </si>
  <si>
    <t>1.1 What is a Variable? Rules for Naming</t>
  </si>
  <si>
    <t>1.2 Assigning &amp; Reassigning Values</t>
  </si>
  <si>
    <t>1.3 Multiple Assignments in One Line</t>
  </si>
  <si>
    <t>2. Data Types</t>
  </si>
  <si>
    <t>2.1 Integer (int)</t>
  </si>
  <si>
    <t>2.2 Float (float)</t>
  </si>
  <si>
    <t>nitinmaharishi742007@gmail.com</t>
  </si>
  <si>
    <t>2.3 String (str)</t>
  </si>
  <si>
    <t>2.4 Boolean (bool)</t>
  </si>
  <si>
    <t>2.5 type() Function — Checking Data Type</t>
  </si>
  <si>
    <t>3. Type Conversion</t>
  </si>
  <si>
    <t>3.1 int(), float(), str() Conversions</t>
  </si>
  <si>
    <t>3.2 Implicit vs Explicit Conversion</t>
  </si>
  <si>
    <t>🛠️ Practice: Take two numbers from user, convert types, and display results</t>
  </si>
  <si>
    <t>DAY 3: OPERATORS &amp; EXPRESSIONS</t>
  </si>
  <si>
    <t>anmolsharmaa88@gmail.com</t>
  </si>
  <si>
    <t>1. Arithmetic Operators</t>
  </si>
  <si>
    <t>1.1 +, -, *, /, //, %, ** (with examples)</t>
  </si>
  <si>
    <t>OP</t>
  </si>
  <si>
    <t>1.2 Order of Operations (BODMAS in Python)</t>
  </si>
  <si>
    <t>2. Comparison Operators</t>
  </si>
  <si>
    <t>2.1 ==, !=, &gt;, &lt;, &gt;=, &lt;=</t>
  </si>
  <si>
    <t>2.2 Output: True or False</t>
  </si>
  <si>
    <t>3. Logical Operators</t>
  </si>
  <si>
    <t>3.1 and, or, not</t>
  </si>
  <si>
    <t>canuj7114@gmail.com</t>
  </si>
  <si>
    <t>3.2 Combining Conditions</t>
  </si>
  <si>
    <t>4. Assignment Operators</t>
  </si>
  <si>
    <t>4.1 =, +=, -=, *=, /=</t>
  </si>
  <si>
    <t>🛠️ Practice: Simple calculator — take two inputs, perform all operations</t>
  </si>
  <si>
    <t>DAY 4: CONDITIONAL STATEMENTS</t>
  </si>
  <si>
    <t>1. if Statement</t>
  </si>
  <si>
    <t>1.1 Syntax &amp; Indentation</t>
  </si>
  <si>
    <t>1.2 Simple if Example</t>
  </si>
  <si>
    <t>2. if-else Statement</t>
  </si>
  <si>
    <t>ck762496@gmail.com</t>
  </si>
  <si>
    <t>2.1 Two-way Decision Making</t>
  </si>
  <si>
    <t>2.2 Real-life Examples (Pass/Fail, Even/Odd)</t>
  </si>
  <si>
    <t>3. if-elif-else Statement</t>
  </si>
  <si>
    <t>3.1 Multi-way Decision Making</t>
  </si>
  <si>
    <t>3.2 Grade Calculator Example</t>
  </si>
  <si>
    <t>4. Nested if Statements</t>
  </si>
  <si>
    <t>4.1 if Inside Another if</t>
  </si>
  <si>
    <t>🛠️ Practice: Write a program to check voting eligibility, grade system</t>
  </si>
  <si>
    <t>DAY 5: LOOPS — PART 1 (for LOOP)</t>
  </si>
  <si>
    <t>keshu8005@gmail.com</t>
  </si>
  <si>
    <t>1. Introduction to Loops</t>
  </si>
  <si>
    <t>1.1 Why do we need Loops?</t>
  </si>
  <si>
    <t>1.2 Types of Loops in Python</t>
  </si>
  <si>
    <t>2. for Loop</t>
  </si>
  <si>
    <t>2.1 Syntax of for Loop</t>
  </si>
  <si>
    <t>2.2 Iterating over a Range — range() Function</t>
  </si>
  <si>
    <t>2.3 Iterating over a String</t>
  </si>
  <si>
    <t>3. Loop Control Statements</t>
  </si>
  <si>
    <t>3.1 break — Exit the Loop</t>
  </si>
  <si>
    <t>3.2 continue — Skip an Iteration</t>
  </si>
  <si>
    <t>akshara232121@gmail.com</t>
  </si>
  <si>
    <t>3.3 pass — Placeholder Statement</t>
  </si>
  <si>
    <t>🛠️ Practice: Print multiplication table, sum of digits, count vowels in a word</t>
  </si>
  <si>
    <t>DAY 6: LOOPS — PART 2 (while LOOP &amp; PATTERNS)</t>
  </si>
  <si>
    <t>1. while Loop</t>
  </si>
  <si>
    <t>Rishika shekhawat</t>
  </si>
  <si>
    <t>25EACCS262</t>
  </si>
  <si>
    <t>1.1 Syntax of while Loop</t>
  </si>
  <si>
    <t>Aniruddh Singh</t>
  </si>
  <si>
    <t>1.2 Difference: for vs while</t>
  </si>
  <si>
    <t>25EACCS039</t>
  </si>
  <si>
    <t>1.3 Avoiding Infinite Loops</t>
  </si>
  <si>
    <t>1.4 Real-life Examples (Login Attempts, Countdown)</t>
  </si>
  <si>
    <t>Lakshya Vijay Singh</t>
  </si>
  <si>
    <t>25EACCS168</t>
  </si>
  <si>
    <t>2. Nested Loops</t>
  </si>
  <si>
    <t>2.1 Loop inside a Loop</t>
  </si>
  <si>
    <t>aryansharmaff07@gmail.com</t>
  </si>
  <si>
    <t>2.2 Printing Star &amp; Number Patterns</t>
  </si>
  <si>
    <t>Jeet kumar</t>
  </si>
  <si>
    <t>25EACCS142</t>
  </si>
  <si>
    <t>🛠️ Practice: Number guessing game, right-triangle star pattern, factorial</t>
  </si>
  <si>
    <t>Simran Bisht</t>
  </si>
  <si>
    <t>25EACCS300</t>
  </si>
  <si>
    <t>DAY 7: STRINGS</t>
  </si>
  <si>
    <t>1. Introduction to Strings</t>
  </si>
  <si>
    <t>1.1 Creating Strings (Single, Double, Triple Quotes)</t>
  </si>
  <si>
    <t>Rehan khan</t>
  </si>
  <si>
    <t>25EACCS256</t>
  </si>
  <si>
    <t>1.2 String Indexing &amp; Negative Indexing</t>
  </si>
  <si>
    <t>1.3 String Slicing</t>
  </si>
  <si>
    <t>Mayank Singh Rawat</t>
  </si>
  <si>
    <t>25EACCS183</t>
  </si>
  <si>
    <t>2. String Operations</t>
  </si>
  <si>
    <t>2.1 Concatenation &amp; Repetition</t>
  </si>
  <si>
    <t>Hemant Saini</t>
  </si>
  <si>
    <t>2.2 len(), upper(), lower(), strip()</t>
  </si>
  <si>
    <t>25EACCS125</t>
  </si>
  <si>
    <t>sutharkaran782@gmail.com</t>
  </si>
  <si>
    <t>2.3 replace(), find(), split(), count()</t>
  </si>
  <si>
    <t>2.4 String Formatting — f-strings</t>
  </si>
  <si>
    <t>Muskan Saini</t>
  </si>
  <si>
    <t>25EACCS200</t>
  </si>
  <si>
    <t>3. String Iteration</t>
  </si>
  <si>
    <t>3.1 Looping Through a String</t>
  </si>
  <si>
    <t>Pankaj saini</t>
  </si>
  <si>
    <t>25EACCS219</t>
  </si>
  <si>
    <t>🛠️ Practice: Reverse a string, check palindrome, count words in a sentence</t>
  </si>
  <si>
    <t>DAY 8: LISTS</t>
  </si>
  <si>
    <t>Mohammad Aayet Anwer</t>
  </si>
  <si>
    <t>25EACCS191</t>
  </si>
  <si>
    <t>1. Introduction to Lists</t>
  </si>
  <si>
    <t>1.1 What is a List? Creating a List</t>
  </si>
  <si>
    <t>Devendra Kumawat</t>
  </si>
  <si>
    <t>25EACCS087</t>
  </si>
  <si>
    <t>1.2 Indexing, Slicing, and Negative Indexing</t>
  </si>
  <si>
    <t>2. List Methods</t>
  </si>
  <si>
    <t>Yash Goyal</t>
  </si>
  <si>
    <t>2.1 append(), insert(), remove(), pop()</t>
  </si>
  <si>
    <t>25EACCS337</t>
  </si>
  <si>
    <t>sweta312008@gmail.com</t>
  </si>
  <si>
    <t>2.2 sort(), reverse(), len(), count()</t>
  </si>
  <si>
    <t>2.3 Checking Membership: in, not in</t>
  </si>
  <si>
    <t>3. Iterating Over Lists</t>
  </si>
  <si>
    <t>Kashish Agarwal</t>
  </si>
  <si>
    <t>25EACCS151</t>
  </si>
  <si>
    <t>3.1 for Loop with Lists</t>
  </si>
  <si>
    <t>3.2 Nested Lists (2D Lists — Matrix Concept)</t>
  </si>
  <si>
    <t>Drishti Jadon</t>
  </si>
  <si>
    <t>🛠️ Practice: Find max/min in a list, remove duplicates, student marks list</t>
  </si>
  <si>
    <t>25EACIT006</t>
  </si>
  <si>
    <t>DAY 9: TUPLES, SETS &amp; DICTIONARIES</t>
  </si>
  <si>
    <t>Hanuman Ram</t>
  </si>
  <si>
    <t>25EACCS113</t>
  </si>
  <si>
    <t>1. Tuples</t>
  </si>
  <si>
    <t>Rishikesh Sharma</t>
  </si>
  <si>
    <t>1.1 Creating a Tuple — Immutability</t>
  </si>
  <si>
    <t>25EACCS263</t>
  </si>
  <si>
    <t>kawdiaditi@gmail.com</t>
  </si>
  <si>
    <t>1.2 Indexing, Slicing, Tuple Methods</t>
  </si>
  <si>
    <t>1.3 When to use Tuple vs List?</t>
  </si>
  <si>
    <t>Deepak Kumar saini</t>
  </si>
  <si>
    <t>25EACCS084</t>
  </si>
  <si>
    <t>2. Sets</t>
  </si>
  <si>
    <t>2.1 Creating a Set — No Duplicates</t>
  </si>
  <si>
    <t>Yash Kumar Jangir</t>
  </si>
  <si>
    <t>25EACCS338</t>
  </si>
  <si>
    <t>2.2 Set Operations: union, intersection, difference</t>
  </si>
  <si>
    <t>3. Dictionaries</t>
  </si>
  <si>
    <t>Dhruv jha</t>
  </si>
  <si>
    <t>25EQCIT005</t>
  </si>
  <si>
    <t>3.1 Key-Value Pair Concept</t>
  </si>
  <si>
    <t>3.2 Creating, Accessing &amp; Updating a Dictionary</t>
  </si>
  <si>
    <t>Priyanshu Singh bisht</t>
  </si>
  <si>
    <t>25EACCS242</t>
  </si>
  <si>
    <t>ghoshsayan0620@gmail.com</t>
  </si>
  <si>
    <t>3.3 keys(), values(), items() Methods</t>
  </si>
  <si>
    <t>3.4 Looping Through a Dictionary</t>
  </si>
  <si>
    <t>Himanshi gupta</t>
  </si>
  <si>
    <t>25EACCS126</t>
  </si>
  <si>
    <t>🛠️ Practice: Student mark-sheet using dictionary, set operations on two lists</t>
  </si>
  <si>
    <t>krishna jangid</t>
  </si>
  <si>
    <t>25EACCS159</t>
  </si>
  <si>
    <t>DAY 10: FUNCTIONS — PART 1</t>
  </si>
  <si>
    <t>1. Introduction to Functions</t>
  </si>
  <si>
    <t>Dakshraj singh rathore</t>
  </si>
  <si>
    <t>25EACCS081</t>
  </si>
  <si>
    <t>1.1 What is a Function? Why Use Functions?</t>
  </si>
  <si>
    <t>1.2 Defining a Function — def Keyword</t>
  </si>
  <si>
    <t>Dinesh Gajraj</t>
  </si>
  <si>
    <t>25EACCS095</t>
  </si>
  <si>
    <t>1.3 Calling a Function</t>
  </si>
  <si>
    <t>2. Function Parameters</t>
  </si>
  <si>
    <t>Shreyansh singh</t>
  </si>
  <si>
    <t>25EACCS293</t>
  </si>
  <si>
    <t>sanjaylg182@gmail.com</t>
  </si>
  <si>
    <t>2.1 Arguments &amp; Parameters</t>
  </si>
  <si>
    <t>2.2 Default Arguments</t>
  </si>
  <si>
    <t>Palak kumari</t>
  </si>
  <si>
    <t>25EACCS217</t>
  </si>
  <si>
    <t>24  / 30</t>
  </si>
  <si>
    <t>2.3 Keyword Arguments</t>
  </si>
  <si>
    <t>3. Return Statement</t>
  </si>
  <si>
    <t>FAIZ AMIN</t>
  </si>
  <si>
    <t>25EACCS101</t>
  </si>
  <si>
    <t>3.1 Returning a Single Value</t>
  </si>
  <si>
    <t>3.2 Returning Multiple Values</t>
  </si>
  <si>
    <t>Navneet singh</t>
  </si>
  <si>
    <t>🛠️ Practice: Functions for area calculation, even/odd check, factorial using function</t>
  </si>
  <si>
    <t>25EACCS203</t>
  </si>
  <si>
    <t>DAY 11: FUNCTIONS — PART 2 &amp; MODULES</t>
  </si>
  <si>
    <t>Krishna Sharma</t>
  </si>
  <si>
    <t>25EACCS160</t>
  </si>
  <si>
    <t>1. Scope of Variables</t>
  </si>
  <si>
    <t>dhairygour@gmail.com</t>
  </si>
  <si>
    <t>Bhavya Gandhi</t>
  </si>
  <si>
    <t>1.1 Local vs Global Variables</t>
  </si>
  <si>
    <t>25EACCS071</t>
  </si>
  <si>
    <t>1.2 global Keyword</t>
  </si>
  <si>
    <t>2. Lambda Functions</t>
  </si>
  <si>
    <t>Vedant Prakash Tripathi</t>
  </si>
  <si>
    <t>25EACCS330</t>
  </si>
  <si>
    <t>2.1 Syntax of Lambda</t>
  </si>
  <si>
    <t>2.2 Lambda with sorted(), map(), filter()</t>
  </si>
  <si>
    <t>Chinmay Gaur</t>
  </si>
  <si>
    <t>25EACCS078</t>
  </si>
  <si>
    <t>3. Python Built-in Modules</t>
  </si>
  <si>
    <t>21 / 30</t>
  </si>
  <si>
    <t>3.1 import Statement</t>
  </si>
  <si>
    <t>3.2 math Module — sqrt(), pow(), pi</t>
  </si>
  <si>
    <t>Sidharth sharma</t>
  </si>
  <si>
    <t>25EACCS299</t>
  </si>
  <si>
    <t>3.3 random Module — random(), randint()</t>
  </si>
  <si>
    <t>3.4 datetime Module — today's date, time</t>
  </si>
  <si>
    <t>aprajapati78078@gmail.com</t>
  </si>
  <si>
    <t>SWATI</t>
  </si>
  <si>
    <t>25EACCS316</t>
  </si>
  <si>
    <t>🛠️ Practice: Random number guessing game, simple math utility using functions</t>
  </si>
  <si>
    <t>DEVRAJ SINGH SODHA</t>
  </si>
  <si>
    <t>25EACCS088</t>
  </si>
  <si>
    <t>DAY 12: FILE HANDLING (BASIC)</t>
  </si>
  <si>
    <t>1. Introduction to File Handling</t>
  </si>
  <si>
    <t>Manoj yadav</t>
  </si>
  <si>
    <t>25EACCS178</t>
  </si>
  <si>
    <t>1.1 What is File Handling? Why is it needed?</t>
  </si>
  <si>
    <t>1.2 Opening a File — open() with Modes (r, w, a)</t>
  </si>
  <si>
    <t>2. Reading Files</t>
  </si>
  <si>
    <t>Prateek Kumar Karki</t>
  </si>
  <si>
    <t>25EACCS228</t>
  </si>
  <si>
    <t>2.1 read() — Read Entire File</t>
  </si>
  <si>
    <t>2.2 readline() — Read One Line</t>
  </si>
  <si>
    <t>Love kush kumhar</t>
  </si>
  <si>
    <t>dhaneshkumar8674@gmail.com</t>
  </si>
  <si>
    <t>2.3 readlines() — Read All Lines as List</t>
  </si>
  <si>
    <t>25EACCS170</t>
  </si>
  <si>
    <t>3. Writing to Files</t>
  </si>
  <si>
    <t>3.1 write() — Overwrite Content</t>
  </si>
  <si>
    <t>Touqeer Ali</t>
  </si>
  <si>
    <t>25EACCS321</t>
  </si>
  <si>
    <t>3.2 append Mode — Add Without Deleting</t>
  </si>
  <si>
    <t>4. Closing Files Properly</t>
  </si>
  <si>
    <t>4.1 close() Method</t>
  </si>
  <si>
    <t>SHREYANSHI JOSHI</t>
  </si>
  <si>
    <t>25EACCS294</t>
  </si>
  <si>
    <t>4.2 Using with Statement (Recommended)</t>
  </si>
  <si>
    <t>🛠️ Practice: Create a notes file, write student names, read them back</t>
  </si>
  <si>
    <t>Mohit meena</t>
  </si>
  <si>
    <t>25EACCS197</t>
  </si>
  <si>
    <t>jaydeepnain2009@gmail.com</t>
  </si>
  <si>
    <t>DAY 13: PROBLEM SOLVING &amp; LOGIC BUILDING</t>
  </si>
  <si>
    <t>YASHRAJ UPRETI</t>
  </si>
  <si>
    <t>25EACCS341</t>
  </si>
  <si>
    <t>1. Approaching a Problem</t>
  </si>
  <si>
    <t>1.1 Understanding the Problem Statement</t>
  </si>
  <si>
    <t>Sumit Prakash Singh</t>
  </si>
  <si>
    <t>25EACCS310</t>
  </si>
  <si>
    <t>1.2 Breaking it into Steps (Pseudocode)</t>
  </si>
  <si>
    <t>1.3 Writing the Code Step-by-Step</t>
  </si>
  <si>
    <t>2. Pattern &amp; Logic Problems</t>
  </si>
  <si>
    <t>2.1 Number Patterns (Fibonacci, Prime, Armstrong)</t>
  </si>
  <si>
    <t xml:space="preserve">PROJECT 1 (Project Title ) Out of </t>
  </si>
  <si>
    <t xml:space="preserve">PROJECT 2 (Project Title ) Out of </t>
  </si>
  <si>
    <t>Lalitesh Meghval</t>
  </si>
  <si>
    <t>2.2 List-based Logic (Find duplicates, second largest)</t>
  </si>
  <si>
    <t>25EACCS169</t>
  </si>
  <si>
    <t>2.3 String-based Logic (Anagram check, Caesar Cipher)</t>
  </si>
  <si>
    <t>3. Debugging Basics</t>
  </si>
  <si>
    <t>Shlok Soni</t>
  </si>
  <si>
    <t>3.1 Reading Error Messages (SyntaxError, TypeError)</t>
  </si>
  <si>
    <t>25EACCS289</t>
  </si>
  <si>
    <t>3.2 Using print() to Debug</t>
  </si>
  <si>
    <t>🛠️ Practice: Solve 5–6 mixed problems combining loops, strings, and functions</t>
  </si>
  <si>
    <t>hanshikajangid7@gmail.com</t>
  </si>
  <si>
    <t>Manas Shrivastav</t>
  </si>
  <si>
    <t>25EACCS175</t>
  </si>
  <si>
    <t>DAY 14: MINI PROJECT — STUDENT RESULT MANAGEMENT SYSTEM</t>
  </si>
  <si>
    <t>Prince Gupta</t>
  </si>
  <si>
    <t>Project Overview: Build a simple student result system</t>
  </si>
  <si>
    <t>25EACCS235</t>
  </si>
  <si>
    <t>Features to Implement:</t>
  </si>
  <si>
    <t>→ Add student name and marks (using input &amp; list/dict)</t>
  </si>
  <si>
    <t>Vishwesh Gupta</t>
  </si>
  <si>
    <t>25EACCS333</t>
  </si>
  <si>
    <t>12 / 30</t>
  </si>
  <si>
    <t>→ Calculate total and percentage</t>
  </si>
  <si>
    <t>Bhuwan goyal</t>
  </si>
  <si>
    <t>→ Assign grade using if-elif-else</t>
  </si>
  <si>
    <t>25EACCS075</t>
  </si>
  <si>
    <t>→ Display results in a formatted way using f-strings</t>
  </si>
  <si>
    <t>→ Save results to a .txt file using file handling</t>
  </si>
  <si>
    <t>hemantrangi32@gmail.com</t>
  </si>
  <si>
    <t>Avinash Puri Goswami</t>
  </si>
  <si>
    <t>25EACCS062</t>
  </si>
  <si>
    <t>Concepts Applied: Variables, Loops, Functions, Dictionary, File Handling</t>
  </si>
  <si>
    <t>Students build the project step-by-step with guidance</t>
  </si>
  <si>
    <t>Dhruv singh</t>
  </si>
  <si>
    <t>25EACCS093</t>
  </si>
  <si>
    <t>DAY 15: REVISION, QUIZ &amp; COURSE WRAP-UP (PART 1)</t>
  </si>
  <si>
    <t>1. Full Course Revision — Days 1 to 7</t>
  </si>
  <si>
    <t>1.1 Quick Recap: Python Basics, Variables, Operators</t>
  </si>
  <si>
    <t>Yuvraj sharma</t>
  </si>
  <si>
    <t>25EACCS343</t>
  </si>
  <si>
    <t>1.2 Conditional Statements — Key Patterns</t>
  </si>
  <si>
    <t>1.3 Loops — for, while, Nested Loops</t>
  </si>
  <si>
    <t>Ayush Singh</t>
  </si>
  <si>
    <t>1.4 Strings — Operations &amp; Methods</t>
  </si>
  <si>
    <t>25EACCS066</t>
  </si>
  <si>
    <t>2. Mini Quiz — Set A</t>
  </si>
  <si>
    <t>2.1 MCQ — 10 Questions (Days 1–7 Topics)</t>
  </si>
  <si>
    <t>Sachin Kumar</t>
  </si>
  <si>
    <t>25EACCS272</t>
  </si>
  <si>
    <t>2.2 Short Answer — 3 Questions</t>
  </si>
  <si>
    <t>Himanshuyadav200531@gmail.com</t>
  </si>
  <si>
    <t>2.3 Practical Task — 1 Program using Loops &amp; Strings</t>
  </si>
  <si>
    <t>🛠️ Practice: Solve 3–4 mixed revision problems from Days 1–7</t>
  </si>
  <si>
    <t>Prakash Shyoran</t>
  </si>
  <si>
    <t>25EACCS227</t>
  </si>
  <si>
    <t>DAY 16: OBJECT-ORIENTED PROGRAMMING — PART 1 (CLASSES &amp; OBJECTS)</t>
  </si>
  <si>
    <t>Lavish jangid</t>
  </si>
  <si>
    <t>1. Introduction to OOP</t>
  </si>
  <si>
    <t>25EACCS171</t>
  </si>
  <si>
    <t>1.1 What is OOP? Why Use It?</t>
  </si>
  <si>
    <t>1.2 OOP vs Procedural Programming</t>
  </si>
  <si>
    <t>1.3 Key Concepts: Class, Object, Method, Attribute</t>
  </si>
  <si>
    <t>Deep Panchal</t>
  </si>
  <si>
    <t>25EACCS082</t>
  </si>
  <si>
    <t>2. Defining a Class</t>
  </si>
  <si>
    <t>2.1 class Keyword &amp; Syntax</t>
  </si>
  <si>
    <t>Sahil Prajapati</t>
  </si>
  <si>
    <t>25EACCS273</t>
  </si>
  <si>
    <t>2.2 __init__() Constructor Method</t>
  </si>
  <si>
    <t>rakeshbhoibhoi240@gmail.com</t>
  </si>
  <si>
    <t>2.3 self Parameter — What It Means</t>
  </si>
  <si>
    <t>Rampravesh Kumar</t>
  </si>
  <si>
    <t>25EACCS251</t>
  </si>
  <si>
    <t>3. Creating Objects</t>
  </si>
  <si>
    <t>3.1 Instantiating a Class</t>
  </si>
  <si>
    <t>Dhruv patel</t>
  </si>
  <si>
    <t>25EACCS092</t>
  </si>
  <si>
    <t>3.2 Accessing Attributes &amp; Methods</t>
  </si>
  <si>
    <t>3.3 Multiple Objects from One Class</t>
  </si>
  <si>
    <t>Aman kumar</t>
  </si>
  <si>
    <t>25EACCS035</t>
  </si>
  <si>
    <t>🛠️ Practice: Create a Student class with name, roll no, marks attributes and display method</t>
  </si>
  <si>
    <t>shekhawatanirudh19@gmail.com</t>
  </si>
  <si>
    <t>Prince Bhardwaj</t>
  </si>
  <si>
    <t>25EACCS233</t>
  </si>
  <si>
    <t>DAY 17: OBJECT-ORIENTED PROGRAMMING — PART 2 (INHERITANCE)</t>
  </si>
  <si>
    <t>Ishika Soni</t>
  </si>
  <si>
    <t>25EACCS134</t>
  </si>
  <si>
    <t>1. Inheritance</t>
  </si>
  <si>
    <t>1.1 What is Inheritance?</t>
  </si>
  <si>
    <t>Kavish Gupta</t>
  </si>
  <si>
    <t>25EACCS152</t>
  </si>
  <si>
    <t>1.2 Parent Class &amp; Child Class</t>
  </si>
  <si>
    <t>1.3 super() Function — Calling Parent Methods</t>
  </si>
  <si>
    <t>Krishn raj singh</t>
  </si>
  <si>
    <t>25EACCS158</t>
  </si>
  <si>
    <t>2. Types of Inheritance</t>
  </si>
  <si>
    <t>2.1 Single Inheritance</t>
  </si>
  <si>
    <t>Dhairya Khandelwal</t>
  </si>
  <si>
    <t>dj86339@gmail.com</t>
  </si>
  <si>
    <t>25EACCS090</t>
  </si>
  <si>
    <t>2.2 Multi-level Inheritance</t>
  </si>
  <si>
    <t>2.3 Multiple Inheritance</t>
  </si>
  <si>
    <t>Virendra Pratap Singh Shekhawat</t>
  </si>
  <si>
    <t>3. Method Overriding</t>
  </si>
  <si>
    <t>25EACCS331</t>
  </si>
  <si>
    <t>3.1 Overriding Parent Methods in Child</t>
  </si>
  <si>
    <t>3.2 Polymorphism Concept</t>
  </si>
  <si>
    <t>Raja Swami</t>
  </si>
  <si>
    <t>25EACCS245</t>
  </si>
  <si>
    <t>🛠️ Practice: Create Animal → Dog/Cat hierarchy with speak() method override</t>
  </si>
  <si>
    <t>Parvez khan</t>
  </si>
  <si>
    <t>25EACCS221</t>
  </si>
  <si>
    <t>DAY 18: EXCEPTION HANDLING &amp; ERROR MANAGEMENT</t>
  </si>
  <si>
    <t>1. Understanding Errors</t>
  </si>
  <si>
    <t>1.1 Types of Errors: Syntax, Runtime, Logical</t>
  </si>
  <si>
    <t>mr.jitendrad05@gmail.com</t>
  </si>
  <si>
    <t>Aryan Vashistha</t>
  </si>
  <si>
    <t>25EACCS056</t>
  </si>
  <si>
    <t>1.2 Common Built-in Exceptions (ZeroDivisionError, ValueError, etc.)</t>
  </si>
  <si>
    <t>2. try-except Block</t>
  </si>
  <si>
    <t>2.1 Basic try-except Syntax</t>
  </si>
  <si>
    <t>2.2 Catching Multiple Exceptions</t>
  </si>
  <si>
    <t>2.3 except Exception as e — Getting Error Message</t>
  </si>
  <si>
    <t>Naina Sharma</t>
  </si>
  <si>
    <t>25EACCS201</t>
  </si>
  <si>
    <t>3. else &amp; finally Blocks</t>
  </si>
  <si>
    <t>3.1 else — Runs When No Exception</t>
  </si>
  <si>
    <t>3.2 finally — Always Runs</t>
  </si>
  <si>
    <t>4. Raising Exceptions</t>
  </si>
  <si>
    <t>4.1 raise Keyword</t>
  </si>
  <si>
    <t>4.2 Custom Exception Messages</t>
  </si>
  <si>
    <t>amitpraj1001@gmail.com</t>
  </si>
  <si>
    <t>🛠️ Practice: Safe calculator with division-by-zero handling, file-not-found handling</t>
  </si>
  <si>
    <t>DAY 19: LIST COMPREHENSIONS &amp; ADVANCED DATA STRUCTURES</t>
  </si>
  <si>
    <t>1. List Comprehensions</t>
  </si>
  <si>
    <t>1.1 Syntax: [expression for item in iterable]</t>
  </si>
  <si>
    <t>1.2 List Comprehension with Condition</t>
  </si>
  <si>
    <t>1.3 Nested List Comprehensions</t>
  </si>
  <si>
    <t>2. Dictionary &amp; Set Comprehensions</t>
  </si>
  <si>
    <t>2.1 Dictionary Comprehension Syntax</t>
  </si>
  <si>
    <t>2.2 Set Comprehension Syntax</t>
  </si>
  <si>
    <t>3. Advanced List Operations</t>
  </si>
  <si>
    <t>rishikasbnps19@gmail.com</t>
  </si>
  <si>
    <t>3.1 zip() — Combine Two Lists</t>
  </si>
  <si>
    <t>3.2 enumerate() — Index + Value</t>
  </si>
  <si>
    <t>3.3 sorted() with key Parameter</t>
  </si>
  <si>
    <t>🛠️ Practice: Generate squares list, filter even numbers, zip names with marks</t>
  </si>
  <si>
    <t>DAY 20: WORKING WITH JSON &amp; CSV FILES</t>
  </si>
  <si>
    <t>1. JSON in Python</t>
  </si>
  <si>
    <t>1.1 What is JSON? Real-world Use</t>
  </si>
  <si>
    <t>1.2 import json Module</t>
  </si>
  <si>
    <t>1.3 json.dumps() — Python to JSON String</t>
  </si>
  <si>
    <t>1.4 json.loads() — JSON String to Python</t>
  </si>
  <si>
    <t>1.5 Reading &amp; Writing JSON Files</t>
  </si>
  <si>
    <t>anisingh12rajput85@gmail.com</t>
  </si>
  <si>
    <t>2. CSV Files in Python</t>
  </si>
  <si>
    <t>2.1 What is CSV? When to Use It?</t>
  </si>
  <si>
    <t>2.2 import csv Module</t>
  </si>
  <si>
    <t>2.3 csv.reader() — Reading CSV</t>
  </si>
  <si>
    <t>2.4 csv.writer() — Writing CSV</t>
  </si>
  <si>
    <t>2.5 DictReader &amp; DictWriter</t>
  </si>
  <si>
    <t>🛠️ Practice: Save student records to JSON &amp; CSV, read them back and display</t>
  </si>
  <si>
    <t>DAY 21: REGULAR EXPRESSIONS (REGEX)</t>
  </si>
  <si>
    <t>1. Introduction to Regex</t>
  </si>
  <si>
    <t>singhlakshyavijay@gmail.com</t>
  </si>
  <si>
    <t>1.1 What is Regex? Why Use It?</t>
  </si>
  <si>
    <t>1.2 import re Module</t>
  </si>
  <si>
    <t>2. Basic Regex Patterns</t>
  </si>
  <si>
    <t>2.1 ., *, +, ?, ^ , $ — Meta Characters</t>
  </si>
  <si>
    <t>2.2 Character Classes: [a-z], [0-9], \d, \w, \s</t>
  </si>
  <si>
    <t>3. Regex Functions</t>
  </si>
  <si>
    <t>3.1 re.match() — Match at Start</t>
  </si>
  <si>
    <t>3.2 re.search() — Search Anywhere</t>
  </si>
  <si>
    <t>3.3 re.findall() — Find All Matches</t>
  </si>
  <si>
    <t>3.4 re.sub() — Replace Pattern</t>
  </si>
  <si>
    <t>raojatin484@gmail.com</t>
  </si>
  <si>
    <t>4. Practical Applications</t>
  </si>
  <si>
    <t>4.1 Email Validation</t>
  </si>
  <si>
    <t>4.2 Phone Number Extraction</t>
  </si>
  <si>
    <t>🛠️ Practice: Validate email, extract all numbers from text, find keywords</t>
  </si>
  <si>
    <t>DAY 22: ITERATORS, GENERATORS &amp; DECORATORS</t>
  </si>
  <si>
    <t>1. Iterators</t>
  </si>
  <si>
    <t>1.1 What is an Iterator? __iter__() and __next__()</t>
  </si>
  <si>
    <t>simranbisht7654@gmail.com</t>
  </si>
  <si>
    <t>1.2 Creating Custom Iterator</t>
  </si>
  <si>
    <t>2. Generators</t>
  </si>
  <si>
    <t>2.1 yield Keyword — Lazy Evaluation</t>
  </si>
  <si>
    <t>2.2 Generator Function vs Regular Function</t>
  </si>
  <si>
    <t>2.3 Generator Expressions</t>
  </si>
  <si>
    <t>3. Decorators</t>
  </si>
  <si>
    <t>3.1 What is a Decorator? Higher-Order Functions</t>
  </si>
  <si>
    <t>3.2 Writing a Simple Decorator</t>
  </si>
  <si>
    <t>3.3 @decorator Syntax</t>
  </si>
  <si>
    <t>3.4 Real-world Uses: Logging, Timing</t>
  </si>
  <si>
    <t>🛠️ Practice: Create a number generator, write a timer decorator for functions</t>
  </si>
  <si>
    <t>rehankhanpathaan007@gmail.com</t>
  </si>
  <si>
    <t>DAY 23: VIRTUAL ENVIRONMENTS &amp; PACKAGE MANAGEMENT</t>
  </si>
  <si>
    <t>1. Virtual Environments</t>
  </si>
  <si>
    <t>1.1 Why Virtual Environments?</t>
  </si>
  <si>
    <t>1.2 Creating venv: python -m venv myenv</t>
  </si>
  <si>
    <t>1.3 Activating &amp; Deactivating venv</t>
  </si>
  <si>
    <t>2. pip — Python Package Manager</t>
  </si>
  <si>
    <t>2.1 pip install, pip uninstall</t>
  </si>
  <si>
    <t>2.2 pip list, pip show</t>
  </si>
  <si>
    <t>mayanksinghrawat7225@gmail.com</t>
  </si>
  <si>
    <t>2.3 requirements.txt — Saving Dependencies</t>
  </si>
  <si>
    <t>2.4 pip install -r requirements.txt</t>
  </si>
  <si>
    <t>3. Introduction to Popular Libraries</t>
  </si>
  <si>
    <t>3.1 requests — HTTP calls</t>
  </si>
  <si>
    <t>3.2 colorama — Colorful terminal output</t>
  </si>
  <si>
    <t>3.3 tqdm — Progress bars</t>
  </si>
  <si>
    <t>🛠️ Practice: Set up a venv, install requests, make a simple API call</t>
  </si>
  <si>
    <t>DAY 24: INTRODUCTION TO NumPy</t>
  </si>
  <si>
    <t>hemantsaini8513@gmail.com</t>
  </si>
  <si>
    <t>1. What is NumPy?</t>
  </si>
  <si>
    <t>1.1 NumPy vs Python Lists — Speed &amp; Features</t>
  </si>
  <si>
    <t>1.2 Installing &amp; Importing NumPy</t>
  </si>
  <si>
    <t>2. NumPy Arrays</t>
  </si>
  <si>
    <t>2.1 Creating 1D &amp; 2D Arrays</t>
  </si>
  <si>
    <t>2.2 Array Shape, Size, ndim</t>
  </si>
  <si>
    <t>2.3 Array Indexing &amp; Slicing</t>
  </si>
  <si>
    <t>3. Array Operations</t>
  </si>
  <si>
    <t>3.1 Element-wise Arithmetic</t>
  </si>
  <si>
    <t>msaini0411@gmail.com</t>
  </si>
  <si>
    <t>3.2 Broadcasting</t>
  </si>
  <si>
    <t>3.3 Statistical Functions: mean(), sum(), std()</t>
  </si>
  <si>
    <t>4. Useful NumPy Functions</t>
  </si>
  <si>
    <t>4.1 zeros(), ones(), arange(), linspace()</t>
  </si>
  <si>
    <t>4.2 reshape(), flatten()</t>
  </si>
  <si>
    <t>🛠️ Practice: Create a marks array, compute average, find students above cutoff</t>
  </si>
  <si>
    <t>DAY 25: INTRODUCTION TO PANDAS</t>
  </si>
  <si>
    <t>pankajsaini87690@gmail.com</t>
  </si>
  <si>
    <t>1. What is Pandas?</t>
  </si>
  <si>
    <t>1.1 Series vs DataFrame</t>
  </si>
  <si>
    <t>1.2 Installing &amp; Importing Pandas</t>
  </si>
  <si>
    <t>2. Working with DataFrames</t>
  </si>
  <si>
    <t>2.1 Creating DataFrame from Dictionary</t>
  </si>
  <si>
    <t>2.2 Reading CSV with pd.read_csv()</t>
  </si>
  <si>
    <t>2.3 head(), tail(), info(), describe()</t>
  </si>
  <si>
    <t>3. DataFrame Operations</t>
  </si>
  <si>
    <t>3.1 Selecting Columns &amp; Rows</t>
  </si>
  <si>
    <t>3.2 Filtering Data with Conditions</t>
  </si>
  <si>
    <t>aayetanwer@gmail.com</t>
  </si>
  <si>
    <t>3.3 Adding &amp; Dropping Columns</t>
  </si>
  <si>
    <t>3.4 Handling Missing Values: isnull(), fillna(), dropna()</t>
  </si>
  <si>
    <t>🛠️ Practice: Load student data CSV, filter toppers, calculate average marks</t>
  </si>
  <si>
    <t>DAY 26: DATA VISUALIZATION WITH MATPLOTLIB</t>
  </si>
  <si>
    <t>1. Introduction to Matplotlib</t>
  </si>
  <si>
    <t>1.1 What is Data Visualization?</t>
  </si>
  <si>
    <t>1.2 Installing &amp; Importing matplotlib.pyplot</t>
  </si>
  <si>
    <t>2. Basic Plots</t>
  </si>
  <si>
    <t>2.1 Line Chart — plt.plot()</t>
  </si>
  <si>
    <t>devendrak9610@gmail.com</t>
  </si>
  <si>
    <t>2.2 Bar Chart — plt.bar()</t>
  </si>
  <si>
    <t>2.3 Pie Chart — plt.pie()</t>
  </si>
  <si>
    <t>2.4 Histogram — plt.hist()</t>
  </si>
  <si>
    <t>2.5 Scatter Plot — plt.scatter()</t>
  </si>
  <si>
    <t>3. Customizing Plots</t>
  </si>
  <si>
    <t>3.1 Title, Labels, Legend</t>
  </si>
  <si>
    <t>3.2 Colors, Line Styles, Markers</t>
  </si>
  <si>
    <t>3.3 plt.show() &amp; Saving Figures</t>
  </si>
  <si>
    <t>🛠️ Practice: Plot marks bar chart, subject score pie chart, score scatter plot</t>
  </si>
  <si>
    <t>yashgoyal7976@gmail.com</t>
  </si>
  <si>
    <t>DAY 27: WEB SCRAPING WITH BEAUTIFULSOUP</t>
  </si>
  <si>
    <t>1. Introduction to Web Scraping</t>
  </si>
  <si>
    <t>1.1 What is Web Scraping? Ethical &amp; Legal Basics</t>
  </si>
  <si>
    <t>1.2 How Websites Work: HTML Structure Recap</t>
  </si>
  <si>
    <t>2. Required Libraries</t>
  </si>
  <si>
    <t>2.1 requests — Fetching Web Pages</t>
  </si>
  <si>
    <t>2.2 BeautifulSoup — Parsing HTML</t>
  </si>
  <si>
    <t>3. Scraping Basics</t>
  </si>
  <si>
    <t>3.1 Getting Page Source with requests.get()</t>
  </si>
  <si>
    <t>kasish0108@gmail.com</t>
  </si>
  <si>
    <t>3.2 Parsing with BeautifulSoup(html, 'html.parser')</t>
  </si>
  <si>
    <t>3.3 find() and find_all() Methods</t>
  </si>
  <si>
    <t>3.4 Extracting Text, Links, and Attributes</t>
  </si>
  <si>
    <t>4. Saving Scraped Data</t>
  </si>
  <si>
    <t>4.1 Saving to CSV or Text File</t>
  </si>
  <si>
    <t>🛠️ Practice: Scrape quotes from quotes.toscrape.com, save to CSV</t>
  </si>
  <si>
    <t>DAY 28: INTRODUCTION TO APIs &amp; HTTP REQUESTS</t>
  </si>
  <si>
    <t>jadondrishti2@gmail.com</t>
  </si>
  <si>
    <t>1. What is an API?</t>
  </si>
  <si>
    <t>1.1 API Concept — Real-world Analogies</t>
  </si>
  <si>
    <t>1.2 REST APIs &amp; JSON Responses</t>
  </si>
  <si>
    <t>1.3 HTTP Methods: GET, POST</t>
  </si>
  <si>
    <t>2. requests Library Deep Dive</t>
  </si>
  <si>
    <t>2.1 requests.get() — Fetching Data</t>
  </si>
  <si>
    <t>2.2 Response Status Codes (200, 404, 500)</t>
  </si>
  <si>
    <t>2.3 Parsing JSON Response — response.json()</t>
  </si>
  <si>
    <t>2.4 Passing Parameters in URL</t>
  </si>
  <si>
    <t>hanumandewasi73400@gmail.com</t>
  </si>
  <si>
    <t>3. Working with Free Public APIs</t>
  </si>
  <si>
    <t>3.1 Open-Meteo Weather API</t>
  </si>
  <si>
    <t>3.2 JSONPlaceholder — Fake REST API for Testing</t>
  </si>
  <si>
    <t>3.3 Numbers API — Fun Facts</t>
  </si>
  <si>
    <t>🛠️ Practice: Fetch current weather for a city, display temp &amp; condition</t>
  </si>
  <si>
    <t>DAY 29: CAPSTONE PROJECT — PERSONAL EXPENSE TRACKER</t>
  </si>
  <si>
    <t>Project Overview: Build a CLI Expense Tracker Application</t>
  </si>
  <si>
    <t>→ Add, View, and Delete Expenses (category, amount, date)</t>
  </si>
  <si>
    <t>→ Store data persistently in JSON file</t>
  </si>
  <si>
    <t>→ Show total expenses &amp; breakdown by category</t>
  </si>
  <si>
    <t>srishikesh275@gmail.com</t>
  </si>
  <si>
    <t>→ Filter expenses by month or category</t>
  </si>
  <si>
    <t>→ Export summary report to CSV</t>
  </si>
  <si>
    <t>→ Visualize spending using Matplotlib bar chart</t>
  </si>
  <si>
    <t>Concepts Applied: OOP, File Handling, JSON, Pandas, Matplotlib</t>
  </si>
  <si>
    <t>Bonus: Add a budget limit warning feature</t>
  </si>
  <si>
    <t>DAY 30: FINAL REVISION, ASSESSMENT &amp; NEXT STEPS</t>
  </si>
  <si>
    <t>1. Complete Course Revision</t>
  </si>
  <si>
    <t>1.1 Quick Recap of All 30 Days Topics</t>
  </si>
  <si>
    <t>1.2 Common Mistakes &amp; How to Avoid Them</t>
  </si>
  <si>
    <t>deepaksaini03229@gmail.com</t>
  </si>
  <si>
    <t>1.3 Best Practices in Python Programming</t>
  </si>
  <si>
    <t>2. Final Assessment</t>
  </si>
  <si>
    <t>2.1 MCQ — 20 Questions (Full Course)</t>
  </si>
  <si>
    <t>2.2 Short Answer — 5 Questions</t>
  </si>
  <si>
    <t>2.3 Practical Task — Build a small program in 30 minutes</t>
  </si>
  <si>
    <t>3. Python Project Ideas for Self-Practice</t>
  </si>
  <si>
    <t>3.1 Idea 1: Quiz Game with Score Tracking</t>
  </si>
  <si>
    <t>3.2 Idea 2: Inventory Management System</t>
  </si>
  <si>
    <t>yashkumarjangir012@gmail.com</t>
  </si>
  <si>
    <t>3.3 Idea 3: News Headline Scraper + Email Report</t>
  </si>
  <si>
    <t>3.4 Idea 4: Stock Price Dashboard using APIs &amp; Matplotlib</t>
  </si>
  <si>
    <t>4. Closing Session</t>
  </si>
  <si>
    <t>4.1 Career Paths in Python (Data Science, Web Dev, Automation, ML)</t>
  </si>
  <si>
    <t>4.2 Recommended Learning Roadmap: Django / Flask / Pandas / ML</t>
  </si>
  <si>
    <t>4.3 Certifications &amp; Online Resources</t>
  </si>
  <si>
    <t>jhadhruv2023@gmail.com</t>
  </si>
  <si>
    <t>Priyanshusinghbisht.15@gmail.com</t>
  </si>
  <si>
    <t>himadya2006@gmail.com</t>
  </si>
  <si>
    <t>krishnajangid24127@gmail.com</t>
  </si>
  <si>
    <t>dakshrajsinghrathore3@gmail.com</t>
  </si>
  <si>
    <t>dineshgajraj325@gmail.com</t>
  </si>
  <si>
    <t>shreyannsh1127@gmail.com</t>
  </si>
  <si>
    <t>palakkumari29092006@gmail.com</t>
  </si>
  <si>
    <t>faizamin398@gmail.com</t>
  </si>
  <si>
    <t>navneetsinghchaudhary1@gmail.com</t>
  </si>
  <si>
    <t>krishnaa9734@gmail.com</t>
  </si>
  <si>
    <t>bhavyagandhinbh@gmail.com</t>
  </si>
  <si>
    <t>vedantprakashtripathi@gmail.com</t>
  </si>
  <si>
    <t>chinmaygaur007@gmail.com</t>
  </si>
  <si>
    <t>sidh.sharma27112006@gmail.com</t>
  </si>
  <si>
    <t>swatilodhi70@gmail.com</t>
  </si>
  <si>
    <t>devrajsinghsodha30@gmail.com</t>
  </si>
  <si>
    <t>manojydv2566@gmail.com</t>
  </si>
  <si>
    <t>prateekkarki1111@gmail.com</t>
  </si>
  <si>
    <t>lovekushkumhar64@gmail.com</t>
  </si>
  <si>
    <t>touqeersayyed01@gmail.com</t>
  </si>
  <si>
    <t>joshishreyanshi2008@gmail.com</t>
  </si>
  <si>
    <t>Mohit13meena2006@gmail.com</t>
  </si>
  <si>
    <t>yashrajupreti9@gmail.com</t>
  </si>
  <si>
    <t>sumitprksingh@gmail.com</t>
  </si>
  <si>
    <t>meghwallalitesh5@gmail.com</t>
  </si>
  <si>
    <t>6shlok9@gmail.com</t>
  </si>
  <si>
    <t>manasshrivastav59@gmail.com</t>
  </si>
  <si>
    <t>princegupta0904@gmail.com</t>
  </si>
  <si>
    <t>3666vishweshgupta@gmail.com</t>
  </si>
  <si>
    <t>goyalbhuwan25@gmail.com</t>
  </si>
  <si>
    <t>purigoswamiavinash2@gmail.com</t>
  </si>
  <si>
    <t>dhruvsinghrj80@gmail.com</t>
  </si>
  <si>
    <t>onlyyuvi12@gmail.com</t>
  </si>
  <si>
    <t>ayushsingh03072006@gmail.com</t>
  </si>
  <si>
    <t>ksachin84679@gmail.com</t>
  </si>
  <si>
    <t>prakashshyoran34@gmail.com</t>
  </si>
  <si>
    <t>lavishjangidd01@gmail.com</t>
  </si>
  <si>
    <t>dpanchal1308@gmail.com</t>
  </si>
  <si>
    <t>Sahilprajapati2831@gmail.com</t>
  </si>
  <si>
    <t>ramp06100@gmail.com</t>
  </si>
  <si>
    <t>Pateldhruv8081@gmail.com</t>
  </si>
  <si>
    <t>kumaramanlkr291@gmail.com</t>
  </si>
  <si>
    <t>pb269414@gmail.com</t>
  </si>
  <si>
    <t>ishikasoni309@gmail.com</t>
  </si>
  <si>
    <t>gkavish189@gmail.com</t>
  </si>
  <si>
    <t>krishnarajsinghkhangarot@gmail.com</t>
  </si>
  <si>
    <t>dhairya.official.03@gmail.com</t>
  </si>
  <si>
    <t>vpsinghshekhawat606@gmail.com</t>
  </si>
  <si>
    <t>rs3643454@gmail.com</t>
  </si>
  <si>
    <t>parvezkhan235646@gmail.com</t>
  </si>
  <si>
    <t>Vashithaaryan075@gmail.com</t>
  </si>
  <si>
    <t>nainasharma070803@gmail.com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</si>
</sst>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mmm yyyy"/>
    <numFmt numFmtId="165" formatCode="mm-dd-yyyy"/>
    <numFmt numFmtId="166" formatCode="dd"/>
  </numFmts>
  <fonts count="20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  <font/>
    <font>
      <color theme="1"/>
      <name val="Arial"/>
      <scheme val="minor"/>
    </font>
    <font>
      <sz val="11.0"/>
      <color theme="1"/>
      <name val="Calibri"/>
    </font>
    <font>
      <b/>
      <color theme="1"/>
      <name val="Arial"/>
      <scheme val="minor"/>
    </font>
    <font>
      <b/>
      <color rgb="FF000000"/>
      <name val="Arial"/>
      <scheme val="minor"/>
    </font>
    <font>
      <b/>
      <sz val="10.0"/>
      <color theme="1"/>
      <name val="Arial"/>
      <scheme val="minor"/>
    </font>
    <font>
      <b/>
      <sz val="14.0"/>
      <color theme="1"/>
      <name val="Garamond"/>
    </font>
    <font>
      <b/>
      <sz val="11.0"/>
      <color theme="1"/>
      <name val="Cambria"/>
    </font>
    <font>
      <sz val="11.0"/>
      <color rgb="FF000000"/>
      <name val="Calibri"/>
    </font>
    <font>
      <b/>
      <color rgb="FFFFFFFF"/>
      <name val="&quot;Calibri Light&quot;"/>
    </font>
    <font>
      <b/>
      <color rgb="FFFFFFFF"/>
      <name val="Arial"/>
    </font>
    <font>
      <sz val="12.0"/>
      <color rgb="FF1F3864"/>
      <name val="&quot;Calibri Light&quot;"/>
    </font>
    <font>
      <b/>
      <sz val="11.0"/>
      <color rgb="FF1F3864"/>
      <name val="&quot;Calibri Light&quot;"/>
    </font>
    <font>
      <sz val="11.0"/>
      <color rgb="FF1F3864"/>
      <name val="&quot;Calibri Light&quot;"/>
    </font>
    <font>
      <b/>
      <color theme="1"/>
      <name val="Times New Roman"/>
    </font>
    <font>
      <b/>
      <sz val="11.0"/>
      <color rgb="FF1F3864"/>
      <name val="Arial"/>
    </font>
    <font>
      <sz val="11.0"/>
      <color theme="1"/>
      <name val="Arial"/>
    </font>
  </fonts>
  <fills count="8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B7E1CD"/>
        <bgColor rgb="FFB7E1CD"/>
      </patternFill>
    </fill>
    <fill>
      <patternFill patternType="solid">
        <fgColor rgb="FF9FC5E8"/>
        <bgColor rgb="FF9FC5E8"/>
      </patternFill>
    </fill>
    <fill>
      <patternFill patternType="solid">
        <fgColor rgb="FFFF0000"/>
        <bgColor rgb="FFFF0000"/>
      </patternFill>
    </fill>
    <fill>
      <patternFill patternType="solid">
        <fgColor rgb="FF1F3864"/>
        <bgColor rgb="FF1F3864"/>
      </patternFill>
    </fill>
    <fill>
      <patternFill patternType="solid">
        <fgColor rgb="FFA4C2F4"/>
        <bgColor rgb="FFA4C2F4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78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bottom"/>
    </xf>
    <xf borderId="2" fillId="2" fontId="1" numFmtId="0" xfId="0" applyAlignment="1" applyBorder="1" applyFill="1" applyFont="1">
      <alignment horizontal="center" vertical="center"/>
    </xf>
    <xf borderId="2" fillId="2" fontId="1" numFmtId="0" xfId="0" applyAlignment="1" applyBorder="1" applyFont="1">
      <alignment horizontal="center" readingOrder="0" vertical="center"/>
    </xf>
    <xf borderId="0" fillId="0" fontId="2" numFmtId="0" xfId="0" applyAlignment="1" applyFont="1">
      <alignment vertical="bottom"/>
    </xf>
    <xf borderId="2" fillId="2" fontId="1" numFmtId="0" xfId="0" applyAlignment="1" applyBorder="1" applyFont="1">
      <alignment horizontal="center" vertical="center"/>
    </xf>
    <xf borderId="3" fillId="3" fontId="1" numFmtId="164" xfId="0" applyAlignment="1" applyBorder="1" applyFill="1" applyFont="1" applyNumberFormat="1">
      <alignment horizontal="center" vertical="bottom"/>
    </xf>
    <xf borderId="4" fillId="0" fontId="3" numFmtId="0" xfId="0" applyBorder="1" applyFont="1"/>
    <xf borderId="1" fillId="0" fontId="2" numFmtId="0" xfId="0" applyAlignment="1" applyBorder="1" applyFont="1">
      <alignment horizontal="center" vertical="bottom"/>
    </xf>
    <xf borderId="1" fillId="0" fontId="4" numFmtId="165" xfId="0" applyAlignment="1" applyBorder="1" applyFont="1" applyNumberFormat="1">
      <alignment readingOrder="0"/>
    </xf>
    <xf borderId="1" fillId="0" fontId="4" numFmtId="0" xfId="0" applyAlignment="1" applyBorder="1" applyFont="1">
      <alignment readingOrder="0"/>
    </xf>
    <xf borderId="1" fillId="0" fontId="4" numFmtId="0" xfId="0" applyBorder="1" applyFont="1"/>
    <xf borderId="5" fillId="0" fontId="3" numFmtId="0" xfId="0" applyBorder="1" applyFont="1"/>
    <xf borderId="0" fillId="0" fontId="1" numFmtId="164" xfId="0" applyAlignment="1" applyFont="1" applyNumberFormat="1">
      <alignment horizontal="center" vertical="bottom"/>
    </xf>
    <xf borderId="6" fillId="0" fontId="3" numFmtId="0" xfId="0" applyBorder="1" applyFont="1"/>
    <xf borderId="1" fillId="2" fontId="1" numFmtId="166" xfId="0" applyAlignment="1" applyBorder="1" applyFont="1" applyNumberFormat="1">
      <alignment horizontal="center" readingOrder="0" vertical="bottom"/>
    </xf>
    <xf borderId="7" fillId="0" fontId="3" numFmtId="0" xfId="0" applyBorder="1" applyFont="1"/>
    <xf borderId="0" fillId="2" fontId="1" numFmtId="0" xfId="0" applyAlignment="1" applyFont="1">
      <alignment horizontal="center" readingOrder="0" vertical="center"/>
    </xf>
    <xf borderId="0" fillId="2" fontId="1" numFmtId="0" xfId="0" applyAlignment="1" applyFont="1">
      <alignment horizontal="center" vertical="center"/>
    </xf>
    <xf borderId="0" fillId="0" fontId="1" numFmtId="0" xfId="0" applyAlignment="1" applyFont="1">
      <alignment horizontal="center" readingOrder="0" shrinkToFit="0" vertical="center" wrapText="1"/>
    </xf>
    <xf borderId="1" fillId="0" fontId="1" numFmtId="0" xfId="0" applyAlignment="1" applyBorder="1" applyFont="1">
      <alignment horizontal="center" readingOrder="0" shrinkToFit="0" vertical="center" wrapText="1"/>
    </xf>
    <xf borderId="1" fillId="2" fontId="1" numFmtId="0" xfId="0" applyAlignment="1" applyBorder="1" applyFont="1">
      <alignment horizontal="center" vertical="bottom"/>
    </xf>
    <xf borderId="0" fillId="0" fontId="2" numFmtId="0" xfId="0" applyAlignment="1" applyFont="1">
      <alignment horizontal="center" vertical="center"/>
    </xf>
    <xf borderId="0" fillId="0" fontId="2" numFmtId="0" xfId="0" applyFont="1"/>
    <xf borderId="1" fillId="2" fontId="1" numFmtId="0" xfId="0" applyAlignment="1" applyBorder="1" applyFont="1">
      <alignment horizontal="center" readingOrder="0" vertical="center"/>
    </xf>
    <xf borderId="1" fillId="2" fontId="1" numFmtId="0" xfId="0" applyAlignment="1" applyBorder="1" applyFont="1">
      <alignment horizontal="center" vertical="center"/>
    </xf>
    <xf borderId="1" fillId="0" fontId="1" numFmtId="0" xfId="0" applyAlignment="1" applyBorder="1" applyFont="1">
      <alignment horizontal="center" shrinkToFit="0" vertical="center" wrapText="1"/>
    </xf>
    <xf borderId="3" fillId="0" fontId="1" numFmtId="0" xfId="0" applyAlignment="1" applyBorder="1" applyFont="1">
      <alignment horizontal="center" shrinkToFit="0" vertical="center" wrapText="1"/>
    </xf>
    <xf borderId="5" fillId="0" fontId="1" numFmtId="0" xfId="0" applyAlignment="1" applyBorder="1" applyFont="1">
      <alignment horizontal="center" shrinkToFit="0" vertical="center" wrapText="1"/>
    </xf>
    <xf borderId="1" fillId="0" fontId="4" numFmtId="0" xfId="0" applyAlignment="1" applyBorder="1" applyFont="1">
      <alignment horizontal="center" readingOrder="0" vertical="center"/>
    </xf>
    <xf borderId="1" fillId="2" fontId="5" numFmtId="0" xfId="0" applyAlignment="1" applyBorder="1" applyFont="1">
      <alignment horizontal="center" vertical="center"/>
    </xf>
    <xf borderId="3" fillId="0" fontId="4" numFmtId="0" xfId="0" applyAlignment="1" applyBorder="1" applyFont="1">
      <alignment horizontal="center" readingOrder="0" vertical="center"/>
    </xf>
    <xf borderId="1" fillId="0" fontId="5" numFmtId="0" xfId="0" applyAlignment="1" applyBorder="1" applyFont="1">
      <alignment horizontal="center" vertical="center"/>
    </xf>
    <xf borderId="1" fillId="0" fontId="4" numFmtId="0" xfId="0" applyAlignment="1" applyBorder="1" applyFont="1">
      <alignment horizontal="center" readingOrder="0"/>
    </xf>
    <xf borderId="5" fillId="0" fontId="4" numFmtId="0" xfId="0" applyAlignment="1" applyBorder="1" applyFont="1">
      <alignment horizontal="center" vertical="center"/>
    </xf>
    <xf borderId="0" fillId="4" fontId="5" numFmtId="0" xfId="0" applyAlignment="1" applyFill="1" applyFont="1">
      <alignment horizontal="center" vertical="bottom"/>
    </xf>
    <xf borderId="1" fillId="0" fontId="4" numFmtId="0" xfId="0" applyAlignment="1" applyBorder="1" applyFont="1">
      <alignment horizontal="center" vertical="center"/>
    </xf>
    <xf borderId="1" fillId="2" fontId="5" numFmtId="0" xfId="0" applyAlignment="1" applyBorder="1" applyFont="1">
      <alignment horizontal="center" vertical="bottom"/>
    </xf>
    <xf borderId="0" fillId="0" fontId="4" numFmtId="0" xfId="0" applyAlignment="1" applyFont="1">
      <alignment horizontal="center" vertical="center"/>
    </xf>
    <xf borderId="1" fillId="0" fontId="2" numFmtId="2" xfId="0" applyAlignment="1" applyBorder="1" applyFont="1" applyNumberFormat="1">
      <alignment horizontal="right" vertical="bottom"/>
    </xf>
    <xf borderId="1" fillId="0" fontId="6" numFmtId="0" xfId="0" applyAlignment="1" applyBorder="1" applyFont="1">
      <alignment readingOrder="0"/>
    </xf>
    <xf borderId="2" fillId="5" fontId="7" numFmtId="0" xfId="0" applyAlignment="1" applyBorder="1" applyFill="1" applyFont="1">
      <alignment readingOrder="0" shrinkToFit="0" textRotation="255" vertical="center" wrapText="1"/>
    </xf>
    <xf borderId="1" fillId="0" fontId="8" numFmtId="0" xfId="0" applyAlignment="1" applyBorder="1" applyFont="1">
      <alignment vertical="bottom"/>
    </xf>
    <xf borderId="1" fillId="0" fontId="5" numFmtId="0" xfId="0" applyAlignment="1" applyBorder="1" applyFont="1">
      <alignment horizontal="center" vertical="bottom"/>
    </xf>
    <xf borderId="3" fillId="0" fontId="9" numFmtId="0" xfId="0" applyAlignment="1" applyBorder="1" applyFont="1">
      <alignment horizontal="center" readingOrder="0" shrinkToFit="0" wrapText="0"/>
    </xf>
    <xf borderId="3" fillId="0" fontId="10" numFmtId="0" xfId="0" applyAlignment="1" applyBorder="1" applyFont="1">
      <alignment readingOrder="0" shrinkToFit="0" wrapText="0"/>
    </xf>
    <xf borderId="3" fillId="0" fontId="11" numFmtId="0" xfId="0" applyAlignment="1" applyBorder="1" applyFont="1">
      <alignment shrinkToFit="0" vertical="bottom" wrapText="0"/>
    </xf>
    <xf borderId="1" fillId="6" fontId="12" numFmtId="0" xfId="0" applyAlignment="1" applyBorder="1" applyFill="1" applyFont="1">
      <alignment horizontal="center" readingOrder="0"/>
    </xf>
    <xf borderId="2" fillId="6" fontId="13" numFmtId="0" xfId="0" applyAlignment="1" applyBorder="1" applyFont="1">
      <alignment horizontal="center" readingOrder="0"/>
    </xf>
    <xf borderId="2" fillId="0" fontId="14" numFmtId="0" xfId="0" applyAlignment="1" applyBorder="1" applyFont="1">
      <alignment horizontal="center" readingOrder="0"/>
    </xf>
    <xf borderId="3" fillId="0" fontId="15" numFmtId="0" xfId="0" applyAlignment="1" applyBorder="1" applyFont="1">
      <alignment readingOrder="0"/>
    </xf>
    <xf borderId="1" fillId="0" fontId="11" numFmtId="165" xfId="0" applyAlignment="1" applyBorder="1" applyFont="1" applyNumberFormat="1">
      <alignment readingOrder="0" shrinkToFit="0" vertical="bottom" wrapText="0"/>
    </xf>
    <xf borderId="1" fillId="0" fontId="11" numFmtId="0" xfId="0" applyAlignment="1" applyBorder="1" applyFont="1">
      <alignment readingOrder="0" shrinkToFit="0" vertical="bottom" wrapText="0"/>
    </xf>
    <xf borderId="1" fillId="0" fontId="16" numFmtId="0" xfId="0" applyAlignment="1" applyBorder="1" applyFont="1">
      <alignment readingOrder="0"/>
    </xf>
    <xf borderId="1" fillId="0" fontId="15" numFmtId="0" xfId="0" applyAlignment="1" applyBorder="1" applyFont="1">
      <alignment readingOrder="0"/>
    </xf>
    <xf borderId="1" fillId="0" fontId="8" numFmtId="0" xfId="0" applyAlignment="1" applyBorder="1" applyFont="1">
      <alignment readingOrder="0" vertical="bottom"/>
    </xf>
    <xf borderId="1" fillId="0" fontId="11" numFmtId="0" xfId="0" applyAlignment="1" applyBorder="1" applyFont="1">
      <alignment shrinkToFit="0" vertical="bottom" wrapText="0"/>
    </xf>
    <xf borderId="1" fillId="0" fontId="6" numFmtId="0" xfId="0" applyAlignment="1" applyBorder="1" applyFont="1">
      <alignment horizontal="left" readingOrder="0"/>
    </xf>
    <xf borderId="1" fillId="2" fontId="1" numFmtId="0" xfId="0" applyAlignment="1" applyBorder="1" applyFont="1">
      <alignment horizontal="center" vertical="bottom"/>
    </xf>
    <xf borderId="1" fillId="2" fontId="17" numFmtId="0" xfId="0" applyAlignment="1" applyBorder="1" applyFont="1">
      <alignment horizontal="center" vertical="bottom"/>
    </xf>
    <xf borderId="1" fillId="0" fontId="1" numFmtId="0" xfId="0" applyAlignment="1" applyBorder="1" applyFont="1">
      <alignment horizontal="center" shrinkToFit="0" wrapText="1"/>
    </xf>
    <xf borderId="1" fillId="0" fontId="6" numFmtId="0" xfId="0" applyAlignment="1" applyBorder="1" applyFont="1">
      <alignment horizontal="center" readingOrder="0"/>
    </xf>
    <xf borderId="1" fillId="0" fontId="5" numFmtId="0" xfId="0" applyAlignment="1" applyBorder="1" applyFont="1">
      <alignment horizontal="center" readingOrder="0" vertical="center"/>
    </xf>
    <xf borderId="1" fillId="5" fontId="4" numFmtId="0" xfId="0" applyAlignment="1" applyBorder="1" applyFont="1">
      <alignment horizontal="center" readingOrder="0" vertical="center"/>
    </xf>
    <xf borderId="3" fillId="5" fontId="4" numFmtId="0" xfId="0" applyAlignment="1" applyBorder="1" applyFont="1">
      <alignment horizontal="center" readingOrder="0" vertical="center"/>
    </xf>
    <xf borderId="1" fillId="5" fontId="5" numFmtId="0" xfId="0" applyAlignment="1" applyBorder="1" applyFont="1">
      <alignment horizontal="center" vertical="center"/>
    </xf>
    <xf borderId="0" fillId="0" fontId="4" numFmtId="0" xfId="0" applyAlignment="1" applyFont="1">
      <alignment horizontal="center" readingOrder="0" vertical="center"/>
    </xf>
    <xf borderId="0" fillId="0" fontId="4" numFmtId="0" xfId="0" applyFont="1"/>
    <xf borderId="1" fillId="0" fontId="18" numFmtId="0" xfId="0" applyAlignment="1" applyBorder="1" applyFont="1">
      <alignment readingOrder="0"/>
    </xf>
    <xf borderId="0" fillId="4" fontId="19" numFmtId="0" xfId="0" applyAlignment="1" applyFont="1">
      <alignment horizontal="center" readingOrder="0" vertical="bottom"/>
    </xf>
    <xf borderId="1" fillId="0" fontId="2" numFmtId="0" xfId="0" applyAlignment="1" applyBorder="1" applyFont="1">
      <alignment horizontal="center" readingOrder="0" vertical="bottom"/>
    </xf>
    <xf borderId="1" fillId="0" fontId="5" numFmtId="0" xfId="0" applyAlignment="1" applyBorder="1" applyFont="1">
      <alignment horizontal="center" readingOrder="0" vertical="bottom"/>
    </xf>
    <xf borderId="2" fillId="0" fontId="2" numFmtId="0" xfId="0" applyAlignment="1" applyBorder="1" applyFont="1">
      <alignment horizontal="center" vertical="bottom"/>
    </xf>
    <xf borderId="0" fillId="7" fontId="5" numFmtId="0" xfId="0" applyAlignment="1" applyFill="1" applyFont="1">
      <alignment horizontal="center" vertical="bottom"/>
    </xf>
    <xf borderId="1" fillId="0" fontId="2" numFmtId="0" xfId="0" applyAlignment="1" applyBorder="1" applyFont="1">
      <alignment vertical="bottom"/>
    </xf>
    <xf borderId="1" fillId="0" fontId="1" numFmtId="0" xfId="0" applyAlignment="1" applyBorder="1" applyFont="1">
      <alignment readingOrder="0" vertical="bottom"/>
    </xf>
    <xf borderId="0" fillId="0" fontId="2" numFmtId="0" xfId="0" applyAlignment="1" applyFont="1">
      <alignment horizontal="center" vertical="bottom"/>
    </xf>
    <xf borderId="0" fillId="0" fontId="2" numFmtId="2" xfId="0" applyAlignment="1" applyFont="1" applyNumberFormat="1">
      <alignment horizontal="right" vertical="bottom"/>
    </xf>
  </cellXfs>
  <cellStyles count="1">
    <cellStyle xfId="0" name="Normal" builtinId="0"/>
  </cellStyles>
  <dxfs count="4">
    <dxf>
      <font/>
      <fill>
        <patternFill patternType="solid">
          <fgColor rgb="FFFF0000"/>
          <bgColor rgb="FFFF0000"/>
        </patternFill>
      </fill>
      <border/>
    </dxf>
    <dxf>
      <font/>
      <fill>
        <patternFill patternType="solid">
          <fgColor rgb="FF6AA84F"/>
          <bgColor rgb="FF6AA84F"/>
        </patternFill>
      </fill>
      <border/>
    </dxf>
    <dxf>
      <font/>
      <fill>
        <patternFill patternType="solid">
          <fgColor rgb="FFFF9900"/>
          <bgColor rgb="FFFF9900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2" max="2" width="30.63"/>
    <col customWidth="1" min="3" max="3" width="25.63"/>
    <col customWidth="1" min="8" max="8" width="16.63"/>
    <col customWidth="1" min="9" max="45" width="5.38"/>
  </cols>
  <sheetData>
    <row r="1">
      <c r="A1" s="2" t="s">
        <v>0</v>
      </c>
      <c r="B1" s="3" t="s">
        <v>5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5" t="s">
        <v>12</v>
      </c>
      <c r="I1" s="6">
        <v>46183.0</v>
      </c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6">
        <v>46204.0</v>
      </c>
      <c r="AE1" s="7"/>
      <c r="AF1" s="7"/>
      <c r="AG1" s="7"/>
      <c r="AH1" s="7"/>
      <c r="AI1" s="7"/>
      <c r="AJ1" s="7"/>
      <c r="AK1" s="7"/>
      <c r="AL1" s="7"/>
      <c r="AM1" s="7"/>
      <c r="AN1" s="7"/>
      <c r="AO1" s="7"/>
      <c r="AP1" s="7"/>
      <c r="AQ1" s="7"/>
      <c r="AR1" s="12"/>
      <c r="AS1" s="13"/>
    </row>
    <row r="2">
      <c r="A2" s="14"/>
      <c r="B2" s="14"/>
      <c r="C2" s="14"/>
      <c r="D2" s="14"/>
      <c r="E2" s="14"/>
      <c r="F2" s="14"/>
      <c r="G2" s="14"/>
      <c r="H2" s="14"/>
      <c r="I2" s="15">
        <v>46183.0</v>
      </c>
      <c r="J2" s="15">
        <v>46184.0</v>
      </c>
      <c r="K2" s="15">
        <v>46185.0</v>
      </c>
      <c r="L2" s="15">
        <v>46186.0</v>
      </c>
      <c r="M2" s="15">
        <v>46187.0</v>
      </c>
      <c r="N2" s="15">
        <v>46188.0</v>
      </c>
      <c r="O2" s="15">
        <v>46189.0</v>
      </c>
      <c r="P2" s="15">
        <v>46190.0</v>
      </c>
      <c r="Q2" s="15">
        <v>46191.0</v>
      </c>
      <c r="R2" s="15">
        <v>46192.0</v>
      </c>
      <c r="S2" s="15">
        <v>46193.0</v>
      </c>
      <c r="T2" s="15">
        <v>46194.0</v>
      </c>
      <c r="U2" s="15">
        <v>46195.0</v>
      </c>
      <c r="V2" s="15">
        <v>46196.0</v>
      </c>
      <c r="W2" s="15">
        <v>46197.0</v>
      </c>
      <c r="X2" s="15">
        <v>46198.0</v>
      </c>
      <c r="Y2" s="15">
        <v>46199.0</v>
      </c>
      <c r="Z2" s="15">
        <v>46200.0</v>
      </c>
      <c r="AA2" s="15">
        <v>46201.0</v>
      </c>
      <c r="AB2" s="15">
        <v>46202.0</v>
      </c>
      <c r="AC2" s="15">
        <v>46203.0</v>
      </c>
      <c r="AD2" s="15">
        <v>46204.0</v>
      </c>
      <c r="AE2" s="15">
        <v>46205.0</v>
      </c>
      <c r="AF2" s="15">
        <v>46206.0</v>
      </c>
      <c r="AG2" s="15">
        <v>46207.0</v>
      </c>
      <c r="AH2" s="15">
        <v>46208.0</v>
      </c>
      <c r="AI2" s="15">
        <v>46209.0</v>
      </c>
      <c r="AJ2" s="15">
        <v>46210.0</v>
      </c>
      <c r="AK2" s="15">
        <v>46211.0</v>
      </c>
      <c r="AL2" s="15">
        <v>46212.0</v>
      </c>
      <c r="AM2" s="15">
        <v>46213.0</v>
      </c>
      <c r="AN2" s="15">
        <v>46214.0</v>
      </c>
      <c r="AO2" s="15">
        <v>46215.0</v>
      </c>
      <c r="AP2" s="15">
        <v>46216.0</v>
      </c>
      <c r="AQ2" s="15">
        <v>46217.0</v>
      </c>
      <c r="AR2" s="15">
        <v>46218.0</v>
      </c>
      <c r="AS2" s="4"/>
    </row>
    <row r="3">
      <c r="A3" s="16"/>
      <c r="B3" s="16"/>
      <c r="C3" s="16"/>
      <c r="D3" s="16"/>
      <c r="E3" s="16"/>
      <c r="F3" s="16"/>
      <c r="G3" s="16"/>
      <c r="H3" s="16"/>
      <c r="I3" s="21" t="str">
        <f t="shared" ref="I3:AR3" si="1">TEXT(I2,"ddd")</f>
        <v>Wed</v>
      </c>
      <c r="J3" s="21" t="str">
        <f t="shared" si="1"/>
        <v>Thu</v>
      </c>
      <c r="K3" s="21" t="str">
        <f t="shared" si="1"/>
        <v>Fri</v>
      </c>
      <c r="L3" s="21" t="str">
        <f t="shared" si="1"/>
        <v>Sat</v>
      </c>
      <c r="M3" s="21" t="str">
        <f t="shared" si="1"/>
        <v>Sun</v>
      </c>
      <c r="N3" s="21" t="str">
        <f t="shared" si="1"/>
        <v>Mon</v>
      </c>
      <c r="O3" s="21" t="str">
        <f t="shared" si="1"/>
        <v>Tue</v>
      </c>
      <c r="P3" s="21" t="str">
        <f t="shared" si="1"/>
        <v>Wed</v>
      </c>
      <c r="Q3" s="21" t="str">
        <f t="shared" si="1"/>
        <v>Thu</v>
      </c>
      <c r="R3" s="21" t="str">
        <f t="shared" si="1"/>
        <v>Fri</v>
      </c>
      <c r="S3" s="21" t="str">
        <f t="shared" si="1"/>
        <v>Sat</v>
      </c>
      <c r="T3" s="21" t="str">
        <f t="shared" si="1"/>
        <v>Sun</v>
      </c>
      <c r="U3" s="21" t="str">
        <f t="shared" si="1"/>
        <v>Mon</v>
      </c>
      <c r="V3" s="21" t="str">
        <f t="shared" si="1"/>
        <v>Tue</v>
      </c>
      <c r="W3" s="21" t="str">
        <f t="shared" si="1"/>
        <v>Wed</v>
      </c>
      <c r="X3" s="21" t="str">
        <f t="shared" si="1"/>
        <v>Thu</v>
      </c>
      <c r="Y3" s="21" t="str">
        <f t="shared" si="1"/>
        <v>Fri</v>
      </c>
      <c r="Z3" s="21" t="str">
        <f t="shared" si="1"/>
        <v>Sat</v>
      </c>
      <c r="AA3" s="21" t="str">
        <f t="shared" si="1"/>
        <v>Sun</v>
      </c>
      <c r="AB3" s="21" t="str">
        <f t="shared" si="1"/>
        <v>Mon</v>
      </c>
      <c r="AC3" s="21" t="str">
        <f t="shared" si="1"/>
        <v>Tue</v>
      </c>
      <c r="AD3" s="21" t="str">
        <f t="shared" si="1"/>
        <v>Wed</v>
      </c>
      <c r="AE3" s="21" t="str">
        <f t="shared" si="1"/>
        <v>Thu</v>
      </c>
      <c r="AF3" s="21" t="str">
        <f t="shared" si="1"/>
        <v>Fri</v>
      </c>
      <c r="AG3" s="21" t="str">
        <f t="shared" si="1"/>
        <v>Sat</v>
      </c>
      <c r="AH3" s="21" t="str">
        <f t="shared" si="1"/>
        <v>Sun</v>
      </c>
      <c r="AI3" s="21" t="str">
        <f t="shared" si="1"/>
        <v>Mon</v>
      </c>
      <c r="AJ3" s="21" t="str">
        <f t="shared" si="1"/>
        <v>Tue</v>
      </c>
      <c r="AK3" s="21" t="str">
        <f t="shared" si="1"/>
        <v>Wed</v>
      </c>
      <c r="AL3" s="21" t="str">
        <f t="shared" si="1"/>
        <v>Thu</v>
      </c>
      <c r="AM3" s="21" t="str">
        <f t="shared" si="1"/>
        <v>Fri</v>
      </c>
      <c r="AN3" s="21" t="str">
        <f t="shared" si="1"/>
        <v>Sat</v>
      </c>
      <c r="AO3" s="21" t="str">
        <f t="shared" si="1"/>
        <v>Sun</v>
      </c>
      <c r="AP3" s="21" t="str">
        <f t="shared" si="1"/>
        <v>Mon</v>
      </c>
      <c r="AQ3" s="21" t="str">
        <f t="shared" si="1"/>
        <v>Tue</v>
      </c>
      <c r="AR3" s="21" t="str">
        <f t="shared" si="1"/>
        <v>Wed</v>
      </c>
      <c r="AS3" s="4"/>
    </row>
    <row r="4">
      <c r="A4" s="33">
        <v>1.0</v>
      </c>
      <c r="B4" s="35" t="s">
        <v>66</v>
      </c>
      <c r="C4" s="37" t="s">
        <v>58</v>
      </c>
      <c r="D4" s="37" t="s">
        <v>60</v>
      </c>
      <c r="E4" s="8">
        <f t="shared" ref="E4:E105" si="2">COUNTIF(I4:AR4,"P")+COUNTIF(I4:AR4,"op")</f>
        <v>23</v>
      </c>
      <c r="F4" s="8">
        <f t="shared" ref="F4:F105" si="3">COUNTIF(I4:AR4,"A")</f>
        <v>0</v>
      </c>
      <c r="G4" s="8">
        <f t="shared" ref="G4:G72" si="4">E4+F4</f>
        <v>23</v>
      </c>
      <c r="H4" s="39">
        <f t="shared" ref="H4:H105" si="5">(E4/G4)*100</f>
        <v>100</v>
      </c>
      <c r="I4" s="10"/>
      <c r="J4" s="40" t="s">
        <v>80</v>
      </c>
      <c r="K4" s="40" t="s">
        <v>80</v>
      </c>
      <c r="L4" s="40" t="s">
        <v>80</v>
      </c>
      <c r="M4" s="41" t="s">
        <v>82</v>
      </c>
      <c r="N4" s="40" t="s">
        <v>80</v>
      </c>
      <c r="O4" s="40" t="s">
        <v>80</v>
      </c>
      <c r="P4" s="40" t="s">
        <v>80</v>
      </c>
      <c r="Q4" s="40" t="s">
        <v>80</v>
      </c>
      <c r="R4" s="40" t="s">
        <v>80</v>
      </c>
      <c r="S4" s="40" t="s">
        <v>80</v>
      </c>
      <c r="T4" s="41" t="s">
        <v>82</v>
      </c>
      <c r="U4" s="40" t="s">
        <v>80</v>
      </c>
      <c r="V4" s="42" t="s">
        <v>80</v>
      </c>
      <c r="W4" s="40" t="s">
        <v>80</v>
      </c>
      <c r="X4" s="40" t="s">
        <v>80</v>
      </c>
      <c r="Y4" s="40" t="s">
        <v>80</v>
      </c>
      <c r="Z4" s="40" t="s">
        <v>80</v>
      </c>
      <c r="AA4" s="41" t="s">
        <v>82</v>
      </c>
      <c r="AB4" s="40" t="s">
        <v>80</v>
      </c>
      <c r="AC4" s="40" t="s">
        <v>80</v>
      </c>
      <c r="AD4" s="40" t="s">
        <v>80</v>
      </c>
      <c r="AE4" s="40" t="s">
        <v>80</v>
      </c>
      <c r="AF4" s="40" t="s">
        <v>80</v>
      </c>
      <c r="AG4" s="40" t="s">
        <v>80</v>
      </c>
      <c r="AH4" s="41" t="s">
        <v>82</v>
      </c>
      <c r="AI4" s="40" t="s">
        <v>80</v>
      </c>
      <c r="AJ4" s="40" t="s">
        <v>80</v>
      </c>
      <c r="AK4" s="11"/>
      <c r="AL4" s="11"/>
      <c r="AM4" s="11"/>
      <c r="AN4" s="11"/>
      <c r="AO4" s="41" t="s">
        <v>82</v>
      </c>
      <c r="AP4" s="11"/>
      <c r="AQ4" s="11"/>
      <c r="AR4" s="11"/>
    </row>
    <row r="5">
      <c r="A5" s="33">
        <v>2.0</v>
      </c>
      <c r="B5" s="35" t="s">
        <v>108</v>
      </c>
      <c r="C5" s="43" t="s">
        <v>71</v>
      </c>
      <c r="D5" s="43" t="s">
        <v>73</v>
      </c>
      <c r="E5" s="8">
        <f t="shared" si="2"/>
        <v>16</v>
      </c>
      <c r="F5" s="8">
        <f t="shared" si="3"/>
        <v>7</v>
      </c>
      <c r="G5" s="8">
        <f t="shared" si="4"/>
        <v>23</v>
      </c>
      <c r="H5" s="39">
        <f t="shared" si="5"/>
        <v>69.56521739</v>
      </c>
      <c r="I5" s="11"/>
      <c r="J5" s="40" t="s">
        <v>80</v>
      </c>
      <c r="K5" s="40" t="s">
        <v>80</v>
      </c>
      <c r="L5" s="40" t="s">
        <v>80</v>
      </c>
      <c r="M5" s="14"/>
      <c r="N5" s="40" t="s">
        <v>80</v>
      </c>
      <c r="O5" s="40" t="s">
        <v>80</v>
      </c>
      <c r="P5" s="40" t="s">
        <v>44</v>
      </c>
      <c r="Q5" s="40" t="s">
        <v>80</v>
      </c>
      <c r="R5" s="40" t="s">
        <v>80</v>
      </c>
      <c r="S5" s="40" t="s">
        <v>80</v>
      </c>
      <c r="T5" s="14"/>
      <c r="U5" s="40" t="s">
        <v>80</v>
      </c>
      <c r="V5" s="42" t="s">
        <v>80</v>
      </c>
      <c r="W5" s="40" t="s">
        <v>80</v>
      </c>
      <c r="X5" s="40" t="s">
        <v>80</v>
      </c>
      <c r="Y5" s="40" t="s">
        <v>44</v>
      </c>
      <c r="Z5" s="40" t="s">
        <v>80</v>
      </c>
      <c r="AA5" s="14"/>
      <c r="AB5" s="40" t="s">
        <v>44</v>
      </c>
      <c r="AC5" s="40" t="s">
        <v>44</v>
      </c>
      <c r="AD5" s="40" t="s">
        <v>44</v>
      </c>
      <c r="AE5" s="40" t="s">
        <v>80</v>
      </c>
      <c r="AF5" s="40" t="s">
        <v>80</v>
      </c>
      <c r="AG5" s="40" t="s">
        <v>44</v>
      </c>
      <c r="AH5" s="14"/>
      <c r="AI5" s="40" t="s">
        <v>80</v>
      </c>
      <c r="AJ5" s="40" t="s">
        <v>44</v>
      </c>
      <c r="AK5" s="11"/>
      <c r="AL5" s="11"/>
      <c r="AM5" s="11"/>
      <c r="AN5" s="11"/>
      <c r="AO5" s="14"/>
      <c r="AP5" s="11"/>
      <c r="AQ5" s="11"/>
      <c r="AR5" s="11"/>
    </row>
    <row r="6">
      <c r="A6" s="33">
        <v>3.0</v>
      </c>
      <c r="B6" s="35" t="s">
        <v>120</v>
      </c>
      <c r="C6" s="43" t="s">
        <v>77</v>
      </c>
      <c r="D6" s="43" t="s">
        <v>78</v>
      </c>
      <c r="E6" s="8">
        <f t="shared" si="2"/>
        <v>21</v>
      </c>
      <c r="F6" s="8">
        <f t="shared" si="3"/>
        <v>2</v>
      </c>
      <c r="G6" s="8">
        <f t="shared" si="4"/>
        <v>23</v>
      </c>
      <c r="H6" s="39">
        <f t="shared" si="5"/>
        <v>91.30434783</v>
      </c>
      <c r="I6" s="11"/>
      <c r="J6" s="40" t="s">
        <v>80</v>
      </c>
      <c r="K6" s="40" t="s">
        <v>80</v>
      </c>
      <c r="L6" s="40" t="s">
        <v>80</v>
      </c>
      <c r="M6" s="14"/>
      <c r="N6" s="40" t="s">
        <v>80</v>
      </c>
      <c r="O6" s="40" t="s">
        <v>80</v>
      </c>
      <c r="P6" s="40" t="s">
        <v>80</v>
      </c>
      <c r="Q6" s="40" t="s">
        <v>80</v>
      </c>
      <c r="R6" s="40" t="s">
        <v>80</v>
      </c>
      <c r="S6" s="40" t="s">
        <v>80</v>
      </c>
      <c r="T6" s="14"/>
      <c r="U6" s="40" t="s">
        <v>80</v>
      </c>
      <c r="V6" s="42" t="s">
        <v>80</v>
      </c>
      <c r="W6" s="40" t="s">
        <v>80</v>
      </c>
      <c r="X6" s="40" t="s">
        <v>80</v>
      </c>
      <c r="Y6" s="40" t="s">
        <v>80</v>
      </c>
      <c r="Z6" s="40" t="s">
        <v>80</v>
      </c>
      <c r="AA6" s="14"/>
      <c r="AB6" s="40" t="s">
        <v>44</v>
      </c>
      <c r="AC6" s="40" t="s">
        <v>44</v>
      </c>
      <c r="AD6" s="40" t="s">
        <v>80</v>
      </c>
      <c r="AE6" s="40" t="s">
        <v>80</v>
      </c>
      <c r="AF6" s="40" t="s">
        <v>80</v>
      </c>
      <c r="AG6" s="40" t="s">
        <v>80</v>
      </c>
      <c r="AH6" s="14"/>
      <c r="AI6" s="40" t="s">
        <v>80</v>
      </c>
      <c r="AJ6" s="40" t="s">
        <v>80</v>
      </c>
      <c r="AK6" s="11"/>
      <c r="AL6" s="11"/>
      <c r="AM6" s="11"/>
      <c r="AN6" s="11"/>
      <c r="AO6" s="14"/>
      <c r="AP6" s="11"/>
      <c r="AQ6" s="11"/>
      <c r="AR6" s="11"/>
    </row>
    <row r="7">
      <c r="A7" s="33">
        <v>4.0</v>
      </c>
      <c r="B7" s="35" t="s">
        <v>128</v>
      </c>
      <c r="C7" s="43" t="s">
        <v>83</v>
      </c>
      <c r="D7" s="43" t="s">
        <v>84</v>
      </c>
      <c r="E7" s="8">
        <f t="shared" si="2"/>
        <v>21</v>
      </c>
      <c r="F7" s="8">
        <f t="shared" si="3"/>
        <v>2</v>
      </c>
      <c r="G7" s="8">
        <f t="shared" si="4"/>
        <v>23</v>
      </c>
      <c r="H7" s="39">
        <f t="shared" si="5"/>
        <v>91.30434783</v>
      </c>
      <c r="I7" s="11"/>
      <c r="J7" s="40" t="s">
        <v>80</v>
      </c>
      <c r="K7" s="40" t="s">
        <v>80</v>
      </c>
      <c r="L7" s="40" t="s">
        <v>80</v>
      </c>
      <c r="M7" s="14"/>
      <c r="N7" s="40" t="s">
        <v>80</v>
      </c>
      <c r="O7" s="40" t="s">
        <v>80</v>
      </c>
      <c r="P7" s="40" t="s">
        <v>80</v>
      </c>
      <c r="Q7" s="40" t="s">
        <v>44</v>
      </c>
      <c r="R7" s="40" t="s">
        <v>80</v>
      </c>
      <c r="S7" s="40" t="s">
        <v>80</v>
      </c>
      <c r="T7" s="14"/>
      <c r="U7" s="40" t="s">
        <v>80</v>
      </c>
      <c r="V7" s="42" t="s">
        <v>80</v>
      </c>
      <c r="W7" s="40" t="s">
        <v>80</v>
      </c>
      <c r="X7" s="40" t="s">
        <v>80</v>
      </c>
      <c r="Y7" s="40" t="s">
        <v>80</v>
      </c>
      <c r="Z7" s="40" t="s">
        <v>80</v>
      </c>
      <c r="AA7" s="14"/>
      <c r="AB7" s="40" t="s">
        <v>80</v>
      </c>
      <c r="AC7" s="40" t="s">
        <v>80</v>
      </c>
      <c r="AD7" s="40" t="s">
        <v>44</v>
      </c>
      <c r="AE7" s="40" t="s">
        <v>80</v>
      </c>
      <c r="AF7" s="40" t="s">
        <v>80</v>
      </c>
      <c r="AG7" s="40" t="s">
        <v>80</v>
      </c>
      <c r="AH7" s="14"/>
      <c r="AI7" s="40" t="s">
        <v>80</v>
      </c>
      <c r="AJ7" s="40" t="s">
        <v>80</v>
      </c>
      <c r="AK7" s="11"/>
      <c r="AL7" s="11"/>
      <c r="AM7" s="11"/>
      <c r="AN7" s="11"/>
      <c r="AO7" s="14"/>
      <c r="AP7" s="11"/>
      <c r="AQ7" s="11"/>
      <c r="AR7" s="11"/>
    </row>
    <row r="8">
      <c r="A8" s="33">
        <v>5.0</v>
      </c>
      <c r="B8" s="35" t="s">
        <v>138</v>
      </c>
      <c r="C8" s="43" t="s">
        <v>87</v>
      </c>
      <c r="D8" s="43" t="s">
        <v>88</v>
      </c>
      <c r="E8" s="8">
        <f t="shared" si="2"/>
        <v>15</v>
      </c>
      <c r="F8" s="8">
        <f t="shared" si="3"/>
        <v>8</v>
      </c>
      <c r="G8" s="8">
        <f t="shared" si="4"/>
        <v>23</v>
      </c>
      <c r="H8" s="39">
        <f t="shared" si="5"/>
        <v>65.2173913</v>
      </c>
      <c r="I8" s="11"/>
      <c r="J8" s="40" t="s">
        <v>80</v>
      </c>
      <c r="K8" s="40" t="s">
        <v>80</v>
      </c>
      <c r="L8" s="40" t="s">
        <v>80</v>
      </c>
      <c r="M8" s="14"/>
      <c r="N8" s="40" t="s">
        <v>80</v>
      </c>
      <c r="O8" s="40" t="s">
        <v>44</v>
      </c>
      <c r="P8" s="40" t="s">
        <v>80</v>
      </c>
      <c r="Q8" s="40" t="s">
        <v>80</v>
      </c>
      <c r="R8" s="40" t="s">
        <v>80</v>
      </c>
      <c r="S8" s="40" t="s">
        <v>80</v>
      </c>
      <c r="T8" s="14"/>
      <c r="U8" s="40" t="s">
        <v>80</v>
      </c>
      <c r="V8" s="42" t="s">
        <v>80</v>
      </c>
      <c r="W8" s="40" t="s">
        <v>80</v>
      </c>
      <c r="X8" s="40" t="s">
        <v>80</v>
      </c>
      <c r="Y8" s="40" t="s">
        <v>80</v>
      </c>
      <c r="Z8" s="40" t="s">
        <v>80</v>
      </c>
      <c r="AA8" s="14"/>
      <c r="AB8" s="40" t="s">
        <v>44</v>
      </c>
      <c r="AC8" s="40" t="s">
        <v>44</v>
      </c>
      <c r="AD8" s="40" t="s">
        <v>44</v>
      </c>
      <c r="AE8" s="40" t="s">
        <v>44</v>
      </c>
      <c r="AF8" s="40" t="s">
        <v>80</v>
      </c>
      <c r="AG8" s="40" t="s">
        <v>44</v>
      </c>
      <c r="AH8" s="14"/>
      <c r="AI8" s="40" t="s">
        <v>44</v>
      </c>
      <c r="AJ8" s="40" t="s">
        <v>44</v>
      </c>
      <c r="AK8" s="11"/>
      <c r="AL8" s="11"/>
      <c r="AM8" s="11"/>
      <c r="AN8" s="11"/>
      <c r="AO8" s="14"/>
      <c r="AP8" s="11"/>
      <c r="AQ8" s="11"/>
      <c r="AR8" s="11"/>
    </row>
    <row r="9">
      <c r="A9" s="33">
        <v>6.0</v>
      </c>
      <c r="B9" s="35" t="s">
        <v>148</v>
      </c>
      <c r="C9" s="43" t="s">
        <v>91</v>
      </c>
      <c r="D9" s="43" t="s">
        <v>92</v>
      </c>
      <c r="E9" s="8">
        <f t="shared" si="2"/>
        <v>19</v>
      </c>
      <c r="F9" s="8">
        <f t="shared" si="3"/>
        <v>4</v>
      </c>
      <c r="G9" s="8">
        <f t="shared" si="4"/>
        <v>23</v>
      </c>
      <c r="H9" s="39">
        <f t="shared" si="5"/>
        <v>82.60869565</v>
      </c>
      <c r="I9" s="11"/>
      <c r="J9" s="40" t="s">
        <v>44</v>
      </c>
      <c r="K9" s="40" t="s">
        <v>80</v>
      </c>
      <c r="L9" s="40" t="s">
        <v>80</v>
      </c>
      <c r="M9" s="14"/>
      <c r="N9" s="40" t="s">
        <v>80</v>
      </c>
      <c r="O9" s="40" t="s">
        <v>80</v>
      </c>
      <c r="P9" s="40" t="s">
        <v>80</v>
      </c>
      <c r="Q9" s="40" t="s">
        <v>80</v>
      </c>
      <c r="R9" s="40" t="s">
        <v>80</v>
      </c>
      <c r="S9" s="40" t="s">
        <v>80</v>
      </c>
      <c r="T9" s="14"/>
      <c r="U9" s="40" t="s">
        <v>80</v>
      </c>
      <c r="V9" s="42" t="s">
        <v>80</v>
      </c>
      <c r="W9" s="40" t="s">
        <v>80</v>
      </c>
      <c r="X9" s="40" t="s">
        <v>80</v>
      </c>
      <c r="Y9" s="40" t="s">
        <v>80</v>
      </c>
      <c r="Z9" s="40" t="s">
        <v>80</v>
      </c>
      <c r="AA9" s="14"/>
      <c r="AB9" s="40" t="s">
        <v>80</v>
      </c>
      <c r="AC9" s="40" t="s">
        <v>80</v>
      </c>
      <c r="AD9" s="40" t="s">
        <v>80</v>
      </c>
      <c r="AE9" s="40" t="s">
        <v>44</v>
      </c>
      <c r="AF9" s="40" t="s">
        <v>80</v>
      </c>
      <c r="AG9" s="40" t="s">
        <v>80</v>
      </c>
      <c r="AH9" s="14"/>
      <c r="AI9" s="40" t="s">
        <v>44</v>
      </c>
      <c r="AJ9" s="40" t="s">
        <v>44</v>
      </c>
      <c r="AK9" s="11"/>
      <c r="AL9" s="11"/>
      <c r="AM9" s="11"/>
      <c r="AN9" s="11"/>
      <c r="AO9" s="14"/>
      <c r="AP9" s="11"/>
      <c r="AQ9" s="11"/>
      <c r="AR9" s="11"/>
    </row>
    <row r="10">
      <c r="A10" s="33">
        <v>7.0</v>
      </c>
      <c r="B10" s="35" t="s">
        <v>181</v>
      </c>
      <c r="C10" s="43" t="s">
        <v>94</v>
      </c>
      <c r="D10" s="43" t="s">
        <v>95</v>
      </c>
      <c r="E10" s="8">
        <f t="shared" si="2"/>
        <v>20</v>
      </c>
      <c r="F10" s="8">
        <f t="shared" si="3"/>
        <v>3</v>
      </c>
      <c r="G10" s="8">
        <f t="shared" si="4"/>
        <v>23</v>
      </c>
      <c r="H10" s="39">
        <f t="shared" si="5"/>
        <v>86.95652174</v>
      </c>
      <c r="I10" s="11"/>
      <c r="J10" s="40" t="s">
        <v>80</v>
      </c>
      <c r="K10" s="40" t="s">
        <v>80</v>
      </c>
      <c r="L10" s="40" t="s">
        <v>80</v>
      </c>
      <c r="M10" s="14"/>
      <c r="N10" s="40" t="s">
        <v>80</v>
      </c>
      <c r="O10" s="40" t="s">
        <v>80</v>
      </c>
      <c r="P10" s="40" t="s">
        <v>80</v>
      </c>
      <c r="Q10" s="40" t="s">
        <v>44</v>
      </c>
      <c r="R10" s="40" t="s">
        <v>44</v>
      </c>
      <c r="S10" s="40" t="s">
        <v>80</v>
      </c>
      <c r="T10" s="14"/>
      <c r="U10" s="40" t="s">
        <v>80</v>
      </c>
      <c r="V10" s="42" t="s">
        <v>80</v>
      </c>
      <c r="W10" s="40" t="s">
        <v>80</v>
      </c>
      <c r="X10" s="40" t="s">
        <v>80</v>
      </c>
      <c r="Y10" s="40" t="s">
        <v>80</v>
      </c>
      <c r="Z10" s="40" t="s">
        <v>80</v>
      </c>
      <c r="AA10" s="14"/>
      <c r="AB10" s="40" t="s">
        <v>80</v>
      </c>
      <c r="AC10" s="40" t="s">
        <v>44</v>
      </c>
      <c r="AD10" s="40" t="s">
        <v>80</v>
      </c>
      <c r="AE10" s="40" t="s">
        <v>80</v>
      </c>
      <c r="AF10" s="40" t="s">
        <v>80</v>
      </c>
      <c r="AG10" s="40" t="s">
        <v>80</v>
      </c>
      <c r="AH10" s="14"/>
      <c r="AI10" s="40" t="s">
        <v>80</v>
      </c>
      <c r="AJ10" s="40" t="s">
        <v>80</v>
      </c>
      <c r="AK10" s="11"/>
      <c r="AL10" s="11"/>
      <c r="AM10" s="11"/>
      <c r="AN10" s="11"/>
      <c r="AO10" s="14"/>
      <c r="AP10" s="11"/>
      <c r="AQ10" s="11"/>
      <c r="AR10" s="11"/>
    </row>
    <row r="11">
      <c r="A11" s="33">
        <v>8.0</v>
      </c>
      <c r="B11" s="35" t="s">
        <v>190</v>
      </c>
      <c r="C11" s="43" t="s">
        <v>96</v>
      </c>
      <c r="D11" s="43" t="s">
        <v>97</v>
      </c>
      <c r="E11" s="8">
        <f t="shared" si="2"/>
        <v>22</v>
      </c>
      <c r="F11" s="8">
        <f t="shared" si="3"/>
        <v>1</v>
      </c>
      <c r="G11" s="8">
        <f t="shared" si="4"/>
        <v>23</v>
      </c>
      <c r="H11" s="39">
        <f t="shared" si="5"/>
        <v>95.65217391</v>
      </c>
      <c r="I11" s="11"/>
      <c r="J11" s="40" t="s">
        <v>80</v>
      </c>
      <c r="K11" s="40" t="s">
        <v>80</v>
      </c>
      <c r="L11" s="40" t="s">
        <v>193</v>
      </c>
      <c r="M11" s="14"/>
      <c r="N11" s="40" t="s">
        <v>80</v>
      </c>
      <c r="O11" s="40" t="s">
        <v>80</v>
      </c>
      <c r="P11" s="40" t="s">
        <v>80</v>
      </c>
      <c r="Q11" s="40" t="s">
        <v>193</v>
      </c>
      <c r="R11" s="40" t="s">
        <v>80</v>
      </c>
      <c r="S11" s="40" t="s">
        <v>44</v>
      </c>
      <c r="T11" s="14"/>
      <c r="U11" s="40" t="s">
        <v>80</v>
      </c>
      <c r="V11" s="42" t="s">
        <v>80</v>
      </c>
      <c r="W11" s="40" t="s">
        <v>80</v>
      </c>
      <c r="X11" s="40" t="s">
        <v>80</v>
      </c>
      <c r="Y11" s="40" t="s">
        <v>80</v>
      </c>
      <c r="Z11" s="40" t="s">
        <v>80</v>
      </c>
      <c r="AA11" s="14"/>
      <c r="AB11" s="40" t="s">
        <v>80</v>
      </c>
      <c r="AC11" s="40" t="s">
        <v>80</v>
      </c>
      <c r="AD11" s="40" t="s">
        <v>80</v>
      </c>
      <c r="AE11" s="40" t="s">
        <v>80</v>
      </c>
      <c r="AF11" s="40" t="s">
        <v>80</v>
      </c>
      <c r="AG11" s="40" t="s">
        <v>80</v>
      </c>
      <c r="AH11" s="14"/>
      <c r="AI11" s="40" t="s">
        <v>80</v>
      </c>
      <c r="AJ11" s="40" t="s">
        <v>80</v>
      </c>
      <c r="AK11" s="11"/>
      <c r="AL11" s="11"/>
      <c r="AM11" s="11"/>
      <c r="AN11" s="11"/>
      <c r="AO11" s="14"/>
      <c r="AP11" s="11"/>
      <c r="AQ11" s="11"/>
      <c r="AR11" s="11"/>
    </row>
    <row r="12">
      <c r="A12" s="33">
        <v>9.0</v>
      </c>
      <c r="B12" s="35" t="s">
        <v>200</v>
      </c>
      <c r="C12" s="43" t="s">
        <v>98</v>
      </c>
      <c r="D12" s="43" t="s">
        <v>99</v>
      </c>
      <c r="E12" s="8">
        <f t="shared" si="2"/>
        <v>23</v>
      </c>
      <c r="F12" s="8">
        <f t="shared" si="3"/>
        <v>0</v>
      </c>
      <c r="G12" s="8">
        <f t="shared" si="4"/>
        <v>23</v>
      </c>
      <c r="H12" s="39">
        <f t="shared" si="5"/>
        <v>100</v>
      </c>
      <c r="I12" s="11"/>
      <c r="J12" s="40" t="s">
        <v>80</v>
      </c>
      <c r="K12" s="40" t="s">
        <v>80</v>
      </c>
      <c r="L12" s="40" t="s">
        <v>193</v>
      </c>
      <c r="M12" s="14"/>
      <c r="N12" s="40" t="s">
        <v>193</v>
      </c>
      <c r="O12" s="40" t="s">
        <v>80</v>
      </c>
      <c r="P12" s="40" t="s">
        <v>193</v>
      </c>
      <c r="Q12" s="40" t="s">
        <v>193</v>
      </c>
      <c r="R12" s="40" t="s">
        <v>80</v>
      </c>
      <c r="S12" s="40" t="s">
        <v>193</v>
      </c>
      <c r="T12" s="14"/>
      <c r="U12" s="40" t="s">
        <v>193</v>
      </c>
      <c r="V12" s="55" t="s">
        <v>193</v>
      </c>
      <c r="W12" s="40" t="s">
        <v>80</v>
      </c>
      <c r="X12" s="40" t="s">
        <v>80</v>
      </c>
      <c r="Y12" s="40" t="s">
        <v>80</v>
      </c>
      <c r="Z12" s="40" t="s">
        <v>80</v>
      </c>
      <c r="AA12" s="14"/>
      <c r="AB12" s="40" t="s">
        <v>80</v>
      </c>
      <c r="AC12" s="40" t="s">
        <v>80</v>
      </c>
      <c r="AD12" s="40" t="s">
        <v>80</v>
      </c>
      <c r="AE12" s="40" t="s">
        <v>80</v>
      </c>
      <c r="AF12" s="40" t="s">
        <v>80</v>
      </c>
      <c r="AG12" s="40" t="s">
        <v>80</v>
      </c>
      <c r="AH12" s="14"/>
      <c r="AI12" s="40" t="s">
        <v>80</v>
      </c>
      <c r="AJ12" s="40" t="s">
        <v>80</v>
      </c>
      <c r="AK12" s="11"/>
      <c r="AL12" s="11"/>
      <c r="AM12" s="11"/>
      <c r="AN12" s="11"/>
      <c r="AO12" s="14"/>
      <c r="AP12" s="11"/>
      <c r="AQ12" s="11"/>
      <c r="AR12" s="11"/>
    </row>
    <row r="13">
      <c r="A13" s="33">
        <v>10.0</v>
      </c>
      <c r="B13" s="35" t="s">
        <v>210</v>
      </c>
      <c r="C13" s="43" t="s">
        <v>101</v>
      </c>
      <c r="D13" s="43" t="s">
        <v>102</v>
      </c>
      <c r="E13" s="8">
        <f t="shared" si="2"/>
        <v>12</v>
      </c>
      <c r="F13" s="8">
        <f t="shared" si="3"/>
        <v>11</v>
      </c>
      <c r="G13" s="8">
        <f t="shared" si="4"/>
        <v>23</v>
      </c>
      <c r="H13" s="39">
        <f t="shared" si="5"/>
        <v>52.17391304</v>
      </c>
      <c r="I13" s="11"/>
      <c r="J13" s="40" t="s">
        <v>80</v>
      </c>
      <c r="K13" s="40" t="s">
        <v>80</v>
      </c>
      <c r="L13" s="40" t="s">
        <v>80</v>
      </c>
      <c r="M13" s="14"/>
      <c r="N13" s="40" t="s">
        <v>80</v>
      </c>
      <c r="O13" s="40" t="s">
        <v>80</v>
      </c>
      <c r="P13" s="40" t="s">
        <v>80</v>
      </c>
      <c r="Q13" s="40" t="s">
        <v>80</v>
      </c>
      <c r="R13" s="40" t="s">
        <v>44</v>
      </c>
      <c r="S13" s="40" t="s">
        <v>80</v>
      </c>
      <c r="T13" s="14"/>
      <c r="U13" s="40" t="s">
        <v>80</v>
      </c>
      <c r="V13" s="55" t="s">
        <v>80</v>
      </c>
      <c r="W13" s="40" t="s">
        <v>44</v>
      </c>
      <c r="X13" s="40" t="s">
        <v>80</v>
      </c>
      <c r="Y13" s="40" t="s">
        <v>44</v>
      </c>
      <c r="Z13" s="40" t="s">
        <v>44</v>
      </c>
      <c r="AA13" s="14"/>
      <c r="AB13" s="40" t="s">
        <v>44</v>
      </c>
      <c r="AC13" s="40" t="s">
        <v>44</v>
      </c>
      <c r="AD13" s="40" t="s">
        <v>44</v>
      </c>
      <c r="AE13" s="40" t="s">
        <v>44</v>
      </c>
      <c r="AF13" s="40" t="s">
        <v>80</v>
      </c>
      <c r="AG13" s="40" t="s">
        <v>44</v>
      </c>
      <c r="AH13" s="14"/>
      <c r="AI13" s="40" t="s">
        <v>44</v>
      </c>
      <c r="AJ13" s="40" t="s">
        <v>44</v>
      </c>
      <c r="AK13" s="11"/>
      <c r="AL13" s="11"/>
      <c r="AM13" s="11"/>
      <c r="AN13" s="11"/>
      <c r="AO13" s="14"/>
      <c r="AP13" s="11"/>
      <c r="AQ13" s="11"/>
      <c r="AR13" s="11"/>
    </row>
    <row r="14">
      <c r="A14" s="33">
        <v>11.0</v>
      </c>
      <c r="B14" s="35" t="s">
        <v>220</v>
      </c>
      <c r="C14" s="43" t="s">
        <v>103</v>
      </c>
      <c r="D14" s="43" t="s">
        <v>104</v>
      </c>
      <c r="E14" s="8">
        <f t="shared" si="2"/>
        <v>22</v>
      </c>
      <c r="F14" s="8">
        <f t="shared" si="3"/>
        <v>1</v>
      </c>
      <c r="G14" s="8">
        <f t="shared" si="4"/>
        <v>23</v>
      </c>
      <c r="H14" s="39">
        <f t="shared" si="5"/>
        <v>95.65217391</v>
      </c>
      <c r="I14" s="11"/>
      <c r="J14" s="40" t="s">
        <v>80</v>
      </c>
      <c r="K14" s="40" t="s">
        <v>80</v>
      </c>
      <c r="L14" s="40" t="s">
        <v>80</v>
      </c>
      <c r="M14" s="14"/>
      <c r="N14" s="40" t="s">
        <v>80</v>
      </c>
      <c r="O14" s="40" t="s">
        <v>80</v>
      </c>
      <c r="P14" s="40" t="s">
        <v>80</v>
      </c>
      <c r="Q14" s="40" t="s">
        <v>80</v>
      </c>
      <c r="R14" s="40" t="s">
        <v>80</v>
      </c>
      <c r="S14" s="40" t="s">
        <v>44</v>
      </c>
      <c r="T14" s="14"/>
      <c r="U14" s="40" t="s">
        <v>80</v>
      </c>
      <c r="V14" s="42" t="s">
        <v>80</v>
      </c>
      <c r="W14" s="40" t="s">
        <v>80</v>
      </c>
      <c r="X14" s="40" t="s">
        <v>80</v>
      </c>
      <c r="Y14" s="40" t="s">
        <v>80</v>
      </c>
      <c r="Z14" s="40" t="s">
        <v>80</v>
      </c>
      <c r="AA14" s="14"/>
      <c r="AB14" s="40" t="s">
        <v>80</v>
      </c>
      <c r="AC14" s="40" t="s">
        <v>80</v>
      </c>
      <c r="AD14" s="40" t="s">
        <v>80</v>
      </c>
      <c r="AE14" s="40" t="s">
        <v>80</v>
      </c>
      <c r="AF14" s="40" t="s">
        <v>80</v>
      </c>
      <c r="AG14" s="40" t="s">
        <v>80</v>
      </c>
      <c r="AH14" s="14"/>
      <c r="AI14" s="40" t="s">
        <v>80</v>
      </c>
      <c r="AJ14" s="40" t="s">
        <v>80</v>
      </c>
      <c r="AK14" s="11"/>
      <c r="AL14" s="11"/>
      <c r="AM14" s="11"/>
      <c r="AN14" s="11"/>
      <c r="AO14" s="14"/>
      <c r="AP14" s="11"/>
      <c r="AQ14" s="11"/>
      <c r="AR14" s="11"/>
    </row>
    <row r="15">
      <c r="A15" s="33">
        <v>12.0</v>
      </c>
      <c r="B15" s="35" t="s">
        <v>231</v>
      </c>
      <c r="C15" s="43" t="s">
        <v>105</v>
      </c>
      <c r="D15" s="43" t="s">
        <v>106</v>
      </c>
      <c r="E15" s="8">
        <f t="shared" si="2"/>
        <v>13</v>
      </c>
      <c r="F15" s="8">
        <f t="shared" si="3"/>
        <v>10</v>
      </c>
      <c r="G15" s="8">
        <f t="shared" si="4"/>
        <v>23</v>
      </c>
      <c r="H15" s="39">
        <f t="shared" si="5"/>
        <v>56.52173913</v>
      </c>
      <c r="I15" s="11"/>
      <c r="J15" s="40" t="s">
        <v>80</v>
      </c>
      <c r="K15" s="40" t="s">
        <v>80</v>
      </c>
      <c r="L15" s="40" t="s">
        <v>80</v>
      </c>
      <c r="M15" s="14"/>
      <c r="N15" s="40" t="s">
        <v>44</v>
      </c>
      <c r="O15" s="40" t="s">
        <v>80</v>
      </c>
      <c r="P15" s="40" t="s">
        <v>80</v>
      </c>
      <c r="Q15" s="40" t="s">
        <v>80</v>
      </c>
      <c r="R15" s="40" t="s">
        <v>80</v>
      </c>
      <c r="S15" s="40" t="s">
        <v>80</v>
      </c>
      <c r="T15" s="14"/>
      <c r="U15" s="40" t="s">
        <v>44</v>
      </c>
      <c r="V15" s="42" t="s">
        <v>80</v>
      </c>
      <c r="W15" s="40" t="s">
        <v>44</v>
      </c>
      <c r="X15" s="40" t="s">
        <v>44</v>
      </c>
      <c r="Y15" s="40" t="s">
        <v>80</v>
      </c>
      <c r="Z15" s="40" t="s">
        <v>80</v>
      </c>
      <c r="AA15" s="14"/>
      <c r="AB15" s="40" t="s">
        <v>44</v>
      </c>
      <c r="AC15" s="40" t="s">
        <v>44</v>
      </c>
      <c r="AD15" s="40" t="s">
        <v>44</v>
      </c>
      <c r="AE15" s="40" t="s">
        <v>80</v>
      </c>
      <c r="AF15" s="40" t="s">
        <v>44</v>
      </c>
      <c r="AG15" s="40" t="s">
        <v>80</v>
      </c>
      <c r="AH15" s="14"/>
      <c r="AI15" s="40" t="s">
        <v>44</v>
      </c>
      <c r="AJ15" s="40" t="s">
        <v>44</v>
      </c>
      <c r="AK15" s="11"/>
      <c r="AL15" s="11"/>
      <c r="AM15" s="11"/>
      <c r="AN15" s="11"/>
      <c r="AO15" s="14"/>
      <c r="AP15" s="11"/>
      <c r="AQ15" s="11"/>
      <c r="AR15" s="11"/>
    </row>
    <row r="16">
      <c r="A16" s="33">
        <v>13.0</v>
      </c>
      <c r="B16" s="35" t="s">
        <v>248</v>
      </c>
      <c r="C16" s="43" t="s">
        <v>109</v>
      </c>
      <c r="D16" s="43" t="s">
        <v>110</v>
      </c>
      <c r="E16" s="8">
        <f t="shared" si="2"/>
        <v>16</v>
      </c>
      <c r="F16" s="8">
        <f t="shared" si="3"/>
        <v>7</v>
      </c>
      <c r="G16" s="8">
        <f t="shared" si="4"/>
        <v>23</v>
      </c>
      <c r="H16" s="39">
        <f t="shared" si="5"/>
        <v>69.56521739</v>
      </c>
      <c r="I16" s="11"/>
      <c r="J16" s="40" t="s">
        <v>44</v>
      </c>
      <c r="K16" s="40" t="s">
        <v>44</v>
      </c>
      <c r="L16" s="40" t="s">
        <v>44</v>
      </c>
      <c r="M16" s="14"/>
      <c r="N16" s="40" t="s">
        <v>80</v>
      </c>
      <c r="O16" s="40" t="s">
        <v>80</v>
      </c>
      <c r="P16" s="40" t="s">
        <v>80</v>
      </c>
      <c r="Q16" s="40" t="s">
        <v>80</v>
      </c>
      <c r="R16" s="40" t="s">
        <v>44</v>
      </c>
      <c r="S16" s="40" t="s">
        <v>80</v>
      </c>
      <c r="T16" s="14"/>
      <c r="U16" s="40" t="s">
        <v>80</v>
      </c>
      <c r="V16" s="42" t="s">
        <v>80</v>
      </c>
      <c r="W16" s="40" t="s">
        <v>80</v>
      </c>
      <c r="X16" s="40" t="s">
        <v>80</v>
      </c>
      <c r="Y16" s="40" t="s">
        <v>80</v>
      </c>
      <c r="Z16" s="40" t="s">
        <v>44</v>
      </c>
      <c r="AA16" s="14"/>
      <c r="AB16" s="40" t="s">
        <v>80</v>
      </c>
      <c r="AC16" s="40" t="s">
        <v>80</v>
      </c>
      <c r="AD16" s="40" t="s">
        <v>80</v>
      </c>
      <c r="AE16" s="40" t="s">
        <v>80</v>
      </c>
      <c r="AF16" s="40" t="s">
        <v>44</v>
      </c>
      <c r="AG16" s="40" t="s">
        <v>44</v>
      </c>
      <c r="AH16" s="14"/>
      <c r="AI16" s="40" t="s">
        <v>80</v>
      </c>
      <c r="AJ16" s="40" t="s">
        <v>80</v>
      </c>
      <c r="AK16" s="11"/>
      <c r="AL16" s="11"/>
      <c r="AM16" s="11"/>
      <c r="AN16" s="11"/>
      <c r="AO16" s="14"/>
      <c r="AP16" s="11"/>
      <c r="AQ16" s="11"/>
      <c r="AR16" s="11"/>
    </row>
    <row r="17">
      <c r="A17" s="33">
        <v>14.0</v>
      </c>
      <c r="B17" s="35" t="s">
        <v>269</v>
      </c>
      <c r="C17" s="37" t="s">
        <v>111</v>
      </c>
      <c r="D17" s="37" t="s">
        <v>112</v>
      </c>
      <c r="E17" s="8">
        <f t="shared" si="2"/>
        <v>16</v>
      </c>
      <c r="F17" s="8">
        <f t="shared" si="3"/>
        <v>7</v>
      </c>
      <c r="G17" s="8">
        <f t="shared" si="4"/>
        <v>23</v>
      </c>
      <c r="H17" s="39">
        <f t="shared" si="5"/>
        <v>69.56521739</v>
      </c>
      <c r="I17" s="11"/>
      <c r="J17" s="40" t="s">
        <v>80</v>
      </c>
      <c r="K17" s="40" t="s">
        <v>80</v>
      </c>
      <c r="L17" s="40" t="s">
        <v>80</v>
      </c>
      <c r="M17" s="14"/>
      <c r="N17" s="40" t="s">
        <v>80</v>
      </c>
      <c r="O17" s="40" t="s">
        <v>44</v>
      </c>
      <c r="P17" s="40" t="s">
        <v>80</v>
      </c>
      <c r="Q17" s="40" t="s">
        <v>80</v>
      </c>
      <c r="R17" s="40" t="s">
        <v>80</v>
      </c>
      <c r="S17" s="40" t="s">
        <v>80</v>
      </c>
      <c r="T17" s="14"/>
      <c r="U17" s="40" t="s">
        <v>44</v>
      </c>
      <c r="V17" s="42" t="s">
        <v>80</v>
      </c>
      <c r="W17" s="40" t="s">
        <v>44</v>
      </c>
      <c r="X17" s="40" t="s">
        <v>80</v>
      </c>
      <c r="Y17" s="40" t="s">
        <v>80</v>
      </c>
      <c r="Z17" s="40" t="s">
        <v>44</v>
      </c>
      <c r="AA17" s="14"/>
      <c r="AB17" s="40" t="s">
        <v>80</v>
      </c>
      <c r="AC17" s="40" t="s">
        <v>80</v>
      </c>
      <c r="AD17" s="40" t="s">
        <v>44</v>
      </c>
      <c r="AE17" s="40" t="s">
        <v>80</v>
      </c>
      <c r="AF17" s="40" t="s">
        <v>44</v>
      </c>
      <c r="AG17" s="40" t="s">
        <v>44</v>
      </c>
      <c r="AH17" s="14"/>
      <c r="AI17" s="40" t="s">
        <v>80</v>
      </c>
      <c r="AJ17" s="40" t="s">
        <v>80</v>
      </c>
      <c r="AK17" s="11"/>
      <c r="AL17" s="11"/>
      <c r="AM17" s="11"/>
      <c r="AN17" s="11"/>
      <c r="AO17" s="14"/>
      <c r="AP17" s="11"/>
      <c r="AQ17" s="11"/>
      <c r="AR17" s="11"/>
    </row>
    <row r="18">
      <c r="A18" s="33">
        <v>15.0</v>
      </c>
      <c r="B18" s="35" t="s">
        <v>291</v>
      </c>
      <c r="C18" s="43" t="s">
        <v>113</v>
      </c>
      <c r="D18" s="43" t="s">
        <v>114</v>
      </c>
      <c r="E18" s="8">
        <f t="shared" si="2"/>
        <v>15</v>
      </c>
      <c r="F18" s="8">
        <f t="shared" si="3"/>
        <v>8</v>
      </c>
      <c r="G18" s="8">
        <f t="shared" si="4"/>
        <v>23</v>
      </c>
      <c r="H18" s="39">
        <f t="shared" si="5"/>
        <v>65.2173913</v>
      </c>
      <c r="I18" s="11"/>
      <c r="J18" s="40" t="s">
        <v>80</v>
      </c>
      <c r="K18" s="40" t="s">
        <v>44</v>
      </c>
      <c r="L18" s="40" t="s">
        <v>80</v>
      </c>
      <c r="M18" s="14"/>
      <c r="N18" s="40" t="s">
        <v>44</v>
      </c>
      <c r="O18" s="40" t="s">
        <v>44</v>
      </c>
      <c r="P18" s="40" t="s">
        <v>80</v>
      </c>
      <c r="Q18" s="40" t="s">
        <v>44</v>
      </c>
      <c r="R18" s="40" t="s">
        <v>80</v>
      </c>
      <c r="S18" s="40" t="s">
        <v>80</v>
      </c>
      <c r="T18" s="14"/>
      <c r="U18" s="40" t="s">
        <v>80</v>
      </c>
      <c r="V18" s="42" t="s">
        <v>44</v>
      </c>
      <c r="W18" s="40" t="s">
        <v>44</v>
      </c>
      <c r="X18" s="40" t="s">
        <v>80</v>
      </c>
      <c r="Y18" s="40" t="s">
        <v>80</v>
      </c>
      <c r="Z18" s="40" t="s">
        <v>80</v>
      </c>
      <c r="AA18" s="14"/>
      <c r="AB18" s="40" t="s">
        <v>80</v>
      </c>
      <c r="AC18" s="40" t="s">
        <v>80</v>
      </c>
      <c r="AD18" s="40" t="s">
        <v>80</v>
      </c>
      <c r="AE18" s="40" t="s">
        <v>80</v>
      </c>
      <c r="AF18" s="40" t="s">
        <v>80</v>
      </c>
      <c r="AG18" s="40" t="s">
        <v>44</v>
      </c>
      <c r="AH18" s="14"/>
      <c r="AI18" s="40" t="s">
        <v>44</v>
      </c>
      <c r="AJ18" s="40" t="s">
        <v>80</v>
      </c>
      <c r="AK18" s="11"/>
      <c r="AL18" s="11"/>
      <c r="AM18" s="11"/>
      <c r="AN18" s="11"/>
      <c r="AO18" s="14"/>
      <c r="AP18" s="11"/>
      <c r="AQ18" s="11"/>
      <c r="AR18" s="11"/>
    </row>
    <row r="19">
      <c r="A19" s="33">
        <v>16.0</v>
      </c>
      <c r="B19" s="35" t="s">
        <v>309</v>
      </c>
      <c r="C19" s="43" t="s">
        <v>115</v>
      </c>
      <c r="D19" s="43" t="s">
        <v>116</v>
      </c>
      <c r="E19" s="8">
        <f t="shared" si="2"/>
        <v>14</v>
      </c>
      <c r="F19" s="8">
        <f t="shared" si="3"/>
        <v>9</v>
      </c>
      <c r="G19" s="8">
        <f t="shared" si="4"/>
        <v>23</v>
      </c>
      <c r="H19" s="39">
        <f t="shared" si="5"/>
        <v>60.86956522</v>
      </c>
      <c r="I19" s="11"/>
      <c r="J19" s="40" t="s">
        <v>80</v>
      </c>
      <c r="K19" s="40" t="s">
        <v>80</v>
      </c>
      <c r="L19" s="40" t="s">
        <v>44</v>
      </c>
      <c r="M19" s="14"/>
      <c r="N19" s="40" t="s">
        <v>44</v>
      </c>
      <c r="O19" s="40" t="s">
        <v>80</v>
      </c>
      <c r="P19" s="40" t="s">
        <v>80</v>
      </c>
      <c r="Q19" s="40" t="s">
        <v>80</v>
      </c>
      <c r="R19" s="40" t="s">
        <v>80</v>
      </c>
      <c r="S19" s="40" t="s">
        <v>80</v>
      </c>
      <c r="T19" s="14"/>
      <c r="U19" s="40" t="s">
        <v>44</v>
      </c>
      <c r="V19" s="42" t="s">
        <v>44</v>
      </c>
      <c r="W19" s="40" t="s">
        <v>44</v>
      </c>
      <c r="X19" s="40" t="s">
        <v>80</v>
      </c>
      <c r="Y19" s="40" t="s">
        <v>44</v>
      </c>
      <c r="Z19" s="40" t="s">
        <v>80</v>
      </c>
      <c r="AA19" s="14"/>
      <c r="AB19" s="40" t="s">
        <v>80</v>
      </c>
      <c r="AC19" s="40" t="s">
        <v>80</v>
      </c>
      <c r="AD19" s="40" t="s">
        <v>80</v>
      </c>
      <c r="AE19" s="40" t="s">
        <v>80</v>
      </c>
      <c r="AF19" s="40" t="s">
        <v>80</v>
      </c>
      <c r="AG19" s="40" t="s">
        <v>44</v>
      </c>
      <c r="AH19" s="14"/>
      <c r="AI19" s="40" t="s">
        <v>44</v>
      </c>
      <c r="AJ19" s="40" t="s">
        <v>44</v>
      </c>
      <c r="AK19" s="11"/>
      <c r="AL19" s="11"/>
      <c r="AM19" s="11"/>
      <c r="AN19" s="11"/>
      <c r="AO19" s="14"/>
      <c r="AP19" s="11"/>
      <c r="AQ19" s="11"/>
      <c r="AR19" s="11"/>
    </row>
    <row r="20">
      <c r="A20" s="33">
        <v>17.0</v>
      </c>
      <c r="B20" s="35" t="s">
        <v>326</v>
      </c>
      <c r="C20" s="43" t="s">
        <v>117</v>
      </c>
      <c r="D20" s="43" t="s">
        <v>118</v>
      </c>
      <c r="E20" s="8">
        <f t="shared" si="2"/>
        <v>22</v>
      </c>
      <c r="F20" s="8">
        <f t="shared" si="3"/>
        <v>1</v>
      </c>
      <c r="G20" s="8">
        <f t="shared" si="4"/>
        <v>23</v>
      </c>
      <c r="H20" s="39">
        <f t="shared" si="5"/>
        <v>95.65217391</v>
      </c>
      <c r="I20" s="11"/>
      <c r="J20" s="57" t="s">
        <v>80</v>
      </c>
      <c r="K20" s="40" t="s">
        <v>80</v>
      </c>
      <c r="L20" s="40" t="s">
        <v>80</v>
      </c>
      <c r="M20" s="14"/>
      <c r="N20" s="40" t="s">
        <v>80</v>
      </c>
      <c r="O20" s="40" t="s">
        <v>80</v>
      </c>
      <c r="P20" s="40" t="s">
        <v>80</v>
      </c>
      <c r="Q20" s="40" t="s">
        <v>80</v>
      </c>
      <c r="R20" s="40" t="s">
        <v>80</v>
      </c>
      <c r="S20" s="40" t="s">
        <v>80</v>
      </c>
      <c r="T20" s="14"/>
      <c r="U20" s="40" t="s">
        <v>80</v>
      </c>
      <c r="V20" s="42" t="s">
        <v>80</v>
      </c>
      <c r="W20" s="40" t="s">
        <v>80</v>
      </c>
      <c r="X20" s="40" t="s">
        <v>80</v>
      </c>
      <c r="Y20" s="40" t="s">
        <v>44</v>
      </c>
      <c r="Z20" s="40" t="s">
        <v>80</v>
      </c>
      <c r="AA20" s="14"/>
      <c r="AB20" s="40" t="s">
        <v>80</v>
      </c>
      <c r="AC20" s="40" t="s">
        <v>80</v>
      </c>
      <c r="AD20" s="40" t="s">
        <v>80</v>
      </c>
      <c r="AE20" s="40" t="s">
        <v>80</v>
      </c>
      <c r="AF20" s="40" t="s">
        <v>80</v>
      </c>
      <c r="AG20" s="40" t="s">
        <v>80</v>
      </c>
      <c r="AH20" s="14"/>
      <c r="AI20" s="40" t="s">
        <v>80</v>
      </c>
      <c r="AJ20" s="40" t="s">
        <v>80</v>
      </c>
      <c r="AK20" s="11"/>
      <c r="AL20" s="11"/>
      <c r="AM20" s="11"/>
      <c r="AN20" s="11"/>
      <c r="AO20" s="14"/>
      <c r="AP20" s="11"/>
      <c r="AQ20" s="11"/>
      <c r="AR20" s="11"/>
    </row>
    <row r="21">
      <c r="A21" s="33">
        <v>18.0</v>
      </c>
      <c r="B21" s="35" t="s">
        <v>346</v>
      </c>
      <c r="C21" s="37" t="s">
        <v>58</v>
      </c>
      <c r="D21" s="37" t="s">
        <v>119</v>
      </c>
      <c r="E21" s="8">
        <f t="shared" si="2"/>
        <v>12</v>
      </c>
      <c r="F21" s="8">
        <f t="shared" si="3"/>
        <v>11</v>
      </c>
      <c r="G21" s="8">
        <f t="shared" si="4"/>
        <v>23</v>
      </c>
      <c r="H21" s="39">
        <f t="shared" si="5"/>
        <v>52.17391304</v>
      </c>
      <c r="I21" s="11"/>
      <c r="J21" s="57" t="s">
        <v>80</v>
      </c>
      <c r="K21" s="40" t="s">
        <v>80</v>
      </c>
      <c r="L21" s="40" t="s">
        <v>80</v>
      </c>
      <c r="M21" s="14"/>
      <c r="N21" s="40" t="s">
        <v>80</v>
      </c>
      <c r="O21" s="40" t="s">
        <v>80</v>
      </c>
      <c r="P21" s="40" t="s">
        <v>80</v>
      </c>
      <c r="Q21" s="40" t="s">
        <v>80</v>
      </c>
      <c r="R21" s="40" t="s">
        <v>44</v>
      </c>
      <c r="S21" s="40" t="s">
        <v>80</v>
      </c>
      <c r="T21" s="14"/>
      <c r="U21" s="40" t="s">
        <v>44</v>
      </c>
      <c r="V21" s="55" t="s">
        <v>80</v>
      </c>
      <c r="W21" s="40" t="s">
        <v>80</v>
      </c>
      <c r="X21" s="40" t="s">
        <v>80</v>
      </c>
      <c r="Y21" s="40" t="s">
        <v>80</v>
      </c>
      <c r="Z21" s="40" t="s">
        <v>44</v>
      </c>
      <c r="AA21" s="14"/>
      <c r="AB21" s="40" t="s">
        <v>44</v>
      </c>
      <c r="AC21" s="40" t="s">
        <v>44</v>
      </c>
      <c r="AD21" s="40" t="s">
        <v>44</v>
      </c>
      <c r="AE21" s="40" t="s">
        <v>44</v>
      </c>
      <c r="AF21" s="40" t="s">
        <v>44</v>
      </c>
      <c r="AG21" s="40" t="s">
        <v>44</v>
      </c>
      <c r="AH21" s="14"/>
      <c r="AI21" s="40" t="s">
        <v>44</v>
      </c>
      <c r="AJ21" s="40" t="s">
        <v>44</v>
      </c>
      <c r="AK21" s="11"/>
      <c r="AL21" s="11"/>
      <c r="AM21" s="11"/>
      <c r="AN21" s="11"/>
      <c r="AO21" s="14"/>
      <c r="AP21" s="11"/>
      <c r="AQ21" s="11"/>
      <c r="AR21" s="11"/>
    </row>
    <row r="22">
      <c r="A22" s="33">
        <v>19.0</v>
      </c>
      <c r="B22" s="35" t="s">
        <v>365</v>
      </c>
      <c r="C22" s="43" t="s">
        <v>121</v>
      </c>
      <c r="D22" s="43" t="s">
        <v>122</v>
      </c>
      <c r="E22" s="8">
        <f t="shared" si="2"/>
        <v>21</v>
      </c>
      <c r="F22" s="8">
        <f t="shared" si="3"/>
        <v>2</v>
      </c>
      <c r="G22" s="8">
        <f t="shared" si="4"/>
        <v>23</v>
      </c>
      <c r="H22" s="39">
        <f t="shared" si="5"/>
        <v>91.30434783</v>
      </c>
      <c r="I22" s="11"/>
      <c r="J22" s="40" t="s">
        <v>80</v>
      </c>
      <c r="K22" s="40" t="s">
        <v>80</v>
      </c>
      <c r="L22" s="40" t="s">
        <v>80</v>
      </c>
      <c r="M22" s="14"/>
      <c r="N22" s="40" t="s">
        <v>80</v>
      </c>
      <c r="O22" s="40" t="s">
        <v>44</v>
      </c>
      <c r="P22" s="40" t="s">
        <v>80</v>
      </c>
      <c r="Q22" s="40" t="s">
        <v>44</v>
      </c>
      <c r="R22" s="40" t="s">
        <v>80</v>
      </c>
      <c r="S22" s="40" t="s">
        <v>80</v>
      </c>
      <c r="T22" s="14"/>
      <c r="U22" s="40" t="s">
        <v>80</v>
      </c>
      <c r="V22" s="42" t="s">
        <v>80</v>
      </c>
      <c r="W22" s="40" t="s">
        <v>80</v>
      </c>
      <c r="X22" s="40" t="s">
        <v>80</v>
      </c>
      <c r="Y22" s="40" t="s">
        <v>80</v>
      </c>
      <c r="Z22" s="40" t="s">
        <v>80</v>
      </c>
      <c r="AA22" s="14"/>
      <c r="AB22" s="40" t="s">
        <v>80</v>
      </c>
      <c r="AC22" s="40" t="s">
        <v>80</v>
      </c>
      <c r="AD22" s="40" t="s">
        <v>80</v>
      </c>
      <c r="AE22" s="40" t="s">
        <v>80</v>
      </c>
      <c r="AF22" s="40" t="s">
        <v>80</v>
      </c>
      <c r="AG22" s="40" t="s">
        <v>80</v>
      </c>
      <c r="AH22" s="14"/>
      <c r="AI22" s="40" t="s">
        <v>80</v>
      </c>
      <c r="AJ22" s="40" t="s">
        <v>80</v>
      </c>
      <c r="AK22" s="11"/>
      <c r="AL22" s="11"/>
      <c r="AM22" s="11"/>
      <c r="AN22" s="11"/>
      <c r="AO22" s="14"/>
      <c r="AP22" s="11"/>
      <c r="AQ22" s="11"/>
      <c r="AR22" s="11"/>
    </row>
    <row r="23">
      <c r="A23" s="33">
        <v>20.0</v>
      </c>
      <c r="B23" s="35" t="s">
        <v>385</v>
      </c>
      <c r="C23" s="43" t="s">
        <v>123</v>
      </c>
      <c r="D23" s="43" t="s">
        <v>124</v>
      </c>
      <c r="E23" s="8">
        <f t="shared" si="2"/>
        <v>16</v>
      </c>
      <c r="F23" s="8">
        <f t="shared" si="3"/>
        <v>7</v>
      </c>
      <c r="G23" s="8">
        <f t="shared" si="4"/>
        <v>23</v>
      </c>
      <c r="H23" s="39">
        <f t="shared" si="5"/>
        <v>69.56521739</v>
      </c>
      <c r="I23" s="11"/>
      <c r="J23" s="40" t="s">
        <v>44</v>
      </c>
      <c r="K23" s="40" t="s">
        <v>80</v>
      </c>
      <c r="L23" s="40" t="s">
        <v>80</v>
      </c>
      <c r="M23" s="14"/>
      <c r="N23" s="40" t="s">
        <v>80</v>
      </c>
      <c r="O23" s="40" t="s">
        <v>80</v>
      </c>
      <c r="P23" s="40" t="s">
        <v>80</v>
      </c>
      <c r="Q23" s="40" t="s">
        <v>80</v>
      </c>
      <c r="R23" s="40" t="s">
        <v>80</v>
      </c>
      <c r="S23" s="40" t="s">
        <v>80</v>
      </c>
      <c r="T23" s="14"/>
      <c r="U23" s="40" t="s">
        <v>80</v>
      </c>
      <c r="V23" s="55" t="s">
        <v>80</v>
      </c>
      <c r="W23" s="40" t="s">
        <v>44</v>
      </c>
      <c r="X23" s="40" t="s">
        <v>80</v>
      </c>
      <c r="Y23" s="40" t="s">
        <v>80</v>
      </c>
      <c r="Z23" s="40" t="s">
        <v>44</v>
      </c>
      <c r="AA23" s="14"/>
      <c r="AB23" s="40" t="s">
        <v>44</v>
      </c>
      <c r="AC23" s="40" t="s">
        <v>44</v>
      </c>
      <c r="AD23" s="40" t="s">
        <v>44</v>
      </c>
      <c r="AE23" s="40" t="s">
        <v>80</v>
      </c>
      <c r="AF23" s="40" t="s">
        <v>44</v>
      </c>
      <c r="AG23" s="40" t="s">
        <v>80</v>
      </c>
      <c r="AH23" s="14"/>
      <c r="AI23" s="40" t="s">
        <v>80</v>
      </c>
      <c r="AJ23" s="40" t="s">
        <v>80</v>
      </c>
      <c r="AK23" s="11"/>
      <c r="AL23" s="11"/>
      <c r="AM23" s="11"/>
      <c r="AN23" s="11"/>
      <c r="AO23" s="14"/>
      <c r="AP23" s="11"/>
      <c r="AQ23" s="11"/>
      <c r="AR23" s="11"/>
    </row>
    <row r="24">
      <c r="A24" s="33">
        <v>21.0</v>
      </c>
      <c r="B24" s="35" t="s">
        <v>403</v>
      </c>
      <c r="C24" s="43" t="s">
        <v>125</v>
      </c>
      <c r="D24" s="43" t="s">
        <v>126</v>
      </c>
      <c r="E24" s="8">
        <f t="shared" si="2"/>
        <v>21</v>
      </c>
      <c r="F24" s="8">
        <f t="shared" si="3"/>
        <v>2</v>
      </c>
      <c r="G24" s="8">
        <f t="shared" si="4"/>
        <v>23</v>
      </c>
      <c r="H24" s="39">
        <f t="shared" si="5"/>
        <v>91.30434783</v>
      </c>
      <c r="I24" s="11"/>
      <c r="J24" s="40" t="s">
        <v>80</v>
      </c>
      <c r="K24" s="40" t="s">
        <v>80</v>
      </c>
      <c r="L24" s="40" t="s">
        <v>80</v>
      </c>
      <c r="M24" s="14"/>
      <c r="N24" s="40" t="s">
        <v>80</v>
      </c>
      <c r="O24" s="40" t="s">
        <v>80</v>
      </c>
      <c r="P24" s="40" t="s">
        <v>80</v>
      </c>
      <c r="Q24" s="40" t="s">
        <v>80</v>
      </c>
      <c r="R24" s="40" t="s">
        <v>80</v>
      </c>
      <c r="S24" s="40" t="s">
        <v>80</v>
      </c>
      <c r="T24" s="14"/>
      <c r="U24" s="40" t="s">
        <v>80</v>
      </c>
      <c r="V24" s="42" t="s">
        <v>80</v>
      </c>
      <c r="W24" s="40" t="s">
        <v>80</v>
      </c>
      <c r="X24" s="40" t="s">
        <v>80</v>
      </c>
      <c r="Y24" s="40" t="s">
        <v>80</v>
      </c>
      <c r="Z24" s="40" t="s">
        <v>80</v>
      </c>
      <c r="AA24" s="14"/>
      <c r="AB24" s="40" t="s">
        <v>80</v>
      </c>
      <c r="AC24" s="40" t="s">
        <v>80</v>
      </c>
      <c r="AD24" s="40" t="s">
        <v>80</v>
      </c>
      <c r="AE24" s="40" t="s">
        <v>80</v>
      </c>
      <c r="AF24" s="40" t="s">
        <v>80</v>
      </c>
      <c r="AG24" s="40" t="s">
        <v>80</v>
      </c>
      <c r="AH24" s="14"/>
      <c r="AI24" s="40" t="s">
        <v>44</v>
      </c>
      <c r="AJ24" s="40" t="s">
        <v>44</v>
      </c>
      <c r="AK24" s="11"/>
      <c r="AL24" s="11"/>
      <c r="AM24" s="11"/>
      <c r="AN24" s="11"/>
      <c r="AO24" s="14"/>
      <c r="AP24" s="11"/>
      <c r="AQ24" s="11"/>
      <c r="AR24" s="11"/>
    </row>
    <row r="25">
      <c r="A25" s="33">
        <v>22.0</v>
      </c>
      <c r="B25" s="35" t="s">
        <v>419</v>
      </c>
      <c r="C25" s="43" t="s">
        <v>127</v>
      </c>
      <c r="D25" s="43" t="s">
        <v>129</v>
      </c>
      <c r="E25" s="8">
        <f t="shared" si="2"/>
        <v>22</v>
      </c>
      <c r="F25" s="8">
        <f t="shared" si="3"/>
        <v>1</v>
      </c>
      <c r="G25" s="8">
        <f t="shared" si="4"/>
        <v>23</v>
      </c>
      <c r="H25" s="39">
        <f t="shared" si="5"/>
        <v>95.65217391</v>
      </c>
      <c r="I25" s="11"/>
      <c r="J25" s="40" t="s">
        <v>80</v>
      </c>
      <c r="K25" s="40" t="s">
        <v>80</v>
      </c>
      <c r="L25" s="40" t="s">
        <v>80</v>
      </c>
      <c r="M25" s="14"/>
      <c r="N25" s="40" t="s">
        <v>80</v>
      </c>
      <c r="O25" s="40" t="s">
        <v>80</v>
      </c>
      <c r="P25" s="40" t="s">
        <v>80</v>
      </c>
      <c r="Q25" s="40" t="s">
        <v>80</v>
      </c>
      <c r="R25" s="40" t="s">
        <v>80</v>
      </c>
      <c r="S25" s="40" t="s">
        <v>80</v>
      </c>
      <c r="T25" s="14"/>
      <c r="U25" s="40" t="s">
        <v>80</v>
      </c>
      <c r="V25" s="42" t="s">
        <v>80</v>
      </c>
      <c r="W25" s="40" t="s">
        <v>80</v>
      </c>
      <c r="X25" s="40" t="s">
        <v>80</v>
      </c>
      <c r="Y25" s="40" t="s">
        <v>80</v>
      </c>
      <c r="Z25" s="40" t="s">
        <v>80</v>
      </c>
      <c r="AA25" s="14"/>
      <c r="AB25" s="40" t="s">
        <v>80</v>
      </c>
      <c r="AC25" s="40" t="s">
        <v>80</v>
      </c>
      <c r="AD25" s="40" t="s">
        <v>80</v>
      </c>
      <c r="AE25" s="40" t="s">
        <v>80</v>
      </c>
      <c r="AF25" s="40" t="s">
        <v>80</v>
      </c>
      <c r="AG25" s="40" t="s">
        <v>80</v>
      </c>
      <c r="AH25" s="14"/>
      <c r="AI25" s="40" t="s">
        <v>80</v>
      </c>
      <c r="AJ25" s="40" t="s">
        <v>44</v>
      </c>
      <c r="AK25" s="11"/>
      <c r="AL25" s="11"/>
      <c r="AM25" s="11"/>
      <c r="AN25" s="11"/>
      <c r="AO25" s="14"/>
      <c r="AP25" s="11"/>
      <c r="AQ25" s="11"/>
      <c r="AR25" s="11"/>
    </row>
    <row r="26">
      <c r="A26" s="33">
        <v>23.0</v>
      </c>
      <c r="B26" s="35" t="s">
        <v>443</v>
      </c>
      <c r="C26" s="43" t="s">
        <v>132</v>
      </c>
      <c r="D26" s="43" t="s">
        <v>133</v>
      </c>
      <c r="E26" s="8">
        <f t="shared" si="2"/>
        <v>20</v>
      </c>
      <c r="F26" s="8">
        <f t="shared" si="3"/>
        <v>3</v>
      </c>
      <c r="G26" s="8">
        <f t="shared" si="4"/>
        <v>23</v>
      </c>
      <c r="H26" s="39">
        <f t="shared" si="5"/>
        <v>86.95652174</v>
      </c>
      <c r="I26" s="11"/>
      <c r="J26" s="61" t="s">
        <v>193</v>
      </c>
      <c r="K26" s="40" t="s">
        <v>193</v>
      </c>
      <c r="L26" s="40" t="s">
        <v>80</v>
      </c>
      <c r="M26" s="14"/>
      <c r="N26" s="40" t="s">
        <v>193</v>
      </c>
      <c r="O26" s="40" t="s">
        <v>80</v>
      </c>
      <c r="P26" s="40" t="s">
        <v>80</v>
      </c>
      <c r="Q26" s="40" t="s">
        <v>44</v>
      </c>
      <c r="R26" s="40" t="s">
        <v>193</v>
      </c>
      <c r="S26" s="40" t="s">
        <v>193</v>
      </c>
      <c r="T26" s="14"/>
      <c r="U26" s="40" t="s">
        <v>193</v>
      </c>
      <c r="V26" s="55" t="s">
        <v>193</v>
      </c>
      <c r="W26" s="40" t="s">
        <v>193</v>
      </c>
      <c r="X26" s="40" t="s">
        <v>80</v>
      </c>
      <c r="Y26" s="40" t="s">
        <v>80</v>
      </c>
      <c r="Z26" s="40" t="s">
        <v>193</v>
      </c>
      <c r="AA26" s="14"/>
      <c r="AB26" s="40" t="s">
        <v>193</v>
      </c>
      <c r="AC26" s="40" t="s">
        <v>80</v>
      </c>
      <c r="AD26" s="40" t="s">
        <v>44</v>
      </c>
      <c r="AE26" s="40" t="s">
        <v>193</v>
      </c>
      <c r="AF26" s="40" t="s">
        <v>80</v>
      </c>
      <c r="AG26" s="40" t="s">
        <v>80</v>
      </c>
      <c r="AH26" s="14"/>
      <c r="AI26" s="40" t="s">
        <v>44</v>
      </c>
      <c r="AJ26" s="40" t="s">
        <v>80</v>
      </c>
      <c r="AK26" s="11"/>
      <c r="AL26" s="11"/>
      <c r="AM26" s="11"/>
      <c r="AN26" s="11"/>
      <c r="AO26" s="14"/>
      <c r="AP26" s="11"/>
      <c r="AQ26" s="11"/>
      <c r="AR26" s="11"/>
    </row>
    <row r="27">
      <c r="A27" s="33">
        <v>24.0</v>
      </c>
      <c r="B27" s="35" t="s">
        <v>461</v>
      </c>
      <c r="C27" s="43" t="s">
        <v>134</v>
      </c>
      <c r="D27" s="43" t="s">
        <v>135</v>
      </c>
      <c r="E27" s="8">
        <f t="shared" si="2"/>
        <v>23</v>
      </c>
      <c r="F27" s="8">
        <f t="shared" si="3"/>
        <v>0</v>
      </c>
      <c r="G27" s="8">
        <f t="shared" si="4"/>
        <v>23</v>
      </c>
      <c r="H27" s="39">
        <f t="shared" si="5"/>
        <v>100</v>
      </c>
      <c r="I27" s="11"/>
      <c r="J27" s="40" t="s">
        <v>80</v>
      </c>
      <c r="K27" s="40" t="s">
        <v>80</v>
      </c>
      <c r="L27" s="40" t="s">
        <v>80</v>
      </c>
      <c r="M27" s="14"/>
      <c r="N27" s="40" t="s">
        <v>80</v>
      </c>
      <c r="O27" s="40" t="s">
        <v>80</v>
      </c>
      <c r="P27" s="40" t="s">
        <v>80</v>
      </c>
      <c r="Q27" s="40" t="s">
        <v>80</v>
      </c>
      <c r="R27" s="40" t="s">
        <v>80</v>
      </c>
      <c r="S27" s="40" t="s">
        <v>80</v>
      </c>
      <c r="T27" s="14"/>
      <c r="U27" s="40" t="s">
        <v>80</v>
      </c>
      <c r="V27" s="42" t="s">
        <v>80</v>
      </c>
      <c r="W27" s="40" t="s">
        <v>80</v>
      </c>
      <c r="X27" s="40" t="s">
        <v>80</v>
      </c>
      <c r="Y27" s="40" t="s">
        <v>80</v>
      </c>
      <c r="Z27" s="40" t="s">
        <v>80</v>
      </c>
      <c r="AA27" s="14"/>
      <c r="AB27" s="40" t="s">
        <v>80</v>
      </c>
      <c r="AC27" s="40" t="s">
        <v>80</v>
      </c>
      <c r="AD27" s="40" t="s">
        <v>80</v>
      </c>
      <c r="AE27" s="40" t="s">
        <v>80</v>
      </c>
      <c r="AF27" s="40" t="s">
        <v>80</v>
      </c>
      <c r="AG27" s="40" t="s">
        <v>80</v>
      </c>
      <c r="AH27" s="14"/>
      <c r="AI27" s="40" t="s">
        <v>80</v>
      </c>
      <c r="AJ27" s="40" t="s">
        <v>80</v>
      </c>
      <c r="AK27" s="11"/>
      <c r="AL27" s="11"/>
      <c r="AM27" s="11"/>
      <c r="AN27" s="11"/>
      <c r="AO27" s="14"/>
      <c r="AP27" s="11"/>
      <c r="AQ27" s="11"/>
      <c r="AR27" s="11"/>
    </row>
    <row r="28">
      <c r="A28" s="33">
        <v>25.0</v>
      </c>
      <c r="B28" s="35" t="s">
        <v>483</v>
      </c>
      <c r="C28" s="37" t="s">
        <v>136</v>
      </c>
      <c r="D28" s="37" t="s">
        <v>137</v>
      </c>
      <c r="E28" s="8">
        <f t="shared" si="2"/>
        <v>3</v>
      </c>
      <c r="F28" s="8">
        <f t="shared" si="3"/>
        <v>20</v>
      </c>
      <c r="G28" s="8">
        <f t="shared" si="4"/>
        <v>23</v>
      </c>
      <c r="H28" s="39">
        <f t="shared" si="5"/>
        <v>13.04347826</v>
      </c>
      <c r="I28" s="11"/>
      <c r="J28" s="40" t="s">
        <v>44</v>
      </c>
      <c r="K28" s="40" t="s">
        <v>80</v>
      </c>
      <c r="L28" s="40" t="s">
        <v>44</v>
      </c>
      <c r="M28" s="14"/>
      <c r="N28" s="40" t="s">
        <v>44</v>
      </c>
      <c r="O28" s="40" t="s">
        <v>44</v>
      </c>
      <c r="P28" s="40" t="s">
        <v>44</v>
      </c>
      <c r="Q28" s="40" t="s">
        <v>80</v>
      </c>
      <c r="R28" s="40" t="s">
        <v>44</v>
      </c>
      <c r="S28" s="40" t="s">
        <v>44</v>
      </c>
      <c r="T28" s="14"/>
      <c r="U28" s="40" t="s">
        <v>44</v>
      </c>
      <c r="V28" s="42" t="s">
        <v>44</v>
      </c>
      <c r="W28" s="40" t="s">
        <v>44</v>
      </c>
      <c r="X28" s="40" t="s">
        <v>44</v>
      </c>
      <c r="Y28" s="40" t="s">
        <v>44</v>
      </c>
      <c r="Z28" s="40" t="s">
        <v>44</v>
      </c>
      <c r="AA28" s="14"/>
      <c r="AB28" s="40" t="s">
        <v>44</v>
      </c>
      <c r="AC28" s="40" t="s">
        <v>80</v>
      </c>
      <c r="AD28" s="40" t="s">
        <v>44</v>
      </c>
      <c r="AE28" s="40" t="s">
        <v>44</v>
      </c>
      <c r="AF28" s="40" t="s">
        <v>44</v>
      </c>
      <c r="AG28" s="40" t="s">
        <v>44</v>
      </c>
      <c r="AH28" s="14"/>
      <c r="AI28" s="40" t="s">
        <v>44</v>
      </c>
      <c r="AJ28" s="40" t="s">
        <v>44</v>
      </c>
      <c r="AK28" s="11"/>
      <c r="AL28" s="11"/>
      <c r="AM28" s="11"/>
      <c r="AN28" s="11"/>
      <c r="AO28" s="14"/>
      <c r="AP28" s="11"/>
      <c r="AQ28" s="11"/>
      <c r="AR28" s="11"/>
    </row>
    <row r="29">
      <c r="A29" s="33">
        <v>26.0</v>
      </c>
      <c r="B29" s="35" t="s">
        <v>502</v>
      </c>
      <c r="C29" s="43" t="s">
        <v>139</v>
      </c>
      <c r="D29" s="43" t="s">
        <v>140</v>
      </c>
      <c r="E29" s="8">
        <f t="shared" si="2"/>
        <v>13</v>
      </c>
      <c r="F29" s="8">
        <f t="shared" si="3"/>
        <v>10</v>
      </c>
      <c r="G29" s="8">
        <f t="shared" si="4"/>
        <v>23</v>
      </c>
      <c r="H29" s="39">
        <f t="shared" si="5"/>
        <v>56.52173913</v>
      </c>
      <c r="I29" s="11"/>
      <c r="J29" s="40" t="s">
        <v>44</v>
      </c>
      <c r="K29" s="40" t="s">
        <v>44</v>
      </c>
      <c r="L29" s="40" t="s">
        <v>80</v>
      </c>
      <c r="M29" s="14"/>
      <c r="N29" s="40" t="s">
        <v>80</v>
      </c>
      <c r="O29" s="40" t="s">
        <v>80</v>
      </c>
      <c r="P29" s="40" t="s">
        <v>44</v>
      </c>
      <c r="Q29" s="40" t="s">
        <v>44</v>
      </c>
      <c r="R29" s="40" t="s">
        <v>80</v>
      </c>
      <c r="S29" s="40" t="s">
        <v>44</v>
      </c>
      <c r="T29" s="14"/>
      <c r="U29" s="40" t="s">
        <v>80</v>
      </c>
      <c r="V29" s="42" t="s">
        <v>80</v>
      </c>
      <c r="W29" s="40" t="s">
        <v>80</v>
      </c>
      <c r="X29" s="40" t="s">
        <v>80</v>
      </c>
      <c r="Y29" s="40" t="s">
        <v>44</v>
      </c>
      <c r="Z29" s="40" t="s">
        <v>44</v>
      </c>
      <c r="AA29" s="14"/>
      <c r="AB29" s="40" t="s">
        <v>80</v>
      </c>
      <c r="AC29" s="40" t="s">
        <v>80</v>
      </c>
      <c r="AD29" s="40" t="s">
        <v>80</v>
      </c>
      <c r="AE29" s="40" t="s">
        <v>80</v>
      </c>
      <c r="AF29" s="40" t="s">
        <v>80</v>
      </c>
      <c r="AG29" s="40" t="s">
        <v>44</v>
      </c>
      <c r="AH29" s="14"/>
      <c r="AI29" s="40" t="s">
        <v>44</v>
      </c>
      <c r="AJ29" s="40" t="s">
        <v>44</v>
      </c>
      <c r="AK29" s="11"/>
      <c r="AL29" s="11"/>
      <c r="AM29" s="11"/>
      <c r="AN29" s="11"/>
      <c r="AO29" s="14"/>
      <c r="AP29" s="11"/>
      <c r="AQ29" s="11"/>
      <c r="AR29" s="11"/>
    </row>
    <row r="30">
      <c r="A30" s="33">
        <v>27.0</v>
      </c>
      <c r="B30" s="35" t="s">
        <v>515</v>
      </c>
      <c r="C30" s="43" t="s">
        <v>141</v>
      </c>
      <c r="D30" s="43" t="s">
        <v>142</v>
      </c>
      <c r="E30" s="8">
        <f t="shared" si="2"/>
        <v>3</v>
      </c>
      <c r="F30" s="8">
        <f t="shared" si="3"/>
        <v>20</v>
      </c>
      <c r="G30" s="8">
        <f t="shared" si="4"/>
        <v>23</v>
      </c>
      <c r="H30" s="39">
        <f t="shared" si="5"/>
        <v>13.04347826</v>
      </c>
      <c r="I30" s="11"/>
      <c r="J30" s="40" t="s">
        <v>80</v>
      </c>
      <c r="K30" s="40" t="s">
        <v>80</v>
      </c>
      <c r="L30" s="40" t="s">
        <v>44</v>
      </c>
      <c r="M30" s="14"/>
      <c r="N30" s="40" t="s">
        <v>44</v>
      </c>
      <c r="O30" s="40" t="s">
        <v>44</v>
      </c>
      <c r="P30" s="40" t="s">
        <v>44</v>
      </c>
      <c r="Q30" s="40" t="s">
        <v>44</v>
      </c>
      <c r="R30" s="40" t="s">
        <v>80</v>
      </c>
      <c r="S30" s="40" t="s">
        <v>44</v>
      </c>
      <c r="T30" s="14"/>
      <c r="U30" s="40" t="s">
        <v>44</v>
      </c>
      <c r="V30" s="42" t="s">
        <v>44</v>
      </c>
      <c r="W30" s="40" t="s">
        <v>44</v>
      </c>
      <c r="X30" s="40" t="s">
        <v>44</v>
      </c>
      <c r="Y30" s="40" t="s">
        <v>44</v>
      </c>
      <c r="Z30" s="40" t="s">
        <v>44</v>
      </c>
      <c r="AA30" s="14"/>
      <c r="AB30" s="40" t="s">
        <v>44</v>
      </c>
      <c r="AC30" s="40" t="s">
        <v>44</v>
      </c>
      <c r="AD30" s="40" t="s">
        <v>44</v>
      </c>
      <c r="AE30" s="40" t="s">
        <v>44</v>
      </c>
      <c r="AF30" s="40" t="s">
        <v>44</v>
      </c>
      <c r="AG30" s="40" t="s">
        <v>44</v>
      </c>
      <c r="AH30" s="14"/>
      <c r="AI30" s="40" t="s">
        <v>44</v>
      </c>
      <c r="AJ30" s="40" t="s">
        <v>44</v>
      </c>
      <c r="AK30" s="11"/>
      <c r="AL30" s="11"/>
      <c r="AM30" s="11"/>
      <c r="AN30" s="11"/>
      <c r="AO30" s="14"/>
      <c r="AP30" s="11"/>
      <c r="AQ30" s="11"/>
      <c r="AR30" s="11"/>
    </row>
    <row r="31">
      <c r="A31" s="33">
        <v>28.0</v>
      </c>
      <c r="B31" s="35" t="s">
        <v>532</v>
      </c>
      <c r="C31" s="43" t="s">
        <v>143</v>
      </c>
      <c r="D31" s="43" t="s">
        <v>144</v>
      </c>
      <c r="E31" s="8">
        <f t="shared" si="2"/>
        <v>19</v>
      </c>
      <c r="F31" s="8">
        <f t="shared" si="3"/>
        <v>4</v>
      </c>
      <c r="G31" s="8">
        <f t="shared" si="4"/>
        <v>23</v>
      </c>
      <c r="H31" s="39">
        <f t="shared" si="5"/>
        <v>82.60869565</v>
      </c>
      <c r="I31" s="11"/>
      <c r="J31" s="40" t="s">
        <v>80</v>
      </c>
      <c r="K31" s="40" t="s">
        <v>80</v>
      </c>
      <c r="L31" s="40" t="s">
        <v>80</v>
      </c>
      <c r="M31" s="14"/>
      <c r="N31" s="40" t="s">
        <v>80</v>
      </c>
      <c r="O31" s="40" t="s">
        <v>80</v>
      </c>
      <c r="P31" s="40" t="s">
        <v>80</v>
      </c>
      <c r="Q31" s="40" t="s">
        <v>80</v>
      </c>
      <c r="R31" s="40" t="s">
        <v>80</v>
      </c>
      <c r="S31" s="40" t="s">
        <v>80</v>
      </c>
      <c r="T31" s="14"/>
      <c r="U31" s="40" t="s">
        <v>80</v>
      </c>
      <c r="V31" s="42" t="s">
        <v>80</v>
      </c>
      <c r="W31" s="40" t="s">
        <v>80</v>
      </c>
      <c r="X31" s="40" t="s">
        <v>80</v>
      </c>
      <c r="Y31" s="40" t="s">
        <v>80</v>
      </c>
      <c r="Z31" s="40" t="s">
        <v>80</v>
      </c>
      <c r="AA31" s="14"/>
      <c r="AB31" s="40" t="s">
        <v>44</v>
      </c>
      <c r="AC31" s="40" t="s">
        <v>80</v>
      </c>
      <c r="AD31" s="40" t="s">
        <v>80</v>
      </c>
      <c r="AE31" s="40" t="s">
        <v>80</v>
      </c>
      <c r="AF31" s="40" t="s">
        <v>80</v>
      </c>
      <c r="AG31" s="40" t="s">
        <v>44</v>
      </c>
      <c r="AH31" s="14"/>
      <c r="AI31" s="40" t="s">
        <v>44</v>
      </c>
      <c r="AJ31" s="40" t="s">
        <v>44</v>
      </c>
      <c r="AK31" s="11"/>
      <c r="AL31" s="11"/>
      <c r="AM31" s="11"/>
      <c r="AN31" s="11"/>
      <c r="AO31" s="14"/>
      <c r="AP31" s="11"/>
      <c r="AQ31" s="11"/>
      <c r="AR31" s="11"/>
    </row>
    <row r="32">
      <c r="A32" s="33">
        <v>29.0</v>
      </c>
      <c r="B32" s="35" t="s">
        <v>549</v>
      </c>
      <c r="C32" s="43" t="s">
        <v>146</v>
      </c>
      <c r="D32" s="43" t="s">
        <v>147</v>
      </c>
      <c r="E32" s="8">
        <f t="shared" si="2"/>
        <v>14</v>
      </c>
      <c r="F32" s="8">
        <f t="shared" si="3"/>
        <v>9</v>
      </c>
      <c r="G32" s="8">
        <f t="shared" si="4"/>
        <v>23</v>
      </c>
      <c r="H32" s="39">
        <f t="shared" si="5"/>
        <v>60.86956522</v>
      </c>
      <c r="I32" s="11"/>
      <c r="J32" s="40" t="s">
        <v>80</v>
      </c>
      <c r="K32" s="40" t="s">
        <v>80</v>
      </c>
      <c r="L32" s="40" t="s">
        <v>80</v>
      </c>
      <c r="M32" s="14"/>
      <c r="N32" s="40" t="s">
        <v>80</v>
      </c>
      <c r="O32" s="40" t="s">
        <v>44</v>
      </c>
      <c r="P32" s="40" t="s">
        <v>44</v>
      </c>
      <c r="Q32" s="40" t="s">
        <v>80</v>
      </c>
      <c r="R32" s="40" t="s">
        <v>44</v>
      </c>
      <c r="S32" s="40" t="s">
        <v>80</v>
      </c>
      <c r="T32" s="14"/>
      <c r="U32" s="40" t="s">
        <v>44</v>
      </c>
      <c r="V32" s="42" t="s">
        <v>44</v>
      </c>
      <c r="W32" s="40" t="s">
        <v>44</v>
      </c>
      <c r="X32" s="40" t="s">
        <v>80</v>
      </c>
      <c r="Y32" s="40" t="s">
        <v>80</v>
      </c>
      <c r="Z32" s="40" t="s">
        <v>80</v>
      </c>
      <c r="AA32" s="14"/>
      <c r="AB32" s="40" t="s">
        <v>80</v>
      </c>
      <c r="AC32" s="40" t="s">
        <v>44</v>
      </c>
      <c r="AD32" s="40" t="s">
        <v>80</v>
      </c>
      <c r="AE32" s="40" t="s">
        <v>80</v>
      </c>
      <c r="AF32" s="40" t="s">
        <v>44</v>
      </c>
      <c r="AG32" s="40" t="s">
        <v>80</v>
      </c>
      <c r="AH32" s="14"/>
      <c r="AI32" s="40" t="s">
        <v>44</v>
      </c>
      <c r="AJ32" s="40" t="s">
        <v>80</v>
      </c>
      <c r="AK32" s="11"/>
      <c r="AL32" s="11"/>
      <c r="AM32" s="11"/>
      <c r="AN32" s="11"/>
      <c r="AO32" s="14"/>
      <c r="AP32" s="11"/>
      <c r="AQ32" s="11"/>
      <c r="AR32" s="11"/>
    </row>
    <row r="33">
      <c r="A33" s="33">
        <v>30.0</v>
      </c>
      <c r="B33" s="35" t="s">
        <v>565</v>
      </c>
      <c r="C33" s="43" t="s">
        <v>149</v>
      </c>
      <c r="D33" s="43" t="s">
        <v>150</v>
      </c>
      <c r="E33" s="8">
        <f t="shared" si="2"/>
        <v>18</v>
      </c>
      <c r="F33" s="8">
        <f t="shared" si="3"/>
        <v>5</v>
      </c>
      <c r="G33" s="8">
        <f t="shared" si="4"/>
        <v>23</v>
      </c>
      <c r="H33" s="39">
        <f t="shared" si="5"/>
        <v>78.26086957</v>
      </c>
      <c r="I33" s="11"/>
      <c r="J33" s="40" t="s">
        <v>80</v>
      </c>
      <c r="K33" s="40" t="s">
        <v>80</v>
      </c>
      <c r="L33" s="40" t="s">
        <v>80</v>
      </c>
      <c r="M33" s="14"/>
      <c r="N33" s="40" t="s">
        <v>80</v>
      </c>
      <c r="O33" s="40" t="s">
        <v>44</v>
      </c>
      <c r="P33" s="40" t="s">
        <v>44</v>
      </c>
      <c r="Q33" s="40" t="s">
        <v>80</v>
      </c>
      <c r="R33" s="40" t="s">
        <v>80</v>
      </c>
      <c r="S33" s="40" t="s">
        <v>80</v>
      </c>
      <c r="T33" s="14"/>
      <c r="U33" s="40" t="s">
        <v>80</v>
      </c>
      <c r="V33" s="42" t="s">
        <v>80</v>
      </c>
      <c r="W33" s="40" t="s">
        <v>80</v>
      </c>
      <c r="X33" s="40" t="s">
        <v>80</v>
      </c>
      <c r="Y33" s="40" t="s">
        <v>80</v>
      </c>
      <c r="Z33" s="40" t="s">
        <v>44</v>
      </c>
      <c r="AA33" s="14"/>
      <c r="AB33" s="40" t="s">
        <v>80</v>
      </c>
      <c r="AC33" s="40" t="s">
        <v>80</v>
      </c>
      <c r="AD33" s="40" t="s">
        <v>80</v>
      </c>
      <c r="AE33" s="40" t="s">
        <v>80</v>
      </c>
      <c r="AF33" s="40" t="s">
        <v>80</v>
      </c>
      <c r="AG33" s="40" t="s">
        <v>80</v>
      </c>
      <c r="AH33" s="14"/>
      <c r="AI33" s="40" t="s">
        <v>44</v>
      </c>
      <c r="AJ33" s="40" t="s">
        <v>44</v>
      </c>
      <c r="AK33" s="11"/>
      <c r="AL33" s="11"/>
      <c r="AM33" s="11"/>
      <c r="AN33" s="11"/>
      <c r="AO33" s="14"/>
      <c r="AP33" s="11"/>
      <c r="AQ33" s="11"/>
      <c r="AR33" s="11"/>
    </row>
    <row r="34">
      <c r="A34" s="33">
        <v>31.0</v>
      </c>
      <c r="B34" s="35" t="s">
        <v>576</v>
      </c>
      <c r="C34" s="43" t="s">
        <v>236</v>
      </c>
      <c r="D34" s="43" t="s">
        <v>237</v>
      </c>
      <c r="E34" s="8">
        <f t="shared" si="2"/>
        <v>2</v>
      </c>
      <c r="F34" s="8">
        <f t="shared" si="3"/>
        <v>21</v>
      </c>
      <c r="G34" s="8">
        <f t="shared" si="4"/>
        <v>23</v>
      </c>
      <c r="H34" s="39">
        <f t="shared" si="5"/>
        <v>8.695652174</v>
      </c>
      <c r="I34" s="11"/>
      <c r="J34" s="40" t="s">
        <v>44</v>
      </c>
      <c r="K34" s="40" t="s">
        <v>44</v>
      </c>
      <c r="L34" s="40" t="s">
        <v>44</v>
      </c>
      <c r="M34" s="14"/>
      <c r="N34" s="40" t="s">
        <v>44</v>
      </c>
      <c r="O34" s="40" t="s">
        <v>44</v>
      </c>
      <c r="P34" s="40" t="s">
        <v>44</v>
      </c>
      <c r="Q34" s="40" t="s">
        <v>80</v>
      </c>
      <c r="R34" s="40" t="s">
        <v>44</v>
      </c>
      <c r="S34" s="40" t="s">
        <v>44</v>
      </c>
      <c r="T34" s="14"/>
      <c r="U34" s="40" t="s">
        <v>44</v>
      </c>
      <c r="V34" s="42" t="s">
        <v>44</v>
      </c>
      <c r="W34" s="40" t="s">
        <v>44</v>
      </c>
      <c r="X34" s="40" t="s">
        <v>44</v>
      </c>
      <c r="Y34" s="40" t="s">
        <v>44</v>
      </c>
      <c r="Z34" s="40" t="s">
        <v>44</v>
      </c>
      <c r="AA34" s="14"/>
      <c r="AB34" s="40" t="s">
        <v>44</v>
      </c>
      <c r="AC34" s="40" t="s">
        <v>44</v>
      </c>
      <c r="AD34" s="40" t="s">
        <v>44</v>
      </c>
      <c r="AE34" s="40" t="s">
        <v>44</v>
      </c>
      <c r="AF34" s="40" t="s">
        <v>44</v>
      </c>
      <c r="AG34" s="40" t="s">
        <v>44</v>
      </c>
      <c r="AH34" s="14"/>
      <c r="AI34" s="40" t="s">
        <v>80</v>
      </c>
      <c r="AJ34" s="40" t="s">
        <v>44</v>
      </c>
      <c r="AK34" s="11"/>
      <c r="AL34" s="11"/>
      <c r="AM34" s="11"/>
      <c r="AN34" s="11"/>
      <c r="AO34" s="14"/>
      <c r="AP34" s="11"/>
      <c r="AQ34" s="11"/>
      <c r="AR34" s="11"/>
    </row>
    <row r="35">
      <c r="A35" s="33">
        <v>32.0</v>
      </c>
      <c r="B35" s="35" t="s">
        <v>588</v>
      </c>
      <c r="C35" s="43" t="s">
        <v>239</v>
      </c>
      <c r="D35" s="43" t="s">
        <v>241</v>
      </c>
      <c r="E35" s="8">
        <f t="shared" si="2"/>
        <v>6</v>
      </c>
      <c r="F35" s="8">
        <f t="shared" si="3"/>
        <v>17</v>
      </c>
      <c r="G35" s="8">
        <f t="shared" si="4"/>
        <v>23</v>
      </c>
      <c r="H35" s="39">
        <f t="shared" si="5"/>
        <v>26.08695652</v>
      </c>
      <c r="I35" s="11"/>
      <c r="J35" s="40" t="s">
        <v>80</v>
      </c>
      <c r="K35" s="40" t="s">
        <v>80</v>
      </c>
      <c r="L35" s="40" t="s">
        <v>44</v>
      </c>
      <c r="M35" s="14"/>
      <c r="N35" s="40" t="s">
        <v>44</v>
      </c>
      <c r="O35" s="40" t="s">
        <v>44</v>
      </c>
      <c r="P35" s="40" t="s">
        <v>44</v>
      </c>
      <c r="Q35" s="40" t="s">
        <v>44</v>
      </c>
      <c r="R35" s="40" t="s">
        <v>44</v>
      </c>
      <c r="S35" s="40" t="s">
        <v>44</v>
      </c>
      <c r="T35" s="14"/>
      <c r="U35" s="40" t="s">
        <v>44</v>
      </c>
      <c r="V35" s="55" t="s">
        <v>80</v>
      </c>
      <c r="W35" s="40" t="s">
        <v>44</v>
      </c>
      <c r="X35" s="40" t="s">
        <v>44</v>
      </c>
      <c r="Y35" s="40" t="s">
        <v>44</v>
      </c>
      <c r="Z35" s="40" t="s">
        <v>44</v>
      </c>
      <c r="AA35" s="14"/>
      <c r="AB35" s="40" t="s">
        <v>44</v>
      </c>
      <c r="AC35" s="40" t="s">
        <v>44</v>
      </c>
      <c r="AD35" s="40" t="s">
        <v>44</v>
      </c>
      <c r="AE35" s="40" t="s">
        <v>80</v>
      </c>
      <c r="AF35" s="40" t="s">
        <v>80</v>
      </c>
      <c r="AG35" s="40" t="s">
        <v>80</v>
      </c>
      <c r="AH35" s="14"/>
      <c r="AI35" s="40" t="s">
        <v>44</v>
      </c>
      <c r="AJ35" s="40" t="s">
        <v>44</v>
      </c>
      <c r="AK35" s="11"/>
      <c r="AL35" s="11"/>
      <c r="AM35" s="11"/>
      <c r="AN35" s="11"/>
      <c r="AO35" s="14"/>
      <c r="AP35" s="11"/>
      <c r="AQ35" s="11"/>
      <c r="AR35" s="11"/>
    </row>
    <row r="36">
      <c r="A36" s="33">
        <v>33.0</v>
      </c>
      <c r="B36" s="69" t="s">
        <v>598</v>
      </c>
      <c r="C36" s="43" t="s">
        <v>244</v>
      </c>
      <c r="D36" s="43" t="s">
        <v>245</v>
      </c>
      <c r="E36" s="8">
        <f t="shared" si="2"/>
        <v>23</v>
      </c>
      <c r="F36" s="8">
        <f t="shared" si="3"/>
        <v>0</v>
      </c>
      <c r="G36" s="8">
        <f t="shared" si="4"/>
        <v>23</v>
      </c>
      <c r="H36" s="39">
        <f t="shared" si="5"/>
        <v>100</v>
      </c>
      <c r="I36" s="11"/>
      <c r="J36" s="40" t="s">
        <v>80</v>
      </c>
      <c r="K36" s="40" t="s">
        <v>80</v>
      </c>
      <c r="L36" s="40" t="s">
        <v>80</v>
      </c>
      <c r="M36" s="14"/>
      <c r="N36" s="40" t="s">
        <v>80</v>
      </c>
      <c r="O36" s="40" t="s">
        <v>80</v>
      </c>
      <c r="P36" s="40" t="s">
        <v>80</v>
      </c>
      <c r="Q36" s="40" t="s">
        <v>80</v>
      </c>
      <c r="R36" s="40" t="s">
        <v>80</v>
      </c>
      <c r="S36" s="40" t="s">
        <v>80</v>
      </c>
      <c r="T36" s="14"/>
      <c r="U36" s="40" t="s">
        <v>80</v>
      </c>
      <c r="V36" s="42" t="s">
        <v>80</v>
      </c>
      <c r="W36" s="40" t="s">
        <v>80</v>
      </c>
      <c r="X36" s="40" t="s">
        <v>80</v>
      </c>
      <c r="Y36" s="40" t="s">
        <v>80</v>
      </c>
      <c r="Z36" s="40" t="s">
        <v>80</v>
      </c>
      <c r="AA36" s="14"/>
      <c r="AB36" s="40" t="s">
        <v>80</v>
      </c>
      <c r="AC36" s="40" t="s">
        <v>80</v>
      </c>
      <c r="AD36" s="40" t="s">
        <v>80</v>
      </c>
      <c r="AE36" s="40" t="s">
        <v>80</v>
      </c>
      <c r="AF36" s="40" t="s">
        <v>80</v>
      </c>
      <c r="AG36" s="40" t="s">
        <v>80</v>
      </c>
      <c r="AH36" s="14"/>
      <c r="AI36" s="40" t="s">
        <v>80</v>
      </c>
      <c r="AJ36" s="40" t="s">
        <v>80</v>
      </c>
      <c r="AK36" s="11"/>
      <c r="AL36" s="11"/>
      <c r="AM36" s="11"/>
      <c r="AN36" s="11"/>
      <c r="AO36" s="14"/>
      <c r="AP36" s="11"/>
      <c r="AQ36" s="11"/>
      <c r="AR36" s="11"/>
    </row>
    <row r="37">
      <c r="A37" s="33">
        <v>34.0</v>
      </c>
      <c r="B37" s="69" t="s">
        <v>609</v>
      </c>
      <c r="C37" s="43" t="s">
        <v>250</v>
      </c>
      <c r="D37" s="43" t="s">
        <v>251</v>
      </c>
      <c r="E37" s="8">
        <f t="shared" si="2"/>
        <v>8</v>
      </c>
      <c r="F37" s="8">
        <f t="shared" si="3"/>
        <v>15</v>
      </c>
      <c r="G37" s="8">
        <f t="shared" si="4"/>
        <v>23</v>
      </c>
      <c r="H37" s="39">
        <f t="shared" si="5"/>
        <v>34.7826087</v>
      </c>
      <c r="I37" s="11"/>
      <c r="J37" s="40" t="s">
        <v>80</v>
      </c>
      <c r="K37" s="40" t="s">
        <v>80</v>
      </c>
      <c r="L37" s="40" t="s">
        <v>80</v>
      </c>
      <c r="M37" s="14"/>
      <c r="N37" s="40" t="s">
        <v>80</v>
      </c>
      <c r="O37" s="40" t="s">
        <v>80</v>
      </c>
      <c r="P37" s="40" t="s">
        <v>44</v>
      </c>
      <c r="Q37" s="40" t="s">
        <v>44</v>
      </c>
      <c r="R37" s="40" t="s">
        <v>44</v>
      </c>
      <c r="S37" s="40" t="s">
        <v>44</v>
      </c>
      <c r="T37" s="14"/>
      <c r="U37" s="40" t="s">
        <v>44</v>
      </c>
      <c r="V37" s="55" t="s">
        <v>80</v>
      </c>
      <c r="W37" s="40" t="s">
        <v>44</v>
      </c>
      <c r="X37" s="40" t="s">
        <v>80</v>
      </c>
      <c r="Y37" s="40" t="s">
        <v>44</v>
      </c>
      <c r="Z37" s="40" t="s">
        <v>44</v>
      </c>
      <c r="AA37" s="14"/>
      <c r="AB37" s="40" t="s">
        <v>44</v>
      </c>
      <c r="AC37" s="40" t="s">
        <v>44</v>
      </c>
      <c r="AD37" s="40" t="s">
        <v>44</v>
      </c>
      <c r="AE37" s="40" t="s">
        <v>80</v>
      </c>
      <c r="AF37" s="40" t="s">
        <v>44</v>
      </c>
      <c r="AG37" s="40" t="s">
        <v>44</v>
      </c>
      <c r="AH37" s="14"/>
      <c r="AI37" s="40" t="s">
        <v>44</v>
      </c>
      <c r="AJ37" s="40" t="s">
        <v>44</v>
      </c>
      <c r="AK37" s="11"/>
      <c r="AL37" s="11"/>
      <c r="AM37" s="11"/>
      <c r="AN37" s="11"/>
      <c r="AO37" s="14"/>
      <c r="AP37" s="11"/>
      <c r="AQ37" s="11"/>
      <c r="AR37" s="11"/>
    </row>
    <row r="38">
      <c r="A38" s="33">
        <v>35.0</v>
      </c>
      <c r="B38" s="69" t="s">
        <v>617</v>
      </c>
      <c r="C38" s="43" t="s">
        <v>253</v>
      </c>
      <c r="D38" s="43" t="s">
        <v>254</v>
      </c>
      <c r="E38" s="8">
        <f t="shared" si="2"/>
        <v>14</v>
      </c>
      <c r="F38" s="8">
        <f t="shared" si="3"/>
        <v>9</v>
      </c>
      <c r="G38" s="8">
        <f t="shared" si="4"/>
        <v>23</v>
      </c>
      <c r="H38" s="39">
        <f t="shared" si="5"/>
        <v>60.86956522</v>
      </c>
      <c r="I38" s="11"/>
      <c r="J38" s="40" t="s">
        <v>80</v>
      </c>
      <c r="K38" s="40" t="s">
        <v>80</v>
      </c>
      <c r="L38" s="40" t="s">
        <v>80</v>
      </c>
      <c r="M38" s="14"/>
      <c r="N38" s="40" t="s">
        <v>80</v>
      </c>
      <c r="O38" s="40" t="s">
        <v>80</v>
      </c>
      <c r="P38" s="40" t="s">
        <v>44</v>
      </c>
      <c r="Q38" s="40" t="s">
        <v>80</v>
      </c>
      <c r="R38" s="40" t="s">
        <v>80</v>
      </c>
      <c r="S38" s="40" t="s">
        <v>44</v>
      </c>
      <c r="T38" s="14"/>
      <c r="U38" s="40" t="s">
        <v>80</v>
      </c>
      <c r="V38" s="42" t="s">
        <v>44</v>
      </c>
      <c r="W38" s="40" t="s">
        <v>44</v>
      </c>
      <c r="X38" s="40" t="s">
        <v>44</v>
      </c>
      <c r="Y38" s="40" t="s">
        <v>80</v>
      </c>
      <c r="Z38" s="40" t="s">
        <v>80</v>
      </c>
      <c r="AA38" s="14"/>
      <c r="AB38" s="40" t="s">
        <v>80</v>
      </c>
      <c r="AC38" s="40" t="s">
        <v>80</v>
      </c>
      <c r="AD38" s="40" t="s">
        <v>80</v>
      </c>
      <c r="AE38" s="40" t="s">
        <v>80</v>
      </c>
      <c r="AF38" s="40" t="s">
        <v>44</v>
      </c>
      <c r="AG38" s="40" t="s">
        <v>44</v>
      </c>
      <c r="AH38" s="14"/>
      <c r="AI38" s="40" t="s">
        <v>44</v>
      </c>
      <c r="AJ38" s="40" t="s">
        <v>44</v>
      </c>
      <c r="AK38" s="11"/>
      <c r="AL38" s="11"/>
      <c r="AM38" s="11"/>
      <c r="AN38" s="11"/>
      <c r="AO38" s="14"/>
      <c r="AP38" s="11"/>
      <c r="AQ38" s="11"/>
      <c r="AR38" s="11"/>
    </row>
    <row r="39">
      <c r="A39" s="33">
        <v>36.0</v>
      </c>
      <c r="B39" s="69" t="s">
        <v>629</v>
      </c>
      <c r="C39" s="43" t="s">
        <v>258</v>
      </c>
      <c r="D39" s="43" t="s">
        <v>259</v>
      </c>
      <c r="E39" s="8">
        <f t="shared" si="2"/>
        <v>4</v>
      </c>
      <c r="F39" s="8">
        <f t="shared" si="3"/>
        <v>19</v>
      </c>
      <c r="G39" s="8">
        <f t="shared" si="4"/>
        <v>23</v>
      </c>
      <c r="H39" s="39">
        <f t="shared" si="5"/>
        <v>17.39130435</v>
      </c>
      <c r="I39" s="11"/>
      <c r="J39" s="40" t="s">
        <v>44</v>
      </c>
      <c r="K39" s="40" t="s">
        <v>44</v>
      </c>
      <c r="L39" s="10" t="s">
        <v>44</v>
      </c>
      <c r="M39" s="14"/>
      <c r="N39" s="40" t="s">
        <v>44</v>
      </c>
      <c r="O39" s="40" t="s">
        <v>44</v>
      </c>
      <c r="P39" s="40" t="s">
        <v>44</v>
      </c>
      <c r="Q39" s="40" t="s">
        <v>44</v>
      </c>
      <c r="R39" s="40" t="s">
        <v>44</v>
      </c>
      <c r="S39" s="40" t="s">
        <v>44</v>
      </c>
      <c r="T39" s="14"/>
      <c r="U39" s="40" t="s">
        <v>44</v>
      </c>
      <c r="V39" s="55" t="s">
        <v>44</v>
      </c>
      <c r="W39" s="40" t="s">
        <v>44</v>
      </c>
      <c r="X39" s="40" t="s">
        <v>44</v>
      </c>
      <c r="Y39" s="40" t="s">
        <v>80</v>
      </c>
      <c r="Z39" s="40" t="s">
        <v>44</v>
      </c>
      <c r="AA39" s="14"/>
      <c r="AB39" s="40" t="s">
        <v>44</v>
      </c>
      <c r="AC39" s="40" t="s">
        <v>80</v>
      </c>
      <c r="AD39" s="40" t="s">
        <v>80</v>
      </c>
      <c r="AE39" s="40" t="s">
        <v>80</v>
      </c>
      <c r="AF39" s="40" t="s">
        <v>44</v>
      </c>
      <c r="AG39" s="40" t="s">
        <v>44</v>
      </c>
      <c r="AH39" s="14"/>
      <c r="AI39" s="40" t="s">
        <v>44</v>
      </c>
      <c r="AJ39" s="40" t="s">
        <v>44</v>
      </c>
      <c r="AK39" s="11"/>
      <c r="AL39" s="11"/>
      <c r="AM39" s="11"/>
      <c r="AN39" s="11"/>
      <c r="AO39" s="14"/>
      <c r="AP39" s="11"/>
      <c r="AQ39" s="11"/>
      <c r="AR39" s="11"/>
    </row>
    <row r="40">
      <c r="A40" s="33">
        <v>37.0</v>
      </c>
      <c r="B40" s="69" t="s">
        <v>638</v>
      </c>
      <c r="C40" s="43" t="s">
        <v>262</v>
      </c>
      <c r="D40" s="43" t="s">
        <v>263</v>
      </c>
      <c r="E40" s="8">
        <f t="shared" si="2"/>
        <v>10</v>
      </c>
      <c r="F40" s="8">
        <f t="shared" si="3"/>
        <v>13</v>
      </c>
      <c r="G40" s="8">
        <f t="shared" si="4"/>
        <v>23</v>
      </c>
      <c r="H40" s="39">
        <f t="shared" si="5"/>
        <v>43.47826087</v>
      </c>
      <c r="I40" s="11"/>
      <c r="J40" s="40" t="s">
        <v>80</v>
      </c>
      <c r="K40" s="40" t="s">
        <v>44</v>
      </c>
      <c r="L40" s="40" t="s">
        <v>44</v>
      </c>
      <c r="M40" s="14"/>
      <c r="N40" s="40" t="s">
        <v>44</v>
      </c>
      <c r="O40" s="40" t="s">
        <v>44</v>
      </c>
      <c r="P40" s="40" t="s">
        <v>44</v>
      </c>
      <c r="Q40" s="40" t="s">
        <v>44</v>
      </c>
      <c r="R40" s="40" t="s">
        <v>44</v>
      </c>
      <c r="S40" s="40" t="s">
        <v>44</v>
      </c>
      <c r="T40" s="14"/>
      <c r="U40" s="40" t="s">
        <v>44</v>
      </c>
      <c r="V40" s="42" t="s">
        <v>44</v>
      </c>
      <c r="W40" s="40" t="s">
        <v>44</v>
      </c>
      <c r="X40" s="40" t="s">
        <v>44</v>
      </c>
      <c r="Y40" s="40" t="s">
        <v>44</v>
      </c>
      <c r="Z40" s="40" t="s">
        <v>80</v>
      </c>
      <c r="AA40" s="14"/>
      <c r="AB40" s="40" t="s">
        <v>80</v>
      </c>
      <c r="AC40" s="40" t="s">
        <v>80</v>
      </c>
      <c r="AD40" s="40" t="s">
        <v>80</v>
      </c>
      <c r="AE40" s="40" t="s">
        <v>80</v>
      </c>
      <c r="AF40" s="40" t="s">
        <v>80</v>
      </c>
      <c r="AG40" s="40" t="s">
        <v>80</v>
      </c>
      <c r="AH40" s="14"/>
      <c r="AI40" s="40" t="s">
        <v>80</v>
      </c>
      <c r="AJ40" s="40" t="s">
        <v>80</v>
      </c>
      <c r="AK40" s="11"/>
      <c r="AL40" s="11"/>
      <c r="AM40" s="11"/>
      <c r="AN40" s="11"/>
      <c r="AO40" s="14"/>
      <c r="AP40" s="11"/>
      <c r="AQ40" s="11"/>
      <c r="AR40" s="11"/>
    </row>
    <row r="41">
      <c r="A41" s="33">
        <v>38.0</v>
      </c>
      <c r="B41" s="69" t="s">
        <v>647</v>
      </c>
      <c r="C41" s="43" t="s">
        <v>266</v>
      </c>
      <c r="D41" s="43" t="s">
        <v>268</v>
      </c>
      <c r="E41" s="8">
        <f t="shared" si="2"/>
        <v>22</v>
      </c>
      <c r="F41" s="8">
        <f t="shared" si="3"/>
        <v>1</v>
      </c>
      <c r="G41" s="8">
        <f t="shared" si="4"/>
        <v>23</v>
      </c>
      <c r="H41" s="39">
        <f t="shared" si="5"/>
        <v>95.65217391</v>
      </c>
      <c r="I41" s="11"/>
      <c r="J41" s="40" t="s">
        <v>80</v>
      </c>
      <c r="K41" s="40" t="s">
        <v>80</v>
      </c>
      <c r="L41" s="40" t="s">
        <v>80</v>
      </c>
      <c r="M41" s="14"/>
      <c r="N41" s="40" t="s">
        <v>80</v>
      </c>
      <c r="O41" s="40" t="s">
        <v>80</v>
      </c>
      <c r="P41" s="40" t="s">
        <v>80</v>
      </c>
      <c r="Q41" s="40" t="s">
        <v>80</v>
      </c>
      <c r="R41" s="40" t="s">
        <v>80</v>
      </c>
      <c r="S41" s="40" t="s">
        <v>80</v>
      </c>
      <c r="T41" s="14"/>
      <c r="U41" s="40" t="s">
        <v>80</v>
      </c>
      <c r="V41" s="42" t="s">
        <v>80</v>
      </c>
      <c r="W41" s="40" t="s">
        <v>80</v>
      </c>
      <c r="X41" s="40" t="s">
        <v>80</v>
      </c>
      <c r="Y41" s="40" t="s">
        <v>80</v>
      </c>
      <c r="Z41" s="40" t="s">
        <v>80</v>
      </c>
      <c r="AA41" s="14"/>
      <c r="AB41" s="40" t="s">
        <v>44</v>
      </c>
      <c r="AC41" s="40" t="s">
        <v>80</v>
      </c>
      <c r="AD41" s="40" t="s">
        <v>80</v>
      </c>
      <c r="AE41" s="40" t="s">
        <v>80</v>
      </c>
      <c r="AF41" s="40" t="s">
        <v>80</v>
      </c>
      <c r="AG41" s="40" t="s">
        <v>80</v>
      </c>
      <c r="AH41" s="14"/>
      <c r="AI41" s="40" t="s">
        <v>80</v>
      </c>
      <c r="AJ41" s="40" t="s">
        <v>80</v>
      </c>
      <c r="AK41" s="11"/>
      <c r="AL41" s="11"/>
      <c r="AM41" s="11"/>
      <c r="AN41" s="11"/>
      <c r="AO41" s="14"/>
      <c r="AP41" s="11"/>
      <c r="AQ41" s="11"/>
      <c r="AR41" s="11"/>
    </row>
    <row r="42">
      <c r="A42" s="33">
        <v>39.0</v>
      </c>
      <c r="B42" s="69" t="s">
        <v>657</v>
      </c>
      <c r="C42" s="43" t="s">
        <v>272</v>
      </c>
      <c r="D42" s="43" t="s">
        <v>273</v>
      </c>
      <c r="E42" s="8">
        <f t="shared" si="2"/>
        <v>23</v>
      </c>
      <c r="F42" s="8">
        <f t="shared" si="3"/>
        <v>0</v>
      </c>
      <c r="G42" s="8">
        <f t="shared" si="4"/>
        <v>23</v>
      </c>
      <c r="H42" s="39">
        <f t="shared" si="5"/>
        <v>100</v>
      </c>
      <c r="I42" s="11"/>
      <c r="J42" s="40" t="s">
        <v>80</v>
      </c>
      <c r="K42" s="40" t="s">
        <v>80</v>
      </c>
      <c r="L42" s="40" t="s">
        <v>80</v>
      </c>
      <c r="M42" s="14"/>
      <c r="N42" s="40" t="s">
        <v>80</v>
      </c>
      <c r="O42" s="40" t="s">
        <v>80</v>
      </c>
      <c r="P42" s="40" t="s">
        <v>80</v>
      </c>
      <c r="Q42" s="40" t="s">
        <v>80</v>
      </c>
      <c r="R42" s="40" t="s">
        <v>80</v>
      </c>
      <c r="S42" s="40" t="s">
        <v>80</v>
      </c>
      <c r="T42" s="14"/>
      <c r="U42" s="40" t="s">
        <v>80</v>
      </c>
      <c r="V42" s="42" t="s">
        <v>80</v>
      </c>
      <c r="W42" s="40" t="s">
        <v>80</v>
      </c>
      <c r="X42" s="40" t="s">
        <v>80</v>
      </c>
      <c r="Y42" s="40" t="s">
        <v>80</v>
      </c>
      <c r="Z42" s="40" t="s">
        <v>80</v>
      </c>
      <c r="AA42" s="14"/>
      <c r="AB42" s="40" t="s">
        <v>80</v>
      </c>
      <c r="AC42" s="40" t="s">
        <v>80</v>
      </c>
      <c r="AD42" s="40" t="s">
        <v>80</v>
      </c>
      <c r="AE42" s="40" t="s">
        <v>80</v>
      </c>
      <c r="AF42" s="40" t="s">
        <v>80</v>
      </c>
      <c r="AG42" s="40" t="s">
        <v>80</v>
      </c>
      <c r="AH42" s="14"/>
      <c r="AI42" s="40" t="s">
        <v>80</v>
      </c>
      <c r="AJ42" s="40" t="s">
        <v>80</v>
      </c>
      <c r="AK42" s="11"/>
      <c r="AL42" s="11"/>
      <c r="AM42" s="11"/>
      <c r="AN42" s="11"/>
      <c r="AO42" s="14"/>
      <c r="AP42" s="11"/>
      <c r="AQ42" s="11"/>
      <c r="AR42" s="11"/>
    </row>
    <row r="43">
      <c r="A43" s="33">
        <v>40.0</v>
      </c>
      <c r="B43" s="69" t="s">
        <v>665</v>
      </c>
      <c r="C43" s="43" t="s">
        <v>276</v>
      </c>
      <c r="D43" s="43" t="s">
        <v>277</v>
      </c>
      <c r="E43" s="8">
        <f t="shared" si="2"/>
        <v>22</v>
      </c>
      <c r="F43" s="8">
        <f t="shared" si="3"/>
        <v>1</v>
      </c>
      <c r="G43" s="8">
        <f t="shared" si="4"/>
        <v>23</v>
      </c>
      <c r="H43" s="39">
        <f t="shared" si="5"/>
        <v>95.65217391</v>
      </c>
      <c r="I43" s="11"/>
      <c r="J43" s="40" t="s">
        <v>193</v>
      </c>
      <c r="K43" s="40" t="s">
        <v>80</v>
      </c>
      <c r="L43" s="40" t="s">
        <v>80</v>
      </c>
      <c r="M43" s="14"/>
      <c r="N43" s="40" t="s">
        <v>80</v>
      </c>
      <c r="O43" s="40" t="s">
        <v>80</v>
      </c>
      <c r="P43" s="40" t="s">
        <v>80</v>
      </c>
      <c r="Q43" s="40" t="s">
        <v>80</v>
      </c>
      <c r="R43" s="40" t="s">
        <v>80</v>
      </c>
      <c r="S43" s="40" t="s">
        <v>80</v>
      </c>
      <c r="T43" s="14"/>
      <c r="U43" s="40" t="s">
        <v>80</v>
      </c>
      <c r="V43" s="42" t="s">
        <v>80</v>
      </c>
      <c r="W43" s="40" t="s">
        <v>80</v>
      </c>
      <c r="X43" s="40" t="s">
        <v>80</v>
      </c>
      <c r="Y43" s="40" t="s">
        <v>80</v>
      </c>
      <c r="Z43" s="40" t="s">
        <v>80</v>
      </c>
      <c r="AA43" s="14"/>
      <c r="AB43" s="40" t="s">
        <v>80</v>
      </c>
      <c r="AC43" s="40" t="s">
        <v>80</v>
      </c>
      <c r="AD43" s="40" t="s">
        <v>80</v>
      </c>
      <c r="AE43" s="40" t="s">
        <v>80</v>
      </c>
      <c r="AF43" s="40" t="s">
        <v>80</v>
      </c>
      <c r="AG43" s="40" t="s">
        <v>80</v>
      </c>
      <c r="AH43" s="14"/>
      <c r="AI43" s="40" t="s">
        <v>44</v>
      </c>
      <c r="AJ43" s="40" t="s">
        <v>80</v>
      </c>
      <c r="AK43" s="11"/>
      <c r="AL43" s="11"/>
      <c r="AM43" s="11"/>
      <c r="AN43" s="11"/>
      <c r="AO43" s="14"/>
      <c r="AP43" s="11"/>
      <c r="AQ43" s="11"/>
      <c r="AR43" s="11"/>
    </row>
    <row r="44">
      <c r="A44" s="33">
        <v>41.0</v>
      </c>
      <c r="B44" s="69" t="s">
        <v>676</v>
      </c>
      <c r="C44" s="43" t="s">
        <v>280</v>
      </c>
      <c r="D44" s="43" t="s">
        <v>281</v>
      </c>
      <c r="E44" s="8">
        <f t="shared" si="2"/>
        <v>8</v>
      </c>
      <c r="F44" s="8">
        <f t="shared" si="3"/>
        <v>15</v>
      </c>
      <c r="G44" s="8">
        <f t="shared" si="4"/>
        <v>23</v>
      </c>
      <c r="H44" s="39">
        <f t="shared" si="5"/>
        <v>34.7826087</v>
      </c>
      <c r="I44" s="11"/>
      <c r="J44" s="40" t="s">
        <v>80</v>
      </c>
      <c r="K44" s="40" t="s">
        <v>80</v>
      </c>
      <c r="L44" s="40" t="s">
        <v>80</v>
      </c>
      <c r="M44" s="14"/>
      <c r="N44" s="40" t="s">
        <v>80</v>
      </c>
      <c r="O44" s="40" t="s">
        <v>44</v>
      </c>
      <c r="P44" s="40" t="s">
        <v>44</v>
      </c>
      <c r="Q44" s="40" t="s">
        <v>80</v>
      </c>
      <c r="R44" s="40" t="s">
        <v>80</v>
      </c>
      <c r="S44" s="40" t="s">
        <v>80</v>
      </c>
      <c r="T44" s="14"/>
      <c r="U44" s="40" t="s">
        <v>44</v>
      </c>
      <c r="V44" s="42" t="s">
        <v>44</v>
      </c>
      <c r="W44" s="40" t="s">
        <v>80</v>
      </c>
      <c r="X44" s="40" t="s">
        <v>44</v>
      </c>
      <c r="Y44" s="40" t="s">
        <v>44</v>
      </c>
      <c r="Z44" s="40" t="s">
        <v>44</v>
      </c>
      <c r="AA44" s="14"/>
      <c r="AB44" s="40" t="s">
        <v>44</v>
      </c>
      <c r="AC44" s="40" t="s">
        <v>44</v>
      </c>
      <c r="AD44" s="40" t="s">
        <v>44</v>
      </c>
      <c r="AE44" s="40" t="s">
        <v>44</v>
      </c>
      <c r="AF44" s="40" t="s">
        <v>44</v>
      </c>
      <c r="AG44" s="40" t="s">
        <v>44</v>
      </c>
      <c r="AH44" s="14"/>
      <c r="AI44" s="40" t="s">
        <v>44</v>
      </c>
      <c r="AJ44" s="40" t="s">
        <v>44</v>
      </c>
      <c r="AK44" s="11"/>
      <c r="AL44" s="11"/>
      <c r="AM44" s="11"/>
      <c r="AN44" s="11"/>
      <c r="AO44" s="14"/>
      <c r="AP44" s="11"/>
      <c r="AQ44" s="11"/>
      <c r="AR44" s="11"/>
    </row>
    <row r="45">
      <c r="A45" s="33">
        <v>42.0</v>
      </c>
      <c r="B45" s="69" t="s">
        <v>686</v>
      </c>
      <c r="C45" s="43" t="s">
        <v>284</v>
      </c>
      <c r="D45" s="43" t="s">
        <v>285</v>
      </c>
      <c r="E45" s="8">
        <f t="shared" si="2"/>
        <v>22</v>
      </c>
      <c r="F45" s="8">
        <f t="shared" si="3"/>
        <v>1</v>
      </c>
      <c r="G45" s="8">
        <f t="shared" si="4"/>
        <v>23</v>
      </c>
      <c r="H45" s="39">
        <f t="shared" si="5"/>
        <v>95.65217391</v>
      </c>
      <c r="I45" s="11"/>
      <c r="J45" s="40" t="s">
        <v>80</v>
      </c>
      <c r="K45" s="40" t="s">
        <v>80</v>
      </c>
      <c r="L45" s="40" t="s">
        <v>80</v>
      </c>
      <c r="M45" s="14"/>
      <c r="N45" s="40" t="s">
        <v>80</v>
      </c>
      <c r="O45" s="40" t="s">
        <v>80</v>
      </c>
      <c r="P45" s="40" t="s">
        <v>80</v>
      </c>
      <c r="Q45" s="40" t="s">
        <v>80</v>
      </c>
      <c r="R45" s="40" t="s">
        <v>80</v>
      </c>
      <c r="S45" s="40" t="s">
        <v>80</v>
      </c>
      <c r="T45" s="14"/>
      <c r="U45" s="40" t="s">
        <v>80</v>
      </c>
      <c r="V45" s="42" t="s">
        <v>80</v>
      </c>
      <c r="W45" s="40" t="s">
        <v>80</v>
      </c>
      <c r="X45" s="40" t="s">
        <v>80</v>
      </c>
      <c r="Y45" s="40" t="s">
        <v>80</v>
      </c>
      <c r="Z45" s="40" t="s">
        <v>80</v>
      </c>
      <c r="AA45" s="14"/>
      <c r="AB45" s="40" t="s">
        <v>80</v>
      </c>
      <c r="AC45" s="40" t="s">
        <v>80</v>
      </c>
      <c r="AD45" s="40" t="s">
        <v>80</v>
      </c>
      <c r="AE45" s="40" t="s">
        <v>80</v>
      </c>
      <c r="AF45" s="40" t="s">
        <v>80</v>
      </c>
      <c r="AG45" s="40" t="s">
        <v>80</v>
      </c>
      <c r="AH45" s="14"/>
      <c r="AI45" s="40" t="s">
        <v>80</v>
      </c>
      <c r="AJ45" s="40" t="s">
        <v>44</v>
      </c>
      <c r="AK45" s="11"/>
      <c r="AL45" s="11"/>
      <c r="AM45" s="11"/>
      <c r="AN45" s="11"/>
      <c r="AO45" s="14"/>
      <c r="AP45" s="11"/>
      <c r="AQ45" s="11"/>
      <c r="AR45" s="11"/>
    </row>
    <row r="46">
      <c r="A46" s="33">
        <v>43.0</v>
      </c>
      <c r="B46" s="69" t="s">
        <v>696</v>
      </c>
      <c r="C46" s="43" t="s">
        <v>288</v>
      </c>
      <c r="D46" s="43" t="s">
        <v>290</v>
      </c>
      <c r="E46" s="8">
        <f t="shared" si="2"/>
        <v>22</v>
      </c>
      <c r="F46" s="8">
        <f t="shared" si="3"/>
        <v>1</v>
      </c>
      <c r="G46" s="8">
        <f t="shared" si="4"/>
        <v>23</v>
      </c>
      <c r="H46" s="39">
        <f t="shared" si="5"/>
        <v>95.65217391</v>
      </c>
      <c r="I46" s="11"/>
      <c r="J46" s="40" t="s">
        <v>193</v>
      </c>
      <c r="K46" s="40" t="s">
        <v>193</v>
      </c>
      <c r="L46" s="40" t="s">
        <v>193</v>
      </c>
      <c r="M46" s="14"/>
      <c r="N46" s="40" t="s">
        <v>193</v>
      </c>
      <c r="O46" s="40" t="s">
        <v>193</v>
      </c>
      <c r="P46" s="40" t="s">
        <v>193</v>
      </c>
      <c r="Q46" s="40" t="s">
        <v>193</v>
      </c>
      <c r="R46" s="40" t="s">
        <v>193</v>
      </c>
      <c r="S46" s="40" t="s">
        <v>193</v>
      </c>
      <c r="T46" s="14"/>
      <c r="U46" s="40" t="s">
        <v>80</v>
      </c>
      <c r="V46" s="42" t="s">
        <v>80</v>
      </c>
      <c r="W46" s="40" t="s">
        <v>80</v>
      </c>
      <c r="X46" s="40" t="s">
        <v>193</v>
      </c>
      <c r="Y46" s="40" t="s">
        <v>80</v>
      </c>
      <c r="Z46" s="40" t="s">
        <v>80</v>
      </c>
      <c r="AA46" s="14"/>
      <c r="AB46" s="40" t="s">
        <v>80</v>
      </c>
      <c r="AC46" s="40" t="s">
        <v>80</v>
      </c>
      <c r="AD46" s="40" t="s">
        <v>80</v>
      </c>
      <c r="AE46" s="40" t="s">
        <v>44</v>
      </c>
      <c r="AF46" s="40" t="s">
        <v>80</v>
      </c>
      <c r="AG46" s="40" t="s">
        <v>80</v>
      </c>
      <c r="AH46" s="14"/>
      <c r="AI46" s="40" t="s">
        <v>80</v>
      </c>
      <c r="AJ46" s="40" t="s">
        <v>80</v>
      </c>
      <c r="AK46" s="11"/>
      <c r="AL46" s="11"/>
      <c r="AM46" s="11"/>
      <c r="AN46" s="11"/>
      <c r="AO46" s="14"/>
      <c r="AP46" s="11"/>
      <c r="AQ46" s="11"/>
      <c r="AR46" s="11"/>
    </row>
    <row r="47">
      <c r="A47" s="33">
        <v>44.0</v>
      </c>
      <c r="B47" s="69" t="s">
        <v>706</v>
      </c>
      <c r="C47" s="43" t="s">
        <v>295</v>
      </c>
      <c r="D47" s="43" t="s">
        <v>296</v>
      </c>
      <c r="E47" s="8">
        <f t="shared" si="2"/>
        <v>20</v>
      </c>
      <c r="F47" s="8">
        <f t="shared" si="3"/>
        <v>3</v>
      </c>
      <c r="G47" s="8">
        <f t="shared" si="4"/>
        <v>23</v>
      </c>
      <c r="H47" s="39">
        <f t="shared" si="5"/>
        <v>86.95652174</v>
      </c>
      <c r="I47" s="11"/>
      <c r="J47" s="40" t="s">
        <v>193</v>
      </c>
      <c r="K47" s="40" t="s">
        <v>193</v>
      </c>
      <c r="L47" s="40" t="s">
        <v>193</v>
      </c>
      <c r="M47" s="14"/>
      <c r="N47" s="40" t="s">
        <v>193</v>
      </c>
      <c r="O47" s="40" t="s">
        <v>193</v>
      </c>
      <c r="P47" s="40" t="s">
        <v>193</v>
      </c>
      <c r="Q47" s="40" t="s">
        <v>193</v>
      </c>
      <c r="R47" s="40" t="s">
        <v>193</v>
      </c>
      <c r="S47" s="40" t="s">
        <v>193</v>
      </c>
      <c r="T47" s="14"/>
      <c r="U47" s="40" t="s">
        <v>80</v>
      </c>
      <c r="V47" s="42" t="s">
        <v>80</v>
      </c>
      <c r="W47" s="40" t="s">
        <v>80</v>
      </c>
      <c r="X47" s="40" t="s">
        <v>193</v>
      </c>
      <c r="Y47" s="40" t="s">
        <v>80</v>
      </c>
      <c r="Z47" s="40" t="s">
        <v>80</v>
      </c>
      <c r="AA47" s="14"/>
      <c r="AB47" s="40" t="s">
        <v>193</v>
      </c>
      <c r="AC47" s="40" t="s">
        <v>80</v>
      </c>
      <c r="AD47" s="40" t="s">
        <v>80</v>
      </c>
      <c r="AE47" s="40" t="s">
        <v>44</v>
      </c>
      <c r="AF47" s="40" t="s">
        <v>44</v>
      </c>
      <c r="AG47" s="40" t="s">
        <v>80</v>
      </c>
      <c r="AH47" s="14"/>
      <c r="AI47" s="40" t="s">
        <v>44</v>
      </c>
      <c r="AJ47" s="40" t="s">
        <v>80</v>
      </c>
      <c r="AK47" s="11"/>
      <c r="AL47" s="11"/>
      <c r="AM47" s="11"/>
      <c r="AN47" s="11"/>
      <c r="AO47" s="14"/>
      <c r="AP47" s="11"/>
      <c r="AQ47" s="11"/>
      <c r="AR47" s="11"/>
    </row>
    <row r="48">
      <c r="A48" s="33">
        <v>45.0</v>
      </c>
      <c r="B48" s="69" t="s">
        <v>714</v>
      </c>
      <c r="C48" s="43" t="s">
        <v>299</v>
      </c>
      <c r="D48" s="43" t="s">
        <v>301</v>
      </c>
      <c r="E48" s="8">
        <f t="shared" si="2"/>
        <v>10</v>
      </c>
      <c r="F48" s="8">
        <f t="shared" si="3"/>
        <v>13</v>
      </c>
      <c r="G48" s="8">
        <f t="shared" si="4"/>
        <v>23</v>
      </c>
      <c r="H48" s="39">
        <f t="shared" si="5"/>
        <v>43.47826087</v>
      </c>
      <c r="I48" s="11"/>
      <c r="J48" s="40" t="s">
        <v>44</v>
      </c>
      <c r="K48" s="40" t="s">
        <v>44</v>
      </c>
      <c r="L48" s="40" t="s">
        <v>80</v>
      </c>
      <c r="M48" s="14"/>
      <c r="N48" s="40" t="s">
        <v>80</v>
      </c>
      <c r="O48" s="40" t="s">
        <v>80</v>
      </c>
      <c r="P48" s="40" t="s">
        <v>44</v>
      </c>
      <c r="Q48" s="40" t="s">
        <v>44</v>
      </c>
      <c r="R48" s="40" t="s">
        <v>80</v>
      </c>
      <c r="S48" s="40" t="s">
        <v>44</v>
      </c>
      <c r="T48" s="14"/>
      <c r="U48" s="40" t="s">
        <v>80</v>
      </c>
      <c r="V48" s="42" t="s">
        <v>80</v>
      </c>
      <c r="W48" s="40" t="s">
        <v>80</v>
      </c>
      <c r="X48" s="40" t="s">
        <v>80</v>
      </c>
      <c r="Y48" s="40" t="s">
        <v>80</v>
      </c>
      <c r="Z48" s="40" t="s">
        <v>80</v>
      </c>
      <c r="AA48" s="14"/>
      <c r="AB48" s="40" t="s">
        <v>44</v>
      </c>
      <c r="AC48" s="40" t="s">
        <v>44</v>
      </c>
      <c r="AD48" s="40" t="s">
        <v>44</v>
      </c>
      <c r="AE48" s="40" t="s">
        <v>44</v>
      </c>
      <c r="AF48" s="40" t="s">
        <v>44</v>
      </c>
      <c r="AG48" s="40" t="s">
        <v>44</v>
      </c>
      <c r="AH48" s="14"/>
      <c r="AI48" s="40" t="s">
        <v>44</v>
      </c>
      <c r="AJ48" s="40" t="s">
        <v>44</v>
      </c>
      <c r="AK48" s="11"/>
      <c r="AL48" s="11"/>
      <c r="AM48" s="11"/>
      <c r="AN48" s="11"/>
      <c r="AO48" s="14"/>
      <c r="AP48" s="11"/>
      <c r="AQ48" s="11"/>
      <c r="AR48" s="11"/>
    </row>
    <row r="49">
      <c r="A49" s="33">
        <v>46.0</v>
      </c>
      <c r="B49" s="69" t="s">
        <v>724</v>
      </c>
      <c r="C49" s="43" t="s">
        <v>303</v>
      </c>
      <c r="D49" s="43" t="s">
        <v>304</v>
      </c>
      <c r="E49" s="8">
        <f t="shared" si="2"/>
        <v>8</v>
      </c>
      <c r="F49" s="8">
        <f t="shared" si="3"/>
        <v>15</v>
      </c>
      <c r="G49" s="8">
        <f t="shared" si="4"/>
        <v>23</v>
      </c>
      <c r="H49" s="39">
        <f t="shared" si="5"/>
        <v>34.7826087</v>
      </c>
      <c r="I49" s="11"/>
      <c r="J49" s="40" t="s">
        <v>80</v>
      </c>
      <c r="K49" s="40" t="s">
        <v>44</v>
      </c>
      <c r="L49" s="40" t="s">
        <v>44</v>
      </c>
      <c r="M49" s="14"/>
      <c r="N49" s="40" t="s">
        <v>80</v>
      </c>
      <c r="O49" s="40" t="s">
        <v>80</v>
      </c>
      <c r="P49" s="40" t="s">
        <v>44</v>
      </c>
      <c r="Q49" s="40" t="s">
        <v>80</v>
      </c>
      <c r="R49" s="40" t="s">
        <v>80</v>
      </c>
      <c r="S49" s="40" t="s">
        <v>44</v>
      </c>
      <c r="T49" s="14"/>
      <c r="U49" s="40" t="s">
        <v>44</v>
      </c>
      <c r="V49" s="55" t="s">
        <v>80</v>
      </c>
      <c r="W49" s="40" t="s">
        <v>80</v>
      </c>
      <c r="X49" s="40" t="s">
        <v>80</v>
      </c>
      <c r="Y49" s="40" t="s">
        <v>44</v>
      </c>
      <c r="Z49" s="40" t="s">
        <v>44</v>
      </c>
      <c r="AA49" s="14"/>
      <c r="AB49" s="40" t="s">
        <v>44</v>
      </c>
      <c r="AC49" s="40" t="s">
        <v>44</v>
      </c>
      <c r="AD49" s="40" t="s">
        <v>44</v>
      </c>
      <c r="AE49" s="40" t="s">
        <v>44</v>
      </c>
      <c r="AF49" s="40" t="s">
        <v>44</v>
      </c>
      <c r="AG49" s="40" t="s">
        <v>44</v>
      </c>
      <c r="AH49" s="14"/>
      <c r="AI49" s="40" t="s">
        <v>44</v>
      </c>
      <c r="AJ49" s="40" t="s">
        <v>44</v>
      </c>
      <c r="AK49" s="11"/>
      <c r="AL49" s="11"/>
      <c r="AM49" s="11"/>
      <c r="AN49" s="11"/>
      <c r="AO49" s="14"/>
      <c r="AP49" s="11"/>
      <c r="AQ49" s="11"/>
      <c r="AR49" s="11"/>
    </row>
    <row r="50">
      <c r="A50" s="33">
        <v>47.0</v>
      </c>
      <c r="B50" s="35" t="s">
        <v>735</v>
      </c>
      <c r="C50" s="43" t="s">
        <v>306</v>
      </c>
      <c r="D50" s="43" t="s">
        <v>308</v>
      </c>
      <c r="E50" s="8">
        <f t="shared" si="2"/>
        <v>6</v>
      </c>
      <c r="F50" s="8">
        <f t="shared" si="3"/>
        <v>17</v>
      </c>
      <c r="G50" s="8">
        <f t="shared" si="4"/>
        <v>23</v>
      </c>
      <c r="H50" s="39">
        <f t="shared" si="5"/>
        <v>26.08695652</v>
      </c>
      <c r="I50" s="11"/>
      <c r="J50" s="40" t="s">
        <v>44</v>
      </c>
      <c r="K50" s="40" t="s">
        <v>44</v>
      </c>
      <c r="L50" s="40" t="s">
        <v>44</v>
      </c>
      <c r="M50" s="14"/>
      <c r="N50" s="40" t="s">
        <v>44</v>
      </c>
      <c r="O50" s="40" t="s">
        <v>44</v>
      </c>
      <c r="P50" s="40" t="s">
        <v>44</v>
      </c>
      <c r="Q50" s="40" t="s">
        <v>44</v>
      </c>
      <c r="R50" s="40" t="s">
        <v>44</v>
      </c>
      <c r="S50" s="40" t="s">
        <v>44</v>
      </c>
      <c r="T50" s="14"/>
      <c r="U50" s="40" t="s">
        <v>44</v>
      </c>
      <c r="V50" s="42" t="s">
        <v>44</v>
      </c>
      <c r="W50" s="40" t="s">
        <v>44</v>
      </c>
      <c r="X50" s="40" t="s">
        <v>80</v>
      </c>
      <c r="Y50" s="40" t="s">
        <v>44</v>
      </c>
      <c r="Z50" s="40" t="s">
        <v>44</v>
      </c>
      <c r="AA50" s="14"/>
      <c r="AB50" s="40" t="s">
        <v>80</v>
      </c>
      <c r="AC50" s="40" t="s">
        <v>80</v>
      </c>
      <c r="AD50" s="40" t="s">
        <v>44</v>
      </c>
      <c r="AE50" s="40" t="s">
        <v>80</v>
      </c>
      <c r="AF50" s="40" t="s">
        <v>80</v>
      </c>
      <c r="AG50" s="40" t="s">
        <v>44</v>
      </c>
      <c r="AH50" s="14"/>
      <c r="AI50" s="40" t="s">
        <v>44</v>
      </c>
      <c r="AJ50" s="40" t="s">
        <v>80</v>
      </c>
      <c r="AK50" s="11"/>
      <c r="AL50" s="11"/>
      <c r="AM50" s="11"/>
      <c r="AN50" s="11"/>
      <c r="AO50" s="14"/>
      <c r="AP50" s="11"/>
      <c r="AQ50" s="11"/>
      <c r="AR50" s="11"/>
    </row>
    <row r="51">
      <c r="A51" s="33">
        <v>48.0</v>
      </c>
      <c r="B51" s="35" t="s">
        <v>745</v>
      </c>
      <c r="C51" s="43" t="s">
        <v>312</v>
      </c>
      <c r="D51" s="43" t="s">
        <v>313</v>
      </c>
      <c r="E51" s="8">
        <f t="shared" si="2"/>
        <v>16</v>
      </c>
      <c r="F51" s="8">
        <f t="shared" si="3"/>
        <v>7</v>
      </c>
      <c r="G51" s="8">
        <f t="shared" si="4"/>
        <v>23</v>
      </c>
      <c r="H51" s="39">
        <f t="shared" si="5"/>
        <v>69.56521739</v>
      </c>
      <c r="I51" s="11"/>
      <c r="J51" s="40" t="s">
        <v>44</v>
      </c>
      <c r="K51" s="40" t="s">
        <v>44</v>
      </c>
      <c r="L51" s="40" t="s">
        <v>80</v>
      </c>
      <c r="M51" s="14"/>
      <c r="N51" s="40" t="s">
        <v>80</v>
      </c>
      <c r="O51" s="40" t="s">
        <v>80</v>
      </c>
      <c r="P51" s="40" t="s">
        <v>80</v>
      </c>
      <c r="Q51" s="40" t="s">
        <v>80</v>
      </c>
      <c r="R51" s="40" t="s">
        <v>80</v>
      </c>
      <c r="S51" s="40" t="s">
        <v>80</v>
      </c>
      <c r="T51" s="14"/>
      <c r="U51" s="40" t="s">
        <v>80</v>
      </c>
      <c r="V51" s="42" t="s">
        <v>80</v>
      </c>
      <c r="W51" s="40" t="s">
        <v>80</v>
      </c>
      <c r="X51" s="40" t="s">
        <v>80</v>
      </c>
      <c r="Y51" s="40" t="s">
        <v>80</v>
      </c>
      <c r="Z51" s="40" t="s">
        <v>80</v>
      </c>
      <c r="AA51" s="14"/>
      <c r="AB51" s="40" t="s">
        <v>80</v>
      </c>
      <c r="AC51" s="40" t="s">
        <v>44</v>
      </c>
      <c r="AD51" s="40" t="s">
        <v>80</v>
      </c>
      <c r="AE51" s="40" t="s">
        <v>44</v>
      </c>
      <c r="AF51" s="40" t="s">
        <v>44</v>
      </c>
      <c r="AG51" s="40" t="s">
        <v>44</v>
      </c>
      <c r="AH51" s="14"/>
      <c r="AI51" s="40" t="s">
        <v>44</v>
      </c>
      <c r="AJ51" s="40" t="s">
        <v>80</v>
      </c>
      <c r="AK51" s="11"/>
      <c r="AL51" s="11"/>
      <c r="AM51" s="11"/>
      <c r="AN51" s="11"/>
      <c r="AO51" s="14"/>
      <c r="AP51" s="11"/>
      <c r="AQ51" s="11"/>
      <c r="AR51" s="11"/>
    </row>
    <row r="52">
      <c r="A52" s="33">
        <v>49.0</v>
      </c>
      <c r="B52" s="35" t="s">
        <v>754</v>
      </c>
      <c r="C52" s="43" t="s">
        <v>316</v>
      </c>
      <c r="D52" s="43" t="s">
        <v>317</v>
      </c>
      <c r="E52" s="8">
        <f t="shared" si="2"/>
        <v>22</v>
      </c>
      <c r="F52" s="8">
        <f t="shared" si="3"/>
        <v>1</v>
      </c>
      <c r="G52" s="8">
        <f t="shared" si="4"/>
        <v>23</v>
      </c>
      <c r="H52" s="39">
        <f t="shared" si="5"/>
        <v>95.65217391</v>
      </c>
      <c r="I52" s="11"/>
      <c r="J52" s="40" t="s">
        <v>80</v>
      </c>
      <c r="K52" s="40" t="s">
        <v>80</v>
      </c>
      <c r="L52" s="40" t="s">
        <v>80</v>
      </c>
      <c r="M52" s="14"/>
      <c r="N52" s="40" t="s">
        <v>80</v>
      </c>
      <c r="O52" s="40" t="s">
        <v>80</v>
      </c>
      <c r="P52" s="40" t="s">
        <v>80</v>
      </c>
      <c r="Q52" s="40" t="s">
        <v>80</v>
      </c>
      <c r="R52" s="40" t="s">
        <v>80</v>
      </c>
      <c r="S52" s="40" t="s">
        <v>80</v>
      </c>
      <c r="T52" s="14"/>
      <c r="U52" s="40" t="s">
        <v>80</v>
      </c>
      <c r="V52" s="42" t="s">
        <v>80</v>
      </c>
      <c r="W52" s="40" t="s">
        <v>80</v>
      </c>
      <c r="X52" s="40" t="s">
        <v>80</v>
      </c>
      <c r="Y52" s="40" t="s">
        <v>80</v>
      </c>
      <c r="Z52" s="40" t="s">
        <v>80</v>
      </c>
      <c r="AA52" s="14"/>
      <c r="AB52" s="40" t="s">
        <v>80</v>
      </c>
      <c r="AC52" s="40" t="s">
        <v>80</v>
      </c>
      <c r="AD52" s="40" t="s">
        <v>80</v>
      </c>
      <c r="AE52" s="40" t="s">
        <v>80</v>
      </c>
      <c r="AF52" s="40" t="s">
        <v>80</v>
      </c>
      <c r="AG52" s="40" t="s">
        <v>80</v>
      </c>
      <c r="AH52" s="14"/>
      <c r="AI52" s="40" t="s">
        <v>80</v>
      </c>
      <c r="AJ52" s="40" t="s">
        <v>44</v>
      </c>
      <c r="AK52" s="11"/>
      <c r="AL52" s="11"/>
      <c r="AM52" s="11"/>
      <c r="AN52" s="11"/>
      <c r="AO52" s="14"/>
      <c r="AP52" s="11"/>
      <c r="AQ52" s="11"/>
      <c r="AR52" s="11"/>
    </row>
    <row r="53">
      <c r="A53" s="33">
        <v>50.0</v>
      </c>
      <c r="B53" s="35" t="s">
        <v>761</v>
      </c>
      <c r="C53" s="43" t="s">
        <v>320</v>
      </c>
      <c r="D53" s="43" t="s">
        <v>321</v>
      </c>
      <c r="E53" s="8">
        <f t="shared" si="2"/>
        <v>14</v>
      </c>
      <c r="F53" s="8">
        <f t="shared" si="3"/>
        <v>9</v>
      </c>
      <c r="G53" s="8">
        <f t="shared" si="4"/>
        <v>23</v>
      </c>
      <c r="H53" s="39">
        <f t="shared" si="5"/>
        <v>60.86956522</v>
      </c>
      <c r="I53" s="11"/>
      <c r="J53" s="40" t="s">
        <v>80</v>
      </c>
      <c r="K53" s="40" t="s">
        <v>80</v>
      </c>
      <c r="L53" s="40" t="s">
        <v>80</v>
      </c>
      <c r="M53" s="14"/>
      <c r="N53" s="40" t="s">
        <v>80</v>
      </c>
      <c r="O53" s="40" t="s">
        <v>80</v>
      </c>
      <c r="P53" s="40" t="s">
        <v>44</v>
      </c>
      <c r="Q53" s="40" t="s">
        <v>80</v>
      </c>
      <c r="R53" s="40" t="s">
        <v>80</v>
      </c>
      <c r="S53" s="40" t="s">
        <v>44</v>
      </c>
      <c r="T53" s="14"/>
      <c r="U53" s="40" t="s">
        <v>80</v>
      </c>
      <c r="V53" s="55" t="s">
        <v>80</v>
      </c>
      <c r="W53" s="40" t="s">
        <v>80</v>
      </c>
      <c r="X53" s="40" t="s">
        <v>80</v>
      </c>
      <c r="Y53" s="40" t="s">
        <v>80</v>
      </c>
      <c r="Z53" s="40" t="s">
        <v>44</v>
      </c>
      <c r="AA53" s="14"/>
      <c r="AB53" s="40" t="s">
        <v>80</v>
      </c>
      <c r="AC53" s="40" t="s">
        <v>44</v>
      </c>
      <c r="AD53" s="40" t="s">
        <v>44</v>
      </c>
      <c r="AE53" s="40" t="s">
        <v>80</v>
      </c>
      <c r="AF53" s="40" t="s">
        <v>44</v>
      </c>
      <c r="AG53" s="40" t="s">
        <v>44</v>
      </c>
      <c r="AH53" s="14"/>
      <c r="AI53" s="40" t="s">
        <v>44</v>
      </c>
      <c r="AJ53" s="40" t="s">
        <v>44</v>
      </c>
      <c r="AK53" s="11"/>
      <c r="AL53" s="11"/>
      <c r="AM53" s="11"/>
      <c r="AN53" s="11"/>
      <c r="AO53" s="14"/>
      <c r="AP53" s="11"/>
      <c r="AQ53" s="11"/>
      <c r="AR53" s="11"/>
    </row>
    <row r="54">
      <c r="A54" s="33">
        <v>51.0</v>
      </c>
      <c r="B54" s="35" t="s">
        <v>762</v>
      </c>
      <c r="C54" s="43" t="s">
        <v>324</v>
      </c>
      <c r="D54" s="43" t="s">
        <v>325</v>
      </c>
      <c r="E54" s="8">
        <f t="shared" si="2"/>
        <v>10</v>
      </c>
      <c r="F54" s="8">
        <f t="shared" si="3"/>
        <v>13</v>
      </c>
      <c r="G54" s="8">
        <f t="shared" si="4"/>
        <v>23</v>
      </c>
      <c r="H54" s="39">
        <f t="shared" si="5"/>
        <v>43.47826087</v>
      </c>
      <c r="I54" s="11"/>
      <c r="J54" s="40" t="s">
        <v>80</v>
      </c>
      <c r="K54" s="40" t="s">
        <v>44</v>
      </c>
      <c r="L54" s="40" t="s">
        <v>80</v>
      </c>
      <c r="M54" s="14"/>
      <c r="N54" s="40" t="s">
        <v>80</v>
      </c>
      <c r="O54" s="40" t="s">
        <v>44</v>
      </c>
      <c r="P54" s="40" t="s">
        <v>44</v>
      </c>
      <c r="Q54" s="40" t="s">
        <v>80</v>
      </c>
      <c r="R54" s="40" t="s">
        <v>44</v>
      </c>
      <c r="S54" s="40" t="s">
        <v>44</v>
      </c>
      <c r="T54" s="14"/>
      <c r="U54" s="40" t="s">
        <v>44</v>
      </c>
      <c r="V54" s="42" t="s">
        <v>44</v>
      </c>
      <c r="W54" s="40" t="s">
        <v>44</v>
      </c>
      <c r="X54" s="40" t="s">
        <v>44</v>
      </c>
      <c r="Y54" s="40" t="s">
        <v>44</v>
      </c>
      <c r="Z54" s="40" t="s">
        <v>44</v>
      </c>
      <c r="AA54" s="14"/>
      <c r="AB54" s="40" t="s">
        <v>80</v>
      </c>
      <c r="AC54" s="40" t="s">
        <v>80</v>
      </c>
      <c r="AD54" s="40" t="s">
        <v>80</v>
      </c>
      <c r="AE54" s="40" t="s">
        <v>80</v>
      </c>
      <c r="AF54" s="40" t="s">
        <v>80</v>
      </c>
      <c r="AG54" s="40" t="s">
        <v>44</v>
      </c>
      <c r="AH54" s="14"/>
      <c r="AI54" s="40" t="s">
        <v>80</v>
      </c>
      <c r="AJ54" s="40" t="s">
        <v>44</v>
      </c>
      <c r="AK54" s="11"/>
      <c r="AL54" s="11"/>
      <c r="AM54" s="11"/>
      <c r="AN54" s="11"/>
      <c r="AO54" s="14"/>
      <c r="AP54" s="11"/>
      <c r="AQ54" s="11"/>
      <c r="AR54" s="11"/>
    </row>
    <row r="55">
      <c r="A55" s="33">
        <v>52.0</v>
      </c>
      <c r="B55" s="35" t="s">
        <v>763</v>
      </c>
      <c r="C55" s="43" t="s">
        <v>329</v>
      </c>
      <c r="D55" s="43" t="s">
        <v>330</v>
      </c>
      <c r="E55" s="8">
        <f t="shared" si="2"/>
        <v>21</v>
      </c>
      <c r="F55" s="8">
        <f t="shared" si="3"/>
        <v>2</v>
      </c>
      <c r="G55" s="8">
        <f t="shared" si="4"/>
        <v>23</v>
      </c>
      <c r="H55" s="39">
        <f t="shared" si="5"/>
        <v>91.30434783</v>
      </c>
      <c r="I55" s="11"/>
      <c r="J55" s="40" t="s">
        <v>80</v>
      </c>
      <c r="K55" s="40" t="s">
        <v>80</v>
      </c>
      <c r="L55" s="40" t="s">
        <v>80</v>
      </c>
      <c r="M55" s="14"/>
      <c r="N55" s="40" t="s">
        <v>80</v>
      </c>
      <c r="O55" s="40" t="s">
        <v>80</v>
      </c>
      <c r="P55" s="40" t="s">
        <v>80</v>
      </c>
      <c r="Q55" s="40" t="s">
        <v>80</v>
      </c>
      <c r="R55" s="40" t="s">
        <v>80</v>
      </c>
      <c r="S55" s="40" t="s">
        <v>80</v>
      </c>
      <c r="T55" s="14"/>
      <c r="U55" s="40" t="s">
        <v>80</v>
      </c>
      <c r="V55" s="42" t="s">
        <v>80</v>
      </c>
      <c r="W55" s="40" t="s">
        <v>80</v>
      </c>
      <c r="X55" s="40" t="s">
        <v>80</v>
      </c>
      <c r="Y55" s="40" t="s">
        <v>80</v>
      </c>
      <c r="Z55" s="40" t="s">
        <v>80</v>
      </c>
      <c r="AA55" s="14"/>
      <c r="AB55" s="40" t="s">
        <v>44</v>
      </c>
      <c r="AC55" s="40" t="s">
        <v>44</v>
      </c>
      <c r="AD55" s="40" t="s">
        <v>80</v>
      </c>
      <c r="AE55" s="40" t="s">
        <v>80</v>
      </c>
      <c r="AF55" s="40" t="s">
        <v>80</v>
      </c>
      <c r="AG55" s="40" t="s">
        <v>80</v>
      </c>
      <c r="AH55" s="14"/>
      <c r="AI55" s="40" t="s">
        <v>80</v>
      </c>
      <c r="AJ55" s="40" t="s">
        <v>80</v>
      </c>
      <c r="AK55" s="11"/>
      <c r="AL55" s="11"/>
      <c r="AM55" s="11"/>
      <c r="AN55" s="11"/>
      <c r="AO55" s="14"/>
      <c r="AP55" s="11"/>
      <c r="AQ55" s="11"/>
      <c r="AR55" s="11"/>
    </row>
    <row r="56">
      <c r="A56" s="33">
        <v>53.0</v>
      </c>
      <c r="B56" s="35" t="s">
        <v>764</v>
      </c>
      <c r="C56" s="43" t="s">
        <v>332</v>
      </c>
      <c r="D56" s="43" t="s">
        <v>333</v>
      </c>
      <c r="E56" s="8">
        <f t="shared" si="2"/>
        <v>18</v>
      </c>
      <c r="F56" s="8">
        <f t="shared" si="3"/>
        <v>5</v>
      </c>
      <c r="G56" s="8">
        <f t="shared" si="4"/>
        <v>23</v>
      </c>
      <c r="H56" s="39">
        <f t="shared" si="5"/>
        <v>78.26086957</v>
      </c>
      <c r="I56" s="11"/>
      <c r="J56" s="40" t="s">
        <v>80</v>
      </c>
      <c r="K56" s="40" t="s">
        <v>44</v>
      </c>
      <c r="L56" s="40" t="s">
        <v>80</v>
      </c>
      <c r="M56" s="14"/>
      <c r="N56" s="40" t="s">
        <v>80</v>
      </c>
      <c r="O56" s="40" t="s">
        <v>80</v>
      </c>
      <c r="P56" s="40" t="s">
        <v>80</v>
      </c>
      <c r="Q56" s="40" t="s">
        <v>44</v>
      </c>
      <c r="R56" s="40" t="s">
        <v>80</v>
      </c>
      <c r="S56" s="40" t="s">
        <v>44</v>
      </c>
      <c r="T56" s="14"/>
      <c r="U56" s="40" t="s">
        <v>44</v>
      </c>
      <c r="V56" s="55" t="s">
        <v>80</v>
      </c>
      <c r="W56" s="40" t="s">
        <v>80</v>
      </c>
      <c r="X56" s="40" t="s">
        <v>80</v>
      </c>
      <c r="Y56" s="40" t="s">
        <v>80</v>
      </c>
      <c r="Z56" s="40" t="s">
        <v>80</v>
      </c>
      <c r="AA56" s="14"/>
      <c r="AB56" s="40" t="s">
        <v>80</v>
      </c>
      <c r="AC56" s="40" t="s">
        <v>80</v>
      </c>
      <c r="AD56" s="40" t="s">
        <v>80</v>
      </c>
      <c r="AE56" s="40" t="s">
        <v>80</v>
      </c>
      <c r="AF56" s="40" t="s">
        <v>80</v>
      </c>
      <c r="AG56" s="40" t="s">
        <v>80</v>
      </c>
      <c r="AH56" s="14"/>
      <c r="AI56" s="40" t="s">
        <v>44</v>
      </c>
      <c r="AJ56" s="40" t="s">
        <v>80</v>
      </c>
      <c r="AK56" s="11"/>
      <c r="AL56" s="11"/>
      <c r="AM56" s="11"/>
      <c r="AN56" s="11"/>
      <c r="AO56" s="14"/>
      <c r="AP56" s="11"/>
      <c r="AQ56" s="11"/>
      <c r="AR56" s="11"/>
    </row>
    <row r="57">
      <c r="A57" s="33">
        <v>54.0</v>
      </c>
      <c r="B57" s="35" t="s">
        <v>765</v>
      </c>
      <c r="C57" s="43" t="s">
        <v>336</v>
      </c>
      <c r="D57" s="43" t="s">
        <v>337</v>
      </c>
      <c r="E57" s="8">
        <f t="shared" si="2"/>
        <v>23</v>
      </c>
      <c r="F57" s="8">
        <f t="shared" si="3"/>
        <v>0</v>
      </c>
      <c r="G57" s="8">
        <f t="shared" si="4"/>
        <v>23</v>
      </c>
      <c r="H57" s="39">
        <f t="shared" si="5"/>
        <v>100</v>
      </c>
      <c r="I57" s="11"/>
      <c r="J57" s="40" t="s">
        <v>80</v>
      </c>
      <c r="K57" s="40" t="s">
        <v>80</v>
      </c>
      <c r="L57" s="40" t="s">
        <v>80</v>
      </c>
      <c r="M57" s="14"/>
      <c r="N57" s="40" t="s">
        <v>80</v>
      </c>
      <c r="O57" s="40" t="s">
        <v>80</v>
      </c>
      <c r="P57" s="40" t="s">
        <v>80</v>
      </c>
      <c r="Q57" s="40" t="s">
        <v>80</v>
      </c>
      <c r="R57" s="40" t="s">
        <v>80</v>
      </c>
      <c r="S57" s="40" t="s">
        <v>80</v>
      </c>
      <c r="T57" s="14"/>
      <c r="U57" s="40" t="s">
        <v>80</v>
      </c>
      <c r="V57" s="42" t="s">
        <v>80</v>
      </c>
      <c r="W57" s="40" t="s">
        <v>80</v>
      </c>
      <c r="X57" s="40" t="s">
        <v>80</v>
      </c>
      <c r="Y57" s="40" t="s">
        <v>80</v>
      </c>
      <c r="Z57" s="40" t="s">
        <v>80</v>
      </c>
      <c r="AA57" s="14"/>
      <c r="AB57" s="40" t="s">
        <v>80</v>
      </c>
      <c r="AC57" s="40" t="s">
        <v>80</v>
      </c>
      <c r="AD57" s="40" t="s">
        <v>80</v>
      </c>
      <c r="AE57" s="40" t="s">
        <v>80</v>
      </c>
      <c r="AF57" s="40" t="s">
        <v>80</v>
      </c>
      <c r="AG57" s="40" t="s">
        <v>80</v>
      </c>
      <c r="AH57" s="14"/>
      <c r="AI57" s="40" t="s">
        <v>80</v>
      </c>
      <c r="AJ57" s="40" t="s">
        <v>80</v>
      </c>
      <c r="AK57" s="11"/>
      <c r="AL57" s="11"/>
      <c r="AM57" s="11"/>
      <c r="AN57" s="11"/>
      <c r="AO57" s="14"/>
      <c r="AP57" s="11"/>
      <c r="AQ57" s="11"/>
      <c r="AR57" s="11"/>
    </row>
    <row r="58">
      <c r="A58" s="33">
        <v>55.0</v>
      </c>
      <c r="B58" s="35" t="s">
        <v>766</v>
      </c>
      <c r="C58" s="43" t="s">
        <v>340</v>
      </c>
      <c r="D58" s="43" t="s">
        <v>341</v>
      </c>
      <c r="E58" s="8">
        <f t="shared" si="2"/>
        <v>4</v>
      </c>
      <c r="F58" s="8">
        <f t="shared" si="3"/>
        <v>19</v>
      </c>
      <c r="G58" s="8">
        <f t="shared" si="4"/>
        <v>23</v>
      </c>
      <c r="H58" s="39">
        <f t="shared" si="5"/>
        <v>17.39130435</v>
      </c>
      <c r="I58" s="11"/>
      <c r="J58" s="40" t="s">
        <v>80</v>
      </c>
      <c r="K58" s="40" t="s">
        <v>44</v>
      </c>
      <c r="L58" s="40" t="s">
        <v>44</v>
      </c>
      <c r="M58" s="14"/>
      <c r="N58" s="40" t="s">
        <v>44</v>
      </c>
      <c r="O58" s="40" t="s">
        <v>44</v>
      </c>
      <c r="P58" s="40" t="s">
        <v>44</v>
      </c>
      <c r="Q58" s="40" t="s">
        <v>44</v>
      </c>
      <c r="R58" s="40" t="s">
        <v>80</v>
      </c>
      <c r="S58" s="40" t="s">
        <v>44</v>
      </c>
      <c r="T58" s="14"/>
      <c r="U58" s="40" t="s">
        <v>44</v>
      </c>
      <c r="V58" s="42" t="s">
        <v>44</v>
      </c>
      <c r="W58" s="40" t="s">
        <v>44</v>
      </c>
      <c r="X58" s="40" t="s">
        <v>44</v>
      </c>
      <c r="Y58" s="40" t="s">
        <v>44</v>
      </c>
      <c r="Z58" s="40" t="s">
        <v>44</v>
      </c>
      <c r="AA58" s="14"/>
      <c r="AB58" s="40" t="s">
        <v>44</v>
      </c>
      <c r="AC58" s="40" t="s">
        <v>80</v>
      </c>
      <c r="AD58" s="40" t="s">
        <v>44</v>
      </c>
      <c r="AE58" s="40" t="s">
        <v>44</v>
      </c>
      <c r="AF58" s="40" t="s">
        <v>44</v>
      </c>
      <c r="AG58" s="40" t="s">
        <v>44</v>
      </c>
      <c r="AH58" s="14"/>
      <c r="AI58" s="40" t="s">
        <v>80</v>
      </c>
      <c r="AJ58" s="40" t="s">
        <v>44</v>
      </c>
      <c r="AK58" s="11"/>
      <c r="AL58" s="11"/>
      <c r="AM58" s="11"/>
      <c r="AN58" s="11"/>
      <c r="AO58" s="14"/>
      <c r="AP58" s="11"/>
      <c r="AQ58" s="11"/>
      <c r="AR58" s="11"/>
    </row>
    <row r="59">
      <c r="A59" s="33">
        <v>56.0</v>
      </c>
      <c r="B59" s="35" t="s">
        <v>767</v>
      </c>
      <c r="C59" s="43" t="s">
        <v>344</v>
      </c>
      <c r="D59" s="43" t="s">
        <v>345</v>
      </c>
      <c r="E59" s="8">
        <f t="shared" si="2"/>
        <v>17</v>
      </c>
      <c r="F59" s="8">
        <f t="shared" si="3"/>
        <v>6</v>
      </c>
      <c r="G59" s="8">
        <f t="shared" si="4"/>
        <v>23</v>
      </c>
      <c r="H59" s="39">
        <f t="shared" si="5"/>
        <v>73.91304348</v>
      </c>
      <c r="I59" s="11"/>
      <c r="J59" s="40" t="s">
        <v>80</v>
      </c>
      <c r="K59" s="40" t="s">
        <v>80</v>
      </c>
      <c r="L59" s="40" t="s">
        <v>80</v>
      </c>
      <c r="M59" s="14"/>
      <c r="N59" s="40" t="s">
        <v>80</v>
      </c>
      <c r="O59" s="40" t="s">
        <v>80</v>
      </c>
      <c r="P59" s="40" t="s">
        <v>80</v>
      </c>
      <c r="Q59" s="40" t="s">
        <v>80</v>
      </c>
      <c r="R59" s="40" t="s">
        <v>80</v>
      </c>
      <c r="S59" s="40" t="s">
        <v>80</v>
      </c>
      <c r="T59" s="14"/>
      <c r="U59" s="40" t="s">
        <v>44</v>
      </c>
      <c r="V59" s="42" t="s">
        <v>80</v>
      </c>
      <c r="W59" s="40" t="s">
        <v>80</v>
      </c>
      <c r="X59" s="40" t="s">
        <v>44</v>
      </c>
      <c r="Y59" s="40" t="s">
        <v>44</v>
      </c>
      <c r="Z59" s="40" t="s">
        <v>44</v>
      </c>
      <c r="AA59" s="14"/>
      <c r="AB59" s="40" t="s">
        <v>80</v>
      </c>
      <c r="AC59" s="40" t="s">
        <v>80</v>
      </c>
      <c r="AD59" s="40" t="s">
        <v>80</v>
      </c>
      <c r="AE59" s="40" t="s">
        <v>80</v>
      </c>
      <c r="AF59" s="40" t="s">
        <v>80</v>
      </c>
      <c r="AG59" s="40" t="s">
        <v>44</v>
      </c>
      <c r="AH59" s="14"/>
      <c r="AI59" s="40" t="s">
        <v>44</v>
      </c>
      <c r="AJ59" s="40" t="s">
        <v>80</v>
      </c>
      <c r="AK59" s="11"/>
      <c r="AL59" s="11"/>
      <c r="AM59" s="11"/>
      <c r="AN59" s="11"/>
      <c r="AO59" s="14"/>
      <c r="AP59" s="11"/>
      <c r="AQ59" s="11"/>
      <c r="AR59" s="11"/>
    </row>
    <row r="60">
      <c r="A60" s="33">
        <v>57.0</v>
      </c>
      <c r="B60" s="35" t="s">
        <v>768</v>
      </c>
      <c r="C60" s="43" t="s">
        <v>349</v>
      </c>
      <c r="D60" s="43" t="s">
        <v>350</v>
      </c>
      <c r="E60" s="8">
        <f t="shared" si="2"/>
        <v>15</v>
      </c>
      <c r="F60" s="8">
        <f t="shared" si="3"/>
        <v>8</v>
      </c>
      <c r="G60" s="8">
        <f t="shared" si="4"/>
        <v>23</v>
      </c>
      <c r="H60" s="39">
        <f t="shared" si="5"/>
        <v>65.2173913</v>
      </c>
      <c r="I60" s="11"/>
      <c r="J60" s="40" t="s">
        <v>80</v>
      </c>
      <c r="K60" s="40" t="s">
        <v>44</v>
      </c>
      <c r="L60" s="40" t="s">
        <v>80</v>
      </c>
      <c r="M60" s="14"/>
      <c r="N60" s="40" t="s">
        <v>44</v>
      </c>
      <c r="O60" s="40" t="s">
        <v>80</v>
      </c>
      <c r="P60" s="40" t="s">
        <v>44</v>
      </c>
      <c r="Q60" s="40" t="s">
        <v>80</v>
      </c>
      <c r="R60" s="40" t="s">
        <v>80</v>
      </c>
      <c r="S60" s="40" t="s">
        <v>80</v>
      </c>
      <c r="T60" s="14"/>
      <c r="U60" s="40" t="s">
        <v>44</v>
      </c>
      <c r="V60" s="42" t="s">
        <v>80</v>
      </c>
      <c r="W60" s="40" t="s">
        <v>80</v>
      </c>
      <c r="X60" s="40" t="s">
        <v>80</v>
      </c>
      <c r="Y60" s="40" t="s">
        <v>44</v>
      </c>
      <c r="Z60" s="40" t="s">
        <v>80</v>
      </c>
      <c r="AA60" s="14"/>
      <c r="AB60" s="40" t="s">
        <v>80</v>
      </c>
      <c r="AC60" s="40" t="s">
        <v>80</v>
      </c>
      <c r="AD60" s="40" t="s">
        <v>44</v>
      </c>
      <c r="AE60" s="40" t="s">
        <v>80</v>
      </c>
      <c r="AF60" s="40" t="s">
        <v>80</v>
      </c>
      <c r="AG60" s="40" t="s">
        <v>44</v>
      </c>
      <c r="AH60" s="14"/>
      <c r="AI60" s="40" t="s">
        <v>80</v>
      </c>
      <c r="AJ60" s="40" t="s">
        <v>44</v>
      </c>
      <c r="AK60" s="11"/>
      <c r="AL60" s="11"/>
      <c r="AM60" s="11"/>
      <c r="AN60" s="11"/>
      <c r="AO60" s="14"/>
      <c r="AP60" s="11"/>
      <c r="AQ60" s="11"/>
      <c r="AR60" s="11"/>
    </row>
    <row r="61">
      <c r="A61" s="33">
        <v>58.0</v>
      </c>
      <c r="B61" s="35" t="s">
        <v>769</v>
      </c>
      <c r="C61" s="43" t="s">
        <v>354</v>
      </c>
      <c r="D61" s="43" t="s">
        <v>355</v>
      </c>
      <c r="E61" s="8">
        <f t="shared" si="2"/>
        <v>22</v>
      </c>
      <c r="F61" s="8">
        <f t="shared" si="3"/>
        <v>1</v>
      </c>
      <c r="G61" s="8">
        <f t="shared" si="4"/>
        <v>23</v>
      </c>
      <c r="H61" s="39">
        <f t="shared" si="5"/>
        <v>95.65217391</v>
      </c>
      <c r="I61" s="11"/>
      <c r="J61" s="40" t="s">
        <v>80</v>
      </c>
      <c r="K61" s="40" t="s">
        <v>80</v>
      </c>
      <c r="L61" s="40" t="s">
        <v>80</v>
      </c>
      <c r="M61" s="14"/>
      <c r="N61" s="40" t="s">
        <v>80</v>
      </c>
      <c r="O61" s="40" t="s">
        <v>80</v>
      </c>
      <c r="P61" s="40" t="s">
        <v>80</v>
      </c>
      <c r="Q61" s="40" t="s">
        <v>80</v>
      </c>
      <c r="R61" s="40" t="s">
        <v>80</v>
      </c>
      <c r="S61" s="40" t="s">
        <v>80</v>
      </c>
      <c r="T61" s="14"/>
      <c r="U61" s="40" t="s">
        <v>80</v>
      </c>
      <c r="V61" s="42" t="s">
        <v>80</v>
      </c>
      <c r="W61" s="40" t="s">
        <v>80</v>
      </c>
      <c r="X61" s="40" t="s">
        <v>80</v>
      </c>
      <c r="Y61" s="40" t="s">
        <v>80</v>
      </c>
      <c r="Z61" s="40" t="s">
        <v>80</v>
      </c>
      <c r="AA61" s="14"/>
      <c r="AB61" s="40" t="s">
        <v>80</v>
      </c>
      <c r="AC61" s="40" t="s">
        <v>80</v>
      </c>
      <c r="AD61" s="40" t="s">
        <v>44</v>
      </c>
      <c r="AE61" s="40" t="s">
        <v>80</v>
      </c>
      <c r="AF61" s="40" t="s">
        <v>80</v>
      </c>
      <c r="AG61" s="40" t="s">
        <v>80</v>
      </c>
      <c r="AH61" s="14"/>
      <c r="AI61" s="40" t="s">
        <v>80</v>
      </c>
      <c r="AJ61" s="40" t="s">
        <v>80</v>
      </c>
      <c r="AK61" s="11"/>
      <c r="AL61" s="11"/>
      <c r="AM61" s="11"/>
      <c r="AN61" s="11"/>
      <c r="AO61" s="14"/>
      <c r="AP61" s="11"/>
      <c r="AQ61" s="11"/>
      <c r="AR61" s="11"/>
    </row>
    <row r="62">
      <c r="A62" s="33">
        <v>59.0</v>
      </c>
      <c r="B62" s="35" t="s">
        <v>770</v>
      </c>
      <c r="C62" s="43" t="s">
        <v>358</v>
      </c>
      <c r="D62" s="43" t="s">
        <v>360</v>
      </c>
      <c r="E62" s="8">
        <f t="shared" si="2"/>
        <v>19</v>
      </c>
      <c r="F62" s="8">
        <f t="shared" si="3"/>
        <v>4</v>
      </c>
      <c r="G62" s="8">
        <f t="shared" si="4"/>
        <v>23</v>
      </c>
      <c r="H62" s="39">
        <f t="shared" si="5"/>
        <v>82.60869565</v>
      </c>
      <c r="I62" s="11"/>
      <c r="J62" s="40" t="s">
        <v>80</v>
      </c>
      <c r="K62" s="40" t="s">
        <v>80</v>
      </c>
      <c r="L62" s="40" t="s">
        <v>80</v>
      </c>
      <c r="M62" s="14"/>
      <c r="N62" s="40" t="s">
        <v>80</v>
      </c>
      <c r="O62" s="40" t="s">
        <v>80</v>
      </c>
      <c r="P62" s="40" t="s">
        <v>80</v>
      </c>
      <c r="Q62" s="40" t="s">
        <v>44</v>
      </c>
      <c r="R62" s="40" t="s">
        <v>80</v>
      </c>
      <c r="S62" s="40" t="s">
        <v>80</v>
      </c>
      <c r="T62" s="14"/>
      <c r="U62" s="40" t="s">
        <v>80</v>
      </c>
      <c r="V62" s="42" t="s">
        <v>80</v>
      </c>
      <c r="W62" s="40" t="s">
        <v>80</v>
      </c>
      <c r="X62" s="40" t="s">
        <v>80</v>
      </c>
      <c r="Y62" s="40" t="s">
        <v>80</v>
      </c>
      <c r="Z62" s="40" t="s">
        <v>80</v>
      </c>
      <c r="AA62" s="14"/>
      <c r="AB62" s="40" t="s">
        <v>80</v>
      </c>
      <c r="AC62" s="40" t="s">
        <v>80</v>
      </c>
      <c r="AD62" s="40" t="s">
        <v>44</v>
      </c>
      <c r="AE62" s="40" t="s">
        <v>80</v>
      </c>
      <c r="AF62" s="40" t="s">
        <v>80</v>
      </c>
      <c r="AG62" s="40" t="s">
        <v>80</v>
      </c>
      <c r="AH62" s="14"/>
      <c r="AI62" s="40" t="s">
        <v>44</v>
      </c>
      <c r="AJ62" s="40" t="s">
        <v>44</v>
      </c>
      <c r="AK62" s="11"/>
      <c r="AL62" s="11"/>
      <c r="AM62" s="11"/>
      <c r="AN62" s="11"/>
      <c r="AO62" s="14"/>
      <c r="AP62" s="11"/>
      <c r="AQ62" s="11"/>
      <c r="AR62" s="11"/>
    </row>
    <row r="63">
      <c r="A63" s="33">
        <v>60.0</v>
      </c>
      <c r="B63" s="35" t="s">
        <v>771</v>
      </c>
      <c r="C63" s="43" t="s">
        <v>362</v>
      </c>
      <c r="D63" s="43" t="s">
        <v>363</v>
      </c>
      <c r="E63" s="8">
        <f t="shared" si="2"/>
        <v>19</v>
      </c>
      <c r="F63" s="8">
        <f t="shared" si="3"/>
        <v>4</v>
      </c>
      <c r="G63" s="8">
        <f t="shared" si="4"/>
        <v>23</v>
      </c>
      <c r="H63" s="39">
        <f t="shared" si="5"/>
        <v>82.60869565</v>
      </c>
      <c r="I63" s="11"/>
      <c r="J63" s="40" t="s">
        <v>80</v>
      </c>
      <c r="K63" s="40" t="s">
        <v>80</v>
      </c>
      <c r="L63" s="40" t="s">
        <v>80</v>
      </c>
      <c r="M63" s="14"/>
      <c r="N63" s="40" t="s">
        <v>44</v>
      </c>
      <c r="O63" s="40" t="s">
        <v>44</v>
      </c>
      <c r="P63" s="40" t="s">
        <v>80</v>
      </c>
      <c r="Q63" s="40" t="s">
        <v>44</v>
      </c>
      <c r="R63" s="40" t="s">
        <v>80</v>
      </c>
      <c r="S63" s="40" t="s">
        <v>80</v>
      </c>
      <c r="T63" s="14"/>
      <c r="U63" s="40" t="s">
        <v>80</v>
      </c>
      <c r="V63" s="42" t="s">
        <v>80</v>
      </c>
      <c r="W63" s="40" t="s">
        <v>80</v>
      </c>
      <c r="X63" s="40" t="s">
        <v>80</v>
      </c>
      <c r="Y63" s="40" t="s">
        <v>80</v>
      </c>
      <c r="Z63" s="40" t="s">
        <v>80</v>
      </c>
      <c r="AA63" s="14"/>
      <c r="AB63" s="40" t="s">
        <v>44</v>
      </c>
      <c r="AC63" s="40" t="s">
        <v>80</v>
      </c>
      <c r="AD63" s="40" t="s">
        <v>80</v>
      </c>
      <c r="AE63" s="40" t="s">
        <v>80</v>
      </c>
      <c r="AF63" s="40" t="s">
        <v>80</v>
      </c>
      <c r="AG63" s="40" t="s">
        <v>80</v>
      </c>
      <c r="AH63" s="14"/>
      <c r="AI63" s="40" t="s">
        <v>80</v>
      </c>
      <c r="AJ63" s="40" t="s">
        <v>80</v>
      </c>
      <c r="AK63" s="11"/>
      <c r="AL63" s="11"/>
      <c r="AM63" s="11"/>
      <c r="AN63" s="11"/>
      <c r="AO63" s="14"/>
      <c r="AP63" s="11"/>
      <c r="AQ63" s="11"/>
      <c r="AR63" s="11"/>
    </row>
    <row r="64">
      <c r="A64" s="33">
        <v>61.0</v>
      </c>
      <c r="B64" s="35" t="s">
        <v>772</v>
      </c>
      <c r="C64" s="43" t="s">
        <v>366</v>
      </c>
      <c r="D64" s="43" t="s">
        <v>368</v>
      </c>
      <c r="E64" s="8">
        <f t="shared" si="2"/>
        <v>14</v>
      </c>
      <c r="F64" s="8">
        <f t="shared" si="3"/>
        <v>9</v>
      </c>
      <c r="G64" s="8">
        <f t="shared" si="4"/>
        <v>23</v>
      </c>
      <c r="H64" s="39">
        <f t="shared" si="5"/>
        <v>60.86956522</v>
      </c>
      <c r="I64" s="11"/>
      <c r="J64" s="40" t="s">
        <v>44</v>
      </c>
      <c r="K64" s="40" t="s">
        <v>80</v>
      </c>
      <c r="L64" s="40" t="s">
        <v>80</v>
      </c>
      <c r="M64" s="14"/>
      <c r="N64" s="40" t="s">
        <v>80</v>
      </c>
      <c r="O64" s="40" t="s">
        <v>80</v>
      </c>
      <c r="P64" s="40" t="s">
        <v>44</v>
      </c>
      <c r="Q64" s="40" t="s">
        <v>44</v>
      </c>
      <c r="R64" s="40" t="s">
        <v>80</v>
      </c>
      <c r="S64" s="40" t="s">
        <v>80</v>
      </c>
      <c r="T64" s="14"/>
      <c r="U64" s="40" t="s">
        <v>44</v>
      </c>
      <c r="V64" s="42" t="s">
        <v>44</v>
      </c>
      <c r="W64" s="40" t="s">
        <v>44</v>
      </c>
      <c r="X64" s="40" t="s">
        <v>44</v>
      </c>
      <c r="Y64" s="40" t="s">
        <v>44</v>
      </c>
      <c r="Z64" s="40" t="s">
        <v>44</v>
      </c>
      <c r="AA64" s="14"/>
      <c r="AB64" s="40" t="s">
        <v>80</v>
      </c>
      <c r="AC64" s="40" t="s">
        <v>80</v>
      </c>
      <c r="AD64" s="40" t="s">
        <v>80</v>
      </c>
      <c r="AE64" s="40" t="s">
        <v>80</v>
      </c>
      <c r="AF64" s="40" t="s">
        <v>80</v>
      </c>
      <c r="AG64" s="40" t="s">
        <v>80</v>
      </c>
      <c r="AH64" s="14"/>
      <c r="AI64" s="40" t="s">
        <v>80</v>
      </c>
      <c r="AJ64" s="40" t="s">
        <v>80</v>
      </c>
      <c r="AK64" s="11"/>
      <c r="AL64" s="11"/>
      <c r="AM64" s="11"/>
      <c r="AN64" s="11"/>
      <c r="AO64" s="14"/>
      <c r="AP64" s="11"/>
      <c r="AQ64" s="11"/>
      <c r="AR64" s="11"/>
    </row>
    <row r="65">
      <c r="A65" s="33">
        <v>62.0</v>
      </c>
      <c r="B65" s="35" t="s">
        <v>773</v>
      </c>
      <c r="C65" s="43" t="s">
        <v>371</v>
      </c>
      <c r="D65" s="43" t="s">
        <v>372</v>
      </c>
      <c r="E65" s="8">
        <f t="shared" si="2"/>
        <v>9</v>
      </c>
      <c r="F65" s="8">
        <f t="shared" si="3"/>
        <v>14</v>
      </c>
      <c r="G65" s="8">
        <f t="shared" si="4"/>
        <v>23</v>
      </c>
      <c r="H65" s="39">
        <f t="shared" si="5"/>
        <v>39.13043478</v>
      </c>
      <c r="I65" s="11"/>
      <c r="J65" s="40" t="s">
        <v>80</v>
      </c>
      <c r="K65" s="40" t="s">
        <v>44</v>
      </c>
      <c r="L65" s="40" t="s">
        <v>44</v>
      </c>
      <c r="M65" s="14"/>
      <c r="N65" s="40" t="s">
        <v>44</v>
      </c>
      <c r="O65" s="40" t="s">
        <v>44</v>
      </c>
      <c r="P65" s="40" t="s">
        <v>44</v>
      </c>
      <c r="Q65" s="40" t="s">
        <v>44</v>
      </c>
      <c r="R65" s="40" t="s">
        <v>44</v>
      </c>
      <c r="S65" s="40" t="s">
        <v>44</v>
      </c>
      <c r="T65" s="14"/>
      <c r="U65" s="40" t="s">
        <v>44</v>
      </c>
      <c r="V65" s="42" t="s">
        <v>44</v>
      </c>
      <c r="W65" s="40" t="s">
        <v>44</v>
      </c>
      <c r="X65" s="40" t="s">
        <v>44</v>
      </c>
      <c r="Y65" s="40" t="s">
        <v>44</v>
      </c>
      <c r="Z65" s="40" t="s">
        <v>44</v>
      </c>
      <c r="AA65" s="14"/>
      <c r="AB65" s="40" t="s">
        <v>80</v>
      </c>
      <c r="AC65" s="40" t="s">
        <v>80</v>
      </c>
      <c r="AD65" s="40" t="s">
        <v>80</v>
      </c>
      <c r="AE65" s="40" t="s">
        <v>80</v>
      </c>
      <c r="AF65" s="40" t="s">
        <v>80</v>
      </c>
      <c r="AG65" s="40" t="s">
        <v>80</v>
      </c>
      <c r="AH65" s="14"/>
      <c r="AI65" s="40" t="s">
        <v>80</v>
      </c>
      <c r="AJ65" s="40" t="s">
        <v>80</v>
      </c>
      <c r="AK65" s="11"/>
      <c r="AL65" s="11"/>
      <c r="AM65" s="11"/>
      <c r="AN65" s="11"/>
      <c r="AO65" s="14"/>
      <c r="AP65" s="11"/>
      <c r="AQ65" s="11"/>
      <c r="AR65" s="11"/>
    </row>
    <row r="66">
      <c r="A66" s="33">
        <v>63.0</v>
      </c>
      <c r="B66" s="35" t="s">
        <v>774</v>
      </c>
      <c r="C66" s="43" t="s">
        <v>375</v>
      </c>
      <c r="D66" s="43" t="s">
        <v>376</v>
      </c>
      <c r="E66" s="8">
        <f t="shared" si="2"/>
        <v>18</v>
      </c>
      <c r="F66" s="8">
        <f t="shared" si="3"/>
        <v>5</v>
      </c>
      <c r="G66" s="8">
        <f t="shared" si="4"/>
        <v>23</v>
      </c>
      <c r="H66" s="39">
        <f t="shared" si="5"/>
        <v>78.26086957</v>
      </c>
      <c r="I66" s="11"/>
      <c r="J66" s="40" t="s">
        <v>80</v>
      </c>
      <c r="K66" s="40" t="s">
        <v>80</v>
      </c>
      <c r="L66" s="40" t="s">
        <v>80</v>
      </c>
      <c r="M66" s="14"/>
      <c r="N66" s="40" t="s">
        <v>80</v>
      </c>
      <c r="O66" s="40" t="s">
        <v>80</v>
      </c>
      <c r="P66" s="40" t="s">
        <v>80</v>
      </c>
      <c r="Q66" s="40" t="s">
        <v>80</v>
      </c>
      <c r="R66" s="40" t="s">
        <v>80</v>
      </c>
      <c r="S66" s="40" t="s">
        <v>80</v>
      </c>
      <c r="T66" s="14"/>
      <c r="U66" s="40" t="s">
        <v>80</v>
      </c>
      <c r="V66" s="42" t="s">
        <v>80</v>
      </c>
      <c r="W66" s="40" t="s">
        <v>80</v>
      </c>
      <c r="X66" s="40" t="s">
        <v>80</v>
      </c>
      <c r="Y66" s="40" t="s">
        <v>80</v>
      </c>
      <c r="Z66" s="40" t="s">
        <v>80</v>
      </c>
      <c r="AA66" s="14"/>
      <c r="AB66" s="40" t="s">
        <v>44</v>
      </c>
      <c r="AC66" s="40" t="s">
        <v>80</v>
      </c>
      <c r="AD66" s="40" t="s">
        <v>44</v>
      </c>
      <c r="AE66" s="40" t="s">
        <v>80</v>
      </c>
      <c r="AF66" s="40" t="s">
        <v>80</v>
      </c>
      <c r="AG66" s="40" t="s">
        <v>44</v>
      </c>
      <c r="AH66" s="14"/>
      <c r="AI66" s="40" t="s">
        <v>44</v>
      </c>
      <c r="AJ66" s="40" t="s">
        <v>44</v>
      </c>
      <c r="AK66" s="11"/>
      <c r="AL66" s="11"/>
      <c r="AM66" s="11"/>
      <c r="AN66" s="11"/>
      <c r="AO66" s="14"/>
      <c r="AP66" s="11"/>
      <c r="AQ66" s="11"/>
      <c r="AR66" s="11"/>
    </row>
    <row r="67">
      <c r="A67" s="33">
        <v>64.0</v>
      </c>
      <c r="B67" s="35" t="s">
        <v>775</v>
      </c>
      <c r="C67" s="43" t="s">
        <v>381</v>
      </c>
      <c r="D67" s="43" t="s">
        <v>382</v>
      </c>
      <c r="E67" s="8">
        <f t="shared" si="2"/>
        <v>17</v>
      </c>
      <c r="F67" s="8">
        <f t="shared" si="3"/>
        <v>6</v>
      </c>
      <c r="G67" s="8">
        <f t="shared" si="4"/>
        <v>23</v>
      </c>
      <c r="H67" s="39">
        <f t="shared" si="5"/>
        <v>73.91304348</v>
      </c>
      <c r="I67" s="11"/>
      <c r="J67" s="40" t="s">
        <v>80</v>
      </c>
      <c r="K67" s="40" t="s">
        <v>80</v>
      </c>
      <c r="L67" s="40" t="s">
        <v>44</v>
      </c>
      <c r="M67" s="14"/>
      <c r="N67" s="40" t="s">
        <v>80</v>
      </c>
      <c r="O67" s="40" t="s">
        <v>80</v>
      </c>
      <c r="P67" s="40" t="s">
        <v>80</v>
      </c>
      <c r="Q67" s="40" t="s">
        <v>80</v>
      </c>
      <c r="R67" s="40" t="s">
        <v>80</v>
      </c>
      <c r="S67" s="40" t="s">
        <v>80</v>
      </c>
      <c r="T67" s="14"/>
      <c r="U67" s="40" t="s">
        <v>80</v>
      </c>
      <c r="V67" s="42" t="s">
        <v>80</v>
      </c>
      <c r="W67" s="40" t="s">
        <v>80</v>
      </c>
      <c r="X67" s="40" t="s">
        <v>80</v>
      </c>
      <c r="Y67" s="40" t="s">
        <v>80</v>
      </c>
      <c r="Z67" s="40" t="s">
        <v>80</v>
      </c>
      <c r="AA67" s="14"/>
      <c r="AB67" s="40" t="s">
        <v>80</v>
      </c>
      <c r="AC67" s="40" t="s">
        <v>80</v>
      </c>
      <c r="AD67" s="40" t="s">
        <v>44</v>
      </c>
      <c r="AE67" s="40" t="s">
        <v>44</v>
      </c>
      <c r="AF67" s="40" t="s">
        <v>80</v>
      </c>
      <c r="AG67" s="40" t="s">
        <v>44</v>
      </c>
      <c r="AH67" s="14"/>
      <c r="AI67" s="40" t="s">
        <v>44</v>
      </c>
      <c r="AJ67" s="40" t="s">
        <v>44</v>
      </c>
      <c r="AK67" s="11"/>
      <c r="AL67" s="11"/>
      <c r="AM67" s="11"/>
      <c r="AN67" s="11"/>
      <c r="AO67" s="14"/>
      <c r="AP67" s="11"/>
      <c r="AQ67" s="11"/>
      <c r="AR67" s="11"/>
    </row>
    <row r="68">
      <c r="A68" s="33">
        <v>65.0</v>
      </c>
      <c r="B68" s="35" t="s">
        <v>776</v>
      </c>
      <c r="C68" s="43" t="s">
        <v>386</v>
      </c>
      <c r="D68" s="43" t="s">
        <v>387</v>
      </c>
      <c r="E68" s="8">
        <f t="shared" si="2"/>
        <v>22</v>
      </c>
      <c r="F68" s="8">
        <f t="shared" si="3"/>
        <v>1</v>
      </c>
      <c r="G68" s="8">
        <f t="shared" si="4"/>
        <v>23</v>
      </c>
      <c r="H68" s="39">
        <f t="shared" si="5"/>
        <v>95.65217391</v>
      </c>
      <c r="I68" s="11"/>
      <c r="J68" s="57" t="s">
        <v>80</v>
      </c>
      <c r="K68" s="40" t="s">
        <v>80</v>
      </c>
      <c r="L68" s="40" t="s">
        <v>80</v>
      </c>
      <c r="M68" s="14"/>
      <c r="N68" s="40" t="s">
        <v>80</v>
      </c>
      <c r="O68" s="40" t="s">
        <v>80</v>
      </c>
      <c r="P68" s="40" t="s">
        <v>80</v>
      </c>
      <c r="Q68" s="40" t="s">
        <v>80</v>
      </c>
      <c r="R68" s="40" t="s">
        <v>80</v>
      </c>
      <c r="S68" s="40" t="s">
        <v>80</v>
      </c>
      <c r="T68" s="14"/>
      <c r="U68" s="40" t="s">
        <v>80</v>
      </c>
      <c r="V68" s="42" t="s">
        <v>80</v>
      </c>
      <c r="W68" s="40" t="s">
        <v>80</v>
      </c>
      <c r="X68" s="40" t="s">
        <v>44</v>
      </c>
      <c r="Y68" s="40" t="s">
        <v>80</v>
      </c>
      <c r="Z68" s="40" t="s">
        <v>80</v>
      </c>
      <c r="AA68" s="14"/>
      <c r="AB68" s="40" t="s">
        <v>80</v>
      </c>
      <c r="AC68" s="40" t="s">
        <v>80</v>
      </c>
      <c r="AD68" s="40" t="s">
        <v>80</v>
      </c>
      <c r="AE68" s="40" t="s">
        <v>80</v>
      </c>
      <c r="AF68" s="40" t="s">
        <v>80</v>
      </c>
      <c r="AG68" s="40" t="s">
        <v>80</v>
      </c>
      <c r="AH68" s="14"/>
      <c r="AI68" s="40" t="s">
        <v>80</v>
      </c>
      <c r="AJ68" s="40" t="s">
        <v>80</v>
      </c>
      <c r="AK68" s="11"/>
      <c r="AL68" s="11"/>
      <c r="AM68" s="11"/>
      <c r="AN68" s="11"/>
      <c r="AO68" s="14"/>
      <c r="AP68" s="11"/>
      <c r="AQ68" s="11"/>
      <c r="AR68" s="11"/>
    </row>
    <row r="69">
      <c r="A69" s="33">
        <v>66.0</v>
      </c>
      <c r="B69" s="35" t="s">
        <v>777</v>
      </c>
      <c r="C69" s="43" t="s">
        <v>389</v>
      </c>
      <c r="D69" s="43" t="s">
        <v>390</v>
      </c>
      <c r="E69" s="8">
        <f t="shared" si="2"/>
        <v>23</v>
      </c>
      <c r="F69" s="8">
        <f t="shared" si="3"/>
        <v>0</v>
      </c>
      <c r="G69" s="8">
        <f t="shared" si="4"/>
        <v>23</v>
      </c>
      <c r="H69" s="39">
        <f t="shared" si="5"/>
        <v>100</v>
      </c>
      <c r="I69" s="11"/>
      <c r="J69" s="40" t="s">
        <v>80</v>
      </c>
      <c r="K69" s="40" t="s">
        <v>80</v>
      </c>
      <c r="L69" s="40" t="s">
        <v>80</v>
      </c>
      <c r="M69" s="14"/>
      <c r="N69" s="40" t="s">
        <v>80</v>
      </c>
      <c r="O69" s="40" t="s">
        <v>80</v>
      </c>
      <c r="P69" s="40" t="s">
        <v>80</v>
      </c>
      <c r="Q69" s="40" t="s">
        <v>80</v>
      </c>
      <c r="R69" s="40" t="s">
        <v>80</v>
      </c>
      <c r="S69" s="40" t="s">
        <v>80</v>
      </c>
      <c r="T69" s="14"/>
      <c r="U69" s="40" t="s">
        <v>80</v>
      </c>
      <c r="V69" s="42" t="s">
        <v>80</v>
      </c>
      <c r="W69" s="40" t="s">
        <v>80</v>
      </c>
      <c r="X69" s="40" t="s">
        <v>80</v>
      </c>
      <c r="Y69" s="40" t="s">
        <v>80</v>
      </c>
      <c r="Z69" s="40" t="s">
        <v>80</v>
      </c>
      <c r="AA69" s="14"/>
      <c r="AB69" s="40" t="s">
        <v>80</v>
      </c>
      <c r="AC69" s="40" t="s">
        <v>80</v>
      </c>
      <c r="AD69" s="40" t="s">
        <v>80</v>
      </c>
      <c r="AE69" s="40" t="s">
        <v>80</v>
      </c>
      <c r="AF69" s="40" t="s">
        <v>80</v>
      </c>
      <c r="AG69" s="40" t="s">
        <v>80</v>
      </c>
      <c r="AH69" s="14"/>
      <c r="AI69" s="40" t="s">
        <v>80</v>
      </c>
      <c r="AJ69" s="40" t="s">
        <v>80</v>
      </c>
      <c r="AK69" s="11"/>
      <c r="AL69" s="11"/>
      <c r="AM69" s="11"/>
      <c r="AN69" s="11"/>
      <c r="AO69" s="14"/>
      <c r="AP69" s="11"/>
      <c r="AQ69" s="11"/>
      <c r="AR69" s="11"/>
    </row>
    <row r="70">
      <c r="A70" s="33">
        <v>67.0</v>
      </c>
      <c r="B70" s="35" t="s">
        <v>778</v>
      </c>
      <c r="C70" s="43" t="s">
        <v>393</v>
      </c>
      <c r="D70" s="43" t="s">
        <v>394</v>
      </c>
      <c r="E70" s="8">
        <f t="shared" si="2"/>
        <v>13</v>
      </c>
      <c r="F70" s="8">
        <f t="shared" si="3"/>
        <v>10</v>
      </c>
      <c r="G70" s="8">
        <f t="shared" si="4"/>
        <v>23</v>
      </c>
      <c r="H70" s="39">
        <f t="shared" si="5"/>
        <v>56.52173913</v>
      </c>
      <c r="I70" s="11"/>
      <c r="J70" s="40" t="s">
        <v>44</v>
      </c>
      <c r="K70" s="40" t="s">
        <v>44</v>
      </c>
      <c r="L70" s="40" t="s">
        <v>80</v>
      </c>
      <c r="M70" s="14"/>
      <c r="N70" s="40" t="s">
        <v>44</v>
      </c>
      <c r="O70" s="40" t="s">
        <v>44</v>
      </c>
      <c r="P70" s="40" t="s">
        <v>80</v>
      </c>
      <c r="Q70" s="40" t="s">
        <v>44</v>
      </c>
      <c r="R70" s="40" t="s">
        <v>80</v>
      </c>
      <c r="S70" s="40" t="s">
        <v>44</v>
      </c>
      <c r="T70" s="14"/>
      <c r="U70" s="40" t="s">
        <v>44</v>
      </c>
      <c r="V70" s="42" t="s">
        <v>44</v>
      </c>
      <c r="W70" s="40" t="s">
        <v>44</v>
      </c>
      <c r="X70" s="40" t="s">
        <v>80</v>
      </c>
      <c r="Y70" s="40" t="s">
        <v>80</v>
      </c>
      <c r="Z70" s="40" t="s">
        <v>80</v>
      </c>
      <c r="AA70" s="14"/>
      <c r="AB70" s="40" t="s">
        <v>80</v>
      </c>
      <c r="AC70" s="40" t="s">
        <v>80</v>
      </c>
      <c r="AD70" s="40" t="s">
        <v>80</v>
      </c>
      <c r="AE70" s="40" t="s">
        <v>80</v>
      </c>
      <c r="AF70" s="40" t="s">
        <v>80</v>
      </c>
      <c r="AG70" s="40" t="s">
        <v>80</v>
      </c>
      <c r="AH70" s="14"/>
      <c r="AI70" s="40" t="s">
        <v>80</v>
      </c>
      <c r="AJ70" s="40" t="s">
        <v>44</v>
      </c>
      <c r="AK70" s="11"/>
      <c r="AL70" s="11"/>
      <c r="AM70" s="11"/>
      <c r="AN70" s="11"/>
      <c r="AO70" s="14"/>
      <c r="AP70" s="11"/>
      <c r="AQ70" s="11"/>
      <c r="AR70" s="11"/>
    </row>
    <row r="71">
      <c r="A71" s="33">
        <v>68.0</v>
      </c>
      <c r="B71" s="35" t="s">
        <v>779</v>
      </c>
      <c r="C71" s="43" t="s">
        <v>398</v>
      </c>
      <c r="D71" s="43" t="s">
        <v>399</v>
      </c>
      <c r="E71" s="8">
        <f t="shared" si="2"/>
        <v>18</v>
      </c>
      <c r="F71" s="8">
        <f t="shared" si="3"/>
        <v>5</v>
      </c>
      <c r="G71" s="8">
        <f t="shared" si="4"/>
        <v>23</v>
      </c>
      <c r="H71" s="39">
        <f t="shared" si="5"/>
        <v>78.26086957</v>
      </c>
      <c r="I71" s="11"/>
      <c r="J71" s="40" t="s">
        <v>80</v>
      </c>
      <c r="K71" s="40" t="s">
        <v>80</v>
      </c>
      <c r="L71" s="40" t="s">
        <v>80</v>
      </c>
      <c r="M71" s="14"/>
      <c r="N71" s="40" t="s">
        <v>80</v>
      </c>
      <c r="O71" s="40" t="s">
        <v>80</v>
      </c>
      <c r="P71" s="40" t="s">
        <v>44</v>
      </c>
      <c r="Q71" s="40" t="s">
        <v>80</v>
      </c>
      <c r="R71" s="40" t="s">
        <v>80</v>
      </c>
      <c r="S71" s="40" t="s">
        <v>80</v>
      </c>
      <c r="T71" s="14"/>
      <c r="U71" s="40" t="s">
        <v>80</v>
      </c>
      <c r="V71" s="42" t="s">
        <v>80</v>
      </c>
      <c r="W71" s="40" t="s">
        <v>80</v>
      </c>
      <c r="X71" s="40" t="s">
        <v>80</v>
      </c>
      <c r="Y71" s="40" t="s">
        <v>80</v>
      </c>
      <c r="Z71" s="40" t="s">
        <v>80</v>
      </c>
      <c r="AA71" s="14"/>
      <c r="AB71" s="40" t="s">
        <v>80</v>
      </c>
      <c r="AC71" s="40" t="s">
        <v>80</v>
      </c>
      <c r="AD71" s="40" t="s">
        <v>44</v>
      </c>
      <c r="AE71" s="40" t="s">
        <v>80</v>
      </c>
      <c r="AF71" s="40" t="s">
        <v>44</v>
      </c>
      <c r="AG71" s="40" t="s">
        <v>80</v>
      </c>
      <c r="AH71" s="14"/>
      <c r="AI71" s="40" t="s">
        <v>44</v>
      </c>
      <c r="AJ71" s="40" t="s">
        <v>44</v>
      </c>
      <c r="AK71" s="11"/>
      <c r="AL71" s="11"/>
      <c r="AM71" s="11"/>
      <c r="AN71" s="11"/>
      <c r="AO71" s="14"/>
      <c r="AP71" s="11"/>
      <c r="AQ71" s="11"/>
      <c r="AR71" s="11"/>
    </row>
    <row r="72">
      <c r="A72" s="33">
        <v>69.0</v>
      </c>
      <c r="B72" s="35" t="s">
        <v>780</v>
      </c>
      <c r="C72" s="43" t="s">
        <v>402</v>
      </c>
      <c r="D72" s="43" t="s">
        <v>405</v>
      </c>
      <c r="E72" s="8">
        <f t="shared" si="2"/>
        <v>23</v>
      </c>
      <c r="F72" s="8">
        <f t="shared" si="3"/>
        <v>0</v>
      </c>
      <c r="G72" s="8">
        <f t="shared" si="4"/>
        <v>23</v>
      </c>
      <c r="H72" s="39">
        <f t="shared" si="5"/>
        <v>100</v>
      </c>
      <c r="I72" s="11"/>
      <c r="J72" s="40" t="s">
        <v>80</v>
      </c>
      <c r="K72" s="40" t="s">
        <v>80</v>
      </c>
      <c r="L72" s="40" t="s">
        <v>80</v>
      </c>
      <c r="M72" s="14"/>
      <c r="N72" s="40" t="s">
        <v>80</v>
      </c>
      <c r="O72" s="40" t="s">
        <v>80</v>
      </c>
      <c r="P72" s="40" t="s">
        <v>80</v>
      </c>
      <c r="Q72" s="40" t="s">
        <v>80</v>
      </c>
      <c r="R72" s="40" t="s">
        <v>80</v>
      </c>
      <c r="S72" s="40" t="s">
        <v>80</v>
      </c>
      <c r="T72" s="14"/>
      <c r="U72" s="40" t="s">
        <v>80</v>
      </c>
      <c r="V72" s="42" t="s">
        <v>80</v>
      </c>
      <c r="W72" s="40" t="s">
        <v>80</v>
      </c>
      <c r="X72" s="40" t="s">
        <v>80</v>
      </c>
      <c r="Y72" s="40" t="s">
        <v>80</v>
      </c>
      <c r="Z72" s="40" t="s">
        <v>80</v>
      </c>
      <c r="AA72" s="14"/>
      <c r="AB72" s="40" t="s">
        <v>80</v>
      </c>
      <c r="AC72" s="40" t="s">
        <v>80</v>
      </c>
      <c r="AD72" s="40" t="s">
        <v>80</v>
      </c>
      <c r="AE72" s="40" t="s">
        <v>80</v>
      </c>
      <c r="AF72" s="40" t="s">
        <v>80</v>
      </c>
      <c r="AG72" s="40" t="s">
        <v>80</v>
      </c>
      <c r="AH72" s="14"/>
      <c r="AI72" s="40" t="s">
        <v>80</v>
      </c>
      <c r="AJ72" s="40" t="s">
        <v>80</v>
      </c>
      <c r="AK72" s="11"/>
      <c r="AL72" s="11"/>
      <c r="AM72" s="11"/>
      <c r="AN72" s="11"/>
      <c r="AO72" s="14"/>
      <c r="AP72" s="11"/>
      <c r="AQ72" s="11"/>
      <c r="AR72" s="11"/>
    </row>
    <row r="73">
      <c r="A73" s="33">
        <v>70.0</v>
      </c>
      <c r="B73" s="35" t="s">
        <v>781</v>
      </c>
      <c r="C73" s="43" t="s">
        <v>408</v>
      </c>
      <c r="D73" s="43" t="s">
        <v>409</v>
      </c>
      <c r="E73" s="8">
        <f t="shared" si="2"/>
        <v>20</v>
      </c>
      <c r="F73" s="8">
        <f t="shared" si="3"/>
        <v>3</v>
      </c>
      <c r="G73" s="70">
        <v>3.0</v>
      </c>
      <c r="H73" s="39">
        <f t="shared" si="5"/>
        <v>666.6666667</v>
      </c>
      <c r="I73" s="11"/>
      <c r="J73" s="40" t="s">
        <v>80</v>
      </c>
      <c r="K73" s="40" t="s">
        <v>80</v>
      </c>
      <c r="L73" s="40" t="s">
        <v>80</v>
      </c>
      <c r="M73" s="14"/>
      <c r="N73" s="40" t="s">
        <v>80</v>
      </c>
      <c r="O73" s="40" t="s">
        <v>80</v>
      </c>
      <c r="P73" s="40" t="s">
        <v>80</v>
      </c>
      <c r="Q73" s="40" t="s">
        <v>80</v>
      </c>
      <c r="R73" s="40" t="s">
        <v>80</v>
      </c>
      <c r="S73" s="40" t="s">
        <v>80</v>
      </c>
      <c r="T73" s="14"/>
      <c r="U73" s="40" t="s">
        <v>80</v>
      </c>
      <c r="V73" s="42" t="s">
        <v>80</v>
      </c>
      <c r="W73" s="40" t="s">
        <v>80</v>
      </c>
      <c r="X73" s="40" t="s">
        <v>80</v>
      </c>
      <c r="Y73" s="40" t="s">
        <v>80</v>
      </c>
      <c r="Z73" s="40" t="s">
        <v>80</v>
      </c>
      <c r="AA73" s="14"/>
      <c r="AB73" s="40" t="s">
        <v>44</v>
      </c>
      <c r="AC73" s="40" t="s">
        <v>44</v>
      </c>
      <c r="AD73" s="40" t="s">
        <v>80</v>
      </c>
      <c r="AE73" s="40" t="s">
        <v>80</v>
      </c>
      <c r="AF73" s="40" t="s">
        <v>80</v>
      </c>
      <c r="AG73" s="40" t="s">
        <v>44</v>
      </c>
      <c r="AH73" s="14"/>
      <c r="AI73" s="40" t="s">
        <v>80</v>
      </c>
      <c r="AJ73" s="40" t="s">
        <v>80</v>
      </c>
      <c r="AK73" s="11"/>
      <c r="AL73" s="11"/>
      <c r="AM73" s="11"/>
      <c r="AN73" s="11"/>
      <c r="AO73" s="14"/>
      <c r="AP73" s="11"/>
      <c r="AQ73" s="11"/>
      <c r="AR73" s="11"/>
    </row>
    <row r="74">
      <c r="A74" s="33">
        <v>71.0</v>
      </c>
      <c r="B74" s="35" t="s">
        <v>782</v>
      </c>
      <c r="C74" s="43" t="s">
        <v>413</v>
      </c>
      <c r="D74" s="43" t="s">
        <v>414</v>
      </c>
      <c r="E74" s="8">
        <f t="shared" si="2"/>
        <v>22</v>
      </c>
      <c r="F74" s="8">
        <f t="shared" si="3"/>
        <v>1</v>
      </c>
      <c r="G74" s="8">
        <f t="shared" ref="G74:G105" si="6">E74+F74</f>
        <v>23</v>
      </c>
      <c r="H74" s="39">
        <f t="shared" si="5"/>
        <v>95.65217391</v>
      </c>
      <c r="I74" s="11"/>
      <c r="J74" s="40" t="s">
        <v>80</v>
      </c>
      <c r="K74" s="40" t="s">
        <v>80</v>
      </c>
      <c r="L74" s="40" t="s">
        <v>80</v>
      </c>
      <c r="M74" s="14"/>
      <c r="N74" s="40" t="s">
        <v>80</v>
      </c>
      <c r="O74" s="40" t="s">
        <v>80</v>
      </c>
      <c r="P74" s="40" t="s">
        <v>80</v>
      </c>
      <c r="Q74" s="40" t="s">
        <v>80</v>
      </c>
      <c r="R74" s="40" t="s">
        <v>80</v>
      </c>
      <c r="S74" s="40" t="s">
        <v>80</v>
      </c>
      <c r="T74" s="14"/>
      <c r="U74" s="40" t="s">
        <v>80</v>
      </c>
      <c r="V74" s="42" t="s">
        <v>80</v>
      </c>
      <c r="W74" s="40" t="s">
        <v>80</v>
      </c>
      <c r="X74" s="40" t="s">
        <v>80</v>
      </c>
      <c r="Y74" s="40" t="s">
        <v>80</v>
      </c>
      <c r="Z74" s="40" t="s">
        <v>80</v>
      </c>
      <c r="AA74" s="14"/>
      <c r="AB74" s="40" t="s">
        <v>80</v>
      </c>
      <c r="AC74" s="40" t="s">
        <v>80</v>
      </c>
      <c r="AD74" s="40" t="s">
        <v>80</v>
      </c>
      <c r="AE74" s="40" t="s">
        <v>80</v>
      </c>
      <c r="AF74" s="40" t="s">
        <v>44</v>
      </c>
      <c r="AG74" s="40" t="s">
        <v>80</v>
      </c>
      <c r="AH74" s="14"/>
      <c r="AI74" s="40" t="s">
        <v>80</v>
      </c>
      <c r="AJ74" s="40" t="s">
        <v>80</v>
      </c>
      <c r="AK74" s="11"/>
      <c r="AL74" s="11"/>
      <c r="AM74" s="11"/>
      <c r="AN74" s="11"/>
      <c r="AO74" s="14"/>
      <c r="AP74" s="11"/>
      <c r="AQ74" s="11"/>
      <c r="AR74" s="11"/>
    </row>
    <row r="75">
      <c r="A75" s="33">
        <v>72.0</v>
      </c>
      <c r="B75" s="35" t="s">
        <v>783</v>
      </c>
      <c r="C75" s="43" t="s">
        <v>417</v>
      </c>
      <c r="D75" s="43" t="s">
        <v>418</v>
      </c>
      <c r="E75" s="8">
        <f t="shared" si="2"/>
        <v>16</v>
      </c>
      <c r="F75" s="8">
        <f t="shared" si="3"/>
        <v>7</v>
      </c>
      <c r="G75" s="8">
        <f t="shared" si="6"/>
        <v>23</v>
      </c>
      <c r="H75" s="39">
        <f t="shared" si="5"/>
        <v>69.56521739</v>
      </c>
      <c r="I75" s="11"/>
      <c r="J75" s="40" t="s">
        <v>80</v>
      </c>
      <c r="K75" s="40" t="s">
        <v>44</v>
      </c>
      <c r="L75" s="40" t="s">
        <v>80</v>
      </c>
      <c r="M75" s="14"/>
      <c r="N75" s="40" t="s">
        <v>80</v>
      </c>
      <c r="O75" s="40" t="s">
        <v>44</v>
      </c>
      <c r="P75" s="40" t="s">
        <v>44</v>
      </c>
      <c r="Q75" s="40" t="s">
        <v>80</v>
      </c>
      <c r="R75" s="40" t="s">
        <v>80</v>
      </c>
      <c r="S75" s="40" t="s">
        <v>44</v>
      </c>
      <c r="T75" s="14"/>
      <c r="U75" s="40" t="s">
        <v>80</v>
      </c>
      <c r="V75" s="42" t="s">
        <v>44</v>
      </c>
      <c r="W75" s="40" t="s">
        <v>80</v>
      </c>
      <c r="X75" s="40" t="s">
        <v>80</v>
      </c>
      <c r="Y75" s="40" t="s">
        <v>80</v>
      </c>
      <c r="Z75" s="40" t="s">
        <v>80</v>
      </c>
      <c r="AA75" s="14"/>
      <c r="AB75" s="40" t="s">
        <v>80</v>
      </c>
      <c r="AC75" s="40" t="s">
        <v>80</v>
      </c>
      <c r="AD75" s="40" t="s">
        <v>80</v>
      </c>
      <c r="AE75" s="40" t="s">
        <v>80</v>
      </c>
      <c r="AF75" s="40" t="s">
        <v>80</v>
      </c>
      <c r="AG75" s="40" t="s">
        <v>80</v>
      </c>
      <c r="AH75" s="14"/>
      <c r="AI75" s="40" t="s">
        <v>44</v>
      </c>
      <c r="AJ75" s="40" t="s">
        <v>44</v>
      </c>
      <c r="AK75" s="11"/>
      <c r="AL75" s="11"/>
      <c r="AM75" s="11"/>
      <c r="AN75" s="11"/>
      <c r="AO75" s="14"/>
      <c r="AP75" s="11"/>
      <c r="AQ75" s="11"/>
      <c r="AR75" s="11"/>
    </row>
    <row r="76">
      <c r="A76" s="33">
        <v>73.0</v>
      </c>
      <c r="B76" s="35" t="s">
        <v>784</v>
      </c>
      <c r="C76" s="43" t="s">
        <v>421</v>
      </c>
      <c r="D76" s="43" t="s">
        <v>422</v>
      </c>
      <c r="E76" s="8">
        <f t="shared" si="2"/>
        <v>19</v>
      </c>
      <c r="F76" s="8">
        <f t="shared" si="3"/>
        <v>4</v>
      </c>
      <c r="G76" s="8">
        <f t="shared" si="6"/>
        <v>23</v>
      </c>
      <c r="H76" s="39">
        <f t="shared" si="5"/>
        <v>82.60869565</v>
      </c>
      <c r="I76" s="11"/>
      <c r="J76" s="57" t="s">
        <v>80</v>
      </c>
      <c r="K76" s="40" t="s">
        <v>80</v>
      </c>
      <c r="L76" s="40" t="s">
        <v>80</v>
      </c>
      <c r="M76" s="14"/>
      <c r="N76" s="40" t="s">
        <v>80</v>
      </c>
      <c r="O76" s="40" t="s">
        <v>80</v>
      </c>
      <c r="P76" s="40" t="s">
        <v>80</v>
      </c>
      <c r="Q76" s="40" t="s">
        <v>80</v>
      </c>
      <c r="R76" s="40" t="s">
        <v>80</v>
      </c>
      <c r="S76" s="40" t="s">
        <v>80</v>
      </c>
      <c r="T76" s="14"/>
      <c r="U76" s="40" t="s">
        <v>80</v>
      </c>
      <c r="V76" s="42" t="s">
        <v>80</v>
      </c>
      <c r="W76" s="40" t="s">
        <v>80</v>
      </c>
      <c r="X76" s="40" t="s">
        <v>80</v>
      </c>
      <c r="Y76" s="40" t="s">
        <v>44</v>
      </c>
      <c r="Z76" s="40" t="s">
        <v>80</v>
      </c>
      <c r="AA76" s="14"/>
      <c r="AB76" s="40" t="s">
        <v>80</v>
      </c>
      <c r="AC76" s="40" t="s">
        <v>44</v>
      </c>
      <c r="AD76" s="40" t="s">
        <v>80</v>
      </c>
      <c r="AE76" s="40" t="s">
        <v>80</v>
      </c>
      <c r="AF76" s="40" t="s">
        <v>80</v>
      </c>
      <c r="AG76" s="40" t="s">
        <v>80</v>
      </c>
      <c r="AH76" s="14"/>
      <c r="AI76" s="40" t="s">
        <v>44</v>
      </c>
      <c r="AJ76" s="40" t="s">
        <v>44</v>
      </c>
      <c r="AK76" s="11"/>
      <c r="AL76" s="11"/>
      <c r="AM76" s="11"/>
      <c r="AN76" s="11"/>
      <c r="AO76" s="14"/>
      <c r="AP76" s="11"/>
      <c r="AQ76" s="11"/>
      <c r="AR76" s="11"/>
    </row>
    <row r="77">
      <c r="A77" s="33">
        <v>74.0</v>
      </c>
      <c r="B77" s="35" t="s">
        <v>785</v>
      </c>
      <c r="C77" s="43" t="s">
        <v>425</v>
      </c>
      <c r="D77" s="43" t="s">
        <v>426</v>
      </c>
      <c r="E77" s="8">
        <f t="shared" si="2"/>
        <v>13</v>
      </c>
      <c r="F77" s="8">
        <f t="shared" si="3"/>
        <v>10</v>
      </c>
      <c r="G77" s="8">
        <f t="shared" si="6"/>
        <v>23</v>
      </c>
      <c r="H77" s="39">
        <f t="shared" si="5"/>
        <v>56.52173913</v>
      </c>
      <c r="I77" s="11"/>
      <c r="J77" s="40" t="s">
        <v>44</v>
      </c>
      <c r="K77" s="40" t="s">
        <v>44</v>
      </c>
      <c r="L77" s="40" t="s">
        <v>44</v>
      </c>
      <c r="M77" s="14"/>
      <c r="N77" s="40" t="s">
        <v>80</v>
      </c>
      <c r="O77" s="40" t="s">
        <v>80</v>
      </c>
      <c r="P77" s="40" t="s">
        <v>80</v>
      </c>
      <c r="Q77" s="40" t="s">
        <v>80</v>
      </c>
      <c r="R77" s="40" t="s">
        <v>80</v>
      </c>
      <c r="S77" s="40" t="s">
        <v>80</v>
      </c>
      <c r="T77" s="14"/>
      <c r="U77" s="40" t="s">
        <v>80</v>
      </c>
      <c r="V77" s="42" t="s">
        <v>44</v>
      </c>
      <c r="W77" s="40" t="s">
        <v>80</v>
      </c>
      <c r="X77" s="40" t="s">
        <v>80</v>
      </c>
      <c r="Y77" s="40" t="s">
        <v>44</v>
      </c>
      <c r="Z77" s="40" t="s">
        <v>44</v>
      </c>
      <c r="AA77" s="14"/>
      <c r="AB77" s="40" t="s">
        <v>80</v>
      </c>
      <c r="AC77" s="40" t="s">
        <v>80</v>
      </c>
      <c r="AD77" s="40" t="s">
        <v>44</v>
      </c>
      <c r="AE77" s="40" t="s">
        <v>44</v>
      </c>
      <c r="AF77" s="40" t="s">
        <v>44</v>
      </c>
      <c r="AG77" s="40" t="s">
        <v>44</v>
      </c>
      <c r="AH77" s="14"/>
      <c r="AI77" s="40" t="s">
        <v>80</v>
      </c>
      <c r="AJ77" s="40" t="s">
        <v>80</v>
      </c>
      <c r="AK77" s="11"/>
      <c r="AL77" s="11"/>
      <c r="AM77" s="11"/>
      <c r="AN77" s="11"/>
      <c r="AO77" s="14"/>
      <c r="AP77" s="11"/>
      <c r="AQ77" s="11"/>
      <c r="AR77" s="11"/>
    </row>
    <row r="78">
      <c r="A78" s="33">
        <v>75.0</v>
      </c>
      <c r="B78" s="35" t="s">
        <v>786</v>
      </c>
      <c r="C78" s="43" t="s">
        <v>433</v>
      </c>
      <c r="D78" s="43" t="s">
        <v>435</v>
      </c>
      <c r="E78" s="8">
        <f t="shared" si="2"/>
        <v>13</v>
      </c>
      <c r="F78" s="8">
        <f t="shared" si="3"/>
        <v>10</v>
      </c>
      <c r="G78" s="8">
        <f t="shared" si="6"/>
        <v>23</v>
      </c>
      <c r="H78" s="39">
        <f t="shared" si="5"/>
        <v>56.52173913</v>
      </c>
      <c r="I78" s="11"/>
      <c r="J78" s="40" t="s">
        <v>80</v>
      </c>
      <c r="K78" s="40" t="s">
        <v>80</v>
      </c>
      <c r="L78" s="40" t="s">
        <v>80</v>
      </c>
      <c r="M78" s="14"/>
      <c r="N78" s="40" t="s">
        <v>80</v>
      </c>
      <c r="O78" s="40" t="s">
        <v>44</v>
      </c>
      <c r="P78" s="40" t="s">
        <v>44</v>
      </c>
      <c r="Q78" s="40" t="s">
        <v>44</v>
      </c>
      <c r="R78" s="40" t="s">
        <v>44</v>
      </c>
      <c r="S78" s="40" t="s">
        <v>44</v>
      </c>
      <c r="T78" s="14"/>
      <c r="U78" s="40" t="s">
        <v>44</v>
      </c>
      <c r="V78" s="42" t="s">
        <v>44</v>
      </c>
      <c r="W78" s="40" t="s">
        <v>44</v>
      </c>
      <c r="X78" s="40" t="s">
        <v>80</v>
      </c>
      <c r="Y78" s="40" t="s">
        <v>80</v>
      </c>
      <c r="Z78" s="40" t="s">
        <v>80</v>
      </c>
      <c r="AA78" s="14"/>
      <c r="AB78" s="40" t="s">
        <v>80</v>
      </c>
      <c r="AC78" s="40" t="s">
        <v>80</v>
      </c>
      <c r="AD78" s="40" t="s">
        <v>44</v>
      </c>
      <c r="AE78" s="40" t="s">
        <v>80</v>
      </c>
      <c r="AF78" s="40" t="s">
        <v>44</v>
      </c>
      <c r="AG78" s="40" t="s">
        <v>80</v>
      </c>
      <c r="AH78" s="14"/>
      <c r="AI78" s="40" t="s">
        <v>80</v>
      </c>
      <c r="AJ78" s="40" t="s">
        <v>80</v>
      </c>
      <c r="AK78" s="11"/>
      <c r="AL78" s="11"/>
      <c r="AM78" s="11"/>
      <c r="AN78" s="11"/>
      <c r="AO78" s="14"/>
      <c r="AP78" s="11"/>
      <c r="AQ78" s="11"/>
      <c r="AR78" s="11"/>
    </row>
    <row r="79">
      <c r="A79" s="33">
        <v>76.0</v>
      </c>
      <c r="B79" s="35" t="s">
        <v>787</v>
      </c>
      <c r="C79" s="43" t="s">
        <v>438</v>
      </c>
      <c r="D79" s="43" t="s">
        <v>440</v>
      </c>
      <c r="E79" s="8">
        <f t="shared" si="2"/>
        <v>21</v>
      </c>
      <c r="F79" s="8">
        <f t="shared" si="3"/>
        <v>2</v>
      </c>
      <c r="G79" s="8">
        <f t="shared" si="6"/>
        <v>23</v>
      </c>
      <c r="H79" s="39">
        <f t="shared" si="5"/>
        <v>91.30434783</v>
      </c>
      <c r="I79" s="11"/>
      <c r="J79" s="40" t="s">
        <v>80</v>
      </c>
      <c r="K79" s="40" t="s">
        <v>80</v>
      </c>
      <c r="L79" s="40" t="s">
        <v>44</v>
      </c>
      <c r="M79" s="14"/>
      <c r="N79" s="40" t="s">
        <v>44</v>
      </c>
      <c r="O79" s="40" t="s">
        <v>80</v>
      </c>
      <c r="P79" s="40" t="s">
        <v>80</v>
      </c>
      <c r="Q79" s="40" t="s">
        <v>80</v>
      </c>
      <c r="R79" s="40" t="s">
        <v>80</v>
      </c>
      <c r="S79" s="40" t="s">
        <v>80</v>
      </c>
      <c r="T79" s="14"/>
      <c r="U79" s="40" t="s">
        <v>80</v>
      </c>
      <c r="V79" s="42" t="s">
        <v>80</v>
      </c>
      <c r="W79" s="40" t="s">
        <v>80</v>
      </c>
      <c r="X79" s="40" t="s">
        <v>80</v>
      </c>
      <c r="Y79" s="40" t="s">
        <v>80</v>
      </c>
      <c r="Z79" s="40" t="s">
        <v>80</v>
      </c>
      <c r="AA79" s="14"/>
      <c r="AB79" s="40" t="s">
        <v>80</v>
      </c>
      <c r="AC79" s="40" t="s">
        <v>80</v>
      </c>
      <c r="AD79" s="40" t="s">
        <v>80</v>
      </c>
      <c r="AE79" s="40" t="s">
        <v>80</v>
      </c>
      <c r="AF79" s="40" t="s">
        <v>80</v>
      </c>
      <c r="AG79" s="40" t="s">
        <v>80</v>
      </c>
      <c r="AH79" s="14"/>
      <c r="AI79" s="40" t="s">
        <v>80</v>
      </c>
      <c r="AJ79" s="40" t="s">
        <v>80</v>
      </c>
      <c r="AK79" s="11"/>
      <c r="AL79" s="11"/>
      <c r="AM79" s="11"/>
      <c r="AN79" s="11"/>
      <c r="AO79" s="14"/>
      <c r="AP79" s="11"/>
      <c r="AQ79" s="11"/>
      <c r="AR79" s="11"/>
    </row>
    <row r="80">
      <c r="A80" s="33">
        <v>77.0</v>
      </c>
      <c r="B80" s="35" t="s">
        <v>788</v>
      </c>
      <c r="C80" s="43" t="s">
        <v>444</v>
      </c>
      <c r="D80" s="43" t="s">
        <v>445</v>
      </c>
      <c r="E80" s="8">
        <f t="shared" si="2"/>
        <v>20</v>
      </c>
      <c r="F80" s="8">
        <f t="shared" si="3"/>
        <v>3</v>
      </c>
      <c r="G80" s="8">
        <f t="shared" si="6"/>
        <v>23</v>
      </c>
      <c r="H80" s="39">
        <f t="shared" si="5"/>
        <v>86.95652174</v>
      </c>
      <c r="I80" s="11"/>
      <c r="J80" s="40" t="s">
        <v>80</v>
      </c>
      <c r="K80" s="40" t="s">
        <v>80</v>
      </c>
      <c r="L80" s="40" t="s">
        <v>80</v>
      </c>
      <c r="M80" s="14"/>
      <c r="N80" s="40" t="s">
        <v>80</v>
      </c>
      <c r="O80" s="40" t="s">
        <v>80</v>
      </c>
      <c r="P80" s="40" t="s">
        <v>80</v>
      </c>
      <c r="Q80" s="40" t="s">
        <v>80</v>
      </c>
      <c r="R80" s="40" t="s">
        <v>80</v>
      </c>
      <c r="S80" s="40" t="s">
        <v>80</v>
      </c>
      <c r="T80" s="14"/>
      <c r="U80" s="40" t="s">
        <v>80</v>
      </c>
      <c r="V80" s="42" t="s">
        <v>80</v>
      </c>
      <c r="W80" s="40" t="s">
        <v>80</v>
      </c>
      <c r="X80" s="40" t="s">
        <v>80</v>
      </c>
      <c r="Y80" s="40" t="s">
        <v>44</v>
      </c>
      <c r="Z80" s="40" t="s">
        <v>44</v>
      </c>
      <c r="AA80" s="14"/>
      <c r="AB80" s="40" t="s">
        <v>44</v>
      </c>
      <c r="AC80" s="40" t="s">
        <v>80</v>
      </c>
      <c r="AD80" s="40" t="s">
        <v>80</v>
      </c>
      <c r="AE80" s="40" t="s">
        <v>80</v>
      </c>
      <c r="AF80" s="40" t="s">
        <v>80</v>
      </c>
      <c r="AG80" s="40" t="s">
        <v>80</v>
      </c>
      <c r="AH80" s="14"/>
      <c r="AI80" s="40" t="s">
        <v>80</v>
      </c>
      <c r="AJ80" s="40" t="s">
        <v>80</v>
      </c>
      <c r="AK80" s="11"/>
      <c r="AL80" s="11"/>
      <c r="AM80" s="11"/>
      <c r="AN80" s="11"/>
      <c r="AO80" s="14"/>
      <c r="AP80" s="11"/>
      <c r="AQ80" s="11"/>
      <c r="AR80" s="11"/>
    </row>
    <row r="81">
      <c r="A81" s="33">
        <v>78.0</v>
      </c>
      <c r="B81" s="35" t="s">
        <v>789</v>
      </c>
      <c r="C81" s="43" t="s">
        <v>447</v>
      </c>
      <c r="D81" s="43" t="s">
        <v>449</v>
      </c>
      <c r="E81" s="8">
        <f t="shared" si="2"/>
        <v>15</v>
      </c>
      <c r="F81" s="8">
        <f t="shared" si="3"/>
        <v>8</v>
      </c>
      <c r="G81" s="8">
        <f t="shared" si="6"/>
        <v>23</v>
      </c>
      <c r="H81" s="39">
        <f t="shared" si="5"/>
        <v>65.2173913</v>
      </c>
      <c r="I81" s="11"/>
      <c r="J81" s="40" t="s">
        <v>80</v>
      </c>
      <c r="K81" s="40" t="s">
        <v>80</v>
      </c>
      <c r="L81" s="40" t="s">
        <v>80</v>
      </c>
      <c r="M81" s="14"/>
      <c r="N81" s="40" t="s">
        <v>80</v>
      </c>
      <c r="O81" s="40" t="s">
        <v>80</v>
      </c>
      <c r="P81" s="40" t="s">
        <v>80</v>
      </c>
      <c r="Q81" s="40" t="s">
        <v>80</v>
      </c>
      <c r="R81" s="40" t="s">
        <v>80</v>
      </c>
      <c r="S81" s="40" t="s">
        <v>80</v>
      </c>
      <c r="T81" s="14"/>
      <c r="U81" s="40" t="s">
        <v>80</v>
      </c>
      <c r="V81" s="42" t="s">
        <v>80</v>
      </c>
      <c r="W81" s="40" t="s">
        <v>44</v>
      </c>
      <c r="X81" s="40" t="s">
        <v>44</v>
      </c>
      <c r="Y81" s="40" t="s">
        <v>44</v>
      </c>
      <c r="Z81" s="40" t="s">
        <v>44</v>
      </c>
      <c r="AA81" s="14"/>
      <c r="AB81" s="40" t="s">
        <v>44</v>
      </c>
      <c r="AC81" s="40" t="s">
        <v>44</v>
      </c>
      <c r="AD81" s="40" t="s">
        <v>80</v>
      </c>
      <c r="AE81" s="40" t="s">
        <v>80</v>
      </c>
      <c r="AF81" s="40" t="s">
        <v>80</v>
      </c>
      <c r="AG81" s="40" t="s">
        <v>80</v>
      </c>
      <c r="AH81" s="14"/>
      <c r="AI81" s="40" t="s">
        <v>44</v>
      </c>
      <c r="AJ81" s="40" t="s">
        <v>44</v>
      </c>
      <c r="AK81" s="11"/>
      <c r="AL81" s="11"/>
      <c r="AM81" s="11"/>
      <c r="AN81" s="11"/>
      <c r="AO81" s="14"/>
      <c r="AP81" s="11"/>
      <c r="AQ81" s="11"/>
      <c r="AR81" s="11"/>
    </row>
    <row r="82">
      <c r="A82" s="33">
        <v>79.0</v>
      </c>
      <c r="B82" s="35" t="s">
        <v>790</v>
      </c>
      <c r="C82" s="43" t="s">
        <v>452</v>
      </c>
      <c r="D82" s="43" t="s">
        <v>453</v>
      </c>
      <c r="E82" s="8">
        <f t="shared" si="2"/>
        <v>11</v>
      </c>
      <c r="F82" s="8">
        <f t="shared" si="3"/>
        <v>12</v>
      </c>
      <c r="G82" s="8">
        <f t="shared" si="6"/>
        <v>23</v>
      </c>
      <c r="H82" s="39">
        <f t="shared" si="5"/>
        <v>47.82608696</v>
      </c>
      <c r="I82" s="11"/>
      <c r="J82" s="40" t="s">
        <v>44</v>
      </c>
      <c r="K82" s="40" t="s">
        <v>80</v>
      </c>
      <c r="L82" s="40" t="s">
        <v>44</v>
      </c>
      <c r="M82" s="14"/>
      <c r="N82" s="40" t="s">
        <v>44</v>
      </c>
      <c r="O82" s="40" t="s">
        <v>44</v>
      </c>
      <c r="P82" s="40" t="s">
        <v>44</v>
      </c>
      <c r="Q82" s="40" t="s">
        <v>80</v>
      </c>
      <c r="R82" s="40" t="s">
        <v>80</v>
      </c>
      <c r="S82" s="40" t="s">
        <v>80</v>
      </c>
      <c r="T82" s="14"/>
      <c r="U82" s="40" t="s">
        <v>80</v>
      </c>
      <c r="V82" s="42" t="s">
        <v>80</v>
      </c>
      <c r="W82" s="40" t="s">
        <v>80</v>
      </c>
      <c r="X82" s="40" t="s">
        <v>80</v>
      </c>
      <c r="Y82" s="40" t="s">
        <v>44</v>
      </c>
      <c r="Z82" s="40" t="s">
        <v>44</v>
      </c>
      <c r="AA82" s="14"/>
      <c r="AB82" s="40" t="s">
        <v>80</v>
      </c>
      <c r="AC82" s="40" t="s">
        <v>44</v>
      </c>
      <c r="AD82" s="40" t="s">
        <v>44</v>
      </c>
      <c r="AE82" s="40" t="s">
        <v>44</v>
      </c>
      <c r="AF82" s="40" t="s">
        <v>44</v>
      </c>
      <c r="AG82" s="40" t="s">
        <v>44</v>
      </c>
      <c r="AH82" s="14"/>
      <c r="AI82" s="40" t="s">
        <v>80</v>
      </c>
      <c r="AJ82" s="40" t="s">
        <v>80</v>
      </c>
      <c r="AK82" s="11"/>
      <c r="AL82" s="11"/>
      <c r="AM82" s="11"/>
      <c r="AN82" s="11"/>
      <c r="AO82" s="14"/>
      <c r="AP82" s="11"/>
      <c r="AQ82" s="11"/>
      <c r="AR82" s="11"/>
    </row>
    <row r="83">
      <c r="A83" s="33">
        <v>80.0</v>
      </c>
      <c r="B83" s="35" t="s">
        <v>791</v>
      </c>
      <c r="C83" s="43" t="s">
        <v>456</v>
      </c>
      <c r="D83" s="43" t="s">
        <v>458</v>
      </c>
      <c r="E83" s="8">
        <f t="shared" si="2"/>
        <v>16</v>
      </c>
      <c r="F83" s="8">
        <f t="shared" si="3"/>
        <v>7</v>
      </c>
      <c r="G83" s="8">
        <f t="shared" si="6"/>
        <v>23</v>
      </c>
      <c r="H83" s="39">
        <f t="shared" si="5"/>
        <v>69.56521739</v>
      </c>
      <c r="I83" s="11"/>
      <c r="J83" s="40" t="s">
        <v>80</v>
      </c>
      <c r="K83" s="40" t="s">
        <v>80</v>
      </c>
      <c r="L83" s="40" t="s">
        <v>44</v>
      </c>
      <c r="M83" s="14"/>
      <c r="N83" s="40" t="s">
        <v>80</v>
      </c>
      <c r="O83" s="40" t="s">
        <v>80</v>
      </c>
      <c r="P83" s="40" t="s">
        <v>80</v>
      </c>
      <c r="Q83" s="40" t="s">
        <v>80</v>
      </c>
      <c r="R83" s="40" t="s">
        <v>44</v>
      </c>
      <c r="S83" s="40" t="s">
        <v>80</v>
      </c>
      <c r="T83" s="14"/>
      <c r="U83" s="40" t="s">
        <v>44</v>
      </c>
      <c r="V83" s="42" t="s">
        <v>80</v>
      </c>
      <c r="W83" s="40" t="s">
        <v>80</v>
      </c>
      <c r="X83" s="40" t="s">
        <v>80</v>
      </c>
      <c r="Y83" s="40" t="s">
        <v>80</v>
      </c>
      <c r="Z83" s="40" t="s">
        <v>80</v>
      </c>
      <c r="AA83" s="14"/>
      <c r="AB83" s="40" t="s">
        <v>44</v>
      </c>
      <c r="AC83" s="40" t="s">
        <v>80</v>
      </c>
      <c r="AD83" s="40" t="s">
        <v>44</v>
      </c>
      <c r="AE83" s="40" t="s">
        <v>80</v>
      </c>
      <c r="AF83" s="40" t="s">
        <v>80</v>
      </c>
      <c r="AG83" s="40" t="s">
        <v>44</v>
      </c>
      <c r="AH83" s="14"/>
      <c r="AI83" s="40" t="s">
        <v>44</v>
      </c>
      <c r="AJ83" s="40" t="s">
        <v>80</v>
      </c>
      <c r="AK83" s="11"/>
      <c r="AL83" s="11"/>
      <c r="AM83" s="11"/>
      <c r="AN83" s="11"/>
      <c r="AO83" s="14"/>
      <c r="AP83" s="11"/>
      <c r="AQ83" s="11"/>
      <c r="AR83" s="11"/>
    </row>
    <row r="84">
      <c r="A84" s="33">
        <v>81.0</v>
      </c>
      <c r="B84" s="35" t="s">
        <v>792</v>
      </c>
      <c r="C84" s="43" t="s">
        <v>462</v>
      </c>
      <c r="D84" s="43" t="s">
        <v>463</v>
      </c>
      <c r="E84" s="8">
        <f t="shared" si="2"/>
        <v>16</v>
      </c>
      <c r="F84" s="8">
        <f t="shared" si="3"/>
        <v>7</v>
      </c>
      <c r="G84" s="8">
        <f t="shared" si="6"/>
        <v>23</v>
      </c>
      <c r="H84" s="39">
        <f t="shared" si="5"/>
        <v>69.56521739</v>
      </c>
      <c r="I84" s="11"/>
      <c r="J84" s="40" t="s">
        <v>80</v>
      </c>
      <c r="K84" s="40" t="s">
        <v>80</v>
      </c>
      <c r="L84" s="40" t="s">
        <v>80</v>
      </c>
      <c r="M84" s="14"/>
      <c r="N84" s="40" t="s">
        <v>80</v>
      </c>
      <c r="O84" s="40" t="s">
        <v>80</v>
      </c>
      <c r="P84" s="40" t="s">
        <v>80</v>
      </c>
      <c r="Q84" s="40" t="s">
        <v>80</v>
      </c>
      <c r="R84" s="40" t="s">
        <v>80</v>
      </c>
      <c r="S84" s="40" t="s">
        <v>44</v>
      </c>
      <c r="T84" s="14"/>
      <c r="U84" s="40" t="s">
        <v>44</v>
      </c>
      <c r="V84" s="42" t="s">
        <v>44</v>
      </c>
      <c r="W84" s="40" t="s">
        <v>80</v>
      </c>
      <c r="X84" s="40" t="s">
        <v>44</v>
      </c>
      <c r="Y84" s="40" t="s">
        <v>44</v>
      </c>
      <c r="Z84" s="40" t="s">
        <v>80</v>
      </c>
      <c r="AA84" s="14"/>
      <c r="AB84" s="40" t="s">
        <v>44</v>
      </c>
      <c r="AC84" s="40" t="s">
        <v>44</v>
      </c>
      <c r="AD84" s="40" t="s">
        <v>80</v>
      </c>
      <c r="AE84" s="40" t="s">
        <v>80</v>
      </c>
      <c r="AF84" s="40" t="s">
        <v>80</v>
      </c>
      <c r="AG84" s="40" t="s">
        <v>80</v>
      </c>
      <c r="AH84" s="14"/>
      <c r="AI84" s="40" t="s">
        <v>80</v>
      </c>
      <c r="AJ84" s="40" t="s">
        <v>80</v>
      </c>
      <c r="AK84" s="11"/>
      <c r="AL84" s="11"/>
      <c r="AM84" s="11"/>
      <c r="AN84" s="11"/>
      <c r="AO84" s="14"/>
      <c r="AP84" s="11"/>
      <c r="AQ84" s="11"/>
      <c r="AR84" s="11"/>
    </row>
    <row r="85">
      <c r="A85" s="33">
        <v>82.0</v>
      </c>
      <c r="B85" s="35" t="s">
        <v>793</v>
      </c>
      <c r="C85" s="43" t="s">
        <v>466</v>
      </c>
      <c r="D85" s="43" t="s">
        <v>467</v>
      </c>
      <c r="E85" s="8">
        <f t="shared" si="2"/>
        <v>12</v>
      </c>
      <c r="F85" s="8">
        <f t="shared" si="3"/>
        <v>11</v>
      </c>
      <c r="G85" s="8">
        <f t="shared" si="6"/>
        <v>23</v>
      </c>
      <c r="H85" s="39">
        <f t="shared" si="5"/>
        <v>52.17391304</v>
      </c>
      <c r="I85" s="11"/>
      <c r="J85" s="40" t="s">
        <v>80</v>
      </c>
      <c r="K85" s="40" t="s">
        <v>80</v>
      </c>
      <c r="L85" s="40" t="s">
        <v>80</v>
      </c>
      <c r="M85" s="14"/>
      <c r="N85" s="40" t="s">
        <v>80</v>
      </c>
      <c r="O85" s="40" t="s">
        <v>80</v>
      </c>
      <c r="P85" s="40" t="s">
        <v>80</v>
      </c>
      <c r="Q85" s="40" t="s">
        <v>80</v>
      </c>
      <c r="R85" s="40" t="s">
        <v>44</v>
      </c>
      <c r="S85" s="40" t="s">
        <v>80</v>
      </c>
      <c r="T85" s="14"/>
      <c r="U85" s="40" t="s">
        <v>80</v>
      </c>
      <c r="V85" s="42" t="s">
        <v>44</v>
      </c>
      <c r="W85" s="40" t="s">
        <v>44</v>
      </c>
      <c r="X85" s="40" t="s">
        <v>44</v>
      </c>
      <c r="Y85" s="40" t="s">
        <v>44</v>
      </c>
      <c r="Z85" s="40" t="s">
        <v>80</v>
      </c>
      <c r="AA85" s="14"/>
      <c r="AB85" s="40" t="s">
        <v>80</v>
      </c>
      <c r="AC85" s="40" t="s">
        <v>80</v>
      </c>
      <c r="AD85" s="40" t="s">
        <v>44</v>
      </c>
      <c r="AE85" s="40" t="s">
        <v>44</v>
      </c>
      <c r="AF85" s="40" t="s">
        <v>44</v>
      </c>
      <c r="AG85" s="40" t="s">
        <v>44</v>
      </c>
      <c r="AH85" s="14"/>
      <c r="AI85" s="40" t="s">
        <v>44</v>
      </c>
      <c r="AJ85" s="40" t="s">
        <v>44</v>
      </c>
      <c r="AK85" s="11"/>
      <c r="AL85" s="11"/>
      <c r="AM85" s="11"/>
      <c r="AN85" s="11"/>
      <c r="AO85" s="14"/>
      <c r="AP85" s="11"/>
      <c r="AQ85" s="11"/>
      <c r="AR85" s="11"/>
    </row>
    <row r="86">
      <c r="A86" s="33">
        <v>83.0</v>
      </c>
      <c r="B86" s="35" t="s">
        <v>794</v>
      </c>
      <c r="C86" s="43" t="s">
        <v>471</v>
      </c>
      <c r="D86" s="43" t="s">
        <v>472</v>
      </c>
      <c r="E86" s="8">
        <f t="shared" si="2"/>
        <v>15</v>
      </c>
      <c r="F86" s="8">
        <f t="shared" si="3"/>
        <v>8</v>
      </c>
      <c r="G86" s="8">
        <f t="shared" si="6"/>
        <v>23</v>
      </c>
      <c r="H86" s="39">
        <f t="shared" si="5"/>
        <v>65.2173913</v>
      </c>
      <c r="I86" s="11"/>
      <c r="J86" s="40" t="s">
        <v>80</v>
      </c>
      <c r="K86" s="40" t="s">
        <v>80</v>
      </c>
      <c r="L86" s="40" t="s">
        <v>80</v>
      </c>
      <c r="M86" s="14"/>
      <c r="N86" s="40" t="s">
        <v>44</v>
      </c>
      <c r="O86" s="40" t="s">
        <v>80</v>
      </c>
      <c r="P86" s="40" t="s">
        <v>44</v>
      </c>
      <c r="Q86" s="40" t="s">
        <v>44</v>
      </c>
      <c r="R86" s="40" t="s">
        <v>80</v>
      </c>
      <c r="S86" s="40" t="s">
        <v>44</v>
      </c>
      <c r="T86" s="14"/>
      <c r="U86" s="40" t="s">
        <v>44</v>
      </c>
      <c r="V86" s="42" t="s">
        <v>44</v>
      </c>
      <c r="W86" s="40" t="s">
        <v>44</v>
      </c>
      <c r="X86" s="40" t="s">
        <v>44</v>
      </c>
      <c r="Y86" s="40" t="s">
        <v>80</v>
      </c>
      <c r="Z86" s="40" t="s">
        <v>80</v>
      </c>
      <c r="AA86" s="14"/>
      <c r="AB86" s="40" t="s">
        <v>80</v>
      </c>
      <c r="AC86" s="40" t="s">
        <v>80</v>
      </c>
      <c r="AD86" s="40" t="s">
        <v>80</v>
      </c>
      <c r="AE86" s="40" t="s">
        <v>80</v>
      </c>
      <c r="AF86" s="40" t="s">
        <v>80</v>
      </c>
      <c r="AG86" s="40" t="s">
        <v>80</v>
      </c>
      <c r="AH86" s="14"/>
      <c r="AI86" s="40" t="s">
        <v>80</v>
      </c>
      <c r="AJ86" s="40" t="s">
        <v>80</v>
      </c>
      <c r="AK86" s="11"/>
      <c r="AL86" s="11"/>
      <c r="AM86" s="11"/>
      <c r="AN86" s="11"/>
      <c r="AO86" s="14"/>
      <c r="AP86" s="11"/>
      <c r="AQ86" s="11"/>
      <c r="AR86" s="11"/>
    </row>
    <row r="87">
      <c r="A87" s="33">
        <v>84.0</v>
      </c>
      <c r="B87" s="35" t="s">
        <v>795</v>
      </c>
      <c r="C87" s="43" t="s">
        <v>475</v>
      </c>
      <c r="D87" s="43" t="s">
        <v>477</v>
      </c>
      <c r="E87" s="8">
        <f t="shared" si="2"/>
        <v>17</v>
      </c>
      <c r="F87" s="8">
        <f t="shared" si="3"/>
        <v>6</v>
      </c>
      <c r="G87" s="8">
        <f t="shared" si="6"/>
        <v>23</v>
      </c>
      <c r="H87" s="39">
        <f t="shared" si="5"/>
        <v>73.91304348</v>
      </c>
      <c r="I87" s="11"/>
      <c r="J87" s="40" t="s">
        <v>44</v>
      </c>
      <c r="K87" s="40" t="s">
        <v>80</v>
      </c>
      <c r="L87" s="40" t="s">
        <v>44</v>
      </c>
      <c r="M87" s="14"/>
      <c r="N87" s="40" t="s">
        <v>80</v>
      </c>
      <c r="O87" s="40" t="s">
        <v>80</v>
      </c>
      <c r="P87" s="40" t="s">
        <v>80</v>
      </c>
      <c r="Q87" s="40" t="s">
        <v>80</v>
      </c>
      <c r="R87" s="40" t="s">
        <v>80</v>
      </c>
      <c r="S87" s="40" t="s">
        <v>80</v>
      </c>
      <c r="T87" s="14"/>
      <c r="U87" s="40" t="s">
        <v>80</v>
      </c>
      <c r="V87" s="42" t="s">
        <v>80</v>
      </c>
      <c r="W87" s="40" t="s">
        <v>80</v>
      </c>
      <c r="X87" s="40" t="s">
        <v>80</v>
      </c>
      <c r="Y87" s="40" t="s">
        <v>80</v>
      </c>
      <c r="Z87" s="40" t="s">
        <v>80</v>
      </c>
      <c r="AA87" s="14"/>
      <c r="AB87" s="40" t="s">
        <v>80</v>
      </c>
      <c r="AC87" s="40" t="s">
        <v>80</v>
      </c>
      <c r="AD87" s="40" t="s">
        <v>80</v>
      </c>
      <c r="AE87" s="40" t="s">
        <v>44</v>
      </c>
      <c r="AF87" s="40" t="s">
        <v>44</v>
      </c>
      <c r="AG87" s="40" t="s">
        <v>80</v>
      </c>
      <c r="AH87" s="14"/>
      <c r="AI87" s="40" t="s">
        <v>44</v>
      </c>
      <c r="AJ87" s="40" t="s">
        <v>44</v>
      </c>
      <c r="AK87" s="11"/>
      <c r="AL87" s="11"/>
      <c r="AM87" s="11"/>
      <c r="AN87" s="11"/>
      <c r="AO87" s="14"/>
      <c r="AP87" s="11"/>
      <c r="AQ87" s="11"/>
      <c r="AR87" s="11"/>
    </row>
    <row r="88">
      <c r="A88" s="33">
        <v>85.0</v>
      </c>
      <c r="B88" s="35" t="s">
        <v>796</v>
      </c>
      <c r="C88" s="43" t="s">
        <v>480</v>
      </c>
      <c r="D88" s="43" t="s">
        <v>481</v>
      </c>
      <c r="E88" s="8">
        <f t="shared" si="2"/>
        <v>18</v>
      </c>
      <c r="F88" s="8">
        <f t="shared" si="3"/>
        <v>5</v>
      </c>
      <c r="G88" s="8">
        <f t="shared" si="6"/>
        <v>23</v>
      </c>
      <c r="H88" s="39">
        <f t="shared" si="5"/>
        <v>78.26086957</v>
      </c>
      <c r="I88" s="11"/>
      <c r="J88" s="40" t="s">
        <v>80</v>
      </c>
      <c r="K88" s="40" t="s">
        <v>80</v>
      </c>
      <c r="L88" s="40" t="s">
        <v>80</v>
      </c>
      <c r="M88" s="14"/>
      <c r="N88" s="40" t="s">
        <v>80</v>
      </c>
      <c r="O88" s="40" t="s">
        <v>80</v>
      </c>
      <c r="P88" s="40" t="s">
        <v>80</v>
      </c>
      <c r="Q88" s="40" t="s">
        <v>80</v>
      </c>
      <c r="R88" s="40" t="s">
        <v>80</v>
      </c>
      <c r="S88" s="40" t="s">
        <v>80</v>
      </c>
      <c r="T88" s="14"/>
      <c r="U88" s="40" t="s">
        <v>80</v>
      </c>
      <c r="V88" s="42" t="s">
        <v>80</v>
      </c>
      <c r="W88" s="40" t="s">
        <v>80</v>
      </c>
      <c r="X88" s="40" t="s">
        <v>80</v>
      </c>
      <c r="Y88" s="40" t="s">
        <v>80</v>
      </c>
      <c r="Z88" s="40" t="s">
        <v>80</v>
      </c>
      <c r="AA88" s="14"/>
      <c r="AB88" s="40" t="s">
        <v>44</v>
      </c>
      <c r="AC88" s="40" t="s">
        <v>80</v>
      </c>
      <c r="AD88" s="40" t="s">
        <v>80</v>
      </c>
      <c r="AE88" s="40" t="s">
        <v>80</v>
      </c>
      <c r="AF88" s="40" t="s">
        <v>44</v>
      </c>
      <c r="AG88" s="40" t="s">
        <v>44</v>
      </c>
      <c r="AH88" s="14"/>
      <c r="AI88" s="40" t="s">
        <v>44</v>
      </c>
      <c r="AJ88" s="40" t="s">
        <v>44</v>
      </c>
      <c r="AK88" s="11"/>
      <c r="AL88" s="11"/>
      <c r="AM88" s="11"/>
      <c r="AN88" s="11"/>
      <c r="AO88" s="14"/>
      <c r="AP88" s="11"/>
      <c r="AQ88" s="11"/>
      <c r="AR88" s="11"/>
    </row>
    <row r="89">
      <c r="A89" s="33">
        <v>86.0</v>
      </c>
      <c r="B89" s="35" t="s">
        <v>797</v>
      </c>
      <c r="C89" s="43" t="s">
        <v>486</v>
      </c>
      <c r="D89" s="43" t="s">
        <v>487</v>
      </c>
      <c r="E89" s="8">
        <f t="shared" si="2"/>
        <v>22</v>
      </c>
      <c r="F89" s="8">
        <f t="shared" si="3"/>
        <v>1</v>
      </c>
      <c r="G89" s="8">
        <f t="shared" si="6"/>
        <v>23</v>
      </c>
      <c r="H89" s="39">
        <f t="shared" si="5"/>
        <v>95.65217391</v>
      </c>
      <c r="I89" s="11"/>
      <c r="J89" s="40" t="s">
        <v>80</v>
      </c>
      <c r="K89" s="40" t="s">
        <v>80</v>
      </c>
      <c r="L89" s="40" t="s">
        <v>80</v>
      </c>
      <c r="M89" s="14"/>
      <c r="N89" s="40" t="s">
        <v>80</v>
      </c>
      <c r="O89" s="40" t="s">
        <v>80</v>
      </c>
      <c r="P89" s="40" t="s">
        <v>80</v>
      </c>
      <c r="Q89" s="40" t="s">
        <v>80</v>
      </c>
      <c r="R89" s="40" t="s">
        <v>80</v>
      </c>
      <c r="S89" s="40" t="s">
        <v>80</v>
      </c>
      <c r="T89" s="14"/>
      <c r="U89" s="40" t="s">
        <v>80</v>
      </c>
      <c r="V89" s="42" t="s">
        <v>80</v>
      </c>
      <c r="W89" s="40" t="s">
        <v>80</v>
      </c>
      <c r="X89" s="40" t="s">
        <v>80</v>
      </c>
      <c r="Y89" s="40" t="s">
        <v>80</v>
      </c>
      <c r="Z89" s="40" t="s">
        <v>80</v>
      </c>
      <c r="AA89" s="14"/>
      <c r="AB89" s="40" t="s">
        <v>80</v>
      </c>
      <c r="AC89" s="40" t="s">
        <v>44</v>
      </c>
      <c r="AD89" s="40" t="s">
        <v>80</v>
      </c>
      <c r="AE89" s="40" t="s">
        <v>80</v>
      </c>
      <c r="AF89" s="40" t="s">
        <v>80</v>
      </c>
      <c r="AG89" s="40" t="s">
        <v>80</v>
      </c>
      <c r="AH89" s="14"/>
      <c r="AI89" s="40" t="s">
        <v>80</v>
      </c>
      <c r="AJ89" s="40" t="s">
        <v>80</v>
      </c>
      <c r="AK89" s="11"/>
      <c r="AL89" s="11"/>
      <c r="AM89" s="11"/>
      <c r="AN89" s="11"/>
      <c r="AO89" s="14"/>
      <c r="AP89" s="11"/>
      <c r="AQ89" s="11"/>
      <c r="AR89" s="11"/>
    </row>
    <row r="90">
      <c r="A90" s="33">
        <v>87.0</v>
      </c>
      <c r="B90" s="35" t="s">
        <v>798</v>
      </c>
      <c r="C90" s="71" t="s">
        <v>489</v>
      </c>
      <c r="D90" s="43" t="s">
        <v>491</v>
      </c>
      <c r="E90" s="8">
        <f t="shared" si="2"/>
        <v>16</v>
      </c>
      <c r="F90" s="8">
        <f t="shared" si="3"/>
        <v>7</v>
      </c>
      <c r="G90" s="8">
        <f t="shared" si="6"/>
        <v>23</v>
      </c>
      <c r="H90" s="39">
        <f t="shared" si="5"/>
        <v>69.56521739</v>
      </c>
      <c r="I90" s="11"/>
      <c r="J90" s="40" t="s">
        <v>44</v>
      </c>
      <c r="K90" s="40" t="s">
        <v>80</v>
      </c>
      <c r="L90" s="40" t="s">
        <v>80</v>
      </c>
      <c r="M90" s="14"/>
      <c r="N90" s="40" t="s">
        <v>80</v>
      </c>
      <c r="O90" s="40" t="s">
        <v>80</v>
      </c>
      <c r="P90" s="40" t="s">
        <v>80</v>
      </c>
      <c r="Q90" s="40" t="s">
        <v>44</v>
      </c>
      <c r="R90" s="40" t="s">
        <v>80</v>
      </c>
      <c r="S90" s="40" t="s">
        <v>80</v>
      </c>
      <c r="T90" s="14"/>
      <c r="U90" s="40" t="s">
        <v>80</v>
      </c>
      <c r="V90" s="55" t="s">
        <v>80</v>
      </c>
      <c r="W90" s="40" t="s">
        <v>80</v>
      </c>
      <c r="X90" s="40" t="s">
        <v>80</v>
      </c>
      <c r="Y90" s="40" t="s">
        <v>80</v>
      </c>
      <c r="Z90" s="40" t="s">
        <v>80</v>
      </c>
      <c r="AA90" s="14"/>
      <c r="AB90" s="40" t="s">
        <v>80</v>
      </c>
      <c r="AC90" s="40" t="s">
        <v>80</v>
      </c>
      <c r="AD90" s="40" t="s">
        <v>44</v>
      </c>
      <c r="AE90" s="40" t="s">
        <v>80</v>
      </c>
      <c r="AF90" s="40" t="s">
        <v>44</v>
      </c>
      <c r="AG90" s="40" t="s">
        <v>44</v>
      </c>
      <c r="AH90" s="14"/>
      <c r="AI90" s="40" t="s">
        <v>44</v>
      </c>
      <c r="AJ90" s="40" t="s">
        <v>44</v>
      </c>
      <c r="AK90" s="11"/>
      <c r="AL90" s="11"/>
      <c r="AM90" s="11"/>
      <c r="AN90" s="11"/>
      <c r="AO90" s="14"/>
      <c r="AP90" s="11"/>
      <c r="AQ90" s="11"/>
      <c r="AR90" s="11"/>
    </row>
    <row r="91">
      <c r="A91" s="33">
        <v>88.0</v>
      </c>
      <c r="B91" s="35" t="s">
        <v>799</v>
      </c>
      <c r="C91" s="43" t="s">
        <v>495</v>
      </c>
      <c r="D91" s="43" t="s">
        <v>496</v>
      </c>
      <c r="E91" s="8">
        <f t="shared" si="2"/>
        <v>17</v>
      </c>
      <c r="F91" s="8">
        <f t="shared" si="3"/>
        <v>6</v>
      </c>
      <c r="G91" s="8">
        <f t="shared" si="6"/>
        <v>23</v>
      </c>
      <c r="H91" s="39">
        <f t="shared" si="5"/>
        <v>73.91304348</v>
      </c>
      <c r="I91" s="11"/>
      <c r="J91" s="40" t="s">
        <v>44</v>
      </c>
      <c r="K91" s="40" t="s">
        <v>80</v>
      </c>
      <c r="L91" s="40" t="s">
        <v>80</v>
      </c>
      <c r="M91" s="14"/>
      <c r="N91" s="40" t="s">
        <v>80</v>
      </c>
      <c r="O91" s="40" t="s">
        <v>80</v>
      </c>
      <c r="P91" s="40" t="s">
        <v>80</v>
      </c>
      <c r="Q91" s="40" t="s">
        <v>80</v>
      </c>
      <c r="R91" s="40" t="s">
        <v>80</v>
      </c>
      <c r="S91" s="40" t="s">
        <v>80</v>
      </c>
      <c r="T91" s="14"/>
      <c r="U91" s="40" t="s">
        <v>44</v>
      </c>
      <c r="V91" s="42" t="s">
        <v>80</v>
      </c>
      <c r="W91" s="40" t="s">
        <v>80</v>
      </c>
      <c r="X91" s="40" t="s">
        <v>80</v>
      </c>
      <c r="Y91" s="40" t="s">
        <v>80</v>
      </c>
      <c r="Z91" s="40" t="s">
        <v>80</v>
      </c>
      <c r="AA91" s="14"/>
      <c r="AB91" s="40" t="s">
        <v>80</v>
      </c>
      <c r="AC91" s="40" t="s">
        <v>44</v>
      </c>
      <c r="AD91" s="40" t="s">
        <v>80</v>
      </c>
      <c r="AE91" s="40" t="s">
        <v>80</v>
      </c>
      <c r="AF91" s="40" t="s">
        <v>80</v>
      </c>
      <c r="AG91" s="40" t="s">
        <v>44</v>
      </c>
      <c r="AH91" s="14"/>
      <c r="AI91" s="40" t="s">
        <v>44</v>
      </c>
      <c r="AJ91" s="40" t="s">
        <v>44</v>
      </c>
      <c r="AK91" s="11"/>
      <c r="AL91" s="11"/>
      <c r="AM91" s="11"/>
      <c r="AN91" s="11"/>
      <c r="AO91" s="14"/>
      <c r="AP91" s="11"/>
      <c r="AQ91" s="11"/>
      <c r="AR91" s="11"/>
    </row>
    <row r="92">
      <c r="A92" s="33">
        <v>89.0</v>
      </c>
      <c r="B92" s="35" t="s">
        <v>800</v>
      </c>
      <c r="C92" s="43" t="s">
        <v>499</v>
      </c>
      <c r="D92" s="43" t="s">
        <v>500</v>
      </c>
      <c r="E92" s="8">
        <f t="shared" si="2"/>
        <v>18</v>
      </c>
      <c r="F92" s="8">
        <f t="shared" si="3"/>
        <v>5</v>
      </c>
      <c r="G92" s="8">
        <f t="shared" si="6"/>
        <v>23</v>
      </c>
      <c r="H92" s="39">
        <f t="shared" si="5"/>
        <v>78.26086957</v>
      </c>
      <c r="I92" s="11"/>
      <c r="J92" s="40" t="s">
        <v>80</v>
      </c>
      <c r="K92" s="40" t="s">
        <v>44</v>
      </c>
      <c r="L92" s="40" t="s">
        <v>80</v>
      </c>
      <c r="M92" s="14"/>
      <c r="N92" s="40" t="s">
        <v>80</v>
      </c>
      <c r="O92" s="40" t="s">
        <v>80</v>
      </c>
      <c r="P92" s="40" t="s">
        <v>80</v>
      </c>
      <c r="Q92" s="40" t="s">
        <v>80</v>
      </c>
      <c r="R92" s="40" t="s">
        <v>80</v>
      </c>
      <c r="S92" s="40" t="s">
        <v>80</v>
      </c>
      <c r="T92" s="14"/>
      <c r="U92" s="40" t="s">
        <v>80</v>
      </c>
      <c r="V92" s="42" t="s">
        <v>80</v>
      </c>
      <c r="W92" s="40" t="s">
        <v>80</v>
      </c>
      <c r="X92" s="40" t="s">
        <v>80</v>
      </c>
      <c r="Y92" s="40" t="s">
        <v>80</v>
      </c>
      <c r="Z92" s="40" t="s">
        <v>80</v>
      </c>
      <c r="AA92" s="14"/>
      <c r="AB92" s="40" t="s">
        <v>44</v>
      </c>
      <c r="AC92" s="40" t="s">
        <v>80</v>
      </c>
      <c r="AD92" s="40" t="s">
        <v>80</v>
      </c>
      <c r="AE92" s="40" t="s">
        <v>80</v>
      </c>
      <c r="AF92" s="40" t="s">
        <v>44</v>
      </c>
      <c r="AG92" s="40" t="s">
        <v>80</v>
      </c>
      <c r="AH92" s="14"/>
      <c r="AI92" s="40" t="s">
        <v>44</v>
      </c>
      <c r="AJ92" s="40" t="s">
        <v>44</v>
      </c>
      <c r="AK92" s="11"/>
      <c r="AL92" s="11"/>
      <c r="AM92" s="11"/>
      <c r="AN92" s="11"/>
      <c r="AO92" s="14"/>
      <c r="AP92" s="11"/>
      <c r="AQ92" s="11"/>
      <c r="AR92" s="11"/>
    </row>
    <row r="93">
      <c r="A93" s="33">
        <v>90.0</v>
      </c>
      <c r="B93" s="35" t="s">
        <v>801</v>
      </c>
      <c r="C93" s="43" t="s">
        <v>504</v>
      </c>
      <c r="D93" s="43" t="s">
        <v>505</v>
      </c>
      <c r="E93" s="8">
        <f t="shared" si="2"/>
        <v>12</v>
      </c>
      <c r="F93" s="8">
        <f t="shared" si="3"/>
        <v>11</v>
      </c>
      <c r="G93" s="8">
        <f t="shared" si="6"/>
        <v>23</v>
      </c>
      <c r="H93" s="39">
        <f t="shared" si="5"/>
        <v>52.17391304</v>
      </c>
      <c r="I93" s="11"/>
      <c r="J93" s="40" t="s">
        <v>80</v>
      </c>
      <c r="K93" s="40" t="s">
        <v>44</v>
      </c>
      <c r="L93" s="40" t="s">
        <v>80</v>
      </c>
      <c r="M93" s="14"/>
      <c r="N93" s="40" t="s">
        <v>44</v>
      </c>
      <c r="O93" s="40" t="s">
        <v>44</v>
      </c>
      <c r="P93" s="40" t="s">
        <v>44</v>
      </c>
      <c r="Q93" s="40" t="s">
        <v>80</v>
      </c>
      <c r="R93" s="40" t="s">
        <v>80</v>
      </c>
      <c r="S93" s="40" t="s">
        <v>80</v>
      </c>
      <c r="T93" s="14"/>
      <c r="U93" s="40" t="s">
        <v>44</v>
      </c>
      <c r="V93" s="42" t="s">
        <v>44</v>
      </c>
      <c r="W93" s="40" t="s">
        <v>80</v>
      </c>
      <c r="X93" s="40" t="s">
        <v>80</v>
      </c>
      <c r="Y93" s="40" t="s">
        <v>80</v>
      </c>
      <c r="Z93" s="40" t="s">
        <v>44</v>
      </c>
      <c r="AA93" s="14"/>
      <c r="AB93" s="40" t="s">
        <v>44</v>
      </c>
      <c r="AC93" s="40" t="s">
        <v>44</v>
      </c>
      <c r="AD93" s="40" t="s">
        <v>80</v>
      </c>
      <c r="AE93" s="40" t="s">
        <v>80</v>
      </c>
      <c r="AF93" s="40" t="s">
        <v>44</v>
      </c>
      <c r="AG93" s="40" t="s">
        <v>44</v>
      </c>
      <c r="AH93" s="14"/>
      <c r="AI93" s="40" t="s">
        <v>80</v>
      </c>
      <c r="AJ93" s="40" t="s">
        <v>80</v>
      </c>
      <c r="AK93" s="11"/>
      <c r="AL93" s="11"/>
      <c r="AM93" s="11"/>
      <c r="AN93" s="11"/>
      <c r="AO93" s="14"/>
      <c r="AP93" s="11"/>
      <c r="AQ93" s="11"/>
      <c r="AR93" s="11"/>
    </row>
    <row r="94">
      <c r="A94" s="33">
        <v>91.0</v>
      </c>
      <c r="B94" s="35" t="s">
        <v>802</v>
      </c>
      <c r="C94" s="43" t="s">
        <v>508</v>
      </c>
      <c r="D94" s="43" t="s">
        <v>509</v>
      </c>
      <c r="E94" s="8">
        <f t="shared" si="2"/>
        <v>10</v>
      </c>
      <c r="F94" s="8">
        <f t="shared" si="3"/>
        <v>13</v>
      </c>
      <c r="G94" s="8">
        <f t="shared" si="6"/>
        <v>23</v>
      </c>
      <c r="H94" s="39">
        <f t="shared" si="5"/>
        <v>43.47826087</v>
      </c>
      <c r="I94" s="11"/>
      <c r="J94" s="40" t="s">
        <v>80</v>
      </c>
      <c r="K94" s="40" t="s">
        <v>44</v>
      </c>
      <c r="L94" s="40" t="s">
        <v>44</v>
      </c>
      <c r="M94" s="14"/>
      <c r="N94" s="40" t="s">
        <v>44</v>
      </c>
      <c r="O94" s="40" t="s">
        <v>44</v>
      </c>
      <c r="P94" s="40" t="s">
        <v>80</v>
      </c>
      <c r="Q94" s="40" t="s">
        <v>80</v>
      </c>
      <c r="R94" s="40" t="s">
        <v>80</v>
      </c>
      <c r="S94" s="40" t="s">
        <v>44</v>
      </c>
      <c r="T94" s="14"/>
      <c r="U94" s="40" t="s">
        <v>44</v>
      </c>
      <c r="V94" s="42" t="s">
        <v>44</v>
      </c>
      <c r="W94" s="40" t="s">
        <v>44</v>
      </c>
      <c r="X94" s="40" t="s">
        <v>44</v>
      </c>
      <c r="Y94" s="40" t="s">
        <v>44</v>
      </c>
      <c r="Z94" s="40" t="s">
        <v>44</v>
      </c>
      <c r="AA94" s="14"/>
      <c r="AB94" s="40" t="s">
        <v>44</v>
      </c>
      <c r="AC94" s="40" t="s">
        <v>44</v>
      </c>
      <c r="AD94" s="40" t="s">
        <v>80</v>
      </c>
      <c r="AE94" s="40" t="s">
        <v>80</v>
      </c>
      <c r="AF94" s="40" t="s">
        <v>80</v>
      </c>
      <c r="AG94" s="40" t="s">
        <v>80</v>
      </c>
      <c r="AH94" s="14"/>
      <c r="AI94" s="40" t="s">
        <v>80</v>
      </c>
      <c r="AJ94" s="40" t="s">
        <v>80</v>
      </c>
      <c r="AK94" s="11"/>
      <c r="AL94" s="11"/>
      <c r="AM94" s="11"/>
      <c r="AN94" s="11"/>
      <c r="AO94" s="14"/>
      <c r="AP94" s="11"/>
      <c r="AQ94" s="11"/>
      <c r="AR94" s="11"/>
    </row>
    <row r="95">
      <c r="A95" s="33">
        <v>92.0</v>
      </c>
      <c r="B95" s="35" t="s">
        <v>803</v>
      </c>
      <c r="C95" s="43" t="s">
        <v>512</v>
      </c>
      <c r="D95" s="43" t="s">
        <v>513</v>
      </c>
      <c r="E95" s="8">
        <f t="shared" si="2"/>
        <v>16</v>
      </c>
      <c r="F95" s="8">
        <f t="shared" si="3"/>
        <v>7</v>
      </c>
      <c r="G95" s="8">
        <f t="shared" si="6"/>
        <v>23</v>
      </c>
      <c r="H95" s="39">
        <f t="shared" si="5"/>
        <v>69.56521739</v>
      </c>
      <c r="I95" s="11"/>
      <c r="J95" s="40" t="s">
        <v>80</v>
      </c>
      <c r="K95" s="40" t="s">
        <v>80</v>
      </c>
      <c r="L95" s="40" t="s">
        <v>80</v>
      </c>
      <c r="M95" s="14"/>
      <c r="N95" s="40" t="s">
        <v>80</v>
      </c>
      <c r="O95" s="40" t="s">
        <v>80</v>
      </c>
      <c r="P95" s="40" t="s">
        <v>80</v>
      </c>
      <c r="Q95" s="40" t="s">
        <v>44</v>
      </c>
      <c r="R95" s="40" t="s">
        <v>80</v>
      </c>
      <c r="S95" s="40" t="s">
        <v>80</v>
      </c>
      <c r="T95" s="14"/>
      <c r="U95" s="40" t="s">
        <v>80</v>
      </c>
      <c r="V95" s="42" t="s">
        <v>44</v>
      </c>
      <c r="W95" s="40" t="s">
        <v>80</v>
      </c>
      <c r="X95" s="40" t="s">
        <v>80</v>
      </c>
      <c r="Y95" s="40" t="s">
        <v>80</v>
      </c>
      <c r="Z95" s="40" t="s">
        <v>80</v>
      </c>
      <c r="AA95" s="14"/>
      <c r="AB95" s="40" t="s">
        <v>80</v>
      </c>
      <c r="AC95" s="40" t="s">
        <v>44</v>
      </c>
      <c r="AD95" s="40" t="s">
        <v>44</v>
      </c>
      <c r="AE95" s="40" t="s">
        <v>80</v>
      </c>
      <c r="AF95" s="40" t="s">
        <v>44</v>
      </c>
      <c r="AG95" s="40" t="s">
        <v>44</v>
      </c>
      <c r="AH95" s="14"/>
      <c r="AI95" s="40" t="s">
        <v>44</v>
      </c>
      <c r="AJ95" s="40" t="s">
        <v>80</v>
      </c>
      <c r="AK95" s="11"/>
      <c r="AL95" s="11"/>
      <c r="AM95" s="11"/>
      <c r="AN95" s="11"/>
      <c r="AO95" s="14"/>
      <c r="AP95" s="11"/>
      <c r="AQ95" s="11"/>
      <c r="AR95" s="11"/>
    </row>
    <row r="96">
      <c r="A96" s="33">
        <v>93.0</v>
      </c>
      <c r="B96" s="35" t="s">
        <v>804</v>
      </c>
      <c r="C96" s="43" t="s">
        <v>516</v>
      </c>
      <c r="D96" s="43" t="s">
        <v>517</v>
      </c>
      <c r="E96" s="8">
        <f t="shared" si="2"/>
        <v>14</v>
      </c>
      <c r="F96" s="8">
        <f t="shared" si="3"/>
        <v>9</v>
      </c>
      <c r="G96" s="8">
        <f t="shared" si="6"/>
        <v>23</v>
      </c>
      <c r="H96" s="39">
        <f t="shared" si="5"/>
        <v>60.86956522</v>
      </c>
      <c r="I96" s="11"/>
      <c r="J96" s="40" t="s">
        <v>80</v>
      </c>
      <c r="K96" s="40" t="s">
        <v>44</v>
      </c>
      <c r="L96" s="40" t="s">
        <v>80</v>
      </c>
      <c r="M96" s="14"/>
      <c r="N96" s="40" t="s">
        <v>80</v>
      </c>
      <c r="O96" s="40" t="s">
        <v>44</v>
      </c>
      <c r="P96" s="40" t="s">
        <v>44</v>
      </c>
      <c r="Q96" s="40" t="s">
        <v>80</v>
      </c>
      <c r="R96" s="40" t="s">
        <v>44</v>
      </c>
      <c r="S96" s="40" t="s">
        <v>44</v>
      </c>
      <c r="T96" s="14"/>
      <c r="U96" s="40" t="s">
        <v>80</v>
      </c>
      <c r="V96" s="42" t="s">
        <v>44</v>
      </c>
      <c r="W96" s="40" t="s">
        <v>44</v>
      </c>
      <c r="X96" s="40" t="s">
        <v>44</v>
      </c>
      <c r="Y96" s="40" t="s">
        <v>80</v>
      </c>
      <c r="Z96" s="40" t="s">
        <v>80</v>
      </c>
      <c r="AA96" s="14"/>
      <c r="AB96" s="40" t="s">
        <v>80</v>
      </c>
      <c r="AC96" s="40" t="s">
        <v>80</v>
      </c>
      <c r="AD96" s="40" t="s">
        <v>80</v>
      </c>
      <c r="AE96" s="40" t="s">
        <v>80</v>
      </c>
      <c r="AF96" s="40" t="s">
        <v>44</v>
      </c>
      <c r="AG96" s="40" t="s">
        <v>80</v>
      </c>
      <c r="AH96" s="14"/>
      <c r="AI96" s="40" t="s">
        <v>80</v>
      </c>
      <c r="AJ96" s="40" t="s">
        <v>80</v>
      </c>
      <c r="AK96" s="11"/>
      <c r="AL96" s="11"/>
      <c r="AM96" s="11"/>
      <c r="AN96" s="11"/>
      <c r="AO96" s="14"/>
      <c r="AP96" s="11"/>
      <c r="AQ96" s="11"/>
      <c r="AR96" s="11"/>
    </row>
    <row r="97">
      <c r="A97" s="33">
        <v>94.0</v>
      </c>
      <c r="B97" s="35" t="s">
        <v>805</v>
      </c>
      <c r="C97" s="43" t="s">
        <v>519</v>
      </c>
      <c r="D97" s="43" t="s">
        <v>520</v>
      </c>
      <c r="E97" s="8">
        <f t="shared" si="2"/>
        <v>23</v>
      </c>
      <c r="F97" s="8">
        <f t="shared" si="3"/>
        <v>0</v>
      </c>
      <c r="G97" s="8">
        <f t="shared" si="6"/>
        <v>23</v>
      </c>
      <c r="H97" s="39">
        <f t="shared" si="5"/>
        <v>100</v>
      </c>
      <c r="I97" s="11"/>
      <c r="J97" s="40" t="s">
        <v>80</v>
      </c>
      <c r="K97" s="40" t="s">
        <v>80</v>
      </c>
      <c r="L97" s="40" t="s">
        <v>80</v>
      </c>
      <c r="M97" s="14"/>
      <c r="N97" s="40" t="s">
        <v>80</v>
      </c>
      <c r="O97" s="40" t="s">
        <v>80</v>
      </c>
      <c r="P97" s="40" t="s">
        <v>80</v>
      </c>
      <c r="Q97" s="40" t="s">
        <v>80</v>
      </c>
      <c r="R97" s="40" t="s">
        <v>80</v>
      </c>
      <c r="S97" s="40" t="s">
        <v>80</v>
      </c>
      <c r="T97" s="14"/>
      <c r="U97" s="40" t="s">
        <v>80</v>
      </c>
      <c r="V97" s="42" t="s">
        <v>80</v>
      </c>
      <c r="W97" s="40" t="s">
        <v>80</v>
      </c>
      <c r="X97" s="40" t="s">
        <v>80</v>
      </c>
      <c r="Y97" s="40" t="s">
        <v>80</v>
      </c>
      <c r="Z97" s="40" t="s">
        <v>80</v>
      </c>
      <c r="AA97" s="14"/>
      <c r="AB97" s="40" t="s">
        <v>80</v>
      </c>
      <c r="AC97" s="40" t="s">
        <v>80</v>
      </c>
      <c r="AD97" s="40" t="s">
        <v>80</v>
      </c>
      <c r="AE97" s="40" t="s">
        <v>80</v>
      </c>
      <c r="AF97" s="40" t="s">
        <v>80</v>
      </c>
      <c r="AG97" s="40" t="s">
        <v>80</v>
      </c>
      <c r="AH97" s="14"/>
      <c r="AI97" s="40" t="s">
        <v>80</v>
      </c>
      <c r="AJ97" s="40" t="s">
        <v>80</v>
      </c>
      <c r="AK97" s="11"/>
      <c r="AL97" s="11"/>
      <c r="AM97" s="11"/>
      <c r="AN97" s="11"/>
      <c r="AO97" s="14"/>
      <c r="AP97" s="11"/>
      <c r="AQ97" s="11"/>
      <c r="AR97" s="11"/>
    </row>
    <row r="98">
      <c r="A98" s="33">
        <v>95.0</v>
      </c>
      <c r="B98" s="35" t="s">
        <v>806</v>
      </c>
      <c r="C98" s="43" t="s">
        <v>523</v>
      </c>
      <c r="D98" s="43" t="s">
        <v>524</v>
      </c>
      <c r="E98" s="8">
        <f t="shared" si="2"/>
        <v>21</v>
      </c>
      <c r="F98" s="8">
        <f t="shared" si="3"/>
        <v>2</v>
      </c>
      <c r="G98" s="8">
        <f t="shared" si="6"/>
        <v>23</v>
      </c>
      <c r="H98" s="39">
        <f t="shared" si="5"/>
        <v>91.30434783</v>
      </c>
      <c r="I98" s="11"/>
      <c r="J98" s="40" t="s">
        <v>80</v>
      </c>
      <c r="K98" s="40" t="s">
        <v>80</v>
      </c>
      <c r="L98" s="40" t="s">
        <v>80</v>
      </c>
      <c r="M98" s="14"/>
      <c r="N98" s="40" t="s">
        <v>80</v>
      </c>
      <c r="O98" s="40" t="s">
        <v>80</v>
      </c>
      <c r="P98" s="40" t="s">
        <v>80</v>
      </c>
      <c r="Q98" s="40" t="s">
        <v>80</v>
      </c>
      <c r="R98" s="40" t="s">
        <v>80</v>
      </c>
      <c r="S98" s="40" t="s">
        <v>44</v>
      </c>
      <c r="T98" s="14"/>
      <c r="U98" s="40" t="s">
        <v>80</v>
      </c>
      <c r="V98" s="42" t="s">
        <v>80</v>
      </c>
      <c r="W98" s="40" t="s">
        <v>80</v>
      </c>
      <c r="X98" s="40" t="s">
        <v>80</v>
      </c>
      <c r="Y98" s="40" t="s">
        <v>80</v>
      </c>
      <c r="Z98" s="40" t="s">
        <v>80</v>
      </c>
      <c r="AA98" s="14"/>
      <c r="AB98" s="40" t="s">
        <v>80</v>
      </c>
      <c r="AC98" s="40" t="s">
        <v>80</v>
      </c>
      <c r="AD98" s="40" t="s">
        <v>80</v>
      </c>
      <c r="AE98" s="40" t="s">
        <v>80</v>
      </c>
      <c r="AF98" s="40" t="s">
        <v>44</v>
      </c>
      <c r="AG98" s="40" t="s">
        <v>80</v>
      </c>
      <c r="AH98" s="14"/>
      <c r="AI98" s="40" t="s">
        <v>80</v>
      </c>
      <c r="AJ98" s="40" t="s">
        <v>80</v>
      </c>
      <c r="AK98" s="11"/>
      <c r="AL98" s="11"/>
      <c r="AM98" s="11"/>
      <c r="AN98" s="11"/>
      <c r="AO98" s="14"/>
      <c r="AP98" s="11"/>
      <c r="AQ98" s="11"/>
      <c r="AR98" s="11"/>
    </row>
    <row r="99">
      <c r="A99" s="33">
        <v>96.0</v>
      </c>
      <c r="B99" s="35" t="s">
        <v>807</v>
      </c>
      <c r="C99" s="43" t="s">
        <v>527</v>
      </c>
      <c r="D99" s="43" t="s">
        <v>528</v>
      </c>
      <c r="E99" s="8">
        <f t="shared" si="2"/>
        <v>19</v>
      </c>
      <c r="F99" s="8">
        <f t="shared" si="3"/>
        <v>4</v>
      </c>
      <c r="G99" s="8">
        <f t="shared" si="6"/>
        <v>23</v>
      </c>
      <c r="H99" s="39">
        <f t="shared" si="5"/>
        <v>82.60869565</v>
      </c>
      <c r="I99" s="11"/>
      <c r="J99" s="40" t="s">
        <v>80</v>
      </c>
      <c r="K99" s="40" t="s">
        <v>80</v>
      </c>
      <c r="L99" s="40" t="s">
        <v>80</v>
      </c>
      <c r="M99" s="14"/>
      <c r="N99" s="40" t="s">
        <v>80</v>
      </c>
      <c r="O99" s="40" t="s">
        <v>80</v>
      </c>
      <c r="P99" s="40" t="s">
        <v>44</v>
      </c>
      <c r="Q99" s="40" t="s">
        <v>44</v>
      </c>
      <c r="R99" s="40" t="s">
        <v>44</v>
      </c>
      <c r="S99" s="40" t="s">
        <v>44</v>
      </c>
      <c r="T99" s="14"/>
      <c r="U99" s="40" t="s">
        <v>80</v>
      </c>
      <c r="V99" s="42" t="s">
        <v>80</v>
      </c>
      <c r="W99" s="40" t="s">
        <v>80</v>
      </c>
      <c r="X99" s="40" t="s">
        <v>80</v>
      </c>
      <c r="Y99" s="40" t="s">
        <v>80</v>
      </c>
      <c r="Z99" s="40" t="s">
        <v>80</v>
      </c>
      <c r="AA99" s="14"/>
      <c r="AB99" s="40" t="s">
        <v>80</v>
      </c>
      <c r="AC99" s="40" t="s">
        <v>80</v>
      </c>
      <c r="AD99" s="40" t="s">
        <v>80</v>
      </c>
      <c r="AE99" s="40" t="s">
        <v>80</v>
      </c>
      <c r="AF99" s="40" t="s">
        <v>80</v>
      </c>
      <c r="AG99" s="40" t="s">
        <v>80</v>
      </c>
      <c r="AH99" s="14"/>
      <c r="AI99" s="40" t="s">
        <v>80</v>
      </c>
      <c r="AJ99" s="40" t="s">
        <v>80</v>
      </c>
      <c r="AK99" s="11"/>
      <c r="AL99" s="11"/>
      <c r="AM99" s="11"/>
      <c r="AN99" s="11"/>
      <c r="AO99" s="14"/>
      <c r="AP99" s="11"/>
      <c r="AQ99" s="11"/>
      <c r="AR99" s="11"/>
    </row>
    <row r="100">
      <c r="A100" s="33">
        <v>97.0</v>
      </c>
      <c r="B100" s="35" t="s">
        <v>808</v>
      </c>
      <c r="C100" s="43" t="s">
        <v>531</v>
      </c>
      <c r="D100" s="43" t="s">
        <v>533</v>
      </c>
      <c r="E100" s="8">
        <f t="shared" si="2"/>
        <v>23</v>
      </c>
      <c r="F100" s="8">
        <f t="shared" si="3"/>
        <v>0</v>
      </c>
      <c r="G100" s="8">
        <f t="shared" si="6"/>
        <v>23</v>
      </c>
      <c r="H100" s="39">
        <f t="shared" si="5"/>
        <v>100</v>
      </c>
      <c r="I100" s="11"/>
      <c r="J100" s="40" t="s">
        <v>80</v>
      </c>
      <c r="K100" s="40" t="s">
        <v>80</v>
      </c>
      <c r="L100" s="40" t="s">
        <v>80</v>
      </c>
      <c r="M100" s="14"/>
      <c r="N100" s="40" t="s">
        <v>80</v>
      </c>
      <c r="O100" s="40" t="s">
        <v>80</v>
      </c>
      <c r="P100" s="40" t="s">
        <v>80</v>
      </c>
      <c r="Q100" s="40" t="s">
        <v>80</v>
      </c>
      <c r="R100" s="40" t="s">
        <v>80</v>
      </c>
      <c r="S100" s="40" t="s">
        <v>80</v>
      </c>
      <c r="T100" s="14"/>
      <c r="U100" s="40" t="s">
        <v>80</v>
      </c>
      <c r="V100" s="42" t="s">
        <v>80</v>
      </c>
      <c r="W100" s="40" t="s">
        <v>80</v>
      </c>
      <c r="X100" s="40" t="s">
        <v>80</v>
      </c>
      <c r="Y100" s="40" t="s">
        <v>80</v>
      </c>
      <c r="Z100" s="40" t="s">
        <v>80</v>
      </c>
      <c r="AA100" s="14"/>
      <c r="AB100" s="40" t="s">
        <v>80</v>
      </c>
      <c r="AC100" s="40" t="s">
        <v>80</v>
      </c>
      <c r="AD100" s="40" t="s">
        <v>80</v>
      </c>
      <c r="AE100" s="40" t="s">
        <v>80</v>
      </c>
      <c r="AF100" s="40" t="s">
        <v>80</v>
      </c>
      <c r="AG100" s="40" t="s">
        <v>80</v>
      </c>
      <c r="AH100" s="14"/>
      <c r="AI100" s="40" t="s">
        <v>80</v>
      </c>
      <c r="AJ100" s="40" t="s">
        <v>80</v>
      </c>
      <c r="AK100" s="11"/>
      <c r="AL100" s="11"/>
      <c r="AM100" s="11"/>
      <c r="AN100" s="11"/>
      <c r="AO100" s="14"/>
      <c r="AP100" s="11"/>
      <c r="AQ100" s="11"/>
      <c r="AR100" s="11"/>
    </row>
    <row r="101">
      <c r="A101" s="33">
        <v>98.0</v>
      </c>
      <c r="B101" s="35" t="s">
        <v>809</v>
      </c>
      <c r="C101" s="43" t="s">
        <v>536</v>
      </c>
      <c r="D101" s="43" t="s">
        <v>538</v>
      </c>
      <c r="E101" s="8">
        <f t="shared" si="2"/>
        <v>21</v>
      </c>
      <c r="F101" s="8">
        <f t="shared" si="3"/>
        <v>2</v>
      </c>
      <c r="G101" s="8">
        <f t="shared" si="6"/>
        <v>23</v>
      </c>
      <c r="H101" s="39">
        <f t="shared" si="5"/>
        <v>91.30434783</v>
      </c>
      <c r="I101" s="11"/>
      <c r="J101" s="40" t="s">
        <v>80</v>
      </c>
      <c r="K101" s="40" t="s">
        <v>80</v>
      </c>
      <c r="L101" s="40" t="s">
        <v>80</v>
      </c>
      <c r="M101" s="14"/>
      <c r="N101" s="40" t="s">
        <v>80</v>
      </c>
      <c r="O101" s="40" t="s">
        <v>80</v>
      </c>
      <c r="P101" s="40" t="s">
        <v>80</v>
      </c>
      <c r="Q101" s="40" t="s">
        <v>80</v>
      </c>
      <c r="R101" s="40" t="s">
        <v>80</v>
      </c>
      <c r="S101" s="40" t="s">
        <v>44</v>
      </c>
      <c r="T101" s="14"/>
      <c r="U101" s="40" t="s">
        <v>80</v>
      </c>
      <c r="V101" s="42" t="s">
        <v>80</v>
      </c>
      <c r="W101" s="40" t="s">
        <v>80</v>
      </c>
      <c r="X101" s="40" t="s">
        <v>80</v>
      </c>
      <c r="Y101" s="40" t="s">
        <v>80</v>
      </c>
      <c r="Z101" s="40" t="s">
        <v>80</v>
      </c>
      <c r="AA101" s="14"/>
      <c r="AB101" s="40" t="s">
        <v>80</v>
      </c>
      <c r="AC101" s="40" t="s">
        <v>80</v>
      </c>
      <c r="AD101" s="40" t="s">
        <v>80</v>
      </c>
      <c r="AE101" s="40" t="s">
        <v>80</v>
      </c>
      <c r="AF101" s="40" t="s">
        <v>80</v>
      </c>
      <c r="AG101" s="40" t="s">
        <v>80</v>
      </c>
      <c r="AH101" s="14"/>
      <c r="AI101" s="40" t="s">
        <v>80</v>
      </c>
      <c r="AJ101" s="40" t="s">
        <v>44</v>
      </c>
      <c r="AK101" s="11"/>
      <c r="AL101" s="11"/>
      <c r="AM101" s="11"/>
      <c r="AN101" s="11"/>
      <c r="AO101" s="14"/>
      <c r="AP101" s="11"/>
      <c r="AQ101" s="11"/>
      <c r="AR101" s="11"/>
      <c r="AS101" s="11"/>
    </row>
    <row r="102">
      <c r="A102" s="33">
        <v>99.0</v>
      </c>
      <c r="B102" s="35" t="s">
        <v>810</v>
      </c>
      <c r="C102" s="43" t="s">
        <v>541</v>
      </c>
      <c r="D102" s="43" t="s">
        <v>542</v>
      </c>
      <c r="E102" s="8">
        <f t="shared" si="2"/>
        <v>17</v>
      </c>
      <c r="F102" s="8">
        <f t="shared" si="3"/>
        <v>6</v>
      </c>
      <c r="G102" s="8">
        <f t="shared" si="6"/>
        <v>23</v>
      </c>
      <c r="H102" s="39">
        <f t="shared" si="5"/>
        <v>73.91304348</v>
      </c>
      <c r="I102" s="11"/>
      <c r="J102" s="40" t="s">
        <v>80</v>
      </c>
      <c r="K102" s="40" t="s">
        <v>44</v>
      </c>
      <c r="L102" s="40" t="s">
        <v>80</v>
      </c>
      <c r="M102" s="14"/>
      <c r="N102" s="40" t="s">
        <v>44</v>
      </c>
      <c r="O102" s="40" t="s">
        <v>44</v>
      </c>
      <c r="P102" s="40" t="s">
        <v>44</v>
      </c>
      <c r="Q102" s="40" t="s">
        <v>80</v>
      </c>
      <c r="R102" s="40" t="s">
        <v>44</v>
      </c>
      <c r="S102" s="40" t="s">
        <v>80</v>
      </c>
      <c r="T102" s="14"/>
      <c r="U102" s="40" t="s">
        <v>80</v>
      </c>
      <c r="V102" s="42" t="s">
        <v>80</v>
      </c>
      <c r="W102" s="40" t="s">
        <v>80</v>
      </c>
      <c r="X102" s="40" t="s">
        <v>80</v>
      </c>
      <c r="Y102" s="40" t="s">
        <v>80</v>
      </c>
      <c r="Z102" s="40" t="s">
        <v>80</v>
      </c>
      <c r="AA102" s="14"/>
      <c r="AB102" s="40" t="s">
        <v>80</v>
      </c>
      <c r="AC102" s="40" t="s">
        <v>80</v>
      </c>
      <c r="AD102" s="40" t="s">
        <v>80</v>
      </c>
      <c r="AE102" s="40" t="s">
        <v>80</v>
      </c>
      <c r="AF102" s="40" t="s">
        <v>80</v>
      </c>
      <c r="AG102" s="40" t="s">
        <v>80</v>
      </c>
      <c r="AH102" s="14"/>
      <c r="AI102" s="40" t="s">
        <v>80</v>
      </c>
      <c r="AJ102" s="40" t="s">
        <v>44</v>
      </c>
      <c r="AK102" s="11"/>
      <c r="AL102" s="11"/>
      <c r="AM102" s="11"/>
      <c r="AN102" s="11"/>
      <c r="AO102" s="14"/>
      <c r="AP102" s="11"/>
      <c r="AQ102" s="11"/>
      <c r="AR102" s="11"/>
      <c r="AS102" s="11"/>
    </row>
    <row r="103">
      <c r="A103" s="33">
        <v>100.0</v>
      </c>
      <c r="B103" s="35" t="s">
        <v>811</v>
      </c>
      <c r="C103" s="43" t="s">
        <v>544</v>
      </c>
      <c r="D103" s="43" t="s">
        <v>545</v>
      </c>
      <c r="E103" s="8">
        <f t="shared" si="2"/>
        <v>21</v>
      </c>
      <c r="F103" s="8">
        <f t="shared" si="3"/>
        <v>2</v>
      </c>
      <c r="G103" s="72">
        <f t="shared" si="6"/>
        <v>23</v>
      </c>
      <c r="H103" s="39">
        <f t="shared" si="5"/>
        <v>91.30434783</v>
      </c>
      <c r="I103" s="11"/>
      <c r="J103" s="40" t="s">
        <v>80</v>
      </c>
      <c r="K103" s="40" t="s">
        <v>80</v>
      </c>
      <c r="L103" s="40" t="s">
        <v>80</v>
      </c>
      <c r="M103" s="14"/>
      <c r="N103" s="40" t="s">
        <v>80</v>
      </c>
      <c r="O103" s="40" t="s">
        <v>80</v>
      </c>
      <c r="P103" s="40" t="s">
        <v>80</v>
      </c>
      <c r="Q103" s="40" t="s">
        <v>80</v>
      </c>
      <c r="R103" s="40" t="s">
        <v>80</v>
      </c>
      <c r="S103" s="40" t="s">
        <v>80</v>
      </c>
      <c r="T103" s="14"/>
      <c r="U103" s="40" t="s">
        <v>80</v>
      </c>
      <c r="V103" s="42" t="s">
        <v>80</v>
      </c>
      <c r="W103" s="40" t="s">
        <v>80</v>
      </c>
      <c r="X103" s="40" t="s">
        <v>80</v>
      </c>
      <c r="Y103" s="40" t="s">
        <v>80</v>
      </c>
      <c r="Z103" s="40" t="s">
        <v>80</v>
      </c>
      <c r="AA103" s="14"/>
      <c r="AB103" s="40" t="s">
        <v>80</v>
      </c>
      <c r="AC103" s="40" t="s">
        <v>80</v>
      </c>
      <c r="AD103" s="40" t="s">
        <v>80</v>
      </c>
      <c r="AE103" s="40" t="s">
        <v>80</v>
      </c>
      <c r="AF103" s="40" t="s">
        <v>80</v>
      </c>
      <c r="AG103" s="40" t="s">
        <v>80</v>
      </c>
      <c r="AH103" s="14"/>
      <c r="AI103" s="40" t="s">
        <v>44</v>
      </c>
      <c r="AJ103" s="40" t="s">
        <v>44</v>
      </c>
      <c r="AK103" s="11"/>
      <c r="AL103" s="11"/>
      <c r="AM103" s="11"/>
      <c r="AN103" s="11"/>
      <c r="AO103" s="14"/>
      <c r="AP103" s="11"/>
      <c r="AQ103" s="11"/>
      <c r="AR103" s="11"/>
      <c r="AS103" s="11"/>
    </row>
    <row r="104">
      <c r="A104" s="33">
        <v>101.0</v>
      </c>
      <c r="B104" s="73" t="s">
        <v>812</v>
      </c>
      <c r="C104" s="43" t="s">
        <v>550</v>
      </c>
      <c r="D104" s="43" t="s">
        <v>551</v>
      </c>
      <c r="E104" s="8">
        <f t="shared" si="2"/>
        <v>16</v>
      </c>
      <c r="F104" s="8">
        <f t="shared" si="3"/>
        <v>7</v>
      </c>
      <c r="G104" s="8">
        <f t="shared" si="6"/>
        <v>23</v>
      </c>
      <c r="H104" s="39">
        <f t="shared" si="5"/>
        <v>69.56521739</v>
      </c>
      <c r="I104" s="74"/>
      <c r="J104" s="75" t="s">
        <v>80</v>
      </c>
      <c r="K104" s="75" t="s">
        <v>44</v>
      </c>
      <c r="L104" s="75" t="s">
        <v>80</v>
      </c>
      <c r="M104" s="14"/>
      <c r="N104" s="75" t="s">
        <v>44</v>
      </c>
      <c r="O104" s="75" t="s">
        <v>80</v>
      </c>
      <c r="P104" s="75" t="s">
        <v>44</v>
      </c>
      <c r="Q104" s="75" t="s">
        <v>80</v>
      </c>
      <c r="R104" s="75" t="s">
        <v>80</v>
      </c>
      <c r="S104" s="75" t="s">
        <v>80</v>
      </c>
      <c r="T104" s="14"/>
      <c r="U104" s="40" t="s">
        <v>80</v>
      </c>
      <c r="V104" s="42" t="s">
        <v>44</v>
      </c>
      <c r="W104" s="40" t="s">
        <v>44</v>
      </c>
      <c r="X104" s="40" t="s">
        <v>44</v>
      </c>
      <c r="Y104" s="40" t="s">
        <v>80</v>
      </c>
      <c r="Z104" s="40" t="s">
        <v>80</v>
      </c>
      <c r="AA104" s="14"/>
      <c r="AB104" s="40" t="s">
        <v>80</v>
      </c>
      <c r="AC104" s="40" t="s">
        <v>80</v>
      </c>
      <c r="AD104" s="40" t="s">
        <v>80</v>
      </c>
      <c r="AE104" s="40" t="s">
        <v>80</v>
      </c>
      <c r="AF104" s="40" t="s">
        <v>80</v>
      </c>
      <c r="AG104" s="75" t="s">
        <v>80</v>
      </c>
      <c r="AH104" s="14"/>
      <c r="AI104" s="75" t="s">
        <v>44</v>
      </c>
      <c r="AJ104" s="75" t="s">
        <v>80</v>
      </c>
      <c r="AK104" s="74"/>
      <c r="AL104" s="74"/>
      <c r="AM104" s="74"/>
      <c r="AN104" s="74"/>
      <c r="AO104" s="14"/>
      <c r="AP104" s="74"/>
      <c r="AQ104" s="74"/>
      <c r="AR104" s="74"/>
      <c r="AS104" s="4"/>
    </row>
    <row r="105">
      <c r="A105" s="70">
        <v>102.0</v>
      </c>
      <c r="B105" s="73" t="s">
        <v>813</v>
      </c>
      <c r="C105" s="43" t="s">
        <v>557</v>
      </c>
      <c r="D105" s="43" t="s">
        <v>558</v>
      </c>
      <c r="E105" s="8">
        <f t="shared" si="2"/>
        <v>23</v>
      </c>
      <c r="F105" s="8">
        <f t="shared" si="3"/>
        <v>0</v>
      </c>
      <c r="G105" s="8">
        <f t="shared" si="6"/>
        <v>23</v>
      </c>
      <c r="H105" s="39">
        <f t="shared" si="5"/>
        <v>100</v>
      </c>
      <c r="I105" s="74"/>
      <c r="J105" s="75" t="s">
        <v>193</v>
      </c>
      <c r="K105" s="75" t="s">
        <v>193</v>
      </c>
      <c r="L105" s="75" t="s">
        <v>193</v>
      </c>
      <c r="M105" s="16"/>
      <c r="N105" s="75" t="s">
        <v>193</v>
      </c>
      <c r="O105" s="75" t="s">
        <v>193</v>
      </c>
      <c r="P105" s="75" t="s">
        <v>193</v>
      </c>
      <c r="Q105" s="75" t="s">
        <v>193</v>
      </c>
      <c r="R105" s="75" t="s">
        <v>193</v>
      </c>
      <c r="S105" s="75" t="s">
        <v>193</v>
      </c>
      <c r="T105" s="16"/>
      <c r="U105" s="40" t="s">
        <v>193</v>
      </c>
      <c r="V105" s="55" t="s">
        <v>193</v>
      </c>
      <c r="W105" s="40" t="s">
        <v>193</v>
      </c>
      <c r="X105" s="40" t="s">
        <v>80</v>
      </c>
      <c r="Y105" s="40" t="s">
        <v>80</v>
      </c>
      <c r="Z105" s="40" t="s">
        <v>193</v>
      </c>
      <c r="AA105" s="16"/>
      <c r="AB105" s="40" t="s">
        <v>193</v>
      </c>
      <c r="AC105" s="75" t="s">
        <v>80</v>
      </c>
      <c r="AD105" s="75" t="s">
        <v>80</v>
      </c>
      <c r="AE105" s="40" t="s">
        <v>193</v>
      </c>
      <c r="AF105" s="40" t="s">
        <v>80</v>
      </c>
      <c r="AG105" s="75" t="s">
        <v>80</v>
      </c>
      <c r="AH105" s="16"/>
      <c r="AI105" s="75" t="s">
        <v>193</v>
      </c>
      <c r="AJ105" s="75" t="s">
        <v>193</v>
      </c>
      <c r="AK105" s="74"/>
      <c r="AL105" s="74"/>
      <c r="AM105" s="74"/>
      <c r="AN105" s="74"/>
      <c r="AO105" s="16"/>
      <c r="AP105" s="74"/>
      <c r="AQ105" s="74"/>
      <c r="AR105" s="74"/>
      <c r="AS105" s="4"/>
    </row>
    <row r="106">
      <c r="E106" s="76"/>
      <c r="F106" s="76"/>
      <c r="G106" s="76"/>
      <c r="H106" s="77"/>
    </row>
    <row r="107">
      <c r="E107" s="76"/>
      <c r="F107" s="76"/>
      <c r="G107" s="76"/>
      <c r="H107" s="77"/>
    </row>
    <row r="108">
      <c r="E108" s="76"/>
      <c r="F108" s="76"/>
      <c r="G108" s="76"/>
      <c r="H108" s="77"/>
    </row>
    <row r="109">
      <c r="F109" s="76"/>
      <c r="G109" s="76"/>
      <c r="H109" s="77"/>
    </row>
    <row r="110">
      <c r="F110" s="76"/>
      <c r="G110" s="76"/>
      <c r="H110" s="77"/>
    </row>
    <row r="111">
      <c r="F111" s="76"/>
      <c r="G111" s="76"/>
      <c r="H111" s="77"/>
    </row>
    <row r="112">
      <c r="F112" s="76"/>
      <c r="G112" s="76"/>
      <c r="H112" s="77"/>
    </row>
    <row r="113">
      <c r="F113" s="76"/>
      <c r="G113" s="76"/>
      <c r="H113" s="77"/>
    </row>
    <row r="114">
      <c r="F114" s="76"/>
      <c r="G114" s="76"/>
      <c r="H114" s="77"/>
    </row>
    <row r="115">
      <c r="F115" s="76"/>
      <c r="G115" s="76"/>
      <c r="H115" s="77"/>
    </row>
    <row r="116">
      <c r="F116" s="76"/>
      <c r="G116" s="76"/>
      <c r="H116" s="77"/>
    </row>
    <row r="117">
      <c r="F117" s="76"/>
      <c r="G117" s="76"/>
      <c r="H117" s="77"/>
    </row>
    <row r="118">
      <c r="F118" s="76"/>
      <c r="G118" s="76"/>
      <c r="H118" s="77"/>
    </row>
    <row r="119">
      <c r="F119" s="76"/>
      <c r="G119" s="76"/>
      <c r="H119" s="77"/>
    </row>
    <row r="120">
      <c r="F120" s="76"/>
      <c r="G120" s="76"/>
      <c r="H120" s="77"/>
    </row>
    <row r="121">
      <c r="F121" s="76"/>
      <c r="G121" s="76"/>
      <c r="H121" s="77"/>
    </row>
    <row r="122">
      <c r="F122" s="76"/>
      <c r="G122" s="76"/>
      <c r="H122" s="77"/>
    </row>
    <row r="123">
      <c r="F123" s="76"/>
      <c r="G123" s="76"/>
      <c r="H123" s="77"/>
    </row>
    <row r="124">
      <c r="F124" s="76"/>
      <c r="G124" s="76"/>
      <c r="H124" s="77"/>
    </row>
    <row r="125">
      <c r="F125" s="76"/>
      <c r="G125" s="76"/>
      <c r="H125" s="77"/>
    </row>
    <row r="126">
      <c r="F126" s="76"/>
      <c r="G126" s="76"/>
      <c r="H126" s="77"/>
    </row>
    <row r="127">
      <c r="F127" s="76"/>
      <c r="G127" s="76"/>
      <c r="H127" s="77"/>
    </row>
    <row r="128">
      <c r="F128" s="76"/>
      <c r="G128" s="76"/>
      <c r="H128" s="77"/>
    </row>
    <row r="129">
      <c r="F129" s="76"/>
      <c r="G129" s="76"/>
      <c r="H129" s="77"/>
    </row>
    <row r="130">
      <c r="F130" s="76"/>
      <c r="G130" s="76"/>
      <c r="H130" s="77"/>
    </row>
    <row r="131">
      <c r="F131" s="76"/>
      <c r="G131" s="76"/>
      <c r="H131" s="77"/>
    </row>
    <row r="132">
      <c r="F132" s="76"/>
      <c r="G132" s="76"/>
      <c r="H132" s="77"/>
    </row>
    <row r="133">
      <c r="F133" s="76"/>
      <c r="G133" s="76"/>
      <c r="H133" s="77"/>
    </row>
    <row r="134">
      <c r="F134" s="76"/>
      <c r="G134" s="76"/>
      <c r="H134" s="77"/>
    </row>
    <row r="135">
      <c r="F135" s="76"/>
      <c r="G135" s="76"/>
      <c r="H135" s="77"/>
    </row>
    <row r="136">
      <c r="F136" s="76"/>
      <c r="G136" s="76"/>
      <c r="H136" s="77"/>
    </row>
  </sheetData>
  <mergeCells count="15">
    <mergeCell ref="H1:H3"/>
    <mergeCell ref="I1:AC1"/>
    <mergeCell ref="AD1:AR1"/>
    <mergeCell ref="M4:M105"/>
    <mergeCell ref="T4:T105"/>
    <mergeCell ref="AA4:AA105"/>
    <mergeCell ref="AH4:AH105"/>
    <mergeCell ref="AO4:AO105"/>
    <mergeCell ref="A1:A3"/>
    <mergeCell ref="B1:B3"/>
    <mergeCell ref="C1:C3"/>
    <mergeCell ref="D1:D3"/>
    <mergeCell ref="E1:E3"/>
    <mergeCell ref="F1:F3"/>
    <mergeCell ref="G1:G3"/>
  </mergeCells>
  <conditionalFormatting sqref="H4:AS109">
    <cfRule type="beginsWith" dxfId="0" priority="1" operator="beginsWith" text="a">
      <formula>LEFT((H4),LEN("a"))=("a")</formula>
    </cfRule>
  </conditionalFormatting>
  <conditionalFormatting sqref="H4:AS109">
    <cfRule type="beginsWith" dxfId="1" priority="2" operator="beginsWith" text="p">
      <formula>LEFT((H4),LEN("p"))=("p")</formula>
    </cfRule>
  </conditionalFormatting>
  <conditionalFormatting sqref="H4:AS109">
    <cfRule type="beginsWith" dxfId="2" priority="3" operator="beginsWith" text="op">
      <formula>LEFT((H4),LEN("op"))=("op")</formula>
    </cfRule>
  </conditionalFormatting>
  <conditionalFormatting sqref="J104">
    <cfRule type="notContainsBlanks" dxfId="3" priority="4">
      <formula>LEN(TRIM(J104))&gt;0</formula>
    </cfRule>
  </conditionalFormatting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36.88"/>
    <col customWidth="1" min="4" max="4" width="23.88"/>
    <col customWidth="1" min="5" max="5" width="17.38"/>
  </cols>
  <sheetData>
    <row r="1">
      <c r="A1" s="1" t="s">
        <v>1</v>
      </c>
      <c r="B1" s="1" t="s">
        <v>2</v>
      </c>
      <c r="C1" s="1" t="s">
        <v>3</v>
      </c>
      <c r="D1" s="1" t="s">
        <v>4</v>
      </c>
      <c r="E1" s="1" t="s">
        <v>6</v>
      </c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8">
        <v>1.0</v>
      </c>
      <c r="B2" s="9">
        <v>46183.0</v>
      </c>
      <c r="C2" s="10" t="s">
        <v>13</v>
      </c>
      <c r="D2" s="11"/>
      <c r="E2" s="10" t="s">
        <v>14</v>
      </c>
    </row>
    <row r="3">
      <c r="A3" s="8">
        <v>2.0</v>
      </c>
      <c r="B3" s="9">
        <v>46184.0</v>
      </c>
      <c r="C3" s="10" t="s">
        <v>15</v>
      </c>
      <c r="D3" s="10" t="s">
        <v>16</v>
      </c>
      <c r="E3" s="10" t="s">
        <v>17</v>
      </c>
    </row>
    <row r="4">
      <c r="A4" s="8">
        <v>3.0</v>
      </c>
      <c r="B4" s="9">
        <v>46185.0</v>
      </c>
      <c r="C4" s="10" t="s">
        <v>18</v>
      </c>
      <c r="D4" s="10" t="s">
        <v>19</v>
      </c>
      <c r="E4" s="10" t="s">
        <v>17</v>
      </c>
    </row>
    <row r="5">
      <c r="A5" s="8">
        <v>4.0</v>
      </c>
      <c r="B5" s="9">
        <v>46186.0</v>
      </c>
      <c r="C5" s="10" t="s">
        <v>20</v>
      </c>
      <c r="D5" s="10" t="s">
        <v>21</v>
      </c>
      <c r="E5" s="10" t="s">
        <v>17</v>
      </c>
    </row>
    <row r="6">
      <c r="A6" s="8">
        <v>5.0</v>
      </c>
      <c r="B6" s="9">
        <v>46188.0</v>
      </c>
      <c r="C6" s="10" t="s">
        <v>22</v>
      </c>
      <c r="D6" s="10" t="s">
        <v>23</v>
      </c>
      <c r="E6" s="10" t="s">
        <v>17</v>
      </c>
    </row>
    <row r="7">
      <c r="A7" s="8">
        <v>6.0</v>
      </c>
      <c r="B7" s="9">
        <v>46189.0</v>
      </c>
      <c r="C7" s="10" t="s">
        <v>24</v>
      </c>
      <c r="D7" s="10" t="s">
        <v>25</v>
      </c>
      <c r="E7" s="10" t="s">
        <v>17</v>
      </c>
    </row>
    <row r="8">
      <c r="A8" s="8">
        <v>7.0</v>
      </c>
      <c r="B8" s="9">
        <v>46190.0</v>
      </c>
      <c r="C8" s="10" t="s">
        <v>26</v>
      </c>
      <c r="D8" s="10" t="s">
        <v>27</v>
      </c>
      <c r="E8" s="10" t="s">
        <v>17</v>
      </c>
    </row>
    <row r="9">
      <c r="A9" s="8">
        <v>8.0</v>
      </c>
      <c r="B9" s="9">
        <v>46191.0</v>
      </c>
      <c r="C9" s="10" t="s">
        <v>28</v>
      </c>
      <c r="D9" s="10" t="s">
        <v>29</v>
      </c>
      <c r="E9" s="10" t="s">
        <v>17</v>
      </c>
    </row>
    <row r="10">
      <c r="A10" s="8">
        <v>9.0</v>
      </c>
      <c r="B10" s="9">
        <v>46192.0</v>
      </c>
      <c r="C10" s="10" t="s">
        <v>30</v>
      </c>
      <c r="D10" s="10" t="s">
        <v>31</v>
      </c>
      <c r="E10" s="10" t="s">
        <v>17</v>
      </c>
    </row>
    <row r="11">
      <c r="A11" s="8">
        <v>10.0</v>
      </c>
      <c r="B11" s="9">
        <v>46193.0</v>
      </c>
      <c r="C11" s="10" t="s">
        <v>32</v>
      </c>
      <c r="D11" s="10" t="s">
        <v>33</v>
      </c>
      <c r="E11" s="10" t="s">
        <v>17</v>
      </c>
    </row>
    <row r="12">
      <c r="A12" s="8">
        <v>11.0</v>
      </c>
      <c r="B12" s="9">
        <v>46195.0</v>
      </c>
      <c r="C12" s="10" t="s">
        <v>34</v>
      </c>
      <c r="D12" s="10" t="s">
        <v>35</v>
      </c>
      <c r="E12" s="10" t="s">
        <v>17</v>
      </c>
    </row>
    <row r="13">
      <c r="A13" s="8">
        <v>12.0</v>
      </c>
      <c r="B13" s="9">
        <v>46196.0</v>
      </c>
      <c r="C13" s="10" t="s">
        <v>36</v>
      </c>
      <c r="D13" s="10" t="s">
        <v>37</v>
      </c>
      <c r="E13" s="10" t="s">
        <v>17</v>
      </c>
    </row>
    <row r="14">
      <c r="A14" s="8">
        <v>13.0</v>
      </c>
      <c r="B14" s="9">
        <v>46197.0</v>
      </c>
      <c r="C14" s="10" t="s">
        <v>38</v>
      </c>
      <c r="D14" s="10" t="s">
        <v>39</v>
      </c>
      <c r="E14" s="10" t="s">
        <v>17</v>
      </c>
    </row>
    <row r="15">
      <c r="A15" s="8">
        <v>14.0</v>
      </c>
      <c r="B15" s="9">
        <v>46198.0</v>
      </c>
      <c r="C15" s="10" t="s">
        <v>40</v>
      </c>
      <c r="D15" s="10" t="s">
        <v>41</v>
      </c>
      <c r="E15" s="10" t="s">
        <v>17</v>
      </c>
    </row>
    <row r="16">
      <c r="A16" s="8">
        <v>15.0</v>
      </c>
      <c r="B16" s="9">
        <v>46199.0</v>
      </c>
      <c r="C16" s="10" t="s">
        <v>42</v>
      </c>
      <c r="D16" s="10" t="s">
        <v>43</v>
      </c>
      <c r="E16" s="10" t="s">
        <v>17</v>
      </c>
    </row>
    <row r="17">
      <c r="A17" s="8">
        <v>16.0</v>
      </c>
      <c r="B17" s="9">
        <v>46200.0</v>
      </c>
      <c r="C17" s="10" t="s">
        <v>45</v>
      </c>
      <c r="D17" s="10" t="s">
        <v>46</v>
      </c>
      <c r="E17" s="10" t="s">
        <v>17</v>
      </c>
    </row>
    <row r="18">
      <c r="A18" s="8">
        <v>17.0</v>
      </c>
      <c r="B18" s="9">
        <v>46202.0</v>
      </c>
      <c r="C18" s="10" t="s">
        <v>49</v>
      </c>
      <c r="D18" s="10" t="s">
        <v>50</v>
      </c>
      <c r="E18" s="10" t="s">
        <v>17</v>
      </c>
    </row>
    <row r="19">
      <c r="A19" s="8">
        <v>18.0</v>
      </c>
      <c r="B19" s="9">
        <v>46203.0</v>
      </c>
      <c r="C19" s="10" t="s">
        <v>54</v>
      </c>
      <c r="D19" s="10" t="s">
        <v>43</v>
      </c>
      <c r="E19" s="10" t="s">
        <v>17</v>
      </c>
    </row>
    <row r="20">
      <c r="A20" s="8">
        <v>19.0</v>
      </c>
      <c r="B20" s="9">
        <v>46204.0</v>
      </c>
      <c r="C20" s="10" t="s">
        <v>56</v>
      </c>
      <c r="D20" s="10" t="s">
        <v>57</v>
      </c>
      <c r="E20" s="10" t="s">
        <v>17</v>
      </c>
    </row>
    <row r="21">
      <c r="A21" s="8">
        <v>20.0</v>
      </c>
      <c r="B21" s="9">
        <v>46205.0</v>
      </c>
      <c r="C21" s="10" t="s">
        <v>59</v>
      </c>
      <c r="D21" s="10" t="s">
        <v>61</v>
      </c>
      <c r="E21" s="10" t="s">
        <v>17</v>
      </c>
    </row>
    <row r="22">
      <c r="A22" s="8">
        <v>21.0</v>
      </c>
      <c r="B22" s="9">
        <v>46206.0</v>
      </c>
      <c r="C22" s="10" t="s">
        <v>64</v>
      </c>
      <c r="D22" s="10" t="s">
        <v>65</v>
      </c>
      <c r="E22" s="10" t="s">
        <v>17</v>
      </c>
    </row>
    <row r="23">
      <c r="A23" s="8">
        <v>22.0</v>
      </c>
      <c r="B23" s="9">
        <v>46207.0</v>
      </c>
      <c r="C23" s="10" t="s">
        <v>67</v>
      </c>
      <c r="D23" s="10" t="s">
        <v>68</v>
      </c>
      <c r="E23" s="10" t="s">
        <v>17</v>
      </c>
    </row>
    <row r="24">
      <c r="A24" s="8">
        <v>23.0</v>
      </c>
      <c r="B24" s="9">
        <v>46209.0</v>
      </c>
      <c r="C24" s="10" t="s">
        <v>67</v>
      </c>
      <c r="D24" s="10" t="s">
        <v>69</v>
      </c>
      <c r="E24" s="10" t="s">
        <v>17</v>
      </c>
    </row>
    <row r="25">
      <c r="A25" s="8">
        <v>24.0</v>
      </c>
      <c r="B25" s="9">
        <v>46210.0</v>
      </c>
      <c r="C25" s="10" t="s">
        <v>70</v>
      </c>
      <c r="D25" s="10" t="s">
        <v>72</v>
      </c>
      <c r="E25" s="10" t="s">
        <v>17</v>
      </c>
    </row>
    <row r="26">
      <c r="A26" s="8">
        <v>25.0</v>
      </c>
      <c r="B26" s="9">
        <v>46211.0</v>
      </c>
      <c r="C26" s="10" t="s">
        <v>75</v>
      </c>
      <c r="D26" s="11"/>
      <c r="E26" s="10" t="s">
        <v>17</v>
      </c>
    </row>
    <row r="27">
      <c r="A27" s="8">
        <v>26.0</v>
      </c>
      <c r="B27" s="9">
        <v>46212.0</v>
      </c>
      <c r="C27" s="10" t="s">
        <v>76</v>
      </c>
      <c r="D27" s="11"/>
      <c r="E27" s="10" t="s">
        <v>17</v>
      </c>
    </row>
    <row r="28">
      <c r="A28" s="8">
        <v>27.0</v>
      </c>
      <c r="B28" s="9">
        <v>46213.0</v>
      </c>
      <c r="C28" s="10" t="s">
        <v>79</v>
      </c>
      <c r="D28" s="11"/>
      <c r="E28" s="10" t="s">
        <v>17</v>
      </c>
    </row>
    <row r="29">
      <c r="A29" s="8">
        <v>28.0</v>
      </c>
      <c r="B29" s="9">
        <v>46214.0</v>
      </c>
      <c r="C29" s="10" t="s">
        <v>81</v>
      </c>
      <c r="D29" s="11"/>
      <c r="E29" s="10" t="s">
        <v>17</v>
      </c>
    </row>
    <row r="30">
      <c r="A30" s="8">
        <v>29.0</v>
      </c>
      <c r="B30" s="9"/>
      <c r="C30" s="11"/>
      <c r="D30" s="11"/>
      <c r="E30" s="10"/>
    </row>
    <row r="31">
      <c r="A31" s="8">
        <v>30.0</v>
      </c>
      <c r="B31" s="9"/>
      <c r="C31" s="11"/>
      <c r="D31" s="11"/>
      <c r="E31" s="10"/>
    </row>
    <row r="32">
      <c r="A32" s="8">
        <v>31.0</v>
      </c>
      <c r="B32" s="11"/>
      <c r="C32" s="11"/>
      <c r="D32" s="11"/>
      <c r="E32" s="11"/>
    </row>
    <row r="33">
      <c r="A33" s="8">
        <v>32.0</v>
      </c>
      <c r="B33" s="11"/>
      <c r="C33" s="11"/>
      <c r="D33" s="11"/>
      <c r="E33" s="11"/>
    </row>
    <row r="34">
      <c r="A34" s="8">
        <v>33.0</v>
      </c>
      <c r="B34" s="11"/>
      <c r="C34" s="11"/>
      <c r="D34" s="11"/>
      <c r="E34" s="11"/>
    </row>
    <row r="35">
      <c r="A35" s="8">
        <v>34.0</v>
      </c>
      <c r="B35" s="11"/>
      <c r="C35" s="11"/>
      <c r="D35" s="11"/>
      <c r="E35" s="11"/>
    </row>
    <row r="36">
      <c r="A36" s="8">
        <v>35.0</v>
      </c>
      <c r="B36" s="11"/>
      <c r="C36" s="11"/>
      <c r="D36" s="11"/>
      <c r="E36" s="11"/>
    </row>
    <row r="37">
      <c r="A37" s="8">
        <v>36.0</v>
      </c>
      <c r="B37" s="11"/>
      <c r="C37" s="11"/>
      <c r="D37" s="11"/>
      <c r="E37" s="11"/>
    </row>
    <row r="38">
      <c r="A38" s="8">
        <v>37.0</v>
      </c>
      <c r="B38" s="11"/>
      <c r="C38" s="11"/>
      <c r="D38" s="11"/>
      <c r="E38" s="11"/>
    </row>
    <row r="39">
      <c r="A39" s="8">
        <v>38.0</v>
      </c>
      <c r="B39" s="11"/>
      <c r="C39" s="11"/>
      <c r="D39" s="11"/>
      <c r="E39" s="11"/>
    </row>
    <row r="40">
      <c r="A40" s="8">
        <v>39.0</v>
      </c>
      <c r="B40" s="11"/>
      <c r="C40" s="11"/>
      <c r="D40" s="11"/>
      <c r="E40" s="11"/>
    </row>
    <row r="41">
      <c r="A41" s="4"/>
    </row>
    <row r="42">
      <c r="A42" s="4"/>
    </row>
    <row r="43">
      <c r="A43" s="4"/>
    </row>
    <row r="44">
      <c r="A44" s="4"/>
    </row>
    <row r="45">
      <c r="A45" s="4"/>
    </row>
    <row r="46">
      <c r="A46" s="4"/>
    </row>
    <row r="47">
      <c r="A47" s="4"/>
    </row>
    <row r="48">
      <c r="A48" s="4"/>
    </row>
    <row r="49">
      <c r="A49" s="4"/>
    </row>
    <row r="50">
      <c r="A50" s="4"/>
    </row>
    <row r="51">
      <c r="A51" s="4"/>
    </row>
    <row r="52">
      <c r="A52" s="4"/>
    </row>
    <row r="53">
      <c r="A53" s="4"/>
    </row>
    <row r="54">
      <c r="A54" s="4"/>
    </row>
    <row r="55">
      <c r="A55" s="4"/>
    </row>
    <row r="56">
      <c r="A56" s="4"/>
    </row>
    <row r="57">
      <c r="A57" s="4"/>
    </row>
    <row r="58">
      <c r="A58" s="4"/>
    </row>
    <row r="59">
      <c r="A59" s="4"/>
    </row>
    <row r="60">
      <c r="A60" s="4"/>
    </row>
    <row r="61">
      <c r="A61" s="4"/>
    </row>
    <row r="62">
      <c r="A62" s="4"/>
    </row>
    <row r="63">
      <c r="A63" s="4"/>
    </row>
    <row r="64">
      <c r="A64" s="4"/>
    </row>
    <row r="65">
      <c r="A65" s="4"/>
    </row>
    <row r="66">
      <c r="A66" s="4"/>
    </row>
    <row r="67">
      <c r="A67" s="4"/>
    </row>
    <row r="68">
      <c r="A68" s="4"/>
    </row>
    <row r="69">
      <c r="A69" s="4"/>
    </row>
    <row r="70">
      <c r="A70" s="4"/>
    </row>
    <row r="71">
      <c r="A71" s="4"/>
    </row>
    <row r="72">
      <c r="A72" s="4"/>
    </row>
    <row r="73">
      <c r="A73" s="4"/>
    </row>
    <row r="74">
      <c r="A74" s="4"/>
    </row>
    <row r="75">
      <c r="A75" s="4"/>
    </row>
    <row r="76">
      <c r="A76" s="4"/>
    </row>
    <row r="77">
      <c r="A77" s="4"/>
    </row>
    <row r="78">
      <c r="A78" s="4"/>
    </row>
    <row r="79">
      <c r="A79" s="4"/>
    </row>
    <row r="80">
      <c r="A80" s="4"/>
    </row>
    <row r="81">
      <c r="A81" s="4"/>
    </row>
    <row r="82">
      <c r="A82" s="4"/>
    </row>
    <row r="83">
      <c r="A83" s="4"/>
    </row>
    <row r="84">
      <c r="A84" s="4"/>
    </row>
    <row r="85">
      <c r="A85" s="4"/>
    </row>
    <row r="86">
      <c r="A86" s="4"/>
    </row>
    <row r="87">
      <c r="A87" s="4"/>
    </row>
    <row r="88">
      <c r="A88" s="4"/>
    </row>
    <row r="89">
      <c r="A89" s="4"/>
    </row>
    <row r="90">
      <c r="A90" s="4"/>
    </row>
    <row r="91">
      <c r="A91" s="4"/>
    </row>
    <row r="92">
      <c r="A92" s="4"/>
    </row>
    <row r="93">
      <c r="A93" s="4"/>
    </row>
    <row r="94">
      <c r="A94" s="4"/>
    </row>
    <row r="95">
      <c r="A95" s="4"/>
    </row>
    <row r="96">
      <c r="A96" s="4"/>
    </row>
    <row r="97">
      <c r="A97" s="4"/>
    </row>
    <row r="98">
      <c r="A98" s="4"/>
    </row>
    <row r="99">
      <c r="A99" s="4"/>
    </row>
    <row r="100">
      <c r="A100" s="4"/>
    </row>
    <row r="101">
      <c r="A101" s="4"/>
    </row>
    <row r="102">
      <c r="A102" s="4"/>
    </row>
    <row r="103">
      <c r="A103" s="4"/>
    </row>
    <row r="104">
      <c r="A104" s="4"/>
    </row>
    <row r="105">
      <c r="A105" s="4"/>
    </row>
    <row r="106">
      <c r="A106" s="4"/>
    </row>
    <row r="107">
      <c r="A107" s="4"/>
    </row>
    <row r="108">
      <c r="A108" s="4"/>
    </row>
    <row r="109">
      <c r="A109" s="4"/>
    </row>
    <row r="110">
      <c r="A110" s="4"/>
    </row>
    <row r="111">
      <c r="A111" s="4"/>
    </row>
    <row r="112">
      <c r="A112" s="4"/>
    </row>
    <row r="113">
      <c r="A113" s="4"/>
    </row>
    <row r="114">
      <c r="A114" s="4"/>
    </row>
    <row r="115">
      <c r="A115" s="4"/>
    </row>
    <row r="116">
      <c r="A116" s="4"/>
    </row>
    <row r="117">
      <c r="A117" s="4"/>
    </row>
    <row r="118">
      <c r="A118" s="4"/>
    </row>
    <row r="119">
      <c r="A119" s="4"/>
    </row>
    <row r="120">
      <c r="A120" s="4"/>
    </row>
    <row r="121">
      <c r="A121" s="4"/>
    </row>
    <row r="122">
      <c r="A122" s="4"/>
    </row>
    <row r="123">
      <c r="A123" s="4"/>
    </row>
    <row r="124">
      <c r="A124" s="4"/>
    </row>
    <row r="125">
      <c r="A125" s="4"/>
    </row>
    <row r="126">
      <c r="A126" s="4"/>
    </row>
    <row r="127">
      <c r="A127" s="4"/>
    </row>
    <row r="128">
      <c r="A128" s="4"/>
    </row>
    <row r="129">
      <c r="A129" s="4"/>
    </row>
    <row r="130">
      <c r="A130" s="4"/>
    </row>
    <row r="131">
      <c r="A131" s="4"/>
    </row>
    <row r="132">
      <c r="A132" s="4"/>
    </row>
    <row r="133">
      <c r="A133" s="4"/>
    </row>
    <row r="134">
      <c r="A134" s="4"/>
    </row>
    <row r="135">
      <c r="A135" s="4"/>
    </row>
    <row r="136">
      <c r="A136" s="4"/>
    </row>
    <row r="137">
      <c r="A137" s="4"/>
    </row>
    <row r="138">
      <c r="A138" s="4"/>
    </row>
    <row r="139">
      <c r="A139" s="4"/>
    </row>
    <row r="140">
      <c r="A140" s="4"/>
    </row>
    <row r="141">
      <c r="A141" s="4"/>
    </row>
    <row r="142">
      <c r="A142" s="4"/>
    </row>
    <row r="143">
      <c r="A143" s="4"/>
    </row>
    <row r="144">
      <c r="A144" s="4"/>
    </row>
    <row r="145">
      <c r="A145" s="4"/>
    </row>
    <row r="146">
      <c r="A146" s="4"/>
    </row>
    <row r="147">
      <c r="A147" s="4"/>
    </row>
    <row r="148">
      <c r="A148" s="4"/>
    </row>
    <row r="149">
      <c r="A149" s="4"/>
    </row>
    <row r="150">
      <c r="A150" s="4"/>
    </row>
    <row r="151">
      <c r="A151" s="4"/>
    </row>
    <row r="152">
      <c r="A152" s="4"/>
    </row>
    <row r="153">
      <c r="A153" s="4"/>
    </row>
    <row r="154">
      <c r="A154" s="4"/>
    </row>
    <row r="155">
      <c r="A155" s="4"/>
    </row>
    <row r="156">
      <c r="A156" s="4"/>
    </row>
    <row r="157">
      <c r="A157" s="4"/>
    </row>
    <row r="158">
      <c r="A158" s="4"/>
    </row>
    <row r="159">
      <c r="A159" s="4"/>
    </row>
    <row r="160">
      <c r="A160" s="4"/>
    </row>
    <row r="161">
      <c r="A161" s="4"/>
    </row>
    <row r="162">
      <c r="A162" s="4"/>
    </row>
    <row r="163">
      <c r="A163" s="4"/>
    </row>
    <row r="164">
      <c r="A164" s="4"/>
    </row>
    <row r="165">
      <c r="A165" s="4"/>
    </row>
    <row r="166">
      <c r="A166" s="4"/>
    </row>
    <row r="167">
      <c r="A167" s="4"/>
    </row>
    <row r="168">
      <c r="A168" s="4"/>
    </row>
    <row r="169">
      <c r="A169" s="4"/>
    </row>
    <row r="170">
      <c r="A170" s="4"/>
    </row>
    <row r="171">
      <c r="A171" s="4"/>
    </row>
    <row r="172">
      <c r="A172" s="4"/>
    </row>
    <row r="173">
      <c r="A173" s="4"/>
    </row>
    <row r="174">
      <c r="A174" s="4"/>
    </row>
    <row r="175">
      <c r="A175" s="4"/>
    </row>
    <row r="176">
      <c r="A176" s="4"/>
    </row>
    <row r="177">
      <c r="A177" s="4"/>
    </row>
    <row r="178">
      <c r="A178" s="4"/>
    </row>
    <row r="179">
      <c r="A179" s="4"/>
    </row>
    <row r="180">
      <c r="A180" s="4"/>
    </row>
    <row r="181">
      <c r="A181" s="4"/>
    </row>
    <row r="182">
      <c r="A182" s="4"/>
    </row>
    <row r="183">
      <c r="A183" s="4"/>
    </row>
    <row r="184">
      <c r="A184" s="4"/>
    </row>
    <row r="185">
      <c r="A185" s="4"/>
    </row>
    <row r="186">
      <c r="A186" s="4"/>
    </row>
    <row r="187">
      <c r="A187" s="4"/>
    </row>
    <row r="188">
      <c r="A188" s="4"/>
    </row>
    <row r="189">
      <c r="A189" s="4"/>
    </row>
    <row r="190">
      <c r="A190" s="4"/>
    </row>
    <row r="191">
      <c r="A191" s="4"/>
    </row>
    <row r="192">
      <c r="A192" s="4"/>
    </row>
    <row r="193">
      <c r="A193" s="4"/>
    </row>
    <row r="194">
      <c r="A194" s="4"/>
    </row>
    <row r="195">
      <c r="A195" s="4"/>
    </row>
    <row r="196">
      <c r="A196" s="4"/>
    </row>
    <row r="197">
      <c r="A197" s="4"/>
    </row>
    <row r="198">
      <c r="A198" s="4"/>
    </row>
    <row r="199">
      <c r="A199" s="4"/>
    </row>
    <row r="200">
      <c r="A200" s="4"/>
    </row>
    <row r="201">
      <c r="A201" s="4"/>
    </row>
    <row r="202">
      <c r="A202" s="4"/>
    </row>
    <row r="203">
      <c r="A203" s="4"/>
    </row>
    <row r="204">
      <c r="A204" s="4"/>
    </row>
    <row r="205">
      <c r="A205" s="4"/>
    </row>
    <row r="206">
      <c r="A206" s="4"/>
    </row>
    <row r="207">
      <c r="A207" s="4"/>
    </row>
    <row r="208">
      <c r="A208" s="4"/>
    </row>
    <row r="209">
      <c r="A209" s="4"/>
    </row>
    <row r="210">
      <c r="A210" s="4"/>
    </row>
    <row r="211">
      <c r="A211" s="4"/>
    </row>
    <row r="212">
      <c r="A212" s="4"/>
    </row>
    <row r="213">
      <c r="A213" s="4"/>
    </row>
    <row r="214">
      <c r="A214" s="4"/>
    </row>
    <row r="215">
      <c r="A215" s="4"/>
    </row>
    <row r="216">
      <c r="A216" s="4"/>
    </row>
    <row r="217">
      <c r="A217" s="4"/>
    </row>
    <row r="218">
      <c r="A218" s="4"/>
    </row>
    <row r="219">
      <c r="A219" s="4"/>
    </row>
    <row r="220">
      <c r="A220" s="4"/>
    </row>
    <row r="221">
      <c r="A221" s="4"/>
    </row>
    <row r="222">
      <c r="A222" s="4"/>
    </row>
    <row r="223">
      <c r="A223" s="4"/>
    </row>
    <row r="224">
      <c r="A224" s="4"/>
    </row>
    <row r="225">
      <c r="A225" s="4"/>
    </row>
    <row r="226">
      <c r="A226" s="4"/>
    </row>
    <row r="227">
      <c r="A227" s="4"/>
    </row>
    <row r="228">
      <c r="A228" s="4"/>
    </row>
    <row r="229">
      <c r="A229" s="4"/>
    </row>
    <row r="230">
      <c r="A230" s="4"/>
    </row>
    <row r="231">
      <c r="A231" s="4"/>
    </row>
    <row r="232">
      <c r="A232" s="4"/>
    </row>
    <row r="233">
      <c r="A233" s="4"/>
    </row>
    <row r="234">
      <c r="A234" s="4"/>
    </row>
    <row r="235">
      <c r="A235" s="4"/>
    </row>
    <row r="236">
      <c r="A236" s="4"/>
    </row>
    <row r="237">
      <c r="A237" s="4"/>
    </row>
    <row r="238">
      <c r="A238" s="4"/>
    </row>
    <row r="239">
      <c r="A239" s="4"/>
    </row>
    <row r="240">
      <c r="A240" s="4"/>
    </row>
    <row r="241">
      <c r="A241" s="4"/>
    </row>
    <row r="242">
      <c r="A242" s="4"/>
    </row>
    <row r="243">
      <c r="A243" s="4"/>
    </row>
    <row r="244">
      <c r="A244" s="4"/>
    </row>
    <row r="245">
      <c r="A245" s="4"/>
    </row>
    <row r="246">
      <c r="A246" s="4"/>
    </row>
    <row r="247">
      <c r="A247" s="4"/>
    </row>
    <row r="248">
      <c r="A248" s="4"/>
    </row>
    <row r="249">
      <c r="A249" s="4"/>
    </row>
    <row r="250">
      <c r="A250" s="4"/>
    </row>
    <row r="251">
      <c r="A251" s="4"/>
    </row>
    <row r="252">
      <c r="A252" s="4"/>
    </row>
    <row r="253">
      <c r="A253" s="4"/>
    </row>
    <row r="254">
      <c r="A254" s="4"/>
    </row>
    <row r="255">
      <c r="A255" s="4"/>
    </row>
    <row r="256">
      <c r="A256" s="4"/>
    </row>
    <row r="257">
      <c r="A257" s="4"/>
    </row>
    <row r="258">
      <c r="A258" s="4"/>
    </row>
    <row r="259">
      <c r="A259" s="4"/>
    </row>
    <row r="260">
      <c r="A260" s="4"/>
    </row>
    <row r="261">
      <c r="A261" s="4"/>
    </row>
    <row r="262">
      <c r="A262" s="4"/>
    </row>
    <row r="263">
      <c r="A263" s="4"/>
    </row>
    <row r="264">
      <c r="A264" s="4"/>
    </row>
    <row r="265">
      <c r="A265" s="4"/>
    </row>
    <row r="266">
      <c r="A266" s="4"/>
    </row>
    <row r="267">
      <c r="A267" s="4"/>
    </row>
    <row r="268">
      <c r="A268" s="4"/>
    </row>
    <row r="269">
      <c r="A269" s="4"/>
    </row>
    <row r="270">
      <c r="A270" s="4"/>
    </row>
    <row r="271">
      <c r="A271" s="4"/>
    </row>
    <row r="272">
      <c r="A272" s="4"/>
    </row>
    <row r="273">
      <c r="A273" s="4"/>
    </row>
    <row r="274">
      <c r="A274" s="4"/>
    </row>
    <row r="275">
      <c r="A275" s="4"/>
    </row>
    <row r="276">
      <c r="A276" s="4"/>
    </row>
    <row r="277">
      <c r="A277" s="4"/>
    </row>
    <row r="278">
      <c r="A278" s="4"/>
    </row>
    <row r="279">
      <c r="A279" s="4"/>
    </row>
    <row r="280">
      <c r="A280" s="4"/>
    </row>
    <row r="281">
      <c r="A281" s="4"/>
    </row>
    <row r="282">
      <c r="A282" s="4"/>
    </row>
    <row r="283">
      <c r="A283" s="4"/>
    </row>
    <row r="284">
      <c r="A284" s="4"/>
    </row>
    <row r="285">
      <c r="A285" s="4"/>
    </row>
    <row r="286">
      <c r="A286" s="4"/>
    </row>
    <row r="287">
      <c r="A287" s="4"/>
    </row>
    <row r="288">
      <c r="A288" s="4"/>
    </row>
    <row r="289">
      <c r="A289" s="4"/>
    </row>
    <row r="290">
      <c r="A290" s="4"/>
    </row>
    <row r="291">
      <c r="A291" s="4"/>
    </row>
    <row r="292">
      <c r="A292" s="4"/>
    </row>
    <row r="293">
      <c r="A293" s="4"/>
    </row>
    <row r="294">
      <c r="A294" s="4"/>
    </row>
    <row r="295">
      <c r="A295" s="4"/>
    </row>
    <row r="296">
      <c r="A296" s="4"/>
    </row>
    <row r="297">
      <c r="A297" s="4"/>
    </row>
    <row r="298">
      <c r="A298" s="4"/>
    </row>
    <row r="299">
      <c r="A299" s="4"/>
    </row>
    <row r="300">
      <c r="A300" s="4"/>
    </row>
    <row r="301">
      <c r="A301" s="4"/>
    </row>
    <row r="302">
      <c r="A302" s="4"/>
    </row>
    <row r="303">
      <c r="A303" s="4"/>
    </row>
    <row r="304">
      <c r="A304" s="4"/>
    </row>
    <row r="305">
      <c r="A305" s="4"/>
    </row>
    <row r="306">
      <c r="A306" s="4"/>
    </row>
    <row r="307">
      <c r="A307" s="4"/>
    </row>
    <row r="308">
      <c r="A308" s="4"/>
    </row>
    <row r="309">
      <c r="A309" s="4"/>
    </row>
    <row r="310">
      <c r="A310" s="4"/>
    </row>
    <row r="311">
      <c r="A311" s="4"/>
    </row>
    <row r="312">
      <c r="A312" s="4"/>
    </row>
    <row r="313">
      <c r="A313" s="4"/>
    </row>
    <row r="314">
      <c r="A314" s="4"/>
    </row>
    <row r="315">
      <c r="A315" s="4"/>
    </row>
    <row r="316">
      <c r="A316" s="4"/>
    </row>
    <row r="317">
      <c r="A317" s="4"/>
    </row>
    <row r="318">
      <c r="A318" s="4"/>
    </row>
    <row r="319">
      <c r="A319" s="4"/>
    </row>
    <row r="320">
      <c r="A320" s="4"/>
    </row>
    <row r="321">
      <c r="A321" s="4"/>
    </row>
    <row r="322">
      <c r="A322" s="4"/>
    </row>
    <row r="323">
      <c r="A323" s="4"/>
    </row>
    <row r="324">
      <c r="A324" s="4"/>
    </row>
    <row r="325">
      <c r="A325" s="4"/>
    </row>
    <row r="326">
      <c r="A326" s="4"/>
    </row>
    <row r="327">
      <c r="A327" s="4"/>
    </row>
    <row r="328">
      <c r="A328" s="4"/>
    </row>
    <row r="329">
      <c r="A329" s="4"/>
    </row>
    <row r="330">
      <c r="A330" s="4"/>
    </row>
    <row r="331">
      <c r="A331" s="4"/>
    </row>
    <row r="332">
      <c r="A332" s="4"/>
    </row>
    <row r="333">
      <c r="A333" s="4"/>
    </row>
    <row r="334">
      <c r="A334" s="4"/>
    </row>
    <row r="335">
      <c r="A335" s="4"/>
    </row>
    <row r="336">
      <c r="A336" s="4"/>
    </row>
    <row r="337">
      <c r="A337" s="4"/>
    </row>
    <row r="338">
      <c r="A338" s="4"/>
    </row>
    <row r="339">
      <c r="A339" s="4"/>
    </row>
    <row r="340">
      <c r="A340" s="4"/>
    </row>
    <row r="341">
      <c r="A341" s="4"/>
    </row>
    <row r="342">
      <c r="A342" s="4"/>
    </row>
    <row r="343">
      <c r="A343" s="4"/>
    </row>
    <row r="344">
      <c r="A344" s="4"/>
    </row>
    <row r="345">
      <c r="A345" s="4"/>
    </row>
    <row r="346">
      <c r="A346" s="4"/>
    </row>
    <row r="347">
      <c r="A347" s="4"/>
    </row>
    <row r="348">
      <c r="A348" s="4"/>
    </row>
    <row r="349">
      <c r="A349" s="4"/>
    </row>
    <row r="350">
      <c r="A350" s="4"/>
    </row>
    <row r="351">
      <c r="A351" s="4"/>
    </row>
    <row r="352">
      <c r="A352" s="4"/>
    </row>
    <row r="353">
      <c r="A353" s="4"/>
    </row>
    <row r="354">
      <c r="A354" s="4"/>
    </row>
    <row r="355">
      <c r="A355" s="4"/>
    </row>
    <row r="356">
      <c r="A356" s="4"/>
    </row>
    <row r="357">
      <c r="A357" s="4"/>
    </row>
    <row r="358">
      <c r="A358" s="4"/>
    </row>
    <row r="359">
      <c r="A359" s="4"/>
    </row>
    <row r="360">
      <c r="A360" s="4"/>
    </row>
    <row r="361">
      <c r="A361" s="4"/>
    </row>
    <row r="362">
      <c r="A362" s="4"/>
    </row>
    <row r="363">
      <c r="A363" s="4"/>
    </row>
    <row r="364">
      <c r="A364" s="4"/>
    </row>
    <row r="365">
      <c r="A365" s="4"/>
    </row>
    <row r="366">
      <c r="A366" s="4"/>
    </row>
    <row r="367">
      <c r="A367" s="4"/>
    </row>
    <row r="368">
      <c r="A368" s="4"/>
    </row>
    <row r="369">
      <c r="A369" s="4"/>
    </row>
    <row r="370">
      <c r="A370" s="4"/>
    </row>
    <row r="371">
      <c r="A371" s="4"/>
    </row>
    <row r="372">
      <c r="A372" s="4"/>
    </row>
    <row r="373">
      <c r="A373" s="4"/>
    </row>
    <row r="374">
      <c r="A374" s="4"/>
    </row>
    <row r="375">
      <c r="A375" s="4"/>
    </row>
    <row r="376">
      <c r="A376" s="4"/>
    </row>
    <row r="377">
      <c r="A377" s="4"/>
    </row>
    <row r="378">
      <c r="A378" s="4"/>
    </row>
    <row r="379">
      <c r="A379" s="4"/>
    </row>
    <row r="380">
      <c r="A380" s="4"/>
    </row>
    <row r="381">
      <c r="A381" s="4"/>
    </row>
    <row r="382">
      <c r="A382" s="4"/>
    </row>
    <row r="383">
      <c r="A383" s="4"/>
    </row>
    <row r="384">
      <c r="A384" s="4"/>
    </row>
    <row r="385">
      <c r="A385" s="4"/>
    </row>
    <row r="386">
      <c r="A386" s="4"/>
    </row>
    <row r="387">
      <c r="A387" s="4"/>
    </row>
    <row r="388">
      <c r="A388" s="4"/>
    </row>
    <row r="389">
      <c r="A389" s="4"/>
    </row>
    <row r="390">
      <c r="A390" s="4"/>
    </row>
    <row r="391">
      <c r="A391" s="4"/>
    </row>
    <row r="392">
      <c r="A392" s="4"/>
    </row>
    <row r="393">
      <c r="A393" s="4"/>
    </row>
    <row r="394">
      <c r="A394" s="4"/>
    </row>
    <row r="395">
      <c r="A395" s="4"/>
    </row>
    <row r="396">
      <c r="A396" s="4"/>
    </row>
    <row r="397">
      <c r="A397" s="4"/>
    </row>
    <row r="398">
      <c r="A398" s="4"/>
    </row>
    <row r="399">
      <c r="A399" s="4"/>
    </row>
    <row r="400">
      <c r="A400" s="4"/>
    </row>
    <row r="401">
      <c r="A401" s="4"/>
    </row>
    <row r="402">
      <c r="A402" s="4"/>
    </row>
    <row r="403">
      <c r="A403" s="4"/>
    </row>
    <row r="404">
      <c r="A404" s="4"/>
    </row>
    <row r="405">
      <c r="A405" s="4"/>
    </row>
    <row r="406">
      <c r="A406" s="4"/>
    </row>
    <row r="407">
      <c r="A407" s="4"/>
    </row>
    <row r="408">
      <c r="A408" s="4"/>
    </row>
    <row r="409">
      <c r="A409" s="4"/>
    </row>
    <row r="410">
      <c r="A410" s="4"/>
    </row>
    <row r="411">
      <c r="A411" s="4"/>
    </row>
    <row r="412">
      <c r="A412" s="4"/>
    </row>
    <row r="413">
      <c r="A413" s="4"/>
    </row>
    <row r="414">
      <c r="A414" s="4"/>
    </row>
    <row r="415">
      <c r="A415" s="4"/>
    </row>
    <row r="416">
      <c r="A416" s="4"/>
    </row>
    <row r="417">
      <c r="A417" s="4"/>
    </row>
    <row r="418">
      <c r="A418" s="4"/>
    </row>
    <row r="419">
      <c r="A419" s="4"/>
    </row>
    <row r="420">
      <c r="A420" s="4"/>
    </row>
    <row r="421">
      <c r="A421" s="4"/>
    </row>
    <row r="422">
      <c r="A422" s="4"/>
    </row>
    <row r="423">
      <c r="A423" s="4"/>
    </row>
    <row r="424">
      <c r="A424" s="4"/>
    </row>
    <row r="425">
      <c r="A425" s="4"/>
    </row>
    <row r="426">
      <c r="A426" s="4"/>
    </row>
    <row r="427">
      <c r="A427" s="4"/>
    </row>
    <row r="428">
      <c r="A428" s="4"/>
    </row>
    <row r="429">
      <c r="A429" s="4"/>
    </row>
    <row r="430">
      <c r="A430" s="4"/>
    </row>
    <row r="431">
      <c r="A431" s="4"/>
    </row>
    <row r="432">
      <c r="A432" s="4"/>
    </row>
    <row r="433">
      <c r="A433" s="4"/>
    </row>
    <row r="434">
      <c r="A434" s="4"/>
    </row>
    <row r="435">
      <c r="A435" s="4"/>
    </row>
    <row r="436">
      <c r="A436" s="4"/>
    </row>
    <row r="437">
      <c r="A437" s="4"/>
    </row>
    <row r="438">
      <c r="A438" s="4"/>
    </row>
    <row r="439">
      <c r="A439" s="4"/>
    </row>
    <row r="440">
      <c r="A440" s="4"/>
    </row>
    <row r="441">
      <c r="A441" s="4"/>
    </row>
    <row r="442">
      <c r="A442" s="4"/>
    </row>
    <row r="443">
      <c r="A443" s="4"/>
    </row>
    <row r="444">
      <c r="A444" s="4"/>
    </row>
    <row r="445">
      <c r="A445" s="4"/>
    </row>
    <row r="446">
      <c r="A446" s="4"/>
    </row>
    <row r="447">
      <c r="A447" s="4"/>
    </row>
    <row r="448">
      <c r="A448" s="4"/>
    </row>
    <row r="449">
      <c r="A449" s="4"/>
    </row>
    <row r="450">
      <c r="A450" s="4"/>
    </row>
    <row r="451">
      <c r="A451" s="4"/>
    </row>
    <row r="452">
      <c r="A452" s="4"/>
    </row>
    <row r="453">
      <c r="A453" s="4"/>
    </row>
    <row r="454">
      <c r="A454" s="4"/>
    </row>
    <row r="455">
      <c r="A455" s="4"/>
    </row>
    <row r="456">
      <c r="A456" s="4"/>
    </row>
    <row r="457">
      <c r="A457" s="4"/>
    </row>
    <row r="458">
      <c r="A458" s="4"/>
    </row>
    <row r="459">
      <c r="A459" s="4"/>
    </row>
    <row r="460">
      <c r="A460" s="4"/>
    </row>
    <row r="461">
      <c r="A461" s="4"/>
    </row>
    <row r="462">
      <c r="A462" s="4"/>
    </row>
    <row r="463">
      <c r="A463" s="4"/>
    </row>
    <row r="464">
      <c r="A464" s="4"/>
    </row>
    <row r="465">
      <c r="A465" s="4"/>
    </row>
    <row r="466">
      <c r="A466" s="4"/>
    </row>
    <row r="467">
      <c r="A467" s="4"/>
    </row>
    <row r="468">
      <c r="A468" s="4"/>
    </row>
    <row r="469">
      <c r="A469" s="4"/>
    </row>
    <row r="470">
      <c r="A470" s="4"/>
    </row>
    <row r="471">
      <c r="A471" s="4"/>
    </row>
    <row r="472">
      <c r="A472" s="4"/>
    </row>
    <row r="473">
      <c r="A473" s="4"/>
    </row>
    <row r="474">
      <c r="A474" s="4"/>
    </row>
    <row r="475">
      <c r="A475" s="4"/>
    </row>
    <row r="476">
      <c r="A476" s="4"/>
    </row>
    <row r="477">
      <c r="A477" s="4"/>
    </row>
    <row r="478">
      <c r="A478" s="4"/>
    </row>
    <row r="479">
      <c r="A479" s="4"/>
    </row>
    <row r="480">
      <c r="A480" s="4"/>
    </row>
    <row r="481">
      <c r="A481" s="4"/>
    </row>
    <row r="482">
      <c r="A482" s="4"/>
    </row>
    <row r="483">
      <c r="A483" s="4"/>
    </row>
    <row r="484">
      <c r="A484" s="4"/>
    </row>
    <row r="485">
      <c r="A485" s="4"/>
    </row>
    <row r="486">
      <c r="A486" s="4"/>
    </row>
    <row r="487">
      <c r="A487" s="4"/>
    </row>
    <row r="488">
      <c r="A488" s="4"/>
    </row>
    <row r="489">
      <c r="A489" s="4"/>
    </row>
    <row r="490">
      <c r="A490" s="4"/>
    </row>
    <row r="491">
      <c r="A491" s="4"/>
    </row>
    <row r="492">
      <c r="A492" s="4"/>
    </row>
    <row r="493">
      <c r="A493" s="4"/>
    </row>
    <row r="494">
      <c r="A494" s="4"/>
    </row>
    <row r="495">
      <c r="A495" s="4"/>
    </row>
    <row r="496">
      <c r="A496" s="4"/>
    </row>
    <row r="497">
      <c r="A497" s="4"/>
    </row>
    <row r="498">
      <c r="A498" s="4"/>
    </row>
    <row r="499">
      <c r="A499" s="4"/>
    </row>
    <row r="500">
      <c r="A500" s="4"/>
    </row>
    <row r="501">
      <c r="A501" s="4"/>
    </row>
    <row r="502">
      <c r="A502" s="4"/>
    </row>
    <row r="503">
      <c r="A503" s="4"/>
    </row>
    <row r="504">
      <c r="A504" s="4"/>
    </row>
    <row r="505">
      <c r="A505" s="4"/>
    </row>
    <row r="506">
      <c r="A506" s="4"/>
    </row>
    <row r="507">
      <c r="A507" s="4"/>
    </row>
    <row r="508">
      <c r="A508" s="4"/>
    </row>
    <row r="509">
      <c r="A509" s="4"/>
    </row>
    <row r="510">
      <c r="A510" s="4"/>
    </row>
    <row r="511">
      <c r="A511" s="4"/>
    </row>
    <row r="512">
      <c r="A512" s="4"/>
    </row>
    <row r="513">
      <c r="A513" s="4"/>
    </row>
    <row r="514">
      <c r="A514" s="4"/>
    </row>
    <row r="515">
      <c r="A515" s="4"/>
    </row>
    <row r="516">
      <c r="A516" s="4"/>
    </row>
    <row r="517">
      <c r="A517" s="4"/>
    </row>
    <row r="518">
      <c r="A518" s="4"/>
    </row>
    <row r="519">
      <c r="A519" s="4"/>
    </row>
    <row r="520">
      <c r="A520" s="4"/>
    </row>
    <row r="521">
      <c r="A521" s="4"/>
    </row>
    <row r="522">
      <c r="A522" s="4"/>
    </row>
    <row r="523">
      <c r="A523" s="4"/>
    </row>
    <row r="524">
      <c r="A524" s="4"/>
    </row>
    <row r="525">
      <c r="A525" s="4"/>
    </row>
    <row r="526">
      <c r="A526" s="4"/>
    </row>
    <row r="527">
      <c r="A527" s="4"/>
    </row>
    <row r="528">
      <c r="A528" s="4"/>
    </row>
    <row r="529">
      <c r="A529" s="4"/>
    </row>
    <row r="530">
      <c r="A530" s="4"/>
    </row>
    <row r="531">
      <c r="A531" s="4"/>
    </row>
    <row r="532">
      <c r="A532" s="4"/>
    </row>
    <row r="533">
      <c r="A533" s="4"/>
    </row>
    <row r="534">
      <c r="A534" s="4"/>
    </row>
    <row r="535">
      <c r="A535" s="4"/>
    </row>
    <row r="536">
      <c r="A536" s="4"/>
    </row>
    <row r="537">
      <c r="A537" s="4"/>
    </row>
    <row r="538">
      <c r="A538" s="4"/>
    </row>
    <row r="539">
      <c r="A539" s="4"/>
    </row>
    <row r="540">
      <c r="A540" s="4"/>
    </row>
    <row r="541">
      <c r="A541" s="4"/>
    </row>
    <row r="542">
      <c r="A542" s="4"/>
    </row>
    <row r="543">
      <c r="A543" s="4"/>
    </row>
    <row r="544">
      <c r="A544" s="4"/>
    </row>
    <row r="545">
      <c r="A545" s="4"/>
    </row>
    <row r="546">
      <c r="A546" s="4"/>
    </row>
    <row r="547">
      <c r="A547" s="4"/>
    </row>
    <row r="548">
      <c r="A548" s="4"/>
    </row>
    <row r="549">
      <c r="A549" s="4"/>
    </row>
    <row r="550">
      <c r="A550" s="4"/>
    </row>
    <row r="551">
      <c r="A551" s="4"/>
    </row>
    <row r="552">
      <c r="A552" s="4"/>
    </row>
    <row r="553">
      <c r="A553" s="4"/>
    </row>
    <row r="554">
      <c r="A554" s="4"/>
    </row>
    <row r="555">
      <c r="A555" s="4"/>
    </row>
    <row r="556">
      <c r="A556" s="4"/>
    </row>
    <row r="557">
      <c r="A557" s="4"/>
    </row>
    <row r="558">
      <c r="A558" s="4"/>
    </row>
    <row r="559">
      <c r="A559" s="4"/>
    </row>
    <row r="560">
      <c r="A560" s="4"/>
    </row>
    <row r="561">
      <c r="A561" s="4"/>
    </row>
    <row r="562">
      <c r="A562" s="4"/>
    </row>
    <row r="563">
      <c r="A563" s="4"/>
    </row>
    <row r="564">
      <c r="A564" s="4"/>
    </row>
    <row r="565">
      <c r="A565" s="4"/>
    </row>
    <row r="566">
      <c r="A566" s="4"/>
    </row>
    <row r="567">
      <c r="A567" s="4"/>
    </row>
    <row r="568">
      <c r="A568" s="4"/>
    </row>
    <row r="569">
      <c r="A569" s="4"/>
    </row>
    <row r="570">
      <c r="A570" s="4"/>
    </row>
    <row r="571">
      <c r="A571" s="4"/>
    </row>
    <row r="572">
      <c r="A572" s="4"/>
    </row>
    <row r="573">
      <c r="A573" s="4"/>
    </row>
    <row r="574">
      <c r="A574" s="4"/>
    </row>
    <row r="575">
      <c r="A575" s="4"/>
    </row>
    <row r="576">
      <c r="A576" s="4"/>
    </row>
    <row r="577">
      <c r="A577" s="4"/>
    </row>
    <row r="578">
      <c r="A578" s="4"/>
    </row>
    <row r="579">
      <c r="A579" s="4"/>
    </row>
    <row r="580">
      <c r="A580" s="4"/>
    </row>
    <row r="581">
      <c r="A581" s="4"/>
    </row>
    <row r="582">
      <c r="A582" s="4"/>
    </row>
    <row r="583">
      <c r="A583" s="4"/>
    </row>
    <row r="584">
      <c r="A584" s="4"/>
    </row>
    <row r="585">
      <c r="A585" s="4"/>
    </row>
    <row r="586">
      <c r="A586" s="4"/>
    </row>
    <row r="587">
      <c r="A587" s="4"/>
    </row>
    <row r="588">
      <c r="A588" s="4"/>
    </row>
    <row r="589">
      <c r="A589" s="4"/>
    </row>
    <row r="590">
      <c r="A590" s="4"/>
    </row>
    <row r="591">
      <c r="A591" s="4"/>
    </row>
    <row r="592">
      <c r="A592" s="4"/>
    </row>
    <row r="593">
      <c r="A593" s="4"/>
    </row>
    <row r="594">
      <c r="A594" s="4"/>
    </row>
    <row r="595">
      <c r="A595" s="4"/>
    </row>
    <row r="596">
      <c r="A596" s="4"/>
    </row>
    <row r="597">
      <c r="A597" s="4"/>
    </row>
    <row r="598">
      <c r="A598" s="4"/>
    </row>
    <row r="599">
      <c r="A599" s="4"/>
    </row>
    <row r="600">
      <c r="A600" s="4"/>
    </row>
    <row r="601">
      <c r="A601" s="4"/>
    </row>
    <row r="602">
      <c r="A602" s="4"/>
    </row>
    <row r="603">
      <c r="A603" s="4"/>
    </row>
    <row r="604">
      <c r="A604" s="4"/>
    </row>
    <row r="605">
      <c r="A605" s="4"/>
    </row>
    <row r="606">
      <c r="A606" s="4"/>
    </row>
    <row r="607">
      <c r="A607" s="4"/>
    </row>
    <row r="608">
      <c r="A608" s="4"/>
    </row>
    <row r="609">
      <c r="A609" s="4"/>
    </row>
    <row r="610">
      <c r="A610" s="4"/>
    </row>
    <row r="611">
      <c r="A611" s="4"/>
    </row>
    <row r="612">
      <c r="A612" s="4"/>
    </row>
    <row r="613">
      <c r="A613" s="4"/>
    </row>
    <row r="614">
      <c r="A614" s="4"/>
    </row>
    <row r="615">
      <c r="A615" s="4"/>
    </row>
    <row r="616">
      <c r="A616" s="4"/>
    </row>
    <row r="617">
      <c r="A617" s="4"/>
    </row>
    <row r="618">
      <c r="A618" s="4"/>
    </row>
    <row r="619">
      <c r="A619" s="4"/>
    </row>
    <row r="620">
      <c r="A620" s="4"/>
    </row>
    <row r="621">
      <c r="A621" s="4"/>
    </row>
    <row r="622">
      <c r="A622" s="4"/>
    </row>
    <row r="623">
      <c r="A623" s="4"/>
    </row>
    <row r="624">
      <c r="A624" s="4"/>
    </row>
    <row r="625">
      <c r="A625" s="4"/>
    </row>
    <row r="626">
      <c r="A626" s="4"/>
    </row>
    <row r="627">
      <c r="A627" s="4"/>
    </row>
    <row r="628">
      <c r="A628" s="4"/>
    </row>
    <row r="629">
      <c r="A629" s="4"/>
    </row>
    <row r="630">
      <c r="A630" s="4"/>
    </row>
    <row r="631">
      <c r="A631" s="4"/>
    </row>
    <row r="632">
      <c r="A632" s="4"/>
    </row>
    <row r="633">
      <c r="A633" s="4"/>
    </row>
    <row r="634">
      <c r="A634" s="4"/>
    </row>
    <row r="635">
      <c r="A635" s="4"/>
    </row>
    <row r="636">
      <c r="A636" s="4"/>
    </row>
    <row r="637">
      <c r="A637" s="4"/>
    </row>
    <row r="638">
      <c r="A638" s="4"/>
    </row>
    <row r="639">
      <c r="A639" s="4"/>
    </row>
    <row r="640">
      <c r="A640" s="4"/>
    </row>
    <row r="641">
      <c r="A641" s="4"/>
    </row>
    <row r="642">
      <c r="A642" s="4"/>
    </row>
    <row r="643">
      <c r="A643" s="4"/>
    </row>
    <row r="644">
      <c r="A644" s="4"/>
    </row>
    <row r="645">
      <c r="A645" s="4"/>
    </row>
    <row r="646">
      <c r="A646" s="4"/>
    </row>
    <row r="647">
      <c r="A647" s="4"/>
    </row>
    <row r="648">
      <c r="A648" s="4"/>
    </row>
    <row r="649">
      <c r="A649" s="4"/>
    </row>
    <row r="650">
      <c r="A650" s="4"/>
    </row>
    <row r="651">
      <c r="A651" s="4"/>
    </row>
    <row r="652">
      <c r="A652" s="4"/>
    </row>
    <row r="653">
      <c r="A653" s="4"/>
    </row>
    <row r="654">
      <c r="A654" s="4"/>
    </row>
    <row r="655">
      <c r="A655" s="4"/>
    </row>
    <row r="656">
      <c r="A656" s="4"/>
    </row>
    <row r="657">
      <c r="A657" s="4"/>
    </row>
    <row r="658">
      <c r="A658" s="4"/>
    </row>
    <row r="659">
      <c r="A659" s="4"/>
    </row>
    <row r="660">
      <c r="A660" s="4"/>
    </row>
    <row r="661">
      <c r="A661" s="4"/>
    </row>
    <row r="662">
      <c r="A662" s="4"/>
    </row>
    <row r="663">
      <c r="A663" s="4"/>
    </row>
    <row r="664">
      <c r="A664" s="4"/>
    </row>
    <row r="665">
      <c r="A665" s="4"/>
    </row>
    <row r="666">
      <c r="A666" s="4"/>
    </row>
    <row r="667">
      <c r="A667" s="4"/>
    </row>
    <row r="668">
      <c r="A668" s="4"/>
    </row>
    <row r="669">
      <c r="A669" s="4"/>
    </row>
    <row r="670">
      <c r="A670" s="4"/>
    </row>
    <row r="671">
      <c r="A671" s="4"/>
    </row>
    <row r="672">
      <c r="A672" s="4"/>
    </row>
    <row r="673">
      <c r="A673" s="4"/>
    </row>
    <row r="674">
      <c r="A674" s="4"/>
    </row>
    <row r="675">
      <c r="A675" s="4"/>
    </row>
    <row r="676">
      <c r="A676" s="4"/>
    </row>
    <row r="677">
      <c r="A677" s="4"/>
    </row>
    <row r="678">
      <c r="A678" s="4"/>
    </row>
    <row r="679">
      <c r="A679" s="4"/>
    </row>
    <row r="680">
      <c r="A680" s="4"/>
    </row>
    <row r="681">
      <c r="A681" s="4"/>
    </row>
    <row r="682">
      <c r="A682" s="4"/>
    </row>
    <row r="683">
      <c r="A683" s="4"/>
    </row>
    <row r="684">
      <c r="A684" s="4"/>
    </row>
    <row r="685">
      <c r="A685" s="4"/>
    </row>
    <row r="686">
      <c r="A686" s="4"/>
    </row>
    <row r="687">
      <c r="A687" s="4"/>
    </row>
    <row r="688">
      <c r="A688" s="4"/>
    </row>
    <row r="689">
      <c r="A689" s="4"/>
    </row>
    <row r="690">
      <c r="A690" s="4"/>
    </row>
    <row r="691">
      <c r="A691" s="4"/>
    </row>
    <row r="692">
      <c r="A692" s="4"/>
    </row>
    <row r="693">
      <c r="A693" s="4"/>
    </row>
    <row r="694">
      <c r="A694" s="4"/>
    </row>
    <row r="695">
      <c r="A695" s="4"/>
    </row>
    <row r="696">
      <c r="A696" s="4"/>
    </row>
    <row r="697">
      <c r="A697" s="4"/>
    </row>
    <row r="698">
      <c r="A698" s="4"/>
    </row>
    <row r="699">
      <c r="A699" s="4"/>
    </row>
    <row r="700">
      <c r="A700" s="4"/>
    </row>
    <row r="701">
      <c r="A701" s="4"/>
    </row>
    <row r="702">
      <c r="A702" s="4"/>
    </row>
    <row r="703">
      <c r="A703" s="4"/>
    </row>
    <row r="704">
      <c r="A704" s="4"/>
    </row>
    <row r="705">
      <c r="A705" s="4"/>
    </row>
    <row r="706">
      <c r="A706" s="4"/>
    </row>
    <row r="707">
      <c r="A707" s="4"/>
    </row>
    <row r="708">
      <c r="A708" s="4"/>
    </row>
    <row r="709">
      <c r="A709" s="4"/>
    </row>
    <row r="710">
      <c r="A710" s="4"/>
    </row>
    <row r="711">
      <c r="A711" s="4"/>
    </row>
    <row r="712">
      <c r="A712" s="4"/>
    </row>
    <row r="713">
      <c r="A713" s="4"/>
    </row>
    <row r="714">
      <c r="A714" s="4"/>
    </row>
    <row r="715">
      <c r="A715" s="4"/>
    </row>
    <row r="716">
      <c r="A716" s="4"/>
    </row>
    <row r="717">
      <c r="A717" s="4"/>
    </row>
    <row r="718">
      <c r="A718" s="4"/>
    </row>
    <row r="719">
      <c r="A719" s="4"/>
    </row>
    <row r="720">
      <c r="A720" s="4"/>
    </row>
    <row r="721">
      <c r="A721" s="4"/>
    </row>
    <row r="722">
      <c r="A722" s="4"/>
    </row>
    <row r="723">
      <c r="A723" s="4"/>
    </row>
    <row r="724">
      <c r="A724" s="4"/>
    </row>
    <row r="725">
      <c r="A725" s="4"/>
    </row>
    <row r="726">
      <c r="A726" s="4"/>
    </row>
    <row r="727">
      <c r="A727" s="4"/>
    </row>
    <row r="728">
      <c r="A728" s="4"/>
    </row>
    <row r="729">
      <c r="A729" s="4"/>
    </row>
    <row r="730">
      <c r="A730" s="4"/>
    </row>
    <row r="731">
      <c r="A731" s="4"/>
    </row>
    <row r="732">
      <c r="A732" s="4"/>
    </row>
    <row r="733">
      <c r="A733" s="4"/>
    </row>
    <row r="734">
      <c r="A734" s="4"/>
    </row>
    <row r="735">
      <c r="A735" s="4"/>
    </row>
    <row r="736">
      <c r="A736" s="4"/>
    </row>
    <row r="737">
      <c r="A737" s="4"/>
    </row>
    <row r="738">
      <c r="A738" s="4"/>
    </row>
    <row r="739">
      <c r="A739" s="4"/>
    </row>
    <row r="740">
      <c r="A740" s="4"/>
    </row>
    <row r="741">
      <c r="A741" s="4"/>
    </row>
    <row r="742">
      <c r="A742" s="4"/>
    </row>
    <row r="743">
      <c r="A743" s="4"/>
    </row>
    <row r="744">
      <c r="A744" s="4"/>
    </row>
    <row r="745">
      <c r="A745" s="4"/>
    </row>
    <row r="746">
      <c r="A746" s="4"/>
    </row>
    <row r="747">
      <c r="A747" s="4"/>
    </row>
    <row r="748">
      <c r="A748" s="4"/>
    </row>
    <row r="749">
      <c r="A749" s="4"/>
    </row>
    <row r="750">
      <c r="A750" s="4"/>
    </row>
    <row r="751">
      <c r="A751" s="4"/>
    </row>
    <row r="752">
      <c r="A752" s="4"/>
    </row>
    <row r="753">
      <c r="A753" s="4"/>
    </row>
    <row r="754">
      <c r="A754" s="4"/>
    </row>
    <row r="755">
      <c r="A755" s="4"/>
    </row>
    <row r="756">
      <c r="A756" s="4"/>
    </row>
    <row r="757">
      <c r="A757" s="4"/>
    </row>
    <row r="758">
      <c r="A758" s="4"/>
    </row>
    <row r="759">
      <c r="A759" s="4"/>
    </row>
    <row r="760">
      <c r="A760" s="4"/>
    </row>
    <row r="761">
      <c r="A761" s="4"/>
    </row>
    <row r="762">
      <c r="A762" s="4"/>
    </row>
    <row r="763">
      <c r="A763" s="4"/>
    </row>
    <row r="764">
      <c r="A764" s="4"/>
    </row>
    <row r="765">
      <c r="A765" s="4"/>
    </row>
    <row r="766">
      <c r="A766" s="4"/>
    </row>
    <row r="767">
      <c r="A767" s="4"/>
    </row>
    <row r="768">
      <c r="A768" s="4"/>
    </row>
    <row r="769">
      <c r="A769" s="4"/>
    </row>
    <row r="770">
      <c r="A770" s="4"/>
    </row>
    <row r="771">
      <c r="A771" s="4"/>
    </row>
    <row r="772">
      <c r="A772" s="4"/>
    </row>
    <row r="773">
      <c r="A773" s="4"/>
    </row>
    <row r="774">
      <c r="A774" s="4"/>
    </row>
    <row r="775">
      <c r="A775" s="4"/>
    </row>
    <row r="776">
      <c r="A776" s="4"/>
    </row>
    <row r="777">
      <c r="A777" s="4"/>
    </row>
    <row r="778">
      <c r="A778" s="4"/>
    </row>
    <row r="779">
      <c r="A779" s="4"/>
    </row>
    <row r="780">
      <c r="A780" s="4"/>
    </row>
    <row r="781">
      <c r="A781" s="4"/>
    </row>
    <row r="782">
      <c r="A782" s="4"/>
    </row>
    <row r="783">
      <c r="A783" s="4"/>
    </row>
    <row r="784">
      <c r="A784" s="4"/>
    </row>
    <row r="785">
      <c r="A785" s="4"/>
    </row>
    <row r="786">
      <c r="A786" s="4"/>
    </row>
    <row r="787">
      <c r="A787" s="4"/>
    </row>
    <row r="788">
      <c r="A788" s="4"/>
    </row>
    <row r="789">
      <c r="A789" s="4"/>
    </row>
    <row r="790">
      <c r="A790" s="4"/>
    </row>
    <row r="791">
      <c r="A791" s="4"/>
    </row>
    <row r="792">
      <c r="A792" s="4"/>
    </row>
    <row r="793">
      <c r="A793" s="4"/>
    </row>
    <row r="794">
      <c r="A794" s="4"/>
    </row>
    <row r="795">
      <c r="A795" s="4"/>
    </row>
    <row r="796">
      <c r="A796" s="4"/>
    </row>
    <row r="797">
      <c r="A797" s="4"/>
    </row>
    <row r="798">
      <c r="A798" s="4"/>
    </row>
    <row r="799">
      <c r="A799" s="4"/>
    </row>
    <row r="800">
      <c r="A800" s="4"/>
    </row>
    <row r="801">
      <c r="A801" s="4"/>
    </row>
    <row r="802">
      <c r="A802" s="4"/>
    </row>
    <row r="803">
      <c r="A803" s="4"/>
    </row>
    <row r="804">
      <c r="A804" s="4"/>
    </row>
    <row r="805">
      <c r="A805" s="4"/>
    </row>
    <row r="806">
      <c r="A806" s="4"/>
    </row>
    <row r="807">
      <c r="A807" s="4"/>
    </row>
    <row r="808">
      <c r="A808" s="4"/>
    </row>
    <row r="809">
      <c r="A809" s="4"/>
    </row>
    <row r="810">
      <c r="A810" s="4"/>
    </row>
    <row r="811">
      <c r="A811" s="4"/>
    </row>
    <row r="812">
      <c r="A812" s="4"/>
    </row>
    <row r="813">
      <c r="A813" s="4"/>
    </row>
    <row r="814">
      <c r="A814" s="4"/>
    </row>
    <row r="815">
      <c r="A815" s="4"/>
    </row>
    <row r="816">
      <c r="A816" s="4"/>
    </row>
    <row r="817">
      <c r="A817" s="4"/>
    </row>
    <row r="818">
      <c r="A818" s="4"/>
    </row>
    <row r="819">
      <c r="A819" s="4"/>
    </row>
    <row r="820">
      <c r="A820" s="4"/>
    </row>
    <row r="821">
      <c r="A821" s="4"/>
    </row>
    <row r="822">
      <c r="A822" s="4"/>
    </row>
    <row r="823">
      <c r="A823" s="4"/>
    </row>
    <row r="824">
      <c r="A824" s="4"/>
    </row>
    <row r="825">
      <c r="A825" s="4"/>
    </row>
    <row r="826">
      <c r="A826" s="4"/>
    </row>
    <row r="827">
      <c r="A827" s="4"/>
    </row>
    <row r="828">
      <c r="A828" s="4"/>
    </row>
    <row r="829">
      <c r="A829" s="4"/>
    </row>
    <row r="830">
      <c r="A830" s="4"/>
    </row>
    <row r="831">
      <c r="A831" s="4"/>
    </row>
    <row r="832">
      <c r="A832" s="4"/>
    </row>
    <row r="833">
      <c r="A833" s="4"/>
    </row>
    <row r="834">
      <c r="A834" s="4"/>
    </row>
    <row r="835">
      <c r="A835" s="4"/>
    </row>
    <row r="836">
      <c r="A836" s="4"/>
    </row>
    <row r="837">
      <c r="A837" s="4"/>
    </row>
    <row r="838">
      <c r="A838" s="4"/>
    </row>
    <row r="839">
      <c r="A839" s="4"/>
    </row>
    <row r="840">
      <c r="A840" s="4"/>
    </row>
    <row r="841">
      <c r="A841" s="4"/>
    </row>
    <row r="842">
      <c r="A842" s="4"/>
    </row>
    <row r="843">
      <c r="A843" s="4"/>
    </row>
    <row r="844">
      <c r="A844" s="4"/>
    </row>
    <row r="845">
      <c r="A845" s="4"/>
    </row>
    <row r="846">
      <c r="A846" s="4"/>
    </row>
    <row r="847">
      <c r="A847" s="4"/>
    </row>
    <row r="848">
      <c r="A848" s="4"/>
    </row>
    <row r="849">
      <c r="A849" s="4"/>
    </row>
    <row r="850">
      <c r="A850" s="4"/>
    </row>
    <row r="851">
      <c r="A851" s="4"/>
    </row>
    <row r="852">
      <c r="A852" s="4"/>
    </row>
    <row r="853">
      <c r="A853" s="4"/>
    </row>
    <row r="854">
      <c r="A854" s="4"/>
    </row>
    <row r="855">
      <c r="A855" s="4"/>
    </row>
    <row r="856">
      <c r="A856" s="4"/>
    </row>
    <row r="857">
      <c r="A857" s="4"/>
    </row>
    <row r="858">
      <c r="A858" s="4"/>
    </row>
    <row r="859">
      <c r="A859" s="4"/>
    </row>
    <row r="860">
      <c r="A860" s="4"/>
    </row>
    <row r="861">
      <c r="A861" s="4"/>
    </row>
    <row r="862">
      <c r="A862" s="4"/>
    </row>
    <row r="863">
      <c r="A863" s="4"/>
    </row>
    <row r="864">
      <c r="A864" s="4"/>
    </row>
    <row r="865">
      <c r="A865" s="4"/>
    </row>
    <row r="866">
      <c r="A866" s="4"/>
    </row>
    <row r="867">
      <c r="A867" s="4"/>
    </row>
    <row r="868">
      <c r="A868" s="4"/>
    </row>
    <row r="869">
      <c r="A869" s="4"/>
    </row>
    <row r="870">
      <c r="A870" s="4"/>
    </row>
    <row r="871">
      <c r="A871" s="4"/>
    </row>
    <row r="872">
      <c r="A872" s="4"/>
    </row>
    <row r="873">
      <c r="A873" s="4"/>
    </row>
    <row r="874">
      <c r="A874" s="4"/>
    </row>
    <row r="875">
      <c r="A875" s="4"/>
    </row>
    <row r="876">
      <c r="A876" s="4"/>
    </row>
    <row r="877">
      <c r="A877" s="4"/>
    </row>
    <row r="878">
      <c r="A878" s="4"/>
    </row>
    <row r="879">
      <c r="A879" s="4"/>
    </row>
    <row r="880">
      <c r="A880" s="4"/>
    </row>
    <row r="881">
      <c r="A881" s="4"/>
    </row>
    <row r="882">
      <c r="A882" s="4"/>
    </row>
    <row r="883">
      <c r="A883" s="4"/>
    </row>
    <row r="884">
      <c r="A884" s="4"/>
    </row>
    <row r="885">
      <c r="A885" s="4"/>
    </row>
    <row r="886">
      <c r="A886" s="4"/>
    </row>
    <row r="887">
      <c r="A887" s="4"/>
    </row>
    <row r="888">
      <c r="A888" s="4"/>
    </row>
    <row r="889">
      <c r="A889" s="4"/>
    </row>
    <row r="890">
      <c r="A890" s="4"/>
    </row>
    <row r="891">
      <c r="A891" s="4"/>
    </row>
    <row r="892">
      <c r="A892" s="4"/>
    </row>
    <row r="893">
      <c r="A893" s="4"/>
    </row>
    <row r="894">
      <c r="A894" s="4"/>
    </row>
    <row r="895">
      <c r="A895" s="4"/>
    </row>
    <row r="896">
      <c r="A896" s="4"/>
    </row>
    <row r="897">
      <c r="A897" s="4"/>
    </row>
    <row r="898">
      <c r="A898" s="4"/>
    </row>
    <row r="899">
      <c r="A899" s="4"/>
    </row>
    <row r="900">
      <c r="A900" s="4"/>
    </row>
    <row r="901">
      <c r="A901" s="4"/>
    </row>
    <row r="902">
      <c r="A902" s="4"/>
    </row>
    <row r="903">
      <c r="A903" s="4"/>
    </row>
    <row r="904">
      <c r="A904" s="4"/>
    </row>
    <row r="905">
      <c r="A905" s="4"/>
    </row>
    <row r="906">
      <c r="A906" s="4"/>
    </row>
    <row r="907">
      <c r="A907" s="4"/>
    </row>
    <row r="908">
      <c r="A908" s="4"/>
    </row>
    <row r="909">
      <c r="A909" s="4"/>
    </row>
    <row r="910">
      <c r="A910" s="4"/>
    </row>
    <row r="911">
      <c r="A911" s="4"/>
    </row>
    <row r="912">
      <c r="A912" s="4"/>
    </row>
    <row r="913">
      <c r="A913" s="4"/>
    </row>
    <row r="914">
      <c r="A914" s="4"/>
    </row>
    <row r="915">
      <c r="A915" s="4"/>
    </row>
    <row r="916">
      <c r="A916" s="4"/>
    </row>
    <row r="917">
      <c r="A917" s="4"/>
    </row>
    <row r="918">
      <c r="A918" s="4"/>
    </row>
    <row r="919">
      <c r="A919" s="4"/>
    </row>
    <row r="920">
      <c r="A920" s="4"/>
    </row>
    <row r="921">
      <c r="A921" s="4"/>
    </row>
    <row r="922">
      <c r="A922" s="4"/>
    </row>
    <row r="923">
      <c r="A923" s="4"/>
    </row>
    <row r="924">
      <c r="A924" s="4"/>
    </row>
    <row r="925">
      <c r="A925" s="4"/>
    </row>
    <row r="926">
      <c r="A926" s="4"/>
    </row>
    <row r="927">
      <c r="A927" s="4"/>
    </row>
    <row r="928">
      <c r="A928" s="4"/>
    </row>
    <row r="929">
      <c r="A929" s="4"/>
    </row>
    <row r="930">
      <c r="A930" s="4"/>
    </row>
    <row r="931">
      <c r="A931" s="4"/>
    </row>
    <row r="932">
      <c r="A932" s="4"/>
    </row>
    <row r="933">
      <c r="A933" s="4"/>
    </row>
    <row r="934">
      <c r="A934" s="4"/>
    </row>
    <row r="935">
      <c r="A935" s="4"/>
    </row>
    <row r="936">
      <c r="A936" s="4"/>
    </row>
    <row r="937">
      <c r="A937" s="4"/>
    </row>
    <row r="938">
      <c r="A938" s="4"/>
    </row>
    <row r="939">
      <c r="A939" s="4"/>
    </row>
    <row r="940">
      <c r="A940" s="4"/>
    </row>
    <row r="941">
      <c r="A941" s="4"/>
    </row>
    <row r="942">
      <c r="A942" s="4"/>
    </row>
    <row r="943">
      <c r="A943" s="4"/>
    </row>
    <row r="944">
      <c r="A944" s="4"/>
    </row>
    <row r="945">
      <c r="A945" s="4"/>
    </row>
    <row r="946">
      <c r="A946" s="4"/>
    </row>
    <row r="947">
      <c r="A947" s="4"/>
    </row>
    <row r="948">
      <c r="A948" s="4"/>
    </row>
    <row r="949">
      <c r="A949" s="4"/>
    </row>
    <row r="950">
      <c r="A950" s="4"/>
    </row>
    <row r="951">
      <c r="A951" s="4"/>
    </row>
    <row r="952">
      <c r="A952" s="4"/>
    </row>
    <row r="953">
      <c r="A953" s="4"/>
    </row>
    <row r="954">
      <c r="A954" s="4"/>
    </row>
    <row r="955">
      <c r="A955" s="4"/>
    </row>
    <row r="956">
      <c r="A956" s="4"/>
    </row>
    <row r="957">
      <c r="A957" s="4"/>
    </row>
    <row r="958">
      <c r="A958" s="4"/>
    </row>
    <row r="959">
      <c r="A959" s="4"/>
    </row>
    <row r="960">
      <c r="A960" s="4"/>
    </row>
    <row r="961">
      <c r="A961" s="4"/>
    </row>
    <row r="962">
      <c r="A962" s="4"/>
    </row>
    <row r="963">
      <c r="A963" s="4"/>
    </row>
    <row r="964">
      <c r="A964" s="4"/>
    </row>
    <row r="965">
      <c r="A965" s="4"/>
    </row>
    <row r="966">
      <c r="A966" s="4"/>
    </row>
    <row r="967">
      <c r="A967" s="4"/>
    </row>
    <row r="968">
      <c r="A968" s="4"/>
    </row>
    <row r="969">
      <c r="A969" s="4"/>
    </row>
    <row r="970">
      <c r="A970" s="4"/>
    </row>
    <row r="971">
      <c r="A971" s="4"/>
    </row>
    <row r="972">
      <c r="A972" s="4"/>
    </row>
    <row r="973">
      <c r="A973" s="4"/>
    </row>
    <row r="974">
      <c r="A974" s="4"/>
    </row>
    <row r="975">
      <c r="A975" s="4"/>
    </row>
    <row r="976">
      <c r="A976" s="4"/>
    </row>
    <row r="977">
      <c r="A977" s="4"/>
    </row>
    <row r="978">
      <c r="A978" s="4"/>
    </row>
    <row r="979">
      <c r="A979" s="4"/>
    </row>
    <row r="980">
      <c r="A980" s="4"/>
    </row>
    <row r="981">
      <c r="A981" s="4"/>
    </row>
    <row r="982">
      <c r="A982" s="4"/>
    </row>
    <row r="983">
      <c r="A983" s="4"/>
    </row>
    <row r="984">
      <c r="A984" s="4"/>
    </row>
    <row r="985">
      <c r="A985" s="4"/>
    </row>
    <row r="986">
      <c r="A986" s="4"/>
    </row>
    <row r="987">
      <c r="A987" s="4"/>
    </row>
    <row r="988">
      <c r="A988" s="4"/>
    </row>
    <row r="989">
      <c r="A989" s="4"/>
    </row>
    <row r="990">
      <c r="A990" s="4"/>
    </row>
    <row r="991">
      <c r="A991" s="4"/>
    </row>
    <row r="992">
      <c r="A992" s="4"/>
    </row>
    <row r="993">
      <c r="A993" s="4"/>
    </row>
    <row r="994">
      <c r="A994" s="4"/>
    </row>
    <row r="995">
      <c r="A995" s="4"/>
    </row>
    <row r="996">
      <c r="A996" s="4"/>
    </row>
    <row r="997">
      <c r="A997" s="4"/>
    </row>
    <row r="998">
      <c r="A998" s="4"/>
    </row>
    <row r="999">
      <c r="A999" s="4"/>
    </row>
    <row r="1000">
      <c r="A1000" s="4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5.63"/>
  </cols>
  <sheetData>
    <row r="1">
      <c r="A1" s="17"/>
      <c r="B1" s="18"/>
      <c r="C1" s="18"/>
      <c r="D1" s="19">
        <v>1.0</v>
      </c>
      <c r="E1" s="19">
        <v>2.0</v>
      </c>
      <c r="F1" s="20">
        <v>3.0</v>
      </c>
      <c r="G1" s="19">
        <v>4.0</v>
      </c>
      <c r="H1" s="19">
        <v>5.0</v>
      </c>
      <c r="I1" s="19">
        <v>6.0</v>
      </c>
      <c r="J1" s="22"/>
      <c r="K1" s="23"/>
      <c r="L1" s="23"/>
      <c r="M1" s="23"/>
      <c r="N1" s="23"/>
      <c r="O1" s="23"/>
      <c r="P1" s="23"/>
      <c r="Q1" s="23"/>
      <c r="R1" s="23"/>
      <c r="S1" s="23"/>
      <c r="T1" s="23"/>
      <c r="U1" s="23"/>
      <c r="V1" s="23"/>
      <c r="W1" s="23"/>
      <c r="X1" s="23"/>
    </row>
    <row r="2">
      <c r="A2" s="24" t="s">
        <v>44</v>
      </c>
      <c r="B2" s="25" t="s">
        <v>7</v>
      </c>
      <c r="C2" s="25" t="s">
        <v>8</v>
      </c>
      <c r="D2" s="26" t="s">
        <v>47</v>
      </c>
      <c r="E2" s="27" t="s">
        <v>48</v>
      </c>
      <c r="F2" s="26" t="s">
        <v>51</v>
      </c>
      <c r="G2" s="28" t="s">
        <v>52</v>
      </c>
      <c r="H2" s="26" t="s">
        <v>53</v>
      </c>
      <c r="I2" s="26" t="s">
        <v>55</v>
      </c>
      <c r="J2" s="22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</row>
    <row r="3">
      <c r="A3" s="29">
        <v>1.0</v>
      </c>
      <c r="B3" s="30" t="s">
        <v>58</v>
      </c>
      <c r="C3" s="30" t="s">
        <v>60</v>
      </c>
      <c r="D3" s="29" t="s">
        <v>62</v>
      </c>
      <c r="E3" s="31" t="s">
        <v>63</v>
      </c>
      <c r="F3" s="32">
        <v>27.0</v>
      </c>
      <c r="G3" s="34"/>
      <c r="H3" s="36"/>
      <c r="I3" s="36"/>
      <c r="J3" s="38" t="str">
        <f>IFERROR(__xludf.DUMMYFUNCTION("TEXTJOIN("", "",TRUE,FILTER(D$1:I$1, D3:I3=""Absent""))"),"1")</f>
        <v>1</v>
      </c>
    </row>
    <row r="4">
      <c r="A4" s="29">
        <v>2.0</v>
      </c>
      <c r="B4" s="32" t="s">
        <v>71</v>
      </c>
      <c r="C4" s="32" t="s">
        <v>73</v>
      </c>
      <c r="D4" s="29" t="s">
        <v>63</v>
      </c>
      <c r="E4" s="31" t="s">
        <v>74</v>
      </c>
      <c r="F4" s="32">
        <v>23.0</v>
      </c>
      <c r="G4" s="34"/>
      <c r="H4" s="36"/>
      <c r="I4" s="36"/>
      <c r="J4" s="38" t="str">
        <f>IFERROR(__xludf.DUMMYFUNCTION("TEXTJOIN("", "",TRUE,FILTER(D$1:I$1, D4:I4=""Absent""))"),"#N/A")</f>
        <v>#N/A</v>
      </c>
    </row>
    <row r="5">
      <c r="A5" s="29">
        <v>3.0</v>
      </c>
      <c r="B5" s="32" t="s">
        <v>77</v>
      </c>
      <c r="C5" s="32" t="s">
        <v>78</v>
      </c>
      <c r="D5" s="29" t="s">
        <v>74</v>
      </c>
      <c r="E5" s="31" t="s">
        <v>63</v>
      </c>
      <c r="F5" s="32">
        <v>29.0</v>
      </c>
      <c r="G5" s="34"/>
      <c r="H5" s="36"/>
      <c r="I5" s="36"/>
      <c r="J5" s="38" t="str">
        <f>IFERROR(__xludf.DUMMYFUNCTION("TEXTJOIN("", "",TRUE,FILTER(D$1:I$1, D5:I5=""Absent""))"),"#N/A")</f>
        <v>#N/A</v>
      </c>
    </row>
    <row r="6">
      <c r="A6" s="29">
        <v>4.0</v>
      </c>
      <c r="B6" s="32" t="s">
        <v>83</v>
      </c>
      <c r="C6" s="32" t="s">
        <v>84</v>
      </c>
      <c r="D6" s="29" t="s">
        <v>85</v>
      </c>
      <c r="E6" s="31" t="s">
        <v>86</v>
      </c>
      <c r="F6" s="32">
        <v>24.0</v>
      </c>
      <c r="G6" s="34"/>
      <c r="H6" s="36"/>
      <c r="I6" s="36"/>
      <c r="J6" s="38" t="str">
        <f>IFERROR(__xludf.DUMMYFUNCTION("TEXTJOIN("", "",TRUE,FILTER(D$1:I$1, D6:I6=""Absent""))"),"#N/A")</f>
        <v>#N/A</v>
      </c>
    </row>
    <row r="7">
      <c r="A7" s="29">
        <v>5.0</v>
      </c>
      <c r="B7" s="32" t="s">
        <v>87</v>
      </c>
      <c r="C7" s="32" t="s">
        <v>88</v>
      </c>
      <c r="D7" s="29" t="s">
        <v>89</v>
      </c>
      <c r="E7" s="31" t="s">
        <v>90</v>
      </c>
      <c r="F7" s="32" t="s">
        <v>62</v>
      </c>
      <c r="G7" s="34"/>
      <c r="H7" s="36"/>
      <c r="I7" s="36"/>
      <c r="J7" s="38" t="str">
        <f>IFERROR(__xludf.DUMMYFUNCTION("TEXTJOIN("", "",TRUE,FILTER(D$1:I$1, D7:I7=""Absent""))"),"3")</f>
        <v>3</v>
      </c>
    </row>
    <row r="8">
      <c r="A8" s="29">
        <v>6.0</v>
      </c>
      <c r="B8" s="32" t="s">
        <v>91</v>
      </c>
      <c r="C8" s="32" t="s">
        <v>92</v>
      </c>
      <c r="D8" s="29" t="s">
        <v>62</v>
      </c>
      <c r="E8" s="31" t="s">
        <v>93</v>
      </c>
      <c r="F8" s="32">
        <v>29.0</v>
      </c>
      <c r="G8" s="34"/>
      <c r="H8" s="36"/>
      <c r="I8" s="36"/>
      <c r="J8" s="38" t="str">
        <f>IFERROR(__xludf.DUMMYFUNCTION("TEXTJOIN("", "",TRUE,FILTER(D$1:I$1, D8:I8=""Absent""))"),"1")</f>
        <v>1</v>
      </c>
    </row>
    <row r="9">
      <c r="A9" s="29">
        <v>7.0</v>
      </c>
      <c r="B9" s="32" t="s">
        <v>94</v>
      </c>
      <c r="C9" s="32" t="s">
        <v>95</v>
      </c>
      <c r="D9" s="29" t="s">
        <v>90</v>
      </c>
      <c r="E9" s="31" t="s">
        <v>85</v>
      </c>
      <c r="F9" s="32">
        <v>25.0</v>
      </c>
      <c r="G9" s="34"/>
      <c r="H9" s="36"/>
      <c r="I9" s="36"/>
      <c r="J9" s="38" t="str">
        <f>IFERROR(__xludf.DUMMYFUNCTION("TEXTJOIN("", "",TRUE,FILTER(D$1:I$1, D9:I9=""Absent""))"),"#N/A")</f>
        <v>#N/A</v>
      </c>
    </row>
    <row r="10">
      <c r="A10" s="29">
        <v>8.0</v>
      </c>
      <c r="B10" s="32" t="s">
        <v>96</v>
      </c>
      <c r="C10" s="32" t="s">
        <v>97</v>
      </c>
      <c r="D10" s="29" t="s">
        <v>89</v>
      </c>
      <c r="E10" s="31" t="s">
        <v>90</v>
      </c>
      <c r="F10" s="32" t="s">
        <v>62</v>
      </c>
      <c r="G10" s="34"/>
      <c r="H10" s="36"/>
      <c r="I10" s="36"/>
      <c r="J10" s="38" t="str">
        <f>IFERROR(__xludf.DUMMYFUNCTION("TEXTJOIN("", "",TRUE,FILTER(D$1:I$1, D10:I10=""Absent""))"),"3")</f>
        <v>3</v>
      </c>
    </row>
    <row r="11">
      <c r="A11" s="29">
        <v>9.0</v>
      </c>
      <c r="B11" s="32" t="s">
        <v>98</v>
      </c>
      <c r="C11" s="32" t="s">
        <v>99</v>
      </c>
      <c r="D11" s="29" t="s">
        <v>100</v>
      </c>
      <c r="E11" s="31" t="s">
        <v>90</v>
      </c>
      <c r="F11" s="32">
        <v>27.0</v>
      </c>
      <c r="G11" s="34"/>
      <c r="H11" s="36"/>
      <c r="I11" s="36"/>
      <c r="J11" s="38" t="str">
        <f>IFERROR(__xludf.DUMMYFUNCTION("TEXTJOIN("", "",TRUE,FILTER(D$1:I$1, D11:I11=""Absent""))"),"#N/A")</f>
        <v>#N/A</v>
      </c>
    </row>
    <row r="12">
      <c r="A12" s="29">
        <v>10.0</v>
      </c>
      <c r="B12" s="32" t="s">
        <v>101</v>
      </c>
      <c r="C12" s="32" t="s">
        <v>102</v>
      </c>
      <c r="D12" s="29" t="s">
        <v>62</v>
      </c>
      <c r="E12" s="31" t="s">
        <v>93</v>
      </c>
      <c r="F12" s="32">
        <v>29.0</v>
      </c>
      <c r="G12" s="34"/>
      <c r="H12" s="36"/>
      <c r="I12" s="36"/>
      <c r="J12" s="38" t="str">
        <f>IFERROR(__xludf.DUMMYFUNCTION("TEXTJOIN("", "",TRUE,FILTER(D$1:I$1, D12:I12=""Absent""))"),"1")</f>
        <v>1</v>
      </c>
    </row>
    <row r="13">
      <c r="A13" s="29">
        <v>11.0</v>
      </c>
      <c r="B13" s="32" t="s">
        <v>103</v>
      </c>
      <c r="C13" s="32" t="s">
        <v>104</v>
      </c>
      <c r="D13" s="29" t="s">
        <v>62</v>
      </c>
      <c r="E13" s="31" t="s">
        <v>89</v>
      </c>
      <c r="F13" s="32">
        <v>28.0</v>
      </c>
      <c r="G13" s="34"/>
      <c r="H13" s="36"/>
      <c r="I13" s="36"/>
      <c r="J13" s="38" t="str">
        <f>IFERROR(__xludf.DUMMYFUNCTION("TEXTJOIN("", "",TRUE,FILTER(D$1:I$1, D13:I13=""Absent""))"),"1")</f>
        <v>1</v>
      </c>
    </row>
    <row r="14">
      <c r="A14" s="29">
        <v>12.0</v>
      </c>
      <c r="B14" s="32" t="s">
        <v>105</v>
      </c>
      <c r="C14" s="32" t="s">
        <v>106</v>
      </c>
      <c r="D14" s="29" t="s">
        <v>62</v>
      </c>
      <c r="E14" s="31" t="s">
        <v>107</v>
      </c>
      <c r="F14" s="32" t="s">
        <v>62</v>
      </c>
      <c r="G14" s="34"/>
      <c r="H14" s="36"/>
      <c r="I14" s="36"/>
      <c r="J14" s="38" t="str">
        <f>IFERROR(__xludf.DUMMYFUNCTION("TEXTJOIN("", "",TRUE,FILTER(D$1:I$1, D14:I14=""Absent""))"),"1, 3")</f>
        <v>1, 3</v>
      </c>
    </row>
    <row r="15">
      <c r="A15" s="29">
        <v>13.0</v>
      </c>
      <c r="B15" s="32" t="s">
        <v>109</v>
      </c>
      <c r="C15" s="32" t="s">
        <v>110</v>
      </c>
      <c r="D15" s="29" t="s">
        <v>63</v>
      </c>
      <c r="E15" s="31" t="s">
        <v>85</v>
      </c>
      <c r="F15" s="32">
        <v>27.0</v>
      </c>
      <c r="G15" s="34"/>
      <c r="H15" s="36"/>
      <c r="I15" s="36"/>
      <c r="J15" s="38" t="str">
        <f>IFERROR(__xludf.DUMMYFUNCTION("TEXTJOIN("", "",TRUE,FILTER(D$1:I$1, D15:I15=""Absent""))"),"#N/A")</f>
        <v>#N/A</v>
      </c>
    </row>
    <row r="16">
      <c r="A16" s="29">
        <v>14.0</v>
      </c>
      <c r="B16" s="30" t="s">
        <v>111</v>
      </c>
      <c r="C16" s="30" t="s">
        <v>112</v>
      </c>
      <c r="D16" s="29" t="s">
        <v>89</v>
      </c>
      <c r="E16" s="31" t="s">
        <v>85</v>
      </c>
      <c r="F16" s="32">
        <v>20.0</v>
      </c>
      <c r="G16" s="34"/>
      <c r="H16" s="36"/>
      <c r="I16" s="36"/>
      <c r="J16" s="38" t="str">
        <f>IFERROR(__xludf.DUMMYFUNCTION("TEXTJOIN("", "",TRUE,FILTER(D$1:I$1, D16:I16=""Absent""))"),"#N/A")</f>
        <v>#N/A</v>
      </c>
    </row>
    <row r="17">
      <c r="A17" s="29">
        <v>15.0</v>
      </c>
      <c r="B17" s="32" t="s">
        <v>113</v>
      </c>
      <c r="C17" s="32" t="s">
        <v>114</v>
      </c>
      <c r="D17" s="29" t="s">
        <v>85</v>
      </c>
      <c r="E17" s="31" t="s">
        <v>62</v>
      </c>
      <c r="F17" s="32">
        <v>24.0</v>
      </c>
      <c r="G17" s="34"/>
      <c r="H17" s="36"/>
      <c r="I17" s="36"/>
      <c r="J17" s="38" t="str">
        <f>IFERROR(__xludf.DUMMYFUNCTION("TEXTJOIN("", "",TRUE,FILTER(D$1:I$1, D17:I17=""Absent""))"),"2")</f>
        <v>2</v>
      </c>
    </row>
    <row r="18">
      <c r="A18" s="29">
        <v>16.0</v>
      </c>
      <c r="B18" s="32" t="s">
        <v>115</v>
      </c>
      <c r="C18" s="32" t="s">
        <v>116</v>
      </c>
      <c r="D18" s="29" t="s">
        <v>62</v>
      </c>
      <c r="E18" s="31" t="s">
        <v>62</v>
      </c>
      <c r="F18" s="32">
        <v>26.0</v>
      </c>
      <c r="G18" s="34"/>
      <c r="H18" s="36"/>
      <c r="I18" s="36"/>
      <c r="J18" s="38" t="str">
        <f>IFERROR(__xludf.DUMMYFUNCTION("TEXTJOIN("", "",TRUE,FILTER(D$1:I$1, D18:I18=""Absent""))"),"1, 2")</f>
        <v>1, 2</v>
      </c>
    </row>
    <row r="19">
      <c r="A19" s="29">
        <v>17.0</v>
      </c>
      <c r="B19" s="32" t="s">
        <v>117</v>
      </c>
      <c r="C19" s="32" t="s">
        <v>118</v>
      </c>
      <c r="D19" s="29" t="s">
        <v>93</v>
      </c>
      <c r="E19" s="31" t="s">
        <v>93</v>
      </c>
      <c r="F19" s="32">
        <v>28.0</v>
      </c>
      <c r="G19" s="34"/>
      <c r="H19" s="36"/>
      <c r="I19" s="36"/>
      <c r="J19" s="38" t="str">
        <f>IFERROR(__xludf.DUMMYFUNCTION("TEXTJOIN("", "",TRUE,FILTER(D$1:I$1, D19:I19=""Absent""))"),"#N/A")</f>
        <v>#N/A</v>
      </c>
    </row>
    <row r="20">
      <c r="A20" s="29">
        <v>18.0</v>
      </c>
      <c r="B20" s="30" t="s">
        <v>58</v>
      </c>
      <c r="C20" s="30" t="s">
        <v>119</v>
      </c>
      <c r="D20" s="29" t="s">
        <v>62</v>
      </c>
      <c r="E20" s="31" t="s">
        <v>90</v>
      </c>
      <c r="F20" s="32">
        <v>25.0</v>
      </c>
      <c r="G20" s="34"/>
      <c r="H20" s="36"/>
      <c r="I20" s="36"/>
      <c r="J20" s="38" t="str">
        <f>IFERROR(__xludf.DUMMYFUNCTION("TEXTJOIN("", "",TRUE,FILTER(D$1:I$1, D20:I20=""Absent""))"),"1")</f>
        <v>1</v>
      </c>
    </row>
    <row r="21">
      <c r="A21" s="29">
        <v>19.0</v>
      </c>
      <c r="B21" s="32" t="s">
        <v>121</v>
      </c>
      <c r="C21" s="32" t="s">
        <v>122</v>
      </c>
      <c r="D21" s="29" t="s">
        <v>89</v>
      </c>
      <c r="E21" s="31" t="s">
        <v>93</v>
      </c>
      <c r="F21" s="32">
        <v>30.0</v>
      </c>
      <c r="G21" s="34"/>
      <c r="H21" s="36"/>
      <c r="I21" s="36"/>
      <c r="J21" s="38" t="str">
        <f>IFERROR(__xludf.DUMMYFUNCTION("TEXTJOIN("", "",TRUE,FILTER(D$1:I$1, D21:I21=""Absent""))"),"#N/A")</f>
        <v>#N/A</v>
      </c>
    </row>
    <row r="22">
      <c r="A22" s="29">
        <v>20.0</v>
      </c>
      <c r="B22" s="32" t="s">
        <v>123</v>
      </c>
      <c r="C22" s="32" t="s">
        <v>124</v>
      </c>
      <c r="D22" s="29" t="s">
        <v>62</v>
      </c>
      <c r="E22" s="31" t="s">
        <v>63</v>
      </c>
      <c r="F22" s="32">
        <v>24.0</v>
      </c>
      <c r="G22" s="34"/>
      <c r="H22" s="36"/>
      <c r="I22" s="36"/>
      <c r="J22" s="38" t="str">
        <f>IFERROR(__xludf.DUMMYFUNCTION("TEXTJOIN("", "",TRUE,FILTER(D$1:I$1, D22:I22=""Absent""))"),"1")</f>
        <v>1</v>
      </c>
    </row>
    <row r="23">
      <c r="A23" s="29">
        <v>21.0</v>
      </c>
      <c r="B23" s="32" t="s">
        <v>125</v>
      </c>
      <c r="C23" s="32" t="s">
        <v>126</v>
      </c>
      <c r="D23" s="29" t="s">
        <v>62</v>
      </c>
      <c r="E23" s="31" t="s">
        <v>63</v>
      </c>
      <c r="F23" s="32">
        <v>29.0</v>
      </c>
      <c r="G23" s="34"/>
      <c r="H23" s="36"/>
      <c r="I23" s="36"/>
      <c r="J23" s="38" t="str">
        <f>IFERROR(__xludf.DUMMYFUNCTION("TEXTJOIN("", "",TRUE,FILTER(D$1:I$1, D23:I23=""Absent""))"),"1")</f>
        <v>1</v>
      </c>
    </row>
    <row r="24">
      <c r="A24" s="29">
        <v>22.0</v>
      </c>
      <c r="B24" s="32" t="s">
        <v>127</v>
      </c>
      <c r="C24" s="32" t="s">
        <v>129</v>
      </c>
      <c r="D24" s="29" t="s">
        <v>130</v>
      </c>
      <c r="E24" s="31" t="s">
        <v>131</v>
      </c>
      <c r="F24" s="32">
        <v>25.0</v>
      </c>
      <c r="G24" s="34"/>
      <c r="H24" s="36"/>
      <c r="I24" s="36"/>
      <c r="J24" s="38" t="str">
        <f>IFERROR(__xludf.DUMMYFUNCTION("TEXTJOIN("", "",TRUE,FILTER(D$1:I$1, D24:I24=""Absent""))"),"#N/A")</f>
        <v>#N/A</v>
      </c>
    </row>
    <row r="25">
      <c r="A25" s="29">
        <v>23.0</v>
      </c>
      <c r="B25" s="32" t="s">
        <v>132</v>
      </c>
      <c r="C25" s="32" t="s">
        <v>133</v>
      </c>
      <c r="D25" s="29" t="s">
        <v>62</v>
      </c>
      <c r="E25" s="31" t="s">
        <v>85</v>
      </c>
      <c r="F25" s="32">
        <v>28.0</v>
      </c>
      <c r="G25" s="34"/>
      <c r="H25" s="36"/>
      <c r="I25" s="36"/>
      <c r="J25" s="38" t="str">
        <f>IFERROR(__xludf.DUMMYFUNCTION("TEXTJOIN("", "",TRUE,FILTER(D$1:I$1, D25:I25=""Absent""))"),"1")</f>
        <v>1</v>
      </c>
    </row>
    <row r="26">
      <c r="A26" s="29">
        <v>24.0</v>
      </c>
      <c r="B26" s="32" t="s">
        <v>134</v>
      </c>
      <c r="C26" s="32" t="s">
        <v>135</v>
      </c>
      <c r="D26" s="29" t="s">
        <v>89</v>
      </c>
      <c r="E26" s="31" t="s">
        <v>90</v>
      </c>
      <c r="F26" s="32">
        <v>26.0</v>
      </c>
      <c r="G26" s="34"/>
      <c r="H26" s="36"/>
      <c r="I26" s="36"/>
      <c r="J26" s="38" t="str">
        <f>IFERROR(__xludf.DUMMYFUNCTION("TEXTJOIN("", "",TRUE,FILTER(D$1:I$1, D26:I26=""Absent""))"),"#N/A")</f>
        <v>#N/A</v>
      </c>
    </row>
    <row r="27">
      <c r="A27" s="29">
        <v>25.0</v>
      </c>
      <c r="B27" s="30" t="s">
        <v>136</v>
      </c>
      <c r="C27" s="30" t="s">
        <v>137</v>
      </c>
      <c r="D27" s="29" t="s">
        <v>62</v>
      </c>
      <c r="E27" s="31" t="s">
        <v>62</v>
      </c>
      <c r="F27" s="32" t="s">
        <v>62</v>
      </c>
      <c r="G27" s="34"/>
      <c r="H27" s="36"/>
      <c r="I27" s="36"/>
      <c r="J27" s="38" t="str">
        <f>IFERROR(__xludf.DUMMYFUNCTION("TEXTJOIN("", "",TRUE,FILTER(D$1:I$1, D27:I27=""Absent""))"),"1, 2, 3")</f>
        <v>1, 2, 3</v>
      </c>
    </row>
    <row r="28">
      <c r="A28" s="29">
        <v>26.0</v>
      </c>
      <c r="B28" s="32" t="s">
        <v>139</v>
      </c>
      <c r="C28" s="32" t="s">
        <v>140</v>
      </c>
      <c r="D28" s="29" t="s">
        <v>63</v>
      </c>
      <c r="E28" s="31" t="s">
        <v>63</v>
      </c>
      <c r="F28" s="32">
        <v>30.0</v>
      </c>
      <c r="G28" s="34"/>
      <c r="H28" s="36"/>
      <c r="I28" s="36"/>
      <c r="J28" s="38" t="str">
        <f>IFERROR(__xludf.DUMMYFUNCTION("TEXTJOIN("", "",TRUE,FILTER(D$1:I$1, D28:I28=""Absent""))"),"#N/A")</f>
        <v>#N/A</v>
      </c>
    </row>
    <row r="29">
      <c r="A29" s="29">
        <v>27.0</v>
      </c>
      <c r="B29" s="32" t="s">
        <v>141</v>
      </c>
      <c r="C29" s="32" t="s">
        <v>142</v>
      </c>
      <c r="D29" s="29" t="s">
        <v>107</v>
      </c>
      <c r="E29" s="31" t="s">
        <v>62</v>
      </c>
      <c r="F29" s="32" t="s">
        <v>62</v>
      </c>
      <c r="G29" s="34"/>
      <c r="H29" s="36"/>
      <c r="I29" s="36"/>
      <c r="J29" s="38" t="str">
        <f>IFERROR(__xludf.DUMMYFUNCTION("TEXTJOIN("", "",TRUE,FILTER(D$1:I$1, D29:I29=""Absent""))"),"2, 3")</f>
        <v>2, 3</v>
      </c>
    </row>
    <row r="30">
      <c r="A30" s="29">
        <v>28.0</v>
      </c>
      <c r="B30" s="32" t="s">
        <v>143</v>
      </c>
      <c r="C30" s="32" t="s">
        <v>144</v>
      </c>
      <c r="D30" s="29" t="s">
        <v>62</v>
      </c>
      <c r="E30" s="31" t="s">
        <v>145</v>
      </c>
      <c r="F30" s="32">
        <v>30.0</v>
      </c>
      <c r="G30" s="34"/>
      <c r="H30" s="36"/>
      <c r="I30" s="36"/>
      <c r="J30" s="38" t="str">
        <f>IFERROR(__xludf.DUMMYFUNCTION("TEXTJOIN("", "",TRUE,FILTER(D$1:I$1, D30:I30=""Absent""))"),"1")</f>
        <v>1</v>
      </c>
    </row>
    <row r="31">
      <c r="A31" s="29">
        <v>29.0</v>
      </c>
      <c r="B31" s="32" t="s">
        <v>146</v>
      </c>
      <c r="C31" s="32" t="s">
        <v>147</v>
      </c>
      <c r="D31" s="29" t="s">
        <v>93</v>
      </c>
      <c r="E31" s="31" t="s">
        <v>62</v>
      </c>
      <c r="F31" s="32" t="s">
        <v>62</v>
      </c>
      <c r="G31" s="34"/>
      <c r="H31" s="36"/>
      <c r="I31" s="36"/>
      <c r="J31" s="38" t="str">
        <f>IFERROR(__xludf.DUMMYFUNCTION("TEXTJOIN("", "",TRUE,FILTER(D$1:I$1, D31:I31=""Absent""))"),"2, 3")</f>
        <v>2, 3</v>
      </c>
    </row>
    <row r="32">
      <c r="A32" s="29">
        <v>30.0</v>
      </c>
      <c r="B32" s="32" t="s">
        <v>149</v>
      </c>
      <c r="C32" s="32" t="s">
        <v>150</v>
      </c>
      <c r="D32" s="29" t="s">
        <v>89</v>
      </c>
      <c r="E32" s="31" t="s">
        <v>90</v>
      </c>
      <c r="F32" s="32">
        <v>26.0</v>
      </c>
      <c r="G32" s="34"/>
      <c r="H32" s="36"/>
      <c r="I32" s="36"/>
      <c r="J32" s="38" t="str">
        <f>IFERROR(__xludf.DUMMYFUNCTION("TEXTJOIN("", "",TRUE,FILTER(D$1:I$1, D32:I32=""Absent""))"),"#N/A")</f>
        <v>#N/A</v>
      </c>
    </row>
    <row r="33">
      <c r="A33" s="29">
        <v>31.0</v>
      </c>
      <c r="B33" s="32" t="s">
        <v>236</v>
      </c>
      <c r="C33" s="32" t="s">
        <v>237</v>
      </c>
      <c r="D33" s="29" t="s">
        <v>62</v>
      </c>
      <c r="E33" s="31" t="s">
        <v>62</v>
      </c>
      <c r="F33" s="32" t="s">
        <v>62</v>
      </c>
      <c r="G33" s="34"/>
      <c r="H33" s="36"/>
      <c r="I33" s="36"/>
      <c r="J33" s="38" t="str">
        <f>IFERROR(__xludf.DUMMYFUNCTION("TEXTJOIN("", "",TRUE,FILTER(D$1:I$1, D33:I33=""Absent""))"),"1, 2, 3")</f>
        <v>1, 2, 3</v>
      </c>
    </row>
    <row r="34">
      <c r="A34" s="29">
        <v>32.0</v>
      </c>
      <c r="B34" s="32" t="s">
        <v>239</v>
      </c>
      <c r="C34" s="32" t="s">
        <v>241</v>
      </c>
      <c r="D34" s="29" t="s">
        <v>62</v>
      </c>
      <c r="E34" s="31" t="s">
        <v>89</v>
      </c>
      <c r="F34" s="32">
        <v>25.0</v>
      </c>
      <c r="G34" s="34"/>
      <c r="H34" s="36"/>
      <c r="I34" s="36"/>
      <c r="J34" s="38" t="str">
        <f>IFERROR(__xludf.DUMMYFUNCTION("TEXTJOIN("", "",TRUE,FILTER(D$1:I$1, D34:I34=""Absent""))"),"1")</f>
        <v>1</v>
      </c>
    </row>
    <row r="35">
      <c r="A35" s="29">
        <v>33.0</v>
      </c>
      <c r="B35" s="32" t="s">
        <v>244</v>
      </c>
      <c r="C35" s="32" t="s">
        <v>245</v>
      </c>
      <c r="D35" s="29" t="s">
        <v>90</v>
      </c>
      <c r="E35" s="31" t="s">
        <v>85</v>
      </c>
      <c r="F35" s="32">
        <v>25.0</v>
      </c>
      <c r="G35" s="34"/>
      <c r="H35" s="36"/>
      <c r="I35" s="36"/>
      <c r="J35" s="38" t="str">
        <f>IFERROR(__xludf.DUMMYFUNCTION("TEXTJOIN("", "",TRUE,FILTER(D$1:I$1, D35:I35=""Absent""))"),"#N/A")</f>
        <v>#N/A</v>
      </c>
    </row>
    <row r="36">
      <c r="A36" s="29">
        <v>34.0</v>
      </c>
      <c r="B36" s="32" t="s">
        <v>250</v>
      </c>
      <c r="C36" s="32" t="s">
        <v>251</v>
      </c>
      <c r="D36" s="29" t="s">
        <v>62</v>
      </c>
      <c r="E36" s="31" t="s">
        <v>93</v>
      </c>
      <c r="F36" s="32" t="s">
        <v>62</v>
      </c>
      <c r="G36" s="34"/>
      <c r="H36" s="36"/>
      <c r="I36" s="36"/>
      <c r="J36" s="38" t="str">
        <f>IFERROR(__xludf.DUMMYFUNCTION("TEXTJOIN("", "",TRUE,FILTER(D$1:I$1, D36:I36=""Absent""))"),"1, 3")</f>
        <v>1, 3</v>
      </c>
    </row>
    <row r="37">
      <c r="A37" s="29">
        <v>35.0</v>
      </c>
      <c r="B37" s="32" t="s">
        <v>253</v>
      </c>
      <c r="C37" s="32" t="s">
        <v>254</v>
      </c>
      <c r="D37" s="29" t="s">
        <v>62</v>
      </c>
      <c r="E37" s="31" t="s">
        <v>62</v>
      </c>
      <c r="F37" s="32" t="s">
        <v>62</v>
      </c>
      <c r="G37" s="34"/>
      <c r="H37" s="36"/>
      <c r="I37" s="36"/>
      <c r="J37" s="38" t="str">
        <f>IFERROR(__xludf.DUMMYFUNCTION("TEXTJOIN("", "",TRUE,FILTER(D$1:I$1, D37:I37=""Absent""))"),"1, 2, 3")</f>
        <v>1, 2, 3</v>
      </c>
    </row>
    <row r="38">
      <c r="A38" s="29">
        <v>36.0</v>
      </c>
      <c r="B38" s="32" t="s">
        <v>258</v>
      </c>
      <c r="C38" s="32" t="s">
        <v>259</v>
      </c>
      <c r="D38" s="29" t="s">
        <v>62</v>
      </c>
      <c r="E38" s="31" t="s">
        <v>62</v>
      </c>
      <c r="F38" s="32" t="s">
        <v>62</v>
      </c>
      <c r="G38" s="34"/>
      <c r="H38" s="36"/>
      <c r="I38" s="36"/>
      <c r="J38" s="38" t="str">
        <f>IFERROR(__xludf.DUMMYFUNCTION("TEXTJOIN("", "",TRUE,FILTER(D$1:I$1, D38:I38=""Absent""))"),"1, 2, 3")</f>
        <v>1, 2, 3</v>
      </c>
    </row>
    <row r="39">
      <c r="A39" s="29">
        <v>37.0</v>
      </c>
      <c r="B39" s="32" t="s">
        <v>262</v>
      </c>
      <c r="C39" s="32" t="s">
        <v>263</v>
      </c>
      <c r="D39" s="29" t="s">
        <v>62</v>
      </c>
      <c r="E39" s="31" t="s">
        <v>62</v>
      </c>
      <c r="F39" s="32">
        <v>25.0</v>
      </c>
      <c r="G39" s="34"/>
      <c r="H39" s="36"/>
      <c r="I39" s="36"/>
      <c r="J39" s="38" t="str">
        <f>IFERROR(__xludf.DUMMYFUNCTION("TEXTJOIN("", "",TRUE,FILTER(D$1:I$1, D39:I39=""Absent""))"),"1, 2")</f>
        <v>1, 2</v>
      </c>
    </row>
    <row r="40">
      <c r="A40" s="29">
        <v>38.0</v>
      </c>
      <c r="B40" s="32" t="s">
        <v>266</v>
      </c>
      <c r="C40" s="32" t="s">
        <v>268</v>
      </c>
      <c r="D40" s="29" t="s">
        <v>90</v>
      </c>
      <c r="E40" s="31" t="s">
        <v>85</v>
      </c>
      <c r="F40" s="32">
        <v>30.0</v>
      </c>
      <c r="G40" s="34"/>
      <c r="H40" s="36"/>
      <c r="I40" s="36"/>
      <c r="J40" s="38" t="str">
        <f>IFERROR(__xludf.DUMMYFUNCTION("TEXTJOIN("", "",TRUE,FILTER(D$1:I$1, D40:I40=""Absent""))"),"#N/A")</f>
        <v>#N/A</v>
      </c>
    </row>
    <row r="41">
      <c r="A41" s="29">
        <v>39.0</v>
      </c>
      <c r="B41" s="32" t="s">
        <v>272</v>
      </c>
      <c r="C41" s="32" t="s">
        <v>273</v>
      </c>
      <c r="D41" s="29" t="s">
        <v>62</v>
      </c>
      <c r="E41" s="31" t="s">
        <v>130</v>
      </c>
      <c r="F41" s="32">
        <v>20.0</v>
      </c>
      <c r="G41" s="34"/>
      <c r="H41" s="36"/>
      <c r="I41" s="36"/>
      <c r="J41" s="38" t="str">
        <f>IFERROR(__xludf.DUMMYFUNCTION("TEXTJOIN("", "",TRUE,FILTER(D$1:I$1, D41:I41=""Absent""))"),"1")</f>
        <v>1</v>
      </c>
    </row>
    <row r="42">
      <c r="A42" s="29">
        <v>40.0</v>
      </c>
      <c r="B42" s="32" t="s">
        <v>276</v>
      </c>
      <c r="C42" s="32" t="s">
        <v>277</v>
      </c>
      <c r="D42" s="29" t="s">
        <v>93</v>
      </c>
      <c r="E42" s="31" t="s">
        <v>85</v>
      </c>
      <c r="F42" s="32">
        <v>29.0</v>
      </c>
      <c r="G42" s="34"/>
      <c r="H42" s="36"/>
      <c r="I42" s="36"/>
      <c r="J42" s="38" t="str">
        <f>IFERROR(__xludf.DUMMYFUNCTION("TEXTJOIN("", "",TRUE,FILTER(D$1:I$1, D42:I42=""Absent""))"),"#N/A")</f>
        <v>#N/A</v>
      </c>
    </row>
    <row r="43">
      <c r="A43" s="29">
        <v>41.0</v>
      </c>
      <c r="B43" s="32" t="s">
        <v>280</v>
      </c>
      <c r="C43" s="32" t="s">
        <v>281</v>
      </c>
      <c r="D43" s="29" t="s">
        <v>89</v>
      </c>
      <c r="E43" s="31" t="s">
        <v>62</v>
      </c>
      <c r="F43" s="32" t="s">
        <v>62</v>
      </c>
      <c r="G43" s="34"/>
      <c r="H43" s="36"/>
      <c r="I43" s="36"/>
      <c r="J43" s="38" t="str">
        <f>IFERROR(__xludf.DUMMYFUNCTION("TEXTJOIN("", "",TRUE,FILTER(D$1:I$1, D43:I43=""Absent""))"),"2, 3")</f>
        <v>2, 3</v>
      </c>
    </row>
    <row r="44">
      <c r="A44" s="29">
        <v>42.0</v>
      </c>
      <c r="B44" s="32" t="s">
        <v>284</v>
      </c>
      <c r="C44" s="32" t="s">
        <v>285</v>
      </c>
      <c r="D44" s="29" t="s">
        <v>93</v>
      </c>
      <c r="E44" s="31" t="s">
        <v>93</v>
      </c>
      <c r="F44" s="32">
        <v>30.0</v>
      </c>
      <c r="G44" s="34"/>
      <c r="H44" s="36"/>
      <c r="I44" s="36"/>
      <c r="J44" s="38" t="str">
        <f>IFERROR(__xludf.DUMMYFUNCTION("TEXTJOIN("", "",TRUE,FILTER(D$1:I$1, D44:I44=""Absent""))"),"#N/A")</f>
        <v>#N/A</v>
      </c>
    </row>
    <row r="45">
      <c r="A45" s="29">
        <v>43.0</v>
      </c>
      <c r="B45" s="32" t="s">
        <v>288</v>
      </c>
      <c r="C45" s="32" t="s">
        <v>290</v>
      </c>
      <c r="D45" s="29" t="s">
        <v>90</v>
      </c>
      <c r="E45" s="31" t="s">
        <v>93</v>
      </c>
      <c r="F45" s="32">
        <v>28.0</v>
      </c>
      <c r="G45" s="34"/>
      <c r="H45" s="36"/>
      <c r="I45" s="36"/>
      <c r="J45" s="38" t="str">
        <f>IFERROR(__xludf.DUMMYFUNCTION("TEXTJOIN("", "",TRUE,FILTER(D$1:I$1, D45:I45=""Absent""))"),"#N/A")</f>
        <v>#N/A</v>
      </c>
    </row>
    <row r="46">
      <c r="A46" s="29">
        <v>44.0</v>
      </c>
      <c r="B46" s="32" t="s">
        <v>295</v>
      </c>
      <c r="C46" s="32" t="s">
        <v>296</v>
      </c>
      <c r="D46" s="29" t="s">
        <v>62</v>
      </c>
      <c r="E46" s="31" t="s">
        <v>93</v>
      </c>
      <c r="F46" s="32">
        <v>26.0</v>
      </c>
      <c r="G46" s="34"/>
      <c r="H46" s="36"/>
      <c r="I46" s="36"/>
      <c r="J46" s="38" t="str">
        <f>IFERROR(__xludf.DUMMYFUNCTION("TEXTJOIN("", "",TRUE,FILTER(D$1:I$1, D46:I46=""Absent""))"),"1")</f>
        <v>1</v>
      </c>
    </row>
    <row r="47">
      <c r="A47" s="29">
        <v>45.0</v>
      </c>
      <c r="B47" s="32" t="s">
        <v>299</v>
      </c>
      <c r="C47" s="32" t="s">
        <v>301</v>
      </c>
      <c r="D47" s="29" t="s">
        <v>63</v>
      </c>
      <c r="E47" s="31" t="s">
        <v>93</v>
      </c>
      <c r="F47" s="32" t="s">
        <v>62</v>
      </c>
      <c r="G47" s="34"/>
      <c r="H47" s="36"/>
      <c r="I47" s="36"/>
      <c r="J47" s="38" t="str">
        <f>IFERROR(__xludf.DUMMYFUNCTION("TEXTJOIN("", "",TRUE,FILTER(D$1:I$1, D47:I47=""Absent""))"),"3")</f>
        <v>3</v>
      </c>
    </row>
    <row r="48">
      <c r="A48" s="29">
        <v>46.0</v>
      </c>
      <c r="B48" s="32" t="s">
        <v>303</v>
      </c>
      <c r="C48" s="32" t="s">
        <v>304</v>
      </c>
      <c r="D48" s="29" t="s">
        <v>93</v>
      </c>
      <c r="E48" s="31" t="s">
        <v>63</v>
      </c>
      <c r="F48" s="32" t="s">
        <v>62</v>
      </c>
      <c r="G48" s="34"/>
      <c r="H48" s="36"/>
      <c r="I48" s="36"/>
      <c r="J48" s="38" t="str">
        <f>IFERROR(__xludf.DUMMYFUNCTION("TEXTJOIN("", "",TRUE,FILTER(D$1:I$1, D48:I48=""Absent""))"),"3")</f>
        <v>3</v>
      </c>
    </row>
    <row r="49">
      <c r="A49" s="29">
        <v>47.0</v>
      </c>
      <c r="B49" s="32" t="s">
        <v>306</v>
      </c>
      <c r="C49" s="32" t="s">
        <v>308</v>
      </c>
      <c r="D49" s="29" t="s">
        <v>62</v>
      </c>
      <c r="E49" s="31" t="s">
        <v>62</v>
      </c>
      <c r="F49" s="32" t="s">
        <v>62</v>
      </c>
      <c r="G49" s="34"/>
      <c r="H49" s="36"/>
      <c r="I49" s="36"/>
      <c r="J49" s="38" t="str">
        <f>IFERROR(__xludf.DUMMYFUNCTION("TEXTJOIN("", "",TRUE,FILTER(D$1:I$1, D49:I49=""Absent""))"),"1, 2, 3")</f>
        <v>1, 2, 3</v>
      </c>
    </row>
    <row r="50">
      <c r="A50" s="29">
        <v>48.0</v>
      </c>
      <c r="B50" s="32" t="s">
        <v>312</v>
      </c>
      <c r="C50" s="32" t="s">
        <v>313</v>
      </c>
      <c r="D50" s="29" t="s">
        <v>62</v>
      </c>
      <c r="E50" s="31" t="s">
        <v>145</v>
      </c>
      <c r="F50" s="32">
        <v>16.0</v>
      </c>
      <c r="G50" s="34"/>
      <c r="H50" s="36"/>
      <c r="I50" s="36"/>
      <c r="J50" s="38" t="str">
        <f>IFERROR(__xludf.DUMMYFUNCTION("TEXTJOIN("", "",TRUE,FILTER(D$1:I$1, D50:I50=""Absent""))"),"1")</f>
        <v>1</v>
      </c>
    </row>
    <row r="51">
      <c r="A51" s="29">
        <v>49.0</v>
      </c>
      <c r="B51" s="32" t="s">
        <v>316</v>
      </c>
      <c r="C51" s="32" t="s">
        <v>317</v>
      </c>
      <c r="D51" s="29" t="s">
        <v>63</v>
      </c>
      <c r="E51" s="31" t="s">
        <v>63</v>
      </c>
      <c r="F51" s="32">
        <v>28.0</v>
      </c>
      <c r="G51" s="34"/>
      <c r="H51" s="36"/>
      <c r="I51" s="36"/>
      <c r="J51" s="38" t="str">
        <f>IFERROR(__xludf.DUMMYFUNCTION("TEXTJOIN("", "",TRUE,FILTER(D$1:I$1, D51:I51=""Absent""))"),"#N/A")</f>
        <v>#N/A</v>
      </c>
    </row>
    <row r="52">
      <c r="A52" s="29">
        <v>50.0</v>
      </c>
      <c r="B52" s="32" t="s">
        <v>320</v>
      </c>
      <c r="C52" s="32" t="s">
        <v>321</v>
      </c>
      <c r="D52" s="29" t="s">
        <v>93</v>
      </c>
      <c r="E52" s="31" t="s">
        <v>90</v>
      </c>
      <c r="F52" s="32" t="s">
        <v>62</v>
      </c>
      <c r="G52" s="34"/>
      <c r="H52" s="36"/>
      <c r="I52" s="36"/>
      <c r="J52" s="38" t="str">
        <f>IFERROR(__xludf.DUMMYFUNCTION("TEXTJOIN("", "",TRUE,FILTER(D$1:I$1, D52:I52=""Absent""))"),"3")</f>
        <v>3</v>
      </c>
    </row>
    <row r="53">
      <c r="A53" s="29">
        <v>51.0</v>
      </c>
      <c r="B53" s="32" t="s">
        <v>324</v>
      </c>
      <c r="C53" s="32" t="s">
        <v>325</v>
      </c>
      <c r="D53" s="29" t="s">
        <v>74</v>
      </c>
      <c r="E53" s="31" t="s">
        <v>62</v>
      </c>
      <c r="F53" s="32">
        <v>24.0</v>
      </c>
      <c r="G53" s="34"/>
      <c r="H53" s="36"/>
      <c r="I53" s="36"/>
      <c r="J53" s="38" t="str">
        <f>IFERROR(__xludf.DUMMYFUNCTION("TEXTJOIN("", "",TRUE,FILTER(D$1:I$1, D53:I53=""Absent""))"),"2")</f>
        <v>2</v>
      </c>
    </row>
    <row r="54">
      <c r="A54" s="29">
        <v>52.0</v>
      </c>
      <c r="B54" s="32" t="s">
        <v>329</v>
      </c>
      <c r="C54" s="32" t="s">
        <v>330</v>
      </c>
      <c r="D54" s="29" t="s">
        <v>62</v>
      </c>
      <c r="E54" s="31" t="s">
        <v>90</v>
      </c>
      <c r="F54" s="32" t="s">
        <v>62</v>
      </c>
      <c r="G54" s="34"/>
      <c r="H54" s="36"/>
      <c r="I54" s="36"/>
      <c r="J54" s="38" t="str">
        <f>IFERROR(__xludf.DUMMYFUNCTION("TEXTJOIN("", "",TRUE,FILTER(D$1:I$1, D54:I54=""Absent""))"),"1, 3")</f>
        <v>1, 3</v>
      </c>
    </row>
    <row r="55">
      <c r="A55" s="29">
        <v>53.0</v>
      </c>
      <c r="B55" s="32" t="s">
        <v>332</v>
      </c>
      <c r="C55" s="32" t="s">
        <v>333</v>
      </c>
      <c r="D55" s="29" t="s">
        <v>74</v>
      </c>
      <c r="E55" s="31" t="s">
        <v>63</v>
      </c>
      <c r="F55" s="32">
        <v>30.0</v>
      </c>
      <c r="G55" s="34"/>
      <c r="H55" s="36"/>
      <c r="I55" s="36"/>
      <c r="J55" s="38" t="str">
        <f>IFERROR(__xludf.DUMMYFUNCTION("TEXTJOIN("", "",TRUE,FILTER(D$1:I$1, D55:I55=""Absent""))"),"#N/A")</f>
        <v>#N/A</v>
      </c>
    </row>
    <row r="56">
      <c r="A56" s="29">
        <v>54.0</v>
      </c>
      <c r="B56" s="32" t="s">
        <v>336</v>
      </c>
      <c r="C56" s="32" t="s">
        <v>337</v>
      </c>
      <c r="D56" s="29" t="s">
        <v>63</v>
      </c>
      <c r="E56" s="31" t="s">
        <v>89</v>
      </c>
      <c r="F56" s="32">
        <v>23.0</v>
      </c>
      <c r="G56" s="34"/>
      <c r="H56" s="36"/>
      <c r="I56" s="36"/>
      <c r="J56" s="38" t="str">
        <f>IFERROR(__xludf.DUMMYFUNCTION("TEXTJOIN("", "",TRUE,FILTER(D$1:I$1, D56:I56=""Absent""))"),"#N/A")</f>
        <v>#N/A</v>
      </c>
    </row>
    <row r="57">
      <c r="A57" s="29">
        <v>55.0</v>
      </c>
      <c r="B57" s="32" t="s">
        <v>340</v>
      </c>
      <c r="C57" s="32" t="s">
        <v>341</v>
      </c>
      <c r="D57" s="29" t="s">
        <v>62</v>
      </c>
      <c r="E57" s="31" t="s">
        <v>62</v>
      </c>
      <c r="F57" s="32" t="s">
        <v>62</v>
      </c>
      <c r="G57" s="34"/>
      <c r="H57" s="36"/>
      <c r="I57" s="36"/>
      <c r="J57" s="38" t="str">
        <f>IFERROR(__xludf.DUMMYFUNCTION("TEXTJOIN("", "",TRUE,FILTER(D$1:I$1, D57:I57=""Absent""))"),"1, 2, 3")</f>
        <v>1, 2, 3</v>
      </c>
    </row>
    <row r="58">
      <c r="A58" s="29">
        <v>56.0</v>
      </c>
      <c r="B58" s="32" t="s">
        <v>344</v>
      </c>
      <c r="C58" s="32" t="s">
        <v>345</v>
      </c>
      <c r="D58" s="29" t="s">
        <v>62</v>
      </c>
      <c r="E58" s="31" t="s">
        <v>63</v>
      </c>
      <c r="F58" s="32">
        <v>27.0</v>
      </c>
      <c r="G58" s="34"/>
      <c r="H58" s="36"/>
      <c r="I58" s="36"/>
      <c r="J58" s="38" t="str">
        <f>IFERROR(__xludf.DUMMYFUNCTION("TEXTJOIN("", "",TRUE,FILTER(D$1:I$1, D58:I58=""Absent""))"),"1")</f>
        <v>1</v>
      </c>
    </row>
    <row r="59">
      <c r="A59" s="29">
        <v>57.0</v>
      </c>
      <c r="B59" s="32" t="s">
        <v>349</v>
      </c>
      <c r="C59" s="32" t="s">
        <v>350</v>
      </c>
      <c r="D59" s="29" t="s">
        <v>62</v>
      </c>
      <c r="E59" s="31" t="s">
        <v>351</v>
      </c>
      <c r="F59" s="32">
        <v>25.0</v>
      </c>
      <c r="G59" s="34"/>
      <c r="H59" s="36"/>
      <c r="I59" s="36"/>
      <c r="J59" s="38" t="str">
        <f>IFERROR(__xludf.DUMMYFUNCTION("TEXTJOIN("", "",TRUE,FILTER(D$1:I$1, D59:I59=""Absent""))"),"1")</f>
        <v>1</v>
      </c>
    </row>
    <row r="60">
      <c r="A60" s="29">
        <v>58.0</v>
      </c>
      <c r="B60" s="32" t="s">
        <v>354</v>
      </c>
      <c r="C60" s="32" t="s">
        <v>355</v>
      </c>
      <c r="D60" s="29" t="s">
        <v>89</v>
      </c>
      <c r="E60" s="31" t="s">
        <v>85</v>
      </c>
      <c r="F60" s="32">
        <v>24.0</v>
      </c>
      <c r="G60" s="34"/>
      <c r="H60" s="36"/>
      <c r="I60" s="36"/>
      <c r="J60" s="38" t="str">
        <f>IFERROR(__xludf.DUMMYFUNCTION("TEXTJOIN("", "",TRUE,FILTER(D$1:I$1, D60:I60=""Absent""))"),"#N/A")</f>
        <v>#N/A</v>
      </c>
    </row>
    <row r="61">
      <c r="A61" s="29">
        <v>59.0</v>
      </c>
      <c r="B61" s="32" t="s">
        <v>358</v>
      </c>
      <c r="C61" s="32" t="s">
        <v>360</v>
      </c>
      <c r="D61" s="29" t="s">
        <v>86</v>
      </c>
      <c r="E61" s="31" t="s">
        <v>85</v>
      </c>
      <c r="F61" s="32">
        <v>25.0</v>
      </c>
      <c r="G61" s="34"/>
      <c r="H61" s="36"/>
      <c r="I61" s="36"/>
      <c r="J61" s="38" t="str">
        <f>IFERROR(__xludf.DUMMYFUNCTION("TEXTJOIN("", "",TRUE,FILTER(D$1:I$1, D61:I61=""Absent""))"),"#N/A")</f>
        <v>#N/A</v>
      </c>
    </row>
    <row r="62">
      <c r="A62" s="29">
        <v>60.0</v>
      </c>
      <c r="B62" s="32" t="s">
        <v>362</v>
      </c>
      <c r="C62" s="32" t="s">
        <v>363</v>
      </c>
      <c r="D62" s="29" t="s">
        <v>89</v>
      </c>
      <c r="E62" s="31" t="s">
        <v>63</v>
      </c>
      <c r="F62" s="32">
        <v>30.0</v>
      </c>
      <c r="G62" s="34"/>
      <c r="H62" s="36"/>
      <c r="I62" s="36"/>
      <c r="J62" s="38" t="str">
        <f>IFERROR(__xludf.DUMMYFUNCTION("TEXTJOIN("", "",TRUE,FILTER(D$1:I$1, D62:I62=""Absent""))"),"#N/A")</f>
        <v>#N/A</v>
      </c>
    </row>
    <row r="63">
      <c r="A63" s="29">
        <v>61.0</v>
      </c>
      <c r="B63" s="32" t="s">
        <v>366</v>
      </c>
      <c r="C63" s="32" t="s">
        <v>368</v>
      </c>
      <c r="D63" s="29" t="s">
        <v>62</v>
      </c>
      <c r="E63" s="31" t="s">
        <v>62</v>
      </c>
      <c r="F63" s="32">
        <v>15.0</v>
      </c>
      <c r="G63" s="34"/>
      <c r="H63" s="36"/>
      <c r="I63" s="36"/>
      <c r="J63" s="38" t="str">
        <f>IFERROR(__xludf.DUMMYFUNCTION("TEXTJOIN("", "",TRUE,FILTER(D$1:I$1, D63:I63=""Absent""))"),"1, 2")</f>
        <v>1, 2</v>
      </c>
    </row>
    <row r="64">
      <c r="A64" s="29">
        <v>62.0</v>
      </c>
      <c r="B64" s="32" t="s">
        <v>371</v>
      </c>
      <c r="C64" s="32" t="s">
        <v>372</v>
      </c>
      <c r="D64" s="29" t="s">
        <v>62</v>
      </c>
      <c r="E64" s="31" t="s">
        <v>62</v>
      </c>
      <c r="F64" s="32">
        <v>30.0</v>
      </c>
      <c r="G64" s="34"/>
      <c r="H64" s="36"/>
      <c r="I64" s="36"/>
      <c r="J64" s="38" t="str">
        <f>IFERROR(__xludf.DUMMYFUNCTION("TEXTJOIN("", "",TRUE,FILTER(D$1:I$1, D64:I64=""Absent""))"),"1, 2")</f>
        <v>1, 2</v>
      </c>
    </row>
    <row r="65">
      <c r="A65" s="29">
        <v>63.0</v>
      </c>
      <c r="B65" s="32" t="s">
        <v>375</v>
      </c>
      <c r="C65" s="32" t="s">
        <v>376</v>
      </c>
      <c r="D65" s="29" t="s">
        <v>85</v>
      </c>
      <c r="E65" s="31" t="s">
        <v>378</v>
      </c>
      <c r="F65" s="32">
        <v>16.0</v>
      </c>
      <c r="G65" s="34"/>
      <c r="H65" s="36"/>
      <c r="I65" s="36"/>
      <c r="J65" s="38" t="str">
        <f>IFERROR(__xludf.DUMMYFUNCTION("TEXTJOIN("", "",TRUE,FILTER(D$1:I$1, D65:I65=""Absent""))"),"#N/A")</f>
        <v>#N/A</v>
      </c>
    </row>
    <row r="66">
      <c r="A66" s="29">
        <v>64.0</v>
      </c>
      <c r="B66" s="32" t="s">
        <v>381</v>
      </c>
      <c r="C66" s="32" t="s">
        <v>382</v>
      </c>
      <c r="D66" s="29" t="s">
        <v>85</v>
      </c>
      <c r="E66" s="31" t="s">
        <v>90</v>
      </c>
      <c r="F66" s="32" t="s">
        <v>62</v>
      </c>
      <c r="G66" s="34"/>
      <c r="H66" s="36"/>
      <c r="I66" s="36"/>
      <c r="J66" s="38" t="str">
        <f>IFERROR(__xludf.DUMMYFUNCTION("TEXTJOIN("", "",TRUE,FILTER(D$1:I$1, D66:I66=""Absent""))"),"3")</f>
        <v>3</v>
      </c>
    </row>
    <row r="67">
      <c r="A67" s="29">
        <v>65.0</v>
      </c>
      <c r="B67" s="32" t="s">
        <v>386</v>
      </c>
      <c r="C67" s="32" t="s">
        <v>387</v>
      </c>
      <c r="D67" s="29" t="s">
        <v>63</v>
      </c>
      <c r="E67" s="31" t="s">
        <v>63</v>
      </c>
      <c r="F67" s="32">
        <v>30.0</v>
      </c>
      <c r="G67" s="34"/>
      <c r="H67" s="36"/>
      <c r="I67" s="36"/>
      <c r="J67" s="38" t="str">
        <f>IFERROR(__xludf.DUMMYFUNCTION("TEXTJOIN("", "",TRUE,FILTER(D$1:I$1, D67:I67=""Absent""))"),"#N/A")</f>
        <v>#N/A</v>
      </c>
    </row>
    <row r="68">
      <c r="A68" s="29">
        <v>66.0</v>
      </c>
      <c r="B68" s="32" t="s">
        <v>389</v>
      </c>
      <c r="C68" s="32" t="s">
        <v>390</v>
      </c>
      <c r="D68" s="29" t="s">
        <v>63</v>
      </c>
      <c r="E68" s="31" t="s">
        <v>90</v>
      </c>
      <c r="F68" s="32">
        <v>28.0</v>
      </c>
      <c r="G68" s="34"/>
      <c r="H68" s="36"/>
      <c r="I68" s="36"/>
      <c r="J68" s="38" t="str">
        <f>IFERROR(__xludf.DUMMYFUNCTION("TEXTJOIN("", "",TRUE,FILTER(D$1:I$1, D68:I68=""Absent""))"),"#N/A")</f>
        <v>#N/A</v>
      </c>
    </row>
    <row r="69">
      <c r="A69" s="29">
        <v>67.0</v>
      </c>
      <c r="B69" s="32" t="s">
        <v>393</v>
      </c>
      <c r="C69" s="32" t="s">
        <v>394</v>
      </c>
      <c r="D69" s="29" t="s">
        <v>62</v>
      </c>
      <c r="E69" s="31" t="s">
        <v>62</v>
      </c>
      <c r="F69" s="32">
        <v>29.0</v>
      </c>
      <c r="G69" s="34"/>
      <c r="H69" s="36"/>
      <c r="I69" s="36"/>
      <c r="J69" s="38" t="str">
        <f>IFERROR(__xludf.DUMMYFUNCTION("TEXTJOIN("", "",TRUE,FILTER(D$1:I$1, D69:I69=""Absent""))"),"1, 2")</f>
        <v>1, 2</v>
      </c>
    </row>
    <row r="70">
      <c r="A70" s="29">
        <v>68.0</v>
      </c>
      <c r="B70" s="32" t="s">
        <v>398</v>
      </c>
      <c r="C70" s="32" t="s">
        <v>399</v>
      </c>
      <c r="D70" s="29" t="s">
        <v>74</v>
      </c>
      <c r="E70" s="31" t="s">
        <v>85</v>
      </c>
      <c r="F70" s="32">
        <v>28.0</v>
      </c>
      <c r="G70" s="34"/>
      <c r="H70" s="36"/>
      <c r="I70" s="36"/>
      <c r="J70" s="38" t="str">
        <f>IFERROR(__xludf.DUMMYFUNCTION("TEXTJOIN("", "",TRUE,FILTER(D$1:I$1, D70:I70=""Absent""))"),"#N/A")</f>
        <v>#N/A</v>
      </c>
    </row>
    <row r="71">
      <c r="A71" s="29">
        <v>69.0</v>
      </c>
      <c r="B71" s="32" t="s">
        <v>402</v>
      </c>
      <c r="C71" s="32" t="s">
        <v>405</v>
      </c>
      <c r="D71" s="29" t="s">
        <v>93</v>
      </c>
      <c r="E71" s="31" t="s">
        <v>93</v>
      </c>
      <c r="F71" s="32">
        <v>29.0</v>
      </c>
      <c r="G71" s="34"/>
      <c r="H71" s="36"/>
      <c r="I71" s="36"/>
      <c r="J71" s="38" t="str">
        <f>IFERROR(__xludf.DUMMYFUNCTION("TEXTJOIN("", "",TRUE,FILTER(D$1:I$1, D71:I71=""Absent""))"),"#N/A")</f>
        <v>#N/A</v>
      </c>
    </row>
    <row r="72">
      <c r="A72" s="29">
        <v>70.0</v>
      </c>
      <c r="B72" s="32" t="s">
        <v>408</v>
      </c>
      <c r="C72" s="32" t="s">
        <v>409</v>
      </c>
      <c r="D72" s="29" t="s">
        <v>93</v>
      </c>
      <c r="E72" s="31" t="s">
        <v>63</v>
      </c>
      <c r="F72" s="32">
        <v>30.0</v>
      </c>
      <c r="G72" s="34"/>
      <c r="H72" s="36"/>
      <c r="I72" s="36"/>
      <c r="J72" s="38" t="str">
        <f>IFERROR(__xludf.DUMMYFUNCTION("TEXTJOIN("", "",TRUE,FILTER(D$1:I$1, D72:I72=""Absent""))"),"#N/A")</f>
        <v>#N/A</v>
      </c>
    </row>
    <row r="73">
      <c r="A73" s="29">
        <v>71.0</v>
      </c>
      <c r="B73" s="32" t="s">
        <v>413</v>
      </c>
      <c r="C73" s="32" t="s">
        <v>414</v>
      </c>
      <c r="D73" s="29" t="s">
        <v>85</v>
      </c>
      <c r="E73" s="31" t="s">
        <v>93</v>
      </c>
      <c r="F73" s="32">
        <v>25.0</v>
      </c>
      <c r="G73" s="34"/>
      <c r="H73" s="36"/>
      <c r="I73" s="36"/>
      <c r="J73" s="38" t="str">
        <f>IFERROR(__xludf.DUMMYFUNCTION("TEXTJOIN("", "",TRUE,FILTER(D$1:I$1, D73:I73=""Absent""))"),"#N/A")</f>
        <v>#N/A</v>
      </c>
    </row>
    <row r="74">
      <c r="A74" s="29">
        <v>72.0</v>
      </c>
      <c r="B74" s="32" t="s">
        <v>417</v>
      </c>
      <c r="C74" s="32" t="s">
        <v>418</v>
      </c>
      <c r="D74" s="29" t="s">
        <v>63</v>
      </c>
      <c r="E74" s="31" t="s">
        <v>107</v>
      </c>
      <c r="F74" s="32" t="s">
        <v>62</v>
      </c>
      <c r="G74" s="34"/>
      <c r="H74" s="36"/>
      <c r="I74" s="36"/>
      <c r="J74" s="38" t="str">
        <f>IFERROR(__xludf.DUMMYFUNCTION("TEXTJOIN("", "",TRUE,FILTER(D$1:I$1, D74:I74=""Absent""))"),"3")</f>
        <v>3</v>
      </c>
    </row>
    <row r="75">
      <c r="A75" s="29">
        <v>73.0</v>
      </c>
      <c r="B75" s="32" t="s">
        <v>421</v>
      </c>
      <c r="C75" s="32" t="s">
        <v>422</v>
      </c>
      <c r="D75" s="29" t="s">
        <v>63</v>
      </c>
      <c r="E75" s="31" t="s">
        <v>63</v>
      </c>
      <c r="F75" s="32">
        <v>24.0</v>
      </c>
      <c r="G75" s="34"/>
      <c r="H75" s="36"/>
      <c r="I75" s="36"/>
      <c r="J75" s="38" t="str">
        <f>IFERROR(__xludf.DUMMYFUNCTION("TEXTJOIN("", "",TRUE,FILTER(D$1:I$1, D75:I75=""Absent""))"),"#N/A")</f>
        <v>#N/A</v>
      </c>
    </row>
    <row r="76">
      <c r="A76" s="29">
        <v>74.0</v>
      </c>
      <c r="B76" s="32" t="s">
        <v>425</v>
      </c>
      <c r="C76" s="32" t="s">
        <v>426</v>
      </c>
      <c r="D76" s="29" t="s">
        <v>63</v>
      </c>
      <c r="E76" s="31" t="s">
        <v>89</v>
      </c>
      <c r="F76" s="32">
        <v>30.0</v>
      </c>
      <c r="G76" s="34"/>
      <c r="H76" s="36"/>
      <c r="I76" s="36"/>
      <c r="J76" s="38" t="str">
        <f>IFERROR(__xludf.DUMMYFUNCTION("TEXTJOIN("", "",TRUE,FILTER(D$1:I$1, D76:I76=""Absent""))"),"#N/A")</f>
        <v>#N/A</v>
      </c>
    </row>
    <row r="77">
      <c r="A77" s="29">
        <v>75.0</v>
      </c>
      <c r="B77" s="32" t="s">
        <v>433</v>
      </c>
      <c r="C77" s="32" t="s">
        <v>435</v>
      </c>
      <c r="D77" s="29" t="s">
        <v>62</v>
      </c>
      <c r="E77" s="31" t="s">
        <v>62</v>
      </c>
      <c r="F77" s="32">
        <v>30.0</v>
      </c>
      <c r="G77" s="34"/>
      <c r="H77" s="36"/>
      <c r="I77" s="36"/>
      <c r="J77" s="38" t="str">
        <f>IFERROR(__xludf.DUMMYFUNCTION("TEXTJOIN("", "",TRUE,FILTER(D$1:I$1, D77:I77=""Absent""))"),"1, 2")</f>
        <v>1, 2</v>
      </c>
    </row>
    <row r="78">
      <c r="A78" s="29">
        <v>76.0</v>
      </c>
      <c r="B78" s="32" t="s">
        <v>438</v>
      </c>
      <c r="C78" s="32" t="s">
        <v>440</v>
      </c>
      <c r="D78" s="29" t="s">
        <v>62</v>
      </c>
      <c r="E78" s="31" t="s">
        <v>93</v>
      </c>
      <c r="F78" s="32">
        <v>30.0</v>
      </c>
      <c r="G78" s="34"/>
      <c r="H78" s="36"/>
      <c r="I78" s="36"/>
      <c r="J78" s="38" t="str">
        <f>IFERROR(__xludf.DUMMYFUNCTION("TEXTJOIN("", "",TRUE,FILTER(D$1:I$1, D78:I78=""Absent""))"),"1")</f>
        <v>1</v>
      </c>
    </row>
    <row r="79">
      <c r="A79" s="29">
        <v>77.0</v>
      </c>
      <c r="B79" s="32" t="s">
        <v>444</v>
      </c>
      <c r="C79" s="32" t="s">
        <v>445</v>
      </c>
      <c r="D79" s="29" t="s">
        <v>89</v>
      </c>
      <c r="E79" s="31" t="s">
        <v>107</v>
      </c>
      <c r="F79" s="32">
        <v>29.0</v>
      </c>
      <c r="G79" s="34"/>
      <c r="H79" s="36"/>
      <c r="I79" s="36"/>
      <c r="J79" s="38" t="str">
        <f>IFERROR(__xludf.DUMMYFUNCTION("TEXTJOIN("", "",TRUE,FILTER(D$1:I$1, D79:I79=""Absent""))"),"#N/A")</f>
        <v>#N/A</v>
      </c>
    </row>
    <row r="80">
      <c r="A80" s="29">
        <v>78.0</v>
      </c>
      <c r="B80" s="32" t="s">
        <v>447</v>
      </c>
      <c r="C80" s="32" t="s">
        <v>449</v>
      </c>
      <c r="D80" s="29" t="s">
        <v>62</v>
      </c>
      <c r="E80" s="31" t="s">
        <v>62</v>
      </c>
      <c r="F80" s="32">
        <v>29.0</v>
      </c>
      <c r="G80" s="34"/>
      <c r="H80" s="36"/>
      <c r="I80" s="36"/>
      <c r="J80" s="38" t="str">
        <f>IFERROR(__xludf.DUMMYFUNCTION("TEXTJOIN("", "",TRUE,FILTER(D$1:I$1, D80:I80=""Absent""))"),"1, 2")</f>
        <v>1, 2</v>
      </c>
    </row>
    <row r="81">
      <c r="A81" s="29">
        <v>79.0</v>
      </c>
      <c r="B81" s="32" t="s">
        <v>452</v>
      </c>
      <c r="C81" s="32" t="s">
        <v>453</v>
      </c>
      <c r="D81" s="29" t="s">
        <v>62</v>
      </c>
      <c r="E81" s="31" t="s">
        <v>454</v>
      </c>
      <c r="F81" s="32" t="s">
        <v>62</v>
      </c>
      <c r="G81" s="34"/>
      <c r="H81" s="36"/>
      <c r="I81" s="36"/>
      <c r="J81" s="38" t="str">
        <f>IFERROR(__xludf.DUMMYFUNCTION("TEXTJOIN("", "",TRUE,FILTER(D$1:I$1, D81:I81=""Absent""))"),"1, 3")</f>
        <v>1, 3</v>
      </c>
    </row>
    <row r="82">
      <c r="A82" s="29">
        <v>80.0</v>
      </c>
      <c r="B82" s="32" t="s">
        <v>456</v>
      </c>
      <c r="C82" s="32" t="s">
        <v>458</v>
      </c>
      <c r="D82" s="29" t="s">
        <v>93</v>
      </c>
      <c r="E82" s="31" t="s">
        <v>93</v>
      </c>
      <c r="F82" s="32">
        <v>29.0</v>
      </c>
      <c r="G82" s="34"/>
      <c r="H82" s="36"/>
      <c r="I82" s="36"/>
      <c r="J82" s="38" t="str">
        <f>IFERROR(__xludf.DUMMYFUNCTION("TEXTJOIN("", "",TRUE,FILTER(D$1:I$1, D82:I82=""Absent""))"),"#N/A")</f>
        <v>#N/A</v>
      </c>
    </row>
    <row r="83">
      <c r="A83" s="29">
        <v>81.0</v>
      </c>
      <c r="B83" s="32" t="s">
        <v>462</v>
      </c>
      <c r="C83" s="32" t="s">
        <v>463</v>
      </c>
      <c r="D83" s="29" t="s">
        <v>63</v>
      </c>
      <c r="E83" s="31" t="s">
        <v>93</v>
      </c>
      <c r="F83" s="32" t="s">
        <v>62</v>
      </c>
      <c r="G83" s="34"/>
      <c r="H83" s="36"/>
      <c r="I83" s="36"/>
      <c r="J83" s="38" t="str">
        <f>IFERROR(__xludf.DUMMYFUNCTION("TEXTJOIN("", "",TRUE,FILTER(D$1:I$1, D83:I83=""Absent""))"),"3")</f>
        <v>3</v>
      </c>
    </row>
    <row r="84">
      <c r="A84" s="29">
        <v>82.0</v>
      </c>
      <c r="B84" s="32" t="s">
        <v>466</v>
      </c>
      <c r="C84" s="32" t="s">
        <v>467</v>
      </c>
      <c r="D84" s="29" t="s">
        <v>100</v>
      </c>
      <c r="E84" s="31" t="s">
        <v>90</v>
      </c>
      <c r="F84" s="32">
        <v>26.0</v>
      </c>
      <c r="G84" s="34"/>
      <c r="H84" s="36"/>
      <c r="I84" s="36"/>
      <c r="J84" s="38" t="str">
        <f>IFERROR(__xludf.DUMMYFUNCTION("TEXTJOIN("", "",TRUE,FILTER(D$1:I$1, D84:I84=""Absent""))"),"#N/A")</f>
        <v>#N/A</v>
      </c>
    </row>
    <row r="85">
      <c r="A85" s="29">
        <v>83.0</v>
      </c>
      <c r="B85" s="32" t="s">
        <v>471</v>
      </c>
      <c r="C85" s="32" t="s">
        <v>472</v>
      </c>
      <c r="D85" s="29" t="s">
        <v>62</v>
      </c>
      <c r="E85" s="31" t="s">
        <v>62</v>
      </c>
      <c r="F85" s="32" t="s">
        <v>62</v>
      </c>
      <c r="G85" s="34"/>
      <c r="H85" s="36"/>
      <c r="I85" s="36"/>
      <c r="J85" s="38" t="str">
        <f>IFERROR(__xludf.DUMMYFUNCTION("TEXTJOIN("", "",TRUE,FILTER(D$1:I$1, D85:I85=""Absent""))"),"1, 2, 3")</f>
        <v>1, 2, 3</v>
      </c>
    </row>
    <row r="86">
      <c r="A86" s="29">
        <v>84.0</v>
      </c>
      <c r="B86" s="32" t="s">
        <v>475</v>
      </c>
      <c r="C86" s="32" t="s">
        <v>477</v>
      </c>
      <c r="D86" s="29" t="s">
        <v>100</v>
      </c>
      <c r="E86" s="31" t="s">
        <v>130</v>
      </c>
      <c r="F86" s="32">
        <v>22.0</v>
      </c>
      <c r="G86" s="34"/>
      <c r="H86" s="36"/>
      <c r="I86" s="36"/>
      <c r="J86" s="38" t="str">
        <f>IFERROR(__xludf.DUMMYFUNCTION("TEXTJOIN("", "",TRUE,FILTER(D$1:I$1, D86:I86=""Absent""))"),"#N/A")</f>
        <v>#N/A</v>
      </c>
    </row>
    <row r="87">
      <c r="A87" s="29">
        <v>85.0</v>
      </c>
      <c r="B87" s="32" t="s">
        <v>480</v>
      </c>
      <c r="C87" s="32" t="s">
        <v>481</v>
      </c>
      <c r="D87" s="29" t="s">
        <v>74</v>
      </c>
      <c r="E87" s="31" t="s">
        <v>93</v>
      </c>
      <c r="F87" s="32">
        <v>30.0</v>
      </c>
      <c r="G87" s="34"/>
      <c r="H87" s="36"/>
      <c r="I87" s="36"/>
      <c r="J87" s="38" t="str">
        <f>IFERROR(__xludf.DUMMYFUNCTION("TEXTJOIN("", "",TRUE,FILTER(D$1:I$1, D87:I87=""Absent""))"),"#N/A")</f>
        <v>#N/A</v>
      </c>
    </row>
    <row r="88">
      <c r="A88" s="29">
        <v>86.0</v>
      </c>
      <c r="B88" s="32" t="s">
        <v>486</v>
      </c>
      <c r="C88" s="32" t="s">
        <v>487</v>
      </c>
      <c r="D88" s="29" t="s">
        <v>89</v>
      </c>
      <c r="E88" s="31" t="s">
        <v>85</v>
      </c>
      <c r="F88" s="32">
        <v>26.0</v>
      </c>
      <c r="G88" s="34"/>
      <c r="H88" s="36"/>
      <c r="I88" s="36"/>
      <c r="J88" s="38" t="str">
        <f>IFERROR(__xludf.DUMMYFUNCTION("TEXTJOIN("", "",TRUE,FILTER(D$1:I$1, D88:I88=""Absent""))"),"#N/A")</f>
        <v>#N/A</v>
      </c>
    </row>
    <row r="89">
      <c r="A89" s="29">
        <v>87.0</v>
      </c>
      <c r="B89" s="62" t="s">
        <v>489</v>
      </c>
      <c r="C89" s="32" t="s">
        <v>491</v>
      </c>
      <c r="D89" s="29" t="s">
        <v>107</v>
      </c>
      <c r="E89" s="31" t="s">
        <v>63</v>
      </c>
      <c r="F89" s="32">
        <v>26.0</v>
      </c>
      <c r="G89" s="34"/>
      <c r="H89" s="36"/>
      <c r="I89" s="36"/>
      <c r="J89" s="38" t="str">
        <f>IFERROR(__xludf.DUMMYFUNCTION("TEXTJOIN("", "",TRUE,FILTER(D$1:I$1, D89:I89=""Absent""))"),"#N/A")</f>
        <v>#N/A</v>
      </c>
    </row>
    <row r="90">
      <c r="A90" s="29">
        <v>88.0</v>
      </c>
      <c r="B90" s="32" t="s">
        <v>495</v>
      </c>
      <c r="C90" s="32" t="s">
        <v>496</v>
      </c>
      <c r="D90" s="29" t="s">
        <v>62</v>
      </c>
      <c r="E90" s="31" t="s">
        <v>89</v>
      </c>
      <c r="F90" s="32">
        <v>27.0</v>
      </c>
      <c r="G90" s="34"/>
      <c r="H90" s="36"/>
      <c r="I90" s="36"/>
      <c r="J90" s="38" t="str">
        <f>IFERROR(__xludf.DUMMYFUNCTION("TEXTJOIN("", "",TRUE,FILTER(D$1:I$1, D90:I90=""Absent""))"),"1")</f>
        <v>1</v>
      </c>
    </row>
    <row r="91">
      <c r="A91" s="29">
        <v>89.0</v>
      </c>
      <c r="B91" s="32" t="s">
        <v>499</v>
      </c>
      <c r="C91" s="32" t="s">
        <v>500</v>
      </c>
      <c r="D91" s="29" t="s">
        <v>93</v>
      </c>
      <c r="E91" s="31" t="s">
        <v>93</v>
      </c>
      <c r="F91" s="32" t="s">
        <v>62</v>
      </c>
      <c r="G91" s="34"/>
      <c r="H91" s="36"/>
      <c r="I91" s="36"/>
      <c r="J91" s="38" t="str">
        <f>IFERROR(__xludf.DUMMYFUNCTION("TEXTJOIN("", "",TRUE,FILTER(D$1:I$1, D91:I91=""Absent""))"),"3")</f>
        <v>3</v>
      </c>
    </row>
    <row r="92">
      <c r="A92" s="29">
        <v>90.0</v>
      </c>
      <c r="B92" s="32" t="s">
        <v>504</v>
      </c>
      <c r="C92" s="32" t="s">
        <v>505</v>
      </c>
      <c r="D92" s="29" t="s">
        <v>100</v>
      </c>
      <c r="E92" s="31" t="s">
        <v>85</v>
      </c>
      <c r="F92" s="32" t="s">
        <v>62</v>
      </c>
      <c r="G92" s="34"/>
      <c r="H92" s="36"/>
      <c r="I92" s="36"/>
      <c r="J92" s="38" t="str">
        <f>IFERROR(__xludf.DUMMYFUNCTION("TEXTJOIN("", "",TRUE,FILTER(D$1:I$1, D92:I92=""Absent""))"),"3")</f>
        <v>3</v>
      </c>
    </row>
    <row r="93">
      <c r="A93" s="29">
        <v>91.0</v>
      </c>
      <c r="B93" s="32" t="s">
        <v>508</v>
      </c>
      <c r="C93" s="32" t="s">
        <v>509</v>
      </c>
      <c r="D93" s="29" t="s">
        <v>62</v>
      </c>
      <c r="E93" s="31" t="s">
        <v>62</v>
      </c>
      <c r="F93" s="32" t="s">
        <v>62</v>
      </c>
      <c r="G93" s="34"/>
      <c r="H93" s="36"/>
      <c r="I93" s="36"/>
      <c r="J93" s="38" t="str">
        <f>IFERROR(__xludf.DUMMYFUNCTION("TEXTJOIN("", "",TRUE,FILTER(D$1:I$1, D93:I93=""Absent""))"),"1, 2, 3")</f>
        <v>1, 2, 3</v>
      </c>
    </row>
    <row r="94">
      <c r="A94" s="29">
        <v>92.0</v>
      </c>
      <c r="B94" s="32" t="s">
        <v>512</v>
      </c>
      <c r="C94" s="32" t="s">
        <v>513</v>
      </c>
      <c r="D94" s="29" t="s">
        <v>74</v>
      </c>
      <c r="E94" s="31" t="s">
        <v>107</v>
      </c>
      <c r="F94" s="32">
        <v>27.0</v>
      </c>
      <c r="G94" s="34"/>
      <c r="H94" s="36"/>
      <c r="I94" s="36"/>
      <c r="J94" s="38" t="str">
        <f>IFERROR(__xludf.DUMMYFUNCTION("TEXTJOIN("", "",TRUE,FILTER(D$1:I$1, D94:I94=""Absent""))"),"#N/A")</f>
        <v>#N/A</v>
      </c>
    </row>
    <row r="95">
      <c r="A95" s="29">
        <v>93.0</v>
      </c>
      <c r="B95" s="32" t="s">
        <v>516</v>
      </c>
      <c r="C95" s="32" t="s">
        <v>517</v>
      </c>
      <c r="D95" s="29" t="s">
        <v>62</v>
      </c>
      <c r="E95" s="31" t="s">
        <v>62</v>
      </c>
      <c r="F95" s="32" t="s">
        <v>62</v>
      </c>
      <c r="G95" s="34"/>
      <c r="H95" s="36"/>
      <c r="I95" s="36"/>
      <c r="J95" s="38" t="str">
        <f>IFERROR(__xludf.DUMMYFUNCTION("TEXTJOIN("", "",TRUE,FILTER(D$1:I$1, D95:I95=""Absent""))"),"1, 2, 3")</f>
        <v>1, 2, 3</v>
      </c>
    </row>
    <row r="96">
      <c r="A96" s="29">
        <v>94.0</v>
      </c>
      <c r="B96" s="32" t="s">
        <v>519</v>
      </c>
      <c r="C96" s="32" t="s">
        <v>520</v>
      </c>
      <c r="D96" s="29" t="s">
        <v>85</v>
      </c>
      <c r="E96" s="31" t="s">
        <v>89</v>
      </c>
      <c r="F96" s="32">
        <v>25.0</v>
      </c>
      <c r="G96" s="34"/>
      <c r="H96" s="36"/>
      <c r="I96" s="36"/>
      <c r="J96" s="38" t="str">
        <f>IFERROR(__xludf.DUMMYFUNCTION("TEXTJOIN("", "",TRUE,FILTER(D$1:I$1, D96:I96=""Absent""))"),"#N/A")</f>
        <v>#N/A</v>
      </c>
    </row>
    <row r="97">
      <c r="A97" s="29">
        <v>95.0</v>
      </c>
      <c r="B97" s="32" t="s">
        <v>523</v>
      </c>
      <c r="C97" s="32" t="s">
        <v>524</v>
      </c>
      <c r="D97" s="29" t="s">
        <v>89</v>
      </c>
      <c r="E97" s="31" t="s">
        <v>90</v>
      </c>
      <c r="F97" s="32">
        <v>29.0</v>
      </c>
      <c r="G97" s="34"/>
      <c r="H97" s="36"/>
      <c r="I97" s="36"/>
      <c r="J97" s="38" t="str">
        <f>IFERROR(__xludf.DUMMYFUNCTION("TEXTJOIN("", "",TRUE,FILTER(D$1:I$1, D97:I97=""Absent""))"),"#N/A")</f>
        <v>#N/A</v>
      </c>
    </row>
    <row r="98">
      <c r="A98" s="29">
        <v>96.0</v>
      </c>
      <c r="B98" s="32" t="s">
        <v>527</v>
      </c>
      <c r="C98" s="32" t="s">
        <v>528</v>
      </c>
      <c r="D98" s="29" t="s">
        <v>74</v>
      </c>
      <c r="E98" s="31" t="s">
        <v>93</v>
      </c>
      <c r="F98" s="32">
        <v>27.0</v>
      </c>
      <c r="G98" s="34"/>
      <c r="H98" s="36"/>
      <c r="I98" s="36"/>
      <c r="J98" s="38" t="str">
        <f>IFERROR(__xludf.DUMMYFUNCTION("TEXTJOIN("", "",TRUE,FILTER(D$1:I$1, D98:I98=""Absent""))"),"#N/A")</f>
        <v>#N/A</v>
      </c>
    </row>
    <row r="99">
      <c r="A99" s="29">
        <v>97.0</v>
      </c>
      <c r="B99" s="32" t="s">
        <v>531</v>
      </c>
      <c r="C99" s="32" t="s">
        <v>533</v>
      </c>
      <c r="D99" s="29" t="s">
        <v>89</v>
      </c>
      <c r="E99" s="31" t="s">
        <v>85</v>
      </c>
      <c r="F99" s="32">
        <v>24.0</v>
      </c>
      <c r="G99" s="34"/>
      <c r="H99" s="36"/>
      <c r="I99" s="36"/>
      <c r="J99" s="38" t="str">
        <f>IFERROR(__xludf.DUMMYFUNCTION("TEXTJOIN("", "",TRUE,FILTER(D$1:I$1, D99:I99=""Absent""))"),"#N/A")</f>
        <v>#N/A</v>
      </c>
    </row>
    <row r="100">
      <c r="A100" s="29">
        <v>98.0</v>
      </c>
      <c r="B100" s="32" t="s">
        <v>536</v>
      </c>
      <c r="C100" s="32" t="s">
        <v>538</v>
      </c>
      <c r="D100" s="29" t="s">
        <v>62</v>
      </c>
      <c r="E100" s="31" t="s">
        <v>93</v>
      </c>
      <c r="F100" s="32">
        <v>29.0</v>
      </c>
      <c r="G100" s="34"/>
      <c r="H100" s="36"/>
      <c r="I100" s="36"/>
      <c r="J100" s="38" t="str">
        <f>IFERROR(__xludf.DUMMYFUNCTION("TEXTJOIN("", "",TRUE,FILTER(D$1:I$1, D100:I100=""Absent""))"),"1")</f>
        <v>1</v>
      </c>
    </row>
    <row r="101">
      <c r="A101" s="29">
        <v>99.0</v>
      </c>
      <c r="B101" s="32" t="s">
        <v>541</v>
      </c>
      <c r="C101" s="32" t="s">
        <v>542</v>
      </c>
      <c r="D101" s="29" t="s">
        <v>62</v>
      </c>
      <c r="E101" s="31" t="s">
        <v>63</v>
      </c>
      <c r="F101" s="32">
        <v>29.0</v>
      </c>
      <c r="G101" s="34"/>
      <c r="H101" s="36"/>
      <c r="I101" s="36"/>
      <c r="J101" s="38" t="str">
        <f>IFERROR(__xludf.DUMMYFUNCTION("TEXTJOIN("", "",TRUE,FILTER(D$1:I$1, D101:I101=""Absent""))"),"1")</f>
        <v>1</v>
      </c>
    </row>
    <row r="102">
      <c r="A102" s="29">
        <v>100.0</v>
      </c>
      <c r="B102" s="32" t="s">
        <v>544</v>
      </c>
      <c r="C102" s="32" t="s">
        <v>545</v>
      </c>
      <c r="D102" s="29" t="s">
        <v>89</v>
      </c>
      <c r="E102" s="31" t="s">
        <v>90</v>
      </c>
      <c r="F102" s="32">
        <v>28.0</v>
      </c>
      <c r="G102" s="34"/>
      <c r="H102" s="36"/>
      <c r="I102" s="36"/>
      <c r="J102" s="38" t="str">
        <f>IFERROR(__xludf.DUMMYFUNCTION("TEXTJOIN("", "",TRUE,FILTER(D$1:I$1, D102:I102=""Absent""))"),"#N/A")</f>
        <v>#N/A</v>
      </c>
    </row>
    <row r="103">
      <c r="A103" s="29">
        <v>101.0</v>
      </c>
      <c r="B103" s="32" t="s">
        <v>550</v>
      </c>
      <c r="C103" s="32" t="s">
        <v>551</v>
      </c>
      <c r="D103" s="63" t="s">
        <v>62</v>
      </c>
      <c r="E103" s="64" t="s">
        <v>62</v>
      </c>
      <c r="F103" s="65" t="s">
        <v>62</v>
      </c>
      <c r="G103" s="34"/>
      <c r="H103" s="36"/>
      <c r="I103" s="36"/>
      <c r="J103" s="38" t="str">
        <f>IFERROR(__xludf.DUMMYFUNCTION("TEXTJOIN("", "",TRUE,FILTER(D$1:I$1, D103:I103=""Absent""))"),"1, 2, 3")</f>
        <v>1, 2, 3</v>
      </c>
    </row>
    <row r="104">
      <c r="A104" s="66">
        <v>102.0</v>
      </c>
      <c r="B104" s="32" t="s">
        <v>557</v>
      </c>
      <c r="C104" s="32" t="s">
        <v>558</v>
      </c>
      <c r="D104" s="29" t="s">
        <v>63</v>
      </c>
      <c r="E104" s="31" t="s">
        <v>63</v>
      </c>
      <c r="F104" s="32">
        <v>30.0</v>
      </c>
      <c r="G104" s="34"/>
      <c r="H104" s="36"/>
      <c r="I104" s="36"/>
      <c r="J104" s="38" t="str">
        <f>IFERROR(__xludf.DUMMYFUNCTION("TEXTJOIN("", "",TRUE,FILTER(D$1:I$1, D104:I104=""Absent""))"),"#N/A")</f>
        <v>#N/A</v>
      </c>
    </row>
    <row r="110">
      <c r="C110" s="67" t="str">
        <f>IFERROR(__xludf.DUMMYFUNCTION("FILTER((B3:J104),(D3:D104=""Absent"")+(E3:E104=""Absent""))"),"Harshit")</f>
        <v>Harshit</v>
      </c>
      <c r="D110" s="67" t="str">
        <f>IFERROR(__xludf.DUMMYFUNCTION("""COMPUTED_VALUE"""),"25EACCS119")</f>
        <v>25EACCS119</v>
      </c>
      <c r="E110" s="67" t="str">
        <f>IFERROR(__xludf.DUMMYFUNCTION("""COMPUTED_VALUE"""),"Absent")</f>
        <v>Absent</v>
      </c>
      <c r="F110" s="67" t="str">
        <f>IFERROR(__xludf.DUMMYFUNCTION("""COMPUTED_VALUE"""),"29 / 30")</f>
        <v>29 / 30</v>
      </c>
      <c r="G110" s="67">
        <f>IFERROR(__xludf.DUMMYFUNCTION("""COMPUTED_VALUE"""),27.0)</f>
        <v>27</v>
      </c>
      <c r="H110" s="67"/>
      <c r="I110" s="67"/>
      <c r="J110" s="67"/>
      <c r="K110" s="67" t="str">
        <f>IFERROR(__xludf.DUMMYFUNCTION("""COMPUTED_VALUE"""),"1")</f>
        <v>1</v>
      </c>
    </row>
    <row r="111">
      <c r="C111" s="67" t="str">
        <f>IFERROR(__xludf.DUMMYFUNCTION("""COMPUTED_VALUE"""),"Karan Singh")</f>
        <v>Karan Singh</v>
      </c>
      <c r="D111" s="67" t="str">
        <f>IFERROR(__xludf.DUMMYFUNCTION("""COMPUTED_VALUE"""),"25EACIT012")</f>
        <v>25EACIT012</v>
      </c>
      <c r="E111" s="67" t="str">
        <f>IFERROR(__xludf.DUMMYFUNCTION("""COMPUTED_VALUE"""),"Absent")</f>
        <v>Absent</v>
      </c>
      <c r="F111" s="67" t="str">
        <f>IFERROR(__xludf.DUMMYFUNCTION("""COMPUTED_VALUE"""),"30 / 30")</f>
        <v>30 / 30</v>
      </c>
      <c r="G111" s="67">
        <f>IFERROR(__xludf.DUMMYFUNCTION("""COMPUTED_VALUE"""),29.0)</f>
        <v>29</v>
      </c>
      <c r="H111" s="67"/>
      <c r="I111" s="67"/>
      <c r="J111" s="67"/>
      <c r="K111" s="67" t="str">
        <f>IFERROR(__xludf.DUMMYFUNCTION("""COMPUTED_VALUE"""),"1")</f>
        <v>1</v>
      </c>
    </row>
    <row r="112">
      <c r="C112" s="67" t="str">
        <f>IFERROR(__xludf.DUMMYFUNCTION("""COMPUTED_VALUE"""),"Chanchal kumawat")</f>
        <v>Chanchal kumawat</v>
      </c>
      <c r="D112" s="67" t="str">
        <f>IFERROR(__xludf.DUMMYFUNCTION("""COMPUTED_VALUE"""),"25EACCS077")</f>
        <v>25EACCS077</v>
      </c>
      <c r="E112" s="67" t="str">
        <f>IFERROR(__xludf.DUMMYFUNCTION("""COMPUTED_VALUE"""),"Absent")</f>
        <v>Absent</v>
      </c>
      <c r="F112" s="67" t="str">
        <f>IFERROR(__xludf.DUMMYFUNCTION("""COMPUTED_VALUE"""),"30 / 30")</f>
        <v>30 / 30</v>
      </c>
      <c r="G112" s="67">
        <f>IFERROR(__xludf.DUMMYFUNCTION("""COMPUTED_VALUE"""),29.0)</f>
        <v>29</v>
      </c>
      <c r="H112" s="67"/>
      <c r="I112" s="67"/>
      <c r="J112" s="67"/>
      <c r="K112" s="67" t="str">
        <f>IFERROR(__xludf.DUMMYFUNCTION("""COMPUTED_VALUE"""),"1")</f>
        <v>1</v>
      </c>
    </row>
    <row r="113">
      <c r="C113" s="67" t="str">
        <f>IFERROR(__xludf.DUMMYFUNCTION("""COMPUTED_VALUE"""),"Shailesh dadhich")</f>
        <v>Shailesh dadhich</v>
      </c>
      <c r="D113" s="67" t="str">
        <f>IFERROR(__xludf.DUMMYFUNCTION("""COMPUTED_VALUE"""),"25EACCS282")</f>
        <v>25EACCS282</v>
      </c>
      <c r="E113" s="67" t="str">
        <f>IFERROR(__xludf.DUMMYFUNCTION("""COMPUTED_VALUE"""),"Absent")</f>
        <v>Absent</v>
      </c>
      <c r="F113" s="67" t="str">
        <f>IFERROR(__xludf.DUMMYFUNCTION("""COMPUTED_VALUE"""),"27 / 30")</f>
        <v>27 / 30</v>
      </c>
      <c r="G113" s="67">
        <f>IFERROR(__xludf.DUMMYFUNCTION("""COMPUTED_VALUE"""),28.0)</f>
        <v>28</v>
      </c>
      <c r="H113" s="67"/>
      <c r="I113" s="67"/>
      <c r="J113" s="67"/>
      <c r="K113" s="67" t="str">
        <f>IFERROR(__xludf.DUMMYFUNCTION("""COMPUTED_VALUE"""),"1")</f>
        <v>1</v>
      </c>
    </row>
    <row r="114">
      <c r="C114" s="67" t="str">
        <f>IFERROR(__xludf.DUMMYFUNCTION("""COMPUTED_VALUE"""),"Akshara Sharma")</f>
        <v>Akshara Sharma</v>
      </c>
      <c r="D114" s="67" t="str">
        <f>IFERROR(__xludf.DUMMYFUNCTION("""COMPUTED_VALUE"""),"25EACCS029")</f>
        <v>25EACCS029</v>
      </c>
      <c r="E114" s="67" t="str">
        <f>IFERROR(__xludf.DUMMYFUNCTION("""COMPUTED_VALUE"""),"Absent")</f>
        <v>Absent</v>
      </c>
      <c r="F114" s="67" t="str">
        <f>IFERROR(__xludf.DUMMYFUNCTION("""COMPUTED_VALUE"""),"24 / 30")</f>
        <v>24 / 30</v>
      </c>
      <c r="G114" s="67" t="str">
        <f>IFERROR(__xludf.DUMMYFUNCTION("""COMPUTED_VALUE"""),"Absent")</f>
        <v>Absent</v>
      </c>
      <c r="H114" s="67"/>
      <c r="I114" s="67"/>
      <c r="J114" s="67"/>
      <c r="K114" s="67" t="str">
        <f>IFERROR(__xludf.DUMMYFUNCTION("""COMPUTED_VALUE"""),"1, 3")</f>
        <v>1, 3</v>
      </c>
    </row>
    <row r="115">
      <c r="C115" s="67" t="str">
        <f>IFERROR(__xludf.DUMMYFUNCTION("""COMPUTED_VALUE"""),"Sweta kumari")</f>
        <v>Sweta kumari</v>
      </c>
      <c r="D115" s="67" t="str">
        <f>IFERROR(__xludf.DUMMYFUNCTION("""COMPUTED_VALUE"""),"25EACCS317")</f>
        <v>25EACCS317</v>
      </c>
      <c r="E115" s="67" t="str">
        <f>IFERROR(__xludf.DUMMYFUNCTION("""COMPUTED_VALUE"""),"26 / 30")</f>
        <v>26 / 30</v>
      </c>
      <c r="F115" s="67" t="str">
        <f>IFERROR(__xludf.DUMMYFUNCTION("""COMPUTED_VALUE"""),"Absent")</f>
        <v>Absent</v>
      </c>
      <c r="G115" s="67">
        <f>IFERROR(__xludf.DUMMYFUNCTION("""COMPUTED_VALUE"""),24.0)</f>
        <v>24</v>
      </c>
      <c r="H115" s="67"/>
      <c r="I115" s="67"/>
      <c r="J115" s="67"/>
      <c r="K115" s="67" t="str">
        <f>IFERROR(__xludf.DUMMYFUNCTION("""COMPUTED_VALUE"""),"2")</f>
        <v>2</v>
      </c>
    </row>
    <row r="116">
      <c r="C116" s="67" t="str">
        <f>IFERROR(__xludf.DUMMYFUNCTION("""COMPUTED_VALUE"""),"Diti Kawdia")</f>
        <v>Diti Kawdia</v>
      </c>
      <c r="D116" s="67" t="str">
        <f>IFERROR(__xludf.DUMMYFUNCTION("""COMPUTED_VALUE"""),"25EACCS099")</f>
        <v>25EACCS099</v>
      </c>
      <c r="E116" s="67" t="str">
        <f>IFERROR(__xludf.DUMMYFUNCTION("""COMPUTED_VALUE"""),"Absent")</f>
        <v>Absent</v>
      </c>
      <c r="F116" s="67" t="str">
        <f>IFERROR(__xludf.DUMMYFUNCTION("""COMPUTED_VALUE"""),"Absent")</f>
        <v>Absent</v>
      </c>
      <c r="G116" s="67">
        <f>IFERROR(__xludf.DUMMYFUNCTION("""COMPUTED_VALUE"""),26.0)</f>
        <v>26</v>
      </c>
      <c r="H116" s="67"/>
      <c r="I116" s="67"/>
      <c r="J116" s="67"/>
      <c r="K116" s="67" t="str">
        <f>IFERROR(__xludf.DUMMYFUNCTION("""COMPUTED_VALUE"""),"1, 2")</f>
        <v>1, 2</v>
      </c>
    </row>
    <row r="117">
      <c r="C117" s="67" t="str">
        <f>IFERROR(__xludf.DUMMYFUNCTION("""COMPUTED_VALUE"""),"Harshit")</f>
        <v>Harshit</v>
      </c>
      <c r="D117" s="67" t="str">
        <f>IFERROR(__xludf.DUMMYFUNCTION("""COMPUTED_VALUE"""),"25EACCS118")</f>
        <v>25EACCS118</v>
      </c>
      <c r="E117" s="67" t="str">
        <f>IFERROR(__xludf.DUMMYFUNCTION("""COMPUTED_VALUE"""),"Absent")</f>
        <v>Absent</v>
      </c>
      <c r="F117" s="67" t="str">
        <f>IFERROR(__xludf.DUMMYFUNCTION("""COMPUTED_VALUE"""),"28 / 30")</f>
        <v>28 / 30</v>
      </c>
      <c r="G117" s="67">
        <f>IFERROR(__xludf.DUMMYFUNCTION("""COMPUTED_VALUE"""),25.0)</f>
        <v>25</v>
      </c>
      <c r="H117" s="67"/>
      <c r="I117" s="67"/>
      <c r="J117" s="67"/>
      <c r="K117" s="67" t="str">
        <f>IFERROR(__xludf.DUMMYFUNCTION("""COMPUTED_VALUE"""),"1")</f>
        <v>1</v>
      </c>
    </row>
    <row r="118">
      <c r="C118" s="67" t="str">
        <f>IFERROR(__xludf.DUMMYFUNCTION("""COMPUTED_VALUE"""),"Ankit kumar")</f>
        <v>Ankit kumar</v>
      </c>
      <c r="D118" s="67" t="str">
        <f>IFERROR(__xludf.DUMMYFUNCTION("""COMPUTED_VALUE"""),"25EACCS043")</f>
        <v>25EACCS043</v>
      </c>
      <c r="E118" s="67" t="str">
        <f>IFERROR(__xludf.DUMMYFUNCTION("""COMPUTED_VALUE"""),"Absent")</f>
        <v>Absent</v>
      </c>
      <c r="F118" s="67" t="str">
        <f>IFERROR(__xludf.DUMMYFUNCTION("""COMPUTED_VALUE"""),"29 / 30")</f>
        <v>29 / 30</v>
      </c>
      <c r="G118" s="67">
        <f>IFERROR(__xludf.DUMMYFUNCTION("""COMPUTED_VALUE"""),24.0)</f>
        <v>24</v>
      </c>
      <c r="H118" s="67"/>
      <c r="I118" s="67"/>
      <c r="J118" s="67"/>
      <c r="K118" s="67" t="str">
        <f>IFERROR(__xludf.DUMMYFUNCTION("""COMPUTED_VALUE"""),"1")</f>
        <v>1</v>
      </c>
    </row>
    <row r="119">
      <c r="C119" s="67" t="str">
        <f>IFERROR(__xludf.DUMMYFUNCTION("""COMPUTED_VALUE"""),"Deepanshu")</f>
        <v>Deepanshu</v>
      </c>
      <c r="D119" s="67" t="str">
        <f>IFERROR(__xludf.DUMMYFUNCTION("""COMPUTED_VALUE"""),"25EACCS086")</f>
        <v>25EACCS086</v>
      </c>
      <c r="E119" s="67" t="str">
        <f>IFERROR(__xludf.DUMMYFUNCTION("""COMPUTED_VALUE"""),"Absent")</f>
        <v>Absent</v>
      </c>
      <c r="F119" s="67" t="str">
        <f>IFERROR(__xludf.DUMMYFUNCTION("""COMPUTED_VALUE"""),"29 / 30")</f>
        <v>29 / 30</v>
      </c>
      <c r="G119" s="67">
        <f>IFERROR(__xludf.DUMMYFUNCTION("""COMPUTED_VALUE"""),29.0)</f>
        <v>29</v>
      </c>
      <c r="H119" s="67"/>
      <c r="I119" s="67"/>
      <c r="J119" s="67"/>
      <c r="K119" s="67" t="str">
        <f>IFERROR(__xludf.DUMMYFUNCTION("""COMPUTED_VALUE"""),"1")</f>
        <v>1</v>
      </c>
    </row>
    <row r="120">
      <c r="C120" s="67" t="str">
        <f>IFERROR(__xludf.DUMMYFUNCTION("""COMPUTED_VALUE"""),"Hanshika jangid")</f>
        <v>Hanshika jangid</v>
      </c>
      <c r="D120" s="67" t="str">
        <f>IFERROR(__xludf.DUMMYFUNCTION("""COMPUTED_VALUE"""),"25EACCS112")</f>
        <v>25EACCS112</v>
      </c>
      <c r="E120" s="67" t="str">
        <f>IFERROR(__xludf.DUMMYFUNCTION("""COMPUTED_VALUE"""),"Absent")</f>
        <v>Absent</v>
      </c>
      <c r="F120" s="67" t="str">
        <f>IFERROR(__xludf.DUMMYFUNCTION("""COMPUTED_VALUE"""),"26 / 30")</f>
        <v>26 / 30</v>
      </c>
      <c r="G120" s="67">
        <f>IFERROR(__xludf.DUMMYFUNCTION("""COMPUTED_VALUE"""),28.0)</f>
        <v>28</v>
      </c>
      <c r="H120" s="67"/>
      <c r="I120" s="67"/>
      <c r="J120" s="67"/>
      <c r="K120" s="67" t="str">
        <f>IFERROR(__xludf.DUMMYFUNCTION("""COMPUTED_VALUE"""),"1")</f>
        <v>1</v>
      </c>
    </row>
    <row r="121">
      <c r="C121" s="67" t="str">
        <f>IFERROR(__xludf.DUMMYFUNCTION("""COMPUTED_VALUE"""),"Himanshu kumar")</f>
        <v>Himanshu kumar</v>
      </c>
      <c r="D121" s="67" t="str">
        <f>IFERROR(__xludf.DUMMYFUNCTION("""COMPUTED_VALUE"""),"25EACCS130")</f>
        <v>25EACCS130</v>
      </c>
      <c r="E121" s="67" t="str">
        <f>IFERROR(__xludf.DUMMYFUNCTION("""COMPUTED_VALUE"""),"Absent")</f>
        <v>Absent</v>
      </c>
      <c r="F121" s="67" t="str">
        <f>IFERROR(__xludf.DUMMYFUNCTION("""COMPUTED_VALUE"""),"Absent")</f>
        <v>Absent</v>
      </c>
      <c r="G121" s="67" t="str">
        <f>IFERROR(__xludf.DUMMYFUNCTION("""COMPUTED_VALUE"""),"Absent")</f>
        <v>Absent</v>
      </c>
      <c r="H121" s="67"/>
      <c r="I121" s="67"/>
      <c r="J121" s="67"/>
      <c r="K121" s="67" t="str">
        <f>IFERROR(__xludf.DUMMYFUNCTION("""COMPUTED_VALUE"""),"1, 2, 3")</f>
        <v>1, 2, 3</v>
      </c>
    </row>
    <row r="122">
      <c r="C122" s="67" t="str">
        <f>IFERROR(__xludf.DUMMYFUNCTION("""COMPUTED_VALUE"""),"Anirudh singh")</f>
        <v>Anirudh singh</v>
      </c>
      <c r="D122" s="67" t="str">
        <f>IFERROR(__xludf.DUMMYFUNCTION("""COMPUTED_VALUE"""),"25EACCS040")</f>
        <v>25EACCS040</v>
      </c>
      <c r="E122" s="67" t="str">
        <f>IFERROR(__xludf.DUMMYFUNCTION("""COMPUTED_VALUE"""),"24 / 30")</f>
        <v>24 / 30</v>
      </c>
      <c r="F122" s="67" t="str">
        <f>IFERROR(__xludf.DUMMYFUNCTION("""COMPUTED_VALUE"""),"Absent")</f>
        <v>Absent</v>
      </c>
      <c r="G122" s="67" t="str">
        <f>IFERROR(__xludf.DUMMYFUNCTION("""COMPUTED_VALUE"""),"Absent")</f>
        <v>Absent</v>
      </c>
      <c r="H122" s="67"/>
      <c r="I122" s="67"/>
      <c r="J122" s="67"/>
      <c r="K122" s="67" t="str">
        <f>IFERROR(__xludf.DUMMYFUNCTION("""COMPUTED_VALUE"""),"2, 3")</f>
        <v>2, 3</v>
      </c>
    </row>
    <row r="123">
      <c r="C123" s="67" t="str">
        <f>IFERROR(__xludf.DUMMYFUNCTION("""COMPUTED_VALUE"""),"deepak Jangid")</f>
        <v>deepak Jangid</v>
      </c>
      <c r="D123" s="67" t="str">
        <f>IFERROR(__xludf.DUMMYFUNCTION("""COMPUTED_VALUE"""),"25EACCS083")</f>
        <v>25EACCS083</v>
      </c>
      <c r="E123" s="67" t="str">
        <f>IFERROR(__xludf.DUMMYFUNCTION("""COMPUTED_VALUE"""),"Absent")</f>
        <v>Absent</v>
      </c>
      <c r="F123" s="67" t="str">
        <f>IFERROR(__xludf.DUMMYFUNCTION("""COMPUTED_VALUE"""),"19 / 30")</f>
        <v>19 / 30</v>
      </c>
      <c r="G123" s="67">
        <f>IFERROR(__xludf.DUMMYFUNCTION("""COMPUTED_VALUE"""),30.0)</f>
        <v>30</v>
      </c>
      <c r="H123" s="67"/>
      <c r="I123" s="67"/>
      <c r="J123" s="67"/>
      <c r="K123" s="67" t="str">
        <f>IFERROR(__xludf.DUMMYFUNCTION("""COMPUTED_VALUE"""),"1")</f>
        <v>1</v>
      </c>
    </row>
    <row r="124">
      <c r="C124" s="67" t="str">
        <f>IFERROR(__xludf.DUMMYFUNCTION("""COMPUTED_VALUE"""),"Jitendra Kumar")</f>
        <v>Jitendra Kumar</v>
      </c>
      <c r="D124" s="67" t="str">
        <f>IFERROR(__xludf.DUMMYFUNCTION("""COMPUTED_VALUE"""),"25EACCS144")</f>
        <v>25EACCS144</v>
      </c>
      <c r="E124" s="67" t="str">
        <f>IFERROR(__xludf.DUMMYFUNCTION("""COMPUTED_VALUE"""),"30 / 30")</f>
        <v>30 / 30</v>
      </c>
      <c r="F124" s="67" t="str">
        <f>IFERROR(__xludf.DUMMYFUNCTION("""COMPUTED_VALUE"""),"Absent")</f>
        <v>Absent</v>
      </c>
      <c r="G124" s="67" t="str">
        <f>IFERROR(__xludf.DUMMYFUNCTION("""COMPUTED_VALUE"""),"Absent")</f>
        <v>Absent</v>
      </c>
      <c r="H124" s="67"/>
      <c r="I124" s="67"/>
      <c r="J124" s="67"/>
      <c r="K124" s="67" t="str">
        <f>IFERROR(__xludf.DUMMYFUNCTION("""COMPUTED_VALUE"""),"2, 3")</f>
        <v>2, 3</v>
      </c>
    </row>
    <row r="125">
      <c r="C125" s="67" t="str">
        <f>IFERROR(__xludf.DUMMYFUNCTION("""COMPUTED_VALUE"""),"Rishika shekhawat")</f>
        <v>Rishika shekhawat</v>
      </c>
      <c r="D125" s="67" t="str">
        <f>IFERROR(__xludf.DUMMYFUNCTION("""COMPUTED_VALUE"""),"25EACCS262")</f>
        <v>25EACCS262</v>
      </c>
      <c r="E125" s="67" t="str">
        <f>IFERROR(__xludf.DUMMYFUNCTION("""COMPUTED_VALUE"""),"Absent")</f>
        <v>Absent</v>
      </c>
      <c r="F125" s="67" t="str">
        <f>IFERROR(__xludf.DUMMYFUNCTION("""COMPUTED_VALUE"""),"Absent")</f>
        <v>Absent</v>
      </c>
      <c r="G125" s="67" t="str">
        <f>IFERROR(__xludf.DUMMYFUNCTION("""COMPUTED_VALUE"""),"Absent")</f>
        <v>Absent</v>
      </c>
      <c r="H125" s="67"/>
      <c r="I125" s="67"/>
      <c r="J125" s="67"/>
      <c r="K125" s="67" t="str">
        <f>IFERROR(__xludf.DUMMYFUNCTION("""COMPUTED_VALUE"""),"1, 2, 3")</f>
        <v>1, 2, 3</v>
      </c>
    </row>
    <row r="126">
      <c r="C126" s="67" t="str">
        <f>IFERROR(__xludf.DUMMYFUNCTION("""COMPUTED_VALUE"""),"Aniruddh Singh")</f>
        <v>Aniruddh Singh</v>
      </c>
      <c r="D126" s="67" t="str">
        <f>IFERROR(__xludf.DUMMYFUNCTION("""COMPUTED_VALUE"""),"25EACCS039")</f>
        <v>25EACCS039</v>
      </c>
      <c r="E126" s="67" t="str">
        <f>IFERROR(__xludf.DUMMYFUNCTION("""COMPUTED_VALUE"""),"Absent")</f>
        <v>Absent</v>
      </c>
      <c r="F126" s="67" t="str">
        <f>IFERROR(__xludf.DUMMYFUNCTION("""COMPUTED_VALUE"""),"27 / 30")</f>
        <v>27 / 30</v>
      </c>
      <c r="G126" s="67">
        <f>IFERROR(__xludf.DUMMYFUNCTION("""COMPUTED_VALUE"""),25.0)</f>
        <v>25</v>
      </c>
      <c r="H126" s="67"/>
      <c r="I126" s="67"/>
      <c r="J126" s="67"/>
      <c r="K126" s="67" t="str">
        <f>IFERROR(__xludf.DUMMYFUNCTION("""COMPUTED_VALUE"""),"1")</f>
        <v>1</v>
      </c>
    </row>
    <row r="127">
      <c r="C127" s="67" t="str">
        <f>IFERROR(__xludf.DUMMYFUNCTION("""COMPUTED_VALUE"""),"Jeet kumar")</f>
        <v>Jeet kumar</v>
      </c>
      <c r="D127" s="67" t="str">
        <f>IFERROR(__xludf.DUMMYFUNCTION("""COMPUTED_VALUE"""),"25EACCS142")</f>
        <v>25EACCS142</v>
      </c>
      <c r="E127" s="67" t="str">
        <f>IFERROR(__xludf.DUMMYFUNCTION("""COMPUTED_VALUE"""),"Absent")</f>
        <v>Absent</v>
      </c>
      <c r="F127" s="67" t="str">
        <f>IFERROR(__xludf.DUMMYFUNCTION("""COMPUTED_VALUE"""),"30 / 30")</f>
        <v>30 / 30</v>
      </c>
      <c r="G127" s="67" t="str">
        <f>IFERROR(__xludf.DUMMYFUNCTION("""COMPUTED_VALUE"""),"Absent")</f>
        <v>Absent</v>
      </c>
      <c r="H127" s="67"/>
      <c r="I127" s="67"/>
      <c r="J127" s="67"/>
      <c r="K127" s="67" t="str">
        <f>IFERROR(__xludf.DUMMYFUNCTION("""COMPUTED_VALUE"""),"1, 3")</f>
        <v>1, 3</v>
      </c>
    </row>
    <row r="128">
      <c r="C128" s="67" t="str">
        <f>IFERROR(__xludf.DUMMYFUNCTION("""COMPUTED_VALUE"""),"Simran Bisht")</f>
        <v>Simran Bisht</v>
      </c>
      <c r="D128" s="67" t="str">
        <f>IFERROR(__xludf.DUMMYFUNCTION("""COMPUTED_VALUE"""),"25EACCS300")</f>
        <v>25EACCS300</v>
      </c>
      <c r="E128" s="67" t="str">
        <f>IFERROR(__xludf.DUMMYFUNCTION("""COMPUTED_VALUE"""),"Absent")</f>
        <v>Absent</v>
      </c>
      <c r="F128" s="67" t="str">
        <f>IFERROR(__xludf.DUMMYFUNCTION("""COMPUTED_VALUE"""),"Absent")</f>
        <v>Absent</v>
      </c>
      <c r="G128" s="67" t="str">
        <f>IFERROR(__xludf.DUMMYFUNCTION("""COMPUTED_VALUE"""),"Absent")</f>
        <v>Absent</v>
      </c>
      <c r="H128" s="67"/>
      <c r="I128" s="67"/>
      <c r="J128" s="67"/>
      <c r="K128" s="67" t="str">
        <f>IFERROR(__xludf.DUMMYFUNCTION("""COMPUTED_VALUE"""),"1, 2, 3")</f>
        <v>1, 2, 3</v>
      </c>
    </row>
    <row r="129">
      <c r="C129" s="67" t="str">
        <f>IFERROR(__xludf.DUMMYFUNCTION("""COMPUTED_VALUE"""),"Rehan khan")</f>
        <v>Rehan khan</v>
      </c>
      <c r="D129" s="67" t="str">
        <f>IFERROR(__xludf.DUMMYFUNCTION("""COMPUTED_VALUE"""),"25EACCS256")</f>
        <v>25EACCS256</v>
      </c>
      <c r="E129" s="67" t="str">
        <f>IFERROR(__xludf.DUMMYFUNCTION("""COMPUTED_VALUE"""),"Absent")</f>
        <v>Absent</v>
      </c>
      <c r="F129" s="67" t="str">
        <f>IFERROR(__xludf.DUMMYFUNCTION("""COMPUTED_VALUE"""),"Absent")</f>
        <v>Absent</v>
      </c>
      <c r="G129" s="67" t="str">
        <f>IFERROR(__xludf.DUMMYFUNCTION("""COMPUTED_VALUE"""),"Absent")</f>
        <v>Absent</v>
      </c>
      <c r="H129" s="67"/>
      <c r="I129" s="67"/>
      <c r="J129" s="67"/>
      <c r="K129" s="67" t="str">
        <f>IFERROR(__xludf.DUMMYFUNCTION("""COMPUTED_VALUE"""),"1, 2, 3")</f>
        <v>1, 2, 3</v>
      </c>
    </row>
    <row r="130">
      <c r="C130" s="67" t="str">
        <f>IFERROR(__xludf.DUMMYFUNCTION("""COMPUTED_VALUE"""),"Mayank Singh Rawat")</f>
        <v>Mayank Singh Rawat</v>
      </c>
      <c r="D130" s="67" t="str">
        <f>IFERROR(__xludf.DUMMYFUNCTION("""COMPUTED_VALUE"""),"25EACCS183")</f>
        <v>25EACCS183</v>
      </c>
      <c r="E130" s="67" t="str">
        <f>IFERROR(__xludf.DUMMYFUNCTION("""COMPUTED_VALUE"""),"Absent")</f>
        <v>Absent</v>
      </c>
      <c r="F130" s="67" t="str">
        <f>IFERROR(__xludf.DUMMYFUNCTION("""COMPUTED_VALUE"""),"Absent")</f>
        <v>Absent</v>
      </c>
      <c r="G130" s="67">
        <f>IFERROR(__xludf.DUMMYFUNCTION("""COMPUTED_VALUE"""),25.0)</f>
        <v>25</v>
      </c>
      <c r="H130" s="67"/>
      <c r="I130" s="67"/>
      <c r="J130" s="67"/>
      <c r="K130" s="67" t="str">
        <f>IFERROR(__xludf.DUMMYFUNCTION("""COMPUTED_VALUE"""),"1, 2")</f>
        <v>1, 2</v>
      </c>
    </row>
    <row r="131">
      <c r="C131" s="67" t="str">
        <f>IFERROR(__xludf.DUMMYFUNCTION("""COMPUTED_VALUE"""),"Muskan Saini")</f>
        <v>Muskan Saini</v>
      </c>
      <c r="D131" s="67" t="str">
        <f>IFERROR(__xludf.DUMMYFUNCTION("""COMPUTED_VALUE"""),"25EACCS200")</f>
        <v>25EACCS200</v>
      </c>
      <c r="E131" s="67" t="str">
        <f>IFERROR(__xludf.DUMMYFUNCTION("""COMPUTED_VALUE"""),"Absent")</f>
        <v>Absent</v>
      </c>
      <c r="F131" s="67" t="str">
        <f>IFERROR(__xludf.DUMMYFUNCTION("""COMPUTED_VALUE"""),"20 / 30")</f>
        <v>20 / 30</v>
      </c>
      <c r="G131" s="67">
        <f>IFERROR(__xludf.DUMMYFUNCTION("""COMPUTED_VALUE"""),20.0)</f>
        <v>20</v>
      </c>
      <c r="H131" s="67"/>
      <c r="I131" s="67"/>
      <c r="J131" s="67"/>
      <c r="K131" s="67" t="str">
        <f>IFERROR(__xludf.DUMMYFUNCTION("""COMPUTED_VALUE"""),"1")</f>
        <v>1</v>
      </c>
    </row>
    <row r="132">
      <c r="C132" s="67" t="str">
        <f>IFERROR(__xludf.DUMMYFUNCTION("""COMPUTED_VALUE"""),"Mohammad Aayet Anwer")</f>
        <v>Mohammad Aayet Anwer</v>
      </c>
      <c r="D132" s="67" t="str">
        <f>IFERROR(__xludf.DUMMYFUNCTION("""COMPUTED_VALUE"""),"25EACCS191")</f>
        <v>25EACCS191</v>
      </c>
      <c r="E132" s="67" t="str">
        <f>IFERROR(__xludf.DUMMYFUNCTION("""COMPUTED_VALUE"""),"27 / 30")</f>
        <v>27 / 30</v>
      </c>
      <c r="F132" s="67" t="str">
        <f>IFERROR(__xludf.DUMMYFUNCTION("""COMPUTED_VALUE"""),"Absent")</f>
        <v>Absent</v>
      </c>
      <c r="G132" s="67" t="str">
        <f>IFERROR(__xludf.DUMMYFUNCTION("""COMPUTED_VALUE"""),"Absent")</f>
        <v>Absent</v>
      </c>
      <c r="H132" s="67"/>
      <c r="I132" s="67"/>
      <c r="J132" s="67"/>
      <c r="K132" s="67" t="str">
        <f>IFERROR(__xludf.DUMMYFUNCTION("""COMPUTED_VALUE"""),"2, 3")</f>
        <v>2, 3</v>
      </c>
    </row>
    <row r="133">
      <c r="C133" s="67" t="str">
        <f>IFERROR(__xludf.DUMMYFUNCTION("""COMPUTED_VALUE"""),"Kashish Agarwal")</f>
        <v>Kashish Agarwal</v>
      </c>
      <c r="D133" s="67" t="str">
        <f>IFERROR(__xludf.DUMMYFUNCTION("""COMPUTED_VALUE"""),"25EACCS151")</f>
        <v>25EACCS151</v>
      </c>
      <c r="E133" s="67" t="str">
        <f>IFERROR(__xludf.DUMMYFUNCTION("""COMPUTED_VALUE"""),"Absent")</f>
        <v>Absent</v>
      </c>
      <c r="F133" s="67" t="str">
        <f>IFERROR(__xludf.DUMMYFUNCTION("""COMPUTED_VALUE"""),"30 / 30")</f>
        <v>30 / 30</v>
      </c>
      <c r="G133" s="67">
        <f>IFERROR(__xludf.DUMMYFUNCTION("""COMPUTED_VALUE"""),26.0)</f>
        <v>26</v>
      </c>
      <c r="H133" s="67"/>
      <c r="I133" s="67"/>
      <c r="J133" s="67"/>
      <c r="K133" s="67" t="str">
        <f>IFERROR(__xludf.DUMMYFUNCTION("""COMPUTED_VALUE"""),"1")</f>
        <v>1</v>
      </c>
    </row>
    <row r="134">
      <c r="C134" s="67" t="str">
        <f>IFERROR(__xludf.DUMMYFUNCTION("""COMPUTED_VALUE"""),"Rishikesh Sharma")</f>
        <v>Rishikesh Sharma</v>
      </c>
      <c r="D134" s="67" t="str">
        <f>IFERROR(__xludf.DUMMYFUNCTION("""COMPUTED_VALUE"""),"25EACCS263")</f>
        <v>25EACCS263</v>
      </c>
      <c r="E134" s="67" t="str">
        <f>IFERROR(__xludf.DUMMYFUNCTION("""COMPUTED_VALUE"""),"Absent")</f>
        <v>Absent</v>
      </c>
      <c r="F134" s="67" t="str">
        <f>IFERROR(__xludf.DUMMYFUNCTION("""COMPUTED_VALUE"""),"Absent")</f>
        <v>Absent</v>
      </c>
      <c r="G134" s="67" t="str">
        <f>IFERROR(__xludf.DUMMYFUNCTION("""COMPUTED_VALUE"""),"Absent")</f>
        <v>Absent</v>
      </c>
      <c r="H134" s="67"/>
      <c r="I134" s="67"/>
      <c r="J134" s="67"/>
      <c r="K134" s="67" t="str">
        <f>IFERROR(__xludf.DUMMYFUNCTION("""COMPUTED_VALUE"""),"1, 2, 3")</f>
        <v>1, 2, 3</v>
      </c>
    </row>
    <row r="135">
      <c r="C135" s="67" t="str">
        <f>IFERROR(__xludf.DUMMYFUNCTION("""COMPUTED_VALUE"""),"Deepak Kumar saini")</f>
        <v>Deepak Kumar saini</v>
      </c>
      <c r="D135" s="67" t="str">
        <f>IFERROR(__xludf.DUMMYFUNCTION("""COMPUTED_VALUE"""),"25EACCS084")</f>
        <v>25EACCS084</v>
      </c>
      <c r="E135" s="67" t="str">
        <f>IFERROR(__xludf.DUMMYFUNCTION("""COMPUTED_VALUE"""),"Absent")</f>
        <v>Absent</v>
      </c>
      <c r="F135" s="67" t="str">
        <f>IFERROR(__xludf.DUMMYFUNCTION("""COMPUTED_VALUE"""),"19 / 30")</f>
        <v>19 / 30</v>
      </c>
      <c r="G135" s="67">
        <f>IFERROR(__xludf.DUMMYFUNCTION("""COMPUTED_VALUE"""),16.0)</f>
        <v>16</v>
      </c>
      <c r="H135" s="67"/>
      <c r="I135" s="67"/>
      <c r="J135" s="67"/>
      <c r="K135" s="67" t="str">
        <f>IFERROR(__xludf.DUMMYFUNCTION("""COMPUTED_VALUE"""),"1")</f>
        <v>1</v>
      </c>
    </row>
    <row r="136">
      <c r="C136" s="67" t="str">
        <f>IFERROR(__xludf.DUMMYFUNCTION("""COMPUTED_VALUE"""),"Priyanshu Singh bisht")</f>
        <v>Priyanshu Singh bisht</v>
      </c>
      <c r="D136" s="67" t="str">
        <f>IFERROR(__xludf.DUMMYFUNCTION("""COMPUTED_VALUE"""),"25EACCS242")</f>
        <v>25EACCS242</v>
      </c>
      <c r="E136" s="67" t="str">
        <f>IFERROR(__xludf.DUMMYFUNCTION("""COMPUTED_VALUE"""),"25 / 30")</f>
        <v>25 / 30</v>
      </c>
      <c r="F136" s="67" t="str">
        <f>IFERROR(__xludf.DUMMYFUNCTION("""COMPUTED_VALUE"""),"Absent")</f>
        <v>Absent</v>
      </c>
      <c r="G136" s="67">
        <f>IFERROR(__xludf.DUMMYFUNCTION("""COMPUTED_VALUE"""),24.0)</f>
        <v>24</v>
      </c>
      <c r="H136" s="67"/>
      <c r="I136" s="67"/>
      <c r="J136" s="67"/>
      <c r="K136" s="67" t="str">
        <f>IFERROR(__xludf.DUMMYFUNCTION("""COMPUTED_VALUE"""),"2")</f>
        <v>2</v>
      </c>
    </row>
    <row r="137">
      <c r="C137" s="67" t="str">
        <f>IFERROR(__xludf.DUMMYFUNCTION("""COMPUTED_VALUE"""),"Himanshi gupta")</f>
        <v>Himanshi gupta</v>
      </c>
      <c r="D137" s="67" t="str">
        <f>IFERROR(__xludf.DUMMYFUNCTION("""COMPUTED_VALUE"""),"25EACCS126")</f>
        <v>25EACCS126</v>
      </c>
      <c r="E137" s="67" t="str">
        <f>IFERROR(__xludf.DUMMYFUNCTION("""COMPUTED_VALUE"""),"Absent")</f>
        <v>Absent</v>
      </c>
      <c r="F137" s="67" t="str">
        <f>IFERROR(__xludf.DUMMYFUNCTION("""COMPUTED_VALUE"""),"28 / 30")</f>
        <v>28 / 30</v>
      </c>
      <c r="G137" s="67" t="str">
        <f>IFERROR(__xludf.DUMMYFUNCTION("""COMPUTED_VALUE"""),"Absent")</f>
        <v>Absent</v>
      </c>
      <c r="H137" s="67"/>
      <c r="I137" s="67"/>
      <c r="J137" s="67"/>
      <c r="K137" s="67" t="str">
        <f>IFERROR(__xludf.DUMMYFUNCTION("""COMPUTED_VALUE"""),"1, 3")</f>
        <v>1, 3</v>
      </c>
    </row>
    <row r="138">
      <c r="C138" s="67" t="str">
        <f>IFERROR(__xludf.DUMMYFUNCTION("""COMPUTED_VALUE"""),"Dinesh Gajraj")</f>
        <v>Dinesh Gajraj</v>
      </c>
      <c r="D138" s="67" t="str">
        <f>IFERROR(__xludf.DUMMYFUNCTION("""COMPUTED_VALUE"""),"25EACCS095")</f>
        <v>25EACCS095</v>
      </c>
      <c r="E138" s="67" t="str">
        <f>IFERROR(__xludf.DUMMYFUNCTION("""COMPUTED_VALUE"""),"Absent")</f>
        <v>Absent</v>
      </c>
      <c r="F138" s="67" t="str">
        <f>IFERROR(__xludf.DUMMYFUNCTION("""COMPUTED_VALUE"""),"Absent")</f>
        <v>Absent</v>
      </c>
      <c r="G138" s="67" t="str">
        <f>IFERROR(__xludf.DUMMYFUNCTION("""COMPUTED_VALUE"""),"Absent")</f>
        <v>Absent</v>
      </c>
      <c r="H138" s="67"/>
      <c r="I138" s="67"/>
      <c r="J138" s="67"/>
      <c r="K138" s="67" t="str">
        <f>IFERROR(__xludf.DUMMYFUNCTION("""COMPUTED_VALUE"""),"1, 2, 3")</f>
        <v>1, 2, 3</v>
      </c>
    </row>
    <row r="139">
      <c r="C139" s="67" t="str">
        <f>IFERROR(__xludf.DUMMYFUNCTION("""COMPUTED_VALUE"""),"Shreyansh singh")</f>
        <v>Shreyansh singh</v>
      </c>
      <c r="D139" s="67" t="str">
        <f>IFERROR(__xludf.DUMMYFUNCTION("""COMPUTED_VALUE"""),"25EACCS293")</f>
        <v>25EACCS293</v>
      </c>
      <c r="E139" s="67" t="str">
        <f>IFERROR(__xludf.DUMMYFUNCTION("""COMPUTED_VALUE"""),"Absent")</f>
        <v>Absent</v>
      </c>
      <c r="F139" s="67" t="str">
        <f>IFERROR(__xludf.DUMMYFUNCTION("""COMPUTED_VALUE"""),"29 / 30")</f>
        <v>29 / 30</v>
      </c>
      <c r="G139" s="67">
        <f>IFERROR(__xludf.DUMMYFUNCTION("""COMPUTED_VALUE"""),27.0)</f>
        <v>27</v>
      </c>
      <c r="H139" s="67"/>
      <c r="I139" s="67"/>
      <c r="J139" s="67"/>
      <c r="K139" s="67" t="str">
        <f>IFERROR(__xludf.DUMMYFUNCTION("""COMPUTED_VALUE"""),"1")</f>
        <v>1</v>
      </c>
    </row>
    <row r="140">
      <c r="C140" s="67" t="str">
        <f>IFERROR(__xludf.DUMMYFUNCTION("""COMPUTED_VALUE"""),"Palak kumari")</f>
        <v>Palak kumari</v>
      </c>
      <c r="D140" s="67" t="str">
        <f>IFERROR(__xludf.DUMMYFUNCTION("""COMPUTED_VALUE"""),"25EACCS217")</f>
        <v>25EACCS217</v>
      </c>
      <c r="E140" s="67" t="str">
        <f>IFERROR(__xludf.DUMMYFUNCTION("""COMPUTED_VALUE"""),"Absent")</f>
        <v>Absent</v>
      </c>
      <c r="F140" s="67" t="str">
        <f>IFERROR(__xludf.DUMMYFUNCTION("""COMPUTED_VALUE"""),"24  / 30")</f>
        <v>24  / 30</v>
      </c>
      <c r="G140" s="67">
        <f>IFERROR(__xludf.DUMMYFUNCTION("""COMPUTED_VALUE"""),25.0)</f>
        <v>25</v>
      </c>
      <c r="H140" s="67"/>
      <c r="I140" s="67"/>
      <c r="J140" s="67"/>
      <c r="K140" s="67" t="str">
        <f>IFERROR(__xludf.DUMMYFUNCTION("""COMPUTED_VALUE"""),"1")</f>
        <v>1</v>
      </c>
    </row>
    <row r="141">
      <c r="C141" s="67" t="str">
        <f>IFERROR(__xludf.DUMMYFUNCTION("""COMPUTED_VALUE"""),"Bhavya Gandhi")</f>
        <v>Bhavya Gandhi</v>
      </c>
      <c r="D141" s="67" t="str">
        <f>IFERROR(__xludf.DUMMYFUNCTION("""COMPUTED_VALUE"""),"25EACCS071")</f>
        <v>25EACCS071</v>
      </c>
      <c r="E141" s="67" t="str">
        <f>IFERROR(__xludf.DUMMYFUNCTION("""COMPUTED_VALUE"""),"Absent")</f>
        <v>Absent</v>
      </c>
      <c r="F141" s="67" t="str">
        <f>IFERROR(__xludf.DUMMYFUNCTION("""COMPUTED_VALUE"""),"Absent")</f>
        <v>Absent</v>
      </c>
      <c r="G141" s="67">
        <f>IFERROR(__xludf.DUMMYFUNCTION("""COMPUTED_VALUE"""),15.0)</f>
        <v>15</v>
      </c>
      <c r="H141" s="67"/>
      <c r="I141" s="67"/>
      <c r="J141" s="67"/>
      <c r="K141" s="67" t="str">
        <f>IFERROR(__xludf.DUMMYFUNCTION("""COMPUTED_VALUE"""),"1, 2")</f>
        <v>1, 2</v>
      </c>
    </row>
    <row r="142">
      <c r="C142" s="67" t="str">
        <f>IFERROR(__xludf.DUMMYFUNCTION("""COMPUTED_VALUE"""),"Vedant Prakash Tripathi")</f>
        <v>Vedant Prakash Tripathi</v>
      </c>
      <c r="D142" s="67" t="str">
        <f>IFERROR(__xludf.DUMMYFUNCTION("""COMPUTED_VALUE"""),"25EACCS330")</f>
        <v>25EACCS330</v>
      </c>
      <c r="E142" s="67" t="str">
        <f>IFERROR(__xludf.DUMMYFUNCTION("""COMPUTED_VALUE"""),"Absent")</f>
        <v>Absent</v>
      </c>
      <c r="F142" s="67" t="str">
        <f>IFERROR(__xludf.DUMMYFUNCTION("""COMPUTED_VALUE"""),"Absent")</f>
        <v>Absent</v>
      </c>
      <c r="G142" s="67">
        <f>IFERROR(__xludf.DUMMYFUNCTION("""COMPUTED_VALUE"""),30.0)</f>
        <v>30</v>
      </c>
      <c r="H142" s="67"/>
      <c r="I142" s="67"/>
      <c r="J142" s="67"/>
      <c r="K142" s="67" t="str">
        <f>IFERROR(__xludf.DUMMYFUNCTION("""COMPUTED_VALUE"""),"1, 2")</f>
        <v>1, 2</v>
      </c>
    </row>
    <row r="143">
      <c r="C143" s="67" t="str">
        <f>IFERROR(__xludf.DUMMYFUNCTION("""COMPUTED_VALUE"""),"Manoj yadav")</f>
        <v>Manoj yadav</v>
      </c>
      <c r="D143" s="67" t="str">
        <f>IFERROR(__xludf.DUMMYFUNCTION("""COMPUTED_VALUE"""),"25EACCS178")</f>
        <v>25EACCS178</v>
      </c>
      <c r="E143" s="67" t="str">
        <f>IFERROR(__xludf.DUMMYFUNCTION("""COMPUTED_VALUE"""),"Absent")</f>
        <v>Absent</v>
      </c>
      <c r="F143" s="67" t="str">
        <f>IFERROR(__xludf.DUMMYFUNCTION("""COMPUTED_VALUE"""),"Absent")</f>
        <v>Absent</v>
      </c>
      <c r="G143" s="67">
        <f>IFERROR(__xludf.DUMMYFUNCTION("""COMPUTED_VALUE"""),29.0)</f>
        <v>29</v>
      </c>
      <c r="H143" s="67"/>
      <c r="I143" s="67"/>
      <c r="J143" s="67"/>
      <c r="K143" s="67" t="str">
        <f>IFERROR(__xludf.DUMMYFUNCTION("""COMPUTED_VALUE"""),"1, 2")</f>
        <v>1, 2</v>
      </c>
    </row>
    <row r="144">
      <c r="C144" s="67" t="str">
        <f>IFERROR(__xludf.DUMMYFUNCTION("""COMPUTED_VALUE"""),"Lalitesh Meghval")</f>
        <v>Lalitesh Meghval</v>
      </c>
      <c r="D144" s="67" t="str">
        <f>IFERROR(__xludf.DUMMYFUNCTION("""COMPUTED_VALUE"""),"25EACCS169")</f>
        <v>25EACCS169</v>
      </c>
      <c r="E144" s="67" t="str">
        <f>IFERROR(__xludf.DUMMYFUNCTION("""COMPUTED_VALUE"""),"Absent")</f>
        <v>Absent</v>
      </c>
      <c r="F144" s="67" t="str">
        <f>IFERROR(__xludf.DUMMYFUNCTION("""COMPUTED_VALUE"""),"Absent")</f>
        <v>Absent</v>
      </c>
      <c r="G144" s="67">
        <f>IFERROR(__xludf.DUMMYFUNCTION("""COMPUTED_VALUE"""),30.0)</f>
        <v>30</v>
      </c>
      <c r="H144" s="67"/>
      <c r="I144" s="67"/>
      <c r="J144" s="67"/>
      <c r="K144" s="67" t="str">
        <f>IFERROR(__xludf.DUMMYFUNCTION("""COMPUTED_VALUE"""),"1, 2")</f>
        <v>1, 2</v>
      </c>
    </row>
    <row r="145">
      <c r="C145" s="67" t="str">
        <f>IFERROR(__xludf.DUMMYFUNCTION("""COMPUTED_VALUE"""),"Shlok Soni")</f>
        <v>Shlok Soni</v>
      </c>
      <c r="D145" s="67" t="str">
        <f>IFERROR(__xludf.DUMMYFUNCTION("""COMPUTED_VALUE"""),"25EACCS289")</f>
        <v>25EACCS289</v>
      </c>
      <c r="E145" s="67" t="str">
        <f>IFERROR(__xludf.DUMMYFUNCTION("""COMPUTED_VALUE"""),"Absent")</f>
        <v>Absent</v>
      </c>
      <c r="F145" s="67" t="str">
        <f>IFERROR(__xludf.DUMMYFUNCTION("""COMPUTED_VALUE"""),"30 / 30")</f>
        <v>30 / 30</v>
      </c>
      <c r="G145" s="67">
        <f>IFERROR(__xludf.DUMMYFUNCTION("""COMPUTED_VALUE"""),30.0)</f>
        <v>30</v>
      </c>
      <c r="H145" s="67"/>
      <c r="I145" s="67"/>
      <c r="J145" s="67"/>
      <c r="K145" s="67" t="str">
        <f>IFERROR(__xludf.DUMMYFUNCTION("""COMPUTED_VALUE"""),"1")</f>
        <v>1</v>
      </c>
    </row>
    <row r="146">
      <c r="C146" s="67" t="str">
        <f>IFERROR(__xludf.DUMMYFUNCTION("""COMPUTED_VALUE"""),"Prince Gupta")</f>
        <v>Prince Gupta</v>
      </c>
      <c r="D146" s="67" t="str">
        <f>IFERROR(__xludf.DUMMYFUNCTION("""COMPUTED_VALUE"""),"25EACCS235")</f>
        <v>25EACCS235</v>
      </c>
      <c r="E146" s="67" t="str">
        <f>IFERROR(__xludf.DUMMYFUNCTION("""COMPUTED_VALUE"""),"Absent")</f>
        <v>Absent</v>
      </c>
      <c r="F146" s="67" t="str">
        <f>IFERROR(__xludf.DUMMYFUNCTION("""COMPUTED_VALUE"""),"Absent")</f>
        <v>Absent</v>
      </c>
      <c r="G146" s="67">
        <f>IFERROR(__xludf.DUMMYFUNCTION("""COMPUTED_VALUE"""),29.0)</f>
        <v>29</v>
      </c>
      <c r="H146" s="67"/>
      <c r="I146" s="67"/>
      <c r="J146" s="67"/>
      <c r="K146" s="67" t="str">
        <f>IFERROR(__xludf.DUMMYFUNCTION("""COMPUTED_VALUE"""),"1, 2")</f>
        <v>1, 2</v>
      </c>
    </row>
    <row r="147">
      <c r="C147" s="67" t="str">
        <f>IFERROR(__xludf.DUMMYFUNCTION("""COMPUTED_VALUE"""),"Vishwesh Gupta")</f>
        <v>Vishwesh Gupta</v>
      </c>
      <c r="D147" s="67" t="str">
        <f>IFERROR(__xludf.DUMMYFUNCTION("""COMPUTED_VALUE"""),"25EACCS333")</f>
        <v>25EACCS333</v>
      </c>
      <c r="E147" s="67" t="str">
        <f>IFERROR(__xludf.DUMMYFUNCTION("""COMPUTED_VALUE"""),"Absent")</f>
        <v>Absent</v>
      </c>
      <c r="F147" s="67" t="str">
        <f>IFERROR(__xludf.DUMMYFUNCTION("""COMPUTED_VALUE"""),"12 / 30")</f>
        <v>12 / 30</v>
      </c>
      <c r="G147" s="67" t="str">
        <f>IFERROR(__xludf.DUMMYFUNCTION("""COMPUTED_VALUE"""),"Absent")</f>
        <v>Absent</v>
      </c>
      <c r="H147" s="67"/>
      <c r="I147" s="67"/>
      <c r="J147" s="67"/>
      <c r="K147" s="67" t="str">
        <f>IFERROR(__xludf.DUMMYFUNCTION("""COMPUTED_VALUE"""),"1, 3")</f>
        <v>1, 3</v>
      </c>
    </row>
    <row r="148">
      <c r="C148" s="67" t="str">
        <f>IFERROR(__xludf.DUMMYFUNCTION("""COMPUTED_VALUE"""),"Yuvraj sharma")</f>
        <v>Yuvraj sharma</v>
      </c>
      <c r="D148" s="67" t="str">
        <f>IFERROR(__xludf.DUMMYFUNCTION("""COMPUTED_VALUE"""),"25EACCS343")</f>
        <v>25EACCS343</v>
      </c>
      <c r="E148" s="67" t="str">
        <f>IFERROR(__xludf.DUMMYFUNCTION("""COMPUTED_VALUE"""),"Absent")</f>
        <v>Absent</v>
      </c>
      <c r="F148" s="67" t="str">
        <f>IFERROR(__xludf.DUMMYFUNCTION("""COMPUTED_VALUE"""),"Absent")</f>
        <v>Absent</v>
      </c>
      <c r="G148" s="67" t="str">
        <f>IFERROR(__xludf.DUMMYFUNCTION("""COMPUTED_VALUE"""),"Absent")</f>
        <v>Absent</v>
      </c>
      <c r="H148" s="67"/>
      <c r="I148" s="67"/>
      <c r="J148" s="67"/>
      <c r="K148" s="67" t="str">
        <f>IFERROR(__xludf.DUMMYFUNCTION("""COMPUTED_VALUE"""),"1, 2, 3")</f>
        <v>1, 2, 3</v>
      </c>
    </row>
    <row r="149">
      <c r="C149" s="67" t="str">
        <f>IFERROR(__xludf.DUMMYFUNCTION("""COMPUTED_VALUE"""),"Deep Panchal")</f>
        <v>Deep Panchal</v>
      </c>
      <c r="D149" s="67" t="str">
        <f>IFERROR(__xludf.DUMMYFUNCTION("""COMPUTED_VALUE"""),"25EACCS082")</f>
        <v>25EACCS082</v>
      </c>
      <c r="E149" s="67" t="str">
        <f>IFERROR(__xludf.DUMMYFUNCTION("""COMPUTED_VALUE"""),"Absent")</f>
        <v>Absent</v>
      </c>
      <c r="F149" s="67" t="str">
        <f>IFERROR(__xludf.DUMMYFUNCTION("""COMPUTED_VALUE"""),"27 / 30")</f>
        <v>27 / 30</v>
      </c>
      <c r="G149" s="67">
        <f>IFERROR(__xludf.DUMMYFUNCTION("""COMPUTED_VALUE"""),27.0)</f>
        <v>27</v>
      </c>
      <c r="H149" s="67"/>
      <c r="I149" s="67"/>
      <c r="J149" s="67"/>
      <c r="K149" s="67" t="str">
        <f>IFERROR(__xludf.DUMMYFUNCTION("""COMPUTED_VALUE"""),"1")</f>
        <v>1</v>
      </c>
    </row>
    <row r="150">
      <c r="C150" s="67" t="str">
        <f>IFERROR(__xludf.DUMMYFUNCTION("""COMPUTED_VALUE"""),"Dhruv patel")</f>
        <v>Dhruv patel</v>
      </c>
      <c r="D150" s="67" t="str">
        <f>IFERROR(__xludf.DUMMYFUNCTION("""COMPUTED_VALUE"""),"25EACCS092")</f>
        <v>25EACCS092</v>
      </c>
      <c r="E150" s="67" t="str">
        <f>IFERROR(__xludf.DUMMYFUNCTION("""COMPUTED_VALUE"""),"Absent")</f>
        <v>Absent</v>
      </c>
      <c r="F150" s="67" t="str">
        <f>IFERROR(__xludf.DUMMYFUNCTION("""COMPUTED_VALUE"""),"Absent")</f>
        <v>Absent</v>
      </c>
      <c r="G150" s="67" t="str">
        <f>IFERROR(__xludf.DUMMYFUNCTION("""COMPUTED_VALUE"""),"Absent")</f>
        <v>Absent</v>
      </c>
      <c r="H150" s="67"/>
      <c r="I150" s="67"/>
      <c r="J150" s="67"/>
      <c r="K150" s="67" t="str">
        <f>IFERROR(__xludf.DUMMYFUNCTION("""COMPUTED_VALUE"""),"1, 2, 3")</f>
        <v>1, 2, 3</v>
      </c>
    </row>
    <row r="151">
      <c r="C151" s="67" t="str">
        <f>IFERROR(__xludf.DUMMYFUNCTION("""COMPUTED_VALUE"""),"Prince Bhardwaj")</f>
        <v>Prince Bhardwaj</v>
      </c>
      <c r="D151" s="67" t="str">
        <f>IFERROR(__xludf.DUMMYFUNCTION("""COMPUTED_VALUE"""),"25EACCS233")</f>
        <v>25EACCS233</v>
      </c>
      <c r="E151" s="67" t="str">
        <f>IFERROR(__xludf.DUMMYFUNCTION("""COMPUTED_VALUE"""),"Absent")</f>
        <v>Absent</v>
      </c>
      <c r="F151" s="67" t="str">
        <f>IFERROR(__xludf.DUMMYFUNCTION("""COMPUTED_VALUE"""),"Absent")</f>
        <v>Absent</v>
      </c>
      <c r="G151" s="67" t="str">
        <f>IFERROR(__xludf.DUMMYFUNCTION("""COMPUTED_VALUE"""),"Absent")</f>
        <v>Absent</v>
      </c>
      <c r="H151" s="67"/>
      <c r="I151" s="67"/>
      <c r="J151" s="67"/>
      <c r="K151" s="67" t="str">
        <f>IFERROR(__xludf.DUMMYFUNCTION("""COMPUTED_VALUE"""),"1, 2, 3")</f>
        <v>1, 2, 3</v>
      </c>
    </row>
    <row r="152">
      <c r="C152" s="67" t="str">
        <f>IFERROR(__xludf.DUMMYFUNCTION("""COMPUTED_VALUE"""),"Virendra Pratap Singh Shekhawat")</f>
        <v>Virendra Pratap Singh Shekhawat</v>
      </c>
      <c r="D152" s="67" t="str">
        <f>IFERROR(__xludf.DUMMYFUNCTION("""COMPUTED_VALUE"""),"25EACCS331")</f>
        <v>25EACCS331</v>
      </c>
      <c r="E152" s="67" t="str">
        <f>IFERROR(__xludf.DUMMYFUNCTION("""COMPUTED_VALUE"""),"Absent")</f>
        <v>Absent</v>
      </c>
      <c r="F152" s="67" t="str">
        <f>IFERROR(__xludf.DUMMYFUNCTION("""COMPUTED_VALUE"""),"30 / 30")</f>
        <v>30 / 30</v>
      </c>
      <c r="G152" s="67">
        <f>IFERROR(__xludf.DUMMYFUNCTION("""COMPUTED_VALUE"""),29.0)</f>
        <v>29</v>
      </c>
      <c r="H152" s="67"/>
      <c r="I152" s="67"/>
      <c r="J152" s="67"/>
      <c r="K152" s="67" t="str">
        <f>IFERROR(__xludf.DUMMYFUNCTION("""COMPUTED_VALUE"""),"1")</f>
        <v>1</v>
      </c>
    </row>
    <row r="153">
      <c r="C153" s="67" t="str">
        <f>IFERROR(__xludf.DUMMYFUNCTION("""COMPUTED_VALUE"""),"Raja Swami")</f>
        <v>Raja Swami</v>
      </c>
      <c r="D153" s="67" t="str">
        <f>IFERROR(__xludf.DUMMYFUNCTION("""COMPUTED_VALUE"""),"25EACCS245")</f>
        <v>25EACCS245</v>
      </c>
      <c r="E153" s="67" t="str">
        <f>IFERROR(__xludf.DUMMYFUNCTION("""COMPUTED_VALUE"""),"Absent")</f>
        <v>Absent</v>
      </c>
      <c r="F153" s="67" t="str">
        <f>IFERROR(__xludf.DUMMYFUNCTION("""COMPUTED_VALUE"""),"29 / 30")</f>
        <v>29 / 30</v>
      </c>
      <c r="G153" s="67">
        <f>IFERROR(__xludf.DUMMYFUNCTION("""COMPUTED_VALUE"""),29.0)</f>
        <v>29</v>
      </c>
      <c r="H153" s="67"/>
      <c r="I153" s="67"/>
      <c r="J153" s="67"/>
      <c r="K153" s="67" t="str">
        <f>IFERROR(__xludf.DUMMYFUNCTION("""COMPUTED_VALUE"""),"1")</f>
        <v>1</v>
      </c>
    </row>
    <row r="154">
      <c r="C154" s="67" t="str">
        <f>IFERROR(__xludf.DUMMYFUNCTION("""COMPUTED_VALUE"""),"Aryan Vashistha")</f>
        <v>Aryan Vashistha</v>
      </c>
      <c r="D154" s="67" t="str">
        <f>IFERROR(__xludf.DUMMYFUNCTION("""COMPUTED_VALUE"""),"25EACCS056")</f>
        <v>25EACCS056</v>
      </c>
      <c r="E154" s="67" t="str">
        <f>IFERROR(__xludf.DUMMYFUNCTION("""COMPUTED_VALUE"""),"Absent")</f>
        <v>Absent</v>
      </c>
      <c r="F154" s="67" t="str">
        <f>IFERROR(__xludf.DUMMYFUNCTION("""COMPUTED_VALUE"""),"Absent")</f>
        <v>Absent</v>
      </c>
      <c r="G154" s="67" t="str">
        <f>IFERROR(__xludf.DUMMYFUNCTION("""COMPUTED_VALUE"""),"Absent")</f>
        <v>Absent</v>
      </c>
      <c r="H154" s="67"/>
      <c r="I154" s="67"/>
      <c r="J154" s="67"/>
      <c r="K154" s="67" t="str">
        <f>IFERROR(__xludf.DUMMYFUNCTION("""COMPUTED_VALUE"""),"1, 2, 3")</f>
        <v>1, 2, 3</v>
      </c>
    </row>
  </sheetData>
  <conditionalFormatting sqref="D3:I102">
    <cfRule type="beginsWith" dxfId="0" priority="1" operator="beginsWith" text="a">
      <formula>LEFT((D3),LEN("a"))=("a")</formula>
    </cfRule>
  </conditionalFormatting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2" max="2" width="75.5"/>
    <col customWidth="1" min="3" max="3" width="15.63"/>
    <col customWidth="1" min="4" max="4" width="13.63"/>
  </cols>
  <sheetData>
    <row r="1">
      <c r="A1" s="44" t="s">
        <v>151</v>
      </c>
      <c r="B1" s="7"/>
      <c r="C1" s="7"/>
      <c r="D1" s="12"/>
    </row>
    <row r="2">
      <c r="A2" s="44" t="s">
        <v>152</v>
      </c>
      <c r="B2" s="7"/>
      <c r="C2" s="7"/>
      <c r="D2" s="12"/>
    </row>
    <row r="3">
      <c r="A3" s="44" t="s">
        <v>153</v>
      </c>
      <c r="B3" s="7"/>
      <c r="C3" s="7"/>
      <c r="D3" s="12"/>
    </row>
    <row r="4">
      <c r="A4" s="45" t="s">
        <v>154</v>
      </c>
      <c r="B4" s="12"/>
      <c r="C4" s="46"/>
      <c r="D4" s="12"/>
    </row>
    <row r="5">
      <c r="A5" s="45" t="s">
        <v>155</v>
      </c>
      <c r="B5" s="12"/>
      <c r="C5" s="46"/>
      <c r="D5" s="12"/>
    </row>
    <row r="6">
      <c r="A6" s="46"/>
      <c r="B6" s="7"/>
      <c r="C6" s="7"/>
      <c r="D6" s="12"/>
    </row>
    <row r="7">
      <c r="A7" s="47" t="s">
        <v>156</v>
      </c>
      <c r="B7" s="47" t="s">
        <v>157</v>
      </c>
      <c r="C7" s="48" t="s">
        <v>158</v>
      </c>
      <c r="D7" s="48" t="s">
        <v>159</v>
      </c>
    </row>
    <row r="8">
      <c r="A8" s="49">
        <v>1.0</v>
      </c>
      <c r="B8" s="50" t="s">
        <v>160</v>
      </c>
      <c r="C8" s="51">
        <v>46184.0</v>
      </c>
      <c r="D8" s="52" t="s">
        <v>161</v>
      </c>
    </row>
    <row r="9">
      <c r="A9" s="14"/>
      <c r="B9" s="53" t="s">
        <v>162</v>
      </c>
      <c r="C9" s="51">
        <v>46184.0</v>
      </c>
      <c r="D9" s="52" t="s">
        <v>161</v>
      </c>
    </row>
    <row r="10">
      <c r="A10" s="14"/>
      <c r="B10" s="53" t="s">
        <v>163</v>
      </c>
      <c r="C10" s="51">
        <v>46184.0</v>
      </c>
      <c r="D10" s="52" t="s">
        <v>161</v>
      </c>
    </row>
    <row r="11">
      <c r="A11" s="14"/>
      <c r="B11" s="53" t="s">
        <v>164</v>
      </c>
      <c r="C11" s="51">
        <v>46184.0</v>
      </c>
      <c r="D11" s="52" t="s">
        <v>161</v>
      </c>
    </row>
    <row r="12">
      <c r="A12" s="14"/>
      <c r="B12" s="53" t="s">
        <v>165</v>
      </c>
      <c r="C12" s="51">
        <v>46184.0</v>
      </c>
      <c r="D12" s="52" t="s">
        <v>161</v>
      </c>
    </row>
    <row r="13">
      <c r="A13" s="14"/>
      <c r="B13" s="53" t="s">
        <v>166</v>
      </c>
      <c r="C13" s="51">
        <v>46184.0</v>
      </c>
      <c r="D13" s="52" t="s">
        <v>161</v>
      </c>
    </row>
    <row r="14">
      <c r="A14" s="14"/>
      <c r="B14" s="53" t="s">
        <v>167</v>
      </c>
      <c r="C14" s="51">
        <v>46184.0</v>
      </c>
      <c r="D14" s="52" t="s">
        <v>161</v>
      </c>
    </row>
    <row r="15">
      <c r="A15" s="14"/>
      <c r="B15" s="53" t="s">
        <v>168</v>
      </c>
      <c r="C15" s="51">
        <v>46184.0</v>
      </c>
      <c r="D15" s="52" t="s">
        <v>161</v>
      </c>
    </row>
    <row r="16">
      <c r="A16" s="14"/>
      <c r="B16" s="53" t="s">
        <v>169</v>
      </c>
      <c r="C16" s="51">
        <v>46184.0</v>
      </c>
      <c r="D16" s="52" t="s">
        <v>161</v>
      </c>
    </row>
    <row r="17">
      <c r="A17" s="14"/>
      <c r="B17" s="53" t="s">
        <v>170</v>
      </c>
      <c r="C17" s="51">
        <v>46184.0</v>
      </c>
      <c r="D17" s="52" t="s">
        <v>161</v>
      </c>
    </row>
    <row r="18">
      <c r="A18" s="14"/>
      <c r="B18" s="53" t="s">
        <v>171</v>
      </c>
      <c r="C18" s="51">
        <v>46184.0</v>
      </c>
      <c r="D18" s="52" t="s">
        <v>161</v>
      </c>
    </row>
    <row r="19">
      <c r="A19" s="16"/>
      <c r="B19" s="53" t="s">
        <v>172</v>
      </c>
      <c r="C19" s="51">
        <v>46184.0</v>
      </c>
      <c r="D19" s="52" t="s">
        <v>161</v>
      </c>
    </row>
    <row r="20">
      <c r="A20" s="49">
        <v>2.0</v>
      </c>
      <c r="B20" s="54" t="s">
        <v>173</v>
      </c>
      <c r="C20" s="51">
        <v>46185.0</v>
      </c>
      <c r="D20" s="52" t="s">
        <v>161</v>
      </c>
    </row>
    <row r="21">
      <c r="A21" s="14"/>
      <c r="B21" s="53" t="s">
        <v>174</v>
      </c>
      <c r="C21" s="51">
        <v>46185.0</v>
      </c>
      <c r="D21" s="52" t="s">
        <v>161</v>
      </c>
    </row>
    <row r="22">
      <c r="A22" s="14"/>
      <c r="B22" s="53" t="s">
        <v>175</v>
      </c>
      <c r="C22" s="51">
        <v>46185.0</v>
      </c>
      <c r="D22" s="52" t="s">
        <v>161</v>
      </c>
    </row>
    <row r="23">
      <c r="A23" s="14"/>
      <c r="B23" s="53" t="s">
        <v>176</v>
      </c>
      <c r="C23" s="51">
        <v>46185.0</v>
      </c>
      <c r="D23" s="52" t="s">
        <v>161</v>
      </c>
    </row>
    <row r="24">
      <c r="A24" s="14"/>
      <c r="B24" s="53" t="s">
        <v>177</v>
      </c>
      <c r="C24" s="51">
        <v>46185.0</v>
      </c>
      <c r="D24" s="52" t="s">
        <v>161</v>
      </c>
    </row>
    <row r="25">
      <c r="A25" s="14"/>
      <c r="B25" s="53" t="s">
        <v>178</v>
      </c>
      <c r="C25" s="51">
        <v>46185.0</v>
      </c>
      <c r="D25" s="52" t="s">
        <v>161</v>
      </c>
    </row>
    <row r="26">
      <c r="A26" s="14"/>
      <c r="B26" s="53" t="s">
        <v>179</v>
      </c>
      <c r="C26" s="51">
        <v>46185.0</v>
      </c>
      <c r="D26" s="52" t="s">
        <v>161</v>
      </c>
    </row>
    <row r="27">
      <c r="A27" s="14"/>
      <c r="B27" s="53" t="s">
        <v>180</v>
      </c>
      <c r="C27" s="51">
        <v>46185.0</v>
      </c>
      <c r="D27" s="52" t="s">
        <v>161</v>
      </c>
    </row>
    <row r="28">
      <c r="A28" s="14"/>
      <c r="B28" s="53" t="s">
        <v>182</v>
      </c>
      <c r="C28" s="51">
        <v>46185.0</v>
      </c>
      <c r="D28" s="52" t="s">
        <v>161</v>
      </c>
    </row>
    <row r="29">
      <c r="A29" s="14"/>
      <c r="B29" s="53" t="s">
        <v>183</v>
      </c>
      <c r="C29" s="51">
        <v>46185.0</v>
      </c>
      <c r="D29" s="52" t="s">
        <v>161</v>
      </c>
    </row>
    <row r="30">
      <c r="A30" s="14"/>
      <c r="B30" s="53" t="s">
        <v>184</v>
      </c>
      <c r="C30" s="51">
        <v>46185.0</v>
      </c>
      <c r="D30" s="52" t="s">
        <v>161</v>
      </c>
    </row>
    <row r="31">
      <c r="A31" s="14"/>
      <c r="B31" s="53" t="s">
        <v>185</v>
      </c>
      <c r="C31" s="51">
        <v>46185.0</v>
      </c>
      <c r="D31" s="52" t="s">
        <v>161</v>
      </c>
    </row>
    <row r="32">
      <c r="A32" s="14"/>
      <c r="B32" s="53" t="s">
        <v>186</v>
      </c>
      <c r="C32" s="51">
        <v>46185.0</v>
      </c>
      <c r="D32" s="52" t="s">
        <v>161</v>
      </c>
    </row>
    <row r="33">
      <c r="A33" s="14"/>
      <c r="B33" s="53" t="s">
        <v>187</v>
      </c>
      <c r="C33" s="51">
        <v>46185.0</v>
      </c>
      <c r="D33" s="52" t="s">
        <v>161</v>
      </c>
    </row>
    <row r="34">
      <c r="A34" s="16"/>
      <c r="B34" s="53" t="s">
        <v>188</v>
      </c>
      <c r="C34" s="51">
        <v>46185.0</v>
      </c>
      <c r="D34" s="52" t="s">
        <v>161</v>
      </c>
    </row>
    <row r="35">
      <c r="A35" s="49">
        <v>3.0</v>
      </c>
      <c r="B35" s="54" t="s">
        <v>189</v>
      </c>
      <c r="C35" s="51">
        <v>46187.0</v>
      </c>
      <c r="D35" s="52" t="s">
        <v>161</v>
      </c>
    </row>
    <row r="36">
      <c r="A36" s="14"/>
      <c r="B36" s="53" t="s">
        <v>191</v>
      </c>
      <c r="C36" s="51">
        <v>46187.0</v>
      </c>
      <c r="D36" s="52" t="s">
        <v>161</v>
      </c>
    </row>
    <row r="37">
      <c r="A37" s="14"/>
      <c r="B37" s="53" t="s">
        <v>192</v>
      </c>
      <c r="C37" s="51">
        <v>46187.0</v>
      </c>
      <c r="D37" s="52" t="s">
        <v>161</v>
      </c>
    </row>
    <row r="38">
      <c r="A38" s="14"/>
      <c r="B38" s="53" t="s">
        <v>194</v>
      </c>
      <c r="C38" s="51">
        <v>46187.0</v>
      </c>
      <c r="D38" s="52" t="s">
        <v>161</v>
      </c>
    </row>
    <row r="39">
      <c r="A39" s="14"/>
      <c r="B39" s="53" t="s">
        <v>195</v>
      </c>
      <c r="C39" s="51">
        <v>46187.0</v>
      </c>
      <c r="D39" s="52" t="s">
        <v>161</v>
      </c>
    </row>
    <row r="40">
      <c r="A40" s="14"/>
      <c r="B40" s="53" t="s">
        <v>196</v>
      </c>
      <c r="C40" s="51">
        <v>46187.0</v>
      </c>
      <c r="D40" s="52" t="s">
        <v>161</v>
      </c>
    </row>
    <row r="41">
      <c r="A41" s="14"/>
      <c r="B41" s="53" t="s">
        <v>197</v>
      </c>
      <c r="C41" s="51">
        <v>46187.0</v>
      </c>
      <c r="D41" s="52" t="s">
        <v>161</v>
      </c>
    </row>
    <row r="42">
      <c r="A42" s="14"/>
      <c r="B42" s="53" t="s">
        <v>198</v>
      </c>
      <c r="C42" s="51">
        <v>46187.0</v>
      </c>
      <c r="D42" s="52" t="s">
        <v>161</v>
      </c>
    </row>
    <row r="43">
      <c r="A43" s="14"/>
      <c r="B43" s="53" t="s">
        <v>199</v>
      </c>
      <c r="C43" s="51">
        <v>46187.0</v>
      </c>
      <c r="D43" s="52" t="s">
        <v>161</v>
      </c>
    </row>
    <row r="44">
      <c r="A44" s="14"/>
      <c r="B44" s="53" t="s">
        <v>201</v>
      </c>
      <c r="C44" s="51">
        <v>46187.0</v>
      </c>
      <c r="D44" s="52" t="s">
        <v>161</v>
      </c>
    </row>
    <row r="45">
      <c r="A45" s="14"/>
      <c r="B45" s="53" t="s">
        <v>202</v>
      </c>
      <c r="C45" s="51">
        <v>46187.0</v>
      </c>
      <c r="D45" s="52" t="s">
        <v>161</v>
      </c>
    </row>
    <row r="46">
      <c r="A46" s="14"/>
      <c r="B46" s="53" t="s">
        <v>203</v>
      </c>
      <c r="C46" s="51">
        <v>46187.0</v>
      </c>
      <c r="D46" s="52" t="s">
        <v>161</v>
      </c>
    </row>
    <row r="47">
      <c r="A47" s="16"/>
      <c r="B47" s="53" t="s">
        <v>204</v>
      </c>
      <c r="C47" s="51">
        <v>46187.0</v>
      </c>
      <c r="D47" s="52" t="s">
        <v>161</v>
      </c>
    </row>
    <row r="48">
      <c r="A48" s="49">
        <v>4.0</v>
      </c>
      <c r="B48" s="54" t="s">
        <v>205</v>
      </c>
      <c r="C48" s="51">
        <v>46188.0</v>
      </c>
      <c r="D48" s="52" t="s">
        <v>161</v>
      </c>
    </row>
    <row r="49">
      <c r="A49" s="14"/>
      <c r="B49" s="53" t="s">
        <v>206</v>
      </c>
      <c r="C49" s="51">
        <v>46188.0</v>
      </c>
      <c r="D49" s="52" t="s">
        <v>161</v>
      </c>
    </row>
    <row r="50">
      <c r="A50" s="14"/>
      <c r="B50" s="53" t="s">
        <v>207</v>
      </c>
      <c r="C50" s="51">
        <v>46188.0</v>
      </c>
      <c r="D50" s="52" t="s">
        <v>161</v>
      </c>
    </row>
    <row r="51">
      <c r="A51" s="14"/>
      <c r="B51" s="53" t="s">
        <v>208</v>
      </c>
      <c r="C51" s="51">
        <v>46188.0</v>
      </c>
      <c r="D51" s="52" t="s">
        <v>161</v>
      </c>
    </row>
    <row r="52">
      <c r="A52" s="14"/>
      <c r="B52" s="53" t="s">
        <v>209</v>
      </c>
      <c r="C52" s="51">
        <v>46188.0</v>
      </c>
      <c r="D52" s="52" t="s">
        <v>161</v>
      </c>
    </row>
    <row r="53">
      <c r="A53" s="14"/>
      <c r="B53" s="53" t="s">
        <v>211</v>
      </c>
      <c r="C53" s="51">
        <v>46188.0</v>
      </c>
      <c r="D53" s="52" t="s">
        <v>161</v>
      </c>
    </row>
    <row r="54">
      <c r="A54" s="14"/>
      <c r="B54" s="53" t="s">
        <v>212</v>
      </c>
      <c r="C54" s="51">
        <v>46188.0</v>
      </c>
      <c r="D54" s="52" t="s">
        <v>161</v>
      </c>
    </row>
    <row r="55">
      <c r="A55" s="14"/>
      <c r="B55" s="53" t="s">
        <v>213</v>
      </c>
      <c r="C55" s="51">
        <v>46188.0</v>
      </c>
      <c r="D55" s="52" t="s">
        <v>161</v>
      </c>
    </row>
    <row r="56">
      <c r="A56" s="14"/>
      <c r="B56" s="53" t="s">
        <v>214</v>
      </c>
      <c r="C56" s="51">
        <v>46188.0</v>
      </c>
      <c r="D56" s="52" t="s">
        <v>161</v>
      </c>
    </row>
    <row r="57">
      <c r="A57" s="14"/>
      <c r="B57" s="53" t="s">
        <v>215</v>
      </c>
      <c r="C57" s="51">
        <v>46188.0</v>
      </c>
      <c r="D57" s="52" t="s">
        <v>161</v>
      </c>
    </row>
    <row r="58">
      <c r="A58" s="14"/>
      <c r="B58" s="53" t="s">
        <v>216</v>
      </c>
      <c r="C58" s="51">
        <v>46188.0</v>
      </c>
      <c r="D58" s="52" t="s">
        <v>161</v>
      </c>
    </row>
    <row r="59">
      <c r="A59" s="14"/>
      <c r="B59" s="53" t="s">
        <v>217</v>
      </c>
      <c r="C59" s="51">
        <v>46188.0</v>
      </c>
      <c r="D59" s="52" t="s">
        <v>161</v>
      </c>
    </row>
    <row r="60">
      <c r="A60" s="16"/>
      <c r="B60" s="53" t="s">
        <v>218</v>
      </c>
      <c r="C60" s="51">
        <v>46188.0</v>
      </c>
      <c r="D60" s="52" t="s">
        <v>161</v>
      </c>
    </row>
    <row r="61">
      <c r="A61" s="49">
        <v>5.0</v>
      </c>
      <c r="B61" s="54" t="s">
        <v>219</v>
      </c>
      <c r="C61" s="51">
        <v>46189.0</v>
      </c>
      <c r="D61" s="52" t="s">
        <v>161</v>
      </c>
    </row>
    <row r="62">
      <c r="A62" s="14"/>
      <c r="B62" s="53" t="s">
        <v>221</v>
      </c>
      <c r="C62" s="51">
        <v>46189.0</v>
      </c>
      <c r="D62" s="52" t="s">
        <v>161</v>
      </c>
    </row>
    <row r="63">
      <c r="A63" s="14"/>
      <c r="B63" s="53" t="s">
        <v>222</v>
      </c>
      <c r="C63" s="51">
        <v>46189.0</v>
      </c>
      <c r="D63" s="52" t="s">
        <v>161</v>
      </c>
    </row>
    <row r="64">
      <c r="A64" s="14"/>
      <c r="B64" s="53" t="s">
        <v>223</v>
      </c>
      <c r="C64" s="51">
        <v>46189.0</v>
      </c>
      <c r="D64" s="52" t="s">
        <v>161</v>
      </c>
    </row>
    <row r="65">
      <c r="A65" s="14"/>
      <c r="B65" s="53" t="s">
        <v>224</v>
      </c>
      <c r="C65" s="51">
        <v>46189.0</v>
      </c>
      <c r="D65" s="52" t="s">
        <v>161</v>
      </c>
    </row>
    <row r="66">
      <c r="A66" s="14"/>
      <c r="B66" s="53" t="s">
        <v>225</v>
      </c>
      <c r="C66" s="51">
        <v>46189.0</v>
      </c>
      <c r="D66" s="52" t="s">
        <v>161</v>
      </c>
    </row>
    <row r="67">
      <c r="A67" s="14"/>
      <c r="B67" s="53" t="s">
        <v>226</v>
      </c>
      <c r="C67" s="51">
        <v>46189.0</v>
      </c>
      <c r="D67" s="52" t="s">
        <v>161</v>
      </c>
    </row>
    <row r="68">
      <c r="A68" s="14"/>
      <c r="B68" s="53" t="s">
        <v>227</v>
      </c>
      <c r="C68" s="51">
        <v>46189.0</v>
      </c>
      <c r="D68" s="52" t="s">
        <v>161</v>
      </c>
    </row>
    <row r="69">
      <c r="A69" s="14"/>
      <c r="B69" s="53" t="s">
        <v>228</v>
      </c>
      <c r="C69" s="51">
        <v>46189.0</v>
      </c>
      <c r="D69" s="52" t="s">
        <v>161</v>
      </c>
    </row>
    <row r="70">
      <c r="A70" s="14"/>
      <c r="B70" s="53" t="s">
        <v>229</v>
      </c>
      <c r="C70" s="51">
        <v>46189.0</v>
      </c>
      <c r="D70" s="52" t="s">
        <v>161</v>
      </c>
    </row>
    <row r="71">
      <c r="A71" s="14"/>
      <c r="B71" s="53" t="s">
        <v>230</v>
      </c>
      <c r="C71" s="51">
        <v>46189.0</v>
      </c>
      <c r="D71" s="52" t="s">
        <v>161</v>
      </c>
    </row>
    <row r="72">
      <c r="A72" s="14"/>
      <c r="B72" s="53" t="s">
        <v>232</v>
      </c>
      <c r="C72" s="51">
        <v>46189.0</v>
      </c>
      <c r="D72" s="52" t="s">
        <v>161</v>
      </c>
    </row>
    <row r="73">
      <c r="A73" s="16"/>
      <c r="B73" s="53" t="s">
        <v>233</v>
      </c>
      <c r="C73" s="51">
        <v>46189.0</v>
      </c>
      <c r="D73" s="52" t="s">
        <v>161</v>
      </c>
    </row>
    <row r="74">
      <c r="A74" s="49">
        <v>6.0</v>
      </c>
      <c r="B74" s="54" t="s">
        <v>234</v>
      </c>
      <c r="C74" s="51">
        <v>46190.0</v>
      </c>
      <c r="D74" s="52" t="s">
        <v>161</v>
      </c>
    </row>
    <row r="75">
      <c r="A75" s="14"/>
      <c r="B75" s="53" t="s">
        <v>235</v>
      </c>
      <c r="C75" s="56"/>
      <c r="D75" s="52" t="s">
        <v>161</v>
      </c>
    </row>
    <row r="76">
      <c r="A76" s="14"/>
      <c r="B76" s="53" t="s">
        <v>238</v>
      </c>
      <c r="C76" s="56"/>
      <c r="D76" s="52" t="s">
        <v>161</v>
      </c>
    </row>
    <row r="77">
      <c r="A77" s="14"/>
      <c r="B77" s="53" t="s">
        <v>240</v>
      </c>
      <c r="C77" s="56"/>
      <c r="D77" s="52" t="s">
        <v>161</v>
      </c>
    </row>
    <row r="78">
      <c r="A78" s="14"/>
      <c r="B78" s="53" t="s">
        <v>242</v>
      </c>
      <c r="C78" s="56"/>
      <c r="D78" s="52" t="s">
        <v>161</v>
      </c>
    </row>
    <row r="79">
      <c r="A79" s="14"/>
      <c r="B79" s="53" t="s">
        <v>243</v>
      </c>
      <c r="C79" s="56"/>
      <c r="D79" s="52" t="s">
        <v>161</v>
      </c>
    </row>
    <row r="80">
      <c r="A80" s="14"/>
      <c r="B80" s="53" t="s">
        <v>246</v>
      </c>
      <c r="C80" s="56"/>
      <c r="D80" s="52" t="s">
        <v>161</v>
      </c>
    </row>
    <row r="81">
      <c r="A81" s="14"/>
      <c r="B81" s="53" t="s">
        <v>247</v>
      </c>
      <c r="C81" s="56"/>
      <c r="D81" s="52" t="s">
        <v>161</v>
      </c>
    </row>
    <row r="82">
      <c r="A82" s="14"/>
      <c r="B82" s="53" t="s">
        <v>249</v>
      </c>
      <c r="C82" s="56"/>
      <c r="D82" s="52" t="s">
        <v>161</v>
      </c>
    </row>
    <row r="83">
      <c r="A83" s="16"/>
      <c r="B83" s="53" t="s">
        <v>252</v>
      </c>
      <c r="C83" s="56"/>
      <c r="D83" s="52" t="s">
        <v>161</v>
      </c>
    </row>
    <row r="84">
      <c r="A84" s="49">
        <v>7.0</v>
      </c>
      <c r="B84" s="54" t="s">
        <v>255</v>
      </c>
      <c r="C84" s="56"/>
      <c r="D84" s="52" t="s">
        <v>161</v>
      </c>
    </row>
    <row r="85">
      <c r="A85" s="14"/>
      <c r="B85" s="53" t="s">
        <v>256</v>
      </c>
      <c r="C85" s="56"/>
      <c r="D85" s="52" t="s">
        <v>161</v>
      </c>
    </row>
    <row r="86">
      <c r="A86" s="14"/>
      <c r="B86" s="53" t="s">
        <v>257</v>
      </c>
      <c r="C86" s="56"/>
      <c r="D86" s="52" t="s">
        <v>161</v>
      </c>
    </row>
    <row r="87">
      <c r="A87" s="14"/>
      <c r="B87" s="53" t="s">
        <v>260</v>
      </c>
      <c r="C87" s="56"/>
      <c r="D87" s="52" t="s">
        <v>161</v>
      </c>
    </row>
    <row r="88">
      <c r="A88" s="14"/>
      <c r="B88" s="53" t="s">
        <v>261</v>
      </c>
      <c r="C88" s="56"/>
      <c r="D88" s="52" t="s">
        <v>161</v>
      </c>
    </row>
    <row r="89">
      <c r="A89" s="14"/>
      <c r="B89" s="53" t="s">
        <v>264</v>
      </c>
      <c r="C89" s="56"/>
      <c r="D89" s="52" t="s">
        <v>161</v>
      </c>
    </row>
    <row r="90">
      <c r="A90" s="14"/>
      <c r="B90" s="53" t="s">
        <v>265</v>
      </c>
      <c r="C90" s="56"/>
      <c r="D90" s="52" t="s">
        <v>161</v>
      </c>
    </row>
    <row r="91">
      <c r="A91" s="14"/>
      <c r="B91" s="53" t="s">
        <v>267</v>
      </c>
      <c r="C91" s="56"/>
      <c r="D91" s="52" t="s">
        <v>161</v>
      </c>
    </row>
    <row r="92">
      <c r="A92" s="14"/>
      <c r="B92" s="53" t="s">
        <v>270</v>
      </c>
      <c r="C92" s="56"/>
      <c r="D92" s="52" t="s">
        <v>161</v>
      </c>
    </row>
    <row r="93">
      <c r="A93" s="14"/>
      <c r="B93" s="53" t="s">
        <v>271</v>
      </c>
      <c r="C93" s="56"/>
      <c r="D93" s="52" t="s">
        <v>161</v>
      </c>
    </row>
    <row r="94">
      <c r="A94" s="14"/>
      <c r="B94" s="53" t="s">
        <v>274</v>
      </c>
      <c r="C94" s="56"/>
      <c r="D94" s="52" t="s">
        <v>161</v>
      </c>
    </row>
    <row r="95">
      <c r="A95" s="14"/>
      <c r="B95" s="53" t="s">
        <v>275</v>
      </c>
      <c r="C95" s="56"/>
      <c r="D95" s="52" t="s">
        <v>161</v>
      </c>
    </row>
    <row r="96">
      <c r="A96" s="16"/>
      <c r="B96" s="53" t="s">
        <v>278</v>
      </c>
      <c r="C96" s="56"/>
      <c r="D96" s="52" t="s">
        <v>161</v>
      </c>
    </row>
    <row r="97">
      <c r="A97" s="49">
        <v>8.0</v>
      </c>
      <c r="B97" s="54" t="s">
        <v>279</v>
      </c>
      <c r="C97" s="56"/>
      <c r="D97" s="52" t="s">
        <v>161</v>
      </c>
    </row>
    <row r="98">
      <c r="A98" s="14"/>
      <c r="B98" s="53" t="s">
        <v>282</v>
      </c>
      <c r="C98" s="56"/>
      <c r="D98" s="52" t="s">
        <v>161</v>
      </c>
    </row>
    <row r="99">
      <c r="A99" s="14"/>
      <c r="B99" s="53" t="s">
        <v>283</v>
      </c>
      <c r="C99" s="56"/>
      <c r="D99" s="52" t="s">
        <v>161</v>
      </c>
    </row>
    <row r="100">
      <c r="A100" s="14"/>
      <c r="B100" s="53" t="s">
        <v>286</v>
      </c>
      <c r="C100" s="56"/>
      <c r="D100" s="52" t="s">
        <v>161</v>
      </c>
    </row>
    <row r="101">
      <c r="A101" s="14"/>
      <c r="B101" s="53" t="s">
        <v>287</v>
      </c>
      <c r="C101" s="56"/>
      <c r="D101" s="52" t="s">
        <v>161</v>
      </c>
    </row>
    <row r="102">
      <c r="A102" s="14"/>
      <c r="B102" s="53" t="s">
        <v>289</v>
      </c>
      <c r="C102" s="56"/>
      <c r="D102" s="52" t="s">
        <v>161</v>
      </c>
    </row>
    <row r="103">
      <c r="A103" s="14"/>
      <c r="B103" s="53" t="s">
        <v>292</v>
      </c>
      <c r="C103" s="56"/>
      <c r="D103" s="52" t="s">
        <v>161</v>
      </c>
    </row>
    <row r="104">
      <c r="A104" s="14"/>
      <c r="B104" s="53" t="s">
        <v>293</v>
      </c>
      <c r="C104" s="56"/>
      <c r="D104" s="52" t="s">
        <v>161</v>
      </c>
    </row>
    <row r="105">
      <c r="A105" s="14"/>
      <c r="B105" s="53" t="s">
        <v>294</v>
      </c>
      <c r="C105" s="56"/>
      <c r="D105" s="52" t="s">
        <v>161</v>
      </c>
    </row>
    <row r="106">
      <c r="A106" s="14"/>
      <c r="B106" s="53" t="s">
        <v>297</v>
      </c>
      <c r="C106" s="56"/>
      <c r="D106" s="52" t="s">
        <v>161</v>
      </c>
    </row>
    <row r="107">
      <c r="A107" s="14"/>
      <c r="B107" s="53" t="s">
        <v>298</v>
      </c>
      <c r="C107" s="56"/>
      <c r="D107" s="52" t="s">
        <v>161</v>
      </c>
    </row>
    <row r="108">
      <c r="A108" s="16"/>
      <c r="B108" s="53" t="s">
        <v>300</v>
      </c>
      <c r="C108" s="56"/>
      <c r="D108" s="52" t="s">
        <v>161</v>
      </c>
    </row>
    <row r="109">
      <c r="A109" s="49">
        <v>9.0</v>
      </c>
      <c r="B109" s="54" t="s">
        <v>302</v>
      </c>
      <c r="C109" s="56"/>
      <c r="D109" s="52" t="s">
        <v>161</v>
      </c>
    </row>
    <row r="110">
      <c r="A110" s="14"/>
      <c r="B110" s="53" t="s">
        <v>305</v>
      </c>
      <c r="C110" s="56"/>
      <c r="D110" s="52" t="s">
        <v>161</v>
      </c>
    </row>
    <row r="111">
      <c r="A111" s="14"/>
      <c r="B111" s="53" t="s">
        <v>307</v>
      </c>
      <c r="C111" s="56"/>
      <c r="D111" s="52" t="s">
        <v>161</v>
      </c>
    </row>
    <row r="112">
      <c r="A112" s="14"/>
      <c r="B112" s="53" t="s">
        <v>310</v>
      </c>
      <c r="C112" s="56"/>
      <c r="D112" s="52" t="s">
        <v>161</v>
      </c>
    </row>
    <row r="113">
      <c r="A113" s="14"/>
      <c r="B113" s="53" t="s">
        <v>311</v>
      </c>
      <c r="C113" s="56"/>
      <c r="D113" s="52" t="s">
        <v>161</v>
      </c>
    </row>
    <row r="114">
      <c r="A114" s="14"/>
      <c r="B114" s="53" t="s">
        <v>314</v>
      </c>
      <c r="C114" s="56"/>
      <c r="D114" s="52" t="s">
        <v>161</v>
      </c>
    </row>
    <row r="115">
      <c r="A115" s="14"/>
      <c r="B115" s="53" t="s">
        <v>315</v>
      </c>
      <c r="C115" s="56"/>
      <c r="D115" s="52" t="s">
        <v>161</v>
      </c>
    </row>
    <row r="116">
      <c r="A116" s="14"/>
      <c r="B116" s="53" t="s">
        <v>318</v>
      </c>
      <c r="C116" s="56"/>
      <c r="D116" s="52" t="s">
        <v>161</v>
      </c>
    </row>
    <row r="117">
      <c r="A117" s="14"/>
      <c r="B117" s="53" t="s">
        <v>319</v>
      </c>
      <c r="C117" s="56"/>
      <c r="D117" s="52" t="s">
        <v>161</v>
      </c>
    </row>
    <row r="118">
      <c r="A118" s="14"/>
      <c r="B118" s="53" t="s">
        <v>322</v>
      </c>
      <c r="C118" s="56"/>
      <c r="D118" s="52" t="s">
        <v>161</v>
      </c>
    </row>
    <row r="119">
      <c r="A119" s="14"/>
      <c r="B119" s="53" t="s">
        <v>323</v>
      </c>
      <c r="C119" s="56"/>
      <c r="D119" s="52" t="s">
        <v>161</v>
      </c>
    </row>
    <row r="120">
      <c r="A120" s="14"/>
      <c r="B120" s="53" t="s">
        <v>327</v>
      </c>
      <c r="C120" s="56"/>
      <c r="D120" s="52" t="s">
        <v>161</v>
      </c>
    </row>
    <row r="121">
      <c r="A121" s="14"/>
      <c r="B121" s="53" t="s">
        <v>328</v>
      </c>
      <c r="C121" s="56"/>
      <c r="D121" s="52" t="s">
        <v>161</v>
      </c>
    </row>
    <row r="122">
      <c r="A122" s="16"/>
      <c r="B122" s="53" t="s">
        <v>331</v>
      </c>
      <c r="C122" s="56"/>
      <c r="D122" s="52" t="s">
        <v>161</v>
      </c>
    </row>
    <row r="123">
      <c r="A123" s="49">
        <v>10.0</v>
      </c>
      <c r="B123" s="54" t="s">
        <v>334</v>
      </c>
      <c r="C123" s="56"/>
      <c r="D123" s="52" t="s">
        <v>161</v>
      </c>
    </row>
    <row r="124">
      <c r="A124" s="14"/>
      <c r="B124" s="53" t="s">
        <v>335</v>
      </c>
      <c r="C124" s="56"/>
      <c r="D124" s="52" t="s">
        <v>161</v>
      </c>
    </row>
    <row r="125">
      <c r="A125" s="14"/>
      <c r="B125" s="53" t="s">
        <v>338</v>
      </c>
      <c r="C125" s="56"/>
      <c r="D125" s="52" t="s">
        <v>161</v>
      </c>
    </row>
    <row r="126">
      <c r="A126" s="14"/>
      <c r="B126" s="53" t="s">
        <v>339</v>
      </c>
      <c r="C126" s="56"/>
      <c r="D126" s="52" t="s">
        <v>161</v>
      </c>
    </row>
    <row r="127">
      <c r="A127" s="14"/>
      <c r="B127" s="53" t="s">
        <v>342</v>
      </c>
      <c r="C127" s="56"/>
      <c r="D127" s="52" t="s">
        <v>161</v>
      </c>
    </row>
    <row r="128">
      <c r="A128" s="14"/>
      <c r="B128" s="53" t="s">
        <v>343</v>
      </c>
      <c r="C128" s="56"/>
      <c r="D128" s="52" t="s">
        <v>161</v>
      </c>
    </row>
    <row r="129">
      <c r="A129" s="14"/>
      <c r="B129" s="53" t="s">
        <v>347</v>
      </c>
      <c r="C129" s="56"/>
      <c r="D129" s="52" t="s">
        <v>161</v>
      </c>
    </row>
    <row r="130">
      <c r="A130" s="14"/>
      <c r="B130" s="53" t="s">
        <v>348</v>
      </c>
      <c r="C130" s="56"/>
      <c r="D130" s="52" t="s">
        <v>161</v>
      </c>
    </row>
    <row r="131">
      <c r="A131" s="14"/>
      <c r="B131" s="53" t="s">
        <v>352</v>
      </c>
      <c r="C131" s="56"/>
      <c r="D131" s="52" t="s">
        <v>161</v>
      </c>
    </row>
    <row r="132">
      <c r="A132" s="14"/>
      <c r="B132" s="53" t="s">
        <v>353</v>
      </c>
      <c r="C132" s="56"/>
      <c r="D132" s="52" t="s">
        <v>161</v>
      </c>
    </row>
    <row r="133">
      <c r="A133" s="14"/>
      <c r="B133" s="53" t="s">
        <v>356</v>
      </c>
      <c r="C133" s="56"/>
      <c r="D133" s="52" t="s">
        <v>161</v>
      </c>
    </row>
    <row r="134">
      <c r="A134" s="14"/>
      <c r="B134" s="53" t="s">
        <v>357</v>
      </c>
      <c r="C134" s="56"/>
      <c r="D134" s="52" t="s">
        <v>161</v>
      </c>
    </row>
    <row r="135">
      <c r="A135" s="16"/>
      <c r="B135" s="53" t="s">
        <v>359</v>
      </c>
      <c r="C135" s="56"/>
      <c r="D135" s="52" t="s">
        <v>161</v>
      </c>
    </row>
    <row r="136">
      <c r="A136" s="49">
        <v>11.0</v>
      </c>
      <c r="B136" s="54" t="s">
        <v>361</v>
      </c>
      <c r="C136" s="56"/>
      <c r="D136" s="52" t="s">
        <v>161</v>
      </c>
    </row>
    <row r="137">
      <c r="A137" s="14"/>
      <c r="B137" s="53" t="s">
        <v>364</v>
      </c>
      <c r="C137" s="56"/>
      <c r="D137" s="52" t="s">
        <v>161</v>
      </c>
    </row>
    <row r="138">
      <c r="A138" s="14"/>
      <c r="B138" s="53" t="s">
        <v>367</v>
      </c>
      <c r="C138" s="56"/>
      <c r="D138" s="52" t="s">
        <v>161</v>
      </c>
    </row>
    <row r="139">
      <c r="A139" s="14"/>
      <c r="B139" s="53" t="s">
        <v>369</v>
      </c>
      <c r="C139" s="56"/>
      <c r="D139" s="52" t="s">
        <v>161</v>
      </c>
    </row>
    <row r="140">
      <c r="A140" s="14"/>
      <c r="B140" s="53" t="s">
        <v>370</v>
      </c>
      <c r="C140" s="56"/>
      <c r="D140" s="52" t="s">
        <v>161</v>
      </c>
    </row>
    <row r="141">
      <c r="A141" s="14"/>
      <c r="B141" s="53" t="s">
        <v>373</v>
      </c>
      <c r="C141" s="56"/>
      <c r="D141" s="52" t="s">
        <v>161</v>
      </c>
    </row>
    <row r="142">
      <c r="A142" s="14"/>
      <c r="B142" s="53" t="s">
        <v>374</v>
      </c>
      <c r="C142" s="56"/>
      <c r="D142" s="52" t="s">
        <v>161</v>
      </c>
    </row>
    <row r="143">
      <c r="A143" s="14"/>
      <c r="B143" s="53" t="s">
        <v>377</v>
      </c>
      <c r="C143" s="56"/>
      <c r="D143" s="52" t="s">
        <v>161</v>
      </c>
    </row>
    <row r="144">
      <c r="A144" s="14"/>
      <c r="B144" s="53" t="s">
        <v>379</v>
      </c>
      <c r="C144" s="56"/>
      <c r="D144" s="52" t="s">
        <v>161</v>
      </c>
    </row>
    <row r="145">
      <c r="A145" s="14"/>
      <c r="B145" s="53" t="s">
        <v>380</v>
      </c>
      <c r="C145" s="56"/>
      <c r="D145" s="52" t="s">
        <v>161</v>
      </c>
    </row>
    <row r="146">
      <c r="A146" s="14"/>
      <c r="B146" s="53" t="s">
        <v>383</v>
      </c>
      <c r="C146" s="56"/>
      <c r="D146" s="52" t="s">
        <v>161</v>
      </c>
    </row>
    <row r="147">
      <c r="A147" s="14"/>
      <c r="B147" s="53" t="s">
        <v>384</v>
      </c>
      <c r="C147" s="56"/>
      <c r="D147" s="52" t="s">
        <v>161</v>
      </c>
    </row>
    <row r="148">
      <c r="A148" s="16"/>
      <c r="B148" s="53" t="s">
        <v>388</v>
      </c>
      <c r="C148" s="56"/>
      <c r="D148" s="52" t="s">
        <v>161</v>
      </c>
    </row>
    <row r="149">
      <c r="A149" s="49">
        <v>12.0</v>
      </c>
      <c r="B149" s="54" t="s">
        <v>391</v>
      </c>
      <c r="C149" s="56"/>
      <c r="D149" s="52" t="s">
        <v>161</v>
      </c>
    </row>
    <row r="150">
      <c r="A150" s="14"/>
      <c r="B150" s="53" t="s">
        <v>392</v>
      </c>
      <c r="C150" s="56"/>
      <c r="D150" s="52" t="s">
        <v>161</v>
      </c>
    </row>
    <row r="151">
      <c r="A151" s="14"/>
      <c r="B151" s="53" t="s">
        <v>395</v>
      </c>
      <c r="C151" s="56"/>
      <c r="D151" s="52" t="s">
        <v>161</v>
      </c>
    </row>
    <row r="152">
      <c r="A152" s="14"/>
      <c r="B152" s="53" t="s">
        <v>396</v>
      </c>
      <c r="C152" s="56"/>
      <c r="D152" s="52" t="s">
        <v>161</v>
      </c>
    </row>
    <row r="153">
      <c r="A153" s="14"/>
      <c r="B153" s="53" t="s">
        <v>397</v>
      </c>
      <c r="C153" s="56"/>
      <c r="D153" s="52" t="s">
        <v>161</v>
      </c>
    </row>
    <row r="154">
      <c r="A154" s="14"/>
      <c r="B154" s="53" t="s">
        <v>400</v>
      </c>
      <c r="C154" s="56"/>
      <c r="D154" s="52" t="s">
        <v>161</v>
      </c>
    </row>
    <row r="155">
      <c r="A155" s="14"/>
      <c r="B155" s="53" t="s">
        <v>401</v>
      </c>
      <c r="C155" s="56"/>
      <c r="D155" s="52" t="s">
        <v>161</v>
      </c>
    </row>
    <row r="156">
      <c r="A156" s="14"/>
      <c r="B156" s="53" t="s">
        <v>404</v>
      </c>
      <c r="C156" s="56"/>
      <c r="D156" s="52" t="s">
        <v>161</v>
      </c>
    </row>
    <row r="157">
      <c r="A157" s="14"/>
      <c r="B157" s="53" t="s">
        <v>406</v>
      </c>
      <c r="C157" s="56"/>
      <c r="D157" s="52" t="s">
        <v>161</v>
      </c>
    </row>
    <row r="158">
      <c r="A158" s="14"/>
      <c r="B158" s="53" t="s">
        <v>407</v>
      </c>
      <c r="C158" s="56"/>
      <c r="D158" s="52" t="s">
        <v>161</v>
      </c>
    </row>
    <row r="159">
      <c r="A159" s="14"/>
      <c r="B159" s="53" t="s">
        <v>410</v>
      </c>
      <c r="C159" s="56"/>
      <c r="D159" s="52" t="s">
        <v>161</v>
      </c>
    </row>
    <row r="160">
      <c r="A160" s="14"/>
      <c r="B160" s="53" t="s">
        <v>411</v>
      </c>
      <c r="C160" s="56"/>
      <c r="D160" s="52" t="s">
        <v>161</v>
      </c>
    </row>
    <row r="161">
      <c r="A161" s="14"/>
      <c r="B161" s="53" t="s">
        <v>412</v>
      </c>
      <c r="C161" s="56"/>
      <c r="D161" s="52" t="s">
        <v>161</v>
      </c>
    </row>
    <row r="162">
      <c r="A162" s="14"/>
      <c r="B162" s="53" t="s">
        <v>415</v>
      </c>
      <c r="C162" s="56"/>
      <c r="D162" s="52" t="s">
        <v>161</v>
      </c>
    </row>
    <row r="163">
      <c r="A163" s="16"/>
      <c r="B163" s="53" t="s">
        <v>416</v>
      </c>
      <c r="C163" s="56"/>
      <c r="D163" s="52" t="s">
        <v>161</v>
      </c>
    </row>
    <row r="164">
      <c r="A164" s="49">
        <v>13.0</v>
      </c>
      <c r="B164" s="54" t="s">
        <v>420</v>
      </c>
      <c r="C164" s="56"/>
      <c r="D164" s="52" t="s">
        <v>161</v>
      </c>
    </row>
    <row r="165">
      <c r="A165" s="14"/>
      <c r="B165" s="53" t="s">
        <v>423</v>
      </c>
      <c r="C165" s="56"/>
      <c r="D165" s="52" t="s">
        <v>161</v>
      </c>
    </row>
    <row r="166">
      <c r="A166" s="14"/>
      <c r="B166" s="53" t="s">
        <v>424</v>
      </c>
      <c r="C166" s="56"/>
      <c r="D166" s="52" t="s">
        <v>161</v>
      </c>
    </row>
    <row r="167">
      <c r="A167" s="14"/>
      <c r="B167" s="53" t="s">
        <v>427</v>
      </c>
      <c r="C167" s="56"/>
      <c r="D167" s="52" t="s">
        <v>161</v>
      </c>
    </row>
    <row r="168">
      <c r="A168" s="14"/>
      <c r="B168" s="53" t="s">
        <v>428</v>
      </c>
      <c r="C168" s="56"/>
      <c r="D168" s="52" t="s">
        <v>161</v>
      </c>
    </row>
    <row r="169">
      <c r="A169" s="14"/>
      <c r="B169" s="53" t="s">
        <v>429</v>
      </c>
      <c r="C169" s="56"/>
      <c r="D169" s="52" t="s">
        <v>161</v>
      </c>
    </row>
    <row r="170">
      <c r="A170" s="14"/>
      <c r="B170" s="53" t="s">
        <v>430</v>
      </c>
      <c r="C170" s="56"/>
      <c r="D170" s="52" t="s">
        <v>161</v>
      </c>
    </row>
    <row r="171">
      <c r="A171" s="14"/>
      <c r="B171" s="53" t="s">
        <v>434</v>
      </c>
      <c r="C171" s="56"/>
      <c r="D171" s="52" t="s">
        <v>161</v>
      </c>
    </row>
    <row r="172">
      <c r="A172" s="14"/>
      <c r="B172" s="53" t="s">
        <v>436</v>
      </c>
      <c r="C172" s="56"/>
      <c r="D172" s="52" t="s">
        <v>161</v>
      </c>
    </row>
    <row r="173">
      <c r="A173" s="14"/>
      <c r="B173" s="53" t="s">
        <v>437</v>
      </c>
      <c r="C173" s="56"/>
      <c r="D173" s="52" t="s">
        <v>161</v>
      </c>
    </row>
    <row r="174">
      <c r="A174" s="14"/>
      <c r="B174" s="53" t="s">
        <v>439</v>
      </c>
      <c r="C174" s="56"/>
      <c r="D174" s="52" t="s">
        <v>161</v>
      </c>
    </row>
    <row r="175">
      <c r="A175" s="14"/>
      <c r="B175" s="53" t="s">
        <v>441</v>
      </c>
      <c r="C175" s="56"/>
      <c r="D175" s="52" t="s">
        <v>161</v>
      </c>
    </row>
    <row r="176">
      <c r="A176" s="16"/>
      <c r="B176" s="53" t="s">
        <v>442</v>
      </c>
      <c r="C176" s="56"/>
      <c r="D176" s="52" t="s">
        <v>161</v>
      </c>
    </row>
    <row r="177">
      <c r="A177" s="49">
        <v>14.0</v>
      </c>
      <c r="B177" s="54" t="s">
        <v>446</v>
      </c>
      <c r="C177" s="56"/>
      <c r="D177" s="52" t="s">
        <v>161</v>
      </c>
    </row>
    <row r="178">
      <c r="A178" s="14"/>
      <c r="B178" s="53" t="s">
        <v>448</v>
      </c>
      <c r="C178" s="56"/>
      <c r="D178" s="52" t="s">
        <v>161</v>
      </c>
    </row>
    <row r="179">
      <c r="A179" s="14"/>
      <c r="B179" s="53" t="s">
        <v>450</v>
      </c>
      <c r="C179" s="56"/>
      <c r="D179" s="52" t="s">
        <v>161</v>
      </c>
    </row>
    <row r="180">
      <c r="A180" s="14"/>
      <c r="B180" s="53" t="s">
        <v>451</v>
      </c>
      <c r="C180" s="56"/>
      <c r="D180" s="52" t="s">
        <v>161</v>
      </c>
    </row>
    <row r="181">
      <c r="A181" s="14"/>
      <c r="B181" s="53" t="s">
        <v>455</v>
      </c>
      <c r="C181" s="56"/>
      <c r="D181" s="52" t="s">
        <v>161</v>
      </c>
    </row>
    <row r="182">
      <c r="A182" s="14"/>
      <c r="B182" s="53" t="s">
        <v>457</v>
      </c>
      <c r="C182" s="56"/>
      <c r="D182" s="52" t="s">
        <v>161</v>
      </c>
    </row>
    <row r="183">
      <c r="A183" s="14"/>
      <c r="B183" s="53" t="s">
        <v>459</v>
      </c>
      <c r="C183" s="56"/>
      <c r="D183" s="52" t="s">
        <v>161</v>
      </c>
    </row>
    <row r="184">
      <c r="A184" s="14"/>
      <c r="B184" s="53" t="s">
        <v>460</v>
      </c>
      <c r="C184" s="56"/>
      <c r="D184" s="52" t="s">
        <v>161</v>
      </c>
    </row>
    <row r="185">
      <c r="A185" s="14"/>
      <c r="B185" s="53" t="s">
        <v>464</v>
      </c>
      <c r="C185" s="56"/>
      <c r="D185" s="52" t="s">
        <v>161</v>
      </c>
    </row>
    <row r="186">
      <c r="A186" s="16"/>
      <c r="B186" s="53" t="s">
        <v>465</v>
      </c>
      <c r="C186" s="56"/>
      <c r="D186" s="52" t="s">
        <v>161</v>
      </c>
    </row>
    <row r="187">
      <c r="A187" s="49">
        <v>15.0</v>
      </c>
      <c r="B187" s="54" t="s">
        <v>468</v>
      </c>
      <c r="C187" s="56"/>
      <c r="D187" s="52" t="s">
        <v>161</v>
      </c>
    </row>
    <row r="188">
      <c r="A188" s="14"/>
      <c r="B188" s="53" t="s">
        <v>469</v>
      </c>
      <c r="C188" s="56"/>
      <c r="D188" s="52" t="s">
        <v>161</v>
      </c>
    </row>
    <row r="189">
      <c r="A189" s="14"/>
      <c r="B189" s="53" t="s">
        <v>470</v>
      </c>
      <c r="C189" s="56"/>
      <c r="D189" s="52" t="s">
        <v>161</v>
      </c>
    </row>
    <row r="190">
      <c r="A190" s="14"/>
      <c r="B190" s="53" t="s">
        <v>473</v>
      </c>
      <c r="C190" s="56"/>
      <c r="D190" s="52" t="s">
        <v>161</v>
      </c>
    </row>
    <row r="191">
      <c r="A191" s="14"/>
      <c r="B191" s="53" t="s">
        <v>474</v>
      </c>
      <c r="C191" s="56"/>
      <c r="D191" s="52" t="s">
        <v>161</v>
      </c>
    </row>
    <row r="192">
      <c r="A192" s="14"/>
      <c r="B192" s="53" t="s">
        <v>476</v>
      </c>
      <c r="C192" s="56"/>
      <c r="D192" s="52" t="s">
        <v>161</v>
      </c>
    </row>
    <row r="193">
      <c r="A193" s="14"/>
      <c r="B193" s="53" t="s">
        <v>478</v>
      </c>
      <c r="C193" s="56"/>
      <c r="D193" s="52" t="s">
        <v>161</v>
      </c>
    </row>
    <row r="194">
      <c r="A194" s="14"/>
      <c r="B194" s="53" t="s">
        <v>479</v>
      </c>
      <c r="C194" s="56"/>
      <c r="D194" s="52" t="s">
        <v>161</v>
      </c>
    </row>
    <row r="195">
      <c r="A195" s="14"/>
      <c r="B195" s="53" t="s">
        <v>482</v>
      </c>
      <c r="C195" s="56"/>
      <c r="D195" s="52" t="s">
        <v>161</v>
      </c>
    </row>
    <row r="196">
      <c r="A196" s="14"/>
      <c r="B196" s="53" t="s">
        <v>484</v>
      </c>
      <c r="C196" s="56"/>
      <c r="D196" s="52" t="s">
        <v>161</v>
      </c>
    </row>
    <row r="197">
      <c r="A197" s="16"/>
      <c r="B197" s="53" t="s">
        <v>485</v>
      </c>
      <c r="C197" s="56"/>
      <c r="D197" s="52" t="s">
        <v>161</v>
      </c>
    </row>
    <row r="198">
      <c r="A198" s="49">
        <v>16.0</v>
      </c>
      <c r="B198" s="54" t="s">
        <v>488</v>
      </c>
      <c r="C198" s="56"/>
      <c r="D198" s="52" t="s">
        <v>161</v>
      </c>
    </row>
    <row r="199">
      <c r="A199" s="14"/>
      <c r="B199" s="53" t="s">
        <v>490</v>
      </c>
      <c r="C199" s="56"/>
      <c r="D199" s="52" t="s">
        <v>161</v>
      </c>
    </row>
    <row r="200">
      <c r="A200" s="14"/>
      <c r="B200" s="53" t="s">
        <v>492</v>
      </c>
      <c r="C200" s="56"/>
      <c r="D200" s="52" t="s">
        <v>161</v>
      </c>
    </row>
    <row r="201">
      <c r="A201" s="14"/>
      <c r="B201" s="53" t="s">
        <v>493</v>
      </c>
      <c r="C201" s="56"/>
      <c r="D201" s="52" t="s">
        <v>161</v>
      </c>
    </row>
    <row r="202">
      <c r="A202" s="14"/>
      <c r="B202" s="53" t="s">
        <v>494</v>
      </c>
      <c r="C202" s="56"/>
      <c r="D202" s="52" t="s">
        <v>161</v>
      </c>
    </row>
    <row r="203">
      <c r="A203" s="14"/>
      <c r="B203" s="53" t="s">
        <v>497</v>
      </c>
      <c r="C203" s="56"/>
      <c r="D203" s="52" t="s">
        <v>161</v>
      </c>
    </row>
    <row r="204">
      <c r="A204" s="14"/>
      <c r="B204" s="53" t="s">
        <v>498</v>
      </c>
      <c r="C204" s="56"/>
      <c r="D204" s="52" t="s">
        <v>161</v>
      </c>
    </row>
    <row r="205">
      <c r="A205" s="14"/>
      <c r="B205" s="53" t="s">
        <v>501</v>
      </c>
      <c r="C205" s="56"/>
      <c r="D205" s="52" t="s">
        <v>161</v>
      </c>
    </row>
    <row r="206">
      <c r="A206" s="14"/>
      <c r="B206" s="53" t="s">
        <v>503</v>
      </c>
      <c r="C206" s="56"/>
      <c r="D206" s="52" t="s">
        <v>161</v>
      </c>
    </row>
    <row r="207">
      <c r="A207" s="14"/>
      <c r="B207" s="53" t="s">
        <v>506</v>
      </c>
      <c r="C207" s="56"/>
      <c r="D207" s="52" t="s">
        <v>161</v>
      </c>
    </row>
    <row r="208">
      <c r="A208" s="14"/>
      <c r="B208" s="53" t="s">
        <v>507</v>
      </c>
      <c r="C208" s="56"/>
      <c r="D208" s="52" t="s">
        <v>161</v>
      </c>
    </row>
    <row r="209">
      <c r="A209" s="14"/>
      <c r="B209" s="53" t="s">
        <v>510</v>
      </c>
      <c r="C209" s="56"/>
      <c r="D209" s="52" t="s">
        <v>161</v>
      </c>
    </row>
    <row r="210">
      <c r="A210" s="14"/>
      <c r="B210" s="53" t="s">
        <v>511</v>
      </c>
      <c r="C210" s="56"/>
      <c r="D210" s="52" t="s">
        <v>161</v>
      </c>
    </row>
    <row r="211">
      <c r="A211" s="16"/>
      <c r="B211" s="53" t="s">
        <v>514</v>
      </c>
      <c r="C211" s="56"/>
      <c r="D211" s="52" t="s">
        <v>161</v>
      </c>
    </row>
    <row r="212">
      <c r="A212" s="49">
        <v>17.0</v>
      </c>
      <c r="B212" s="54" t="s">
        <v>518</v>
      </c>
      <c r="C212" s="56"/>
      <c r="D212" s="52" t="s">
        <v>161</v>
      </c>
    </row>
    <row r="213">
      <c r="A213" s="14"/>
      <c r="B213" s="53" t="s">
        <v>521</v>
      </c>
      <c r="C213" s="56"/>
      <c r="D213" s="52" t="s">
        <v>161</v>
      </c>
    </row>
    <row r="214">
      <c r="A214" s="14"/>
      <c r="B214" s="53" t="s">
        <v>522</v>
      </c>
      <c r="C214" s="56"/>
      <c r="D214" s="52" t="s">
        <v>161</v>
      </c>
    </row>
    <row r="215">
      <c r="A215" s="14"/>
      <c r="B215" s="53" t="s">
        <v>525</v>
      </c>
      <c r="C215" s="56"/>
      <c r="D215" s="52" t="s">
        <v>161</v>
      </c>
    </row>
    <row r="216">
      <c r="A216" s="14"/>
      <c r="B216" s="53" t="s">
        <v>526</v>
      </c>
      <c r="C216" s="56"/>
      <c r="D216" s="52" t="s">
        <v>161</v>
      </c>
    </row>
    <row r="217">
      <c r="A217" s="14"/>
      <c r="B217" s="53" t="s">
        <v>529</v>
      </c>
      <c r="C217" s="56"/>
      <c r="D217" s="52" t="s">
        <v>161</v>
      </c>
    </row>
    <row r="218">
      <c r="A218" s="14"/>
      <c r="B218" s="53" t="s">
        <v>530</v>
      </c>
      <c r="C218" s="56"/>
      <c r="D218" s="52" t="s">
        <v>161</v>
      </c>
    </row>
    <row r="219">
      <c r="A219" s="14"/>
      <c r="B219" s="53" t="s">
        <v>534</v>
      </c>
      <c r="C219" s="56"/>
      <c r="D219" s="52" t="s">
        <v>161</v>
      </c>
    </row>
    <row r="220">
      <c r="A220" s="14"/>
      <c r="B220" s="53" t="s">
        <v>535</v>
      </c>
      <c r="C220" s="56"/>
      <c r="D220" s="52" t="s">
        <v>161</v>
      </c>
    </row>
    <row r="221">
      <c r="A221" s="14"/>
      <c r="B221" s="53" t="s">
        <v>537</v>
      </c>
      <c r="C221" s="56"/>
      <c r="D221" s="52" t="s">
        <v>161</v>
      </c>
    </row>
    <row r="222">
      <c r="A222" s="14"/>
      <c r="B222" s="53" t="s">
        <v>539</v>
      </c>
      <c r="C222" s="56"/>
      <c r="D222" s="52" t="s">
        <v>161</v>
      </c>
    </row>
    <row r="223">
      <c r="A223" s="14"/>
      <c r="B223" s="53" t="s">
        <v>540</v>
      </c>
      <c r="C223" s="56"/>
      <c r="D223" s="52" t="s">
        <v>161</v>
      </c>
    </row>
    <row r="224">
      <c r="A224" s="16"/>
      <c r="B224" s="53" t="s">
        <v>543</v>
      </c>
      <c r="C224" s="56"/>
      <c r="D224" s="52" t="s">
        <v>161</v>
      </c>
    </row>
    <row r="225">
      <c r="A225" s="49">
        <v>18.0</v>
      </c>
      <c r="B225" s="54" t="s">
        <v>546</v>
      </c>
      <c r="C225" s="56"/>
      <c r="D225" s="52" t="s">
        <v>161</v>
      </c>
    </row>
    <row r="226">
      <c r="A226" s="14"/>
      <c r="B226" s="53" t="s">
        <v>547</v>
      </c>
      <c r="C226" s="56"/>
      <c r="D226" s="52" t="s">
        <v>161</v>
      </c>
    </row>
    <row r="227">
      <c r="A227" s="14"/>
      <c r="B227" s="53" t="s">
        <v>548</v>
      </c>
      <c r="C227" s="56"/>
      <c r="D227" s="52" t="s">
        <v>161</v>
      </c>
    </row>
    <row r="228">
      <c r="A228" s="14"/>
      <c r="B228" s="53" t="s">
        <v>552</v>
      </c>
      <c r="C228" s="56"/>
      <c r="D228" s="52" t="s">
        <v>161</v>
      </c>
    </row>
    <row r="229">
      <c r="A229" s="14"/>
      <c r="B229" s="53" t="s">
        <v>553</v>
      </c>
      <c r="C229" s="56"/>
      <c r="D229" s="52" t="s">
        <v>161</v>
      </c>
    </row>
    <row r="230">
      <c r="A230" s="14"/>
      <c r="B230" s="53" t="s">
        <v>554</v>
      </c>
      <c r="C230" s="56"/>
      <c r="D230" s="52" t="s">
        <v>161</v>
      </c>
    </row>
    <row r="231">
      <c r="A231" s="14"/>
      <c r="B231" s="53" t="s">
        <v>555</v>
      </c>
      <c r="C231" s="56"/>
      <c r="D231" s="52" t="s">
        <v>161</v>
      </c>
    </row>
    <row r="232">
      <c r="A232" s="14"/>
      <c r="B232" s="53" t="s">
        <v>556</v>
      </c>
      <c r="C232" s="56"/>
      <c r="D232" s="52" t="s">
        <v>161</v>
      </c>
    </row>
    <row r="233">
      <c r="A233" s="14"/>
      <c r="B233" s="53" t="s">
        <v>559</v>
      </c>
      <c r="C233" s="56"/>
      <c r="D233" s="52" t="s">
        <v>161</v>
      </c>
    </row>
    <row r="234">
      <c r="A234" s="14"/>
      <c r="B234" s="53" t="s">
        <v>560</v>
      </c>
      <c r="C234" s="56"/>
      <c r="D234" s="52" t="s">
        <v>161</v>
      </c>
    </row>
    <row r="235">
      <c r="A235" s="14"/>
      <c r="B235" s="53" t="s">
        <v>561</v>
      </c>
      <c r="C235" s="56"/>
      <c r="D235" s="52" t="s">
        <v>161</v>
      </c>
    </row>
    <row r="236">
      <c r="A236" s="14"/>
      <c r="B236" s="53" t="s">
        <v>562</v>
      </c>
      <c r="C236" s="56"/>
      <c r="D236" s="52" t="s">
        <v>161</v>
      </c>
    </row>
    <row r="237">
      <c r="A237" s="14"/>
      <c r="B237" s="53" t="s">
        <v>563</v>
      </c>
      <c r="C237" s="56"/>
      <c r="D237" s="52" t="s">
        <v>161</v>
      </c>
    </row>
    <row r="238">
      <c r="A238" s="14"/>
      <c r="B238" s="53" t="s">
        <v>564</v>
      </c>
      <c r="C238" s="56"/>
      <c r="D238" s="52" t="s">
        <v>161</v>
      </c>
    </row>
    <row r="239">
      <c r="A239" s="16"/>
      <c r="B239" s="53" t="s">
        <v>566</v>
      </c>
      <c r="C239" s="56"/>
      <c r="D239" s="52" t="s">
        <v>161</v>
      </c>
    </row>
    <row r="240">
      <c r="A240" s="49">
        <v>19.0</v>
      </c>
      <c r="B240" s="54" t="s">
        <v>567</v>
      </c>
      <c r="C240" s="56"/>
      <c r="D240" s="52" t="s">
        <v>161</v>
      </c>
    </row>
    <row r="241">
      <c r="A241" s="14"/>
      <c r="B241" s="53" t="s">
        <v>568</v>
      </c>
      <c r="C241" s="56"/>
      <c r="D241" s="52" t="s">
        <v>161</v>
      </c>
    </row>
    <row r="242">
      <c r="A242" s="14"/>
      <c r="B242" s="53" t="s">
        <v>569</v>
      </c>
      <c r="C242" s="56"/>
      <c r="D242" s="52" t="s">
        <v>161</v>
      </c>
    </row>
    <row r="243">
      <c r="A243" s="14"/>
      <c r="B243" s="53" t="s">
        <v>570</v>
      </c>
      <c r="C243" s="56"/>
      <c r="D243" s="52" t="s">
        <v>161</v>
      </c>
    </row>
    <row r="244">
      <c r="A244" s="14"/>
      <c r="B244" s="53" t="s">
        <v>571</v>
      </c>
      <c r="C244" s="56"/>
      <c r="D244" s="52" t="s">
        <v>161</v>
      </c>
    </row>
    <row r="245">
      <c r="A245" s="14"/>
      <c r="B245" s="53" t="s">
        <v>572</v>
      </c>
      <c r="C245" s="56"/>
      <c r="D245" s="52" t="s">
        <v>161</v>
      </c>
    </row>
    <row r="246">
      <c r="A246" s="14"/>
      <c r="B246" s="53" t="s">
        <v>573</v>
      </c>
      <c r="C246" s="56"/>
      <c r="D246" s="52" t="s">
        <v>161</v>
      </c>
    </row>
    <row r="247">
      <c r="A247" s="14"/>
      <c r="B247" s="53" t="s">
        <v>574</v>
      </c>
      <c r="C247" s="56"/>
      <c r="D247" s="52" t="s">
        <v>161</v>
      </c>
    </row>
    <row r="248">
      <c r="A248" s="14"/>
      <c r="B248" s="53" t="s">
        <v>575</v>
      </c>
      <c r="C248" s="56"/>
      <c r="D248" s="52" t="s">
        <v>161</v>
      </c>
    </row>
    <row r="249">
      <c r="A249" s="14"/>
      <c r="B249" s="53" t="s">
        <v>577</v>
      </c>
      <c r="C249" s="56"/>
      <c r="D249" s="52" t="s">
        <v>161</v>
      </c>
    </row>
    <row r="250">
      <c r="A250" s="14"/>
      <c r="B250" s="53" t="s">
        <v>578</v>
      </c>
      <c r="C250" s="56"/>
      <c r="D250" s="52" t="s">
        <v>161</v>
      </c>
    </row>
    <row r="251">
      <c r="A251" s="14"/>
      <c r="B251" s="53" t="s">
        <v>579</v>
      </c>
      <c r="C251" s="56"/>
      <c r="D251" s="52" t="s">
        <v>161</v>
      </c>
    </row>
    <row r="252">
      <c r="A252" s="16"/>
      <c r="B252" s="53" t="s">
        <v>580</v>
      </c>
      <c r="C252" s="56"/>
      <c r="D252" s="52" t="s">
        <v>161</v>
      </c>
    </row>
    <row r="253">
      <c r="A253" s="49">
        <v>20.0</v>
      </c>
      <c r="B253" s="68" t="s">
        <v>581</v>
      </c>
      <c r="C253" s="56"/>
      <c r="D253" s="52" t="s">
        <v>161</v>
      </c>
    </row>
    <row r="254">
      <c r="A254" s="14"/>
      <c r="B254" s="53" t="s">
        <v>582</v>
      </c>
      <c r="C254" s="56"/>
      <c r="D254" s="52" t="s">
        <v>161</v>
      </c>
    </row>
    <row r="255">
      <c r="A255" s="14"/>
      <c r="B255" s="53" t="s">
        <v>583</v>
      </c>
      <c r="C255" s="56"/>
      <c r="D255" s="52" t="s">
        <v>161</v>
      </c>
    </row>
    <row r="256">
      <c r="A256" s="14"/>
      <c r="B256" s="53" t="s">
        <v>584</v>
      </c>
      <c r="C256" s="56"/>
      <c r="D256" s="52" t="s">
        <v>161</v>
      </c>
    </row>
    <row r="257">
      <c r="A257" s="14"/>
      <c r="B257" s="53" t="s">
        <v>585</v>
      </c>
      <c r="C257" s="56"/>
      <c r="D257" s="52" t="s">
        <v>161</v>
      </c>
    </row>
    <row r="258">
      <c r="A258" s="14"/>
      <c r="B258" s="53" t="s">
        <v>586</v>
      </c>
      <c r="C258" s="56"/>
      <c r="D258" s="52" t="s">
        <v>161</v>
      </c>
    </row>
    <row r="259">
      <c r="A259" s="14"/>
      <c r="B259" s="53" t="s">
        <v>587</v>
      </c>
      <c r="C259" s="56"/>
      <c r="D259" s="52" t="s">
        <v>161</v>
      </c>
    </row>
    <row r="260">
      <c r="A260" s="14"/>
      <c r="B260" s="53" t="s">
        <v>589</v>
      </c>
      <c r="C260" s="56"/>
      <c r="D260" s="52" t="s">
        <v>161</v>
      </c>
    </row>
    <row r="261">
      <c r="A261" s="14"/>
      <c r="B261" s="53" t="s">
        <v>590</v>
      </c>
      <c r="C261" s="56"/>
      <c r="D261" s="52" t="s">
        <v>161</v>
      </c>
    </row>
    <row r="262">
      <c r="A262" s="14"/>
      <c r="B262" s="53" t="s">
        <v>591</v>
      </c>
      <c r="C262" s="56"/>
      <c r="D262" s="52" t="s">
        <v>161</v>
      </c>
    </row>
    <row r="263">
      <c r="A263" s="14"/>
      <c r="B263" s="53" t="s">
        <v>592</v>
      </c>
      <c r="C263" s="56"/>
      <c r="D263" s="52" t="s">
        <v>161</v>
      </c>
    </row>
    <row r="264">
      <c r="A264" s="14"/>
      <c r="B264" s="53" t="s">
        <v>593</v>
      </c>
      <c r="C264" s="56"/>
      <c r="D264" s="52" t="s">
        <v>161</v>
      </c>
    </row>
    <row r="265">
      <c r="A265" s="14"/>
      <c r="B265" s="53" t="s">
        <v>594</v>
      </c>
      <c r="C265" s="56"/>
      <c r="D265" s="52" t="s">
        <v>161</v>
      </c>
    </row>
    <row r="266">
      <c r="A266" s="16"/>
      <c r="B266" s="53" t="s">
        <v>595</v>
      </c>
      <c r="C266" s="56"/>
      <c r="D266" s="52" t="s">
        <v>161</v>
      </c>
    </row>
    <row r="267">
      <c r="A267" s="49">
        <v>21.0</v>
      </c>
      <c r="B267" s="54" t="s">
        <v>596</v>
      </c>
      <c r="C267" s="56"/>
      <c r="D267" s="52" t="s">
        <v>161</v>
      </c>
    </row>
    <row r="268">
      <c r="A268" s="14"/>
      <c r="B268" s="53" t="s">
        <v>597</v>
      </c>
      <c r="C268" s="56"/>
      <c r="D268" s="52" t="s">
        <v>161</v>
      </c>
    </row>
    <row r="269">
      <c r="A269" s="14"/>
      <c r="B269" s="53" t="s">
        <v>599</v>
      </c>
      <c r="C269" s="56"/>
      <c r="D269" s="52" t="s">
        <v>161</v>
      </c>
    </row>
    <row r="270">
      <c r="A270" s="14"/>
      <c r="B270" s="53" t="s">
        <v>600</v>
      </c>
      <c r="C270" s="56"/>
      <c r="D270" s="52" t="s">
        <v>161</v>
      </c>
    </row>
    <row r="271">
      <c r="A271" s="14"/>
      <c r="B271" s="53" t="s">
        <v>601</v>
      </c>
      <c r="C271" s="56"/>
      <c r="D271" s="52" t="s">
        <v>161</v>
      </c>
    </row>
    <row r="272">
      <c r="A272" s="14"/>
      <c r="B272" s="53" t="s">
        <v>602</v>
      </c>
      <c r="C272" s="56"/>
      <c r="D272" s="52" t="s">
        <v>161</v>
      </c>
    </row>
    <row r="273">
      <c r="A273" s="14"/>
      <c r="B273" s="53" t="s">
        <v>603</v>
      </c>
      <c r="C273" s="56"/>
      <c r="D273" s="52" t="s">
        <v>161</v>
      </c>
    </row>
    <row r="274">
      <c r="A274" s="14"/>
      <c r="B274" s="53" t="s">
        <v>604</v>
      </c>
      <c r="C274" s="56"/>
      <c r="D274" s="52" t="s">
        <v>161</v>
      </c>
    </row>
    <row r="275">
      <c r="A275" s="14"/>
      <c r="B275" s="53" t="s">
        <v>605</v>
      </c>
      <c r="C275" s="56"/>
      <c r="D275" s="52" t="s">
        <v>161</v>
      </c>
    </row>
    <row r="276">
      <c r="A276" s="14"/>
      <c r="B276" s="53" t="s">
        <v>606</v>
      </c>
      <c r="C276" s="56"/>
      <c r="D276" s="52" t="s">
        <v>161</v>
      </c>
    </row>
    <row r="277">
      <c r="A277" s="14"/>
      <c r="B277" s="53" t="s">
        <v>607</v>
      </c>
      <c r="C277" s="56"/>
      <c r="D277" s="52" t="s">
        <v>161</v>
      </c>
    </row>
    <row r="278">
      <c r="A278" s="14"/>
      <c r="B278" s="53" t="s">
        <v>608</v>
      </c>
      <c r="C278" s="56"/>
      <c r="D278" s="52" t="s">
        <v>161</v>
      </c>
    </row>
    <row r="279">
      <c r="A279" s="14"/>
      <c r="B279" s="53" t="s">
        <v>610</v>
      </c>
      <c r="C279" s="56"/>
      <c r="D279" s="52" t="s">
        <v>161</v>
      </c>
    </row>
    <row r="280">
      <c r="A280" s="14"/>
      <c r="B280" s="53" t="s">
        <v>611</v>
      </c>
      <c r="C280" s="56"/>
      <c r="D280" s="52" t="s">
        <v>161</v>
      </c>
    </row>
    <row r="281">
      <c r="A281" s="14"/>
      <c r="B281" s="53" t="s">
        <v>612</v>
      </c>
      <c r="C281" s="56"/>
      <c r="D281" s="52" t="s">
        <v>161</v>
      </c>
    </row>
    <row r="282">
      <c r="A282" s="16"/>
      <c r="B282" s="53" t="s">
        <v>613</v>
      </c>
      <c r="C282" s="56"/>
      <c r="D282" s="52" t="s">
        <v>161</v>
      </c>
    </row>
    <row r="283">
      <c r="A283" s="49">
        <v>22.0</v>
      </c>
      <c r="B283" s="54" t="s">
        <v>614</v>
      </c>
      <c r="C283" s="56"/>
      <c r="D283" s="52" t="s">
        <v>161</v>
      </c>
    </row>
    <row r="284">
      <c r="A284" s="14"/>
      <c r="B284" s="53" t="s">
        <v>615</v>
      </c>
      <c r="C284" s="56"/>
      <c r="D284" s="52" t="s">
        <v>161</v>
      </c>
    </row>
    <row r="285">
      <c r="A285" s="14"/>
      <c r="B285" s="53" t="s">
        <v>616</v>
      </c>
      <c r="C285" s="56"/>
      <c r="D285" s="52" t="s">
        <v>161</v>
      </c>
    </row>
    <row r="286">
      <c r="A286" s="14"/>
      <c r="B286" s="53" t="s">
        <v>618</v>
      </c>
      <c r="C286" s="56"/>
      <c r="D286" s="52" t="s">
        <v>161</v>
      </c>
    </row>
    <row r="287">
      <c r="A287" s="14"/>
      <c r="B287" s="53" t="s">
        <v>619</v>
      </c>
      <c r="C287" s="56"/>
      <c r="D287" s="52" t="s">
        <v>161</v>
      </c>
    </row>
    <row r="288">
      <c r="A288" s="14"/>
      <c r="B288" s="53" t="s">
        <v>620</v>
      </c>
      <c r="C288" s="56"/>
      <c r="D288" s="52" t="s">
        <v>161</v>
      </c>
    </row>
    <row r="289">
      <c r="A289" s="14"/>
      <c r="B289" s="53" t="s">
        <v>621</v>
      </c>
      <c r="C289" s="56"/>
      <c r="D289" s="52" t="s">
        <v>161</v>
      </c>
    </row>
    <row r="290">
      <c r="A290" s="14"/>
      <c r="B290" s="53" t="s">
        <v>622</v>
      </c>
      <c r="C290" s="56"/>
      <c r="D290" s="52" t="s">
        <v>161</v>
      </c>
    </row>
    <row r="291">
      <c r="A291" s="14"/>
      <c r="B291" s="53" t="s">
        <v>623</v>
      </c>
      <c r="C291" s="56"/>
      <c r="D291" s="52" t="s">
        <v>161</v>
      </c>
    </row>
    <row r="292">
      <c r="A292" s="14"/>
      <c r="B292" s="53" t="s">
        <v>624</v>
      </c>
      <c r="C292" s="56"/>
      <c r="D292" s="52" t="s">
        <v>161</v>
      </c>
    </row>
    <row r="293">
      <c r="A293" s="14"/>
      <c r="B293" s="53" t="s">
        <v>625</v>
      </c>
      <c r="C293" s="56"/>
      <c r="D293" s="52" t="s">
        <v>161</v>
      </c>
    </row>
    <row r="294">
      <c r="A294" s="14"/>
      <c r="B294" s="53" t="s">
        <v>626</v>
      </c>
      <c r="C294" s="56"/>
      <c r="D294" s="52" t="s">
        <v>161</v>
      </c>
    </row>
    <row r="295">
      <c r="A295" s="14"/>
      <c r="B295" s="53" t="s">
        <v>627</v>
      </c>
      <c r="C295" s="56"/>
      <c r="D295" s="52" t="s">
        <v>161</v>
      </c>
    </row>
    <row r="296">
      <c r="A296" s="16"/>
      <c r="B296" s="53" t="s">
        <v>628</v>
      </c>
      <c r="C296" s="56"/>
      <c r="D296" s="52" t="s">
        <v>161</v>
      </c>
    </row>
    <row r="297">
      <c r="A297" s="49">
        <v>23.0</v>
      </c>
      <c r="B297" s="54" t="s">
        <v>630</v>
      </c>
      <c r="C297" s="56"/>
      <c r="D297" s="52" t="s">
        <v>161</v>
      </c>
    </row>
    <row r="298">
      <c r="A298" s="14"/>
      <c r="B298" s="53" t="s">
        <v>631</v>
      </c>
      <c r="C298" s="56"/>
      <c r="D298" s="52" t="s">
        <v>161</v>
      </c>
    </row>
    <row r="299">
      <c r="A299" s="14"/>
      <c r="B299" s="53" t="s">
        <v>632</v>
      </c>
      <c r="C299" s="56"/>
      <c r="D299" s="52" t="s">
        <v>161</v>
      </c>
    </row>
    <row r="300">
      <c r="A300" s="14"/>
      <c r="B300" s="53" t="s">
        <v>633</v>
      </c>
      <c r="C300" s="56"/>
      <c r="D300" s="52" t="s">
        <v>161</v>
      </c>
    </row>
    <row r="301">
      <c r="A301" s="14"/>
      <c r="B301" s="53" t="s">
        <v>634</v>
      </c>
      <c r="C301" s="56"/>
      <c r="D301" s="52" t="s">
        <v>161</v>
      </c>
    </row>
    <row r="302">
      <c r="A302" s="14"/>
      <c r="B302" s="53" t="s">
        <v>635</v>
      </c>
      <c r="C302" s="56"/>
      <c r="D302" s="52" t="s">
        <v>161</v>
      </c>
    </row>
    <row r="303">
      <c r="A303" s="14"/>
      <c r="B303" s="53" t="s">
        <v>636</v>
      </c>
      <c r="C303" s="56"/>
      <c r="D303" s="52" t="s">
        <v>161</v>
      </c>
    </row>
    <row r="304">
      <c r="A304" s="14"/>
      <c r="B304" s="53" t="s">
        <v>637</v>
      </c>
      <c r="C304" s="56"/>
      <c r="D304" s="52" t="s">
        <v>161</v>
      </c>
    </row>
    <row r="305">
      <c r="A305" s="14"/>
      <c r="B305" s="53" t="s">
        <v>639</v>
      </c>
      <c r="C305" s="56"/>
      <c r="D305" s="52" t="s">
        <v>161</v>
      </c>
    </row>
    <row r="306">
      <c r="A306" s="14"/>
      <c r="B306" s="53" t="s">
        <v>640</v>
      </c>
      <c r="C306" s="56"/>
      <c r="D306" s="52" t="s">
        <v>161</v>
      </c>
    </row>
    <row r="307">
      <c r="A307" s="14"/>
      <c r="B307" s="53" t="s">
        <v>641</v>
      </c>
      <c r="C307" s="56"/>
      <c r="D307" s="52" t="s">
        <v>161</v>
      </c>
    </row>
    <row r="308">
      <c r="A308" s="14"/>
      <c r="B308" s="53" t="s">
        <v>642</v>
      </c>
      <c r="C308" s="56"/>
      <c r="D308" s="52" t="s">
        <v>161</v>
      </c>
    </row>
    <row r="309">
      <c r="A309" s="14"/>
      <c r="B309" s="53" t="s">
        <v>643</v>
      </c>
      <c r="C309" s="56"/>
      <c r="D309" s="52" t="s">
        <v>161</v>
      </c>
    </row>
    <row r="310">
      <c r="A310" s="14"/>
      <c r="B310" s="53" t="s">
        <v>644</v>
      </c>
      <c r="C310" s="56"/>
      <c r="D310" s="52" t="s">
        <v>161</v>
      </c>
    </row>
    <row r="311">
      <c r="A311" s="16"/>
      <c r="B311" s="53" t="s">
        <v>645</v>
      </c>
      <c r="C311" s="56"/>
      <c r="D311" s="52" t="s">
        <v>161</v>
      </c>
    </row>
    <row r="312">
      <c r="A312" s="49">
        <v>24.0</v>
      </c>
      <c r="B312" s="54" t="s">
        <v>646</v>
      </c>
      <c r="C312" s="56"/>
      <c r="D312" s="52" t="s">
        <v>161</v>
      </c>
    </row>
    <row r="313">
      <c r="A313" s="14"/>
      <c r="B313" s="53" t="s">
        <v>648</v>
      </c>
      <c r="C313" s="56"/>
      <c r="D313" s="52" t="s">
        <v>161</v>
      </c>
    </row>
    <row r="314">
      <c r="A314" s="14"/>
      <c r="B314" s="53" t="s">
        <v>649</v>
      </c>
      <c r="C314" s="56"/>
      <c r="D314" s="52" t="s">
        <v>161</v>
      </c>
    </row>
    <row r="315">
      <c r="A315" s="14"/>
      <c r="B315" s="53" t="s">
        <v>650</v>
      </c>
      <c r="C315" s="56"/>
      <c r="D315" s="52" t="s">
        <v>161</v>
      </c>
    </row>
    <row r="316">
      <c r="A316" s="14"/>
      <c r="B316" s="53" t="s">
        <v>651</v>
      </c>
      <c r="C316" s="56"/>
      <c r="D316" s="52" t="s">
        <v>161</v>
      </c>
    </row>
    <row r="317">
      <c r="A317" s="14"/>
      <c r="B317" s="53" t="s">
        <v>652</v>
      </c>
      <c r="C317" s="56"/>
      <c r="D317" s="52" t="s">
        <v>161</v>
      </c>
    </row>
    <row r="318">
      <c r="A318" s="14"/>
      <c r="B318" s="53" t="s">
        <v>653</v>
      </c>
      <c r="C318" s="56"/>
      <c r="D318" s="52" t="s">
        <v>161</v>
      </c>
    </row>
    <row r="319">
      <c r="A319" s="14"/>
      <c r="B319" s="53" t="s">
        <v>654</v>
      </c>
      <c r="C319" s="56"/>
      <c r="D319" s="52" t="s">
        <v>161</v>
      </c>
    </row>
    <row r="320">
      <c r="A320" s="14"/>
      <c r="B320" s="53" t="s">
        <v>655</v>
      </c>
      <c r="C320" s="56"/>
      <c r="D320" s="52" t="s">
        <v>161</v>
      </c>
    </row>
    <row r="321">
      <c r="A321" s="14"/>
      <c r="B321" s="53" t="s">
        <v>656</v>
      </c>
      <c r="C321" s="56"/>
      <c r="D321" s="52" t="s">
        <v>161</v>
      </c>
    </row>
    <row r="322">
      <c r="A322" s="14"/>
      <c r="B322" s="53" t="s">
        <v>658</v>
      </c>
      <c r="C322" s="56"/>
      <c r="D322" s="52" t="s">
        <v>161</v>
      </c>
    </row>
    <row r="323">
      <c r="A323" s="14"/>
      <c r="B323" s="53" t="s">
        <v>659</v>
      </c>
      <c r="C323" s="56"/>
      <c r="D323" s="52" t="s">
        <v>161</v>
      </c>
    </row>
    <row r="324">
      <c r="A324" s="14"/>
      <c r="B324" s="53" t="s">
        <v>660</v>
      </c>
      <c r="C324" s="56"/>
      <c r="D324" s="52" t="s">
        <v>161</v>
      </c>
    </row>
    <row r="325">
      <c r="A325" s="14"/>
      <c r="B325" s="53" t="s">
        <v>661</v>
      </c>
      <c r="C325" s="56"/>
      <c r="D325" s="52" t="s">
        <v>161</v>
      </c>
    </row>
    <row r="326">
      <c r="A326" s="14"/>
      <c r="B326" s="53" t="s">
        <v>662</v>
      </c>
      <c r="C326" s="56"/>
      <c r="D326" s="52" t="s">
        <v>161</v>
      </c>
    </row>
    <row r="327">
      <c r="A327" s="16"/>
      <c r="B327" s="53" t="s">
        <v>663</v>
      </c>
      <c r="C327" s="56"/>
      <c r="D327" s="52" t="s">
        <v>161</v>
      </c>
    </row>
    <row r="328">
      <c r="A328" s="49">
        <v>25.0</v>
      </c>
      <c r="B328" s="54" t="s">
        <v>664</v>
      </c>
      <c r="C328" s="56"/>
      <c r="D328" s="52" t="s">
        <v>161</v>
      </c>
    </row>
    <row r="329">
      <c r="A329" s="14"/>
      <c r="B329" s="53" t="s">
        <v>666</v>
      </c>
      <c r="C329" s="56"/>
      <c r="D329" s="52" t="s">
        <v>161</v>
      </c>
    </row>
    <row r="330">
      <c r="A330" s="14"/>
      <c r="B330" s="53" t="s">
        <v>667</v>
      </c>
      <c r="C330" s="56"/>
      <c r="D330" s="52" t="s">
        <v>161</v>
      </c>
    </row>
    <row r="331">
      <c r="A331" s="14"/>
      <c r="B331" s="53" t="s">
        <v>668</v>
      </c>
      <c r="C331" s="56"/>
      <c r="D331" s="52" t="s">
        <v>161</v>
      </c>
    </row>
    <row r="332">
      <c r="A332" s="14"/>
      <c r="B332" s="53" t="s">
        <v>669</v>
      </c>
      <c r="C332" s="56"/>
      <c r="D332" s="52" t="s">
        <v>161</v>
      </c>
    </row>
    <row r="333">
      <c r="A333" s="14"/>
      <c r="B333" s="53" t="s">
        <v>670</v>
      </c>
      <c r="C333" s="56"/>
      <c r="D333" s="52" t="s">
        <v>161</v>
      </c>
    </row>
    <row r="334">
      <c r="A334" s="14"/>
      <c r="B334" s="53" t="s">
        <v>671</v>
      </c>
      <c r="C334" s="56"/>
      <c r="D334" s="52" t="s">
        <v>161</v>
      </c>
    </row>
    <row r="335">
      <c r="A335" s="14"/>
      <c r="B335" s="53" t="s">
        <v>672</v>
      </c>
      <c r="C335" s="56"/>
      <c r="D335" s="52" t="s">
        <v>161</v>
      </c>
    </row>
    <row r="336">
      <c r="A336" s="14"/>
      <c r="B336" s="53" t="s">
        <v>673</v>
      </c>
      <c r="C336" s="56"/>
      <c r="D336" s="52" t="s">
        <v>161</v>
      </c>
    </row>
    <row r="337">
      <c r="A337" s="14"/>
      <c r="B337" s="53" t="s">
        <v>674</v>
      </c>
      <c r="C337" s="56"/>
      <c r="D337" s="52" t="s">
        <v>161</v>
      </c>
    </row>
    <row r="338">
      <c r="A338" s="14"/>
      <c r="B338" s="53" t="s">
        <v>675</v>
      </c>
      <c r="C338" s="56"/>
      <c r="D338" s="52" t="s">
        <v>161</v>
      </c>
    </row>
    <row r="339">
      <c r="A339" s="14"/>
      <c r="B339" s="53" t="s">
        <v>677</v>
      </c>
      <c r="C339" s="56"/>
      <c r="D339" s="52" t="s">
        <v>161</v>
      </c>
    </row>
    <row r="340">
      <c r="A340" s="14"/>
      <c r="B340" s="53" t="s">
        <v>678</v>
      </c>
      <c r="C340" s="56"/>
      <c r="D340" s="52" t="s">
        <v>161</v>
      </c>
    </row>
    <row r="341">
      <c r="A341" s="16"/>
      <c r="B341" s="53" t="s">
        <v>679</v>
      </c>
      <c r="C341" s="56"/>
      <c r="D341" s="52" t="s">
        <v>161</v>
      </c>
    </row>
    <row r="342">
      <c r="A342" s="49">
        <v>26.0</v>
      </c>
      <c r="B342" s="54" t="s">
        <v>680</v>
      </c>
      <c r="C342" s="56"/>
      <c r="D342" s="52" t="s">
        <v>161</v>
      </c>
    </row>
    <row r="343">
      <c r="A343" s="14"/>
      <c r="B343" s="53" t="s">
        <v>681</v>
      </c>
      <c r="C343" s="56"/>
      <c r="D343" s="52" t="s">
        <v>161</v>
      </c>
    </row>
    <row r="344">
      <c r="A344" s="14"/>
      <c r="B344" s="53" t="s">
        <v>682</v>
      </c>
      <c r="C344" s="56"/>
      <c r="D344" s="52" t="s">
        <v>161</v>
      </c>
    </row>
    <row r="345">
      <c r="A345" s="14"/>
      <c r="B345" s="53" t="s">
        <v>683</v>
      </c>
      <c r="C345" s="56"/>
      <c r="D345" s="52" t="s">
        <v>161</v>
      </c>
    </row>
    <row r="346">
      <c r="A346" s="14"/>
      <c r="B346" s="53" t="s">
        <v>684</v>
      </c>
      <c r="C346" s="56"/>
      <c r="D346" s="52" t="s">
        <v>161</v>
      </c>
    </row>
    <row r="347">
      <c r="A347" s="14"/>
      <c r="B347" s="53" t="s">
        <v>685</v>
      </c>
      <c r="C347" s="56"/>
      <c r="D347" s="52" t="s">
        <v>161</v>
      </c>
    </row>
    <row r="348">
      <c r="A348" s="14"/>
      <c r="B348" s="53" t="s">
        <v>687</v>
      </c>
      <c r="C348" s="56"/>
      <c r="D348" s="52" t="s">
        <v>161</v>
      </c>
    </row>
    <row r="349">
      <c r="A349" s="14"/>
      <c r="B349" s="53" t="s">
        <v>688</v>
      </c>
      <c r="C349" s="56"/>
      <c r="D349" s="52" t="s">
        <v>161</v>
      </c>
    </row>
    <row r="350">
      <c r="A350" s="14"/>
      <c r="B350" s="53" t="s">
        <v>689</v>
      </c>
      <c r="C350" s="56"/>
      <c r="D350" s="52" t="s">
        <v>161</v>
      </c>
    </row>
    <row r="351">
      <c r="A351" s="14"/>
      <c r="B351" s="53" t="s">
        <v>690</v>
      </c>
      <c r="C351" s="56"/>
      <c r="D351" s="52" t="s">
        <v>161</v>
      </c>
    </row>
    <row r="352">
      <c r="A352" s="14"/>
      <c r="B352" s="53" t="s">
        <v>691</v>
      </c>
      <c r="C352" s="56"/>
      <c r="D352" s="52" t="s">
        <v>161</v>
      </c>
    </row>
    <row r="353">
      <c r="A353" s="14"/>
      <c r="B353" s="53" t="s">
        <v>692</v>
      </c>
      <c r="C353" s="56"/>
      <c r="D353" s="52" t="s">
        <v>161</v>
      </c>
    </row>
    <row r="354">
      <c r="A354" s="14"/>
      <c r="B354" s="53" t="s">
        <v>693</v>
      </c>
      <c r="C354" s="56"/>
      <c r="D354" s="52" t="s">
        <v>161</v>
      </c>
    </row>
    <row r="355">
      <c r="A355" s="14"/>
      <c r="B355" s="53" t="s">
        <v>694</v>
      </c>
      <c r="C355" s="56"/>
      <c r="D355" s="52" t="s">
        <v>161</v>
      </c>
    </row>
    <row r="356">
      <c r="A356" s="16"/>
      <c r="B356" s="53" t="s">
        <v>695</v>
      </c>
      <c r="C356" s="56"/>
      <c r="D356" s="52" t="s">
        <v>161</v>
      </c>
    </row>
    <row r="357">
      <c r="A357" s="49">
        <v>27.0</v>
      </c>
      <c r="B357" s="54" t="s">
        <v>697</v>
      </c>
      <c r="C357" s="56"/>
      <c r="D357" s="52" t="s">
        <v>161</v>
      </c>
    </row>
    <row r="358">
      <c r="A358" s="14"/>
      <c r="B358" s="53" t="s">
        <v>698</v>
      </c>
      <c r="C358" s="56"/>
      <c r="D358" s="52" t="s">
        <v>161</v>
      </c>
    </row>
    <row r="359">
      <c r="A359" s="14"/>
      <c r="B359" s="53" t="s">
        <v>699</v>
      </c>
      <c r="C359" s="56"/>
      <c r="D359" s="52" t="s">
        <v>161</v>
      </c>
    </row>
    <row r="360">
      <c r="A360" s="14"/>
      <c r="B360" s="53" t="s">
        <v>700</v>
      </c>
      <c r="C360" s="56"/>
      <c r="D360" s="52" t="s">
        <v>161</v>
      </c>
    </row>
    <row r="361">
      <c r="A361" s="14"/>
      <c r="B361" s="53" t="s">
        <v>701</v>
      </c>
      <c r="C361" s="56"/>
      <c r="D361" s="52" t="s">
        <v>161</v>
      </c>
    </row>
    <row r="362">
      <c r="A362" s="14"/>
      <c r="B362" s="53" t="s">
        <v>702</v>
      </c>
      <c r="C362" s="56"/>
      <c r="D362" s="52" t="s">
        <v>161</v>
      </c>
    </row>
    <row r="363">
      <c r="A363" s="14"/>
      <c r="B363" s="53" t="s">
        <v>703</v>
      </c>
      <c r="C363" s="56"/>
      <c r="D363" s="52" t="s">
        <v>161</v>
      </c>
    </row>
    <row r="364">
      <c r="A364" s="14"/>
      <c r="B364" s="53" t="s">
        <v>704</v>
      </c>
      <c r="C364" s="56"/>
      <c r="D364" s="52" t="s">
        <v>161</v>
      </c>
    </row>
    <row r="365">
      <c r="A365" s="14"/>
      <c r="B365" s="53" t="s">
        <v>705</v>
      </c>
      <c r="C365" s="56"/>
      <c r="D365" s="52" t="s">
        <v>161</v>
      </c>
    </row>
    <row r="366">
      <c r="A366" s="14"/>
      <c r="B366" s="53" t="s">
        <v>707</v>
      </c>
      <c r="C366" s="56"/>
      <c r="D366" s="52" t="s">
        <v>161</v>
      </c>
    </row>
    <row r="367">
      <c r="A367" s="14"/>
      <c r="B367" s="53" t="s">
        <v>708</v>
      </c>
      <c r="C367" s="56"/>
      <c r="D367" s="52" t="s">
        <v>161</v>
      </c>
    </row>
    <row r="368">
      <c r="A368" s="14"/>
      <c r="B368" s="53" t="s">
        <v>709</v>
      </c>
      <c r="C368" s="56"/>
      <c r="D368" s="52" t="s">
        <v>161</v>
      </c>
    </row>
    <row r="369">
      <c r="A369" s="14"/>
      <c r="B369" s="53" t="s">
        <v>710</v>
      </c>
      <c r="C369" s="56"/>
      <c r="D369" s="52" t="s">
        <v>161</v>
      </c>
    </row>
    <row r="370">
      <c r="A370" s="14"/>
      <c r="B370" s="53" t="s">
        <v>711</v>
      </c>
      <c r="C370" s="56"/>
      <c r="D370" s="52" t="s">
        <v>161</v>
      </c>
    </row>
    <row r="371">
      <c r="A371" s="16"/>
      <c r="B371" s="53" t="s">
        <v>712</v>
      </c>
      <c r="C371" s="56"/>
      <c r="D371" s="52" t="s">
        <v>161</v>
      </c>
    </row>
    <row r="372">
      <c r="A372" s="49">
        <v>28.0</v>
      </c>
      <c r="B372" s="54" t="s">
        <v>713</v>
      </c>
      <c r="C372" s="56"/>
      <c r="D372" s="52" t="s">
        <v>161</v>
      </c>
    </row>
    <row r="373">
      <c r="A373" s="14"/>
      <c r="B373" s="53" t="s">
        <v>715</v>
      </c>
      <c r="C373" s="56"/>
      <c r="D373" s="52" t="s">
        <v>161</v>
      </c>
    </row>
    <row r="374">
      <c r="A374" s="14"/>
      <c r="B374" s="53" t="s">
        <v>716</v>
      </c>
      <c r="C374" s="56"/>
      <c r="D374" s="52" t="s">
        <v>161</v>
      </c>
    </row>
    <row r="375">
      <c r="A375" s="14"/>
      <c r="B375" s="53" t="s">
        <v>717</v>
      </c>
      <c r="C375" s="56"/>
      <c r="D375" s="52" t="s">
        <v>161</v>
      </c>
    </row>
    <row r="376">
      <c r="A376" s="14"/>
      <c r="B376" s="53" t="s">
        <v>718</v>
      </c>
      <c r="C376" s="56"/>
      <c r="D376" s="52" t="s">
        <v>161</v>
      </c>
    </row>
    <row r="377">
      <c r="A377" s="14"/>
      <c r="B377" s="53" t="s">
        <v>719</v>
      </c>
      <c r="C377" s="56"/>
      <c r="D377" s="52" t="s">
        <v>161</v>
      </c>
    </row>
    <row r="378">
      <c r="A378" s="14"/>
      <c r="B378" s="53" t="s">
        <v>720</v>
      </c>
      <c r="C378" s="56"/>
      <c r="D378" s="52" t="s">
        <v>161</v>
      </c>
    </row>
    <row r="379">
      <c r="A379" s="14"/>
      <c r="B379" s="53" t="s">
        <v>721</v>
      </c>
      <c r="C379" s="56"/>
      <c r="D379" s="52" t="s">
        <v>161</v>
      </c>
    </row>
    <row r="380">
      <c r="A380" s="14"/>
      <c r="B380" s="53" t="s">
        <v>722</v>
      </c>
      <c r="C380" s="56"/>
      <c r="D380" s="52" t="s">
        <v>161</v>
      </c>
    </row>
    <row r="381">
      <c r="A381" s="14"/>
      <c r="B381" s="53" t="s">
        <v>723</v>
      </c>
      <c r="C381" s="56"/>
      <c r="D381" s="52" t="s">
        <v>161</v>
      </c>
    </row>
    <row r="382">
      <c r="A382" s="14"/>
      <c r="B382" s="53" t="s">
        <v>725</v>
      </c>
      <c r="C382" s="56"/>
      <c r="D382" s="52" t="s">
        <v>161</v>
      </c>
    </row>
    <row r="383">
      <c r="A383" s="14"/>
      <c r="B383" s="53" t="s">
        <v>726</v>
      </c>
      <c r="C383" s="56"/>
      <c r="D383" s="52" t="s">
        <v>161</v>
      </c>
    </row>
    <row r="384">
      <c r="A384" s="14"/>
      <c r="B384" s="53" t="s">
        <v>727</v>
      </c>
      <c r="C384" s="56"/>
      <c r="D384" s="52" t="s">
        <v>161</v>
      </c>
    </row>
    <row r="385">
      <c r="A385" s="14"/>
      <c r="B385" s="53" t="s">
        <v>728</v>
      </c>
      <c r="C385" s="56"/>
      <c r="D385" s="52" t="s">
        <v>161</v>
      </c>
    </row>
    <row r="386">
      <c r="A386" s="16"/>
      <c r="B386" s="53" t="s">
        <v>729</v>
      </c>
      <c r="C386" s="56"/>
      <c r="D386" s="52" t="s">
        <v>161</v>
      </c>
    </row>
    <row r="387">
      <c r="A387" s="49">
        <v>29.0</v>
      </c>
      <c r="B387" s="54" t="s">
        <v>730</v>
      </c>
      <c r="C387" s="56"/>
      <c r="D387" s="52" t="s">
        <v>161</v>
      </c>
    </row>
    <row r="388">
      <c r="A388" s="14"/>
      <c r="B388" s="53" t="s">
        <v>731</v>
      </c>
      <c r="C388" s="56"/>
      <c r="D388" s="52" t="s">
        <v>161</v>
      </c>
    </row>
    <row r="389">
      <c r="A389" s="14"/>
      <c r="B389" s="53" t="s">
        <v>450</v>
      </c>
      <c r="C389" s="56"/>
      <c r="D389" s="52" t="s">
        <v>161</v>
      </c>
    </row>
    <row r="390">
      <c r="A390" s="14"/>
      <c r="B390" s="53" t="s">
        <v>732</v>
      </c>
      <c r="C390" s="56"/>
      <c r="D390" s="52" t="s">
        <v>161</v>
      </c>
    </row>
    <row r="391">
      <c r="A391" s="14"/>
      <c r="B391" s="53" t="s">
        <v>733</v>
      </c>
      <c r="C391" s="56"/>
      <c r="D391" s="52" t="s">
        <v>161</v>
      </c>
    </row>
    <row r="392">
      <c r="A392" s="14"/>
      <c r="B392" s="53" t="s">
        <v>734</v>
      </c>
      <c r="C392" s="56"/>
      <c r="D392" s="52" t="s">
        <v>161</v>
      </c>
    </row>
    <row r="393">
      <c r="A393" s="14"/>
      <c r="B393" s="53" t="s">
        <v>736</v>
      </c>
      <c r="C393" s="56"/>
      <c r="D393" s="52" t="s">
        <v>161</v>
      </c>
    </row>
    <row r="394">
      <c r="A394" s="14"/>
      <c r="B394" s="53" t="s">
        <v>737</v>
      </c>
      <c r="C394" s="56"/>
      <c r="D394" s="52" t="s">
        <v>161</v>
      </c>
    </row>
    <row r="395">
      <c r="A395" s="14"/>
      <c r="B395" s="53" t="s">
        <v>738</v>
      </c>
      <c r="C395" s="56"/>
      <c r="D395" s="52" t="s">
        <v>161</v>
      </c>
    </row>
    <row r="396">
      <c r="A396" s="14"/>
      <c r="B396" s="53" t="s">
        <v>739</v>
      </c>
      <c r="C396" s="56"/>
      <c r="D396" s="52" t="s">
        <v>161</v>
      </c>
    </row>
    <row r="397">
      <c r="A397" s="14"/>
      <c r="B397" s="53" t="s">
        <v>465</v>
      </c>
      <c r="C397" s="56"/>
      <c r="D397" s="52" t="s">
        <v>161</v>
      </c>
    </row>
    <row r="398">
      <c r="A398" s="16"/>
      <c r="B398" s="53" t="s">
        <v>740</v>
      </c>
      <c r="C398" s="56"/>
      <c r="D398" s="52" t="s">
        <v>161</v>
      </c>
    </row>
    <row r="399">
      <c r="A399" s="49">
        <v>30.0</v>
      </c>
      <c r="B399" s="54" t="s">
        <v>741</v>
      </c>
      <c r="C399" s="56"/>
      <c r="D399" s="52" t="s">
        <v>161</v>
      </c>
    </row>
    <row r="400">
      <c r="A400" s="14"/>
      <c r="B400" s="53" t="s">
        <v>742</v>
      </c>
      <c r="C400" s="56"/>
      <c r="D400" s="52" t="s">
        <v>161</v>
      </c>
    </row>
    <row r="401">
      <c r="A401" s="14"/>
      <c r="B401" s="53" t="s">
        <v>743</v>
      </c>
      <c r="C401" s="56"/>
      <c r="D401" s="52" t="s">
        <v>161</v>
      </c>
    </row>
    <row r="402">
      <c r="A402" s="14"/>
      <c r="B402" s="53" t="s">
        <v>744</v>
      </c>
      <c r="C402" s="56"/>
      <c r="D402" s="52" t="s">
        <v>161</v>
      </c>
    </row>
    <row r="403">
      <c r="A403" s="14"/>
      <c r="B403" s="53" t="s">
        <v>746</v>
      </c>
      <c r="C403" s="56"/>
      <c r="D403" s="52" t="s">
        <v>161</v>
      </c>
    </row>
    <row r="404">
      <c r="A404" s="14"/>
      <c r="B404" s="53" t="s">
        <v>747</v>
      </c>
      <c r="C404" s="56"/>
      <c r="D404" s="52" t="s">
        <v>161</v>
      </c>
    </row>
    <row r="405">
      <c r="A405" s="14"/>
      <c r="B405" s="53" t="s">
        <v>748</v>
      </c>
      <c r="C405" s="56"/>
      <c r="D405" s="52" t="s">
        <v>161</v>
      </c>
    </row>
    <row r="406">
      <c r="A406" s="14"/>
      <c r="B406" s="53" t="s">
        <v>749</v>
      </c>
      <c r="C406" s="56"/>
      <c r="D406" s="52" t="s">
        <v>161</v>
      </c>
    </row>
    <row r="407">
      <c r="A407" s="14"/>
      <c r="B407" s="53" t="s">
        <v>750</v>
      </c>
      <c r="C407" s="56"/>
      <c r="D407" s="52" t="s">
        <v>161</v>
      </c>
    </row>
    <row r="408">
      <c r="A408" s="14"/>
      <c r="B408" s="53" t="s">
        <v>751</v>
      </c>
      <c r="C408" s="56"/>
      <c r="D408" s="52" t="s">
        <v>161</v>
      </c>
    </row>
    <row r="409">
      <c r="A409" s="14"/>
      <c r="B409" s="53" t="s">
        <v>752</v>
      </c>
      <c r="C409" s="56"/>
      <c r="D409" s="52" t="s">
        <v>161</v>
      </c>
    </row>
    <row r="410">
      <c r="A410" s="14"/>
      <c r="B410" s="53" t="s">
        <v>753</v>
      </c>
      <c r="C410" s="56"/>
      <c r="D410" s="52" t="s">
        <v>161</v>
      </c>
    </row>
    <row r="411">
      <c r="A411" s="14"/>
      <c r="B411" s="53" t="s">
        <v>755</v>
      </c>
      <c r="C411" s="56"/>
      <c r="D411" s="52" t="s">
        <v>161</v>
      </c>
    </row>
    <row r="412">
      <c r="A412" s="14"/>
      <c r="B412" s="53" t="s">
        <v>756</v>
      </c>
      <c r="C412" s="56"/>
      <c r="D412" s="52" t="s">
        <v>161</v>
      </c>
    </row>
    <row r="413">
      <c r="A413" s="14"/>
      <c r="B413" s="53" t="s">
        <v>757</v>
      </c>
      <c r="C413" s="56"/>
      <c r="D413" s="52" t="s">
        <v>161</v>
      </c>
    </row>
    <row r="414">
      <c r="A414" s="14"/>
      <c r="B414" s="53" t="s">
        <v>758</v>
      </c>
      <c r="C414" s="56"/>
      <c r="D414" s="52" t="s">
        <v>161</v>
      </c>
    </row>
    <row r="415">
      <c r="A415" s="14"/>
      <c r="B415" s="53" t="s">
        <v>759</v>
      </c>
      <c r="C415" s="56"/>
      <c r="D415" s="52" t="s">
        <v>161</v>
      </c>
    </row>
    <row r="416">
      <c r="A416" s="16"/>
      <c r="B416" s="53" t="s">
        <v>760</v>
      </c>
      <c r="C416" s="56"/>
      <c r="D416" s="52" t="s">
        <v>161</v>
      </c>
    </row>
  </sheetData>
  <mergeCells count="38">
    <mergeCell ref="A1:D1"/>
    <mergeCell ref="A2:D2"/>
    <mergeCell ref="A3:D3"/>
    <mergeCell ref="A4:B4"/>
    <mergeCell ref="C4:D4"/>
    <mergeCell ref="C5:D5"/>
    <mergeCell ref="A6:D6"/>
    <mergeCell ref="A5:B5"/>
    <mergeCell ref="A8:A19"/>
    <mergeCell ref="A20:A34"/>
    <mergeCell ref="A35:A47"/>
    <mergeCell ref="A48:A60"/>
    <mergeCell ref="A61:A73"/>
    <mergeCell ref="A74:A83"/>
    <mergeCell ref="A84:A96"/>
    <mergeCell ref="A97:A108"/>
    <mergeCell ref="A109:A122"/>
    <mergeCell ref="A123:A135"/>
    <mergeCell ref="A136:A148"/>
    <mergeCell ref="A149:A163"/>
    <mergeCell ref="A164:A176"/>
    <mergeCell ref="A177:A186"/>
    <mergeCell ref="A187:A197"/>
    <mergeCell ref="A198:A211"/>
    <mergeCell ref="A212:A224"/>
    <mergeCell ref="A225:A239"/>
    <mergeCell ref="A240:A252"/>
    <mergeCell ref="A253:A266"/>
    <mergeCell ref="A372:A386"/>
    <mergeCell ref="A387:A398"/>
    <mergeCell ref="A399:A416"/>
    <mergeCell ref="A267:A282"/>
    <mergeCell ref="A283:A296"/>
    <mergeCell ref="A297:A311"/>
    <mergeCell ref="A312:A327"/>
    <mergeCell ref="A328:A341"/>
    <mergeCell ref="A342:A356"/>
    <mergeCell ref="A357:A371"/>
  </mergeCells>
  <dataValidations>
    <dataValidation type="list" allowBlank="1" showErrorMessage="1" sqref="D8:D416">
      <formula1>"Pending,Done"</formula1>
    </dataValidation>
  </dataValidation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5.63"/>
  </cols>
  <sheetData>
    <row r="2">
      <c r="A2" s="58" t="s">
        <v>0</v>
      </c>
      <c r="B2" s="58" t="s">
        <v>7</v>
      </c>
      <c r="C2" s="59" t="s">
        <v>8</v>
      </c>
      <c r="D2" s="60" t="s">
        <v>431</v>
      </c>
      <c r="E2" s="60" t="s">
        <v>432</v>
      </c>
    </row>
    <row r="3">
      <c r="A3" s="29">
        <v>1.0</v>
      </c>
      <c r="B3" s="30" t="s">
        <v>58</v>
      </c>
      <c r="C3" s="30" t="s">
        <v>60</v>
      </c>
      <c r="D3" s="11"/>
      <c r="E3" s="11"/>
    </row>
    <row r="4">
      <c r="A4" s="29">
        <v>2.0</v>
      </c>
      <c r="B4" s="32" t="s">
        <v>71</v>
      </c>
      <c r="C4" s="32" t="s">
        <v>73</v>
      </c>
      <c r="D4" s="11"/>
      <c r="E4" s="11"/>
    </row>
    <row r="5">
      <c r="A5" s="29">
        <v>3.0</v>
      </c>
      <c r="B5" s="32" t="s">
        <v>77</v>
      </c>
      <c r="C5" s="32" t="s">
        <v>78</v>
      </c>
      <c r="D5" s="11"/>
      <c r="E5" s="11"/>
    </row>
    <row r="6">
      <c r="A6" s="29">
        <v>4.0</v>
      </c>
      <c r="B6" s="32" t="s">
        <v>83</v>
      </c>
      <c r="C6" s="32" t="s">
        <v>84</v>
      </c>
      <c r="D6" s="11"/>
      <c r="E6" s="11"/>
    </row>
    <row r="7">
      <c r="A7" s="29">
        <v>5.0</v>
      </c>
      <c r="B7" s="32" t="s">
        <v>87</v>
      </c>
      <c r="C7" s="32" t="s">
        <v>88</v>
      </c>
      <c r="D7" s="11"/>
      <c r="E7" s="11"/>
    </row>
    <row r="8">
      <c r="A8" s="29">
        <v>6.0</v>
      </c>
      <c r="B8" s="32" t="s">
        <v>91</v>
      </c>
      <c r="C8" s="32" t="s">
        <v>92</v>
      </c>
      <c r="D8" s="11"/>
      <c r="E8" s="11"/>
    </row>
    <row r="9">
      <c r="A9" s="29">
        <v>7.0</v>
      </c>
      <c r="B9" s="32" t="s">
        <v>94</v>
      </c>
      <c r="C9" s="32" t="s">
        <v>95</v>
      </c>
      <c r="D9" s="11"/>
      <c r="E9" s="11"/>
    </row>
    <row r="10">
      <c r="A10" s="29">
        <v>8.0</v>
      </c>
      <c r="B10" s="32" t="s">
        <v>96</v>
      </c>
      <c r="C10" s="32" t="s">
        <v>97</v>
      </c>
      <c r="D10" s="11"/>
      <c r="E10" s="11"/>
    </row>
    <row r="11">
      <c r="A11" s="29">
        <v>9.0</v>
      </c>
      <c r="B11" s="32" t="s">
        <v>98</v>
      </c>
      <c r="C11" s="32" t="s">
        <v>99</v>
      </c>
      <c r="D11" s="11"/>
      <c r="E11" s="11"/>
    </row>
    <row r="12">
      <c r="A12" s="29">
        <v>10.0</v>
      </c>
      <c r="B12" s="32" t="s">
        <v>101</v>
      </c>
      <c r="C12" s="32" t="s">
        <v>102</v>
      </c>
      <c r="D12" s="11"/>
      <c r="E12" s="11"/>
    </row>
    <row r="13">
      <c r="A13" s="29">
        <v>11.0</v>
      </c>
      <c r="B13" s="32" t="s">
        <v>103</v>
      </c>
      <c r="C13" s="32" t="s">
        <v>104</v>
      </c>
      <c r="D13" s="11"/>
      <c r="E13" s="11"/>
    </row>
    <row r="14">
      <c r="A14" s="29">
        <v>12.0</v>
      </c>
      <c r="B14" s="32" t="s">
        <v>105</v>
      </c>
      <c r="C14" s="32" t="s">
        <v>106</v>
      </c>
      <c r="D14" s="11"/>
      <c r="E14" s="11"/>
    </row>
    <row r="15">
      <c r="A15" s="29">
        <v>13.0</v>
      </c>
      <c r="B15" s="32" t="s">
        <v>109</v>
      </c>
      <c r="C15" s="32" t="s">
        <v>110</v>
      </c>
      <c r="D15" s="11"/>
      <c r="E15" s="11"/>
    </row>
    <row r="16">
      <c r="A16" s="29">
        <v>14.0</v>
      </c>
      <c r="B16" s="30" t="s">
        <v>111</v>
      </c>
      <c r="C16" s="30" t="s">
        <v>112</v>
      </c>
      <c r="D16" s="11"/>
      <c r="E16" s="11"/>
    </row>
    <row r="17">
      <c r="A17" s="29">
        <v>15.0</v>
      </c>
      <c r="B17" s="32" t="s">
        <v>113</v>
      </c>
      <c r="C17" s="32" t="s">
        <v>114</v>
      </c>
      <c r="D17" s="11"/>
      <c r="E17" s="11"/>
    </row>
    <row r="18">
      <c r="A18" s="29">
        <v>16.0</v>
      </c>
      <c r="B18" s="32" t="s">
        <v>115</v>
      </c>
      <c r="C18" s="32" t="s">
        <v>116</v>
      </c>
      <c r="D18" s="11"/>
      <c r="E18" s="11"/>
    </row>
    <row r="19">
      <c r="A19" s="29">
        <v>17.0</v>
      </c>
      <c r="B19" s="32" t="s">
        <v>117</v>
      </c>
      <c r="C19" s="32" t="s">
        <v>118</v>
      </c>
      <c r="D19" s="11"/>
      <c r="E19" s="11"/>
    </row>
    <row r="20">
      <c r="A20" s="29">
        <v>18.0</v>
      </c>
      <c r="B20" s="30" t="s">
        <v>58</v>
      </c>
      <c r="C20" s="30" t="s">
        <v>119</v>
      </c>
      <c r="D20" s="11"/>
      <c r="E20" s="11"/>
    </row>
    <row r="21">
      <c r="A21" s="29">
        <v>19.0</v>
      </c>
      <c r="B21" s="32" t="s">
        <v>121</v>
      </c>
      <c r="C21" s="32" t="s">
        <v>122</v>
      </c>
      <c r="D21" s="11"/>
      <c r="E21" s="11"/>
    </row>
    <row r="22">
      <c r="A22" s="29">
        <v>20.0</v>
      </c>
      <c r="B22" s="32" t="s">
        <v>123</v>
      </c>
      <c r="C22" s="32" t="s">
        <v>124</v>
      </c>
      <c r="D22" s="11"/>
      <c r="E22" s="11"/>
    </row>
    <row r="23">
      <c r="A23" s="29">
        <v>21.0</v>
      </c>
      <c r="B23" s="32" t="s">
        <v>125</v>
      </c>
      <c r="C23" s="32" t="s">
        <v>126</v>
      </c>
      <c r="D23" s="11"/>
      <c r="E23" s="11"/>
    </row>
    <row r="24">
      <c r="A24" s="29">
        <v>22.0</v>
      </c>
      <c r="B24" s="32" t="s">
        <v>127</v>
      </c>
      <c r="C24" s="32" t="s">
        <v>129</v>
      </c>
      <c r="D24" s="11"/>
      <c r="E24" s="11"/>
    </row>
    <row r="25">
      <c r="A25" s="29">
        <v>23.0</v>
      </c>
      <c r="B25" s="32" t="s">
        <v>132</v>
      </c>
      <c r="C25" s="32" t="s">
        <v>133</v>
      </c>
      <c r="D25" s="11"/>
      <c r="E25" s="11"/>
    </row>
    <row r="26">
      <c r="A26" s="29">
        <v>24.0</v>
      </c>
      <c r="B26" s="32" t="s">
        <v>134</v>
      </c>
      <c r="C26" s="32" t="s">
        <v>135</v>
      </c>
      <c r="D26" s="11"/>
      <c r="E26" s="11"/>
    </row>
    <row r="27">
      <c r="A27" s="29">
        <v>25.0</v>
      </c>
      <c r="B27" s="30" t="s">
        <v>136</v>
      </c>
      <c r="C27" s="30" t="s">
        <v>137</v>
      </c>
      <c r="D27" s="11"/>
      <c r="E27" s="11"/>
    </row>
    <row r="28">
      <c r="A28" s="29">
        <v>26.0</v>
      </c>
      <c r="B28" s="32" t="s">
        <v>139</v>
      </c>
      <c r="C28" s="32" t="s">
        <v>140</v>
      </c>
      <c r="D28" s="11"/>
      <c r="E28" s="11"/>
    </row>
    <row r="29">
      <c r="A29" s="29">
        <v>27.0</v>
      </c>
      <c r="B29" s="32" t="s">
        <v>141</v>
      </c>
      <c r="C29" s="32" t="s">
        <v>142</v>
      </c>
      <c r="D29" s="11"/>
      <c r="E29" s="11"/>
    </row>
    <row r="30">
      <c r="A30" s="29">
        <v>28.0</v>
      </c>
      <c r="B30" s="32" t="s">
        <v>143</v>
      </c>
      <c r="C30" s="32" t="s">
        <v>144</v>
      </c>
      <c r="D30" s="11"/>
      <c r="E30" s="11"/>
    </row>
    <row r="31">
      <c r="A31" s="29">
        <v>29.0</v>
      </c>
      <c r="B31" s="32" t="s">
        <v>146</v>
      </c>
      <c r="C31" s="32" t="s">
        <v>147</v>
      </c>
      <c r="D31" s="11"/>
      <c r="E31" s="11"/>
    </row>
    <row r="32">
      <c r="A32" s="29">
        <v>30.0</v>
      </c>
      <c r="B32" s="32" t="s">
        <v>149</v>
      </c>
      <c r="C32" s="32" t="s">
        <v>150</v>
      </c>
      <c r="D32" s="11"/>
      <c r="E32" s="11"/>
    </row>
    <row r="33">
      <c r="A33" s="29">
        <v>31.0</v>
      </c>
      <c r="B33" s="32" t="s">
        <v>236</v>
      </c>
      <c r="C33" s="32" t="s">
        <v>237</v>
      </c>
      <c r="D33" s="11"/>
      <c r="E33" s="11"/>
    </row>
    <row r="34">
      <c r="A34" s="29">
        <v>32.0</v>
      </c>
      <c r="B34" s="32" t="s">
        <v>239</v>
      </c>
      <c r="C34" s="32" t="s">
        <v>241</v>
      </c>
      <c r="D34" s="11"/>
      <c r="E34" s="11"/>
    </row>
    <row r="35">
      <c r="A35" s="29">
        <v>33.0</v>
      </c>
      <c r="B35" s="32" t="s">
        <v>244</v>
      </c>
      <c r="C35" s="32" t="s">
        <v>245</v>
      </c>
      <c r="D35" s="11"/>
      <c r="E35" s="11"/>
    </row>
    <row r="36">
      <c r="A36" s="29">
        <v>34.0</v>
      </c>
      <c r="B36" s="32" t="s">
        <v>250</v>
      </c>
      <c r="C36" s="32" t="s">
        <v>251</v>
      </c>
      <c r="D36" s="11"/>
      <c r="E36" s="11"/>
    </row>
    <row r="37">
      <c r="A37" s="29">
        <v>35.0</v>
      </c>
      <c r="B37" s="32" t="s">
        <v>253</v>
      </c>
      <c r="C37" s="32" t="s">
        <v>254</v>
      </c>
      <c r="D37" s="11"/>
      <c r="E37" s="11"/>
    </row>
    <row r="38">
      <c r="A38" s="29">
        <v>36.0</v>
      </c>
      <c r="B38" s="32" t="s">
        <v>258</v>
      </c>
      <c r="C38" s="32" t="s">
        <v>259</v>
      </c>
      <c r="D38" s="11"/>
      <c r="E38" s="11"/>
    </row>
    <row r="39">
      <c r="A39" s="29">
        <v>37.0</v>
      </c>
      <c r="B39" s="32" t="s">
        <v>262</v>
      </c>
      <c r="C39" s="32" t="s">
        <v>263</v>
      </c>
      <c r="D39" s="11"/>
      <c r="E39" s="11"/>
    </row>
    <row r="40">
      <c r="A40" s="29">
        <v>38.0</v>
      </c>
      <c r="B40" s="32" t="s">
        <v>266</v>
      </c>
      <c r="C40" s="32" t="s">
        <v>268</v>
      </c>
      <c r="D40" s="11"/>
      <c r="E40" s="11"/>
    </row>
    <row r="41">
      <c r="A41" s="29">
        <v>39.0</v>
      </c>
      <c r="B41" s="32" t="s">
        <v>272</v>
      </c>
      <c r="C41" s="32" t="s">
        <v>273</v>
      </c>
      <c r="D41" s="11"/>
      <c r="E41" s="11"/>
    </row>
    <row r="42">
      <c r="A42" s="29">
        <v>40.0</v>
      </c>
      <c r="B42" s="32" t="s">
        <v>276</v>
      </c>
      <c r="C42" s="32" t="s">
        <v>277</v>
      </c>
      <c r="D42" s="11"/>
      <c r="E42" s="11"/>
    </row>
    <row r="43">
      <c r="A43" s="29">
        <v>41.0</v>
      </c>
      <c r="B43" s="32" t="s">
        <v>280</v>
      </c>
      <c r="C43" s="32" t="s">
        <v>281</v>
      </c>
      <c r="D43" s="11"/>
      <c r="E43" s="11"/>
    </row>
    <row r="44">
      <c r="A44" s="29">
        <v>42.0</v>
      </c>
      <c r="B44" s="32" t="s">
        <v>284</v>
      </c>
      <c r="C44" s="32" t="s">
        <v>285</v>
      </c>
      <c r="D44" s="11"/>
      <c r="E44" s="11"/>
    </row>
    <row r="45">
      <c r="A45" s="29">
        <v>43.0</v>
      </c>
      <c r="B45" s="32" t="s">
        <v>288</v>
      </c>
      <c r="C45" s="32" t="s">
        <v>290</v>
      </c>
      <c r="D45" s="11"/>
      <c r="E45" s="11"/>
    </row>
    <row r="46">
      <c r="A46" s="29">
        <v>44.0</v>
      </c>
      <c r="B46" s="32" t="s">
        <v>295</v>
      </c>
      <c r="C46" s="32" t="s">
        <v>296</v>
      </c>
      <c r="D46" s="11"/>
      <c r="E46" s="11"/>
    </row>
    <row r="47">
      <c r="A47" s="29">
        <v>45.0</v>
      </c>
      <c r="B47" s="32" t="s">
        <v>299</v>
      </c>
      <c r="C47" s="32" t="s">
        <v>301</v>
      </c>
      <c r="D47" s="11"/>
      <c r="E47" s="11"/>
    </row>
    <row r="48">
      <c r="A48" s="29">
        <v>46.0</v>
      </c>
      <c r="B48" s="32" t="s">
        <v>303</v>
      </c>
      <c r="C48" s="32" t="s">
        <v>304</v>
      </c>
      <c r="D48" s="11"/>
      <c r="E48" s="11"/>
    </row>
    <row r="49">
      <c r="A49" s="29">
        <v>47.0</v>
      </c>
      <c r="B49" s="32" t="s">
        <v>306</v>
      </c>
      <c r="C49" s="32" t="s">
        <v>308</v>
      </c>
      <c r="D49" s="11"/>
      <c r="E49" s="11"/>
    </row>
    <row r="50">
      <c r="A50" s="29">
        <v>48.0</v>
      </c>
      <c r="B50" s="32" t="s">
        <v>312</v>
      </c>
      <c r="C50" s="32" t="s">
        <v>313</v>
      </c>
      <c r="D50" s="11"/>
      <c r="E50" s="11"/>
    </row>
    <row r="51">
      <c r="A51" s="29">
        <v>49.0</v>
      </c>
      <c r="B51" s="32" t="s">
        <v>316</v>
      </c>
      <c r="C51" s="32" t="s">
        <v>317</v>
      </c>
      <c r="D51" s="11"/>
      <c r="E51" s="11"/>
    </row>
    <row r="52">
      <c r="A52" s="29">
        <v>50.0</v>
      </c>
      <c r="B52" s="32" t="s">
        <v>320</v>
      </c>
      <c r="C52" s="32" t="s">
        <v>321</v>
      </c>
      <c r="D52" s="11"/>
      <c r="E52" s="11"/>
    </row>
    <row r="53">
      <c r="A53" s="29">
        <v>51.0</v>
      </c>
      <c r="B53" s="32" t="s">
        <v>324</v>
      </c>
      <c r="C53" s="32" t="s">
        <v>325</v>
      </c>
      <c r="D53" s="11"/>
      <c r="E53" s="11"/>
    </row>
    <row r="54">
      <c r="A54" s="29">
        <v>52.0</v>
      </c>
      <c r="B54" s="32" t="s">
        <v>329</v>
      </c>
      <c r="C54" s="32" t="s">
        <v>330</v>
      </c>
      <c r="D54" s="11"/>
      <c r="E54" s="11"/>
    </row>
    <row r="55">
      <c r="A55" s="29">
        <v>53.0</v>
      </c>
      <c r="B55" s="32" t="s">
        <v>332</v>
      </c>
      <c r="C55" s="32" t="s">
        <v>333</v>
      </c>
      <c r="D55" s="11"/>
      <c r="E55" s="11"/>
    </row>
    <row r="56">
      <c r="A56" s="29">
        <v>54.0</v>
      </c>
      <c r="B56" s="32" t="s">
        <v>336</v>
      </c>
      <c r="C56" s="32" t="s">
        <v>337</v>
      </c>
      <c r="D56" s="11"/>
      <c r="E56" s="11"/>
    </row>
    <row r="57">
      <c r="A57" s="29">
        <v>55.0</v>
      </c>
      <c r="B57" s="32" t="s">
        <v>340</v>
      </c>
      <c r="C57" s="32" t="s">
        <v>341</v>
      </c>
      <c r="D57" s="11"/>
      <c r="E57" s="11"/>
    </row>
    <row r="58">
      <c r="A58" s="29">
        <v>56.0</v>
      </c>
      <c r="B58" s="32" t="s">
        <v>344</v>
      </c>
      <c r="C58" s="32" t="s">
        <v>345</v>
      </c>
      <c r="D58" s="11"/>
      <c r="E58" s="11"/>
    </row>
    <row r="59">
      <c r="A59" s="29">
        <v>57.0</v>
      </c>
      <c r="B59" s="32" t="s">
        <v>349</v>
      </c>
      <c r="C59" s="32" t="s">
        <v>350</v>
      </c>
      <c r="D59" s="11"/>
      <c r="E59" s="11"/>
    </row>
    <row r="60">
      <c r="A60" s="29">
        <v>58.0</v>
      </c>
      <c r="B60" s="32" t="s">
        <v>354</v>
      </c>
      <c r="C60" s="32" t="s">
        <v>355</v>
      </c>
      <c r="D60" s="11"/>
      <c r="E60" s="11"/>
    </row>
    <row r="61">
      <c r="A61" s="29">
        <v>59.0</v>
      </c>
      <c r="B61" s="32" t="s">
        <v>358</v>
      </c>
      <c r="C61" s="32" t="s">
        <v>360</v>
      </c>
      <c r="D61" s="11"/>
      <c r="E61" s="11"/>
    </row>
    <row r="62">
      <c r="A62" s="29">
        <v>60.0</v>
      </c>
      <c r="B62" s="32" t="s">
        <v>362</v>
      </c>
      <c r="C62" s="32" t="s">
        <v>363</v>
      </c>
      <c r="D62" s="11"/>
      <c r="E62" s="11"/>
    </row>
    <row r="63">
      <c r="A63" s="29">
        <v>61.0</v>
      </c>
      <c r="B63" s="32" t="s">
        <v>366</v>
      </c>
      <c r="C63" s="32" t="s">
        <v>368</v>
      </c>
      <c r="D63" s="11"/>
      <c r="E63" s="11"/>
    </row>
    <row r="64">
      <c r="A64" s="29">
        <v>62.0</v>
      </c>
      <c r="B64" s="32" t="s">
        <v>371</v>
      </c>
      <c r="C64" s="32" t="s">
        <v>372</v>
      </c>
      <c r="D64" s="11"/>
      <c r="E64" s="11"/>
    </row>
    <row r="65">
      <c r="A65" s="29">
        <v>63.0</v>
      </c>
      <c r="B65" s="32" t="s">
        <v>375</v>
      </c>
      <c r="C65" s="32" t="s">
        <v>376</v>
      </c>
      <c r="D65" s="11"/>
      <c r="E65" s="11"/>
    </row>
    <row r="66">
      <c r="A66" s="29">
        <v>64.0</v>
      </c>
      <c r="B66" s="32" t="s">
        <v>381</v>
      </c>
      <c r="C66" s="32" t="s">
        <v>382</v>
      </c>
      <c r="D66" s="11"/>
      <c r="E66" s="11"/>
    </row>
    <row r="67">
      <c r="A67" s="29">
        <v>65.0</v>
      </c>
      <c r="B67" s="32" t="s">
        <v>386</v>
      </c>
      <c r="C67" s="32" t="s">
        <v>387</v>
      </c>
      <c r="D67" s="11"/>
      <c r="E67" s="11"/>
    </row>
    <row r="68">
      <c r="A68" s="29">
        <v>66.0</v>
      </c>
      <c r="B68" s="32" t="s">
        <v>389</v>
      </c>
      <c r="C68" s="32" t="s">
        <v>390</v>
      </c>
      <c r="D68" s="11"/>
      <c r="E68" s="11"/>
    </row>
    <row r="69">
      <c r="A69" s="29">
        <v>67.0</v>
      </c>
      <c r="B69" s="32" t="s">
        <v>393</v>
      </c>
      <c r="C69" s="32" t="s">
        <v>394</v>
      </c>
      <c r="D69" s="11"/>
      <c r="E69" s="11"/>
    </row>
    <row r="70">
      <c r="A70" s="29">
        <v>68.0</v>
      </c>
      <c r="B70" s="32" t="s">
        <v>398</v>
      </c>
      <c r="C70" s="32" t="s">
        <v>399</v>
      </c>
      <c r="D70" s="11"/>
      <c r="E70" s="11"/>
    </row>
    <row r="71">
      <c r="A71" s="29">
        <v>69.0</v>
      </c>
      <c r="B71" s="32" t="s">
        <v>402</v>
      </c>
      <c r="C71" s="32" t="s">
        <v>405</v>
      </c>
      <c r="D71" s="11"/>
      <c r="E71" s="11"/>
    </row>
    <row r="72">
      <c r="A72" s="29">
        <v>70.0</v>
      </c>
      <c r="B72" s="32" t="s">
        <v>408</v>
      </c>
      <c r="C72" s="32" t="s">
        <v>409</v>
      </c>
      <c r="D72" s="11"/>
      <c r="E72" s="11"/>
    </row>
    <row r="73">
      <c r="A73" s="29">
        <v>71.0</v>
      </c>
      <c r="B73" s="32" t="s">
        <v>413</v>
      </c>
      <c r="C73" s="32" t="s">
        <v>414</v>
      </c>
      <c r="D73" s="11"/>
      <c r="E73" s="11"/>
    </row>
    <row r="74">
      <c r="A74" s="29">
        <v>72.0</v>
      </c>
      <c r="B74" s="32" t="s">
        <v>417</v>
      </c>
      <c r="C74" s="32" t="s">
        <v>418</v>
      </c>
      <c r="D74" s="11"/>
      <c r="E74" s="11"/>
    </row>
    <row r="75">
      <c r="A75" s="29">
        <v>73.0</v>
      </c>
      <c r="B75" s="32" t="s">
        <v>421</v>
      </c>
      <c r="C75" s="32" t="s">
        <v>422</v>
      </c>
      <c r="D75" s="11"/>
      <c r="E75" s="11"/>
    </row>
    <row r="76">
      <c r="A76" s="29">
        <v>74.0</v>
      </c>
      <c r="B76" s="32" t="s">
        <v>425</v>
      </c>
      <c r="C76" s="32" t="s">
        <v>426</v>
      </c>
      <c r="D76" s="11"/>
      <c r="E76" s="11"/>
    </row>
    <row r="77">
      <c r="A77" s="29">
        <v>75.0</v>
      </c>
      <c r="B77" s="32" t="s">
        <v>433</v>
      </c>
      <c r="C77" s="32" t="s">
        <v>435</v>
      </c>
      <c r="D77" s="11"/>
      <c r="E77" s="11"/>
    </row>
    <row r="78">
      <c r="A78" s="29">
        <v>76.0</v>
      </c>
      <c r="B78" s="32" t="s">
        <v>438</v>
      </c>
      <c r="C78" s="32" t="s">
        <v>440</v>
      </c>
      <c r="D78" s="11"/>
      <c r="E78" s="11"/>
    </row>
    <row r="79">
      <c r="A79" s="29">
        <v>77.0</v>
      </c>
      <c r="B79" s="32" t="s">
        <v>444</v>
      </c>
      <c r="C79" s="32" t="s">
        <v>445</v>
      </c>
      <c r="D79" s="11"/>
      <c r="E79" s="11"/>
    </row>
    <row r="80">
      <c r="A80" s="29">
        <v>78.0</v>
      </c>
      <c r="B80" s="32" t="s">
        <v>447</v>
      </c>
      <c r="C80" s="32" t="s">
        <v>449</v>
      </c>
      <c r="D80" s="11"/>
      <c r="E80" s="11"/>
    </row>
    <row r="81">
      <c r="A81" s="29">
        <v>79.0</v>
      </c>
      <c r="B81" s="32" t="s">
        <v>452</v>
      </c>
      <c r="C81" s="32" t="s">
        <v>453</v>
      </c>
      <c r="D81" s="11"/>
      <c r="E81" s="11"/>
    </row>
    <row r="82">
      <c r="A82" s="29">
        <v>80.0</v>
      </c>
      <c r="B82" s="32" t="s">
        <v>456</v>
      </c>
      <c r="C82" s="32" t="s">
        <v>458</v>
      </c>
      <c r="D82" s="11"/>
      <c r="E82" s="11"/>
    </row>
    <row r="83">
      <c r="A83" s="29">
        <v>81.0</v>
      </c>
      <c r="B83" s="32" t="s">
        <v>462</v>
      </c>
      <c r="C83" s="32" t="s">
        <v>463</v>
      </c>
      <c r="D83" s="11"/>
      <c r="E83" s="11"/>
    </row>
    <row r="84">
      <c r="A84" s="29">
        <v>82.0</v>
      </c>
      <c r="B84" s="32" t="s">
        <v>466</v>
      </c>
      <c r="C84" s="32" t="s">
        <v>467</v>
      </c>
      <c r="D84" s="11"/>
      <c r="E84" s="11"/>
    </row>
    <row r="85">
      <c r="A85" s="29">
        <v>83.0</v>
      </c>
      <c r="B85" s="32" t="s">
        <v>471</v>
      </c>
      <c r="C85" s="32" t="s">
        <v>472</v>
      </c>
      <c r="D85" s="11"/>
      <c r="E85" s="11"/>
    </row>
    <row r="86">
      <c r="A86" s="29">
        <v>84.0</v>
      </c>
      <c r="B86" s="32" t="s">
        <v>475</v>
      </c>
      <c r="C86" s="32" t="s">
        <v>477</v>
      </c>
      <c r="D86" s="11"/>
      <c r="E86" s="11"/>
    </row>
    <row r="87">
      <c r="A87" s="29">
        <v>85.0</v>
      </c>
      <c r="B87" s="32" t="s">
        <v>480</v>
      </c>
      <c r="C87" s="32" t="s">
        <v>481</v>
      </c>
      <c r="D87" s="11"/>
      <c r="E87" s="11"/>
    </row>
    <row r="88">
      <c r="A88" s="29">
        <v>86.0</v>
      </c>
      <c r="B88" s="32" t="s">
        <v>486</v>
      </c>
      <c r="C88" s="32" t="s">
        <v>487</v>
      </c>
      <c r="D88" s="11"/>
      <c r="E88" s="11"/>
    </row>
    <row r="89">
      <c r="A89" s="29">
        <v>87.0</v>
      </c>
      <c r="B89" s="62" t="s">
        <v>489</v>
      </c>
      <c r="C89" s="32" t="s">
        <v>491</v>
      </c>
      <c r="D89" s="11"/>
      <c r="E89" s="11"/>
    </row>
    <row r="90">
      <c r="A90" s="29">
        <v>88.0</v>
      </c>
      <c r="B90" s="32" t="s">
        <v>495</v>
      </c>
      <c r="C90" s="32" t="s">
        <v>496</v>
      </c>
      <c r="D90" s="11"/>
      <c r="E90" s="11"/>
    </row>
    <row r="91">
      <c r="A91" s="29">
        <v>89.0</v>
      </c>
      <c r="B91" s="32" t="s">
        <v>499</v>
      </c>
      <c r="C91" s="32" t="s">
        <v>500</v>
      </c>
      <c r="D91" s="11"/>
      <c r="E91" s="11"/>
    </row>
    <row r="92">
      <c r="A92" s="29">
        <v>90.0</v>
      </c>
      <c r="B92" s="32" t="s">
        <v>504</v>
      </c>
      <c r="C92" s="32" t="s">
        <v>505</v>
      </c>
      <c r="D92" s="11"/>
      <c r="E92" s="11"/>
    </row>
    <row r="93">
      <c r="A93" s="29">
        <v>91.0</v>
      </c>
      <c r="B93" s="32" t="s">
        <v>508</v>
      </c>
      <c r="C93" s="32" t="s">
        <v>509</v>
      </c>
      <c r="D93" s="11"/>
      <c r="E93" s="11"/>
    </row>
    <row r="94">
      <c r="A94" s="29">
        <v>92.0</v>
      </c>
      <c r="B94" s="32" t="s">
        <v>512</v>
      </c>
      <c r="C94" s="32" t="s">
        <v>513</v>
      </c>
      <c r="D94" s="11"/>
      <c r="E94" s="11"/>
    </row>
    <row r="95">
      <c r="A95" s="29">
        <v>93.0</v>
      </c>
      <c r="B95" s="32" t="s">
        <v>516</v>
      </c>
      <c r="C95" s="32" t="s">
        <v>517</v>
      </c>
      <c r="D95" s="11"/>
      <c r="E95" s="11"/>
    </row>
    <row r="96">
      <c r="A96" s="29">
        <v>94.0</v>
      </c>
      <c r="B96" s="32" t="s">
        <v>519</v>
      </c>
      <c r="C96" s="32" t="s">
        <v>520</v>
      </c>
      <c r="D96" s="11"/>
      <c r="E96" s="11"/>
    </row>
    <row r="97">
      <c r="A97" s="29">
        <v>95.0</v>
      </c>
      <c r="B97" s="32" t="s">
        <v>523</v>
      </c>
      <c r="C97" s="32" t="s">
        <v>524</v>
      </c>
      <c r="D97" s="11"/>
      <c r="E97" s="11"/>
    </row>
    <row r="98">
      <c r="A98" s="29">
        <v>96.0</v>
      </c>
      <c r="B98" s="32" t="s">
        <v>527</v>
      </c>
      <c r="C98" s="32" t="s">
        <v>528</v>
      </c>
      <c r="D98" s="11"/>
      <c r="E98" s="11"/>
    </row>
    <row r="99">
      <c r="A99" s="29">
        <v>97.0</v>
      </c>
      <c r="B99" s="32" t="s">
        <v>531</v>
      </c>
      <c r="C99" s="32" t="s">
        <v>533</v>
      </c>
      <c r="D99" s="11"/>
      <c r="E99" s="11"/>
    </row>
    <row r="100">
      <c r="A100" s="29">
        <v>98.0</v>
      </c>
      <c r="B100" s="32" t="s">
        <v>536</v>
      </c>
      <c r="C100" s="32" t="s">
        <v>538</v>
      </c>
      <c r="D100" s="11"/>
      <c r="E100" s="11"/>
    </row>
    <row r="101">
      <c r="A101" s="29">
        <v>99.0</v>
      </c>
      <c r="B101" s="32" t="s">
        <v>541</v>
      </c>
      <c r="C101" s="32" t="s">
        <v>542</v>
      </c>
      <c r="D101" s="11"/>
      <c r="E101" s="11"/>
    </row>
    <row r="102">
      <c r="A102" s="29">
        <v>100.0</v>
      </c>
      <c r="B102" s="32" t="s">
        <v>544</v>
      </c>
      <c r="C102" s="32" t="s">
        <v>545</v>
      </c>
      <c r="D102" s="11"/>
      <c r="E102" s="11"/>
    </row>
    <row r="103">
      <c r="A103" s="29">
        <v>101.0</v>
      </c>
      <c r="B103" s="32" t="s">
        <v>550</v>
      </c>
      <c r="C103" s="32" t="s">
        <v>551</v>
      </c>
      <c r="D103" s="11"/>
      <c r="E103" s="11"/>
    </row>
    <row r="104">
      <c r="A104" s="29">
        <v>102.0</v>
      </c>
      <c r="B104" s="32" t="s">
        <v>557</v>
      </c>
      <c r="C104" s="32" t="s">
        <v>558</v>
      </c>
      <c r="D104" s="11"/>
      <c r="E104" s="11"/>
    </row>
  </sheetData>
  <drawing r:id="rId1"/>
</worksheet>
</file>