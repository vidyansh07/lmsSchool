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" sheetId="1" r:id="rId5"/>
    <sheet state="visible" name="DSR" sheetId="2" r:id="rId6"/>
    <sheet state="visible" name="Assessment" sheetId="3" r:id="rId7"/>
    <sheet state="visible" name="Course Timeline" sheetId="4" r:id="rId8"/>
    <sheet state="visible" name="Quiz" sheetId="5" r:id="rId9"/>
    <sheet state="visible" name="Project" sheetId="6" r:id="rId10"/>
  </sheets>
  <definedNames>
    <definedName name="students">#REF!</definedName>
    <definedName name="student">Attendance!$C$149:$C$211</definedName>
  </definedNames>
  <calcPr/>
</workbook>
</file>

<file path=xl/sharedStrings.xml><?xml version="1.0" encoding="utf-8"?>
<sst xmlns="http://schemas.openxmlformats.org/spreadsheetml/2006/main" count="6673" uniqueCount="1123">
  <si>
    <t>SNO</t>
  </si>
  <si>
    <t>S NO</t>
  </si>
  <si>
    <t>Date</t>
  </si>
  <si>
    <t>ARYA COLLEGE OF ENGINEERING</t>
  </si>
  <si>
    <t>Topic Cover</t>
  </si>
  <si>
    <t>Student Email</t>
  </si>
  <si>
    <t>Student Count Online Offline</t>
  </si>
  <si>
    <t xml:space="preserve">Trainer Name </t>
  </si>
  <si>
    <t>BLOWN UP SYLLABUS</t>
  </si>
  <si>
    <t>Student Name</t>
  </si>
  <si>
    <t>INDUSTRIAL TRAINING</t>
  </si>
  <si>
    <t>RTU Roll No.</t>
  </si>
  <si>
    <t>Lecturer Name: RAVI RAMAWAT</t>
  </si>
  <si>
    <t>Assesment 1 (Data Types, Operators) Out of 30</t>
  </si>
  <si>
    <t xml:space="preserve">Total Present </t>
  </si>
  <si>
    <t>DAY 1: INTRODUCTION TO PYTHON &amp; ENVIRONMENT SETUP</t>
  </si>
  <si>
    <t xml:space="preserve">Total Absent </t>
  </si>
  <si>
    <t>Assesment 2 (Upto Loops ) Out of 30</t>
  </si>
  <si>
    <t>Assesment 3 (UPTO FILE HANDLING) Out of 30</t>
  </si>
  <si>
    <t xml:space="preserve">Total Class </t>
  </si>
  <si>
    <t xml:space="preserve">Assesment 4 (Upto Numpy ) Out of 30 </t>
  </si>
  <si>
    <t xml:space="preserve">Assesment 5 (Topics Name ) Out of </t>
  </si>
  <si>
    <t>No. of Lectures Required: 30</t>
  </si>
  <si>
    <t>Attendance Percent</t>
  </si>
  <si>
    <t xml:space="preserve">Assesment 6 (Topics Name ) Out of </t>
  </si>
  <si>
    <t>Lecture No.</t>
  </si>
  <si>
    <t>BLOWN UP TOPICS</t>
  </si>
  <si>
    <t>Date of Delivery</t>
  </si>
  <si>
    <t>Ravi Ramawat</t>
  </si>
  <si>
    <t>Aaditya Singh Thakur</t>
  </si>
  <si>
    <t>Status</t>
  </si>
  <si>
    <t>25EACCS003</t>
  </si>
  <si>
    <t>A</t>
  </si>
  <si>
    <t>DAY 2: VARIABLES, DATA TYPES &amp; TYPE CONVERSION</t>
  </si>
  <si>
    <t>59 Online</t>
  </si>
  <si>
    <t>Done</t>
  </si>
  <si>
    <t>DAY 3: STRINGS</t>
  </si>
  <si>
    <t>1. Getting Started with Python</t>
  </si>
  <si>
    <t>46 Online</t>
  </si>
  <si>
    <t>Aanya jain</t>
  </si>
  <si>
    <t>1.1 What is Programming? Why Python?</t>
  </si>
  <si>
    <t>25EACCS005</t>
  </si>
  <si>
    <t>DAY 4: LISTS</t>
  </si>
  <si>
    <t>54 Online</t>
  </si>
  <si>
    <t>1.2 Installing Python &amp; Setting Up VS Code / IDLE</t>
  </si>
  <si>
    <t>Sunday</t>
  </si>
  <si>
    <t>0 Online</t>
  </si>
  <si>
    <t>1.3 Understanding the Python Interpreter</t>
  </si>
  <si>
    <t>Aaryan Patidar</t>
  </si>
  <si>
    <t>DAY 5: TUPLES, SETS &amp; DICTIONARIES</t>
  </si>
  <si>
    <t>1.4 Writing and Running Your First Python Program</t>
  </si>
  <si>
    <t>25EACAD001</t>
  </si>
  <si>
    <t>2. Python Basics</t>
  </si>
  <si>
    <t>DAY 6: OPERATORS &amp; EXPRESSIONS</t>
  </si>
  <si>
    <t>47 Online</t>
  </si>
  <si>
    <t>2.1 Python Syntax &amp; Indentation Rules</t>
  </si>
  <si>
    <t>Aashutosh soni</t>
  </si>
  <si>
    <t>DAY 7: CONDITIONAL STATEMENTS - PART 1</t>
  </si>
  <si>
    <t>25EACCSOO7</t>
  </si>
  <si>
    <t>48 Online</t>
  </si>
  <si>
    <t>2.2 Comments (Single-line &amp; Multi-line)</t>
  </si>
  <si>
    <t>2.3 print() Function &amp; Basic Output</t>
  </si>
  <si>
    <t>2.4 input() Function — Taking User Input</t>
  </si>
  <si>
    <t>Aayushi Sharma</t>
  </si>
  <si>
    <t>DAY 8: CONDITIONAL STATEMENTS - PART 2</t>
  </si>
  <si>
    <t>25EACAD002</t>
  </si>
  <si>
    <t>49 Online</t>
  </si>
  <si>
    <t>🛠️ Practice: Write programs to print name, age, and city using input()</t>
  </si>
  <si>
    <t>DAY 9: LOOPS — PART 1 (for LOOP)</t>
  </si>
  <si>
    <t>43 Online</t>
  </si>
  <si>
    <t>Abhishek Saini</t>
  </si>
  <si>
    <t>25EACAD003</t>
  </si>
  <si>
    <t>DAY 10: LOOPS — PART 2 (while LOOP)</t>
  </si>
  <si>
    <t>1. Variables</t>
  </si>
  <si>
    <t>1.1 What is a Variable? Rules for Naming</t>
  </si>
  <si>
    <t>Aditi sharma</t>
  </si>
  <si>
    <t>1.2 Assigning &amp; Reassigning Values</t>
  </si>
  <si>
    <t>25EACCS017</t>
  </si>
  <si>
    <t>DAY 11: PROJECT</t>
  </si>
  <si>
    <t>1.3 Multiple Assignments in One Line</t>
  </si>
  <si>
    <t>DAY 12: FUNCTIONS — PART 1</t>
  </si>
  <si>
    <t>40 Online</t>
  </si>
  <si>
    <t>2. Data Types</t>
  </si>
  <si>
    <t>Aditya dadhich</t>
  </si>
  <si>
    <t>25EACAD006</t>
  </si>
  <si>
    <t>2.1 Integer (int)</t>
  </si>
  <si>
    <t>DAY 13: FUNCTIONS — PART 2 &amp; MODULES</t>
  </si>
  <si>
    <t>2.2 Float (float)</t>
  </si>
  <si>
    <t>DAY 14: FILE HANDLING (BASIC)</t>
  </si>
  <si>
    <t>38 Online</t>
  </si>
  <si>
    <t>2.3 String (str)</t>
  </si>
  <si>
    <t>Aditya kumar</t>
  </si>
  <si>
    <t>25EACCS018</t>
  </si>
  <si>
    <t>2.4 Boolean (bool)</t>
  </si>
  <si>
    <t>DAY 15: FILE HANDLING (ADVANCED) + JSON and Handling CSV Files</t>
  </si>
  <si>
    <t>2.5 type() Function — Checking Data Type</t>
  </si>
  <si>
    <t>DAY 16: OBJECT-ORIENTED PROGRAMMING — PART 1 (CLASSES &amp; OBJECTS)</t>
  </si>
  <si>
    <t>Aditya Singh</t>
  </si>
  <si>
    <t>3. Type Conversion</t>
  </si>
  <si>
    <t>25EACCS023</t>
  </si>
  <si>
    <t>3.1 int(), float(), str() Conversions</t>
  </si>
  <si>
    <t>3.2 Implicit vs Explicit Conversion</t>
  </si>
  <si>
    <t>DAY 17: OBJECT-ORIENTED PROGRAMMING — PART 2 (INHERITANCE)</t>
  </si>
  <si>
    <t>Ajit Kumar Das</t>
  </si>
  <si>
    <t>70 Online</t>
  </si>
  <si>
    <t>25EACAD007</t>
  </si>
  <si>
    <t>🛠️ Practice: Take two numbers from user, convert types, and display results</t>
  </si>
  <si>
    <t>DAY 18: EXCEPTION HANDLING &amp; ERROR MANAGEMENT</t>
  </si>
  <si>
    <t>63 Online</t>
  </si>
  <si>
    <t>DAY 3: OPERATORS &amp; EXPRESSIONS</t>
  </si>
  <si>
    <t>DAY 19: LIST COMPREHENSIONS &amp; ADVANCED DATA STRUCTURES</t>
  </si>
  <si>
    <t>53 Online</t>
  </si>
  <si>
    <t>1. Arithmetic Operators</t>
  </si>
  <si>
    <t>Akshit pahuja</t>
  </si>
  <si>
    <t>25EACAD008</t>
  </si>
  <si>
    <t>DAY 20: REGULAR EXPRESSIONS (REGEX)</t>
  </si>
  <si>
    <t>1.1 +, -, *, /, //, %, ** (with examples)</t>
  </si>
  <si>
    <t>aadityathakur775@gmail.com</t>
  </si>
  <si>
    <t>1.2 Order of Operations (BODMAS in Python)</t>
  </si>
  <si>
    <t>DAY 21: ITERATORS, GENERATORS &amp; DECORATORS</t>
  </si>
  <si>
    <t>72 Online</t>
  </si>
  <si>
    <t>Aman Kumar</t>
  </si>
  <si>
    <t>2. Comparison Operators</t>
  </si>
  <si>
    <t>25EACCS034</t>
  </si>
  <si>
    <t>DAY 22: VIRTUAL ENVIRONMENTS &amp; PACKAGE MANAGEMENT</t>
  </si>
  <si>
    <t>50 Online</t>
  </si>
  <si>
    <t>2.1 ==, !=, &gt;, &lt;, &gt;=, &lt;=</t>
  </si>
  <si>
    <t>2.2 Output: True or False</t>
  </si>
  <si>
    <t>Aman kumawat</t>
  </si>
  <si>
    <t>25EACAD009</t>
  </si>
  <si>
    <t>3. Logical Operators</t>
  </si>
  <si>
    <t>DAY 23: INTRODUCTION TO NumPy</t>
  </si>
  <si>
    <t>3.1 and, or, not</t>
  </si>
  <si>
    <t>3.2 Combining Conditions</t>
  </si>
  <si>
    <t>Ankit</t>
  </si>
  <si>
    <t>DAY 24: INTRODUCTION TO PANDAS</t>
  </si>
  <si>
    <t>25EACAD010</t>
  </si>
  <si>
    <t>42 Online</t>
  </si>
  <si>
    <t>4. Assignment Operators</t>
  </si>
  <si>
    <t>DAY 25: DATA VISUALIZATION WITH MATPLOTLIB</t>
  </si>
  <si>
    <t>P</t>
  </si>
  <si>
    <t>4.1 =, +=, -=, *=, /=</t>
  </si>
  <si>
    <t>Ankit Raj</t>
  </si>
  <si>
    <t>25EACAD011</t>
  </si>
  <si>
    <t>DAY 26: WEB SCRAPING WITH BEAUTIFULSOUP</t>
  </si>
  <si>
    <t>🛠️ Practice: Simple calculator — take two inputs, perform all operations</t>
  </si>
  <si>
    <t>DAY 27: SCRAPING REVISION</t>
  </si>
  <si>
    <t>DAY 4: CONDITIONAL STATEMENTS</t>
  </si>
  <si>
    <t>Ankit Raj Shukla</t>
  </si>
  <si>
    <t>1. if Statement</t>
  </si>
  <si>
    <t>25EACAD012</t>
  </si>
  <si>
    <t>DAY 28: INTRODUCTION TO APIs &amp; HTTP REQUESTS</t>
  </si>
  <si>
    <t>1.1 Syntax &amp; Indentation</t>
  </si>
  <si>
    <t>DAY 29: CAPSTONE PROJECT — PERSONAL EXPENSE TRACKER</t>
  </si>
  <si>
    <t>1.2 Simple if Example</t>
  </si>
  <si>
    <t>ANKIT SINGH</t>
  </si>
  <si>
    <t>25EACCS045</t>
  </si>
  <si>
    <t>2. if-else Statement</t>
  </si>
  <si>
    <t>DAY 30: FINAL REVISION, ASSESSMENT &amp; NEXT STEPS</t>
  </si>
  <si>
    <t>2.1 Two-way Decision Making</t>
  </si>
  <si>
    <t>Anshu jha</t>
  </si>
  <si>
    <t>2.2 Real-life Examples (Pass/Fail, Even/Odd)</t>
  </si>
  <si>
    <t>25EACAD013</t>
  </si>
  <si>
    <t>3. if-elif-else Statement</t>
  </si>
  <si>
    <t>3.1 Multi-way Decision Making</t>
  </si>
  <si>
    <t>Anubhav Tiwari</t>
  </si>
  <si>
    <t>25EACAD015</t>
  </si>
  <si>
    <t>3.2 Grade Calculator Example</t>
  </si>
  <si>
    <t>4. Nested if Statements</t>
  </si>
  <si>
    <t>4.1 if Inside Another if</t>
  </si>
  <si>
    <t>🛠️ Practice: Write a program to check voting eligibility, grade system</t>
  </si>
  <si>
    <t>Aryan Shekhawat</t>
  </si>
  <si>
    <t>25EACAD017</t>
  </si>
  <si>
    <t>DAY 5: LOOPS — PART 1 (for LOOP)</t>
  </si>
  <si>
    <t>1. Introduction to Loops</t>
  </si>
  <si>
    <t>Ashu rohila</t>
  </si>
  <si>
    <t>1.1 Why do we need Loops?</t>
  </si>
  <si>
    <t>25EACAD019</t>
  </si>
  <si>
    <t>1.2 Types of Loops in Python</t>
  </si>
  <si>
    <t>2. for Loop</t>
  </si>
  <si>
    <t>2.1 Syntax of for Loop</t>
  </si>
  <si>
    <t>Ashvini sindhi</t>
  </si>
  <si>
    <t>25EACAD020</t>
  </si>
  <si>
    <t>aanyajain9875@gmail.com</t>
  </si>
  <si>
    <t>2.2 Iterating over a Range — range() Function</t>
  </si>
  <si>
    <t>Aanya Jain</t>
  </si>
  <si>
    <t>2.3 Iterating over a String</t>
  </si>
  <si>
    <t>Atharv sharma</t>
  </si>
  <si>
    <t>3. Loop Control Statements</t>
  </si>
  <si>
    <t>25EACAD021</t>
  </si>
  <si>
    <t>3.1 break — Exit the Loop</t>
  </si>
  <si>
    <t>3.2 continue — Skip an Iteration</t>
  </si>
  <si>
    <t>Avesh khan</t>
  </si>
  <si>
    <t>3.3 pass — Placeholder Statement</t>
  </si>
  <si>
    <t>25EACAD022</t>
  </si>
  <si>
    <t>🛠️ Practice: Print multiplication table, sum of digits, count vowels in a word</t>
  </si>
  <si>
    <t>p</t>
  </si>
  <si>
    <t>Ayush soni</t>
  </si>
  <si>
    <t>DAY 6: LOOPS — PART 2 (while LOOP &amp; PATTERNS)</t>
  </si>
  <si>
    <t>25EACAD023</t>
  </si>
  <si>
    <t>1. while Loop</t>
  </si>
  <si>
    <t>1.1 Syntax of while Loop</t>
  </si>
  <si>
    <t>1.2 Difference: for vs while</t>
  </si>
  <si>
    <t>Aziz lohar</t>
  </si>
  <si>
    <t>25EACAD024</t>
  </si>
  <si>
    <t>1.3 Avoiding Infinite Loops</t>
  </si>
  <si>
    <t>aaryankingpatidar@gmail.com</t>
  </si>
  <si>
    <t>1.4 Real-life Examples (Login Attempts, Countdown)</t>
  </si>
  <si>
    <t>2. Nested Loops</t>
  </si>
  <si>
    <t>Brajesh Kumar</t>
  </si>
  <si>
    <t>25EACADO25</t>
  </si>
  <si>
    <t>2.1 Loop inside a Loop</t>
  </si>
  <si>
    <t>2.2 Printing Star &amp; Number Patterns</t>
  </si>
  <si>
    <t>Charanjeet Singh</t>
  </si>
  <si>
    <t>🛠️ Practice: Number guessing game, right-triangle star pattern, factorial</t>
  </si>
  <si>
    <t>25EACAD026</t>
  </si>
  <si>
    <t>DAY 7: STRINGS</t>
  </si>
  <si>
    <t>Chirag Jangid</t>
  </si>
  <si>
    <t>1. Introduction to Strings</t>
  </si>
  <si>
    <t>25EACAD027</t>
  </si>
  <si>
    <t>1.1 Creating Strings (Single, Double, Triple Quotes)</t>
  </si>
  <si>
    <t>1.2 String Indexing &amp; Negative Indexing</t>
  </si>
  <si>
    <t>1.3 String Slicing</t>
  </si>
  <si>
    <t>Daksh Charan</t>
  </si>
  <si>
    <t>aashutoshsoni2407@gmail.com</t>
  </si>
  <si>
    <t>Aashutosh Soni</t>
  </si>
  <si>
    <t>25EACCS080</t>
  </si>
  <si>
    <t>2. String Operations</t>
  </si>
  <si>
    <t>2.1 Concatenation &amp; Repetition</t>
  </si>
  <si>
    <t>Dikshant soni</t>
  </si>
  <si>
    <t>2.2 len(), upper(), lower(), strip()</t>
  </si>
  <si>
    <t>25EACADO28</t>
  </si>
  <si>
    <t>2.3 replace(), find(), split(), count()</t>
  </si>
  <si>
    <t>Dinesh Chahar</t>
  </si>
  <si>
    <t>25EACAD029</t>
  </si>
  <si>
    <t>2.4 String Formatting — f-strings</t>
  </si>
  <si>
    <t>3. String Iteration</t>
  </si>
  <si>
    <t>3.1 Looping Through a String</t>
  </si>
  <si>
    <t>Faheem Khan</t>
  </si>
  <si>
    <t>25EACAD030</t>
  </si>
  <si>
    <t>🛠️ Practice: Reverse a string, check palindrome, count words in a sentence</t>
  </si>
  <si>
    <t>DAY 8: LISTS</t>
  </si>
  <si>
    <t>aayushisharma122007@gmail.com</t>
  </si>
  <si>
    <t>1. Introduction to Lists</t>
  </si>
  <si>
    <t>Faisal Alam</t>
  </si>
  <si>
    <t>25EACAD031</t>
  </si>
  <si>
    <t>1.1 What is a List? Creating a List</t>
  </si>
  <si>
    <t>1.2 Indexing, Slicing, and Negative Indexing</t>
  </si>
  <si>
    <t>2. List Methods</t>
  </si>
  <si>
    <t>Gaurav jangid</t>
  </si>
  <si>
    <t>25EACIT008</t>
  </si>
  <si>
    <t>2.1 append(), insert(), remove(), pop()</t>
  </si>
  <si>
    <t>2.2 sort(), reverse(), len(), count()</t>
  </si>
  <si>
    <t>Girdhari Singh</t>
  </si>
  <si>
    <t>25EACAD033</t>
  </si>
  <si>
    <t>2.3 Checking Membership: in, not in</t>
  </si>
  <si>
    <t>3. Iterating Over Lists</t>
  </si>
  <si>
    <t>3.1 for Loop with Lists</t>
  </si>
  <si>
    <t>Guddu kumar yadav</t>
  </si>
  <si>
    <t>25EACAD035</t>
  </si>
  <si>
    <t>3.2 Nested Lists (2D Lists — Matrix Concept)</t>
  </si>
  <si>
    <t>sainiabhis677@gmail.com</t>
  </si>
  <si>
    <t>🛠️ Practice: Find max/min in a list, remove duplicates, student marks list</t>
  </si>
  <si>
    <t>Hardiksingh Rathore</t>
  </si>
  <si>
    <t>25EACCS114</t>
  </si>
  <si>
    <t>DAY 9: TUPLES, SETS &amp; DICTIONARIES</t>
  </si>
  <si>
    <t>1. Tuples</t>
  </si>
  <si>
    <t>Harsh kumawat</t>
  </si>
  <si>
    <t>1.1 Creating a Tuple — Immutability</t>
  </si>
  <si>
    <t>25EACCS115</t>
  </si>
  <si>
    <t>1.2 Indexing, Slicing, Tuple Methods</t>
  </si>
  <si>
    <t>1.3 When to use Tuple vs List?</t>
  </si>
  <si>
    <t>Harshil Verma</t>
  </si>
  <si>
    <t>25EACAD037</t>
  </si>
  <si>
    <t>2. Sets</t>
  </si>
  <si>
    <t>2.1 Creating a Set — No Duplicates</t>
  </si>
  <si>
    <t>2.2 Set Operations: union, intersection, difference</t>
  </si>
  <si>
    <t>Harshit Singh Rao</t>
  </si>
  <si>
    <t>25EACCS120</t>
  </si>
  <si>
    <t>aditisharma221107@gmail.com</t>
  </si>
  <si>
    <t>Aditi Sharma</t>
  </si>
  <si>
    <t>3. Dictionaries</t>
  </si>
  <si>
    <t>3.1 Key-Value Pair Concept</t>
  </si>
  <si>
    <t>Hemant Prajapati</t>
  </si>
  <si>
    <t>25EACCS124</t>
  </si>
  <si>
    <t>3.2 Creating, Accessing &amp; Updating a Dictionary</t>
  </si>
  <si>
    <t>3.3 keys(), values(), items() Methods</t>
  </si>
  <si>
    <t>Hitesh Jain</t>
  </si>
  <si>
    <t>3.4 Looping Through a Dictionary</t>
  </si>
  <si>
    <t>25EACAD040</t>
  </si>
  <si>
    <t>🛠️ Practice: Student mark-sheet using dictionary, set operations on two lists</t>
  </si>
  <si>
    <t>DAY 10: FUNCTIONS — PART 1</t>
  </si>
  <si>
    <t>Hitesh jangid</t>
  </si>
  <si>
    <t>25EACAD039</t>
  </si>
  <si>
    <t>1. Introduction to Functions</t>
  </si>
  <si>
    <t>1.1 What is a Function? Why Use Functions?</t>
  </si>
  <si>
    <t>1.2 Defining a Function — def Keyword</t>
  </si>
  <si>
    <t>Hitesh Yadav</t>
  </si>
  <si>
    <t>etsnforu3@gmail.com</t>
  </si>
  <si>
    <t>25EACCS133</t>
  </si>
  <si>
    <t>Aditya Dadhich</t>
  </si>
  <si>
    <t>1.3 Calling a Function</t>
  </si>
  <si>
    <t>2. Function Parameters</t>
  </si>
  <si>
    <t>Janvi Sharma</t>
  </si>
  <si>
    <t>2.1 Arguments &amp; Parameters</t>
  </si>
  <si>
    <t>25EACCS138</t>
  </si>
  <si>
    <t>2.2 Default Arguments</t>
  </si>
  <si>
    <t>2.3 Keyword Arguments</t>
  </si>
  <si>
    <t>Jaskiran Kaur</t>
  </si>
  <si>
    <t>3. Return Statement</t>
  </si>
  <si>
    <t>25EACAD041</t>
  </si>
  <si>
    <t>3.1 Returning a Single Value</t>
  </si>
  <si>
    <t>3.2 Returning Multiple Values</t>
  </si>
  <si>
    <t>🛠️ Practice: Functions for area calculation, even/odd check, factorial using function</t>
  </si>
  <si>
    <t>Jasmeet Kaur</t>
  </si>
  <si>
    <t>25EACCS139</t>
  </si>
  <si>
    <t>adityakumarpatwa08@gmail.com</t>
  </si>
  <si>
    <t>DAY 11: FUNCTIONS — PART 2 &amp; MODULES</t>
  </si>
  <si>
    <t>Aditya Kumar</t>
  </si>
  <si>
    <t>1. Scope of Variables</t>
  </si>
  <si>
    <t>Jatin Singh Bisht</t>
  </si>
  <si>
    <t>25EACAD042</t>
  </si>
  <si>
    <t>1.1 Local vs Global Variables</t>
  </si>
  <si>
    <t>1.2 global Keyword</t>
  </si>
  <si>
    <t>2. Lambda Functions</t>
  </si>
  <si>
    <t>Jishan Hussain</t>
  </si>
  <si>
    <t>25EACAD043</t>
  </si>
  <si>
    <t>2.1 Syntax of Lambda</t>
  </si>
  <si>
    <t>2.2 Lambda with sorted(), map(), filter()</t>
  </si>
  <si>
    <t>Junaid raza</t>
  </si>
  <si>
    <t>3. Python Built-in Modules</t>
  </si>
  <si>
    <t>25EACAD044</t>
  </si>
  <si>
    <t>3.1 import Statement</t>
  </si>
  <si>
    <t>3.2 math Module — sqrt(), pow(), pi</t>
  </si>
  <si>
    <t>Jyoti Prajapat</t>
  </si>
  <si>
    <t>25EACCS145</t>
  </si>
  <si>
    <t>3.3 random Module — random(), randint()</t>
  </si>
  <si>
    <t>3.4 datetime Module — today's date, time</t>
  </si>
  <si>
    <t>as23102006@gmail.com</t>
  </si>
  <si>
    <t>🛠️ Practice: Random number guessing game, simple math utility using functions</t>
  </si>
  <si>
    <t>KAVITA AGARWAL</t>
  </si>
  <si>
    <t>25EACCS153</t>
  </si>
  <si>
    <t>DAY 12: FILE HANDLING (BASIC)</t>
  </si>
  <si>
    <t>1. Introduction to File Handling</t>
  </si>
  <si>
    <t>Krishna</t>
  </si>
  <si>
    <t>25EACIT015</t>
  </si>
  <si>
    <t>1.1 What is File Handling? Why is it needed?</t>
  </si>
  <si>
    <t>1.2 Opening a File — open() with Modes (r, w, a)</t>
  </si>
  <si>
    <t>Krishna Kumawat</t>
  </si>
  <si>
    <t>2. Reading Files</t>
  </si>
  <si>
    <t>25EACAD049</t>
  </si>
  <si>
    <t>2.1 read() — Read Entire File</t>
  </si>
  <si>
    <t>2.2 readline() — Read One Line</t>
  </si>
  <si>
    <t>Lakshit Kumar</t>
  </si>
  <si>
    <t>25EACAD051</t>
  </si>
  <si>
    <t>2.3 readlines() — Read All Lines as List</t>
  </si>
  <si>
    <t>3. Writing to Files</t>
  </si>
  <si>
    <t>ak9576563@gmail.com</t>
  </si>
  <si>
    <t>3.1 write() — Overwrite Content</t>
  </si>
  <si>
    <t>Lakshita lakhera</t>
  </si>
  <si>
    <t>25EACAD052</t>
  </si>
  <si>
    <t>3.2 append Mode — Add Without Deleting</t>
  </si>
  <si>
    <t>4. Closing Files Properly</t>
  </si>
  <si>
    <t>Laxmikant</t>
  </si>
  <si>
    <t>4.1 close() Method</t>
  </si>
  <si>
    <t>25EACAD053</t>
  </si>
  <si>
    <t>4.2 Using with Statement (Recommended)</t>
  </si>
  <si>
    <t>🛠️ Practice: Create a notes file, write student names, read them back</t>
  </si>
  <si>
    <t>Lucky Meena</t>
  </si>
  <si>
    <t>25EACADO54</t>
  </si>
  <si>
    <t>DAY 13: PROBLEM SOLVING &amp; LOGIC BUILDING</t>
  </si>
  <si>
    <t>1. Approaching a Problem</t>
  </si>
  <si>
    <t>1.1 Understanding the Problem Statement</t>
  </si>
  <si>
    <t>pahujaakshit72@gmail.com</t>
  </si>
  <si>
    <t>Manish Saini</t>
  </si>
  <si>
    <t>Akshit Pahuja</t>
  </si>
  <si>
    <t>25EACAD055</t>
  </si>
  <si>
    <t>1.2 Breaking it into Steps (Pseudocode)</t>
  </si>
  <si>
    <t>25eacad008</t>
  </si>
  <si>
    <t>1.3 Writing the Code Step-by-Step</t>
  </si>
  <si>
    <t>2. Pattern &amp; Logic Problems</t>
  </si>
  <si>
    <t>Mehul</t>
  </si>
  <si>
    <t>2.1 Number Patterns (Fibonacci, Prime, Armstrong)</t>
  </si>
  <si>
    <t>25EACAD058</t>
  </si>
  <si>
    <t>2.2 List-based Logic (Find duplicates, second largest)</t>
  </si>
  <si>
    <t>2.3 String-based Logic (Anagram check, Caesar Cipher)</t>
  </si>
  <si>
    <t>Mohammed sharik</t>
  </si>
  <si>
    <t>25EACAD060</t>
  </si>
  <si>
    <t>3. Debugging Basics</t>
  </si>
  <si>
    <t>3.1 Reading Error Messages (SyntaxError, TypeError)</t>
  </si>
  <si>
    <t>3.2 Using print() to Debug</t>
  </si>
  <si>
    <t>Mohd shabbir</t>
  </si>
  <si>
    <t>25EACAD059</t>
  </si>
  <si>
    <t>🛠️ Practice: Solve 5–6 mixed problems combining loops, strings, and functions</t>
  </si>
  <si>
    <t>amank501000@gmail.com</t>
  </si>
  <si>
    <t>DAY 14: MINI PROJECT — STUDENT RESULT MANAGEMENT SYSTEM</t>
  </si>
  <si>
    <t>Mohil Sharma</t>
  </si>
  <si>
    <t>25EACAD061</t>
  </si>
  <si>
    <t>Project Overview: Build a simple student result system</t>
  </si>
  <si>
    <t>Features to Implement:</t>
  </si>
  <si>
    <t>Mohit</t>
  </si>
  <si>
    <t>→ Add student name and marks (using input &amp; list/dict)</t>
  </si>
  <si>
    <t>25EACCS195</t>
  </si>
  <si>
    <t>→ Calculate total and percentage</t>
  </si>
  <si>
    <t>→ Assign grade using if-elif-else</t>
  </si>
  <si>
    <t>Mohit choudhary</t>
  </si>
  <si>
    <t>25EACAD062</t>
  </si>
  <si>
    <t>→ Display results in a formatted way using f-strings</t>
  </si>
  <si>
    <t>→ Save results to a .txt file using file handling</t>
  </si>
  <si>
    <t>Concepts Applied: Variables, Loops, Functions, Dictionary, File Handling</t>
  </si>
  <si>
    <t>Mohsin khan</t>
  </si>
  <si>
    <t>25EACAD063</t>
  </si>
  <si>
    <t>Students build the project step-by-step with guidance</t>
  </si>
  <si>
    <t>amankumawat69552@gmail.com</t>
  </si>
  <si>
    <t>Aman Kumawat</t>
  </si>
  <si>
    <t>Mridul Sharma</t>
  </si>
  <si>
    <t>25EACAD064</t>
  </si>
  <si>
    <t>DAY 15: REVISION, QUIZ &amp; COURSE WRAP-UP (PART 1)</t>
  </si>
  <si>
    <t>Nakshatra Sharma</t>
  </si>
  <si>
    <t>25EACAD066</t>
  </si>
  <si>
    <t>1. Full Course Revision — Days 1 to 7</t>
  </si>
  <si>
    <t>1.1 Quick Recap: Python Basics, Variables, Operators</t>
  </si>
  <si>
    <t>Nakul soni</t>
  </si>
  <si>
    <t>25EACAD067</t>
  </si>
  <si>
    <t>1.2 Conditional Statements — Key Patterns</t>
  </si>
  <si>
    <t>1.3 Loops — for, while, Nested Loops</t>
  </si>
  <si>
    <t>Naman Sharma</t>
  </si>
  <si>
    <t>25EACAD069</t>
  </si>
  <si>
    <t>1.4 Strings — Operations &amp; Methods</t>
  </si>
  <si>
    <t>2. Mini Quiz — Set A</t>
  </si>
  <si>
    <t>Navya Sharma</t>
  </si>
  <si>
    <t>ankitsiwach497@gmail.com</t>
  </si>
  <si>
    <t>25EACAD070</t>
  </si>
  <si>
    <t>2.1 MCQ — 10 Questions (Days 1–7 Topics)</t>
  </si>
  <si>
    <t>2.2 Short Answer — 3 Questions</t>
  </si>
  <si>
    <t>Nayan Sharma</t>
  </si>
  <si>
    <t>25EACAD071</t>
  </si>
  <si>
    <t>2.3 Practical Task — 1 Program using Loops &amp; Strings</t>
  </si>
  <si>
    <t>🛠️ Practice: Solve 3–4 mixed revision problems from Days 1–7</t>
  </si>
  <si>
    <t>Neelesh Kumar Sharma</t>
  </si>
  <si>
    <t>25EACAD072</t>
  </si>
  <si>
    <t>1. Introduction to OOP</t>
  </si>
  <si>
    <t>1.1 What is OOP? Why Use It?</t>
  </si>
  <si>
    <t>Neeraj saini</t>
  </si>
  <si>
    <t>25EACADO73</t>
  </si>
  <si>
    <t>1.2 OOP vs Procedural Programming</t>
  </si>
  <si>
    <t>1.3 Key Concepts: Class, Object, Method, Attribute</t>
  </si>
  <si>
    <t>ankitjee14916@gmail.com</t>
  </si>
  <si>
    <t>Neilmani Mittal</t>
  </si>
  <si>
    <t>2. Defining a Class</t>
  </si>
  <si>
    <t>25EACAD074</t>
  </si>
  <si>
    <t>2.1 class Keyword &amp; Syntax</t>
  </si>
  <si>
    <t>2.2 __init__() Constructor Method</t>
  </si>
  <si>
    <t>Nitish Kumar</t>
  </si>
  <si>
    <t>25EACCS214</t>
  </si>
  <si>
    <t>2.3 self Parameter — What It Means</t>
  </si>
  <si>
    <t>3. Creating Objects</t>
  </si>
  <si>
    <t>3.1 Instantiating a Class</t>
  </si>
  <si>
    <t>Parul shekhawat</t>
  </si>
  <si>
    <t>25EACAD080</t>
  </si>
  <si>
    <t>3.2 Accessing Attributes &amp; Methods</t>
  </si>
  <si>
    <t>3.3 Multiple Objects from One Class</t>
  </si>
  <si>
    <t>🛠️ Practice: Create a Student class with name, roll no, marks attributes and display method</t>
  </si>
  <si>
    <t>Pawan Dhayal</t>
  </si>
  <si>
    <t>25EACCS222</t>
  </si>
  <si>
    <t>ankitrajshukla8@gmail.com</t>
  </si>
  <si>
    <t>Piyush Kumar</t>
  </si>
  <si>
    <t>25EACCS224</t>
  </si>
  <si>
    <t>1. Inheritance</t>
  </si>
  <si>
    <t>1.1 What is Inheritance?</t>
  </si>
  <si>
    <t>1.2 Parent Class &amp; Child Class</t>
  </si>
  <si>
    <t>Pradeep Pankaj</t>
  </si>
  <si>
    <t>25EACCS226</t>
  </si>
  <si>
    <t>1.3 super() Function — Calling Parent Methods</t>
  </si>
  <si>
    <t>2. Types of Inheritance</t>
  </si>
  <si>
    <t>2.1 Single Inheritance</t>
  </si>
  <si>
    <t>Pramod siddh</t>
  </si>
  <si>
    <t>25EACADO81</t>
  </si>
  <si>
    <t>2.2 Multi-level Inheritance</t>
  </si>
  <si>
    <t>2.3 Multiple Inheritance</t>
  </si>
  <si>
    <t>pranjal agrawal</t>
  </si>
  <si>
    <t>3. Method Overriding</t>
  </si>
  <si>
    <t>25EACAD082</t>
  </si>
  <si>
    <t>3.1 Overriding Parent Methods in Child</t>
  </si>
  <si>
    <t>3.2 Polymorphism Concept</t>
  </si>
  <si>
    <t>Prashant Chourasiya</t>
  </si>
  <si>
    <t>25EACAD083</t>
  </si>
  <si>
    <t>singhankit44452@gmail.com</t>
  </si>
  <si>
    <t>Ankit Singh</t>
  </si>
  <si>
    <t>🛠️ Practice: Create Animal → Dog/Cat hierarchy with speak() method override</t>
  </si>
  <si>
    <t>Pravin Prajapat</t>
  </si>
  <si>
    <t>25EACCS229</t>
  </si>
  <si>
    <t>1. Understanding Errors</t>
  </si>
  <si>
    <t>1.1 Types of Errors: Syntax, Runtime, Logical</t>
  </si>
  <si>
    <t>1.2 Common Built-in Exceptions (ZeroDivisionError, ValueError, etc.)</t>
  </si>
  <si>
    <t>Prince Chouhan</t>
  </si>
  <si>
    <t>25EACCS234</t>
  </si>
  <si>
    <t>2. try-except Block</t>
  </si>
  <si>
    <t>2.1 Basic try-except Syntax</t>
  </si>
  <si>
    <t>Prince kumar</t>
  </si>
  <si>
    <t>2.2 Catching Multiple Exceptions</t>
  </si>
  <si>
    <t>25EACAD084</t>
  </si>
  <si>
    <t>2.3 except Exception as e — Getting Error Message</t>
  </si>
  <si>
    <t>3. else &amp; finally Blocks</t>
  </si>
  <si>
    <t>anshujha9586@gmail.com</t>
  </si>
  <si>
    <t>3.1 else — Runs When No Exception</t>
  </si>
  <si>
    <t>Anshu Jha</t>
  </si>
  <si>
    <t>3.2 finally — Always Runs</t>
  </si>
  <si>
    <t>4. Raising Exceptions</t>
  </si>
  <si>
    <t>PRINCE KUMAR</t>
  </si>
  <si>
    <t>25EACAD085</t>
  </si>
  <si>
    <t>4.1 raise Keyword</t>
  </si>
  <si>
    <t>4.2 Custom Exception Messages</t>
  </si>
  <si>
    <t>🛠️ Practice: Safe calculator with division-by-zero handling, file-not-found handling</t>
  </si>
  <si>
    <t>Prince Kumar sain</t>
  </si>
  <si>
    <t>25EACAD086</t>
  </si>
  <si>
    <t>1. List Comprehensions</t>
  </si>
  <si>
    <t>Prince Pandey</t>
  </si>
  <si>
    <t>1.1 Syntax: [expression for item in iterable]</t>
  </si>
  <si>
    <t>25EACCS236</t>
  </si>
  <si>
    <t>1.2 List Comprehension with Condition</t>
  </si>
  <si>
    <t>anubhavtiwari227@gmail.com</t>
  </si>
  <si>
    <t>1.3 Nested List Comprehensions</t>
  </si>
  <si>
    <t>Prince Sharma</t>
  </si>
  <si>
    <t>25EACAD087</t>
  </si>
  <si>
    <t>2. Dictionary &amp; Set Comprehensions</t>
  </si>
  <si>
    <t>2.1 Dictionary Comprehension Syntax</t>
  </si>
  <si>
    <t>2.2 Set Comprehension Syntax</t>
  </si>
  <si>
    <t>Priya Chouhan</t>
  </si>
  <si>
    <t>25EACCS239</t>
  </si>
  <si>
    <t>3. Advanced List Operations</t>
  </si>
  <si>
    <t>3.1 zip() — Combine Two Lists</t>
  </si>
  <si>
    <t>3.2 enumerate() — Index + Value</t>
  </si>
  <si>
    <t>Priyanka Gurjar</t>
  </si>
  <si>
    <t>25EACCS240</t>
  </si>
  <si>
    <t>3.3 sorted() with key Parameter</t>
  </si>
  <si>
    <t>🛠️ Practice: Generate squares list, filter even numbers, zip names with marks</t>
  </si>
  <si>
    <t>Priyanshu Kardam</t>
  </si>
  <si>
    <t>25EACAD088</t>
  </si>
  <si>
    <t>DAY 20: WORKING WITH JSON &amp; CSV FILES</t>
  </si>
  <si>
    <t>shekhawataryan946@gmail.com</t>
  </si>
  <si>
    <t>1. JSON in Python</t>
  </si>
  <si>
    <t>1.1 What is JSON? Real-world Use</t>
  </si>
  <si>
    <t>Rajnish Kumar</t>
  </si>
  <si>
    <t>25EACCS246</t>
  </si>
  <si>
    <t>1.2 import json Module</t>
  </si>
  <si>
    <t>1.3 json.dumps() — Python to JSON String</t>
  </si>
  <si>
    <t>Rakesh Chouhan</t>
  </si>
  <si>
    <t>1.4 json.loads() — JSON String to Python</t>
  </si>
  <si>
    <t>25EACCS249</t>
  </si>
  <si>
    <t>1.5 Reading &amp; Writing JSON Files</t>
  </si>
  <si>
    <t>2. CSV Files in Python</t>
  </si>
  <si>
    <t>RAM KISHAN VERMA</t>
  </si>
  <si>
    <t>25EACAD089</t>
  </si>
  <si>
    <t>2.1 What is CSV? When to Use It?</t>
  </si>
  <si>
    <t>2.2 import csv Module</t>
  </si>
  <si>
    <t>2.3 csv.reader() — Reading CSV</t>
  </si>
  <si>
    <t>rohilaashu@gmail.com</t>
  </si>
  <si>
    <t>Ramdarshan</t>
  </si>
  <si>
    <t>Ashu Rohila</t>
  </si>
  <si>
    <t>25EACCS250</t>
  </si>
  <si>
    <t>2.4 csv.writer() — Writing CSV</t>
  </si>
  <si>
    <t>2.5 DictReader &amp; DictWriter</t>
  </si>
  <si>
    <t>🛠️ Practice: Save student records to JSON &amp; CSV, read them back and display</t>
  </si>
  <si>
    <t>Ravindra Singh Rathore</t>
  </si>
  <si>
    <t>25EACCS255</t>
  </si>
  <si>
    <t>DAY 21: REGULAR EXPRESSIONS (REGEX)</t>
  </si>
  <si>
    <t>1. Introduction to Regex</t>
  </si>
  <si>
    <t>Rishika Sharma</t>
  </si>
  <si>
    <t>25EACCS261</t>
  </si>
  <si>
    <t>1.1 What is Regex? Why Use It?</t>
  </si>
  <si>
    <t>1.2 import re Module</t>
  </si>
  <si>
    <t>2. Basic Regex Patterns</t>
  </si>
  <si>
    <t>Rohit kumawat</t>
  </si>
  <si>
    <t>25EACCS270</t>
  </si>
  <si>
    <t>2.1 ., *, +, ?, ^ , $ — Meta Characters</t>
  </si>
  <si>
    <t>2.2 Character Classes: [a-z], [0-9], \d, \w, \s</t>
  </si>
  <si>
    <t>ashvinisindhi47@gmail.com</t>
  </si>
  <si>
    <t>Ashvini Sindhi</t>
  </si>
  <si>
    <t>3. Regex Functions</t>
  </si>
  <si>
    <t>RoshitGoutam</t>
  </si>
  <si>
    <t>25EACAD090</t>
  </si>
  <si>
    <t>3.1 re.match() — Match at Start</t>
  </si>
  <si>
    <t>3.2 re.search() — Search Anywhere</t>
  </si>
  <si>
    <t>Sahil Jangid</t>
  </si>
  <si>
    <t>3.3 re.findall() — Find All Matches</t>
  </si>
  <si>
    <t>25EACAD091</t>
  </si>
  <si>
    <t>3.4 re.sub() — Replace Pattern</t>
  </si>
  <si>
    <t>4. Practical Applications</t>
  </si>
  <si>
    <t>Sahil Jangir</t>
  </si>
  <si>
    <t>25EACAD092</t>
  </si>
  <si>
    <t>4.1 Email Validation</t>
  </si>
  <si>
    <t>4.2 Phone Number Extraction</t>
  </si>
  <si>
    <t>Said khan</t>
  </si>
  <si>
    <t>🛠️ Practice: Validate email, extract all numbers from text, find keywords</t>
  </si>
  <si>
    <t>25EACAD093</t>
  </si>
  <si>
    <t>DAY 22: ITERATORS, GENERATORS &amp; DECORATORS</t>
  </si>
  <si>
    <t>atharvsharma8973@gmail.com</t>
  </si>
  <si>
    <t>Atharv Sharma</t>
  </si>
  <si>
    <t>1. Iterators</t>
  </si>
  <si>
    <t>Saket kumar</t>
  </si>
  <si>
    <t>25EACCS274</t>
  </si>
  <si>
    <t>1.1 What is an Iterator? __iter__() and __next__()</t>
  </si>
  <si>
    <t>1.2 Creating Custom Iterator</t>
  </si>
  <si>
    <t>Saksham gupta</t>
  </si>
  <si>
    <t>2. Generators</t>
  </si>
  <si>
    <t>25EACAD094</t>
  </si>
  <si>
    <t>2.1 yield Keyword — Lazy Evaluation</t>
  </si>
  <si>
    <t>2.2 Generator Function vs Regular Function</t>
  </si>
  <si>
    <t>Saloni Gupta</t>
  </si>
  <si>
    <t>25EACCA095</t>
  </si>
  <si>
    <t>2.3 Generator Expressions</t>
  </si>
  <si>
    <t>3. Decorators</t>
  </si>
  <si>
    <t>Sapna yogi</t>
  </si>
  <si>
    <t>3.1 What is a Decorator? Higher-Order Functions</t>
  </si>
  <si>
    <t>25EACAD097</t>
  </si>
  <si>
    <t>3.2 Writing a Simple Decorator</t>
  </si>
  <si>
    <t>aveshpathan539@gmail.com</t>
  </si>
  <si>
    <t>Avesh Khan</t>
  </si>
  <si>
    <t>3.3 @decorator Syntax</t>
  </si>
  <si>
    <t>3.4 Real-world Uses: Logging, Timing</t>
  </si>
  <si>
    <t>Sarthak Sharma</t>
  </si>
  <si>
    <t>25EACCA097</t>
  </si>
  <si>
    <t>🛠️ Practice: Create a number generator, write a timer decorator for functions</t>
  </si>
  <si>
    <t>Shivam Kumar</t>
  </si>
  <si>
    <t>25EACCS285</t>
  </si>
  <si>
    <t>DAY 23: VIRTUAL ENVIRONMENTS &amp; PACKAGE MANAGEMENT</t>
  </si>
  <si>
    <t>1. Virtual Environments</t>
  </si>
  <si>
    <t>1.1 Why Virtual Environments?</t>
  </si>
  <si>
    <t>Shivam saawarn</t>
  </si>
  <si>
    <t>25EACAD098</t>
  </si>
  <si>
    <t>1.2 Creating venv: python -m venv myenv</t>
  </si>
  <si>
    <t>1.3 Activating &amp; Deactivating venv</t>
  </si>
  <si>
    <t>SHOURYA</t>
  </si>
  <si>
    <t>2. pip — Python Package Manager</t>
  </si>
  <si>
    <t>25EACCS290</t>
  </si>
  <si>
    <t>ayushrb19824@gmail.com</t>
  </si>
  <si>
    <t>Ayush Soni</t>
  </si>
  <si>
    <t>2.1 pip install, pip uninstall</t>
  </si>
  <si>
    <t>2.2 pip list, pip show</t>
  </si>
  <si>
    <t>Shravan singh</t>
  </si>
  <si>
    <t>25EACCS291</t>
  </si>
  <si>
    <t>ID</t>
  </si>
  <si>
    <t>2.3 requirements.txt — Saving Dependencies</t>
  </si>
  <si>
    <t>2.4 pip install -r requirements.txt</t>
  </si>
  <si>
    <t>Start time</t>
  </si>
  <si>
    <t>Completion time</t>
  </si>
  <si>
    <t>Email</t>
  </si>
  <si>
    <t>Name</t>
  </si>
  <si>
    <t>3. Introduction to Popular Libraries</t>
  </si>
  <si>
    <t>Total points</t>
  </si>
  <si>
    <t>Singh Rajyavardhan</t>
  </si>
  <si>
    <t>Quiz feedback</t>
  </si>
  <si>
    <t>25EACAD100</t>
  </si>
  <si>
    <t>Last modified time</t>
  </si>
  <si>
    <t>Name2</t>
  </si>
  <si>
    <t>Points - Name</t>
  </si>
  <si>
    <t>3.1 requests — HTTP calls</t>
  </si>
  <si>
    <t>Feedback - Name</t>
  </si>
  <si>
    <t>University Roll No</t>
  </si>
  <si>
    <t>Points - University Roll No</t>
  </si>
  <si>
    <t>Feedback - University Roll No</t>
  </si>
  <si>
    <t>3.2 colorama — Colorful terminal output</t>
  </si>
  <si>
    <t>Email ID</t>
  </si>
  <si>
    <t>Points - Email ID</t>
  </si>
  <si>
    <t>Feedback - Email ID</t>
  </si>
  <si>
    <t>Sujal sharma</t>
  </si>
  <si>
    <t>x = "5"
 y = 5
 print(x == y, x == str(y))</t>
  </si>
  <si>
    <t>3.3 tqdm — Progress bars</t>
  </si>
  <si>
    <t>Points - x = "5"
 y = 5
 print(x == y, x == str(y))</t>
  </si>
  <si>
    <t>25EACAD101</t>
  </si>
  <si>
    <t>Feedback - x = "5"
 y = 5
 print(x == y, x == str(y))</t>
  </si>
  <si>
    <t>a = [1, 2, 3]
 b = a
 a = a + [4]
 print(b)</t>
  </si>
  <si>
    <t>Points - a = [1, 2, 3]
 b = a
 a = a + [4]
 print(b)</t>
  </si>
  <si>
    <t>Feedback - a = [1, 2, 3]
 b = a
 a = a + [4]
 print(b)</t>
  </si>
  <si>
    <t>🛠️ Practice: Set up a venv, install requests, make a simple API call</t>
  </si>
  <si>
    <t>data = {1, 2, 3}
 if 2 in data and 4 not in data:
  print("A")
 else:
  print("B")</t>
  </si>
  <si>
    <t>Points - data = {1, 2, 3}
 if 2 in data and 4 not in data:
  print("A")
 else:
  print("B")</t>
  </si>
  <si>
    <t>Feedback - data = {1, 2, 3}
 if 2 in data and 4 not in data:
  print("A")
 else:
  print("B")</t>
  </si>
  <si>
    <t>a = [1, 2]
 b = [a, a]
 b[0].append(3)
 print(b)</t>
  </si>
  <si>
    <t>Points - a = [1, 2]
 b = [a, a]
 b[0].append(3)
 print(b)</t>
  </si>
  <si>
    <t>Feedback - a = [1, 2]
 b = [a, a]
 b[0].append(3)
 print(b)</t>
  </si>
  <si>
    <t>x = (1, 2, [3, 4])
 x[2] += [5]
 print(x)</t>
  </si>
  <si>
    <t>Points - x = (1, 2, [3, 4])
 x[2] += [5]
 print(x)</t>
  </si>
  <si>
    <t>Tanishk sharma</t>
  </si>
  <si>
    <t>DAY 24: INTRODUCTION TO NumPy</t>
  </si>
  <si>
    <t>Feedback - x = (1, 2, [3, 4])
 x[2] += [5]
 print(x)</t>
  </si>
  <si>
    <t>25EACAD102</t>
  </si>
  <si>
    <t>a = {1, 2, 3}
 b = {2, 3, 4}
 print((a | b) - (a &amp; b))</t>
  </si>
  <si>
    <t>Feedback - a = {1, 2, 3}
 b = {2, 3, 4}
 print((a | b) - (a &amp; b))</t>
  </si>
  <si>
    <t>Points - a = {1, 2, 3}
 b = {2, 3, 4}
 print((a | b) - (a &amp; b))</t>
  </si>
  <si>
    <t>x = [1, 2, 3]
 print(x == [1,2,3], x is [1,2,3])</t>
  </si>
  <si>
    <t>Feedback - x = [1, 2, 3]
 print(x == [1,2,3], x is [1,2,3])</t>
  </si>
  <si>
    <t>Points - x = [1, 2, 3]
 print(x == [1,2,3], x is [1,2,3])</t>
  </si>
  <si>
    <t>azizlohar28@gmail.com</t>
  </si>
  <si>
    <t>a = {}
 a[True] = "Yes"
 a[1] = "No"
 print(len(a), a)</t>
  </si>
  <si>
    <t>1. What is NumPy?</t>
  </si>
  <si>
    <t>Aziz Lohar</t>
  </si>
  <si>
    <t>Feedback - a = {}
 a[True] = "Yes"
 a[1] = "No"
 print(len(a), a)</t>
  </si>
  <si>
    <t>Points - a = {}
 a[True] = "Yes"
 a[1] = "No"
 print(len(a), a)</t>
  </si>
  <si>
    <t>a = [1, 2, 3]
 b = a
 b += [4]
 print(a)</t>
  </si>
  <si>
    <t>Feedback - a = [1, 2, 3]
 b = a
 b += [4]
 print(a)</t>
  </si>
  <si>
    <t>Points - a = [1, 2, 3]
 b = a
 b += [4]
 print(a)</t>
  </si>
  <si>
    <t>1.1 NumPy vs Python Lists — Speed &amp; Features</t>
  </si>
  <si>
    <t>a = [1, 2]
 b = [1, 2]
 print(a is b, a == b)</t>
  </si>
  <si>
    <t>Tanishq Saini</t>
  </si>
  <si>
    <t>Feedback - a = [1, 2]
 b = [1, 2]
 print(a is b, a == b)</t>
  </si>
  <si>
    <t>25EACAD103</t>
  </si>
  <si>
    <t>Points - a = [1, 2]
 b = [1, 2]
 print(a is b, a == b)</t>
  </si>
  <si>
    <t>d = {}
 d[1] = "A"
 d[1.0] = "B"
 print(len(d))</t>
  </si>
  <si>
    <t>Feedback - d = {}
 d[1] = "A"
 d[1.0] = "B"
 print(len(d))</t>
  </si>
  <si>
    <t>1.2 Installing &amp; Importing NumPy</t>
  </si>
  <si>
    <t>Points - d = {}
 d[1] = "A"
 d[1.0] = "B"
 print(len(d))</t>
  </si>
  <si>
    <t>s = {1, 2, 3}
 print(s == {3, 2, 1})</t>
  </si>
  <si>
    <t>Feedback - s = {1, 2, 3}
 print(s == {3, 2, 1})</t>
  </si>
  <si>
    <t>Points - s = {1, 2, 3}
 print(s == {3, 2, 1})</t>
  </si>
  <si>
    <t>x = [1, 2, 3]
 print(x[-1] + x[-2])</t>
  </si>
  <si>
    <t>Feedback - x = [1, 2, 3]
 print(x[-1] + x[-2])</t>
  </si>
  <si>
    <t>2. NumPy Arrays</t>
  </si>
  <si>
    <t>Points - x = [1, 2, 3]
 print(x[-1] + x[-2])</t>
  </si>
  <si>
    <t>a = (1, 2)
 b = (1, 2)
 print(a is b)</t>
  </si>
  <si>
    <t>Tejaswani</t>
  </si>
  <si>
    <t>Points - a = (1, 2)
 b = (1, 2)
 print(a is b)</t>
  </si>
  <si>
    <t>25EACAD106</t>
  </si>
  <si>
    <t>2.1 Creating 1D &amp; 2D Arrays</t>
  </si>
  <si>
    <t>Feedback - a = (1, 2)
 b = (1, 2)
 print(a is b)</t>
  </si>
  <si>
    <t>data = [1, 2, 3]
 print(data and [])</t>
  </si>
  <si>
    <t>Points - data = [1, 2, 3]
 print(data and [])</t>
  </si>
  <si>
    <t>Feedback - data = [1, 2, 3]
 print(data and [])</t>
  </si>
  <si>
    <t>print(bool("False"))</t>
  </si>
  <si>
    <t>2.2 Array Shape, Size, ndim</t>
  </si>
  <si>
    <t>Points - print(bool("False"))</t>
  </si>
  <si>
    <t>Feedback - print(bool("False"))</t>
  </si>
  <si>
    <t>a = {1, 2}
 b = {2, 3}
 print(len(a | b))</t>
  </si>
  <si>
    <t>Points - a = {1, 2}
 b = {2, 3}
 print(len(a | b))</t>
  </si>
  <si>
    <t>Feedback - a = {1, 2}
 b = {2, 3}
 print(len(a | b))</t>
  </si>
  <si>
    <t>2.3 Array Indexing &amp; Slicing</t>
  </si>
  <si>
    <t>a = [1, 2, 3]
 b = a.copy()
 a.append(4)
 print(len(b))</t>
  </si>
  <si>
    <t>Points - a = [1, 2, 3]
 b = a.copy()
 a.append(4)
 print(len(b))</t>
  </si>
  <si>
    <t>Feedback - a = [1, 2, 3]
 b = a.copy()
 a.append(4)
 print(len(b))</t>
  </si>
  <si>
    <t>Tejaswee Sharma</t>
  </si>
  <si>
    <t>x = [1, 2, 3]
 print(x[1:] == [2, 3])</t>
  </si>
  <si>
    <t>25EACAD107</t>
  </si>
  <si>
    <t>Points - x = [1, 2, 3]
 print(x[1:] == [2, 3])</t>
  </si>
  <si>
    <t>3. Array Operations</t>
  </si>
  <si>
    <t>Feedback - x = [1, 2, 3]
 print(x[1:] == [2, 3])</t>
  </si>
  <si>
    <t>d = {"a": 1, "b": 2}
 print("c" in d.values())</t>
  </si>
  <si>
    <t>Points - d = {"a": 1, "b": 2}
 print("c" in d.values())</t>
  </si>
  <si>
    <t>Feedback - d = {"a": 1, "b": 2}
 print("c" in d.values())</t>
  </si>
  <si>
    <t>a = [1, 2]
 b = [3, 4]
 print(a + b * 2)</t>
  </si>
  <si>
    <t>3.1 Element-wise Arithmetic</t>
  </si>
  <si>
    <t>Points - a = [1, 2]
 b = [3, 4]
 print(a + b * 2)</t>
  </si>
  <si>
    <t>Feedback - a = [1, 2]
 b = [3, 4]
 print(a + b * 2)</t>
  </si>
  <si>
    <t>print(5 &lt; 10 &lt; 15)</t>
  </si>
  <si>
    <t>Points - print(5 &lt; 10 &lt; 15)</t>
  </si>
  <si>
    <t>Feedback - print(5 &lt; 10 &lt; 15)</t>
  </si>
  <si>
    <t>3.2 Broadcasting</t>
  </si>
  <si>
    <t>Vaibhav Vijay</t>
  </si>
  <si>
    <t>s = {1, 2, 3}
 print(2 in s and 5 in s)</t>
  </si>
  <si>
    <t>25EACCS326</t>
  </si>
  <si>
    <t>Points - s = {1, 2, 3}
 print(2 in s and 5 in s)</t>
  </si>
  <si>
    <t>Feedback - s = {1, 2, 3}
 print(2 in s and 5 in s)</t>
  </si>
  <si>
    <t>a = [10, 20, 30]
 print(a.index(20))</t>
  </si>
  <si>
    <t>3.3 Statistical Functions: mean(), sum(), std()</t>
  </si>
  <si>
    <t>Points - a = [10, 20, 30]
 print(a.index(20))</t>
  </si>
  <si>
    <t>brajeshraj8709@gmail.com</t>
  </si>
  <si>
    <t>Feedback - a = [10, 20, 30]
 print(a.index(20))</t>
  </si>
  <si>
    <t>x = {"a": 1}
 y = x
 y["b"] = 2
 print(len(x))</t>
  </si>
  <si>
    <t>Points - x = {"a": 1}
 y = x
 y["b"] = 2
 print(len(x))</t>
  </si>
  <si>
    <t>Vanek khan</t>
  </si>
  <si>
    <t>Feedback - x = {"a": 1}
 y = x
 y["b"] = 2
 print(len(x))</t>
  </si>
  <si>
    <t>print({1,2} &lt;= {1,2,3})</t>
  </si>
  <si>
    <t>25EACAD109</t>
  </si>
  <si>
    <t>Points - print({1,2} &lt;= {1,2,3})</t>
  </si>
  <si>
    <t>Feedback - print({1,2} &lt;= {1,2,3})</t>
  </si>
  <si>
    <t>4. Useful NumPy Functions</t>
  </si>
  <si>
    <t>a = "abc"
 print(a * 0)</t>
  </si>
  <si>
    <t>Points - a = "abc"
 print(a * 0)</t>
  </si>
  <si>
    <t>Feedback - a = "abc"
 print(a * 0)</t>
  </si>
  <si>
    <t>x = [1, 2, 3]
 print(x.pop())</t>
  </si>
  <si>
    <t>Points - x = [1, 2, 3]
 print(x.pop())</t>
  </si>
  <si>
    <t>4.1 zeros(), ones(), arange(), linspace()</t>
  </si>
  <si>
    <t>Feedback - x = [1, 2, 3]
 print(x.pop())</t>
  </si>
  <si>
    <t>print(bool({}))</t>
  </si>
  <si>
    <t>Points - print(bool({}))</t>
  </si>
  <si>
    <t>Feedback - print(bool({}))</t>
  </si>
  <si>
    <t>print(0 == False == [])</t>
  </si>
  <si>
    <t>4.2 reshape(), flatten()</t>
  </si>
  <si>
    <t>Points - print(0 == False == [])</t>
  </si>
  <si>
    <t>Feedback - print(0 == False == [])</t>
  </si>
  <si>
    <t>Vansh Bhoi</t>
  </si>
  <si>
    <t>🛠️ Practice: Create a marks array, compute average, find students above cutoff</t>
  </si>
  <si>
    <t>25EACAD110</t>
  </si>
  <si>
    <t>anonymous</t>
  </si>
  <si>
    <t>DAY 25: INTRODUCTION TO PANDAS</t>
  </si>
  <si>
    <t>Vanshraj Sharma</t>
  </si>
  <si>
    <t>1. What is Pandas?</t>
  </si>
  <si>
    <t>25EACCS328</t>
  </si>
  <si>
    <t>princesha2509@gmail.com</t>
  </si>
  <si>
    <t>False True</t>
  </si>
  <si>
    <t>1.1 Series vs DataFrame</t>
  </si>
  <si>
    <t>[1, 2, 3]</t>
  </si>
  <si>
    <t>charanjeetsinghgoli@gmail.com</t>
  </si>
  <si>
    <t>"A"</t>
  </si>
  <si>
    <t>1.2 Installing &amp; Importing Pandas</t>
  </si>
  <si>
    <t>[[1,2,3],[1,2,3]]</t>
  </si>
  <si>
    <t>Error</t>
  </si>
  <si>
    <t>Vidya Tibrewala</t>
  </si>
  <si>
    <t>25EACAD112</t>
  </si>
  <si>
    <t>2. Working with DataFrames</t>
  </si>
  <si>
    <t>{1, 4}</t>
  </si>
  <si>
    <t>True False</t>
  </si>
  <si>
    <t>1 {True:'No'}</t>
  </si>
  <si>
    <t>2.1 Creating DataFrame from Dictionary</t>
  </si>
  <si>
    <t>[1, 2, 3, 4]</t>
  </si>
  <si>
    <t>2.2 Reading CSV with pd.read_csv()</t>
  </si>
  <si>
    <t>Virendra Singh Rathore</t>
  </si>
  <si>
    <t>25EACAD113</t>
  </si>
  <si>
    <t>2.3 head(), tail(), info(), describe()</t>
  </si>
  <si>
    <t>[]</t>
  </si>
  <si>
    <t>3. DataFrame Operations</t>
  </si>
  <si>
    <t>3.1 Selecting Columns &amp; Rows</t>
  </si>
  <si>
    <t>Vivaan Aggarwal</t>
  </si>
  <si>
    <t>25EACAD114</t>
  </si>
  <si>
    <t>[1,2,3,4,3,4]</t>
  </si>
  <si>
    <t>3.2 Filtering Data with Conditions</t>
  </si>
  <si>
    <t>3.3 Adding &amp; Dropping Columns</t>
  </si>
  <si>
    <t>3.4 Handling Missing Values: isnull(), fillna(), dropna()</t>
  </si>
  <si>
    <t>Vrtika Gour</t>
  </si>
  <si>
    <t>""</t>
  </si>
  <si>
    <t>35EACCS335</t>
  </si>
  <si>
    <t>c45932353@gmail.com</t>
  </si>
  <si>
    <t>🛠️ Practice: Load student data CSV, filter toppers, calculate average marks</t>
  </si>
  <si>
    <t>DAY 26: DATA VISUALIZATION WITH MATPLOTLIB</t>
  </si>
  <si>
    <t>Yash Gupta</t>
  </si>
  <si>
    <t>25EACAD115</t>
  </si>
  <si>
    <t>1. Introduction to Matplotlib</t>
  </si>
  <si>
    <t>1.1 What is Data Visualization?</t>
  </si>
  <si>
    <t>False False</t>
  </si>
  <si>
    <t>Yash hotwani</t>
  </si>
  <si>
    <t>25EACAD116</t>
  </si>
  <si>
    <t>1.2 Installing &amp; Importing matplotlib.pyplot</t>
  </si>
  <si>
    <t>(1,2,[3,4,5])</t>
  </si>
  <si>
    <t>2. Basic Plots</t>
  </si>
  <si>
    <t>Yash vijay</t>
  </si>
  <si>
    <t>25EACAD117</t>
  </si>
  <si>
    <t>2.1 Line Chart — plt.plot()</t>
  </si>
  <si>
    <t>2.2 Bar Chart — plt.bar()</t>
  </si>
  <si>
    <t>2.3 Pie Chart — plt.pie()</t>
  </si>
  <si>
    <t>Yash Yadav</t>
  </si>
  <si>
    <t>25EACAD118</t>
  </si>
  <si>
    <t>2.4 Histogram — plt.hist()</t>
  </si>
  <si>
    <t>dakshcharan85@gmail.com</t>
  </si>
  <si>
    <t>2.5 Scatter Plot — plt.scatter()</t>
  </si>
  <si>
    <t>3. Customizing Plots</t>
  </si>
  <si>
    <t>Yashvardhan singh</t>
  </si>
  <si>
    <t>25EACAD120</t>
  </si>
  <si>
    <t>3.1 Title, Labels, Legend</t>
  </si>
  <si>
    <t>3.2 Colors, Line Styles, Markers</t>
  </si>
  <si>
    <t>Yasvardhan singh Shekhawat</t>
  </si>
  <si>
    <t>3.3 plt.show() &amp; Saving Figures</t>
  </si>
  <si>
    <t>25EACAD119</t>
  </si>
  <si>
    <t>🛠️ Practice: Plot marks bar chart, subject score pie chart, score scatter plot</t>
  </si>
  <si>
    <t>Muhammad shabbir</t>
  </si>
  <si>
    <t>sheikhshabbir5265@gmail.com</t>
  </si>
  <si>
    <t>Yatharth Vashisth</t>
  </si>
  <si>
    <t>25EACCS342</t>
  </si>
  <si>
    <t>DAY 27: WEB SCRAPING WITH BEAUTIFULSOUP</t>
  </si>
  <si>
    <t>1. Introduction to Web Scraping</t>
  </si>
  <si>
    <t>dikshantsoni2546@gmail.com</t>
  </si>
  <si>
    <t>Dikshant Soni</t>
  </si>
  <si>
    <t>1.1 What is Web Scraping? Ethical &amp; Legal Basics</t>
  </si>
  <si>
    <t>Yugraj Singh</t>
  </si>
  <si>
    <t>25EACCA119</t>
  </si>
  <si>
    <t>1.2 How Websites Work: HTML Structure Recap</t>
  </si>
  <si>
    <t>2. Required Libraries</t>
  </si>
  <si>
    <t>Depends on implementation</t>
  </si>
  <si>
    <t>Yuvraj Singh Shekhawat</t>
  </si>
  <si>
    <t>2.1 requests — Fetching Web Pages</t>
  </si>
  <si>
    <t>25EACCS345</t>
  </si>
  <si>
    <t>2.2 BeautifulSoup — Parsing HTML</t>
  </si>
  <si>
    <t>3. Scraping Basics</t>
  </si>
  <si>
    <t>3.1 Getting Page Source with requests.get()</t>
  </si>
  <si>
    <t>Vishesh Jangir</t>
  </si>
  <si>
    <t>25EACCS332</t>
  </si>
  <si>
    <t>3.2 Parsing with BeautifulSoup(html, 'html.parser')</t>
  </si>
  <si>
    <t>Yash</t>
  </si>
  <si>
    <t>3.3 find() and find_all() Methods</t>
  </si>
  <si>
    <t>25EACCA114</t>
  </si>
  <si>
    <t>3.4 Extracting Text, Links, and Attributes</t>
  </si>
  <si>
    <t>4. Saving Scraped Data</t>
  </si>
  <si>
    <t>dinesh.25.chachar@gmail.com</t>
  </si>
  <si>
    <t>4.1 Saving to CSV or Text File</t>
  </si>
  <si>
    <t>ravindras9169@gmail.com</t>
  </si>
  <si>
    <t>🛠️ Practice: Scrape quotes from quotes.toscrape.com, save to CSV</t>
  </si>
  <si>
    <t>1. What is an API?</t>
  </si>
  <si>
    <t>1.1 API Concept — Real-world Analogies</t>
  </si>
  <si>
    <t>True True</t>
  </si>
  <si>
    <t>1.2 REST APIs &amp; JSON Responses</t>
  </si>
  <si>
    <t>1.3 HTTP Methods: GET, POST</t>
  </si>
  <si>
    <t>2. requests Library Deep Dive</t>
  </si>
  <si>
    <t>2.1 requests.get() — Fetching Data</t>
  </si>
  <si>
    <t>2.2 Response Status Codes (200, 404, 500)</t>
  </si>
  <si>
    <t>faheem6367730280@email.com</t>
  </si>
  <si>
    <t>2.3 Parsing JSON Response — response.json()</t>
  </si>
  <si>
    <t>2.4 Passing Parameters in URL</t>
  </si>
  <si>
    <t>[1,2]</t>
  </si>
  <si>
    <t>3. Working with Free Public APIs</t>
  </si>
  <si>
    <t>3.1 Open-Meteo Weather API</t>
  </si>
  <si>
    <t>3.2 JSONPlaceholder — Fake REST API for Testing</t>
  </si>
  <si>
    <t>yashc8443@gmail.com</t>
  </si>
  <si>
    <t>3.3 Numbers API — Fun Facts</t>
  </si>
  <si>
    <t>🛠️ Practice: Fetch current weather for a city, display temp &amp; condition</t>
  </si>
  <si>
    <t>Project Overview: Build a CLI Expense Tracker Application</t>
  </si>
  <si>
    <t>faisalalam4980@gmail.com</t>
  </si>
  <si>
    <t>[1,2,3]</t>
  </si>
  <si>
    <t>→ Add, View, and Delete Expenses (category, amount, date)</t>
  </si>
  <si>
    <t>→ Store data persistently in JSON file</t>
  </si>
  <si>
    <t>→ Show total expenses &amp; breakdown by category</t>
  </si>
  <si>
    <t>→ Filter expenses by month or category</t>
  </si>
  <si>
    <t>→ Export summary report to CSV</t>
  </si>
  <si>
    <t>→ Visualize spending using Matplotlib bar chart</t>
  </si>
  <si>
    <t>Concepts Applied: OOP, File Handling, JSON, Pandas, Matplotlib</t>
  </si>
  <si>
    <t>dinesh.25.chahar@gmail.com</t>
  </si>
  <si>
    <t>Bonus: Add a budget limit warning feature</t>
  </si>
  <si>
    <t>jangidgaurav578@gmail.com</t>
  </si>
  <si>
    <t>Gaurav Jangid</t>
  </si>
  <si>
    <t>1. Complete Course Revision</t>
  </si>
  <si>
    <t>1.1 Quick Recap of All 30 Days Topics</t>
  </si>
  <si>
    <t>1.2 Common Mistakes &amp; How to Avoid Them</t>
  </si>
  <si>
    <t>1.3 Best Practices in Python Programming</t>
  </si>
  <si>
    <t>2. Final Assessment</t>
  </si>
  <si>
    <t>2.1 MCQ — 20 Questions (Full Course)</t>
  </si>
  <si>
    <t>2.2 Short Answer — 5 Questions</t>
  </si>
  <si>
    <t>2.3 Practical Task — Build a small program in 30 minutes</t>
  </si>
  <si>
    <t>3. Python Project Ideas for Self-Practice</t>
  </si>
  <si>
    <t>3.1 Idea 1: Quiz Game with Score Tracking</t>
  </si>
  <si>
    <t>3.2 Idea 2: Inventory Management System</t>
  </si>
  <si>
    <t>gsr7851@gmail.com</t>
  </si>
  <si>
    <t>Tanishq saini</t>
  </si>
  <si>
    <t>3.3 Idea 3: News Headline Scraper + Email Report</t>
  </si>
  <si>
    <t>sainitanishq12344@gmail.com</t>
  </si>
  <si>
    <t>3.4 Idea 4: Stock Price Dashboard using APIs &amp; Matplotlib</t>
  </si>
  <si>
    <t>4. Closing Session</t>
  </si>
  <si>
    <t>4.1 Career Paths in Python (Data Science, Web Dev, Automation, ML)</t>
  </si>
  <si>
    <t>2 {'True':'Yes',1:'No'}</t>
  </si>
  <si>
    <t>4.2 Recommended Learning Roadmap: Django / Flask / Pandas / ML</t>
  </si>
  <si>
    <t>4.3 Certifications &amp; Online Resources</t>
  </si>
  <si>
    <t>graj05766@gmail.com</t>
  </si>
  <si>
    <t>Guddu Kumar Yadav</t>
  </si>
  <si>
    <t>None</t>
  </si>
  <si>
    <t>Khans021709@gmail.com</t>
  </si>
  <si>
    <t>Hardiksinghrathore1234@gmail.com</t>
  </si>
  <si>
    <t>"0"</t>
  </si>
  <si>
    <t>harshkumawat944@gmail.com</t>
  </si>
  <si>
    <t>Harsh Kumawat</t>
  </si>
  <si>
    <t>luciferbrro@gmail.com</t>
  </si>
  <si>
    <t xml:space="preserve">PROJECT 1 (Project Title ) Out of </t>
  </si>
  <si>
    <t xml:space="preserve">PROJECT 2 (Project Title ) Out of </t>
  </si>
  <si>
    <t>vermaharshil69@gmail.com</t>
  </si>
  <si>
    <t>Option 2</t>
  </si>
  <si>
    <t>[[1,2,3],[1,2]]</t>
  </si>
  <si>
    <t>(1,2,[3,4])</t>
  </si>
  <si>
    <t>harshitsingh7373rao@gmail.com</t>
  </si>
  <si>
    <t>[1,2,3,4]</t>
  </si>
  <si>
    <t>hemant88867@gmail.com</t>
  </si>
  <si>
    <t>sahiljangir16112006@gmail.com</t>
  </si>
  <si>
    <t>hj646802@gmail.com</t>
  </si>
  <si>
    <t>Sharmanaman1505@gmail.com</t>
  </si>
  <si>
    <t>hiteshjangid800092@gmail.com</t>
  </si>
  <si>
    <t>Hitesh Jangid</t>
  </si>
  <si>
    <t>sarthaksharma876701@gmail.com</t>
  </si>
  <si>
    <t>hiteshyadav7728@gmail.com</t>
  </si>
  <si>
    <t>janvisharma9108@gmail.com</t>
  </si>
  <si>
    <t>Prashant chorasiya</t>
  </si>
  <si>
    <t>pc4253585@gmail.com</t>
  </si>
  <si>
    <t>1 {1:'Yes'}</t>
  </si>
  <si>
    <t>[1,2,6,8]</t>
  </si>
  <si>
    <t>jaskirankaur703@gmail.com</t>
  </si>
  <si>
    <t>neilmanimittal@gmail.com</t>
  </si>
  <si>
    <t>jasmeetkaur2932@gmail.com</t>
  </si>
  <si>
    <t>jatinsbisht2007@gmail.com</t>
  </si>
  <si>
    <t>Roshit Gautam</t>
  </si>
  <si>
    <t>roshit.gautam.9@gmail.com</t>
  </si>
  <si>
    <t>Zishanhussain487@gmail.com</t>
  </si>
  <si>
    <t>Junaidraza66467@gmail.com</t>
  </si>
  <si>
    <t>Mridul sharma</t>
  </si>
  <si>
    <t>Junaid Raza</t>
  </si>
  <si>
    <t>mridulsharma212005@gmail.com</t>
  </si>
  <si>
    <t>jyotiiiprajapat898@gmail.com</t>
  </si>
  <si>
    <t>Hemant Prajapat</t>
  </si>
  <si>
    <t>kavitaagarwal3072007@gmail.com</t>
  </si>
  <si>
    <t>Kavita Agarwal</t>
  </si>
  <si>
    <t>25eaccs153</t>
  </si>
  <si>
    <t>Harshil verma</t>
  </si>
  <si>
    <t>vermaharshil912@gmail.com</t>
  </si>
  <si>
    <t>krishnagujarati2005@gmail.com</t>
  </si>
  <si>
    <t>Depends</t>
  </si>
  <si>
    <t>kumawatkrish0107@gmail.com</t>
  </si>
  <si>
    <t>Yash gupta</t>
  </si>
  <si>
    <t>yg2492321@gmail.com</t>
  </si>
  <si>
    <t>tyshanmystery9929@gmail.com</t>
  </si>
  <si>
    <t>{2, 3}</t>
  </si>
  <si>
    <t>Lakshitalakhera927@gmail.com</t>
  </si>
  <si>
    <t>Lakshita Lakhera</t>
  </si>
  <si>
    <t>Laxmikantprajapati510@gmail.com</t>
  </si>
  <si>
    <t>Yatharth</t>
  </si>
  <si>
    <t>yashu012007@gmail.com</t>
  </si>
  <si>
    <t>[[1,2],[1,2,3]]</t>
  </si>
  <si>
    <t>l82229115@gmail.com</t>
  </si>
  <si>
    <t>Yash yadav</t>
  </si>
  <si>
    <t>yashydv0786@gmail.com</t>
  </si>
  <si>
    <t>adityakumarpatwa08@gmail.co</t>
  </si>
  <si>
    <t>volcanomehulchandnasouth@gmail.com</t>
  </si>
  <si>
    <t>Muhammadsharik29@gmail.com</t>
  </si>
  <si>
    <t>Mohammed Sharik</t>
  </si>
  <si>
    <t>Lakshit ku.ar</t>
  </si>
  <si>
    <t>Mohd Shabbir</t>
  </si>
  <si>
    <t>consistent4321@gmail.com</t>
  </si>
  <si>
    <t>mohilsharma42@gmail.com</t>
  </si>
  <si>
    <t>Mohitrao9024@gmail.com</t>
  </si>
  <si>
    <t>Choudharymohit797663@gamil.com</t>
  </si>
  <si>
    <t>Mohit Choudhary</t>
  </si>
  <si>
    <t>homenavyasharma2902@gmail.com</t>
  </si>
  <si>
    <t>mohsinikhan2526@gmail.com</t>
  </si>
  <si>
    <t>Mohsin Khan</t>
  </si>
  <si>
    <t>nakshatrasharma50@gmail.com</t>
  </si>
  <si>
    <t>iitiannakulsoni@gmail.com</t>
  </si>
  <si>
    <t>Nakul Soni</t>
  </si>
  <si>
    <t>25eaccs195</t>
  </si>
  <si>
    <t>mohitrao9024@gmail.com</t>
  </si>
  <si>
    <t>sharmanaman1505@gmail.com</t>
  </si>
  <si>
    <t>Kavita agarwal</t>
  </si>
  <si>
    <t>nayan0118sharma@gmail.com</t>
  </si>
  <si>
    <t>neeleshdubey15082008@gmail.com</t>
  </si>
  <si>
    <t>Girdhari singh</t>
  </si>
  <si>
    <t>neerajsaini62647@gmail.com</t>
  </si>
  <si>
    <t>Neeraj Saini</t>
  </si>
  <si>
    <t>Jasmeet kaur</t>
  </si>
  <si>
    <t>nitishnational133@gmail.com</t>
  </si>
  <si>
    <t>Aayushisharma</t>
  </si>
  <si>
    <t>parulshekhawatsinghasan@gmail.com</t>
  </si>
  <si>
    <t>Parul Shekhawat</t>
  </si>
  <si>
    <t>tejasweesharma0235@gmail.com</t>
  </si>
  <si>
    <t>Pawandhayal705@gmail.com</t>
  </si>
  <si>
    <t>ppkumarpiyush299@gmail.com</t>
  </si>
  <si>
    <t>pradeeppankaj601@gmail.com</t>
  </si>
  <si>
    <t>sforsalonigupta@gmail.com</t>
  </si>
  <si>
    <t>pspsp9680@gmail.com</t>
  </si>
  <si>
    <t>Pramod Siddh</t>
  </si>
  <si>
    <t>pranjala011@gmail.com</t>
  </si>
  <si>
    <t>Pranjal Agrawal</t>
  </si>
  <si>
    <t>priyanshukardam16@gmail.com</t>
  </si>
  <si>
    <t>pravinkumar099999@gmail.com</t>
  </si>
  <si>
    <t>chouhanprince372@gmail.com</t>
  </si>
  <si>
    <t>Piyush Jangir</t>
  </si>
  <si>
    <t>25EACCS223</t>
  </si>
  <si>
    <t>Jangirpiyush6207@gmail.com</t>
  </si>
  <si>
    <t>Prazzput123@gmail.com</t>
  </si>
  <si>
    <t>Prince Kumar</t>
  </si>
  <si>
    <t>princekumar10042008@gmail.com</t>
  </si>
  <si>
    <t>bhaipardhan.90@gmail.com</t>
  </si>
  <si>
    <t>Prince Kumar Sain</t>
  </si>
  <si>
    <t>princepandey1528@gmail.com</t>
  </si>
  <si>
    <t>Vivaan aggarwal</t>
  </si>
  <si>
    <t>Aggarwalvivaan024@gmail.com</t>
  </si>
  <si>
    <t>chouhanpriya568@gmail.com</t>
  </si>
  <si>
    <t>{1, 2, 3, 4}</t>
  </si>
  <si>
    <t>p906842@gmail.com</t>
  </si>
  <si>
    <t>rajnishkumar926358@gmail.com</t>
  </si>
  <si>
    <t>[4]</t>
  </si>
  <si>
    <t>"B"</t>
  </si>
  <si>
    <t>rc7860431@gmail.com</t>
  </si>
  <si>
    <t>vermaramkishan423@gmail.com</t>
  </si>
  <si>
    <t>Ram Kishan Verma</t>
  </si>
  <si>
    <t>visheshjangir321@gmail.com</t>
  </si>
  <si>
    <t>rdparmar7501@gmail.com</t>
  </si>
  <si>
    <t>25eaccs270</t>
  </si>
  <si>
    <t>rohitkumawat1715@gmail.com</t>
  </si>
  <si>
    <t>rishikasharma9461855025@gmail.com</t>
  </si>
  <si>
    <t>25eaccs261</t>
  </si>
  <si>
    <t>Rohit Kumawat</t>
  </si>
  <si>
    <t>Roshitgoutam</t>
  </si>
  <si>
    <t>khans021709@gmail.com</t>
  </si>
  <si>
    <t>Said Khan</t>
  </si>
  <si>
    <t>kumarsaketsingh008@gmail.com</t>
  </si>
  <si>
    <t>Saket Kumar</t>
  </si>
  <si>
    <t>skgt5454@gmail.com</t>
  </si>
  <si>
    <t>Saksham Gupta</t>
  </si>
  <si>
    <t>Meerayogi992@gmail.com</t>
  </si>
  <si>
    <t>Sapna Yogi</t>
  </si>
  <si>
    <t>strikershivam18@gmail.com</t>
  </si>
  <si>
    <t>saawarnshivam006@gmail.com</t>
  </si>
  <si>
    <t>Shivam Saawarn</t>
  </si>
  <si>
    <t>vanshupelhania26@gmail.com</t>
  </si>
  <si>
    <t>Shourya</t>
  </si>
  <si>
    <t>Shravans08854@gmail.com</t>
  </si>
  <si>
    <t>Shravan Singh</t>
  </si>
  <si>
    <t>rajbhati0806@gmail.com</t>
  </si>
  <si>
    <t>sujalsharma8252@gmail.com</t>
  </si>
  <si>
    <t>Sujal Sharma</t>
  </si>
  <si>
    <t>tanishk00000@gmail.com</t>
  </si>
  <si>
    <t>Tanishk Sharma</t>
  </si>
  <si>
    <t>tejaswani7773@gmail.com</t>
  </si>
  <si>
    <t>Vaibhav.vj2110@gmail.com</t>
  </si>
  <si>
    <t>onlyforstudy2812@gmail.com</t>
  </si>
  <si>
    <t>Vanek Khan</t>
  </si>
  <si>
    <t>vanshbhoi7976@gmail.com</t>
  </si>
  <si>
    <t>vanshrajsharma2008@gmail.com</t>
  </si>
  <si>
    <t>vidyatibrewala@gmail.com</t>
  </si>
  <si>
    <t>rathorevirendrasingh2698@gmail.com</t>
  </si>
  <si>
    <t>vrtikagour@gmail.com</t>
  </si>
  <si>
    <t>Yg2492321@gmail.com</t>
  </si>
  <si>
    <t>Yashhotwani26@gmail.com</t>
  </si>
  <si>
    <t>Yash Hotwani</t>
  </si>
  <si>
    <t>Vijayyash688@gmail.com</t>
  </si>
  <si>
    <t>Yash Vijay</t>
  </si>
  <si>
    <t>yashvardhansinghrajawat377@gmail.com</t>
  </si>
  <si>
    <t>Yashvardhan Singh</t>
  </si>
  <si>
    <t>yasvardhanshekhawat9@gmail.com</t>
  </si>
  <si>
    <t>Yasvardhan Singh Shekhawat</t>
  </si>
  <si>
    <t>yugrajsingh88907@gmail.com</t>
  </si>
  <si>
    <t>ji4472299@gmail.com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</si>
</sst>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-dd-yyyy"/>
    <numFmt numFmtId="165" formatCode="mmmm yyyy"/>
    <numFmt numFmtId="166" formatCode="dd"/>
    <numFmt numFmtId="167" formatCode="m/d/yy h:mm:ss"/>
  </numFmts>
  <fonts count="24">
    <font>
      <sz val="10.0"/>
      <color rgb="FF000000"/>
      <name val="Arial"/>
      <scheme val="minor"/>
    </font>
    <font>
      <b/>
      <color theme="1"/>
      <name val="Arial"/>
    </font>
    <font>
      <b/>
      <sz val="14.0"/>
      <color theme="1"/>
      <name val="Garamond"/>
    </font>
    <font>
      <color theme="1"/>
      <name val="Arial"/>
    </font>
    <font/>
    <font>
      <b/>
      <sz val="11.0"/>
      <color theme="1"/>
      <name val="Calibri"/>
    </font>
    <font>
      <color theme="1"/>
      <name val="Arial"/>
      <scheme val="minor"/>
    </font>
    <font>
      <b/>
      <sz val="11.0"/>
      <color theme="1"/>
      <name val="Cambria"/>
    </font>
    <font>
      <b/>
      <sz val="11.0"/>
      <color rgb="FF1F3864"/>
      <name val="&quot;Calibri Light&quot;"/>
    </font>
    <font>
      <sz val="11.0"/>
      <color rgb="FF000000"/>
      <name val="Calibri"/>
    </font>
    <font>
      <b/>
      <color rgb="FFFFFFFF"/>
      <name val="&quot;Calibri Light&quot;"/>
    </font>
    <font>
      <b/>
      <color rgb="FFFFFFFF"/>
      <name val="Arial"/>
    </font>
    <font>
      <sz val="11.0"/>
      <color theme="1"/>
      <name val="Calibri"/>
    </font>
    <font>
      <sz val="12.0"/>
      <color rgb="FF1F3864"/>
      <name val="&quot;Calibri Light&quot;"/>
    </font>
    <font>
      <sz val="11.0"/>
      <color rgb="FF000000"/>
      <name val="Arial"/>
    </font>
    <font>
      <b/>
      <sz val="11.0"/>
      <color rgb="FF1F3864"/>
      <name val="Arial"/>
    </font>
    <font>
      <sz val="11.0"/>
      <color rgb="FF1F3864"/>
      <name val="&quot;Calibri Light&quot;"/>
    </font>
    <font>
      <b/>
      <color theme="1"/>
      <name val="Arial"/>
      <scheme val="minor"/>
    </font>
    <font>
      <b/>
      <sz val="21.0"/>
      <color theme="1"/>
      <name val="Arial"/>
      <scheme val="minor"/>
    </font>
    <font>
      <b/>
      <sz val="21.0"/>
      <color rgb="FF000000"/>
      <name val="Arial"/>
    </font>
    <font>
      <sz val="11.0"/>
      <color theme="1"/>
      <name val="Aptos Narrow"/>
    </font>
    <font>
      <b/>
      <sz val="11.0"/>
      <color rgb="FFFFFFFF"/>
      <name val="Calibri"/>
    </font>
    <font>
      <sz val="11.0"/>
      <color rgb="FFFFFFFF"/>
      <name val="Calibri"/>
    </font>
    <font>
      <b/>
      <color theme="1"/>
      <name val="Times New Roman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1F3864"/>
        <bgColor rgb="FF1F3864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46BDC6"/>
        <bgColor rgb="FF46BDC6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 shrinkToFit="0" wrapText="1"/>
    </xf>
    <xf borderId="2" fillId="3" fontId="1" numFmtId="0" xfId="0" applyAlignment="1" applyBorder="1" applyFill="1" applyFont="1">
      <alignment horizontal="center" vertical="center"/>
    </xf>
    <xf borderId="3" fillId="0" fontId="2" numFmtId="0" xfId="0" applyAlignment="1" applyBorder="1" applyFont="1">
      <alignment horizontal="center" readingOrder="0" shrinkToFit="0" wrapText="0"/>
    </xf>
    <xf borderId="0" fillId="0" fontId="3" numFmtId="0" xfId="0" applyFont="1"/>
    <xf borderId="0" fillId="0" fontId="3" numFmtId="0" xfId="0" applyAlignment="1" applyFont="1">
      <alignment vertical="bottom"/>
    </xf>
    <xf borderId="4" fillId="0" fontId="4" numFmtId="0" xfId="0" applyBorder="1" applyFont="1"/>
    <xf borderId="5" fillId="0" fontId="4" numFmtId="0" xfId="0" applyBorder="1" applyFont="1"/>
    <xf borderId="2" fillId="3" fontId="5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/>
    </xf>
    <xf borderId="2" fillId="3" fontId="5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bottom"/>
    </xf>
    <xf borderId="1" fillId="0" fontId="6" numFmtId="164" xfId="0" applyAlignment="1" applyBorder="1" applyFont="1" applyNumberFormat="1">
      <alignment readingOrder="0"/>
    </xf>
    <xf borderId="3" fillId="0" fontId="7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horizontal="center" readingOrder="0" shrinkToFit="0" wrapText="1"/>
    </xf>
    <xf borderId="3" fillId="0" fontId="8" numFmtId="0" xfId="0" applyAlignment="1" applyBorder="1" applyFont="1">
      <alignment readingOrder="0"/>
    </xf>
    <xf borderId="3" fillId="0" fontId="9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3" fontId="1" numFmtId="0" xfId="0" applyAlignment="1" applyBorder="1" applyFont="1">
      <alignment horizontal="center" readingOrder="0" vertical="center"/>
    </xf>
    <xf borderId="3" fillId="3" fontId="1" numFmtId="165" xfId="0" applyAlignment="1" applyBorder="1" applyFont="1" applyNumberFormat="1">
      <alignment horizontal="center" vertical="bottom"/>
    </xf>
    <xf borderId="1" fillId="4" fontId="10" numFmtId="0" xfId="0" applyAlignment="1" applyBorder="1" applyFill="1" applyFont="1">
      <alignment horizontal="center" readingOrder="0"/>
    </xf>
    <xf borderId="1" fillId="0" fontId="6" numFmtId="0" xfId="0" applyBorder="1" applyFont="1"/>
    <xf borderId="1" fillId="0" fontId="6" numFmtId="0" xfId="0" applyAlignment="1" applyBorder="1" applyFont="1">
      <alignment readingOrder="0"/>
    </xf>
    <xf borderId="2" fillId="4" fontId="11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vertical="bottom"/>
    </xf>
    <xf borderId="2" fillId="0" fontId="13" numFmtId="0" xfId="0" applyAlignment="1" applyBorder="1" applyFont="1">
      <alignment horizontal="center" readingOrder="0"/>
    </xf>
    <xf borderId="1" fillId="0" fontId="8" numFmtId="0" xfId="0" applyAlignment="1" applyBorder="1" applyFont="1">
      <alignment readingOrder="0"/>
    </xf>
    <xf borderId="1" fillId="5" fontId="14" numFmtId="0" xfId="0" applyAlignment="1" applyBorder="1" applyFill="1" applyFont="1">
      <alignment readingOrder="0" shrinkToFit="0" vertical="bottom" wrapText="0"/>
    </xf>
    <xf borderId="6" fillId="0" fontId="4" numFmtId="0" xfId="0" applyBorder="1" applyFont="1"/>
    <xf borderId="1" fillId="0" fontId="9" numFmtId="0" xfId="0" applyAlignment="1" applyBorder="1" applyFont="1">
      <alignment readingOrder="0" shrinkToFit="0" vertical="bottom" wrapText="0"/>
    </xf>
    <xf borderId="1" fillId="2" fontId="1" numFmtId="166" xfId="0" applyAlignment="1" applyBorder="1" applyFont="1" applyNumberFormat="1">
      <alignment horizontal="center" vertical="bottom"/>
    </xf>
    <xf borderId="1" fillId="0" fontId="15" numFmtId="0" xfId="0" applyAlignment="1" applyBorder="1" applyFont="1">
      <alignment readingOrder="0"/>
    </xf>
    <xf borderId="1" fillId="0" fontId="16" numFmtId="0" xfId="0" applyAlignment="1" applyBorder="1" applyFont="1">
      <alignment readingOrder="0"/>
    </xf>
    <xf borderId="0" fillId="0" fontId="6" numFmtId="0" xfId="0" applyFont="1"/>
    <xf borderId="1" fillId="0" fontId="14" numFmtId="0" xfId="0" applyAlignment="1" applyBorder="1" applyFont="1">
      <alignment horizontal="right" readingOrder="0" shrinkToFit="0" vertical="bottom" wrapText="0"/>
    </xf>
    <xf borderId="7" fillId="0" fontId="4" numFmtId="0" xfId="0" applyBorder="1" applyFont="1"/>
    <xf borderId="1" fillId="0" fontId="15" numFmtId="0" xfId="0" applyAlignment="1" applyBorder="1" applyFont="1">
      <alignment horizontal="left" readingOrder="0"/>
    </xf>
    <xf borderId="1" fillId="2" fontId="3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left" readingOrder="0"/>
    </xf>
    <xf borderId="1" fillId="0" fontId="9" numFmtId="164" xfId="0" applyAlignment="1" applyBorder="1" applyFont="1" applyNumberFormat="1">
      <alignment readingOrder="0" shrinkToFit="0" vertical="bottom" wrapText="0"/>
    </xf>
    <xf borderId="1" fillId="0" fontId="12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/>
    </xf>
    <xf borderId="0" fillId="6" fontId="12" numFmtId="0" xfId="0" applyAlignment="1" applyFill="1" applyFont="1">
      <alignment horizontal="center" vertical="bottom"/>
    </xf>
    <xf borderId="1" fillId="0" fontId="17" numFmtId="0" xfId="0" applyAlignment="1" applyBorder="1" applyFont="1">
      <alignment readingOrder="0"/>
    </xf>
    <xf borderId="1" fillId="0" fontId="6" numFmtId="0" xfId="0" applyAlignment="1" applyBorder="1" applyFont="1">
      <alignment horizontal="center"/>
    </xf>
    <xf borderId="1" fillId="0" fontId="6" numFmtId="10" xfId="0" applyAlignment="1" applyBorder="1" applyFont="1" applyNumberFormat="1">
      <alignment readingOrder="0"/>
    </xf>
    <xf borderId="1" fillId="0" fontId="6" numFmtId="0" xfId="0" applyBorder="1" applyFont="1"/>
    <xf borderId="2" fillId="7" fontId="18" numFmtId="0" xfId="0" applyAlignment="1" applyBorder="1" applyFill="1" applyFont="1">
      <alignment readingOrder="0" textRotation="255" vertical="center"/>
    </xf>
    <xf borderId="1" fillId="8" fontId="14" numFmtId="0" xfId="0" applyAlignment="1" applyBorder="1" applyFill="1" applyFont="1">
      <alignment readingOrder="0" shrinkToFit="0" vertical="bottom" wrapText="0"/>
    </xf>
    <xf borderId="2" fillId="7" fontId="19" numFmtId="0" xfId="0" applyAlignment="1" applyBorder="1" applyFont="1">
      <alignment horizontal="center" readingOrder="0" shrinkToFit="0" textRotation="255" vertical="center" wrapText="0"/>
    </xf>
    <xf borderId="1" fillId="2" fontId="12" numFmtId="0" xfId="0" applyAlignment="1" applyBorder="1" applyFont="1">
      <alignment horizontal="center" vertical="bottom"/>
    </xf>
    <xf borderId="0" fillId="9" fontId="20" numFmtId="0" xfId="0" applyAlignment="1" applyFill="1" applyFont="1">
      <alignment horizontal="center" vertical="bottom"/>
    </xf>
    <xf borderId="0" fillId="9" fontId="12" numFmtId="0" xfId="0" applyAlignment="1" applyFont="1">
      <alignment horizontal="center" vertical="bottom"/>
    </xf>
    <xf borderId="0" fillId="10" fontId="21" numFmtId="0" xfId="0" applyAlignment="1" applyFill="1" applyFont="1">
      <alignment readingOrder="0" shrinkToFit="0" vertical="bottom" wrapText="0"/>
    </xf>
    <xf borderId="0" fillId="11" fontId="9" numFmtId="0" xfId="0" applyAlignment="1" applyFill="1" applyFont="1">
      <alignment horizontal="right" readingOrder="0" shrinkToFit="0" vertical="bottom" wrapText="0"/>
    </xf>
    <xf borderId="0" fillId="11" fontId="9" numFmtId="167" xfId="0" applyAlignment="1" applyFont="1" applyNumberFormat="1">
      <alignment horizontal="right" readingOrder="0" shrinkToFit="0" vertical="bottom" wrapText="0"/>
    </xf>
    <xf borderId="0" fillId="11" fontId="9" numFmtId="0" xfId="0" applyAlignment="1" applyFont="1">
      <alignment readingOrder="0" shrinkToFit="0" vertical="bottom" wrapText="0"/>
    </xf>
    <xf borderId="0" fillId="11" fontId="9" numFmtId="0" xfId="0" applyAlignment="1" applyFont="1">
      <alignment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167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1" fillId="0" fontId="14" numFmtId="0" xfId="0" applyAlignment="1" applyBorder="1" applyFont="1">
      <alignment readingOrder="0" shrinkToFit="0" vertical="bottom" wrapText="0"/>
    </xf>
    <xf borderId="0" fillId="0" fontId="22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vertical="bottom"/>
    </xf>
    <xf borderId="0" fillId="11" fontId="12" numFmtId="0" xfId="0" applyAlignment="1" applyFont="1">
      <alignment horizontal="right" vertical="bottom"/>
    </xf>
    <xf borderId="0" fillId="11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12" fontId="12" numFmtId="0" xfId="0" applyAlignment="1" applyFill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2" fontId="23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5" fontId="6" numFmtId="0" xfId="0" applyAlignment="1" applyBorder="1" applyFont="1">
      <alignment readingOrder="0"/>
    </xf>
    <xf borderId="0" fillId="12" fontId="3" numFmtId="0" xfId="0" applyAlignment="1" applyFont="1">
      <alignment horizontal="center" vertical="bottom"/>
    </xf>
    <xf borderId="0" fillId="6" fontId="20" numFmtId="0" xfId="0" applyAlignment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2" fillId="0" fontId="12" numFmtId="0" xfId="0" applyAlignment="1" applyBorder="1" applyFont="1">
      <alignment horizontal="center" vertical="bottom"/>
    </xf>
    <xf borderId="0" fillId="0" fontId="12" numFmtId="0" xfId="0" applyFont="1"/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35.0"/>
    <col customWidth="1" min="3" max="3" width="22.38"/>
    <col customWidth="1" min="8" max="8" width="16.63"/>
    <col customWidth="1" min="9" max="45" width="5.38"/>
  </cols>
  <sheetData>
    <row r="1">
      <c r="A1" s="4" t="s">
        <v>1</v>
      </c>
      <c r="B1" s="10" t="s">
        <v>5</v>
      </c>
      <c r="C1" s="12" t="s">
        <v>9</v>
      </c>
      <c r="D1" s="12" t="s">
        <v>11</v>
      </c>
      <c r="E1" s="4" t="s">
        <v>14</v>
      </c>
      <c r="F1" s="4" t="s">
        <v>16</v>
      </c>
      <c r="G1" s="4" t="s">
        <v>19</v>
      </c>
      <c r="H1" s="20" t="s">
        <v>23</v>
      </c>
      <c r="I1" s="21">
        <v>46183.0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21">
        <v>46204.0</v>
      </c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9"/>
    </row>
    <row r="2">
      <c r="A2" s="30"/>
      <c r="B2" s="30"/>
      <c r="C2" s="30"/>
      <c r="D2" s="30"/>
      <c r="E2" s="30"/>
      <c r="F2" s="30"/>
      <c r="G2" s="30"/>
      <c r="H2" s="30"/>
      <c r="I2" s="32">
        <v>46183.0</v>
      </c>
      <c r="J2" s="32">
        <v>46184.0</v>
      </c>
      <c r="K2" s="32">
        <v>46185.0</v>
      </c>
      <c r="L2" s="32">
        <v>46186.0</v>
      </c>
      <c r="M2" s="32">
        <v>46187.0</v>
      </c>
      <c r="N2" s="32">
        <v>46188.0</v>
      </c>
      <c r="O2" s="32">
        <v>46189.0</v>
      </c>
      <c r="P2" s="32">
        <v>46190.0</v>
      </c>
      <c r="Q2" s="32">
        <v>46191.0</v>
      </c>
      <c r="R2" s="32">
        <v>46192.0</v>
      </c>
      <c r="S2" s="32">
        <v>46193.0</v>
      </c>
      <c r="T2" s="32">
        <v>46194.0</v>
      </c>
      <c r="U2" s="32">
        <v>46195.0</v>
      </c>
      <c r="V2" s="32">
        <v>46196.0</v>
      </c>
      <c r="W2" s="32">
        <v>46197.0</v>
      </c>
      <c r="X2" s="32">
        <v>46198.0</v>
      </c>
      <c r="Y2" s="32">
        <v>46199.0</v>
      </c>
      <c r="Z2" s="32">
        <v>46200.0</v>
      </c>
      <c r="AA2" s="32">
        <v>46201.0</v>
      </c>
      <c r="AB2" s="32">
        <v>46202.0</v>
      </c>
      <c r="AC2" s="32">
        <v>46203.0</v>
      </c>
      <c r="AD2" s="32">
        <v>46204.0</v>
      </c>
      <c r="AE2" s="32">
        <v>46205.0</v>
      </c>
      <c r="AF2" s="32">
        <v>46206.0</v>
      </c>
      <c r="AG2" s="32">
        <v>46207.0</v>
      </c>
      <c r="AH2" s="32">
        <v>46208.0</v>
      </c>
      <c r="AI2" s="32">
        <v>46209.0</v>
      </c>
      <c r="AJ2" s="32">
        <v>46210.0</v>
      </c>
      <c r="AK2" s="32">
        <v>46211.0</v>
      </c>
      <c r="AL2" s="32">
        <v>46212.0</v>
      </c>
      <c r="AM2" s="32">
        <v>46213.0</v>
      </c>
      <c r="AN2" s="32">
        <v>46214.0</v>
      </c>
      <c r="AO2" s="32">
        <v>46215.0</v>
      </c>
      <c r="AP2" s="32">
        <v>46216.0</v>
      </c>
      <c r="AQ2" s="32">
        <v>46217.0</v>
      </c>
      <c r="AR2" s="32">
        <v>46218.0</v>
      </c>
      <c r="AS2" s="39"/>
    </row>
    <row r="3">
      <c r="A3" s="37"/>
      <c r="B3" s="37"/>
      <c r="C3" s="37"/>
      <c r="D3" s="37"/>
      <c r="E3" s="37"/>
      <c r="F3" s="37"/>
      <c r="G3" s="37"/>
      <c r="H3" s="37"/>
      <c r="I3" s="40" t="str">
        <f t="shared" ref="I3:AR3" si="1">TEXT(I2,"ddd")</f>
        <v>Wed</v>
      </c>
      <c r="J3" s="40" t="str">
        <f t="shared" si="1"/>
        <v>Thu</v>
      </c>
      <c r="K3" s="40" t="str">
        <f t="shared" si="1"/>
        <v>Fri</v>
      </c>
      <c r="L3" s="40" t="str">
        <f t="shared" si="1"/>
        <v>Sat</v>
      </c>
      <c r="M3" s="40" t="str">
        <f t="shared" si="1"/>
        <v>Sun</v>
      </c>
      <c r="N3" s="40" t="str">
        <f t="shared" si="1"/>
        <v>Mon</v>
      </c>
      <c r="O3" s="40" t="str">
        <f t="shared" si="1"/>
        <v>Tue</v>
      </c>
      <c r="P3" s="40" t="str">
        <f t="shared" si="1"/>
        <v>Wed</v>
      </c>
      <c r="Q3" s="40" t="str">
        <f t="shared" si="1"/>
        <v>Thu</v>
      </c>
      <c r="R3" s="40" t="str">
        <f t="shared" si="1"/>
        <v>Fri</v>
      </c>
      <c r="S3" s="40" t="str">
        <f t="shared" si="1"/>
        <v>Sat</v>
      </c>
      <c r="T3" s="40" t="str">
        <f t="shared" si="1"/>
        <v>Sun</v>
      </c>
      <c r="U3" s="40" t="str">
        <f t="shared" si="1"/>
        <v>Mon</v>
      </c>
      <c r="V3" s="40" t="str">
        <f t="shared" si="1"/>
        <v>Tue</v>
      </c>
      <c r="W3" s="40" t="str">
        <f t="shared" si="1"/>
        <v>Wed</v>
      </c>
      <c r="X3" s="40" t="str">
        <f t="shared" si="1"/>
        <v>Thu</v>
      </c>
      <c r="Y3" s="40" t="str">
        <f t="shared" si="1"/>
        <v>Fri</v>
      </c>
      <c r="Z3" s="40" t="str">
        <f t="shared" si="1"/>
        <v>Sat</v>
      </c>
      <c r="AA3" s="40" t="str">
        <f t="shared" si="1"/>
        <v>Sun</v>
      </c>
      <c r="AB3" s="40" t="str">
        <f t="shared" si="1"/>
        <v>Mon</v>
      </c>
      <c r="AC3" s="40" t="str">
        <f t="shared" si="1"/>
        <v>Tue</v>
      </c>
      <c r="AD3" s="40" t="str">
        <f t="shared" si="1"/>
        <v>Wed</v>
      </c>
      <c r="AE3" s="40" t="str">
        <f t="shared" si="1"/>
        <v>Thu</v>
      </c>
      <c r="AF3" s="40" t="str">
        <f t="shared" si="1"/>
        <v>Fri</v>
      </c>
      <c r="AG3" s="40" t="str">
        <f t="shared" si="1"/>
        <v>Sat</v>
      </c>
      <c r="AH3" s="40" t="str">
        <f t="shared" si="1"/>
        <v>Sun</v>
      </c>
      <c r="AI3" s="40" t="str">
        <f t="shared" si="1"/>
        <v>Mon</v>
      </c>
      <c r="AJ3" s="40" t="str">
        <f t="shared" si="1"/>
        <v>Tue</v>
      </c>
      <c r="AK3" s="40" t="str">
        <f t="shared" si="1"/>
        <v>Wed</v>
      </c>
      <c r="AL3" s="40" t="str">
        <f t="shared" si="1"/>
        <v>Thu</v>
      </c>
      <c r="AM3" s="40" t="str">
        <f t="shared" si="1"/>
        <v>Fri</v>
      </c>
      <c r="AN3" s="40" t="str">
        <f t="shared" si="1"/>
        <v>Sat</v>
      </c>
      <c r="AO3" s="40" t="str">
        <f t="shared" si="1"/>
        <v>Sun</v>
      </c>
      <c r="AP3" s="40" t="str">
        <f t="shared" si="1"/>
        <v>Mon</v>
      </c>
      <c r="AQ3" s="40" t="str">
        <f t="shared" si="1"/>
        <v>Tue</v>
      </c>
      <c r="AR3" s="40" t="str">
        <f t="shared" si="1"/>
        <v>Wed</v>
      </c>
      <c r="AS3" s="39"/>
    </row>
    <row r="4">
      <c r="A4" s="44">
        <v>1.0</v>
      </c>
      <c r="B4" s="45" t="s">
        <v>117</v>
      </c>
      <c r="C4" s="26" t="s">
        <v>29</v>
      </c>
      <c r="D4" s="26" t="s">
        <v>31</v>
      </c>
      <c r="E4" s="13">
        <f t="shared" ref="E4:E141" si="2">COUNTIF(I4:AR4,"P")</f>
        <v>12</v>
      </c>
      <c r="F4" s="47">
        <f t="shared" ref="F4:F141" si="3">COUNTIF(I4:AR4,"A")</f>
        <v>12</v>
      </c>
      <c r="G4" s="47">
        <f t="shared" ref="G4:G141" si="4">E4+F4</f>
        <v>24</v>
      </c>
      <c r="H4" s="48">
        <f t="shared" ref="H4:H141" si="5">(E4/G4)</f>
        <v>0.5</v>
      </c>
      <c r="I4" s="24" t="s">
        <v>140</v>
      </c>
      <c r="J4" s="23" t="s">
        <v>32</v>
      </c>
      <c r="K4" s="23" t="s">
        <v>140</v>
      </c>
      <c r="L4" s="49" t="s">
        <v>32</v>
      </c>
      <c r="M4" s="50" t="s">
        <v>45</v>
      </c>
      <c r="N4" s="23"/>
      <c r="O4" s="23" t="s">
        <v>32</v>
      </c>
      <c r="P4" s="23" t="s">
        <v>140</v>
      </c>
      <c r="Q4" s="23" t="s">
        <v>32</v>
      </c>
      <c r="R4" s="24" t="s">
        <v>32</v>
      </c>
      <c r="S4" s="24" t="s">
        <v>140</v>
      </c>
      <c r="T4" s="50" t="s">
        <v>45</v>
      </c>
      <c r="U4" s="24" t="s">
        <v>140</v>
      </c>
      <c r="V4" s="24" t="s">
        <v>32</v>
      </c>
      <c r="W4" s="24" t="s">
        <v>32</v>
      </c>
      <c r="X4" s="24" t="s">
        <v>32</v>
      </c>
      <c r="Y4" s="24" t="s">
        <v>32</v>
      </c>
      <c r="Z4" s="24" t="s">
        <v>140</v>
      </c>
      <c r="AA4" s="50" t="s">
        <v>45</v>
      </c>
      <c r="AB4" s="51" t="s">
        <v>140</v>
      </c>
      <c r="AC4" s="51" t="s">
        <v>140</v>
      </c>
      <c r="AD4" s="51" t="s">
        <v>140</v>
      </c>
      <c r="AE4" s="51" t="s">
        <v>140</v>
      </c>
      <c r="AF4" s="51" t="s">
        <v>140</v>
      </c>
      <c r="AG4" s="51" t="s">
        <v>140</v>
      </c>
      <c r="AH4" s="52" t="s">
        <v>45</v>
      </c>
      <c r="AI4" s="29" t="s">
        <v>32</v>
      </c>
      <c r="AJ4" s="29" t="s">
        <v>32</v>
      </c>
      <c r="AK4" s="29" t="s">
        <v>32</v>
      </c>
      <c r="AL4" s="23"/>
      <c r="AM4" s="23"/>
      <c r="AN4" s="23"/>
      <c r="AO4" s="50" t="s">
        <v>45</v>
      </c>
      <c r="AP4" s="23"/>
      <c r="AQ4" s="23"/>
      <c r="AR4" s="23"/>
    </row>
    <row r="5">
      <c r="A5" s="44">
        <v>2.0</v>
      </c>
      <c r="B5" s="45" t="s">
        <v>183</v>
      </c>
      <c r="C5" s="26" t="s">
        <v>185</v>
      </c>
      <c r="D5" s="26" t="s">
        <v>41</v>
      </c>
      <c r="E5" s="13">
        <f t="shared" si="2"/>
        <v>10</v>
      </c>
      <c r="F5" s="47">
        <f t="shared" si="3"/>
        <v>14</v>
      </c>
      <c r="G5" s="47">
        <f t="shared" si="4"/>
        <v>24</v>
      </c>
      <c r="H5" s="48">
        <f t="shared" si="5"/>
        <v>0.4166666667</v>
      </c>
      <c r="I5" s="24" t="s">
        <v>32</v>
      </c>
      <c r="J5" s="23" t="s">
        <v>32</v>
      </c>
      <c r="K5" s="23" t="s">
        <v>140</v>
      </c>
      <c r="L5" s="49" t="s">
        <v>32</v>
      </c>
      <c r="M5" s="30"/>
      <c r="N5" s="23"/>
      <c r="O5" s="23" t="s">
        <v>32</v>
      </c>
      <c r="P5" s="23" t="s">
        <v>32</v>
      </c>
      <c r="Q5" s="23" t="s">
        <v>32</v>
      </c>
      <c r="R5" s="24" t="s">
        <v>32</v>
      </c>
      <c r="S5" s="24" t="s">
        <v>32</v>
      </c>
      <c r="T5" s="30"/>
      <c r="U5" s="24" t="s">
        <v>32</v>
      </c>
      <c r="V5" s="24" t="s">
        <v>196</v>
      </c>
      <c r="W5" s="24" t="s">
        <v>32</v>
      </c>
      <c r="X5" s="24" t="s">
        <v>32</v>
      </c>
      <c r="Y5" s="24" t="s">
        <v>32</v>
      </c>
      <c r="Z5" s="24" t="s">
        <v>140</v>
      </c>
      <c r="AA5" s="30"/>
      <c r="AB5" s="29" t="s">
        <v>32</v>
      </c>
      <c r="AC5" s="51" t="s">
        <v>140</v>
      </c>
      <c r="AD5" s="51" t="s">
        <v>140</v>
      </c>
      <c r="AE5" s="51" t="s">
        <v>140</v>
      </c>
      <c r="AF5" s="51" t="s">
        <v>140</v>
      </c>
      <c r="AG5" s="51" t="s">
        <v>140</v>
      </c>
      <c r="AH5" s="30"/>
      <c r="AI5" s="51" t="s">
        <v>140</v>
      </c>
      <c r="AJ5" s="29" t="s">
        <v>32</v>
      </c>
      <c r="AK5" s="51" t="s">
        <v>140</v>
      </c>
      <c r="AL5" s="23"/>
      <c r="AM5" s="23"/>
      <c r="AN5" s="23"/>
      <c r="AO5" s="30"/>
      <c r="AP5" s="23"/>
      <c r="AQ5" s="23"/>
      <c r="AR5" s="23"/>
    </row>
    <row r="6">
      <c r="A6" s="44">
        <v>3.0</v>
      </c>
      <c r="B6" s="54" t="s">
        <v>206</v>
      </c>
      <c r="C6" s="26" t="s">
        <v>48</v>
      </c>
      <c r="D6" s="26" t="s">
        <v>51</v>
      </c>
      <c r="E6" s="13">
        <f t="shared" si="2"/>
        <v>3</v>
      </c>
      <c r="F6" s="47">
        <f t="shared" si="3"/>
        <v>21</v>
      </c>
      <c r="G6" s="47">
        <f t="shared" si="4"/>
        <v>24</v>
      </c>
      <c r="H6" s="48">
        <f t="shared" si="5"/>
        <v>0.125</v>
      </c>
      <c r="I6" s="24" t="s">
        <v>140</v>
      </c>
      <c r="J6" s="23" t="s">
        <v>140</v>
      </c>
      <c r="K6" s="23" t="s">
        <v>140</v>
      </c>
      <c r="L6" s="49" t="s">
        <v>32</v>
      </c>
      <c r="M6" s="30"/>
      <c r="N6" s="23"/>
      <c r="O6" s="23" t="s">
        <v>32</v>
      </c>
      <c r="P6" s="23" t="s">
        <v>32</v>
      </c>
      <c r="Q6" s="23" t="s">
        <v>32</v>
      </c>
      <c r="R6" s="24" t="s">
        <v>32</v>
      </c>
      <c r="S6" s="24" t="s">
        <v>32</v>
      </c>
      <c r="T6" s="30"/>
      <c r="U6" s="24" t="s">
        <v>32</v>
      </c>
      <c r="V6" s="24" t="s">
        <v>32</v>
      </c>
      <c r="W6" s="24" t="s">
        <v>32</v>
      </c>
      <c r="X6" s="24" t="s">
        <v>32</v>
      </c>
      <c r="Y6" s="24" t="s">
        <v>32</v>
      </c>
      <c r="Z6" s="24" t="s">
        <v>32</v>
      </c>
      <c r="AA6" s="30"/>
      <c r="AB6" s="29" t="s">
        <v>32</v>
      </c>
      <c r="AC6" s="29" t="s">
        <v>32</v>
      </c>
      <c r="AD6" s="29" t="s">
        <v>32</v>
      </c>
      <c r="AE6" s="29" t="s">
        <v>32</v>
      </c>
      <c r="AF6" s="29" t="s">
        <v>32</v>
      </c>
      <c r="AG6" s="29" t="s">
        <v>32</v>
      </c>
      <c r="AH6" s="30"/>
      <c r="AI6" s="29" t="s">
        <v>32</v>
      </c>
      <c r="AJ6" s="29" t="s">
        <v>32</v>
      </c>
      <c r="AK6" s="29" t="s">
        <v>32</v>
      </c>
      <c r="AL6" s="23"/>
      <c r="AM6" s="23"/>
      <c r="AN6" s="23"/>
      <c r="AO6" s="30"/>
      <c r="AP6" s="23"/>
      <c r="AQ6" s="23"/>
      <c r="AR6" s="23"/>
    </row>
    <row r="7">
      <c r="A7" s="44">
        <v>4.0</v>
      </c>
      <c r="B7" s="45" t="s">
        <v>224</v>
      </c>
      <c r="C7" s="26" t="s">
        <v>225</v>
      </c>
      <c r="D7" s="26" t="s">
        <v>58</v>
      </c>
      <c r="E7" s="13">
        <f t="shared" si="2"/>
        <v>4</v>
      </c>
      <c r="F7" s="47">
        <f t="shared" si="3"/>
        <v>20</v>
      </c>
      <c r="G7" s="47">
        <f t="shared" si="4"/>
        <v>24</v>
      </c>
      <c r="H7" s="48">
        <f t="shared" si="5"/>
        <v>0.1666666667</v>
      </c>
      <c r="I7" s="24" t="s">
        <v>32</v>
      </c>
      <c r="J7" s="23" t="s">
        <v>32</v>
      </c>
      <c r="K7" s="23" t="s">
        <v>32</v>
      </c>
      <c r="L7" s="49" t="s">
        <v>32</v>
      </c>
      <c r="M7" s="30"/>
      <c r="N7" s="23"/>
      <c r="O7" s="23" t="s">
        <v>32</v>
      </c>
      <c r="P7" s="23" t="s">
        <v>32</v>
      </c>
      <c r="Q7" s="23" t="s">
        <v>32</v>
      </c>
      <c r="R7" s="24" t="s">
        <v>32</v>
      </c>
      <c r="S7" s="24" t="s">
        <v>32</v>
      </c>
      <c r="T7" s="30"/>
      <c r="U7" s="24" t="s">
        <v>32</v>
      </c>
      <c r="V7" s="24" t="s">
        <v>32</v>
      </c>
      <c r="W7" s="24" t="s">
        <v>32</v>
      </c>
      <c r="X7" s="24" t="s">
        <v>32</v>
      </c>
      <c r="Y7" s="24" t="s">
        <v>32</v>
      </c>
      <c r="Z7" s="24" t="s">
        <v>32</v>
      </c>
      <c r="AA7" s="30"/>
      <c r="AB7" s="29" t="s">
        <v>32</v>
      </c>
      <c r="AC7" s="29" t="s">
        <v>32</v>
      </c>
      <c r="AD7" s="51" t="s">
        <v>140</v>
      </c>
      <c r="AE7" s="51" t="s">
        <v>140</v>
      </c>
      <c r="AF7" s="29" t="s">
        <v>32</v>
      </c>
      <c r="AG7" s="29" t="s">
        <v>32</v>
      </c>
      <c r="AH7" s="30"/>
      <c r="AI7" s="51" t="s">
        <v>140</v>
      </c>
      <c r="AJ7" s="51" t="s">
        <v>140</v>
      </c>
      <c r="AK7" s="29" t="s">
        <v>32</v>
      </c>
      <c r="AL7" s="23"/>
      <c r="AM7" s="23"/>
      <c r="AN7" s="23"/>
      <c r="AO7" s="30"/>
      <c r="AP7" s="23"/>
      <c r="AQ7" s="23"/>
      <c r="AR7" s="23"/>
    </row>
    <row r="8">
      <c r="A8" s="44">
        <v>5.0</v>
      </c>
      <c r="B8" s="55" t="s">
        <v>242</v>
      </c>
      <c r="C8" s="26" t="s">
        <v>63</v>
      </c>
      <c r="D8" s="26" t="s">
        <v>65</v>
      </c>
      <c r="E8" s="13">
        <f t="shared" si="2"/>
        <v>8</v>
      </c>
      <c r="F8" s="47">
        <f t="shared" si="3"/>
        <v>16</v>
      </c>
      <c r="G8" s="47">
        <f t="shared" si="4"/>
        <v>24</v>
      </c>
      <c r="H8" s="48">
        <f t="shared" si="5"/>
        <v>0.3333333333</v>
      </c>
      <c r="I8" s="24" t="s">
        <v>140</v>
      </c>
      <c r="J8" s="23" t="s">
        <v>140</v>
      </c>
      <c r="K8" s="23" t="s">
        <v>140</v>
      </c>
      <c r="L8" s="49" t="s">
        <v>140</v>
      </c>
      <c r="M8" s="30"/>
      <c r="N8" s="23"/>
      <c r="O8" s="23" t="s">
        <v>140</v>
      </c>
      <c r="P8" s="23" t="s">
        <v>140</v>
      </c>
      <c r="Q8" s="23" t="s">
        <v>140</v>
      </c>
      <c r="R8" s="24" t="s">
        <v>32</v>
      </c>
      <c r="S8" s="24" t="s">
        <v>140</v>
      </c>
      <c r="T8" s="30"/>
      <c r="U8" s="24" t="s">
        <v>32</v>
      </c>
      <c r="V8" s="24" t="s">
        <v>32</v>
      </c>
      <c r="W8" s="24" t="s">
        <v>32</v>
      </c>
      <c r="X8" s="24" t="s">
        <v>32</v>
      </c>
      <c r="Y8" s="24" t="s">
        <v>32</v>
      </c>
      <c r="Z8" s="24" t="s">
        <v>32</v>
      </c>
      <c r="AA8" s="30"/>
      <c r="AB8" s="29" t="s">
        <v>32</v>
      </c>
      <c r="AC8" s="29" t="s">
        <v>32</v>
      </c>
      <c r="AD8" s="29" t="s">
        <v>32</v>
      </c>
      <c r="AE8" s="29" t="s">
        <v>32</v>
      </c>
      <c r="AF8" s="29" t="s">
        <v>32</v>
      </c>
      <c r="AG8" s="29" t="s">
        <v>32</v>
      </c>
      <c r="AH8" s="30"/>
      <c r="AI8" s="29" t="s">
        <v>32</v>
      </c>
      <c r="AJ8" s="29" t="s">
        <v>32</v>
      </c>
      <c r="AK8" s="29" t="s">
        <v>32</v>
      </c>
      <c r="AL8" s="23"/>
      <c r="AM8" s="23"/>
      <c r="AN8" s="23"/>
      <c r="AO8" s="30"/>
      <c r="AP8" s="23"/>
      <c r="AQ8" s="23"/>
      <c r="AR8" s="23"/>
    </row>
    <row r="9">
      <c r="A9" s="44">
        <v>6.0</v>
      </c>
      <c r="B9" s="55" t="s">
        <v>261</v>
      </c>
      <c r="C9" s="26" t="s">
        <v>70</v>
      </c>
      <c r="D9" s="26" t="s">
        <v>71</v>
      </c>
      <c r="E9" s="13">
        <f t="shared" si="2"/>
        <v>1</v>
      </c>
      <c r="F9" s="47">
        <f t="shared" si="3"/>
        <v>23</v>
      </c>
      <c r="G9" s="47">
        <f t="shared" si="4"/>
        <v>24</v>
      </c>
      <c r="H9" s="48">
        <f t="shared" si="5"/>
        <v>0.04166666667</v>
      </c>
      <c r="I9" s="24" t="s">
        <v>32</v>
      </c>
      <c r="J9" s="23" t="s">
        <v>32</v>
      </c>
      <c r="K9" s="23" t="s">
        <v>32</v>
      </c>
      <c r="L9" s="49" t="s">
        <v>140</v>
      </c>
      <c r="M9" s="30"/>
      <c r="N9" s="23"/>
      <c r="O9" s="23" t="s">
        <v>32</v>
      </c>
      <c r="P9" s="23" t="s">
        <v>32</v>
      </c>
      <c r="Q9" s="23" t="s">
        <v>32</v>
      </c>
      <c r="R9" s="24" t="s">
        <v>32</v>
      </c>
      <c r="S9" s="24" t="s">
        <v>32</v>
      </c>
      <c r="T9" s="30"/>
      <c r="U9" s="24" t="s">
        <v>32</v>
      </c>
      <c r="V9" s="24" t="s">
        <v>32</v>
      </c>
      <c r="W9" s="24" t="s">
        <v>32</v>
      </c>
      <c r="X9" s="24" t="s">
        <v>32</v>
      </c>
      <c r="Y9" s="24" t="s">
        <v>32</v>
      </c>
      <c r="Z9" s="24" t="s">
        <v>32</v>
      </c>
      <c r="AA9" s="30"/>
      <c r="AB9" s="29" t="s">
        <v>32</v>
      </c>
      <c r="AC9" s="29" t="s">
        <v>32</v>
      </c>
      <c r="AD9" s="29" t="s">
        <v>32</v>
      </c>
      <c r="AE9" s="29" t="s">
        <v>32</v>
      </c>
      <c r="AF9" s="29" t="s">
        <v>32</v>
      </c>
      <c r="AG9" s="29" t="s">
        <v>32</v>
      </c>
      <c r="AH9" s="30"/>
      <c r="AI9" s="29" t="s">
        <v>32</v>
      </c>
      <c r="AJ9" s="29" t="s">
        <v>32</v>
      </c>
      <c r="AK9" s="29" t="s">
        <v>32</v>
      </c>
      <c r="AL9" s="23"/>
      <c r="AM9" s="23"/>
      <c r="AN9" s="23"/>
      <c r="AO9" s="30"/>
      <c r="AP9" s="23"/>
      <c r="AQ9" s="23"/>
      <c r="AR9" s="23"/>
    </row>
    <row r="10">
      <c r="A10" s="44">
        <v>7.0</v>
      </c>
      <c r="B10" s="45" t="s">
        <v>279</v>
      </c>
      <c r="C10" s="26" t="s">
        <v>280</v>
      </c>
      <c r="D10" s="26" t="s">
        <v>77</v>
      </c>
      <c r="E10" s="13">
        <f t="shared" si="2"/>
        <v>8</v>
      </c>
      <c r="F10" s="47">
        <f t="shared" si="3"/>
        <v>16</v>
      </c>
      <c r="G10" s="47">
        <f t="shared" si="4"/>
        <v>24</v>
      </c>
      <c r="H10" s="48">
        <f t="shared" si="5"/>
        <v>0.3333333333</v>
      </c>
      <c r="I10" s="24" t="s">
        <v>32</v>
      </c>
      <c r="J10" s="23" t="s">
        <v>32</v>
      </c>
      <c r="K10" s="23" t="s">
        <v>32</v>
      </c>
      <c r="L10" s="49" t="s">
        <v>140</v>
      </c>
      <c r="M10" s="30"/>
      <c r="N10" s="23"/>
      <c r="O10" s="23" t="s">
        <v>32</v>
      </c>
      <c r="P10" s="23" t="s">
        <v>32</v>
      </c>
      <c r="Q10" s="23" t="s">
        <v>32</v>
      </c>
      <c r="R10" s="24" t="s">
        <v>32</v>
      </c>
      <c r="S10" s="24" t="s">
        <v>32</v>
      </c>
      <c r="T10" s="30"/>
      <c r="U10" s="24" t="s">
        <v>32</v>
      </c>
      <c r="V10" s="24" t="s">
        <v>32</v>
      </c>
      <c r="W10" s="24" t="s">
        <v>32</v>
      </c>
      <c r="X10" s="24" t="s">
        <v>32</v>
      </c>
      <c r="Y10" s="24" t="s">
        <v>32</v>
      </c>
      <c r="Z10" s="24" t="s">
        <v>32</v>
      </c>
      <c r="AA10" s="30"/>
      <c r="AB10" s="51" t="s">
        <v>140</v>
      </c>
      <c r="AC10" s="51" t="s">
        <v>140</v>
      </c>
      <c r="AD10" s="29" t="s">
        <v>32</v>
      </c>
      <c r="AE10" s="51" t="s">
        <v>140</v>
      </c>
      <c r="AF10" s="51" t="s">
        <v>140</v>
      </c>
      <c r="AG10" s="51" t="s">
        <v>140</v>
      </c>
      <c r="AH10" s="30"/>
      <c r="AI10" s="29" t="s">
        <v>32</v>
      </c>
      <c r="AJ10" s="51" t="s">
        <v>140</v>
      </c>
      <c r="AK10" s="51" t="s">
        <v>140</v>
      </c>
      <c r="AL10" s="23"/>
      <c r="AM10" s="23"/>
      <c r="AN10" s="23"/>
      <c r="AO10" s="30"/>
      <c r="AP10" s="23"/>
      <c r="AQ10" s="23"/>
      <c r="AR10" s="23"/>
    </row>
    <row r="11">
      <c r="A11" s="44">
        <v>8.0</v>
      </c>
      <c r="B11" s="55" t="s">
        <v>298</v>
      </c>
      <c r="C11" s="26" t="s">
        <v>300</v>
      </c>
      <c r="D11" s="26" t="s">
        <v>84</v>
      </c>
      <c r="E11" s="13">
        <f t="shared" si="2"/>
        <v>10</v>
      </c>
      <c r="F11" s="47">
        <f t="shared" si="3"/>
        <v>14</v>
      </c>
      <c r="G11" s="47">
        <f t="shared" si="4"/>
        <v>24</v>
      </c>
      <c r="H11" s="48">
        <f t="shared" si="5"/>
        <v>0.4166666667</v>
      </c>
      <c r="I11" s="24" t="s">
        <v>32</v>
      </c>
      <c r="J11" s="23" t="s">
        <v>140</v>
      </c>
      <c r="K11" s="23" t="s">
        <v>140</v>
      </c>
      <c r="L11" s="49" t="s">
        <v>140</v>
      </c>
      <c r="M11" s="30"/>
      <c r="N11" s="24"/>
      <c r="O11" s="23" t="s">
        <v>140</v>
      </c>
      <c r="P11" s="23" t="s">
        <v>140</v>
      </c>
      <c r="Q11" s="23" t="s">
        <v>32</v>
      </c>
      <c r="R11" s="24" t="s">
        <v>140</v>
      </c>
      <c r="S11" s="24" t="s">
        <v>32</v>
      </c>
      <c r="T11" s="30"/>
      <c r="U11" s="24" t="s">
        <v>140</v>
      </c>
      <c r="V11" s="24" t="s">
        <v>196</v>
      </c>
      <c r="W11" s="24" t="s">
        <v>32</v>
      </c>
      <c r="X11" s="24" t="s">
        <v>32</v>
      </c>
      <c r="Y11" s="24" t="s">
        <v>32</v>
      </c>
      <c r="Z11" s="24" t="s">
        <v>32</v>
      </c>
      <c r="AA11" s="30"/>
      <c r="AB11" s="51" t="s">
        <v>140</v>
      </c>
      <c r="AC11" s="29" t="s">
        <v>32</v>
      </c>
      <c r="AD11" s="29" t="s">
        <v>32</v>
      </c>
      <c r="AE11" s="51" t="s">
        <v>140</v>
      </c>
      <c r="AF11" s="29" t="s">
        <v>32</v>
      </c>
      <c r="AG11" s="29" t="s">
        <v>32</v>
      </c>
      <c r="AH11" s="30"/>
      <c r="AI11" s="29" t="s">
        <v>32</v>
      </c>
      <c r="AJ11" s="29" t="s">
        <v>32</v>
      </c>
      <c r="AK11" s="29" t="s">
        <v>32</v>
      </c>
      <c r="AL11" s="23"/>
      <c r="AM11" s="23"/>
      <c r="AN11" s="23"/>
      <c r="AO11" s="30"/>
      <c r="AP11" s="23"/>
      <c r="AQ11" s="23"/>
      <c r="AR11" s="23"/>
    </row>
    <row r="12">
      <c r="A12" s="44">
        <v>9.0</v>
      </c>
      <c r="B12" s="45" t="s">
        <v>316</v>
      </c>
      <c r="C12" s="26" t="s">
        <v>318</v>
      </c>
      <c r="D12" s="26" t="s">
        <v>92</v>
      </c>
      <c r="E12" s="13">
        <f t="shared" si="2"/>
        <v>18</v>
      </c>
      <c r="F12" s="47">
        <f t="shared" si="3"/>
        <v>6</v>
      </c>
      <c r="G12" s="47">
        <f t="shared" si="4"/>
        <v>24</v>
      </c>
      <c r="H12" s="48">
        <f t="shared" si="5"/>
        <v>0.75</v>
      </c>
      <c r="I12" s="24" t="s">
        <v>32</v>
      </c>
      <c r="J12" s="23" t="s">
        <v>140</v>
      </c>
      <c r="K12" s="23" t="s">
        <v>140</v>
      </c>
      <c r="L12" s="49" t="s">
        <v>140</v>
      </c>
      <c r="M12" s="30"/>
      <c r="N12" s="23"/>
      <c r="O12" s="23" t="s">
        <v>140</v>
      </c>
      <c r="P12" s="23" t="s">
        <v>140</v>
      </c>
      <c r="Q12" s="23" t="s">
        <v>140</v>
      </c>
      <c r="R12" s="24" t="s">
        <v>140</v>
      </c>
      <c r="S12" s="24" t="s">
        <v>140</v>
      </c>
      <c r="T12" s="30"/>
      <c r="U12" s="24" t="s">
        <v>32</v>
      </c>
      <c r="V12" s="24" t="s">
        <v>196</v>
      </c>
      <c r="W12" s="24" t="s">
        <v>196</v>
      </c>
      <c r="X12" s="24" t="s">
        <v>140</v>
      </c>
      <c r="Y12" s="24" t="s">
        <v>140</v>
      </c>
      <c r="Z12" s="24" t="s">
        <v>140</v>
      </c>
      <c r="AA12" s="30"/>
      <c r="AB12" s="51" t="s">
        <v>140</v>
      </c>
      <c r="AC12" s="29" t="s">
        <v>32</v>
      </c>
      <c r="AD12" s="51" t="s">
        <v>140</v>
      </c>
      <c r="AE12" s="51" t="s">
        <v>140</v>
      </c>
      <c r="AF12" s="51" t="s">
        <v>140</v>
      </c>
      <c r="AG12" s="51" t="s">
        <v>140</v>
      </c>
      <c r="AH12" s="30"/>
      <c r="AI12" s="29" t="s">
        <v>32</v>
      </c>
      <c r="AJ12" s="29" t="s">
        <v>32</v>
      </c>
      <c r="AK12" s="29" t="s">
        <v>32</v>
      </c>
      <c r="AL12" s="23"/>
      <c r="AM12" s="23"/>
      <c r="AN12" s="23"/>
      <c r="AO12" s="30"/>
      <c r="AP12" s="23"/>
      <c r="AQ12" s="23"/>
      <c r="AR12" s="23"/>
    </row>
    <row r="13">
      <c r="A13" s="44">
        <v>10.0</v>
      </c>
      <c r="B13" s="45" t="s">
        <v>338</v>
      </c>
      <c r="C13" s="26" t="s">
        <v>97</v>
      </c>
      <c r="D13" s="26" t="s">
        <v>99</v>
      </c>
      <c r="E13" s="13">
        <f t="shared" si="2"/>
        <v>19</v>
      </c>
      <c r="F13" s="47">
        <f t="shared" si="3"/>
        <v>5</v>
      </c>
      <c r="G13" s="47">
        <f t="shared" si="4"/>
        <v>24</v>
      </c>
      <c r="H13" s="48">
        <f t="shared" si="5"/>
        <v>0.7916666667</v>
      </c>
      <c r="I13" s="24" t="s">
        <v>140</v>
      </c>
      <c r="J13" s="23" t="s">
        <v>140</v>
      </c>
      <c r="K13" s="23" t="s">
        <v>32</v>
      </c>
      <c r="L13" s="49" t="s">
        <v>140</v>
      </c>
      <c r="M13" s="30"/>
      <c r="N13" s="23"/>
      <c r="O13" s="23" t="s">
        <v>32</v>
      </c>
      <c r="P13" s="23" t="s">
        <v>140</v>
      </c>
      <c r="Q13" s="23" t="s">
        <v>140</v>
      </c>
      <c r="R13" s="24" t="s">
        <v>140</v>
      </c>
      <c r="S13" s="24" t="s">
        <v>32</v>
      </c>
      <c r="T13" s="30"/>
      <c r="U13" s="24" t="s">
        <v>32</v>
      </c>
      <c r="V13" s="24" t="s">
        <v>196</v>
      </c>
      <c r="W13" s="24" t="s">
        <v>196</v>
      </c>
      <c r="X13" s="24" t="s">
        <v>32</v>
      </c>
      <c r="Y13" s="24" t="s">
        <v>140</v>
      </c>
      <c r="Z13" s="24" t="s">
        <v>140</v>
      </c>
      <c r="AA13" s="30"/>
      <c r="AB13" s="51" t="s">
        <v>140</v>
      </c>
      <c r="AC13" s="51" t="s">
        <v>140</v>
      </c>
      <c r="AD13" s="51" t="s">
        <v>140</v>
      </c>
      <c r="AE13" s="51" t="s">
        <v>140</v>
      </c>
      <c r="AF13" s="51" t="s">
        <v>140</v>
      </c>
      <c r="AG13" s="51" t="s">
        <v>140</v>
      </c>
      <c r="AH13" s="30"/>
      <c r="AI13" s="51" t="s">
        <v>140</v>
      </c>
      <c r="AJ13" s="51" t="s">
        <v>140</v>
      </c>
      <c r="AK13" s="51" t="s">
        <v>140</v>
      </c>
      <c r="AL13" s="23"/>
      <c r="AM13" s="23"/>
      <c r="AN13" s="23"/>
      <c r="AO13" s="30"/>
      <c r="AP13" s="23"/>
      <c r="AQ13" s="23"/>
      <c r="AR13" s="23"/>
    </row>
    <row r="14">
      <c r="A14" s="44">
        <v>11.0</v>
      </c>
      <c r="B14" s="55" t="s">
        <v>357</v>
      </c>
      <c r="C14" s="26" t="s">
        <v>103</v>
      </c>
      <c r="D14" s="26" t="s">
        <v>105</v>
      </c>
      <c r="E14" s="13">
        <f t="shared" si="2"/>
        <v>16</v>
      </c>
      <c r="F14" s="47">
        <f t="shared" si="3"/>
        <v>8</v>
      </c>
      <c r="G14" s="47">
        <f t="shared" si="4"/>
        <v>24</v>
      </c>
      <c r="H14" s="48">
        <f t="shared" si="5"/>
        <v>0.6666666667</v>
      </c>
      <c r="I14" s="24" t="s">
        <v>32</v>
      </c>
      <c r="J14" s="23" t="s">
        <v>32</v>
      </c>
      <c r="K14" s="23" t="s">
        <v>32</v>
      </c>
      <c r="L14" s="49" t="s">
        <v>140</v>
      </c>
      <c r="M14" s="30"/>
      <c r="N14" s="23"/>
      <c r="O14" s="23" t="s">
        <v>140</v>
      </c>
      <c r="P14" s="23" t="s">
        <v>140</v>
      </c>
      <c r="Q14" s="23" t="s">
        <v>140</v>
      </c>
      <c r="R14" s="24" t="s">
        <v>140</v>
      </c>
      <c r="S14" s="24" t="s">
        <v>140</v>
      </c>
      <c r="T14" s="30"/>
      <c r="U14" s="24" t="s">
        <v>32</v>
      </c>
      <c r="V14" s="24" t="s">
        <v>196</v>
      </c>
      <c r="W14" s="24" t="s">
        <v>196</v>
      </c>
      <c r="X14" s="24" t="s">
        <v>32</v>
      </c>
      <c r="Y14" s="24" t="s">
        <v>140</v>
      </c>
      <c r="Z14" s="24" t="s">
        <v>32</v>
      </c>
      <c r="AA14" s="30"/>
      <c r="AB14" s="51" t="s">
        <v>140</v>
      </c>
      <c r="AC14" s="29" t="s">
        <v>32</v>
      </c>
      <c r="AD14" s="51" t="s">
        <v>140</v>
      </c>
      <c r="AE14" s="51" t="s">
        <v>140</v>
      </c>
      <c r="AF14" s="51" t="s">
        <v>140</v>
      </c>
      <c r="AG14" s="51" t="s">
        <v>140</v>
      </c>
      <c r="AH14" s="30"/>
      <c r="AI14" s="29" t="s">
        <v>32</v>
      </c>
      <c r="AJ14" s="51" t="s">
        <v>140</v>
      </c>
      <c r="AK14" s="51" t="s">
        <v>140</v>
      </c>
      <c r="AL14" s="23"/>
      <c r="AM14" s="23"/>
      <c r="AN14" s="23"/>
      <c r="AO14" s="30"/>
      <c r="AP14" s="23"/>
      <c r="AQ14" s="23"/>
      <c r="AR14" s="23"/>
    </row>
    <row r="15">
      <c r="A15" s="44">
        <v>12.0</v>
      </c>
      <c r="B15" s="55" t="s">
        <v>373</v>
      </c>
      <c r="C15" s="26" t="s">
        <v>375</v>
      </c>
      <c r="D15" s="26" t="s">
        <v>378</v>
      </c>
      <c r="E15" s="13">
        <f t="shared" si="2"/>
        <v>11</v>
      </c>
      <c r="F15" s="47">
        <f t="shared" si="3"/>
        <v>13</v>
      </c>
      <c r="G15" s="47">
        <f t="shared" si="4"/>
        <v>24</v>
      </c>
      <c r="H15" s="48">
        <f t="shared" si="5"/>
        <v>0.4583333333</v>
      </c>
      <c r="I15" s="24" t="s">
        <v>140</v>
      </c>
      <c r="J15" s="23" t="s">
        <v>140</v>
      </c>
      <c r="K15" s="23" t="s">
        <v>140</v>
      </c>
      <c r="L15" s="49" t="s">
        <v>140</v>
      </c>
      <c r="M15" s="30"/>
      <c r="N15" s="24"/>
      <c r="O15" s="23" t="s">
        <v>140</v>
      </c>
      <c r="P15" s="23" t="s">
        <v>140</v>
      </c>
      <c r="Q15" s="23" t="s">
        <v>140</v>
      </c>
      <c r="R15" s="24" t="s">
        <v>140</v>
      </c>
      <c r="S15" s="24" t="s">
        <v>32</v>
      </c>
      <c r="T15" s="30"/>
      <c r="U15" s="24" t="s">
        <v>32</v>
      </c>
      <c r="V15" s="24" t="s">
        <v>32</v>
      </c>
      <c r="W15" s="24" t="s">
        <v>196</v>
      </c>
      <c r="X15" s="24" t="s">
        <v>32</v>
      </c>
      <c r="Y15" s="24" t="s">
        <v>32</v>
      </c>
      <c r="Z15" s="24" t="s">
        <v>32</v>
      </c>
      <c r="AA15" s="30"/>
      <c r="AB15" s="29" t="s">
        <v>32</v>
      </c>
      <c r="AC15" s="51" t="s">
        <v>140</v>
      </c>
      <c r="AD15" s="51" t="s">
        <v>140</v>
      </c>
      <c r="AE15" s="29" t="s">
        <v>32</v>
      </c>
      <c r="AF15" s="29" t="s">
        <v>32</v>
      </c>
      <c r="AG15" s="29" t="s">
        <v>32</v>
      </c>
      <c r="AH15" s="30"/>
      <c r="AI15" s="29" t="s">
        <v>32</v>
      </c>
      <c r="AJ15" s="29" t="s">
        <v>32</v>
      </c>
      <c r="AK15" s="29" t="s">
        <v>32</v>
      </c>
      <c r="AL15" s="23"/>
      <c r="AM15" s="23"/>
      <c r="AN15" s="23"/>
      <c r="AO15" s="30"/>
      <c r="AP15" s="23"/>
      <c r="AQ15" s="23"/>
      <c r="AR15" s="23"/>
    </row>
    <row r="16">
      <c r="A16" s="44">
        <v>13.0</v>
      </c>
      <c r="B16" s="45" t="s">
        <v>394</v>
      </c>
      <c r="C16" s="26" t="s">
        <v>121</v>
      </c>
      <c r="D16" s="26" t="s">
        <v>123</v>
      </c>
      <c r="E16" s="13">
        <f t="shared" si="2"/>
        <v>6</v>
      </c>
      <c r="F16" s="47">
        <f t="shared" si="3"/>
        <v>18</v>
      </c>
      <c r="G16" s="47">
        <f t="shared" si="4"/>
        <v>24</v>
      </c>
      <c r="H16" s="48">
        <f t="shared" si="5"/>
        <v>0.25</v>
      </c>
      <c r="I16" s="24" t="s">
        <v>140</v>
      </c>
      <c r="J16" s="23" t="s">
        <v>140</v>
      </c>
      <c r="K16" s="23" t="s">
        <v>32</v>
      </c>
      <c r="L16" s="49" t="s">
        <v>140</v>
      </c>
      <c r="M16" s="30"/>
      <c r="N16" s="23"/>
      <c r="O16" s="23" t="s">
        <v>32</v>
      </c>
      <c r="P16" s="23" t="s">
        <v>32</v>
      </c>
      <c r="Q16" s="23" t="s">
        <v>140</v>
      </c>
      <c r="R16" s="24" t="s">
        <v>32</v>
      </c>
      <c r="S16" s="24" t="s">
        <v>32</v>
      </c>
      <c r="T16" s="30"/>
      <c r="U16" s="24" t="s">
        <v>32</v>
      </c>
      <c r="V16" s="24" t="s">
        <v>32</v>
      </c>
      <c r="W16" s="24" t="s">
        <v>32</v>
      </c>
      <c r="X16" s="24" t="s">
        <v>32</v>
      </c>
      <c r="Y16" s="24" t="s">
        <v>32</v>
      </c>
      <c r="Z16" s="24" t="s">
        <v>32</v>
      </c>
      <c r="AA16" s="30"/>
      <c r="AB16" s="29" t="s">
        <v>32</v>
      </c>
      <c r="AC16" s="29" t="s">
        <v>32</v>
      </c>
      <c r="AD16" s="29" t="s">
        <v>32</v>
      </c>
      <c r="AE16" s="51" t="s">
        <v>140</v>
      </c>
      <c r="AF16" s="51" t="s">
        <v>140</v>
      </c>
      <c r="AG16" s="29" t="s">
        <v>32</v>
      </c>
      <c r="AH16" s="30"/>
      <c r="AI16" s="29" t="s">
        <v>32</v>
      </c>
      <c r="AJ16" s="29" t="s">
        <v>32</v>
      </c>
      <c r="AK16" s="29" t="s">
        <v>32</v>
      </c>
      <c r="AL16" s="23"/>
      <c r="AM16" s="23"/>
      <c r="AN16" s="23"/>
      <c r="AO16" s="30"/>
      <c r="AP16" s="23"/>
      <c r="AQ16" s="23"/>
      <c r="AR16" s="23"/>
    </row>
    <row r="17">
      <c r="A17" s="44">
        <v>14.0</v>
      </c>
      <c r="B17" s="55" t="s">
        <v>413</v>
      </c>
      <c r="C17" s="26" t="s">
        <v>414</v>
      </c>
      <c r="D17" s="26" t="s">
        <v>129</v>
      </c>
      <c r="E17" s="13">
        <f t="shared" si="2"/>
        <v>2</v>
      </c>
      <c r="F17" s="47">
        <f t="shared" si="3"/>
        <v>22</v>
      </c>
      <c r="G17" s="47">
        <f t="shared" si="4"/>
        <v>24</v>
      </c>
      <c r="H17" s="48">
        <f t="shared" si="5"/>
        <v>0.08333333333</v>
      </c>
      <c r="I17" s="24" t="s">
        <v>32</v>
      </c>
      <c r="J17" s="23" t="s">
        <v>140</v>
      </c>
      <c r="K17" s="23" t="s">
        <v>32</v>
      </c>
      <c r="L17" s="49" t="s">
        <v>32</v>
      </c>
      <c r="M17" s="30"/>
      <c r="N17" s="23"/>
      <c r="O17" s="23" t="s">
        <v>32</v>
      </c>
      <c r="P17" s="23" t="s">
        <v>32</v>
      </c>
      <c r="Q17" s="23" t="s">
        <v>32</v>
      </c>
      <c r="R17" s="24" t="s">
        <v>32</v>
      </c>
      <c r="S17" s="24" t="s">
        <v>32</v>
      </c>
      <c r="T17" s="30"/>
      <c r="U17" s="24" t="s">
        <v>32</v>
      </c>
      <c r="V17" s="24" t="s">
        <v>32</v>
      </c>
      <c r="W17" s="24" t="s">
        <v>32</v>
      </c>
      <c r="X17" s="24" t="s">
        <v>32</v>
      </c>
      <c r="Y17" s="24" t="s">
        <v>32</v>
      </c>
      <c r="Z17" s="24" t="s">
        <v>32</v>
      </c>
      <c r="AA17" s="30"/>
      <c r="AB17" s="51" t="s">
        <v>140</v>
      </c>
      <c r="AC17" s="29" t="s">
        <v>32</v>
      </c>
      <c r="AD17" s="29" t="s">
        <v>32</v>
      </c>
      <c r="AE17" s="29" t="s">
        <v>32</v>
      </c>
      <c r="AF17" s="29" t="s">
        <v>32</v>
      </c>
      <c r="AG17" s="29" t="s">
        <v>32</v>
      </c>
      <c r="AH17" s="30"/>
      <c r="AI17" s="29" t="s">
        <v>32</v>
      </c>
      <c r="AJ17" s="29" t="s">
        <v>32</v>
      </c>
      <c r="AK17" s="29" t="s">
        <v>32</v>
      </c>
      <c r="AL17" s="23"/>
      <c r="AM17" s="23"/>
      <c r="AN17" s="23"/>
      <c r="AO17" s="30"/>
      <c r="AP17" s="23"/>
      <c r="AQ17" s="23"/>
      <c r="AR17" s="23"/>
    </row>
    <row r="18">
      <c r="A18" s="44">
        <v>15.0</v>
      </c>
      <c r="B18" s="54" t="s">
        <v>431</v>
      </c>
      <c r="C18" s="26" t="s">
        <v>134</v>
      </c>
      <c r="D18" s="26" t="s">
        <v>136</v>
      </c>
      <c r="E18" s="13">
        <f t="shared" si="2"/>
        <v>7</v>
      </c>
      <c r="F18" s="47">
        <f t="shared" si="3"/>
        <v>17</v>
      </c>
      <c r="G18" s="47">
        <f t="shared" si="4"/>
        <v>24</v>
      </c>
      <c r="H18" s="48">
        <f t="shared" si="5"/>
        <v>0.2916666667</v>
      </c>
      <c r="I18" s="24" t="s">
        <v>32</v>
      </c>
      <c r="J18" s="23" t="s">
        <v>32</v>
      </c>
      <c r="K18" s="23" t="s">
        <v>32</v>
      </c>
      <c r="L18" s="49" t="s">
        <v>140</v>
      </c>
      <c r="M18" s="30"/>
      <c r="N18" s="23"/>
      <c r="O18" s="23" t="s">
        <v>140</v>
      </c>
      <c r="P18" s="23" t="s">
        <v>140</v>
      </c>
      <c r="Q18" s="23" t="s">
        <v>140</v>
      </c>
      <c r="R18" s="24" t="s">
        <v>32</v>
      </c>
      <c r="S18" s="24" t="s">
        <v>140</v>
      </c>
      <c r="T18" s="30"/>
      <c r="U18" s="24" t="s">
        <v>32</v>
      </c>
      <c r="V18" s="24" t="s">
        <v>32</v>
      </c>
      <c r="W18" s="24" t="s">
        <v>32</v>
      </c>
      <c r="X18" s="24" t="s">
        <v>32</v>
      </c>
      <c r="Y18" s="24" t="s">
        <v>32</v>
      </c>
      <c r="Z18" s="24" t="s">
        <v>32</v>
      </c>
      <c r="AA18" s="30"/>
      <c r="AB18" s="29" t="s">
        <v>32</v>
      </c>
      <c r="AC18" s="29" t="s">
        <v>32</v>
      </c>
      <c r="AD18" s="29" t="s">
        <v>32</v>
      </c>
      <c r="AE18" s="51" t="s">
        <v>140</v>
      </c>
      <c r="AF18" s="29" t="s">
        <v>32</v>
      </c>
      <c r="AG18" s="51" t="s">
        <v>140</v>
      </c>
      <c r="AH18" s="30"/>
      <c r="AI18" s="29" t="s">
        <v>32</v>
      </c>
      <c r="AJ18" s="29" t="s">
        <v>32</v>
      </c>
      <c r="AK18" s="29" t="s">
        <v>32</v>
      </c>
      <c r="AL18" s="23"/>
      <c r="AM18" s="23"/>
      <c r="AN18" s="23"/>
      <c r="AO18" s="30"/>
      <c r="AP18" s="23"/>
      <c r="AQ18" s="23"/>
      <c r="AR18" s="23"/>
    </row>
    <row r="19">
      <c r="A19" s="44">
        <v>16.0</v>
      </c>
      <c r="B19" s="55" t="s">
        <v>447</v>
      </c>
      <c r="C19" s="26" t="s">
        <v>142</v>
      </c>
      <c r="D19" s="26" t="s">
        <v>143</v>
      </c>
      <c r="E19" s="13">
        <f t="shared" si="2"/>
        <v>1</v>
      </c>
      <c r="F19" s="47">
        <f t="shared" si="3"/>
        <v>23</v>
      </c>
      <c r="G19" s="47">
        <f t="shared" si="4"/>
        <v>24</v>
      </c>
      <c r="H19" s="48">
        <f t="shared" si="5"/>
        <v>0.04166666667</v>
      </c>
      <c r="I19" s="24" t="s">
        <v>140</v>
      </c>
      <c r="J19" s="23" t="s">
        <v>32</v>
      </c>
      <c r="K19" s="23" t="s">
        <v>32</v>
      </c>
      <c r="L19" s="49" t="s">
        <v>32</v>
      </c>
      <c r="M19" s="30"/>
      <c r="N19" s="23"/>
      <c r="O19" s="24" t="s">
        <v>32</v>
      </c>
      <c r="P19" s="23" t="s">
        <v>32</v>
      </c>
      <c r="Q19" s="23" t="s">
        <v>32</v>
      </c>
      <c r="R19" s="24" t="s">
        <v>32</v>
      </c>
      <c r="S19" s="24" t="s">
        <v>32</v>
      </c>
      <c r="T19" s="30"/>
      <c r="U19" s="24" t="s">
        <v>32</v>
      </c>
      <c r="V19" s="24" t="s">
        <v>32</v>
      </c>
      <c r="W19" s="24" t="s">
        <v>32</v>
      </c>
      <c r="X19" s="24" t="s">
        <v>32</v>
      </c>
      <c r="Y19" s="24" t="s">
        <v>32</v>
      </c>
      <c r="Z19" s="24" t="s">
        <v>32</v>
      </c>
      <c r="AA19" s="30"/>
      <c r="AB19" s="29" t="s">
        <v>32</v>
      </c>
      <c r="AC19" s="29" t="s">
        <v>32</v>
      </c>
      <c r="AD19" s="29" t="s">
        <v>32</v>
      </c>
      <c r="AE19" s="29" t="s">
        <v>32</v>
      </c>
      <c r="AF19" s="29" t="s">
        <v>32</v>
      </c>
      <c r="AG19" s="29" t="s">
        <v>32</v>
      </c>
      <c r="AH19" s="30"/>
      <c r="AI19" s="29" t="s">
        <v>32</v>
      </c>
      <c r="AJ19" s="29" t="s">
        <v>32</v>
      </c>
      <c r="AK19" s="29" t="s">
        <v>32</v>
      </c>
      <c r="AL19" s="23"/>
      <c r="AM19" s="23"/>
      <c r="AN19" s="23"/>
      <c r="AO19" s="30"/>
      <c r="AP19" s="23"/>
      <c r="AQ19" s="23"/>
      <c r="AR19" s="23"/>
    </row>
    <row r="20">
      <c r="A20" s="44">
        <v>17.0</v>
      </c>
      <c r="B20" s="55" t="s">
        <v>465</v>
      </c>
      <c r="C20" s="26" t="s">
        <v>148</v>
      </c>
      <c r="D20" s="26" t="s">
        <v>150</v>
      </c>
      <c r="E20" s="13">
        <f t="shared" si="2"/>
        <v>2</v>
      </c>
      <c r="F20" s="47">
        <f t="shared" si="3"/>
        <v>22</v>
      </c>
      <c r="G20" s="47">
        <f t="shared" si="4"/>
        <v>24</v>
      </c>
      <c r="H20" s="48">
        <f t="shared" si="5"/>
        <v>0.08333333333</v>
      </c>
      <c r="I20" s="24" t="s">
        <v>32</v>
      </c>
      <c r="J20" s="23" t="s">
        <v>32</v>
      </c>
      <c r="K20" s="23" t="s">
        <v>32</v>
      </c>
      <c r="L20" s="49" t="s">
        <v>32</v>
      </c>
      <c r="M20" s="30"/>
      <c r="N20" s="23"/>
      <c r="O20" s="23" t="s">
        <v>32</v>
      </c>
      <c r="P20" s="23" t="s">
        <v>32</v>
      </c>
      <c r="Q20" s="23" t="s">
        <v>32</v>
      </c>
      <c r="R20" s="24" t="s">
        <v>32</v>
      </c>
      <c r="S20" s="24" t="s">
        <v>32</v>
      </c>
      <c r="T20" s="30"/>
      <c r="U20" s="24" t="s">
        <v>32</v>
      </c>
      <c r="V20" s="24" t="s">
        <v>32</v>
      </c>
      <c r="W20" s="24" t="s">
        <v>32</v>
      </c>
      <c r="X20" s="24" t="s">
        <v>32</v>
      </c>
      <c r="Y20" s="24" t="s">
        <v>32</v>
      </c>
      <c r="Z20" s="24" t="s">
        <v>32</v>
      </c>
      <c r="AA20" s="30"/>
      <c r="AB20" s="51" t="s">
        <v>140</v>
      </c>
      <c r="AC20" s="29" t="s">
        <v>32</v>
      </c>
      <c r="AD20" s="29" t="s">
        <v>32</v>
      </c>
      <c r="AE20" s="29" t="s">
        <v>32</v>
      </c>
      <c r="AF20" s="51" t="s">
        <v>140</v>
      </c>
      <c r="AG20" s="29" t="s">
        <v>32</v>
      </c>
      <c r="AH20" s="30"/>
      <c r="AI20" s="29" t="s">
        <v>32</v>
      </c>
      <c r="AJ20" s="29" t="s">
        <v>32</v>
      </c>
      <c r="AK20" s="29" t="s">
        <v>32</v>
      </c>
      <c r="AL20" s="23"/>
      <c r="AM20" s="23"/>
      <c r="AN20" s="23"/>
      <c r="AO20" s="30"/>
      <c r="AP20" s="23"/>
      <c r="AQ20" s="23"/>
      <c r="AR20" s="23"/>
    </row>
    <row r="21">
      <c r="A21" s="44">
        <v>18.0</v>
      </c>
      <c r="B21" s="45" t="s">
        <v>487</v>
      </c>
      <c r="C21" s="26" t="s">
        <v>488</v>
      </c>
      <c r="D21" s="26" t="s">
        <v>156</v>
      </c>
      <c r="E21" s="13">
        <f t="shared" si="2"/>
        <v>4</v>
      </c>
      <c r="F21" s="47">
        <f t="shared" si="3"/>
        <v>20</v>
      </c>
      <c r="G21" s="47">
        <f t="shared" si="4"/>
        <v>24</v>
      </c>
      <c r="H21" s="48">
        <f t="shared" si="5"/>
        <v>0.1666666667</v>
      </c>
      <c r="I21" s="24" t="s">
        <v>32</v>
      </c>
      <c r="J21" s="23" t="s">
        <v>32</v>
      </c>
      <c r="K21" s="23" t="s">
        <v>32</v>
      </c>
      <c r="L21" s="49" t="s">
        <v>32</v>
      </c>
      <c r="M21" s="30"/>
      <c r="N21" s="23"/>
      <c r="O21" s="23" t="s">
        <v>32</v>
      </c>
      <c r="P21" s="23" t="s">
        <v>32</v>
      </c>
      <c r="Q21" s="23" t="s">
        <v>32</v>
      </c>
      <c r="R21" s="24" t="s">
        <v>32</v>
      </c>
      <c r="S21" s="24" t="s">
        <v>32</v>
      </c>
      <c r="T21" s="30"/>
      <c r="U21" s="24" t="s">
        <v>32</v>
      </c>
      <c r="V21" s="24" t="s">
        <v>32</v>
      </c>
      <c r="W21" s="24" t="s">
        <v>32</v>
      </c>
      <c r="X21" s="24" t="s">
        <v>32</v>
      </c>
      <c r="Y21" s="24" t="s">
        <v>32</v>
      </c>
      <c r="Z21" s="24" t="s">
        <v>32</v>
      </c>
      <c r="AA21" s="30"/>
      <c r="AB21" s="29" t="s">
        <v>32</v>
      </c>
      <c r="AC21" s="29" t="s">
        <v>32</v>
      </c>
      <c r="AD21" s="29" t="s">
        <v>32</v>
      </c>
      <c r="AE21" s="51" t="s">
        <v>140</v>
      </c>
      <c r="AF21" s="51" t="s">
        <v>140</v>
      </c>
      <c r="AG21" s="29" t="s">
        <v>32</v>
      </c>
      <c r="AH21" s="30"/>
      <c r="AI21" s="29" t="s">
        <v>32</v>
      </c>
      <c r="AJ21" s="51" t="s">
        <v>140</v>
      </c>
      <c r="AK21" s="51" t="s">
        <v>140</v>
      </c>
      <c r="AL21" s="23"/>
      <c r="AM21" s="23"/>
      <c r="AN21" s="23"/>
      <c r="AO21" s="30"/>
      <c r="AP21" s="23"/>
      <c r="AQ21" s="23"/>
      <c r="AR21" s="23"/>
    </row>
    <row r="22">
      <c r="A22" s="44">
        <v>19.0</v>
      </c>
      <c r="B22" s="55" t="s">
        <v>504</v>
      </c>
      <c r="C22" s="26" t="s">
        <v>506</v>
      </c>
      <c r="D22" s="26" t="s">
        <v>162</v>
      </c>
      <c r="E22" s="13">
        <f t="shared" si="2"/>
        <v>17</v>
      </c>
      <c r="F22" s="47">
        <f t="shared" si="3"/>
        <v>7</v>
      </c>
      <c r="G22" s="47">
        <f t="shared" si="4"/>
        <v>24</v>
      </c>
      <c r="H22" s="48">
        <f t="shared" si="5"/>
        <v>0.7083333333</v>
      </c>
      <c r="I22" s="24" t="s">
        <v>140</v>
      </c>
      <c r="J22" s="23" t="s">
        <v>140</v>
      </c>
      <c r="K22" s="23" t="s">
        <v>140</v>
      </c>
      <c r="L22" s="49" t="s">
        <v>140</v>
      </c>
      <c r="M22" s="30"/>
      <c r="N22" s="23"/>
      <c r="O22" s="23" t="s">
        <v>32</v>
      </c>
      <c r="P22" s="23" t="s">
        <v>140</v>
      </c>
      <c r="Q22" s="23" t="s">
        <v>140</v>
      </c>
      <c r="R22" s="24" t="s">
        <v>140</v>
      </c>
      <c r="S22" s="24" t="s">
        <v>32</v>
      </c>
      <c r="T22" s="30"/>
      <c r="U22" s="24" t="s">
        <v>140</v>
      </c>
      <c r="V22" s="24" t="s">
        <v>196</v>
      </c>
      <c r="W22" s="24" t="s">
        <v>32</v>
      </c>
      <c r="X22" s="24" t="s">
        <v>32</v>
      </c>
      <c r="Y22" s="24" t="s">
        <v>140</v>
      </c>
      <c r="Z22" s="24" t="s">
        <v>32</v>
      </c>
      <c r="AA22" s="30"/>
      <c r="AB22" s="51" t="s">
        <v>140</v>
      </c>
      <c r="AC22" s="51" t="s">
        <v>140</v>
      </c>
      <c r="AD22" s="29" t="s">
        <v>32</v>
      </c>
      <c r="AE22" s="51" t="s">
        <v>140</v>
      </c>
      <c r="AF22" s="51" t="s">
        <v>140</v>
      </c>
      <c r="AG22" s="51" t="s">
        <v>140</v>
      </c>
      <c r="AH22" s="30"/>
      <c r="AI22" s="29" t="s">
        <v>32</v>
      </c>
      <c r="AJ22" s="51" t="s">
        <v>140</v>
      </c>
      <c r="AK22" s="51" t="s">
        <v>140</v>
      </c>
      <c r="AL22" s="23"/>
      <c r="AM22" s="23"/>
      <c r="AN22" s="23"/>
      <c r="AO22" s="30"/>
      <c r="AP22" s="23"/>
      <c r="AQ22" s="23"/>
      <c r="AR22" s="23"/>
    </row>
    <row r="23">
      <c r="A23" s="44">
        <v>20.0</v>
      </c>
      <c r="B23" s="55" t="s">
        <v>521</v>
      </c>
      <c r="C23" s="26" t="s">
        <v>165</v>
      </c>
      <c r="D23" s="26" t="s">
        <v>166</v>
      </c>
      <c r="E23" s="13">
        <f t="shared" si="2"/>
        <v>0</v>
      </c>
      <c r="F23" s="47">
        <f t="shared" si="3"/>
        <v>24</v>
      </c>
      <c r="G23" s="47">
        <f t="shared" si="4"/>
        <v>24</v>
      </c>
      <c r="H23" s="48">
        <f t="shared" si="5"/>
        <v>0</v>
      </c>
      <c r="I23" s="24" t="s">
        <v>32</v>
      </c>
      <c r="J23" s="23" t="s">
        <v>32</v>
      </c>
      <c r="K23" s="23" t="s">
        <v>32</v>
      </c>
      <c r="L23" s="49" t="s">
        <v>32</v>
      </c>
      <c r="M23" s="30"/>
      <c r="N23" s="23"/>
      <c r="O23" s="23" t="s">
        <v>32</v>
      </c>
      <c r="P23" s="23" t="s">
        <v>32</v>
      </c>
      <c r="Q23" s="23" t="s">
        <v>32</v>
      </c>
      <c r="R23" s="24" t="s">
        <v>32</v>
      </c>
      <c r="S23" s="24" t="s">
        <v>32</v>
      </c>
      <c r="T23" s="30"/>
      <c r="U23" s="24" t="s">
        <v>32</v>
      </c>
      <c r="V23" s="24" t="s">
        <v>32</v>
      </c>
      <c r="W23" s="24" t="s">
        <v>32</v>
      </c>
      <c r="X23" s="24" t="s">
        <v>32</v>
      </c>
      <c r="Y23" s="24" t="s">
        <v>32</v>
      </c>
      <c r="Z23" s="24" t="s">
        <v>32</v>
      </c>
      <c r="AA23" s="30"/>
      <c r="AB23" s="29" t="s">
        <v>32</v>
      </c>
      <c r="AC23" s="29" t="s">
        <v>32</v>
      </c>
      <c r="AD23" s="29" t="s">
        <v>32</v>
      </c>
      <c r="AE23" s="29" t="s">
        <v>32</v>
      </c>
      <c r="AF23" s="29" t="s">
        <v>32</v>
      </c>
      <c r="AG23" s="29" t="s">
        <v>32</v>
      </c>
      <c r="AH23" s="30"/>
      <c r="AI23" s="29" t="s">
        <v>32</v>
      </c>
      <c r="AJ23" s="29" t="s">
        <v>32</v>
      </c>
      <c r="AK23" s="29" t="s">
        <v>32</v>
      </c>
      <c r="AL23" s="23"/>
      <c r="AM23" s="23"/>
      <c r="AN23" s="23"/>
      <c r="AO23" s="30"/>
      <c r="AP23" s="23"/>
      <c r="AQ23" s="23"/>
      <c r="AR23" s="23"/>
    </row>
    <row r="24">
      <c r="A24" s="44">
        <v>21.0</v>
      </c>
      <c r="B24" s="55" t="s">
        <v>540</v>
      </c>
      <c r="C24" s="26" t="s">
        <v>171</v>
      </c>
      <c r="D24" s="26" t="s">
        <v>172</v>
      </c>
      <c r="E24" s="13">
        <f t="shared" si="2"/>
        <v>1</v>
      </c>
      <c r="F24" s="47">
        <f t="shared" si="3"/>
        <v>23</v>
      </c>
      <c r="G24" s="47">
        <f t="shared" si="4"/>
        <v>24</v>
      </c>
      <c r="H24" s="48">
        <f t="shared" si="5"/>
        <v>0.04166666667</v>
      </c>
      <c r="I24" s="24" t="s">
        <v>140</v>
      </c>
      <c r="J24" s="23" t="s">
        <v>32</v>
      </c>
      <c r="K24" s="23" t="s">
        <v>32</v>
      </c>
      <c r="L24" s="49" t="s">
        <v>32</v>
      </c>
      <c r="M24" s="30"/>
      <c r="N24" s="23"/>
      <c r="O24" s="23" t="s">
        <v>32</v>
      </c>
      <c r="P24" s="23" t="s">
        <v>32</v>
      </c>
      <c r="Q24" s="23" t="s">
        <v>32</v>
      </c>
      <c r="R24" s="24" t="s">
        <v>32</v>
      </c>
      <c r="S24" s="24" t="s">
        <v>32</v>
      </c>
      <c r="T24" s="30"/>
      <c r="U24" s="24" t="s">
        <v>32</v>
      </c>
      <c r="V24" s="24" t="s">
        <v>32</v>
      </c>
      <c r="W24" s="24" t="s">
        <v>32</v>
      </c>
      <c r="X24" s="24" t="s">
        <v>32</v>
      </c>
      <c r="Y24" s="24" t="s">
        <v>32</v>
      </c>
      <c r="Z24" s="24" t="s">
        <v>32</v>
      </c>
      <c r="AA24" s="30"/>
      <c r="AB24" s="29" t="s">
        <v>32</v>
      </c>
      <c r="AC24" s="29" t="s">
        <v>32</v>
      </c>
      <c r="AD24" s="29" t="s">
        <v>32</v>
      </c>
      <c r="AE24" s="29" t="s">
        <v>32</v>
      </c>
      <c r="AF24" s="29" t="s">
        <v>32</v>
      </c>
      <c r="AG24" s="29" t="s">
        <v>32</v>
      </c>
      <c r="AH24" s="30"/>
      <c r="AI24" s="29" t="s">
        <v>32</v>
      </c>
      <c r="AJ24" s="29" t="s">
        <v>32</v>
      </c>
      <c r="AK24" s="29" t="s">
        <v>32</v>
      </c>
      <c r="AL24" s="23"/>
      <c r="AM24" s="23"/>
      <c r="AN24" s="23"/>
      <c r="AO24" s="30"/>
      <c r="AP24" s="23"/>
      <c r="AQ24" s="23"/>
      <c r="AR24" s="23"/>
    </row>
    <row r="25">
      <c r="A25" s="44">
        <v>22.0</v>
      </c>
      <c r="B25" s="55" t="s">
        <v>557</v>
      </c>
      <c r="C25" s="26" t="s">
        <v>559</v>
      </c>
      <c r="D25" s="26" t="s">
        <v>177</v>
      </c>
      <c r="E25" s="13">
        <f t="shared" si="2"/>
        <v>8</v>
      </c>
      <c r="F25" s="47">
        <f t="shared" si="3"/>
        <v>16</v>
      </c>
      <c r="G25" s="47">
        <f t="shared" si="4"/>
        <v>24</v>
      </c>
      <c r="H25" s="48">
        <f t="shared" si="5"/>
        <v>0.3333333333</v>
      </c>
      <c r="I25" s="24" t="s">
        <v>32</v>
      </c>
      <c r="J25" s="23" t="s">
        <v>140</v>
      </c>
      <c r="K25" s="23" t="s">
        <v>140</v>
      </c>
      <c r="L25" s="49" t="s">
        <v>32</v>
      </c>
      <c r="M25" s="30"/>
      <c r="N25" s="23"/>
      <c r="O25" s="23" t="s">
        <v>32</v>
      </c>
      <c r="P25" s="23" t="s">
        <v>32</v>
      </c>
      <c r="Q25" s="23" t="s">
        <v>32</v>
      </c>
      <c r="R25" s="24" t="s">
        <v>32</v>
      </c>
      <c r="S25" s="24" t="s">
        <v>32</v>
      </c>
      <c r="T25" s="30"/>
      <c r="U25" s="24" t="s">
        <v>32</v>
      </c>
      <c r="V25" s="24" t="s">
        <v>32</v>
      </c>
      <c r="W25" s="24" t="s">
        <v>32</v>
      </c>
      <c r="X25" s="24" t="s">
        <v>32</v>
      </c>
      <c r="Y25" s="24" t="s">
        <v>32</v>
      </c>
      <c r="Z25" s="24" t="s">
        <v>32</v>
      </c>
      <c r="AA25" s="30"/>
      <c r="AB25" s="51" t="s">
        <v>140</v>
      </c>
      <c r="AC25" s="29" t="s">
        <v>32</v>
      </c>
      <c r="AD25" s="29" t="s">
        <v>32</v>
      </c>
      <c r="AE25" s="51" t="s">
        <v>140</v>
      </c>
      <c r="AF25" s="51" t="s">
        <v>140</v>
      </c>
      <c r="AG25" s="51" t="s">
        <v>140</v>
      </c>
      <c r="AH25" s="30"/>
      <c r="AI25" s="51" t="s">
        <v>140</v>
      </c>
      <c r="AJ25" s="51" t="s">
        <v>140</v>
      </c>
      <c r="AK25" s="29" t="s">
        <v>32</v>
      </c>
      <c r="AL25" s="23"/>
      <c r="AM25" s="23"/>
      <c r="AN25" s="23"/>
      <c r="AO25" s="30"/>
      <c r="AP25" s="23"/>
      <c r="AQ25" s="23"/>
      <c r="AR25" s="23"/>
    </row>
    <row r="26">
      <c r="A26" s="44">
        <v>23.0</v>
      </c>
      <c r="B26" s="55" t="s">
        <v>577</v>
      </c>
      <c r="C26" s="26" t="s">
        <v>578</v>
      </c>
      <c r="D26" s="26" t="s">
        <v>182</v>
      </c>
      <c r="E26" s="13">
        <f t="shared" si="2"/>
        <v>17</v>
      </c>
      <c r="F26" s="47">
        <f t="shared" si="3"/>
        <v>7</v>
      </c>
      <c r="G26" s="47">
        <f t="shared" si="4"/>
        <v>24</v>
      </c>
      <c r="H26" s="48">
        <f t="shared" si="5"/>
        <v>0.7083333333</v>
      </c>
      <c r="I26" s="24" t="s">
        <v>32</v>
      </c>
      <c r="J26" s="23" t="s">
        <v>32</v>
      </c>
      <c r="K26" s="23" t="s">
        <v>32</v>
      </c>
      <c r="L26" s="24" t="s">
        <v>140</v>
      </c>
      <c r="M26" s="30"/>
      <c r="N26" s="23"/>
      <c r="O26" s="24" t="s">
        <v>140</v>
      </c>
      <c r="P26" s="23" t="s">
        <v>32</v>
      </c>
      <c r="Q26" s="24" t="s">
        <v>140</v>
      </c>
      <c r="R26" s="24" t="s">
        <v>140</v>
      </c>
      <c r="S26" s="24" t="s">
        <v>140</v>
      </c>
      <c r="T26" s="30"/>
      <c r="U26" s="24" t="s">
        <v>140</v>
      </c>
      <c r="V26" s="24" t="s">
        <v>196</v>
      </c>
      <c r="W26" s="24" t="s">
        <v>196</v>
      </c>
      <c r="X26" s="24" t="s">
        <v>32</v>
      </c>
      <c r="Y26" s="24" t="s">
        <v>140</v>
      </c>
      <c r="Z26" s="24" t="s">
        <v>140</v>
      </c>
      <c r="AA26" s="30"/>
      <c r="AB26" s="51" t="s">
        <v>140</v>
      </c>
      <c r="AC26" s="51" t="s">
        <v>140</v>
      </c>
      <c r="AD26" s="51" t="s">
        <v>140</v>
      </c>
      <c r="AE26" s="51" t="s">
        <v>140</v>
      </c>
      <c r="AF26" s="51" t="s">
        <v>140</v>
      </c>
      <c r="AG26" s="51" t="s">
        <v>140</v>
      </c>
      <c r="AH26" s="30"/>
      <c r="AI26" s="29" t="s">
        <v>32</v>
      </c>
      <c r="AJ26" s="51" t="s">
        <v>140</v>
      </c>
      <c r="AK26" s="29" t="s">
        <v>32</v>
      </c>
      <c r="AL26" s="23"/>
      <c r="AM26" s="23"/>
      <c r="AN26" s="23"/>
      <c r="AO26" s="30"/>
      <c r="AP26" s="23"/>
      <c r="AQ26" s="23"/>
      <c r="AR26" s="23"/>
    </row>
    <row r="27">
      <c r="A27" s="44">
        <v>24.0</v>
      </c>
      <c r="B27" s="55" t="s">
        <v>597</v>
      </c>
      <c r="C27" s="26" t="s">
        <v>598</v>
      </c>
      <c r="D27" s="26" t="s">
        <v>189</v>
      </c>
      <c r="E27" s="13">
        <f t="shared" si="2"/>
        <v>14</v>
      </c>
      <c r="F27" s="47">
        <f t="shared" si="3"/>
        <v>10</v>
      </c>
      <c r="G27" s="47">
        <f t="shared" si="4"/>
        <v>24</v>
      </c>
      <c r="H27" s="48">
        <f t="shared" si="5"/>
        <v>0.5833333333</v>
      </c>
      <c r="I27" s="24" t="s">
        <v>32</v>
      </c>
      <c r="J27" s="23" t="s">
        <v>32</v>
      </c>
      <c r="K27" s="23" t="s">
        <v>140</v>
      </c>
      <c r="L27" s="49" t="s">
        <v>140</v>
      </c>
      <c r="M27" s="30"/>
      <c r="N27" s="23"/>
      <c r="O27" s="23" t="s">
        <v>140</v>
      </c>
      <c r="P27" s="23" t="s">
        <v>140</v>
      </c>
      <c r="Q27" s="23" t="s">
        <v>140</v>
      </c>
      <c r="R27" s="24" t="s">
        <v>140</v>
      </c>
      <c r="S27" s="24" t="s">
        <v>32</v>
      </c>
      <c r="T27" s="30"/>
      <c r="U27" s="24" t="s">
        <v>32</v>
      </c>
      <c r="V27" s="24" t="s">
        <v>32</v>
      </c>
      <c r="W27" s="24" t="s">
        <v>196</v>
      </c>
      <c r="X27" s="24" t="s">
        <v>140</v>
      </c>
      <c r="Y27" s="24" t="s">
        <v>140</v>
      </c>
      <c r="Z27" s="24" t="s">
        <v>32</v>
      </c>
      <c r="AA27" s="30"/>
      <c r="AB27" s="29" t="s">
        <v>32</v>
      </c>
      <c r="AC27" s="51" t="s">
        <v>140</v>
      </c>
      <c r="AD27" s="29" t="s">
        <v>32</v>
      </c>
      <c r="AE27" s="29" t="s">
        <v>32</v>
      </c>
      <c r="AF27" s="29" t="s">
        <v>32</v>
      </c>
      <c r="AG27" s="51" t="s">
        <v>140</v>
      </c>
      <c r="AH27" s="30"/>
      <c r="AI27" s="51" t="s">
        <v>140</v>
      </c>
      <c r="AJ27" s="51" t="s">
        <v>140</v>
      </c>
      <c r="AK27" s="51" t="s">
        <v>140</v>
      </c>
      <c r="AL27" s="23"/>
      <c r="AM27" s="23"/>
      <c r="AN27" s="23"/>
      <c r="AO27" s="30"/>
      <c r="AP27" s="23"/>
      <c r="AQ27" s="23"/>
      <c r="AR27" s="23"/>
    </row>
    <row r="28">
      <c r="A28" s="44">
        <v>25.0</v>
      </c>
      <c r="B28" s="55" t="s">
        <v>617</v>
      </c>
      <c r="C28" s="26" t="s">
        <v>618</v>
      </c>
      <c r="D28" s="26" t="s">
        <v>194</v>
      </c>
      <c r="E28" s="13">
        <f t="shared" si="2"/>
        <v>0</v>
      </c>
      <c r="F28" s="47">
        <f t="shared" si="3"/>
        <v>24</v>
      </c>
      <c r="G28" s="47">
        <f t="shared" si="4"/>
        <v>24</v>
      </c>
      <c r="H28" s="48">
        <f t="shared" si="5"/>
        <v>0</v>
      </c>
      <c r="I28" s="24" t="s">
        <v>32</v>
      </c>
      <c r="J28" s="23" t="s">
        <v>32</v>
      </c>
      <c r="K28" s="23" t="s">
        <v>32</v>
      </c>
      <c r="L28" s="49" t="s">
        <v>32</v>
      </c>
      <c r="M28" s="30"/>
      <c r="N28" s="23"/>
      <c r="O28" s="23" t="s">
        <v>32</v>
      </c>
      <c r="P28" s="23" t="s">
        <v>32</v>
      </c>
      <c r="Q28" s="23" t="s">
        <v>32</v>
      </c>
      <c r="R28" s="24" t="s">
        <v>32</v>
      </c>
      <c r="S28" s="24" t="s">
        <v>32</v>
      </c>
      <c r="T28" s="30"/>
      <c r="U28" s="24" t="s">
        <v>32</v>
      </c>
      <c r="V28" s="24" t="s">
        <v>32</v>
      </c>
      <c r="W28" s="24" t="s">
        <v>32</v>
      </c>
      <c r="X28" s="24" t="s">
        <v>32</v>
      </c>
      <c r="Y28" s="24" t="s">
        <v>32</v>
      </c>
      <c r="Z28" s="24" t="s">
        <v>32</v>
      </c>
      <c r="AA28" s="30"/>
      <c r="AB28" s="29" t="s">
        <v>32</v>
      </c>
      <c r="AC28" s="29" t="s">
        <v>32</v>
      </c>
      <c r="AD28" s="29" t="s">
        <v>32</v>
      </c>
      <c r="AE28" s="29" t="s">
        <v>32</v>
      </c>
      <c r="AF28" s="29" t="s">
        <v>32</v>
      </c>
      <c r="AG28" s="29" t="s">
        <v>32</v>
      </c>
      <c r="AH28" s="30"/>
      <c r="AI28" s="29" t="s">
        <v>32</v>
      </c>
      <c r="AJ28" s="29" t="s">
        <v>32</v>
      </c>
      <c r="AK28" s="29" t="s">
        <v>32</v>
      </c>
      <c r="AL28" s="23"/>
      <c r="AM28" s="23"/>
      <c r="AN28" s="23"/>
      <c r="AO28" s="30"/>
      <c r="AP28" s="23"/>
      <c r="AQ28" s="23"/>
      <c r="AR28" s="23"/>
    </row>
    <row r="29">
      <c r="A29" s="44">
        <v>26.0</v>
      </c>
      <c r="B29" s="55" t="s">
        <v>636</v>
      </c>
      <c r="C29" s="26" t="s">
        <v>637</v>
      </c>
      <c r="D29" s="53" t="s">
        <v>199</v>
      </c>
      <c r="E29" s="13">
        <f t="shared" si="2"/>
        <v>0</v>
      </c>
      <c r="F29" s="47">
        <f t="shared" si="3"/>
        <v>24</v>
      </c>
      <c r="G29" s="47">
        <f t="shared" si="4"/>
        <v>24</v>
      </c>
      <c r="H29" s="48">
        <f t="shared" si="5"/>
        <v>0</v>
      </c>
      <c r="I29" s="24" t="s">
        <v>32</v>
      </c>
      <c r="J29" s="23" t="s">
        <v>32</v>
      </c>
      <c r="K29" s="23" t="s">
        <v>32</v>
      </c>
      <c r="L29" s="49" t="s">
        <v>32</v>
      </c>
      <c r="M29" s="30"/>
      <c r="N29" s="23"/>
      <c r="O29" s="23" t="s">
        <v>32</v>
      </c>
      <c r="P29" s="23" t="s">
        <v>32</v>
      </c>
      <c r="Q29" s="23" t="s">
        <v>32</v>
      </c>
      <c r="R29" s="24" t="s">
        <v>32</v>
      </c>
      <c r="S29" s="24" t="s">
        <v>32</v>
      </c>
      <c r="T29" s="30"/>
      <c r="U29" s="24" t="s">
        <v>32</v>
      </c>
      <c r="V29" s="24" t="s">
        <v>32</v>
      </c>
      <c r="W29" s="24" t="s">
        <v>32</v>
      </c>
      <c r="X29" s="24" t="s">
        <v>32</v>
      </c>
      <c r="Y29" s="24" t="s">
        <v>32</v>
      </c>
      <c r="Z29" s="24" t="s">
        <v>32</v>
      </c>
      <c r="AA29" s="30"/>
      <c r="AB29" s="29" t="s">
        <v>32</v>
      </c>
      <c r="AC29" s="29" t="s">
        <v>32</v>
      </c>
      <c r="AD29" s="29" t="s">
        <v>32</v>
      </c>
      <c r="AE29" s="29" t="s">
        <v>32</v>
      </c>
      <c r="AF29" s="29" t="s">
        <v>32</v>
      </c>
      <c r="AG29" s="29" t="s">
        <v>32</v>
      </c>
      <c r="AH29" s="30"/>
      <c r="AI29" s="29" t="s">
        <v>32</v>
      </c>
      <c r="AJ29" s="29" t="s">
        <v>32</v>
      </c>
      <c r="AK29" s="29" t="s">
        <v>32</v>
      </c>
      <c r="AL29" s="23"/>
      <c r="AM29" s="23"/>
      <c r="AN29" s="23"/>
      <c r="AO29" s="30"/>
      <c r="AP29" s="23"/>
      <c r="AQ29" s="23"/>
      <c r="AR29" s="23"/>
    </row>
    <row r="30">
      <c r="A30" s="44">
        <v>27.0</v>
      </c>
      <c r="B30" s="55" t="s">
        <v>694</v>
      </c>
      <c r="C30" s="26" t="s">
        <v>697</v>
      </c>
      <c r="D30" s="26" t="s">
        <v>204</v>
      </c>
      <c r="E30" s="13">
        <f t="shared" si="2"/>
        <v>6</v>
      </c>
      <c r="F30" s="47">
        <f t="shared" si="3"/>
        <v>18</v>
      </c>
      <c r="G30" s="47">
        <f t="shared" si="4"/>
        <v>24</v>
      </c>
      <c r="H30" s="48">
        <f t="shared" si="5"/>
        <v>0.25</v>
      </c>
      <c r="I30" s="24" t="s">
        <v>140</v>
      </c>
      <c r="J30" s="23" t="s">
        <v>32</v>
      </c>
      <c r="K30" s="23" t="s">
        <v>32</v>
      </c>
      <c r="L30" s="24" t="s">
        <v>140</v>
      </c>
      <c r="M30" s="30"/>
      <c r="N30" s="23"/>
      <c r="O30" s="24" t="s">
        <v>140</v>
      </c>
      <c r="P30" s="23" t="s">
        <v>32</v>
      </c>
      <c r="Q30" s="23" t="s">
        <v>32</v>
      </c>
      <c r="R30" s="24" t="s">
        <v>140</v>
      </c>
      <c r="S30" s="24" t="s">
        <v>32</v>
      </c>
      <c r="T30" s="30"/>
      <c r="U30" s="24" t="s">
        <v>140</v>
      </c>
      <c r="V30" s="24" t="s">
        <v>32</v>
      </c>
      <c r="W30" s="24" t="s">
        <v>32</v>
      </c>
      <c r="X30" s="24" t="s">
        <v>32</v>
      </c>
      <c r="Y30" s="24" t="s">
        <v>32</v>
      </c>
      <c r="Z30" s="24" t="s">
        <v>32</v>
      </c>
      <c r="AA30" s="30"/>
      <c r="AB30" s="51" t="s">
        <v>140</v>
      </c>
      <c r="AC30" s="29" t="s">
        <v>32</v>
      </c>
      <c r="AD30" s="29" t="s">
        <v>32</v>
      </c>
      <c r="AE30" s="29" t="s">
        <v>32</v>
      </c>
      <c r="AF30" s="29" t="s">
        <v>32</v>
      </c>
      <c r="AG30" s="29" t="s">
        <v>32</v>
      </c>
      <c r="AH30" s="30"/>
      <c r="AI30" s="29" t="s">
        <v>32</v>
      </c>
      <c r="AJ30" s="29" t="s">
        <v>32</v>
      </c>
      <c r="AK30" s="29" t="s">
        <v>32</v>
      </c>
      <c r="AL30" s="23"/>
      <c r="AM30" s="23"/>
      <c r="AN30" s="23"/>
      <c r="AO30" s="30"/>
      <c r="AP30" s="23"/>
      <c r="AQ30" s="23"/>
      <c r="AR30" s="23"/>
    </row>
    <row r="31">
      <c r="A31" s="44">
        <v>28.0</v>
      </c>
      <c r="B31" s="55" t="s">
        <v>765</v>
      </c>
      <c r="C31" s="26" t="s">
        <v>209</v>
      </c>
      <c r="D31" s="26" t="s">
        <v>210</v>
      </c>
      <c r="E31" s="13">
        <f t="shared" si="2"/>
        <v>14</v>
      </c>
      <c r="F31" s="47">
        <f t="shared" si="3"/>
        <v>10</v>
      </c>
      <c r="G31" s="47">
        <f t="shared" si="4"/>
        <v>24</v>
      </c>
      <c r="H31" s="48">
        <f t="shared" si="5"/>
        <v>0.5833333333</v>
      </c>
      <c r="I31" s="24" t="s">
        <v>32</v>
      </c>
      <c r="J31" s="23" t="s">
        <v>140</v>
      </c>
      <c r="K31" s="23" t="s">
        <v>32</v>
      </c>
      <c r="L31" s="49" t="s">
        <v>140</v>
      </c>
      <c r="M31" s="30"/>
      <c r="N31" s="23"/>
      <c r="O31" s="23" t="s">
        <v>32</v>
      </c>
      <c r="P31" s="23" t="s">
        <v>140</v>
      </c>
      <c r="Q31" s="23" t="s">
        <v>140</v>
      </c>
      <c r="R31" s="24" t="s">
        <v>140</v>
      </c>
      <c r="S31" s="24" t="s">
        <v>140</v>
      </c>
      <c r="T31" s="30"/>
      <c r="U31" s="24" t="s">
        <v>140</v>
      </c>
      <c r="V31" s="24" t="s">
        <v>196</v>
      </c>
      <c r="W31" s="24" t="s">
        <v>196</v>
      </c>
      <c r="X31" s="24" t="s">
        <v>32</v>
      </c>
      <c r="Y31" s="24" t="s">
        <v>140</v>
      </c>
      <c r="Z31" s="24" t="s">
        <v>140</v>
      </c>
      <c r="AA31" s="30"/>
      <c r="AB31" s="29" t="s">
        <v>32</v>
      </c>
      <c r="AC31" s="51" t="s">
        <v>140</v>
      </c>
      <c r="AD31" s="29" t="s">
        <v>32</v>
      </c>
      <c r="AE31" s="29" t="s">
        <v>32</v>
      </c>
      <c r="AF31" s="51" t="s">
        <v>140</v>
      </c>
      <c r="AG31" s="51" t="s">
        <v>140</v>
      </c>
      <c r="AH31" s="30"/>
      <c r="AI31" s="29" t="s">
        <v>32</v>
      </c>
      <c r="AJ31" s="29" t="s">
        <v>32</v>
      </c>
      <c r="AK31" s="29" t="s">
        <v>32</v>
      </c>
      <c r="AL31" s="23"/>
      <c r="AM31" s="23"/>
      <c r="AN31" s="23"/>
      <c r="AO31" s="30"/>
      <c r="AP31" s="23"/>
      <c r="AQ31" s="23"/>
      <c r="AR31" s="23"/>
    </row>
    <row r="32">
      <c r="A32" s="44">
        <v>29.0</v>
      </c>
      <c r="B32" s="54" t="s">
        <v>802</v>
      </c>
      <c r="C32" s="26" t="s">
        <v>213</v>
      </c>
      <c r="D32" s="26" t="s">
        <v>215</v>
      </c>
      <c r="E32" s="13">
        <f t="shared" si="2"/>
        <v>20</v>
      </c>
      <c r="F32" s="47">
        <f t="shared" si="3"/>
        <v>4</v>
      </c>
      <c r="G32" s="47">
        <f t="shared" si="4"/>
        <v>24</v>
      </c>
      <c r="H32" s="48">
        <f t="shared" si="5"/>
        <v>0.8333333333</v>
      </c>
      <c r="I32" s="24" t="s">
        <v>140</v>
      </c>
      <c r="J32" s="23" t="s">
        <v>140</v>
      </c>
      <c r="K32" s="23" t="s">
        <v>140</v>
      </c>
      <c r="L32" s="49" t="s">
        <v>140</v>
      </c>
      <c r="M32" s="30"/>
      <c r="N32" s="24"/>
      <c r="O32" s="23" t="s">
        <v>140</v>
      </c>
      <c r="P32" s="23" t="s">
        <v>140</v>
      </c>
      <c r="Q32" s="23" t="s">
        <v>140</v>
      </c>
      <c r="R32" s="24" t="s">
        <v>32</v>
      </c>
      <c r="S32" s="24" t="s">
        <v>140</v>
      </c>
      <c r="T32" s="30"/>
      <c r="U32" s="24" t="s">
        <v>140</v>
      </c>
      <c r="V32" s="24" t="s">
        <v>32</v>
      </c>
      <c r="W32" s="24" t="s">
        <v>196</v>
      </c>
      <c r="X32" s="24" t="s">
        <v>140</v>
      </c>
      <c r="Y32" s="24" t="s">
        <v>32</v>
      </c>
      <c r="Z32" s="24" t="s">
        <v>32</v>
      </c>
      <c r="AA32" s="30"/>
      <c r="AB32" s="51" t="s">
        <v>140</v>
      </c>
      <c r="AC32" s="51" t="s">
        <v>140</v>
      </c>
      <c r="AD32" s="51" t="s">
        <v>140</v>
      </c>
      <c r="AE32" s="51" t="s">
        <v>140</v>
      </c>
      <c r="AF32" s="51" t="s">
        <v>140</v>
      </c>
      <c r="AG32" s="51" t="s">
        <v>140</v>
      </c>
      <c r="AH32" s="30"/>
      <c r="AI32" s="51" t="s">
        <v>140</v>
      </c>
      <c r="AJ32" s="51" t="s">
        <v>140</v>
      </c>
      <c r="AK32" s="51" t="s">
        <v>140</v>
      </c>
      <c r="AL32" s="23"/>
      <c r="AM32" s="23"/>
      <c r="AN32" s="23"/>
      <c r="AO32" s="30"/>
      <c r="AP32" s="23"/>
      <c r="AQ32" s="23"/>
      <c r="AR32" s="23"/>
    </row>
    <row r="33">
      <c r="A33" s="44">
        <v>30.0</v>
      </c>
      <c r="B33" s="55" t="s">
        <v>831</v>
      </c>
      <c r="C33" s="26" t="s">
        <v>217</v>
      </c>
      <c r="D33" s="26" t="s">
        <v>219</v>
      </c>
      <c r="E33" s="13">
        <f t="shared" si="2"/>
        <v>3</v>
      </c>
      <c r="F33" s="47">
        <f t="shared" si="3"/>
        <v>21</v>
      </c>
      <c r="G33" s="47">
        <f t="shared" si="4"/>
        <v>24</v>
      </c>
      <c r="H33" s="48">
        <f t="shared" si="5"/>
        <v>0.125</v>
      </c>
      <c r="I33" s="24" t="s">
        <v>32</v>
      </c>
      <c r="J33" s="23" t="s">
        <v>140</v>
      </c>
      <c r="K33" s="23" t="s">
        <v>32</v>
      </c>
      <c r="L33" s="49" t="s">
        <v>32</v>
      </c>
      <c r="M33" s="30"/>
      <c r="N33" s="23"/>
      <c r="O33" s="23" t="s">
        <v>32</v>
      </c>
      <c r="P33" s="23" t="s">
        <v>32</v>
      </c>
      <c r="Q33" s="23" t="s">
        <v>32</v>
      </c>
      <c r="R33" s="24" t="s">
        <v>32</v>
      </c>
      <c r="S33" s="24" t="s">
        <v>32</v>
      </c>
      <c r="T33" s="30"/>
      <c r="U33" s="24" t="s">
        <v>32</v>
      </c>
      <c r="V33" s="24" t="s">
        <v>32</v>
      </c>
      <c r="W33" s="24" t="s">
        <v>32</v>
      </c>
      <c r="X33" s="24" t="s">
        <v>32</v>
      </c>
      <c r="Y33" s="24" t="s">
        <v>32</v>
      </c>
      <c r="Z33" s="24" t="s">
        <v>32</v>
      </c>
      <c r="AA33" s="30"/>
      <c r="AB33" s="29" t="s">
        <v>32</v>
      </c>
      <c r="AC33" s="51" t="s">
        <v>140</v>
      </c>
      <c r="AD33" s="29" t="s">
        <v>32</v>
      </c>
      <c r="AE33" s="51" t="s">
        <v>140</v>
      </c>
      <c r="AF33" s="29" t="s">
        <v>32</v>
      </c>
      <c r="AG33" s="29" t="s">
        <v>32</v>
      </c>
      <c r="AH33" s="30"/>
      <c r="AI33" s="29" t="s">
        <v>32</v>
      </c>
      <c r="AJ33" s="29" t="s">
        <v>32</v>
      </c>
      <c r="AK33" s="29" t="s">
        <v>32</v>
      </c>
      <c r="AL33" s="23"/>
      <c r="AM33" s="23"/>
      <c r="AN33" s="23"/>
      <c r="AO33" s="30"/>
      <c r="AP33" s="23"/>
      <c r="AQ33" s="23"/>
      <c r="AR33" s="23"/>
    </row>
    <row r="34">
      <c r="A34" s="44">
        <v>31.0</v>
      </c>
      <c r="B34" s="45" t="s">
        <v>852</v>
      </c>
      <c r="C34" s="26" t="s">
        <v>223</v>
      </c>
      <c r="D34" s="26" t="s">
        <v>226</v>
      </c>
      <c r="E34" s="13">
        <f t="shared" si="2"/>
        <v>0</v>
      </c>
      <c r="F34" s="47">
        <f t="shared" si="3"/>
        <v>24</v>
      </c>
      <c r="G34" s="47">
        <f t="shared" si="4"/>
        <v>24</v>
      </c>
      <c r="H34" s="48">
        <f t="shared" si="5"/>
        <v>0</v>
      </c>
      <c r="I34" s="24" t="s">
        <v>32</v>
      </c>
      <c r="J34" s="23" t="s">
        <v>32</v>
      </c>
      <c r="K34" s="23" t="s">
        <v>32</v>
      </c>
      <c r="L34" s="49" t="s">
        <v>32</v>
      </c>
      <c r="M34" s="30"/>
      <c r="N34" s="23"/>
      <c r="O34" s="23" t="s">
        <v>32</v>
      </c>
      <c r="P34" s="23" t="s">
        <v>32</v>
      </c>
      <c r="Q34" s="23" t="s">
        <v>32</v>
      </c>
      <c r="R34" s="24" t="s">
        <v>32</v>
      </c>
      <c r="S34" s="24" t="s">
        <v>32</v>
      </c>
      <c r="T34" s="30"/>
      <c r="U34" s="24" t="s">
        <v>32</v>
      </c>
      <c r="V34" s="24" t="s">
        <v>32</v>
      </c>
      <c r="W34" s="24" t="s">
        <v>32</v>
      </c>
      <c r="X34" s="24" t="s">
        <v>32</v>
      </c>
      <c r="Y34" s="24" t="s">
        <v>32</v>
      </c>
      <c r="Z34" s="24" t="s">
        <v>32</v>
      </c>
      <c r="AA34" s="30"/>
      <c r="AB34" s="29" t="s">
        <v>32</v>
      </c>
      <c r="AC34" s="29" t="s">
        <v>32</v>
      </c>
      <c r="AD34" s="29" t="s">
        <v>32</v>
      </c>
      <c r="AE34" s="29" t="s">
        <v>32</v>
      </c>
      <c r="AF34" s="29" t="s">
        <v>32</v>
      </c>
      <c r="AG34" s="29" t="s">
        <v>32</v>
      </c>
      <c r="AH34" s="30"/>
      <c r="AI34" s="29" t="s">
        <v>32</v>
      </c>
      <c r="AJ34" s="29" t="s">
        <v>32</v>
      </c>
      <c r="AK34" s="29" t="s">
        <v>32</v>
      </c>
      <c r="AL34" s="23"/>
      <c r="AM34" s="23"/>
      <c r="AN34" s="23"/>
      <c r="AO34" s="30"/>
      <c r="AP34" s="23"/>
      <c r="AQ34" s="23"/>
      <c r="AR34" s="23"/>
    </row>
    <row r="35">
      <c r="A35" s="44">
        <v>32.0</v>
      </c>
      <c r="B35" s="54" t="s">
        <v>869</v>
      </c>
      <c r="C35" s="26" t="s">
        <v>870</v>
      </c>
      <c r="D35" s="26" t="s">
        <v>231</v>
      </c>
      <c r="E35" s="13">
        <f t="shared" si="2"/>
        <v>23</v>
      </c>
      <c r="F35" s="47">
        <f t="shared" si="3"/>
        <v>1</v>
      </c>
      <c r="G35" s="47">
        <f t="shared" si="4"/>
        <v>24</v>
      </c>
      <c r="H35" s="48">
        <f t="shared" si="5"/>
        <v>0.9583333333</v>
      </c>
      <c r="I35" s="24" t="s">
        <v>140</v>
      </c>
      <c r="J35" s="23" t="s">
        <v>140</v>
      </c>
      <c r="K35" s="23" t="s">
        <v>140</v>
      </c>
      <c r="L35" s="49" t="s">
        <v>32</v>
      </c>
      <c r="M35" s="30"/>
      <c r="N35" s="24"/>
      <c r="O35" s="23" t="s">
        <v>140</v>
      </c>
      <c r="P35" s="23" t="s">
        <v>140</v>
      </c>
      <c r="Q35" s="23" t="s">
        <v>140</v>
      </c>
      <c r="R35" s="24" t="s">
        <v>140</v>
      </c>
      <c r="S35" s="24" t="s">
        <v>140</v>
      </c>
      <c r="T35" s="30"/>
      <c r="U35" s="24" t="s">
        <v>140</v>
      </c>
      <c r="V35" s="24" t="s">
        <v>196</v>
      </c>
      <c r="W35" s="24" t="s">
        <v>196</v>
      </c>
      <c r="X35" s="24" t="s">
        <v>140</v>
      </c>
      <c r="Y35" s="24" t="s">
        <v>140</v>
      </c>
      <c r="Z35" s="24" t="s">
        <v>140</v>
      </c>
      <c r="AA35" s="30"/>
      <c r="AB35" s="51" t="s">
        <v>140</v>
      </c>
      <c r="AC35" s="51" t="s">
        <v>140</v>
      </c>
      <c r="AD35" s="51" t="s">
        <v>140</v>
      </c>
      <c r="AE35" s="51" t="s">
        <v>140</v>
      </c>
      <c r="AF35" s="51" t="s">
        <v>140</v>
      </c>
      <c r="AG35" s="51" t="s">
        <v>140</v>
      </c>
      <c r="AH35" s="30"/>
      <c r="AI35" s="51" t="s">
        <v>140</v>
      </c>
      <c r="AJ35" s="51" t="s">
        <v>140</v>
      </c>
      <c r="AK35" s="51" t="s">
        <v>140</v>
      </c>
      <c r="AL35" s="23"/>
      <c r="AM35" s="23"/>
      <c r="AN35" s="23"/>
      <c r="AO35" s="30"/>
      <c r="AP35" s="23"/>
      <c r="AQ35" s="23"/>
      <c r="AR35" s="23"/>
    </row>
    <row r="36">
      <c r="A36" s="44">
        <v>33.0</v>
      </c>
      <c r="B36" s="54" t="s">
        <v>891</v>
      </c>
      <c r="C36" s="26" t="s">
        <v>233</v>
      </c>
      <c r="D36" s="26" t="s">
        <v>234</v>
      </c>
      <c r="E36" s="13">
        <f t="shared" si="2"/>
        <v>18</v>
      </c>
      <c r="F36" s="47">
        <f t="shared" si="3"/>
        <v>6</v>
      </c>
      <c r="G36" s="47">
        <f t="shared" si="4"/>
        <v>24</v>
      </c>
      <c r="H36" s="48">
        <f t="shared" si="5"/>
        <v>0.75</v>
      </c>
      <c r="I36" s="24" t="s">
        <v>32</v>
      </c>
      <c r="J36" s="23" t="s">
        <v>32</v>
      </c>
      <c r="K36" s="23" t="s">
        <v>32</v>
      </c>
      <c r="L36" s="49" t="s">
        <v>32</v>
      </c>
      <c r="M36" s="30"/>
      <c r="N36" s="23"/>
      <c r="O36" s="23" t="s">
        <v>140</v>
      </c>
      <c r="P36" s="23" t="s">
        <v>140</v>
      </c>
      <c r="Q36" s="23" t="s">
        <v>140</v>
      </c>
      <c r="R36" s="24" t="s">
        <v>140</v>
      </c>
      <c r="S36" s="24" t="s">
        <v>140</v>
      </c>
      <c r="T36" s="30"/>
      <c r="U36" s="24" t="s">
        <v>140</v>
      </c>
      <c r="V36" s="24" t="s">
        <v>32</v>
      </c>
      <c r="W36" s="24" t="s">
        <v>196</v>
      </c>
      <c r="X36" s="24" t="s">
        <v>140</v>
      </c>
      <c r="Y36" s="24" t="s">
        <v>140</v>
      </c>
      <c r="Z36" s="24" t="s">
        <v>140</v>
      </c>
      <c r="AA36" s="30"/>
      <c r="AB36" s="51" t="s">
        <v>140</v>
      </c>
      <c r="AC36" s="51" t="s">
        <v>140</v>
      </c>
      <c r="AD36" s="51" t="s">
        <v>140</v>
      </c>
      <c r="AE36" s="51" t="s">
        <v>140</v>
      </c>
      <c r="AF36" s="51" t="s">
        <v>140</v>
      </c>
      <c r="AG36" s="29" t="s">
        <v>32</v>
      </c>
      <c r="AH36" s="30"/>
      <c r="AI36" s="51" t="s">
        <v>140</v>
      </c>
      <c r="AJ36" s="51" t="s">
        <v>140</v>
      </c>
      <c r="AK36" s="51" t="s">
        <v>140</v>
      </c>
      <c r="AL36" s="23"/>
      <c r="AM36" s="23"/>
      <c r="AN36" s="23"/>
      <c r="AO36" s="30"/>
      <c r="AP36" s="23"/>
      <c r="AQ36" s="23"/>
      <c r="AR36" s="23"/>
    </row>
    <row r="37">
      <c r="A37" s="44">
        <v>34.0</v>
      </c>
      <c r="B37" s="55" t="s">
        <v>903</v>
      </c>
      <c r="C37" s="26" t="s">
        <v>238</v>
      </c>
      <c r="D37" s="26" t="s">
        <v>239</v>
      </c>
      <c r="E37" s="13">
        <f t="shared" si="2"/>
        <v>13</v>
      </c>
      <c r="F37" s="47">
        <f t="shared" si="3"/>
        <v>11</v>
      </c>
      <c r="G37" s="47">
        <f t="shared" si="4"/>
        <v>24</v>
      </c>
      <c r="H37" s="48">
        <f t="shared" si="5"/>
        <v>0.5416666667</v>
      </c>
      <c r="I37" s="24" t="s">
        <v>32</v>
      </c>
      <c r="J37" s="23" t="s">
        <v>32</v>
      </c>
      <c r="K37" s="23" t="s">
        <v>32</v>
      </c>
      <c r="L37" s="49" t="s">
        <v>32</v>
      </c>
      <c r="M37" s="30"/>
      <c r="N37" s="23"/>
      <c r="O37" s="23" t="s">
        <v>32</v>
      </c>
      <c r="P37" s="23" t="s">
        <v>32</v>
      </c>
      <c r="Q37" s="23" t="s">
        <v>32</v>
      </c>
      <c r="R37" s="24" t="s">
        <v>140</v>
      </c>
      <c r="S37" s="24" t="s">
        <v>140</v>
      </c>
      <c r="T37" s="30"/>
      <c r="U37" s="24" t="s">
        <v>140</v>
      </c>
      <c r="V37" s="24" t="s">
        <v>196</v>
      </c>
      <c r="W37" s="24" t="s">
        <v>196</v>
      </c>
      <c r="X37" s="24" t="s">
        <v>140</v>
      </c>
      <c r="Y37" s="24" t="s">
        <v>140</v>
      </c>
      <c r="Z37" s="24" t="s">
        <v>32</v>
      </c>
      <c r="AA37" s="30"/>
      <c r="AB37" s="51" t="s">
        <v>140</v>
      </c>
      <c r="AC37" s="51" t="s">
        <v>140</v>
      </c>
      <c r="AD37" s="51" t="s">
        <v>140</v>
      </c>
      <c r="AE37" s="29" t="s">
        <v>32</v>
      </c>
      <c r="AF37" s="51" t="s">
        <v>140</v>
      </c>
      <c r="AG37" s="51" t="s">
        <v>140</v>
      </c>
      <c r="AH37" s="30"/>
      <c r="AI37" s="29" t="s">
        <v>32</v>
      </c>
      <c r="AJ37" s="51" t="s">
        <v>140</v>
      </c>
      <c r="AK37" s="29" t="s">
        <v>32</v>
      </c>
      <c r="AL37" s="23"/>
      <c r="AM37" s="23"/>
      <c r="AN37" s="23"/>
      <c r="AO37" s="30"/>
      <c r="AP37" s="23"/>
      <c r="AQ37" s="23"/>
      <c r="AR37" s="23"/>
    </row>
    <row r="38">
      <c r="A38" s="44">
        <v>35.0</v>
      </c>
      <c r="B38" s="55" t="s">
        <v>914</v>
      </c>
      <c r="C38" s="26" t="s">
        <v>244</v>
      </c>
      <c r="D38" s="26" t="s">
        <v>245</v>
      </c>
      <c r="E38" s="13">
        <f t="shared" si="2"/>
        <v>2</v>
      </c>
      <c r="F38" s="47">
        <f t="shared" si="3"/>
        <v>22</v>
      </c>
      <c r="G38" s="47">
        <f t="shared" si="4"/>
        <v>24</v>
      </c>
      <c r="H38" s="48">
        <f t="shared" si="5"/>
        <v>0.08333333333</v>
      </c>
      <c r="I38" s="24" t="s">
        <v>32</v>
      </c>
      <c r="J38" s="23" t="s">
        <v>140</v>
      </c>
      <c r="K38" s="23" t="s">
        <v>32</v>
      </c>
      <c r="L38" s="49" t="s">
        <v>32</v>
      </c>
      <c r="M38" s="30"/>
      <c r="N38" s="23"/>
      <c r="O38" s="23" t="s">
        <v>32</v>
      </c>
      <c r="P38" s="23" t="s">
        <v>32</v>
      </c>
      <c r="Q38" s="23" t="s">
        <v>32</v>
      </c>
      <c r="R38" s="24" t="s">
        <v>32</v>
      </c>
      <c r="S38" s="24" t="s">
        <v>32</v>
      </c>
      <c r="T38" s="30"/>
      <c r="U38" s="24" t="s">
        <v>32</v>
      </c>
      <c r="V38" s="24" t="s">
        <v>32</v>
      </c>
      <c r="W38" s="24" t="s">
        <v>32</v>
      </c>
      <c r="X38" s="24" t="s">
        <v>32</v>
      </c>
      <c r="Y38" s="24" t="s">
        <v>32</v>
      </c>
      <c r="Z38" s="24" t="s">
        <v>32</v>
      </c>
      <c r="AA38" s="30"/>
      <c r="AB38" s="51" t="s">
        <v>140</v>
      </c>
      <c r="AC38" s="29" t="s">
        <v>32</v>
      </c>
      <c r="AD38" s="29" t="s">
        <v>32</v>
      </c>
      <c r="AE38" s="29" t="s">
        <v>32</v>
      </c>
      <c r="AF38" s="29" t="s">
        <v>32</v>
      </c>
      <c r="AG38" s="29" t="s">
        <v>32</v>
      </c>
      <c r="AH38" s="30"/>
      <c r="AI38" s="29" t="s">
        <v>32</v>
      </c>
      <c r="AJ38" s="29" t="s">
        <v>32</v>
      </c>
      <c r="AK38" s="29" t="s">
        <v>32</v>
      </c>
      <c r="AL38" s="23"/>
      <c r="AM38" s="23"/>
      <c r="AN38" s="23"/>
      <c r="AO38" s="30"/>
      <c r="AP38" s="23"/>
      <c r="AQ38" s="23"/>
      <c r="AR38" s="23"/>
    </row>
    <row r="39">
      <c r="A39" s="44">
        <v>36.0</v>
      </c>
      <c r="B39" s="72" t="s">
        <v>925</v>
      </c>
      <c r="C39" s="26" t="s">
        <v>926</v>
      </c>
      <c r="D39" s="26" t="s">
        <v>250</v>
      </c>
      <c r="E39" s="13">
        <f t="shared" si="2"/>
        <v>2</v>
      </c>
      <c r="F39" s="47">
        <f t="shared" si="3"/>
        <v>22</v>
      </c>
      <c r="G39" s="47">
        <f t="shared" si="4"/>
        <v>24</v>
      </c>
      <c r="H39" s="48">
        <f t="shared" si="5"/>
        <v>0.08333333333</v>
      </c>
      <c r="I39" s="24" t="s">
        <v>32</v>
      </c>
      <c r="J39" s="23" t="s">
        <v>32</v>
      </c>
      <c r="K39" s="23" t="s">
        <v>140</v>
      </c>
      <c r="L39" s="49" t="s">
        <v>32</v>
      </c>
      <c r="M39" s="30"/>
      <c r="N39" s="23"/>
      <c r="O39" s="23" t="s">
        <v>32</v>
      </c>
      <c r="P39" s="23" t="s">
        <v>32</v>
      </c>
      <c r="Q39" s="23" t="s">
        <v>32</v>
      </c>
      <c r="R39" s="24" t="s">
        <v>32</v>
      </c>
      <c r="S39" s="24" t="s">
        <v>32</v>
      </c>
      <c r="T39" s="30"/>
      <c r="U39" s="24" t="s">
        <v>140</v>
      </c>
      <c r="V39" s="24" t="s">
        <v>32</v>
      </c>
      <c r="W39" s="24" t="s">
        <v>32</v>
      </c>
      <c r="X39" s="24" t="s">
        <v>32</v>
      </c>
      <c r="Y39" s="24" t="s">
        <v>32</v>
      </c>
      <c r="Z39" s="24" t="s">
        <v>32</v>
      </c>
      <c r="AA39" s="30"/>
      <c r="AB39" s="29" t="s">
        <v>32</v>
      </c>
      <c r="AC39" s="29" t="s">
        <v>32</v>
      </c>
      <c r="AD39" s="29" t="s">
        <v>32</v>
      </c>
      <c r="AE39" s="29" t="s">
        <v>32</v>
      </c>
      <c r="AF39" s="29" t="s">
        <v>32</v>
      </c>
      <c r="AG39" s="29" t="s">
        <v>32</v>
      </c>
      <c r="AH39" s="30"/>
      <c r="AI39" s="29" t="s">
        <v>32</v>
      </c>
      <c r="AJ39" s="29" t="s">
        <v>32</v>
      </c>
      <c r="AK39" s="29" t="s">
        <v>32</v>
      </c>
      <c r="AL39" s="23"/>
      <c r="AM39" s="23"/>
      <c r="AN39" s="23"/>
      <c r="AO39" s="30"/>
      <c r="AP39" s="23"/>
      <c r="AQ39" s="23"/>
      <c r="AR39" s="23"/>
    </row>
    <row r="40">
      <c r="A40" s="44">
        <v>37.0</v>
      </c>
      <c r="B40" s="54" t="s">
        <v>938</v>
      </c>
      <c r="C40" s="26" t="s">
        <v>253</v>
      </c>
      <c r="D40" s="26" t="s">
        <v>254</v>
      </c>
      <c r="E40" s="13">
        <f t="shared" si="2"/>
        <v>5</v>
      </c>
      <c r="F40" s="47">
        <f t="shared" si="3"/>
        <v>19</v>
      </c>
      <c r="G40" s="47">
        <f t="shared" si="4"/>
        <v>24</v>
      </c>
      <c r="H40" s="48">
        <f t="shared" si="5"/>
        <v>0.2083333333</v>
      </c>
      <c r="I40" s="24" t="s">
        <v>140</v>
      </c>
      <c r="J40" s="23" t="s">
        <v>140</v>
      </c>
      <c r="K40" s="23" t="s">
        <v>32</v>
      </c>
      <c r="L40" s="49" t="s">
        <v>32</v>
      </c>
      <c r="M40" s="30"/>
      <c r="N40" s="23"/>
      <c r="O40" s="24" t="s">
        <v>140</v>
      </c>
      <c r="P40" s="24" t="s">
        <v>140</v>
      </c>
      <c r="Q40" s="23" t="s">
        <v>32</v>
      </c>
      <c r="R40" s="24" t="s">
        <v>32</v>
      </c>
      <c r="S40" s="24" t="s">
        <v>32</v>
      </c>
      <c r="T40" s="30"/>
      <c r="U40" s="24" t="s">
        <v>32</v>
      </c>
      <c r="V40" s="24" t="s">
        <v>32</v>
      </c>
      <c r="W40" s="24" t="s">
        <v>32</v>
      </c>
      <c r="X40" s="24" t="s">
        <v>32</v>
      </c>
      <c r="Y40" s="24" t="s">
        <v>32</v>
      </c>
      <c r="Z40" s="24" t="s">
        <v>32</v>
      </c>
      <c r="AA40" s="30"/>
      <c r="AB40" s="51" t="s">
        <v>140</v>
      </c>
      <c r="AC40" s="29" t="s">
        <v>32</v>
      </c>
      <c r="AD40" s="29" t="s">
        <v>32</v>
      </c>
      <c r="AE40" s="29" t="s">
        <v>32</v>
      </c>
      <c r="AF40" s="29" t="s">
        <v>32</v>
      </c>
      <c r="AG40" s="29" t="s">
        <v>32</v>
      </c>
      <c r="AH40" s="30"/>
      <c r="AI40" s="29" t="s">
        <v>32</v>
      </c>
      <c r="AJ40" s="29" t="s">
        <v>32</v>
      </c>
      <c r="AK40" s="29" t="s">
        <v>32</v>
      </c>
      <c r="AL40" s="23"/>
      <c r="AM40" s="23"/>
      <c r="AN40" s="23"/>
      <c r="AO40" s="30"/>
      <c r="AP40" s="23"/>
      <c r="AQ40" s="23"/>
      <c r="AR40" s="23"/>
    </row>
    <row r="41">
      <c r="A41" s="44">
        <v>38.0</v>
      </c>
      <c r="B41" s="54" t="s">
        <v>948</v>
      </c>
      <c r="C41" s="26" t="s">
        <v>949</v>
      </c>
      <c r="D41" s="26" t="s">
        <v>259</v>
      </c>
      <c r="E41" s="13">
        <f t="shared" si="2"/>
        <v>1</v>
      </c>
      <c r="F41" s="47">
        <f t="shared" si="3"/>
        <v>23</v>
      </c>
      <c r="G41" s="47">
        <f t="shared" si="4"/>
        <v>24</v>
      </c>
      <c r="H41" s="48">
        <f t="shared" si="5"/>
        <v>0.04166666667</v>
      </c>
      <c r="I41" s="24" t="s">
        <v>32</v>
      </c>
      <c r="J41" s="23" t="s">
        <v>32</v>
      </c>
      <c r="K41" s="23" t="s">
        <v>32</v>
      </c>
      <c r="L41" s="49" t="s">
        <v>32</v>
      </c>
      <c r="M41" s="30"/>
      <c r="N41" s="23"/>
      <c r="O41" s="23" t="s">
        <v>32</v>
      </c>
      <c r="P41" s="23" t="s">
        <v>32</v>
      </c>
      <c r="Q41" s="23" t="s">
        <v>32</v>
      </c>
      <c r="R41" s="24" t="s">
        <v>32</v>
      </c>
      <c r="S41" s="24" t="s">
        <v>32</v>
      </c>
      <c r="T41" s="30"/>
      <c r="U41" s="24" t="s">
        <v>32</v>
      </c>
      <c r="V41" s="24" t="s">
        <v>32</v>
      </c>
      <c r="W41" s="24" t="s">
        <v>32</v>
      </c>
      <c r="X41" s="24" t="s">
        <v>32</v>
      </c>
      <c r="Y41" s="24" t="s">
        <v>32</v>
      </c>
      <c r="Z41" s="24" t="s">
        <v>32</v>
      </c>
      <c r="AA41" s="30"/>
      <c r="AB41" s="29" t="s">
        <v>32</v>
      </c>
      <c r="AC41" s="51" t="s">
        <v>140</v>
      </c>
      <c r="AD41" s="29" t="s">
        <v>32</v>
      </c>
      <c r="AE41" s="29" t="s">
        <v>32</v>
      </c>
      <c r="AF41" s="29" t="s">
        <v>32</v>
      </c>
      <c r="AG41" s="29" t="s">
        <v>32</v>
      </c>
      <c r="AH41" s="30"/>
      <c r="AI41" s="29" t="s">
        <v>32</v>
      </c>
      <c r="AJ41" s="29" t="s">
        <v>32</v>
      </c>
      <c r="AK41" s="29" t="s">
        <v>32</v>
      </c>
      <c r="AL41" s="23"/>
      <c r="AM41" s="23"/>
      <c r="AN41" s="23"/>
      <c r="AO41" s="30"/>
      <c r="AP41" s="23"/>
      <c r="AQ41" s="23"/>
      <c r="AR41" s="23"/>
    </row>
    <row r="42">
      <c r="A42" s="44">
        <v>39.0</v>
      </c>
      <c r="B42" s="45" t="s">
        <v>952</v>
      </c>
      <c r="C42" s="26" t="s">
        <v>263</v>
      </c>
      <c r="D42" s="26" t="s">
        <v>264</v>
      </c>
      <c r="E42" s="13">
        <f t="shared" si="2"/>
        <v>2</v>
      </c>
      <c r="F42" s="47">
        <f t="shared" si="3"/>
        <v>22</v>
      </c>
      <c r="G42" s="47">
        <f t="shared" si="4"/>
        <v>24</v>
      </c>
      <c r="H42" s="48">
        <f t="shared" si="5"/>
        <v>0.08333333333</v>
      </c>
      <c r="I42" s="24" t="s">
        <v>32</v>
      </c>
      <c r="J42" s="23" t="s">
        <v>32</v>
      </c>
      <c r="K42" s="23" t="s">
        <v>140</v>
      </c>
      <c r="L42" s="49" t="s">
        <v>140</v>
      </c>
      <c r="M42" s="30"/>
      <c r="N42" s="23"/>
      <c r="O42" s="23" t="s">
        <v>32</v>
      </c>
      <c r="P42" s="23" t="s">
        <v>32</v>
      </c>
      <c r="Q42" s="23" t="s">
        <v>32</v>
      </c>
      <c r="R42" s="24" t="s">
        <v>32</v>
      </c>
      <c r="S42" s="24" t="s">
        <v>32</v>
      </c>
      <c r="T42" s="30"/>
      <c r="U42" s="24" t="s">
        <v>32</v>
      </c>
      <c r="V42" s="24" t="s">
        <v>32</v>
      </c>
      <c r="W42" s="24" t="s">
        <v>32</v>
      </c>
      <c r="X42" s="24" t="s">
        <v>32</v>
      </c>
      <c r="Y42" s="24" t="s">
        <v>32</v>
      </c>
      <c r="Z42" s="24" t="s">
        <v>32</v>
      </c>
      <c r="AA42" s="30"/>
      <c r="AB42" s="29" t="s">
        <v>32</v>
      </c>
      <c r="AC42" s="29" t="s">
        <v>32</v>
      </c>
      <c r="AD42" s="29" t="s">
        <v>32</v>
      </c>
      <c r="AE42" s="29" t="s">
        <v>32</v>
      </c>
      <c r="AF42" s="29" t="s">
        <v>32</v>
      </c>
      <c r="AG42" s="29" t="s">
        <v>32</v>
      </c>
      <c r="AH42" s="30"/>
      <c r="AI42" s="29" t="s">
        <v>32</v>
      </c>
      <c r="AJ42" s="29" t="s">
        <v>32</v>
      </c>
      <c r="AK42" s="29" t="s">
        <v>32</v>
      </c>
      <c r="AL42" s="23"/>
      <c r="AM42" s="23"/>
      <c r="AN42" s="23"/>
      <c r="AO42" s="30"/>
      <c r="AP42" s="23"/>
      <c r="AQ42" s="23"/>
      <c r="AR42" s="23"/>
    </row>
    <row r="43">
      <c r="A43" s="44">
        <v>40.0</v>
      </c>
      <c r="B43" s="45" t="s">
        <v>954</v>
      </c>
      <c r="C43" s="26" t="s">
        <v>955</v>
      </c>
      <c r="D43" s="26" t="s">
        <v>269</v>
      </c>
      <c r="E43" s="13">
        <f t="shared" si="2"/>
        <v>7</v>
      </c>
      <c r="F43" s="47">
        <f t="shared" si="3"/>
        <v>17</v>
      </c>
      <c r="G43" s="47">
        <f t="shared" si="4"/>
        <v>24</v>
      </c>
      <c r="H43" s="48">
        <f t="shared" si="5"/>
        <v>0.2916666667</v>
      </c>
      <c r="I43" s="24" t="s">
        <v>32</v>
      </c>
      <c r="J43" s="23" t="s">
        <v>140</v>
      </c>
      <c r="K43" s="23" t="s">
        <v>140</v>
      </c>
      <c r="L43" s="49" t="s">
        <v>140</v>
      </c>
      <c r="M43" s="30"/>
      <c r="N43" s="23"/>
      <c r="O43" s="23" t="s">
        <v>32</v>
      </c>
      <c r="P43" s="23" t="s">
        <v>32</v>
      </c>
      <c r="Q43" s="23" t="s">
        <v>32</v>
      </c>
      <c r="R43" s="24" t="s">
        <v>32</v>
      </c>
      <c r="S43" s="24" t="s">
        <v>32</v>
      </c>
      <c r="T43" s="30"/>
      <c r="U43" s="24" t="s">
        <v>32</v>
      </c>
      <c r="V43" s="24" t="s">
        <v>32</v>
      </c>
      <c r="W43" s="24" t="s">
        <v>32</v>
      </c>
      <c r="X43" s="24" t="s">
        <v>32</v>
      </c>
      <c r="Y43" s="24" t="s">
        <v>140</v>
      </c>
      <c r="Z43" s="24" t="s">
        <v>32</v>
      </c>
      <c r="AA43" s="30"/>
      <c r="AB43" s="51" t="s">
        <v>140</v>
      </c>
      <c r="AC43" s="29" t="s">
        <v>32</v>
      </c>
      <c r="AD43" s="29" t="s">
        <v>32</v>
      </c>
      <c r="AE43" s="29" t="s">
        <v>32</v>
      </c>
      <c r="AF43" s="51" t="s">
        <v>140</v>
      </c>
      <c r="AG43" s="51" t="s">
        <v>140</v>
      </c>
      <c r="AH43" s="30"/>
      <c r="AI43" s="29" t="s">
        <v>32</v>
      </c>
      <c r="AJ43" s="29" t="s">
        <v>32</v>
      </c>
      <c r="AK43" s="29" t="s">
        <v>32</v>
      </c>
      <c r="AL43" s="23"/>
      <c r="AM43" s="23"/>
      <c r="AN43" s="23"/>
      <c r="AO43" s="30"/>
      <c r="AP43" s="23"/>
      <c r="AQ43" s="23"/>
      <c r="AR43" s="23"/>
    </row>
    <row r="44">
      <c r="A44" s="44">
        <v>41.0</v>
      </c>
      <c r="B44" s="54" t="s">
        <v>959</v>
      </c>
      <c r="C44" s="26" t="s">
        <v>272</v>
      </c>
      <c r="D44" s="26" t="s">
        <v>273</v>
      </c>
      <c r="E44" s="13">
        <f t="shared" si="2"/>
        <v>20</v>
      </c>
      <c r="F44" s="47">
        <f t="shared" si="3"/>
        <v>4</v>
      </c>
      <c r="G44" s="47">
        <f t="shared" si="4"/>
        <v>24</v>
      </c>
      <c r="H44" s="48">
        <f t="shared" si="5"/>
        <v>0.8333333333</v>
      </c>
      <c r="I44" s="24" t="s">
        <v>140</v>
      </c>
      <c r="J44" s="23" t="s">
        <v>140</v>
      </c>
      <c r="K44" s="23" t="s">
        <v>140</v>
      </c>
      <c r="L44" s="49" t="s">
        <v>140</v>
      </c>
      <c r="M44" s="30"/>
      <c r="N44" s="24"/>
      <c r="O44" s="23" t="s">
        <v>140</v>
      </c>
      <c r="P44" s="23" t="s">
        <v>140</v>
      </c>
      <c r="Q44" s="23" t="s">
        <v>140</v>
      </c>
      <c r="R44" s="24" t="s">
        <v>140</v>
      </c>
      <c r="S44" s="24" t="s">
        <v>32</v>
      </c>
      <c r="T44" s="30"/>
      <c r="U44" s="24" t="s">
        <v>140</v>
      </c>
      <c r="V44" s="24" t="s">
        <v>196</v>
      </c>
      <c r="W44" s="24" t="s">
        <v>32</v>
      </c>
      <c r="X44" s="24" t="s">
        <v>140</v>
      </c>
      <c r="Y44" s="24" t="s">
        <v>140</v>
      </c>
      <c r="Z44" s="24" t="s">
        <v>140</v>
      </c>
      <c r="AA44" s="30"/>
      <c r="AB44" s="29" t="s">
        <v>32</v>
      </c>
      <c r="AC44" s="51" t="s">
        <v>140</v>
      </c>
      <c r="AD44" s="51" t="s">
        <v>140</v>
      </c>
      <c r="AE44" s="51" t="s">
        <v>140</v>
      </c>
      <c r="AF44" s="51" t="s">
        <v>140</v>
      </c>
      <c r="AG44" s="29" t="s">
        <v>32</v>
      </c>
      <c r="AH44" s="30"/>
      <c r="AI44" s="51" t="s">
        <v>140</v>
      </c>
      <c r="AJ44" s="51" t="s">
        <v>140</v>
      </c>
      <c r="AK44" s="51" t="s">
        <v>140</v>
      </c>
      <c r="AL44" s="23"/>
      <c r="AM44" s="23"/>
      <c r="AN44" s="23"/>
      <c r="AO44" s="30"/>
      <c r="AP44" s="23"/>
      <c r="AQ44" s="23"/>
      <c r="AR44" s="23"/>
    </row>
    <row r="45">
      <c r="A45" s="44">
        <v>42.0</v>
      </c>
      <c r="B45" s="45" t="s">
        <v>963</v>
      </c>
      <c r="C45" s="26" t="s">
        <v>277</v>
      </c>
      <c r="D45" s="26" t="s">
        <v>278</v>
      </c>
      <c r="E45" s="13">
        <f t="shared" si="2"/>
        <v>2</v>
      </c>
      <c r="F45" s="47">
        <f t="shared" si="3"/>
        <v>22</v>
      </c>
      <c r="G45" s="47">
        <f t="shared" si="4"/>
        <v>24</v>
      </c>
      <c r="H45" s="48">
        <f t="shared" si="5"/>
        <v>0.08333333333</v>
      </c>
      <c r="I45" s="24" t="s">
        <v>32</v>
      </c>
      <c r="J45" s="23" t="s">
        <v>32</v>
      </c>
      <c r="K45" s="23" t="s">
        <v>32</v>
      </c>
      <c r="L45" s="49" t="s">
        <v>32</v>
      </c>
      <c r="M45" s="30"/>
      <c r="N45" s="23"/>
      <c r="O45" s="23" t="s">
        <v>32</v>
      </c>
      <c r="P45" s="23" t="s">
        <v>32</v>
      </c>
      <c r="Q45" s="23" t="s">
        <v>32</v>
      </c>
      <c r="R45" s="24" t="s">
        <v>32</v>
      </c>
      <c r="S45" s="24" t="s">
        <v>32</v>
      </c>
      <c r="T45" s="30"/>
      <c r="U45" s="24" t="s">
        <v>32</v>
      </c>
      <c r="V45" s="24" t="s">
        <v>32</v>
      </c>
      <c r="W45" s="24" t="s">
        <v>32</v>
      </c>
      <c r="X45" s="24" t="s">
        <v>32</v>
      </c>
      <c r="Y45" s="24" t="s">
        <v>32</v>
      </c>
      <c r="Z45" s="24" t="s">
        <v>32</v>
      </c>
      <c r="AA45" s="30"/>
      <c r="AB45" s="29" t="s">
        <v>32</v>
      </c>
      <c r="AC45" s="29" t="s">
        <v>32</v>
      </c>
      <c r="AD45" s="51" t="s">
        <v>140</v>
      </c>
      <c r="AE45" s="29" t="s">
        <v>32</v>
      </c>
      <c r="AF45" s="51" t="s">
        <v>140</v>
      </c>
      <c r="AG45" s="29" t="s">
        <v>32</v>
      </c>
      <c r="AH45" s="30"/>
      <c r="AI45" s="29" t="s">
        <v>32</v>
      </c>
      <c r="AJ45" s="29" t="s">
        <v>32</v>
      </c>
      <c r="AK45" s="29" t="s">
        <v>32</v>
      </c>
      <c r="AL45" s="23"/>
      <c r="AM45" s="23"/>
      <c r="AN45" s="23"/>
      <c r="AO45" s="30"/>
      <c r="AP45" s="23"/>
      <c r="AQ45" s="23"/>
      <c r="AR45" s="23"/>
    </row>
    <row r="46">
      <c r="A46" s="44">
        <v>43.0</v>
      </c>
      <c r="B46" s="45" t="s">
        <v>965</v>
      </c>
      <c r="C46" s="26" t="s">
        <v>283</v>
      </c>
      <c r="D46" s="26" t="s">
        <v>284</v>
      </c>
      <c r="E46" s="13">
        <f t="shared" si="2"/>
        <v>16</v>
      </c>
      <c r="F46" s="47">
        <f t="shared" si="3"/>
        <v>8</v>
      </c>
      <c r="G46" s="47">
        <f t="shared" si="4"/>
        <v>24</v>
      </c>
      <c r="H46" s="48">
        <f t="shared" si="5"/>
        <v>0.6666666667</v>
      </c>
      <c r="I46" s="24" t="s">
        <v>140</v>
      </c>
      <c r="J46" s="23" t="s">
        <v>140</v>
      </c>
      <c r="K46" s="23" t="s">
        <v>140</v>
      </c>
      <c r="L46" s="49" t="s">
        <v>32</v>
      </c>
      <c r="M46" s="30"/>
      <c r="N46" s="23"/>
      <c r="O46" s="23" t="s">
        <v>32</v>
      </c>
      <c r="P46" s="24" t="s">
        <v>140</v>
      </c>
      <c r="Q46" s="23" t="s">
        <v>32</v>
      </c>
      <c r="R46" s="24" t="s">
        <v>140</v>
      </c>
      <c r="S46" s="24" t="s">
        <v>140</v>
      </c>
      <c r="T46" s="30"/>
      <c r="U46" s="24" t="s">
        <v>140</v>
      </c>
      <c r="V46" s="24" t="s">
        <v>196</v>
      </c>
      <c r="W46" s="24" t="s">
        <v>196</v>
      </c>
      <c r="X46" s="24" t="s">
        <v>32</v>
      </c>
      <c r="Y46" s="24" t="s">
        <v>140</v>
      </c>
      <c r="Z46" s="24" t="s">
        <v>140</v>
      </c>
      <c r="AA46" s="30"/>
      <c r="AB46" s="51" t="s">
        <v>140</v>
      </c>
      <c r="AC46" s="29" t="s">
        <v>32</v>
      </c>
      <c r="AD46" s="51" t="s">
        <v>140</v>
      </c>
      <c r="AE46" s="51" t="s">
        <v>140</v>
      </c>
      <c r="AF46" s="51" t="s">
        <v>140</v>
      </c>
      <c r="AG46" s="29" t="s">
        <v>32</v>
      </c>
      <c r="AH46" s="30"/>
      <c r="AI46" s="29" t="s">
        <v>32</v>
      </c>
      <c r="AJ46" s="29" t="s">
        <v>32</v>
      </c>
      <c r="AK46" s="51" t="s">
        <v>140</v>
      </c>
      <c r="AL46" s="23"/>
      <c r="AM46" s="23"/>
      <c r="AN46" s="23"/>
      <c r="AO46" s="30"/>
      <c r="AP46" s="23"/>
      <c r="AQ46" s="23"/>
      <c r="AR46" s="23"/>
    </row>
    <row r="47">
      <c r="A47" s="44">
        <v>44.0</v>
      </c>
      <c r="B47" s="55" t="s">
        <v>967</v>
      </c>
      <c r="C47" s="26" t="s">
        <v>287</v>
      </c>
      <c r="D47" s="26" t="s">
        <v>289</v>
      </c>
      <c r="E47" s="13">
        <f t="shared" si="2"/>
        <v>20</v>
      </c>
      <c r="F47" s="47">
        <f t="shared" si="3"/>
        <v>4</v>
      </c>
      <c r="G47" s="47">
        <f t="shared" si="4"/>
        <v>24</v>
      </c>
      <c r="H47" s="48">
        <f t="shared" si="5"/>
        <v>0.8333333333</v>
      </c>
      <c r="I47" s="24" t="s">
        <v>140</v>
      </c>
      <c r="J47" s="23" t="s">
        <v>140</v>
      </c>
      <c r="K47" s="23" t="s">
        <v>140</v>
      </c>
      <c r="L47" s="49" t="s">
        <v>140</v>
      </c>
      <c r="M47" s="30"/>
      <c r="N47" s="23"/>
      <c r="O47" s="23" t="s">
        <v>140</v>
      </c>
      <c r="P47" s="23" t="s">
        <v>32</v>
      </c>
      <c r="Q47" s="23" t="s">
        <v>140</v>
      </c>
      <c r="R47" s="24" t="s">
        <v>32</v>
      </c>
      <c r="S47" s="24" t="s">
        <v>32</v>
      </c>
      <c r="T47" s="30"/>
      <c r="U47" s="24" t="s">
        <v>32</v>
      </c>
      <c r="V47" s="24" t="s">
        <v>196</v>
      </c>
      <c r="W47" s="24" t="s">
        <v>196</v>
      </c>
      <c r="X47" s="24" t="s">
        <v>140</v>
      </c>
      <c r="Y47" s="24" t="s">
        <v>140</v>
      </c>
      <c r="Z47" s="24" t="s">
        <v>140</v>
      </c>
      <c r="AA47" s="30"/>
      <c r="AB47" s="51" t="s">
        <v>140</v>
      </c>
      <c r="AC47" s="51" t="s">
        <v>140</v>
      </c>
      <c r="AD47" s="51" t="s">
        <v>140</v>
      </c>
      <c r="AE47" s="51" t="s">
        <v>140</v>
      </c>
      <c r="AF47" s="51" t="s">
        <v>140</v>
      </c>
      <c r="AG47" s="51" t="s">
        <v>140</v>
      </c>
      <c r="AH47" s="30"/>
      <c r="AI47" s="51" t="s">
        <v>140</v>
      </c>
      <c r="AJ47" s="51" t="s">
        <v>140</v>
      </c>
      <c r="AK47" s="51" t="s">
        <v>140</v>
      </c>
      <c r="AL47" s="23"/>
      <c r="AM47" s="23"/>
      <c r="AN47" s="23"/>
      <c r="AO47" s="30"/>
      <c r="AP47" s="23"/>
      <c r="AQ47" s="23"/>
      <c r="AR47" s="23"/>
    </row>
    <row r="48">
      <c r="A48" s="44">
        <v>45.0</v>
      </c>
      <c r="B48" s="54" t="s">
        <v>969</v>
      </c>
      <c r="C48" s="26" t="s">
        <v>970</v>
      </c>
      <c r="D48" s="26" t="s">
        <v>293</v>
      </c>
      <c r="E48" s="13">
        <f t="shared" si="2"/>
        <v>15</v>
      </c>
      <c r="F48" s="47">
        <f t="shared" si="3"/>
        <v>9</v>
      </c>
      <c r="G48" s="47">
        <f t="shared" si="4"/>
        <v>24</v>
      </c>
      <c r="H48" s="48">
        <f t="shared" si="5"/>
        <v>0.625</v>
      </c>
      <c r="I48" s="24" t="s">
        <v>32</v>
      </c>
      <c r="J48" s="23" t="s">
        <v>140</v>
      </c>
      <c r="K48" s="23" t="s">
        <v>32</v>
      </c>
      <c r="L48" s="49" t="s">
        <v>32</v>
      </c>
      <c r="M48" s="30"/>
      <c r="N48" s="23"/>
      <c r="O48" s="23" t="s">
        <v>140</v>
      </c>
      <c r="P48" s="23" t="s">
        <v>32</v>
      </c>
      <c r="Q48" s="23" t="s">
        <v>140</v>
      </c>
      <c r="R48" s="24" t="s">
        <v>140</v>
      </c>
      <c r="S48" s="24" t="s">
        <v>32</v>
      </c>
      <c r="T48" s="30"/>
      <c r="U48" s="24" t="s">
        <v>140</v>
      </c>
      <c r="V48" s="24" t="s">
        <v>196</v>
      </c>
      <c r="W48" s="24" t="s">
        <v>196</v>
      </c>
      <c r="X48" s="24" t="s">
        <v>140</v>
      </c>
      <c r="Y48" s="24" t="s">
        <v>140</v>
      </c>
      <c r="Z48" s="24" t="s">
        <v>140</v>
      </c>
      <c r="AA48" s="30"/>
      <c r="AB48" s="51" t="s">
        <v>140</v>
      </c>
      <c r="AC48" s="51" t="s">
        <v>140</v>
      </c>
      <c r="AD48" s="29" t="s">
        <v>32</v>
      </c>
      <c r="AE48" s="51" t="s">
        <v>140</v>
      </c>
      <c r="AF48" s="51" t="s">
        <v>140</v>
      </c>
      <c r="AG48" s="29" t="s">
        <v>32</v>
      </c>
      <c r="AH48" s="30"/>
      <c r="AI48" s="29" t="s">
        <v>32</v>
      </c>
      <c r="AJ48" s="29" t="s">
        <v>32</v>
      </c>
      <c r="AK48" s="51" t="s">
        <v>140</v>
      </c>
      <c r="AL48" s="23"/>
      <c r="AM48" s="23"/>
      <c r="AN48" s="23"/>
      <c r="AO48" s="30"/>
      <c r="AP48" s="23"/>
      <c r="AQ48" s="23"/>
      <c r="AR48" s="23"/>
    </row>
    <row r="49">
      <c r="A49" s="44">
        <v>46.0</v>
      </c>
      <c r="B49" s="45" t="s">
        <v>972</v>
      </c>
      <c r="C49" s="26" t="s">
        <v>297</v>
      </c>
      <c r="D49" s="26" t="s">
        <v>299</v>
      </c>
      <c r="E49" s="13">
        <f t="shared" si="2"/>
        <v>3</v>
      </c>
      <c r="F49" s="47">
        <f t="shared" si="3"/>
        <v>21</v>
      </c>
      <c r="G49" s="47">
        <f t="shared" si="4"/>
        <v>24</v>
      </c>
      <c r="H49" s="48">
        <f t="shared" si="5"/>
        <v>0.125</v>
      </c>
      <c r="I49" s="24" t="s">
        <v>140</v>
      </c>
      <c r="J49" s="23" t="s">
        <v>140</v>
      </c>
      <c r="K49" s="23" t="s">
        <v>140</v>
      </c>
      <c r="L49" s="49" t="s">
        <v>32</v>
      </c>
      <c r="M49" s="30"/>
      <c r="N49" s="23"/>
      <c r="O49" s="23" t="s">
        <v>32</v>
      </c>
      <c r="P49" s="23" t="s">
        <v>32</v>
      </c>
      <c r="Q49" s="23" t="s">
        <v>32</v>
      </c>
      <c r="R49" s="24" t="s">
        <v>32</v>
      </c>
      <c r="S49" s="24" t="s">
        <v>32</v>
      </c>
      <c r="T49" s="30"/>
      <c r="U49" s="24" t="s">
        <v>32</v>
      </c>
      <c r="V49" s="24" t="s">
        <v>32</v>
      </c>
      <c r="W49" s="24" t="s">
        <v>32</v>
      </c>
      <c r="X49" s="24" t="s">
        <v>32</v>
      </c>
      <c r="Y49" s="24" t="s">
        <v>32</v>
      </c>
      <c r="Z49" s="24" t="s">
        <v>32</v>
      </c>
      <c r="AA49" s="30"/>
      <c r="AB49" s="29" t="s">
        <v>32</v>
      </c>
      <c r="AC49" s="29" t="s">
        <v>32</v>
      </c>
      <c r="AD49" s="29" t="s">
        <v>32</v>
      </c>
      <c r="AE49" s="29" t="s">
        <v>32</v>
      </c>
      <c r="AF49" s="29" t="s">
        <v>32</v>
      </c>
      <c r="AG49" s="29" t="s">
        <v>32</v>
      </c>
      <c r="AH49" s="30"/>
      <c r="AI49" s="29" t="s">
        <v>32</v>
      </c>
      <c r="AJ49" s="29" t="s">
        <v>32</v>
      </c>
      <c r="AK49" s="29" t="s">
        <v>32</v>
      </c>
      <c r="AL49" s="23"/>
      <c r="AM49" s="23"/>
      <c r="AN49" s="23"/>
      <c r="AO49" s="30"/>
      <c r="AP49" s="23"/>
      <c r="AQ49" s="23"/>
      <c r="AR49" s="23"/>
    </row>
    <row r="50">
      <c r="A50" s="44">
        <v>47.0</v>
      </c>
      <c r="B50" s="45" t="s">
        <v>973</v>
      </c>
      <c r="C50" s="26" t="s">
        <v>303</v>
      </c>
      <c r="D50" s="26" t="s">
        <v>305</v>
      </c>
      <c r="E50" s="13">
        <f t="shared" si="2"/>
        <v>10</v>
      </c>
      <c r="F50" s="47">
        <f t="shared" si="3"/>
        <v>14</v>
      </c>
      <c r="G50" s="47">
        <f t="shared" si="4"/>
        <v>24</v>
      </c>
      <c r="H50" s="48">
        <f t="shared" si="5"/>
        <v>0.4166666667</v>
      </c>
      <c r="I50" s="24" t="s">
        <v>32</v>
      </c>
      <c r="J50" s="23" t="s">
        <v>32</v>
      </c>
      <c r="K50" s="23" t="s">
        <v>32</v>
      </c>
      <c r="L50" s="49" t="s">
        <v>32</v>
      </c>
      <c r="M50" s="30"/>
      <c r="N50" s="23"/>
      <c r="O50" s="23" t="s">
        <v>32</v>
      </c>
      <c r="P50" s="23" t="s">
        <v>32</v>
      </c>
      <c r="Q50" s="23" t="s">
        <v>32</v>
      </c>
      <c r="R50" s="24" t="s">
        <v>32</v>
      </c>
      <c r="S50" s="24" t="s">
        <v>32</v>
      </c>
      <c r="T50" s="30"/>
      <c r="U50" s="24" t="s">
        <v>140</v>
      </c>
      <c r="V50" s="24" t="s">
        <v>196</v>
      </c>
      <c r="W50" s="24" t="s">
        <v>32</v>
      </c>
      <c r="X50" s="24" t="s">
        <v>32</v>
      </c>
      <c r="Y50" s="24" t="s">
        <v>32</v>
      </c>
      <c r="Z50" s="24" t="s">
        <v>140</v>
      </c>
      <c r="AA50" s="30"/>
      <c r="AB50" s="51" t="s">
        <v>140</v>
      </c>
      <c r="AC50" s="51" t="s">
        <v>140</v>
      </c>
      <c r="AD50" s="29" t="s">
        <v>32</v>
      </c>
      <c r="AE50" s="51" t="s">
        <v>140</v>
      </c>
      <c r="AF50" s="51" t="s">
        <v>140</v>
      </c>
      <c r="AG50" s="51" t="s">
        <v>140</v>
      </c>
      <c r="AH50" s="30"/>
      <c r="AI50" s="51" t="s">
        <v>140</v>
      </c>
      <c r="AJ50" s="29" t="s">
        <v>32</v>
      </c>
      <c r="AK50" s="51" t="s">
        <v>140</v>
      </c>
      <c r="AL50" s="23"/>
      <c r="AM50" s="23"/>
      <c r="AN50" s="23"/>
      <c r="AO50" s="30"/>
      <c r="AP50" s="23"/>
      <c r="AQ50" s="23"/>
      <c r="AR50" s="23"/>
    </row>
    <row r="51">
      <c r="A51" s="44">
        <v>48.0</v>
      </c>
      <c r="B51" s="55" t="s">
        <v>978</v>
      </c>
      <c r="C51" s="26" t="s">
        <v>308</v>
      </c>
      <c r="D51" s="26" t="s">
        <v>310</v>
      </c>
      <c r="E51" s="13">
        <f t="shared" si="2"/>
        <v>20</v>
      </c>
      <c r="F51" s="47">
        <f t="shared" si="3"/>
        <v>4</v>
      </c>
      <c r="G51" s="47">
        <f t="shared" si="4"/>
        <v>24</v>
      </c>
      <c r="H51" s="48">
        <f t="shared" si="5"/>
        <v>0.8333333333</v>
      </c>
      <c r="I51" s="24" t="s">
        <v>140</v>
      </c>
      <c r="J51" s="23" t="s">
        <v>140</v>
      </c>
      <c r="K51" s="23" t="s">
        <v>140</v>
      </c>
      <c r="L51" s="49" t="s">
        <v>140</v>
      </c>
      <c r="M51" s="30"/>
      <c r="N51" s="23"/>
      <c r="O51" s="23" t="s">
        <v>32</v>
      </c>
      <c r="P51" s="23" t="s">
        <v>140</v>
      </c>
      <c r="Q51" s="23" t="s">
        <v>140</v>
      </c>
      <c r="R51" s="24" t="s">
        <v>32</v>
      </c>
      <c r="S51" s="24" t="s">
        <v>32</v>
      </c>
      <c r="T51" s="30"/>
      <c r="U51" s="24" t="s">
        <v>32</v>
      </c>
      <c r="V51" s="24" t="s">
        <v>196</v>
      </c>
      <c r="W51" s="24" t="s">
        <v>196</v>
      </c>
      <c r="X51" s="24" t="s">
        <v>140</v>
      </c>
      <c r="Y51" s="24" t="s">
        <v>140</v>
      </c>
      <c r="Z51" s="24" t="s">
        <v>140</v>
      </c>
      <c r="AA51" s="30"/>
      <c r="AB51" s="51" t="s">
        <v>140</v>
      </c>
      <c r="AC51" s="51" t="s">
        <v>140</v>
      </c>
      <c r="AD51" s="51" t="s">
        <v>140</v>
      </c>
      <c r="AE51" s="51" t="s">
        <v>140</v>
      </c>
      <c r="AF51" s="51" t="s">
        <v>140</v>
      </c>
      <c r="AG51" s="51" t="s">
        <v>140</v>
      </c>
      <c r="AH51" s="30"/>
      <c r="AI51" s="51" t="s">
        <v>140</v>
      </c>
      <c r="AJ51" s="51" t="s">
        <v>140</v>
      </c>
      <c r="AK51" s="51" t="s">
        <v>140</v>
      </c>
      <c r="AL51" s="23"/>
      <c r="AM51" s="23"/>
      <c r="AN51" s="23"/>
      <c r="AO51" s="30"/>
      <c r="AP51" s="23"/>
      <c r="AQ51" s="23"/>
      <c r="AR51" s="23"/>
    </row>
    <row r="52">
      <c r="A52" s="44">
        <v>49.0</v>
      </c>
      <c r="B52" s="45" t="s">
        <v>980</v>
      </c>
      <c r="C52" s="26" t="s">
        <v>314</v>
      </c>
      <c r="D52" s="26" t="s">
        <v>315</v>
      </c>
      <c r="E52" s="13">
        <f t="shared" si="2"/>
        <v>13</v>
      </c>
      <c r="F52" s="47">
        <f t="shared" si="3"/>
        <v>11</v>
      </c>
      <c r="G52" s="47">
        <f t="shared" si="4"/>
        <v>24</v>
      </c>
      <c r="H52" s="48">
        <f t="shared" si="5"/>
        <v>0.5416666667</v>
      </c>
      <c r="I52" s="24" t="s">
        <v>32</v>
      </c>
      <c r="J52" s="23" t="s">
        <v>32</v>
      </c>
      <c r="K52" s="23" t="s">
        <v>140</v>
      </c>
      <c r="L52" s="49" t="s">
        <v>32</v>
      </c>
      <c r="M52" s="30"/>
      <c r="N52" s="23"/>
      <c r="O52" s="23" t="s">
        <v>140</v>
      </c>
      <c r="P52" s="23" t="s">
        <v>140</v>
      </c>
      <c r="Q52" s="23" t="s">
        <v>32</v>
      </c>
      <c r="R52" s="24" t="s">
        <v>140</v>
      </c>
      <c r="S52" s="24" t="s">
        <v>140</v>
      </c>
      <c r="T52" s="30"/>
      <c r="U52" s="24" t="s">
        <v>32</v>
      </c>
      <c r="V52" s="24" t="s">
        <v>196</v>
      </c>
      <c r="W52" s="24" t="s">
        <v>196</v>
      </c>
      <c r="X52" s="24" t="s">
        <v>32</v>
      </c>
      <c r="Y52" s="24" t="s">
        <v>140</v>
      </c>
      <c r="Z52" s="24" t="s">
        <v>140</v>
      </c>
      <c r="AA52" s="30"/>
      <c r="AB52" s="51" t="s">
        <v>140</v>
      </c>
      <c r="AC52" s="29" t="s">
        <v>32</v>
      </c>
      <c r="AD52" s="29" t="s">
        <v>32</v>
      </c>
      <c r="AE52" s="29" t="s">
        <v>32</v>
      </c>
      <c r="AF52" s="51" t="s">
        <v>140</v>
      </c>
      <c r="AG52" s="51" t="s">
        <v>140</v>
      </c>
      <c r="AH52" s="30"/>
      <c r="AI52" s="51" t="s">
        <v>140</v>
      </c>
      <c r="AJ52" s="29" t="s">
        <v>32</v>
      </c>
      <c r="AK52" s="29" t="s">
        <v>32</v>
      </c>
      <c r="AL52" s="23"/>
      <c r="AM52" s="23"/>
      <c r="AN52" s="23"/>
      <c r="AO52" s="30"/>
      <c r="AP52" s="23"/>
      <c r="AQ52" s="23"/>
      <c r="AR52" s="23"/>
    </row>
    <row r="53">
      <c r="A53" s="44">
        <v>50.0</v>
      </c>
      <c r="B53" s="55" t="s">
        <v>981</v>
      </c>
      <c r="C53" s="26" t="s">
        <v>320</v>
      </c>
      <c r="D53" s="26" t="s">
        <v>321</v>
      </c>
      <c r="E53" s="13">
        <f t="shared" si="2"/>
        <v>21</v>
      </c>
      <c r="F53" s="47">
        <f t="shared" si="3"/>
        <v>3</v>
      </c>
      <c r="G53" s="47">
        <f t="shared" si="4"/>
        <v>24</v>
      </c>
      <c r="H53" s="48">
        <f t="shared" si="5"/>
        <v>0.875</v>
      </c>
      <c r="I53" s="24" t="s">
        <v>32</v>
      </c>
      <c r="J53" s="23" t="s">
        <v>32</v>
      </c>
      <c r="K53" s="23" t="s">
        <v>32</v>
      </c>
      <c r="L53" s="24" t="s">
        <v>140</v>
      </c>
      <c r="M53" s="30"/>
      <c r="N53" s="24"/>
      <c r="O53" s="24" t="s">
        <v>140</v>
      </c>
      <c r="P53" s="24" t="s">
        <v>140</v>
      </c>
      <c r="Q53" s="24" t="s">
        <v>140</v>
      </c>
      <c r="R53" s="24" t="s">
        <v>140</v>
      </c>
      <c r="S53" s="24" t="s">
        <v>140</v>
      </c>
      <c r="T53" s="30"/>
      <c r="U53" s="24" t="s">
        <v>140</v>
      </c>
      <c r="V53" s="24" t="s">
        <v>196</v>
      </c>
      <c r="W53" s="24" t="s">
        <v>196</v>
      </c>
      <c r="X53" s="24" t="s">
        <v>140</v>
      </c>
      <c r="Y53" s="24" t="s">
        <v>140</v>
      </c>
      <c r="Z53" s="24" t="s">
        <v>140</v>
      </c>
      <c r="AA53" s="30"/>
      <c r="AB53" s="51" t="s">
        <v>140</v>
      </c>
      <c r="AC53" s="51" t="s">
        <v>140</v>
      </c>
      <c r="AD53" s="51" t="s">
        <v>140</v>
      </c>
      <c r="AE53" s="51" t="s">
        <v>140</v>
      </c>
      <c r="AF53" s="51" t="s">
        <v>140</v>
      </c>
      <c r="AG53" s="51" t="s">
        <v>140</v>
      </c>
      <c r="AH53" s="30"/>
      <c r="AI53" s="51" t="s">
        <v>140</v>
      </c>
      <c r="AJ53" s="51" t="s">
        <v>140</v>
      </c>
      <c r="AK53" s="51" t="s">
        <v>140</v>
      </c>
      <c r="AL53" s="23"/>
      <c r="AM53" s="23"/>
      <c r="AN53" s="23"/>
      <c r="AO53" s="30"/>
      <c r="AP53" s="23"/>
      <c r="AQ53" s="23"/>
      <c r="AR53" s="23"/>
    </row>
    <row r="54">
      <c r="A54" s="44">
        <v>51.0</v>
      </c>
      <c r="B54" s="55" t="s">
        <v>984</v>
      </c>
      <c r="C54" s="26" t="s">
        <v>325</v>
      </c>
      <c r="D54" s="26" t="s">
        <v>326</v>
      </c>
      <c r="E54" s="13">
        <f t="shared" si="2"/>
        <v>7</v>
      </c>
      <c r="F54" s="47">
        <f t="shared" si="3"/>
        <v>17</v>
      </c>
      <c r="G54" s="47">
        <f t="shared" si="4"/>
        <v>24</v>
      </c>
      <c r="H54" s="48">
        <f t="shared" si="5"/>
        <v>0.2916666667</v>
      </c>
      <c r="I54" s="24" t="s">
        <v>32</v>
      </c>
      <c r="J54" s="23" t="s">
        <v>32</v>
      </c>
      <c r="K54" s="23" t="s">
        <v>32</v>
      </c>
      <c r="L54" s="49" t="s">
        <v>140</v>
      </c>
      <c r="M54" s="30"/>
      <c r="N54" s="23"/>
      <c r="O54" s="23" t="s">
        <v>32</v>
      </c>
      <c r="P54" s="23" t="s">
        <v>32</v>
      </c>
      <c r="Q54" s="23" t="s">
        <v>32</v>
      </c>
      <c r="R54" s="24" t="s">
        <v>140</v>
      </c>
      <c r="S54" s="24" t="s">
        <v>140</v>
      </c>
      <c r="T54" s="30"/>
      <c r="U54" s="24" t="s">
        <v>32</v>
      </c>
      <c r="V54" s="24" t="s">
        <v>32</v>
      </c>
      <c r="W54" s="24" t="s">
        <v>32</v>
      </c>
      <c r="X54" s="24" t="s">
        <v>32</v>
      </c>
      <c r="Y54" s="24" t="s">
        <v>32</v>
      </c>
      <c r="Z54" s="24" t="s">
        <v>32</v>
      </c>
      <c r="AA54" s="30"/>
      <c r="AB54" s="51" t="s">
        <v>140</v>
      </c>
      <c r="AC54" s="29" t="s">
        <v>32</v>
      </c>
      <c r="AD54" s="29" t="s">
        <v>32</v>
      </c>
      <c r="AE54" s="29" t="s">
        <v>32</v>
      </c>
      <c r="AF54" s="29" t="s">
        <v>32</v>
      </c>
      <c r="AG54" s="51" t="s">
        <v>140</v>
      </c>
      <c r="AH54" s="30"/>
      <c r="AI54" s="51" t="s">
        <v>140</v>
      </c>
      <c r="AJ54" s="51" t="s">
        <v>140</v>
      </c>
      <c r="AK54" s="29" t="s">
        <v>32</v>
      </c>
      <c r="AL54" s="23"/>
      <c r="AM54" s="23"/>
      <c r="AN54" s="23"/>
      <c r="AO54" s="30"/>
      <c r="AP54" s="23"/>
      <c r="AQ54" s="23"/>
      <c r="AR54" s="23"/>
    </row>
    <row r="55">
      <c r="A55" s="44">
        <v>52.0</v>
      </c>
      <c r="B55" s="55" t="s">
        <v>985</v>
      </c>
      <c r="C55" s="26" t="s">
        <v>987</v>
      </c>
      <c r="D55" s="26" t="s">
        <v>331</v>
      </c>
      <c r="E55" s="13">
        <f t="shared" si="2"/>
        <v>1</v>
      </c>
      <c r="F55" s="47">
        <f t="shared" si="3"/>
        <v>23</v>
      </c>
      <c r="G55" s="47">
        <f t="shared" si="4"/>
        <v>24</v>
      </c>
      <c r="H55" s="48">
        <f t="shared" si="5"/>
        <v>0.04166666667</v>
      </c>
      <c r="I55" s="24" t="s">
        <v>32</v>
      </c>
      <c r="J55" s="23" t="s">
        <v>32</v>
      </c>
      <c r="K55" s="23" t="s">
        <v>140</v>
      </c>
      <c r="L55" s="49" t="s">
        <v>32</v>
      </c>
      <c r="M55" s="30"/>
      <c r="N55" s="23"/>
      <c r="O55" s="23" t="s">
        <v>32</v>
      </c>
      <c r="P55" s="23" t="s">
        <v>32</v>
      </c>
      <c r="Q55" s="23" t="s">
        <v>32</v>
      </c>
      <c r="R55" s="24" t="s">
        <v>32</v>
      </c>
      <c r="S55" s="24" t="s">
        <v>32</v>
      </c>
      <c r="T55" s="30"/>
      <c r="U55" s="24" t="s">
        <v>32</v>
      </c>
      <c r="V55" s="24" t="s">
        <v>32</v>
      </c>
      <c r="W55" s="24" t="s">
        <v>32</v>
      </c>
      <c r="X55" s="24" t="s">
        <v>32</v>
      </c>
      <c r="Y55" s="24" t="s">
        <v>32</v>
      </c>
      <c r="Z55" s="24" t="s">
        <v>32</v>
      </c>
      <c r="AA55" s="30"/>
      <c r="AB55" s="29" t="s">
        <v>32</v>
      </c>
      <c r="AC55" s="29" t="s">
        <v>32</v>
      </c>
      <c r="AD55" s="29" t="s">
        <v>32</v>
      </c>
      <c r="AE55" s="29" t="s">
        <v>32</v>
      </c>
      <c r="AF55" s="29" t="s">
        <v>32</v>
      </c>
      <c r="AG55" s="29" t="s">
        <v>32</v>
      </c>
      <c r="AH55" s="30"/>
      <c r="AI55" s="29" t="s">
        <v>32</v>
      </c>
      <c r="AJ55" s="29" t="s">
        <v>32</v>
      </c>
      <c r="AK55" s="29" t="s">
        <v>32</v>
      </c>
      <c r="AL55" s="23"/>
      <c r="AM55" s="23"/>
      <c r="AN55" s="23"/>
      <c r="AO55" s="30"/>
      <c r="AP55" s="23"/>
      <c r="AQ55" s="23"/>
      <c r="AR55" s="23"/>
    </row>
    <row r="56">
      <c r="A56" s="44">
        <v>53.0</v>
      </c>
      <c r="B56" s="45" t="s">
        <v>989</v>
      </c>
      <c r="C56" s="26" t="s">
        <v>334</v>
      </c>
      <c r="D56" s="26" t="s">
        <v>335</v>
      </c>
      <c r="E56" s="13">
        <f t="shared" si="2"/>
        <v>18</v>
      </c>
      <c r="F56" s="47">
        <f t="shared" si="3"/>
        <v>6</v>
      </c>
      <c r="G56" s="47">
        <f t="shared" si="4"/>
        <v>24</v>
      </c>
      <c r="H56" s="48">
        <f t="shared" si="5"/>
        <v>0.75</v>
      </c>
      <c r="I56" s="24" t="s">
        <v>32</v>
      </c>
      <c r="J56" s="23" t="s">
        <v>32</v>
      </c>
      <c r="K56" s="23" t="s">
        <v>140</v>
      </c>
      <c r="L56" s="49" t="s">
        <v>140</v>
      </c>
      <c r="M56" s="30"/>
      <c r="N56" s="23"/>
      <c r="O56" s="23" t="s">
        <v>140</v>
      </c>
      <c r="P56" s="23" t="s">
        <v>140</v>
      </c>
      <c r="Q56" s="23" t="s">
        <v>140</v>
      </c>
      <c r="R56" s="24" t="s">
        <v>140</v>
      </c>
      <c r="S56" s="24" t="s">
        <v>140</v>
      </c>
      <c r="T56" s="30"/>
      <c r="U56" s="24" t="s">
        <v>140</v>
      </c>
      <c r="V56" s="24" t="s">
        <v>32</v>
      </c>
      <c r="W56" s="24" t="s">
        <v>196</v>
      </c>
      <c r="X56" s="24" t="s">
        <v>140</v>
      </c>
      <c r="Y56" s="24" t="s">
        <v>32</v>
      </c>
      <c r="Z56" s="24" t="s">
        <v>140</v>
      </c>
      <c r="AA56" s="30"/>
      <c r="AB56" s="51" t="s">
        <v>140</v>
      </c>
      <c r="AC56" s="51" t="s">
        <v>140</v>
      </c>
      <c r="AD56" s="29" t="s">
        <v>32</v>
      </c>
      <c r="AE56" s="51" t="s">
        <v>140</v>
      </c>
      <c r="AF56" s="51" t="s">
        <v>140</v>
      </c>
      <c r="AG56" s="51" t="s">
        <v>140</v>
      </c>
      <c r="AH56" s="30"/>
      <c r="AI56" s="51" t="s">
        <v>140</v>
      </c>
      <c r="AJ56" s="51" t="s">
        <v>140</v>
      </c>
      <c r="AK56" s="29" t="s">
        <v>32</v>
      </c>
      <c r="AL56" s="23"/>
      <c r="AM56" s="23"/>
      <c r="AN56" s="23"/>
      <c r="AO56" s="30"/>
      <c r="AP56" s="23"/>
      <c r="AQ56" s="23"/>
      <c r="AR56" s="23"/>
    </row>
    <row r="57">
      <c r="A57" s="44">
        <v>54.0</v>
      </c>
      <c r="B57" s="72" t="s">
        <v>991</v>
      </c>
      <c r="C57" s="26" t="s">
        <v>992</v>
      </c>
      <c r="D57" s="26" t="s">
        <v>993</v>
      </c>
      <c r="E57" s="13">
        <f t="shared" si="2"/>
        <v>20</v>
      </c>
      <c r="F57" s="47">
        <f t="shared" si="3"/>
        <v>4</v>
      </c>
      <c r="G57" s="47">
        <f t="shared" si="4"/>
        <v>24</v>
      </c>
      <c r="H57" s="48">
        <f t="shared" si="5"/>
        <v>0.8333333333</v>
      </c>
      <c r="I57" s="24" t="s">
        <v>140</v>
      </c>
      <c r="J57" s="23" t="s">
        <v>140</v>
      </c>
      <c r="K57" s="23" t="s">
        <v>32</v>
      </c>
      <c r="L57" s="49" t="s">
        <v>140</v>
      </c>
      <c r="M57" s="30"/>
      <c r="N57" s="23"/>
      <c r="O57" s="23" t="s">
        <v>140</v>
      </c>
      <c r="P57" s="23" t="s">
        <v>140</v>
      </c>
      <c r="Q57" s="23" t="s">
        <v>140</v>
      </c>
      <c r="R57" s="24" t="s">
        <v>140</v>
      </c>
      <c r="S57" s="24" t="s">
        <v>140</v>
      </c>
      <c r="T57" s="30"/>
      <c r="U57" s="24" t="s">
        <v>140</v>
      </c>
      <c r="V57" s="24" t="s">
        <v>196</v>
      </c>
      <c r="W57" s="24" t="s">
        <v>196</v>
      </c>
      <c r="X57" s="24" t="s">
        <v>140</v>
      </c>
      <c r="Y57" s="24" t="s">
        <v>140</v>
      </c>
      <c r="Z57" s="24" t="s">
        <v>140</v>
      </c>
      <c r="AA57" s="30"/>
      <c r="AB57" s="51" t="s">
        <v>140</v>
      </c>
      <c r="AC57" s="51" t="s">
        <v>140</v>
      </c>
      <c r="AD57" s="29" t="s">
        <v>32</v>
      </c>
      <c r="AE57" s="51" t="s">
        <v>140</v>
      </c>
      <c r="AF57" s="51" t="s">
        <v>140</v>
      </c>
      <c r="AG57" s="29" t="s">
        <v>32</v>
      </c>
      <c r="AH57" s="30"/>
      <c r="AI57" s="51" t="s">
        <v>140</v>
      </c>
      <c r="AJ57" s="29" t="s">
        <v>32</v>
      </c>
      <c r="AK57" s="51" t="s">
        <v>140</v>
      </c>
      <c r="AL57" s="23"/>
      <c r="AM57" s="23"/>
      <c r="AN57" s="23"/>
      <c r="AO57" s="30"/>
      <c r="AP57" s="23"/>
      <c r="AQ57" s="23"/>
      <c r="AR57" s="23"/>
    </row>
    <row r="58">
      <c r="A58" s="44">
        <v>55.0</v>
      </c>
      <c r="B58" s="45" t="s">
        <v>996</v>
      </c>
      <c r="C58" s="26" t="s">
        <v>344</v>
      </c>
      <c r="D58" s="26" t="s">
        <v>345</v>
      </c>
      <c r="E58" s="13">
        <f t="shared" si="2"/>
        <v>1</v>
      </c>
      <c r="F58" s="47">
        <f t="shared" si="3"/>
        <v>23</v>
      </c>
      <c r="G58" s="47">
        <f t="shared" si="4"/>
        <v>24</v>
      </c>
      <c r="H58" s="48">
        <f t="shared" si="5"/>
        <v>0.04166666667</v>
      </c>
      <c r="I58" s="24" t="s">
        <v>32</v>
      </c>
      <c r="J58" s="23" t="s">
        <v>32</v>
      </c>
      <c r="K58" s="23" t="s">
        <v>32</v>
      </c>
      <c r="L58" s="49" t="s">
        <v>32</v>
      </c>
      <c r="M58" s="30"/>
      <c r="N58" s="23"/>
      <c r="O58" s="23" t="s">
        <v>32</v>
      </c>
      <c r="P58" s="23" t="s">
        <v>32</v>
      </c>
      <c r="Q58" s="23" t="s">
        <v>32</v>
      </c>
      <c r="R58" s="24" t="s">
        <v>32</v>
      </c>
      <c r="S58" s="24" t="s">
        <v>32</v>
      </c>
      <c r="T58" s="30"/>
      <c r="U58" s="24" t="s">
        <v>32</v>
      </c>
      <c r="V58" s="24" t="s">
        <v>32</v>
      </c>
      <c r="W58" s="24" t="s">
        <v>32</v>
      </c>
      <c r="X58" s="24" t="s">
        <v>32</v>
      </c>
      <c r="Y58" s="24" t="s">
        <v>32</v>
      </c>
      <c r="Z58" s="24" t="s">
        <v>32</v>
      </c>
      <c r="AA58" s="30"/>
      <c r="AB58" s="29" t="s">
        <v>32</v>
      </c>
      <c r="AC58" s="51" t="s">
        <v>140</v>
      </c>
      <c r="AD58" s="29" t="s">
        <v>32</v>
      </c>
      <c r="AE58" s="29" t="s">
        <v>32</v>
      </c>
      <c r="AF58" s="29" t="s">
        <v>32</v>
      </c>
      <c r="AG58" s="29" t="s">
        <v>32</v>
      </c>
      <c r="AH58" s="30"/>
      <c r="AI58" s="29" t="s">
        <v>32</v>
      </c>
      <c r="AJ58" s="29" t="s">
        <v>32</v>
      </c>
      <c r="AK58" s="29" t="s">
        <v>32</v>
      </c>
      <c r="AL58" s="23"/>
      <c r="AM58" s="23"/>
      <c r="AN58" s="23"/>
      <c r="AO58" s="30"/>
      <c r="AP58" s="23"/>
      <c r="AQ58" s="23"/>
      <c r="AR58" s="23"/>
    </row>
    <row r="59">
      <c r="A59" s="44">
        <v>56.0</v>
      </c>
      <c r="B59" s="54" t="s">
        <v>998</v>
      </c>
      <c r="C59" s="26" t="s">
        <v>348</v>
      </c>
      <c r="D59" s="26" t="s">
        <v>350</v>
      </c>
      <c r="E59" s="13">
        <f t="shared" si="2"/>
        <v>0</v>
      </c>
      <c r="F59" s="47">
        <f t="shared" si="3"/>
        <v>24</v>
      </c>
      <c r="G59" s="47">
        <f t="shared" si="4"/>
        <v>24</v>
      </c>
      <c r="H59" s="48">
        <f t="shared" si="5"/>
        <v>0</v>
      </c>
      <c r="I59" s="24" t="s">
        <v>32</v>
      </c>
      <c r="J59" s="23" t="s">
        <v>32</v>
      </c>
      <c r="K59" s="23" t="s">
        <v>32</v>
      </c>
      <c r="L59" s="49" t="s">
        <v>32</v>
      </c>
      <c r="M59" s="30"/>
      <c r="N59" s="23"/>
      <c r="O59" s="23" t="s">
        <v>32</v>
      </c>
      <c r="P59" s="23" t="s">
        <v>32</v>
      </c>
      <c r="Q59" s="23" t="s">
        <v>32</v>
      </c>
      <c r="R59" s="24" t="s">
        <v>32</v>
      </c>
      <c r="S59" s="24" t="s">
        <v>32</v>
      </c>
      <c r="T59" s="30"/>
      <c r="U59" s="24" t="s">
        <v>32</v>
      </c>
      <c r="V59" s="24" t="s">
        <v>32</v>
      </c>
      <c r="W59" s="24" t="s">
        <v>32</v>
      </c>
      <c r="X59" s="24" t="s">
        <v>32</v>
      </c>
      <c r="Y59" s="24" t="s">
        <v>32</v>
      </c>
      <c r="Z59" s="24" t="s">
        <v>32</v>
      </c>
      <c r="AA59" s="30"/>
      <c r="AB59" s="29" t="s">
        <v>32</v>
      </c>
      <c r="AC59" s="29" t="s">
        <v>32</v>
      </c>
      <c r="AD59" s="29" t="s">
        <v>32</v>
      </c>
      <c r="AE59" s="29" t="s">
        <v>32</v>
      </c>
      <c r="AF59" s="29" t="s">
        <v>32</v>
      </c>
      <c r="AG59" s="29" t="s">
        <v>32</v>
      </c>
      <c r="AH59" s="30"/>
      <c r="AI59" s="29" t="s">
        <v>32</v>
      </c>
      <c r="AJ59" s="29" t="s">
        <v>32</v>
      </c>
      <c r="AK59" s="29" t="s">
        <v>32</v>
      </c>
      <c r="AL59" s="23"/>
      <c r="AM59" s="23"/>
      <c r="AN59" s="23"/>
      <c r="AO59" s="30"/>
      <c r="AP59" s="23"/>
      <c r="AQ59" s="23"/>
      <c r="AR59" s="23"/>
    </row>
    <row r="60">
      <c r="A60" s="44">
        <v>57.0</v>
      </c>
      <c r="B60" s="55" t="s">
        <v>1001</v>
      </c>
      <c r="C60" s="26" t="s">
        <v>353</v>
      </c>
      <c r="D60" s="26" t="s">
        <v>354</v>
      </c>
      <c r="E60" s="13">
        <f t="shared" si="2"/>
        <v>17</v>
      </c>
      <c r="F60" s="47">
        <f t="shared" si="3"/>
        <v>7</v>
      </c>
      <c r="G60" s="47">
        <f t="shared" si="4"/>
        <v>24</v>
      </c>
      <c r="H60" s="48">
        <f t="shared" si="5"/>
        <v>0.7083333333</v>
      </c>
      <c r="I60" s="24" t="s">
        <v>140</v>
      </c>
      <c r="J60" s="23" t="s">
        <v>140</v>
      </c>
      <c r="K60" s="23" t="s">
        <v>32</v>
      </c>
      <c r="L60" s="24" t="s">
        <v>140</v>
      </c>
      <c r="M60" s="30"/>
      <c r="N60" s="23"/>
      <c r="O60" s="23" t="s">
        <v>32</v>
      </c>
      <c r="P60" s="24" t="s">
        <v>140</v>
      </c>
      <c r="Q60" s="24" t="s">
        <v>140</v>
      </c>
      <c r="R60" s="24" t="s">
        <v>140</v>
      </c>
      <c r="S60" s="24" t="s">
        <v>32</v>
      </c>
      <c r="T60" s="30"/>
      <c r="U60" s="24" t="s">
        <v>32</v>
      </c>
      <c r="V60" s="24" t="s">
        <v>32</v>
      </c>
      <c r="W60" s="24" t="s">
        <v>196</v>
      </c>
      <c r="X60" s="24" t="s">
        <v>140</v>
      </c>
      <c r="Y60" s="24" t="s">
        <v>140</v>
      </c>
      <c r="Z60" s="24" t="s">
        <v>140</v>
      </c>
      <c r="AA60" s="30"/>
      <c r="AB60" s="51" t="s">
        <v>140</v>
      </c>
      <c r="AC60" s="51" t="s">
        <v>140</v>
      </c>
      <c r="AD60" s="51" t="s">
        <v>140</v>
      </c>
      <c r="AE60" s="51" t="s">
        <v>140</v>
      </c>
      <c r="AF60" s="29" t="s">
        <v>32</v>
      </c>
      <c r="AG60" s="51" t="s">
        <v>140</v>
      </c>
      <c r="AH60" s="30"/>
      <c r="AI60" s="29" t="s">
        <v>32</v>
      </c>
      <c r="AJ60" s="51" t="s">
        <v>140</v>
      </c>
      <c r="AK60" s="51" t="s">
        <v>140</v>
      </c>
      <c r="AL60" s="23"/>
      <c r="AM60" s="23"/>
      <c r="AN60" s="23"/>
      <c r="AO60" s="30"/>
      <c r="AP60" s="23"/>
      <c r="AQ60" s="23"/>
      <c r="AR60" s="23"/>
    </row>
    <row r="61">
      <c r="A61" s="44">
        <v>58.0</v>
      </c>
      <c r="B61" s="55" t="s">
        <v>1003</v>
      </c>
      <c r="C61" s="26" t="s">
        <v>1004</v>
      </c>
      <c r="D61" s="26" t="s">
        <v>360</v>
      </c>
      <c r="E61" s="13">
        <f t="shared" si="2"/>
        <v>13</v>
      </c>
      <c r="F61" s="47">
        <f t="shared" si="3"/>
        <v>11</v>
      </c>
      <c r="G61" s="47">
        <f t="shared" si="4"/>
        <v>24</v>
      </c>
      <c r="H61" s="48">
        <f t="shared" si="5"/>
        <v>0.5416666667</v>
      </c>
      <c r="I61" s="24" t="s">
        <v>140</v>
      </c>
      <c r="J61" s="23" t="s">
        <v>32</v>
      </c>
      <c r="K61" s="23" t="s">
        <v>140</v>
      </c>
      <c r="L61" s="49" t="s">
        <v>32</v>
      </c>
      <c r="M61" s="30"/>
      <c r="N61" s="23"/>
      <c r="O61" s="23" t="s">
        <v>32</v>
      </c>
      <c r="P61" s="23" t="s">
        <v>140</v>
      </c>
      <c r="Q61" s="23" t="s">
        <v>32</v>
      </c>
      <c r="R61" s="24" t="s">
        <v>32</v>
      </c>
      <c r="S61" s="24" t="s">
        <v>32</v>
      </c>
      <c r="T61" s="30"/>
      <c r="U61" s="24" t="s">
        <v>32</v>
      </c>
      <c r="V61" s="24" t="s">
        <v>196</v>
      </c>
      <c r="W61" s="24" t="s">
        <v>196</v>
      </c>
      <c r="X61" s="24" t="s">
        <v>140</v>
      </c>
      <c r="Y61" s="24" t="s">
        <v>32</v>
      </c>
      <c r="Z61" s="24" t="s">
        <v>32</v>
      </c>
      <c r="AA61" s="30"/>
      <c r="AB61" s="51" t="s">
        <v>140</v>
      </c>
      <c r="AC61" s="51" t="s">
        <v>140</v>
      </c>
      <c r="AD61" s="29" t="s">
        <v>32</v>
      </c>
      <c r="AE61" s="51" t="s">
        <v>140</v>
      </c>
      <c r="AF61" s="51" t="s">
        <v>140</v>
      </c>
      <c r="AG61" s="51" t="s">
        <v>140</v>
      </c>
      <c r="AH61" s="30"/>
      <c r="AI61" s="51" t="s">
        <v>140</v>
      </c>
      <c r="AJ61" s="51" t="s">
        <v>140</v>
      </c>
      <c r="AK61" s="29" t="s">
        <v>32</v>
      </c>
      <c r="AL61" s="23"/>
      <c r="AM61" s="23"/>
      <c r="AN61" s="23"/>
      <c r="AO61" s="30"/>
      <c r="AP61" s="23"/>
      <c r="AQ61" s="23"/>
      <c r="AR61" s="23"/>
    </row>
    <row r="62">
      <c r="A62" s="44">
        <v>59.0</v>
      </c>
      <c r="B62" s="55" t="s">
        <v>1005</v>
      </c>
      <c r="C62" s="26" t="s">
        <v>363</v>
      </c>
      <c r="D62" s="26" t="s">
        <v>365</v>
      </c>
      <c r="E62" s="13">
        <f t="shared" si="2"/>
        <v>0</v>
      </c>
      <c r="F62" s="47">
        <f t="shared" si="3"/>
        <v>24</v>
      </c>
      <c r="G62" s="47">
        <f t="shared" si="4"/>
        <v>24</v>
      </c>
      <c r="H62" s="48">
        <f t="shared" si="5"/>
        <v>0</v>
      </c>
      <c r="I62" s="24" t="s">
        <v>32</v>
      </c>
      <c r="J62" s="23" t="s">
        <v>32</v>
      </c>
      <c r="K62" s="23" t="s">
        <v>32</v>
      </c>
      <c r="L62" s="49" t="s">
        <v>32</v>
      </c>
      <c r="M62" s="30"/>
      <c r="N62" s="23"/>
      <c r="O62" s="23" t="s">
        <v>32</v>
      </c>
      <c r="P62" s="23" t="s">
        <v>32</v>
      </c>
      <c r="Q62" s="23" t="s">
        <v>32</v>
      </c>
      <c r="R62" s="24" t="s">
        <v>32</v>
      </c>
      <c r="S62" s="24" t="s">
        <v>32</v>
      </c>
      <c r="T62" s="30"/>
      <c r="U62" s="24" t="s">
        <v>32</v>
      </c>
      <c r="V62" s="24" t="s">
        <v>32</v>
      </c>
      <c r="W62" s="24" t="s">
        <v>32</v>
      </c>
      <c r="X62" s="24" t="s">
        <v>32</v>
      </c>
      <c r="Y62" s="24" t="s">
        <v>32</v>
      </c>
      <c r="Z62" s="24" t="s">
        <v>32</v>
      </c>
      <c r="AA62" s="30"/>
      <c r="AB62" s="29" t="s">
        <v>32</v>
      </c>
      <c r="AC62" s="29" t="s">
        <v>32</v>
      </c>
      <c r="AD62" s="29" t="s">
        <v>32</v>
      </c>
      <c r="AE62" s="29" t="s">
        <v>32</v>
      </c>
      <c r="AF62" s="29" t="s">
        <v>32</v>
      </c>
      <c r="AG62" s="29" t="s">
        <v>32</v>
      </c>
      <c r="AH62" s="30"/>
      <c r="AI62" s="29" t="s">
        <v>32</v>
      </c>
      <c r="AJ62" s="29" t="s">
        <v>32</v>
      </c>
      <c r="AK62" s="29" t="s">
        <v>32</v>
      </c>
      <c r="AL62" s="23"/>
      <c r="AM62" s="23"/>
      <c r="AN62" s="23"/>
      <c r="AO62" s="30"/>
      <c r="AP62" s="23"/>
      <c r="AQ62" s="23"/>
      <c r="AR62" s="23"/>
    </row>
    <row r="63">
      <c r="A63" s="44">
        <v>60.0</v>
      </c>
      <c r="B63" s="55" t="s">
        <v>1009</v>
      </c>
      <c r="C63" s="26" t="s">
        <v>368</v>
      </c>
      <c r="D63" s="26" t="s">
        <v>369</v>
      </c>
      <c r="E63" s="13">
        <f t="shared" si="2"/>
        <v>1</v>
      </c>
      <c r="F63" s="47">
        <f t="shared" si="3"/>
        <v>23</v>
      </c>
      <c r="G63" s="47">
        <f t="shared" si="4"/>
        <v>24</v>
      </c>
      <c r="H63" s="48">
        <f t="shared" si="5"/>
        <v>0.04166666667</v>
      </c>
      <c r="I63" s="24" t="s">
        <v>32</v>
      </c>
      <c r="J63" s="23" t="s">
        <v>32</v>
      </c>
      <c r="K63" s="23" t="s">
        <v>32</v>
      </c>
      <c r="L63" s="49" t="s">
        <v>32</v>
      </c>
      <c r="M63" s="30"/>
      <c r="N63" s="23"/>
      <c r="O63" s="23" t="s">
        <v>32</v>
      </c>
      <c r="P63" s="23" t="s">
        <v>32</v>
      </c>
      <c r="Q63" s="23" t="s">
        <v>32</v>
      </c>
      <c r="R63" s="24" t="s">
        <v>32</v>
      </c>
      <c r="S63" s="24" t="s">
        <v>32</v>
      </c>
      <c r="T63" s="30"/>
      <c r="U63" s="24" t="s">
        <v>32</v>
      </c>
      <c r="V63" s="24" t="s">
        <v>32</v>
      </c>
      <c r="W63" s="24" t="s">
        <v>32</v>
      </c>
      <c r="X63" s="24" t="s">
        <v>32</v>
      </c>
      <c r="Y63" s="24" t="s">
        <v>32</v>
      </c>
      <c r="Z63" s="24" t="s">
        <v>32</v>
      </c>
      <c r="AA63" s="30"/>
      <c r="AB63" s="51" t="s">
        <v>140</v>
      </c>
      <c r="AC63" s="29" t="s">
        <v>32</v>
      </c>
      <c r="AD63" s="29" t="s">
        <v>32</v>
      </c>
      <c r="AE63" s="29" t="s">
        <v>32</v>
      </c>
      <c r="AF63" s="29" t="s">
        <v>32</v>
      </c>
      <c r="AG63" s="29" t="s">
        <v>32</v>
      </c>
      <c r="AH63" s="30"/>
      <c r="AI63" s="29" t="s">
        <v>32</v>
      </c>
      <c r="AJ63" s="29" t="s">
        <v>32</v>
      </c>
      <c r="AK63" s="29" t="s">
        <v>32</v>
      </c>
      <c r="AL63" s="23"/>
      <c r="AM63" s="23"/>
      <c r="AN63" s="23"/>
      <c r="AO63" s="30"/>
      <c r="AP63" s="23"/>
      <c r="AQ63" s="23"/>
      <c r="AR63" s="23"/>
    </row>
    <row r="64">
      <c r="A64" s="44">
        <v>61.0</v>
      </c>
      <c r="B64" s="55" t="s">
        <v>956</v>
      </c>
      <c r="C64" s="26" t="s">
        <v>374</v>
      </c>
      <c r="D64" s="26" t="s">
        <v>376</v>
      </c>
      <c r="E64" s="13">
        <f t="shared" si="2"/>
        <v>16</v>
      </c>
      <c r="F64" s="47">
        <f t="shared" si="3"/>
        <v>8</v>
      </c>
      <c r="G64" s="47">
        <f t="shared" si="4"/>
        <v>24</v>
      </c>
      <c r="H64" s="48">
        <f t="shared" si="5"/>
        <v>0.6666666667</v>
      </c>
      <c r="I64" s="24" t="s">
        <v>140</v>
      </c>
      <c r="J64" s="23" t="s">
        <v>140</v>
      </c>
      <c r="K64" s="23" t="s">
        <v>140</v>
      </c>
      <c r="L64" s="49" t="s">
        <v>32</v>
      </c>
      <c r="M64" s="30"/>
      <c r="N64" s="23"/>
      <c r="O64" s="23" t="s">
        <v>140</v>
      </c>
      <c r="P64" s="23" t="s">
        <v>140</v>
      </c>
      <c r="Q64" s="23" t="s">
        <v>32</v>
      </c>
      <c r="R64" s="24" t="s">
        <v>140</v>
      </c>
      <c r="S64" s="24" t="s">
        <v>140</v>
      </c>
      <c r="T64" s="30"/>
      <c r="U64" s="24" t="s">
        <v>32</v>
      </c>
      <c r="V64" s="24" t="s">
        <v>32</v>
      </c>
      <c r="W64" s="24" t="s">
        <v>196</v>
      </c>
      <c r="X64" s="24" t="s">
        <v>32</v>
      </c>
      <c r="Y64" s="24" t="s">
        <v>140</v>
      </c>
      <c r="Z64" s="24" t="s">
        <v>32</v>
      </c>
      <c r="AA64" s="30"/>
      <c r="AB64" s="51" t="s">
        <v>140</v>
      </c>
      <c r="AC64" s="29" t="s">
        <v>32</v>
      </c>
      <c r="AD64" s="51" t="s">
        <v>140</v>
      </c>
      <c r="AE64" s="51" t="s">
        <v>140</v>
      </c>
      <c r="AF64" s="51" t="s">
        <v>140</v>
      </c>
      <c r="AG64" s="29" t="s">
        <v>32</v>
      </c>
      <c r="AH64" s="30"/>
      <c r="AI64" s="51" t="s">
        <v>140</v>
      </c>
      <c r="AJ64" s="51" t="s">
        <v>140</v>
      </c>
      <c r="AK64" s="51" t="s">
        <v>140</v>
      </c>
      <c r="AL64" s="23"/>
      <c r="AM64" s="23"/>
      <c r="AN64" s="23"/>
      <c r="AO64" s="30"/>
      <c r="AP64" s="23"/>
      <c r="AQ64" s="23"/>
      <c r="AR64" s="23"/>
    </row>
    <row r="65">
      <c r="A65" s="44">
        <v>62.0</v>
      </c>
      <c r="B65" s="54" t="s">
        <v>1013</v>
      </c>
      <c r="C65" s="26" t="s">
        <v>381</v>
      </c>
      <c r="D65" s="26" t="s">
        <v>383</v>
      </c>
      <c r="E65" s="13">
        <f t="shared" si="2"/>
        <v>3</v>
      </c>
      <c r="F65" s="47">
        <f t="shared" si="3"/>
        <v>21</v>
      </c>
      <c r="G65" s="47">
        <f t="shared" si="4"/>
        <v>24</v>
      </c>
      <c r="H65" s="48">
        <f t="shared" si="5"/>
        <v>0.125</v>
      </c>
      <c r="I65" s="24" t="s">
        <v>32</v>
      </c>
      <c r="J65" s="23" t="s">
        <v>32</v>
      </c>
      <c r="K65" s="23" t="s">
        <v>32</v>
      </c>
      <c r="L65" s="49" t="s">
        <v>32</v>
      </c>
      <c r="M65" s="30"/>
      <c r="N65" s="23"/>
      <c r="O65" s="23" t="s">
        <v>32</v>
      </c>
      <c r="P65" s="23" t="s">
        <v>32</v>
      </c>
      <c r="Q65" s="23" t="s">
        <v>32</v>
      </c>
      <c r="R65" s="24" t="s">
        <v>32</v>
      </c>
      <c r="S65" s="24" t="s">
        <v>32</v>
      </c>
      <c r="T65" s="30"/>
      <c r="U65" s="24" t="s">
        <v>32</v>
      </c>
      <c r="V65" s="24" t="s">
        <v>32</v>
      </c>
      <c r="W65" s="24" t="s">
        <v>32</v>
      </c>
      <c r="X65" s="24" t="s">
        <v>140</v>
      </c>
      <c r="Y65" s="24" t="s">
        <v>32</v>
      </c>
      <c r="Z65" s="24" t="s">
        <v>32</v>
      </c>
      <c r="AA65" s="30"/>
      <c r="AB65" s="51" t="s">
        <v>140</v>
      </c>
      <c r="AC65" s="29" t="s">
        <v>32</v>
      </c>
      <c r="AD65" s="51" t="s">
        <v>140</v>
      </c>
      <c r="AE65" s="29" t="s">
        <v>32</v>
      </c>
      <c r="AF65" s="29" t="s">
        <v>32</v>
      </c>
      <c r="AG65" s="29" t="s">
        <v>32</v>
      </c>
      <c r="AH65" s="30"/>
      <c r="AI65" s="29" t="s">
        <v>32</v>
      </c>
      <c r="AJ65" s="29" t="s">
        <v>32</v>
      </c>
      <c r="AK65" s="29" t="s">
        <v>32</v>
      </c>
      <c r="AL65" s="23"/>
      <c r="AM65" s="23"/>
      <c r="AN65" s="23"/>
      <c r="AO65" s="30"/>
      <c r="AP65" s="23"/>
      <c r="AQ65" s="23"/>
      <c r="AR65" s="23"/>
    </row>
    <row r="66">
      <c r="A66" s="44">
        <v>63.0</v>
      </c>
      <c r="B66" s="55" t="s">
        <v>1014</v>
      </c>
      <c r="C66" s="26" t="s">
        <v>1015</v>
      </c>
      <c r="D66" s="26" t="s">
        <v>387</v>
      </c>
      <c r="E66" s="13">
        <f t="shared" si="2"/>
        <v>12</v>
      </c>
      <c r="F66" s="47">
        <f t="shared" si="3"/>
        <v>12</v>
      </c>
      <c r="G66" s="47">
        <f t="shared" si="4"/>
        <v>24</v>
      </c>
      <c r="H66" s="48">
        <f t="shared" si="5"/>
        <v>0.5</v>
      </c>
      <c r="I66" s="24" t="s">
        <v>32</v>
      </c>
      <c r="J66" s="23" t="s">
        <v>32</v>
      </c>
      <c r="K66" s="23" t="s">
        <v>32</v>
      </c>
      <c r="L66" s="49" t="s">
        <v>32</v>
      </c>
      <c r="M66" s="30"/>
      <c r="N66" s="23"/>
      <c r="O66" s="24" t="s">
        <v>140</v>
      </c>
      <c r="P66" s="23" t="s">
        <v>32</v>
      </c>
      <c r="Q66" s="24" t="s">
        <v>140</v>
      </c>
      <c r="R66" s="24" t="s">
        <v>32</v>
      </c>
      <c r="S66" s="24" t="s">
        <v>140</v>
      </c>
      <c r="T66" s="30"/>
      <c r="U66" s="24" t="s">
        <v>140</v>
      </c>
      <c r="V66" s="24" t="s">
        <v>32</v>
      </c>
      <c r="W66" s="24" t="s">
        <v>196</v>
      </c>
      <c r="X66" s="24" t="s">
        <v>140</v>
      </c>
      <c r="Y66" s="24" t="s">
        <v>32</v>
      </c>
      <c r="Z66" s="24" t="s">
        <v>32</v>
      </c>
      <c r="AA66" s="30"/>
      <c r="AB66" s="51" t="s">
        <v>140</v>
      </c>
      <c r="AC66" s="51" t="s">
        <v>140</v>
      </c>
      <c r="AD66" s="51" t="s">
        <v>140</v>
      </c>
      <c r="AE66" s="51" t="s">
        <v>140</v>
      </c>
      <c r="AF66" s="51" t="s">
        <v>140</v>
      </c>
      <c r="AG66" s="29" t="s">
        <v>32</v>
      </c>
      <c r="AH66" s="30"/>
      <c r="AI66" s="29" t="s">
        <v>32</v>
      </c>
      <c r="AJ66" s="51" t="s">
        <v>140</v>
      </c>
      <c r="AK66" s="29" t="s">
        <v>32</v>
      </c>
      <c r="AL66" s="23"/>
      <c r="AM66" s="23"/>
      <c r="AN66" s="23"/>
      <c r="AO66" s="30"/>
      <c r="AP66" s="23"/>
      <c r="AQ66" s="23"/>
      <c r="AR66" s="23"/>
    </row>
    <row r="67">
      <c r="A67" s="44">
        <v>64.0</v>
      </c>
      <c r="B67" s="55" t="s">
        <v>864</v>
      </c>
      <c r="C67" s="26" t="s">
        <v>1017</v>
      </c>
      <c r="D67" s="26" t="s">
        <v>392</v>
      </c>
      <c r="E67" s="13">
        <f t="shared" si="2"/>
        <v>10</v>
      </c>
      <c r="F67" s="47">
        <f t="shared" si="3"/>
        <v>14</v>
      </c>
      <c r="G67" s="47">
        <f t="shared" si="4"/>
        <v>24</v>
      </c>
      <c r="H67" s="48">
        <f t="shared" si="5"/>
        <v>0.4166666667</v>
      </c>
      <c r="I67" s="24" t="s">
        <v>32</v>
      </c>
      <c r="J67" s="23" t="s">
        <v>32</v>
      </c>
      <c r="K67" s="23" t="s">
        <v>32</v>
      </c>
      <c r="L67" s="49" t="s">
        <v>32</v>
      </c>
      <c r="M67" s="30"/>
      <c r="N67" s="23"/>
      <c r="O67" s="23" t="s">
        <v>32</v>
      </c>
      <c r="P67" s="23" t="s">
        <v>32</v>
      </c>
      <c r="Q67" s="24" t="s">
        <v>140</v>
      </c>
      <c r="R67" s="24" t="s">
        <v>140</v>
      </c>
      <c r="S67" s="24" t="s">
        <v>140</v>
      </c>
      <c r="T67" s="30"/>
      <c r="U67" s="24" t="s">
        <v>140</v>
      </c>
      <c r="V67" s="24" t="s">
        <v>32</v>
      </c>
      <c r="W67" s="24" t="s">
        <v>196</v>
      </c>
      <c r="X67" s="24" t="s">
        <v>140</v>
      </c>
      <c r="Y67" s="24" t="s">
        <v>32</v>
      </c>
      <c r="Z67" s="24" t="s">
        <v>32</v>
      </c>
      <c r="AA67" s="30"/>
      <c r="AB67" s="51" t="s">
        <v>140</v>
      </c>
      <c r="AC67" s="51" t="s">
        <v>140</v>
      </c>
      <c r="AD67" s="51" t="s">
        <v>140</v>
      </c>
      <c r="AE67" s="51" t="s">
        <v>140</v>
      </c>
      <c r="AF67" s="29" t="s">
        <v>32</v>
      </c>
      <c r="AG67" s="29" t="s">
        <v>32</v>
      </c>
      <c r="AH67" s="30"/>
      <c r="AI67" s="29" t="s">
        <v>32</v>
      </c>
      <c r="AJ67" s="29" t="s">
        <v>32</v>
      </c>
      <c r="AK67" s="29" t="s">
        <v>32</v>
      </c>
      <c r="AL67" s="23"/>
      <c r="AM67" s="23"/>
      <c r="AN67" s="23"/>
      <c r="AO67" s="30"/>
      <c r="AP67" s="23"/>
      <c r="AQ67" s="23"/>
      <c r="AR67" s="23"/>
    </row>
    <row r="68">
      <c r="A68" s="44">
        <v>65.0</v>
      </c>
      <c r="B68" s="55" t="s">
        <v>1019</v>
      </c>
      <c r="C68" s="26" t="s">
        <v>396</v>
      </c>
      <c r="D68" s="26" t="s">
        <v>397</v>
      </c>
      <c r="E68" s="13">
        <f t="shared" si="2"/>
        <v>12</v>
      </c>
      <c r="F68" s="47">
        <f t="shared" si="3"/>
        <v>12</v>
      </c>
      <c r="G68" s="47">
        <f t="shared" si="4"/>
        <v>24</v>
      </c>
      <c r="H68" s="48">
        <f t="shared" si="5"/>
        <v>0.5</v>
      </c>
      <c r="I68" s="24" t="s">
        <v>32</v>
      </c>
      <c r="J68" s="23" t="s">
        <v>32</v>
      </c>
      <c r="K68" s="23" t="s">
        <v>32</v>
      </c>
      <c r="L68" s="49" t="s">
        <v>32</v>
      </c>
      <c r="M68" s="30"/>
      <c r="N68" s="23"/>
      <c r="O68" s="23" t="s">
        <v>32</v>
      </c>
      <c r="P68" s="23" t="s">
        <v>32</v>
      </c>
      <c r="Q68" s="23" t="s">
        <v>140</v>
      </c>
      <c r="R68" s="24" t="s">
        <v>32</v>
      </c>
      <c r="S68" s="24" t="s">
        <v>140</v>
      </c>
      <c r="T68" s="30"/>
      <c r="U68" s="24" t="s">
        <v>32</v>
      </c>
      <c r="V68" s="24" t="s">
        <v>196</v>
      </c>
      <c r="W68" s="24" t="s">
        <v>32</v>
      </c>
      <c r="X68" s="24" t="s">
        <v>32</v>
      </c>
      <c r="Y68" s="24" t="s">
        <v>32</v>
      </c>
      <c r="Z68" s="24" t="s">
        <v>32</v>
      </c>
      <c r="AA68" s="30"/>
      <c r="AB68" s="51" t="s">
        <v>140</v>
      </c>
      <c r="AC68" s="51" t="s">
        <v>140</v>
      </c>
      <c r="AD68" s="51" t="s">
        <v>140</v>
      </c>
      <c r="AE68" s="51" t="s">
        <v>140</v>
      </c>
      <c r="AF68" s="51" t="s">
        <v>140</v>
      </c>
      <c r="AG68" s="51" t="s">
        <v>140</v>
      </c>
      <c r="AH68" s="30"/>
      <c r="AI68" s="51" t="s">
        <v>140</v>
      </c>
      <c r="AJ68" s="51" t="s">
        <v>140</v>
      </c>
      <c r="AK68" s="51" t="s">
        <v>140</v>
      </c>
      <c r="AL68" s="23"/>
      <c r="AM68" s="23"/>
      <c r="AN68" s="23"/>
      <c r="AO68" s="30"/>
      <c r="AP68" s="23"/>
      <c r="AQ68" s="23"/>
      <c r="AR68" s="23"/>
    </row>
    <row r="69">
      <c r="A69" s="44">
        <v>66.0</v>
      </c>
      <c r="B69" s="45" t="s">
        <v>1020</v>
      </c>
      <c r="C69" s="26" t="s">
        <v>400</v>
      </c>
      <c r="D69" s="26" t="s">
        <v>402</v>
      </c>
      <c r="E69" s="13">
        <f t="shared" si="2"/>
        <v>21</v>
      </c>
      <c r="F69" s="47">
        <f t="shared" si="3"/>
        <v>3</v>
      </c>
      <c r="G69" s="47">
        <f t="shared" si="4"/>
        <v>24</v>
      </c>
      <c r="H69" s="48">
        <f t="shared" si="5"/>
        <v>0.875</v>
      </c>
      <c r="I69" s="24" t="s">
        <v>140</v>
      </c>
      <c r="J69" s="23" t="s">
        <v>140</v>
      </c>
      <c r="K69" s="23" t="s">
        <v>32</v>
      </c>
      <c r="L69" s="49" t="s">
        <v>140</v>
      </c>
      <c r="M69" s="30"/>
      <c r="N69" s="24"/>
      <c r="O69" s="23" t="s">
        <v>140</v>
      </c>
      <c r="P69" s="23" t="s">
        <v>140</v>
      </c>
      <c r="Q69" s="23" t="s">
        <v>140</v>
      </c>
      <c r="R69" s="24" t="s">
        <v>32</v>
      </c>
      <c r="S69" s="24" t="s">
        <v>140</v>
      </c>
      <c r="T69" s="30"/>
      <c r="U69" s="24" t="s">
        <v>140</v>
      </c>
      <c r="V69" s="24" t="s">
        <v>196</v>
      </c>
      <c r="W69" s="24" t="s">
        <v>196</v>
      </c>
      <c r="X69" s="24" t="s">
        <v>140</v>
      </c>
      <c r="Y69" s="24" t="s">
        <v>140</v>
      </c>
      <c r="Z69" s="24" t="s">
        <v>140</v>
      </c>
      <c r="AA69" s="30"/>
      <c r="AB69" s="51" t="s">
        <v>140</v>
      </c>
      <c r="AC69" s="51" t="s">
        <v>140</v>
      </c>
      <c r="AD69" s="51" t="s">
        <v>140</v>
      </c>
      <c r="AE69" s="51" t="s">
        <v>140</v>
      </c>
      <c r="AF69" s="51" t="s">
        <v>140</v>
      </c>
      <c r="AG69" s="51" t="s">
        <v>140</v>
      </c>
      <c r="AH69" s="30"/>
      <c r="AI69" s="51" t="s">
        <v>140</v>
      </c>
      <c r="AJ69" s="51" t="s">
        <v>140</v>
      </c>
      <c r="AK69" s="29" t="s">
        <v>32</v>
      </c>
      <c r="AL69" s="23"/>
      <c r="AM69" s="23"/>
      <c r="AN69" s="23"/>
      <c r="AO69" s="30"/>
      <c r="AP69" s="23"/>
      <c r="AQ69" s="23"/>
      <c r="AR69" s="23"/>
    </row>
    <row r="70">
      <c r="A70" s="44">
        <v>67.0</v>
      </c>
      <c r="B70" s="55" t="s">
        <v>1021</v>
      </c>
      <c r="C70" s="26" t="s">
        <v>1022</v>
      </c>
      <c r="D70" s="26" t="s">
        <v>406</v>
      </c>
      <c r="E70" s="13">
        <f t="shared" si="2"/>
        <v>3</v>
      </c>
      <c r="F70" s="47">
        <f t="shared" si="3"/>
        <v>21</v>
      </c>
      <c r="G70" s="47">
        <f t="shared" si="4"/>
        <v>24</v>
      </c>
      <c r="H70" s="48">
        <f t="shared" si="5"/>
        <v>0.125</v>
      </c>
      <c r="I70" s="24" t="s">
        <v>32</v>
      </c>
      <c r="J70" s="23" t="s">
        <v>32</v>
      </c>
      <c r="K70" s="23" t="s">
        <v>32</v>
      </c>
      <c r="L70" s="49" t="s">
        <v>32</v>
      </c>
      <c r="M70" s="30"/>
      <c r="N70" s="23"/>
      <c r="O70" s="23" t="s">
        <v>32</v>
      </c>
      <c r="P70" s="24" t="s">
        <v>140</v>
      </c>
      <c r="Q70" s="24" t="s">
        <v>140</v>
      </c>
      <c r="R70" s="24" t="s">
        <v>140</v>
      </c>
      <c r="S70" s="24" t="s">
        <v>32</v>
      </c>
      <c r="T70" s="30"/>
      <c r="U70" s="24" t="s">
        <v>32</v>
      </c>
      <c r="V70" s="24" t="s">
        <v>32</v>
      </c>
      <c r="W70" s="24" t="s">
        <v>32</v>
      </c>
      <c r="X70" s="24" t="s">
        <v>32</v>
      </c>
      <c r="Y70" s="24" t="s">
        <v>32</v>
      </c>
      <c r="Z70" s="24" t="s">
        <v>32</v>
      </c>
      <c r="AA70" s="30"/>
      <c r="AB70" s="29" t="s">
        <v>32</v>
      </c>
      <c r="AC70" s="29" t="s">
        <v>32</v>
      </c>
      <c r="AD70" s="29" t="s">
        <v>32</v>
      </c>
      <c r="AE70" s="29" t="s">
        <v>32</v>
      </c>
      <c r="AF70" s="29" t="s">
        <v>32</v>
      </c>
      <c r="AG70" s="29" t="s">
        <v>32</v>
      </c>
      <c r="AH70" s="30"/>
      <c r="AI70" s="29" t="s">
        <v>32</v>
      </c>
      <c r="AJ70" s="29" t="s">
        <v>32</v>
      </c>
      <c r="AK70" s="29" t="s">
        <v>32</v>
      </c>
      <c r="AL70" s="23"/>
      <c r="AM70" s="23"/>
      <c r="AN70" s="23"/>
      <c r="AO70" s="30"/>
      <c r="AP70" s="23"/>
      <c r="AQ70" s="23"/>
      <c r="AR70" s="23"/>
    </row>
    <row r="71">
      <c r="A71" s="44">
        <v>68.0</v>
      </c>
      <c r="B71" s="55" t="s">
        <v>1024</v>
      </c>
      <c r="C71" s="26" t="s">
        <v>1025</v>
      </c>
      <c r="D71" s="26" t="s">
        <v>411</v>
      </c>
      <c r="E71" s="13">
        <f t="shared" si="2"/>
        <v>0</v>
      </c>
      <c r="F71" s="47">
        <f t="shared" si="3"/>
        <v>24</v>
      </c>
      <c r="G71" s="47">
        <f t="shared" si="4"/>
        <v>24</v>
      </c>
      <c r="H71" s="48">
        <f t="shared" si="5"/>
        <v>0</v>
      </c>
      <c r="I71" s="24" t="s">
        <v>32</v>
      </c>
      <c r="J71" s="23" t="s">
        <v>32</v>
      </c>
      <c r="K71" s="23" t="s">
        <v>32</v>
      </c>
      <c r="L71" s="49" t="s">
        <v>32</v>
      </c>
      <c r="M71" s="30"/>
      <c r="N71" s="23"/>
      <c r="O71" s="23" t="s">
        <v>32</v>
      </c>
      <c r="P71" s="23" t="s">
        <v>32</v>
      </c>
      <c r="Q71" s="23" t="s">
        <v>32</v>
      </c>
      <c r="R71" s="24" t="s">
        <v>32</v>
      </c>
      <c r="S71" s="24" t="s">
        <v>32</v>
      </c>
      <c r="T71" s="30"/>
      <c r="U71" s="24" t="s">
        <v>32</v>
      </c>
      <c r="V71" s="24" t="s">
        <v>32</v>
      </c>
      <c r="W71" s="24" t="s">
        <v>32</v>
      </c>
      <c r="X71" s="24" t="s">
        <v>32</v>
      </c>
      <c r="Y71" s="24" t="s">
        <v>32</v>
      </c>
      <c r="Z71" s="24" t="s">
        <v>32</v>
      </c>
      <c r="AA71" s="30"/>
      <c r="AB71" s="29" t="s">
        <v>32</v>
      </c>
      <c r="AC71" s="29" t="s">
        <v>32</v>
      </c>
      <c r="AD71" s="29" t="s">
        <v>32</v>
      </c>
      <c r="AE71" s="29" t="s">
        <v>32</v>
      </c>
      <c r="AF71" s="29" t="s">
        <v>32</v>
      </c>
      <c r="AG71" s="29" t="s">
        <v>32</v>
      </c>
      <c r="AH71" s="30"/>
      <c r="AI71" s="29" t="s">
        <v>32</v>
      </c>
      <c r="AJ71" s="29" t="s">
        <v>32</v>
      </c>
      <c r="AK71" s="29" t="s">
        <v>32</v>
      </c>
      <c r="AL71" s="23"/>
      <c r="AM71" s="23"/>
      <c r="AN71" s="23"/>
      <c r="AO71" s="30"/>
      <c r="AP71" s="23"/>
      <c r="AQ71" s="23"/>
      <c r="AR71" s="23"/>
    </row>
    <row r="72">
      <c r="A72" s="44">
        <v>69.0</v>
      </c>
      <c r="B72" s="55" t="s">
        <v>988</v>
      </c>
      <c r="C72" s="26" t="s">
        <v>415</v>
      </c>
      <c r="D72" s="26" t="s">
        <v>416</v>
      </c>
      <c r="E72" s="13">
        <f t="shared" si="2"/>
        <v>18</v>
      </c>
      <c r="F72" s="47">
        <f t="shared" si="3"/>
        <v>6</v>
      </c>
      <c r="G72" s="47">
        <f t="shared" si="4"/>
        <v>24</v>
      </c>
      <c r="H72" s="48">
        <f t="shared" si="5"/>
        <v>0.75</v>
      </c>
      <c r="I72" s="24" t="s">
        <v>140</v>
      </c>
      <c r="J72" s="23" t="s">
        <v>140</v>
      </c>
      <c r="K72" s="23" t="s">
        <v>140</v>
      </c>
      <c r="L72" s="49" t="s">
        <v>140</v>
      </c>
      <c r="M72" s="30"/>
      <c r="N72" s="24"/>
      <c r="O72" s="24" t="s">
        <v>140</v>
      </c>
      <c r="P72" s="23" t="s">
        <v>140</v>
      </c>
      <c r="Q72" s="23" t="s">
        <v>140</v>
      </c>
      <c r="R72" s="24" t="s">
        <v>140</v>
      </c>
      <c r="S72" s="24" t="s">
        <v>32</v>
      </c>
      <c r="T72" s="30"/>
      <c r="U72" s="24" t="s">
        <v>140</v>
      </c>
      <c r="V72" s="24" t="s">
        <v>32</v>
      </c>
      <c r="W72" s="24" t="s">
        <v>32</v>
      </c>
      <c r="X72" s="24" t="s">
        <v>32</v>
      </c>
      <c r="Y72" s="24" t="s">
        <v>32</v>
      </c>
      <c r="Z72" s="24" t="s">
        <v>32</v>
      </c>
      <c r="AA72" s="30"/>
      <c r="AB72" s="51" t="s">
        <v>140</v>
      </c>
      <c r="AC72" s="51" t="s">
        <v>140</v>
      </c>
      <c r="AD72" s="51" t="s">
        <v>140</v>
      </c>
      <c r="AE72" s="51" t="s">
        <v>140</v>
      </c>
      <c r="AF72" s="51" t="s">
        <v>140</v>
      </c>
      <c r="AG72" s="51" t="s">
        <v>140</v>
      </c>
      <c r="AH72" s="30"/>
      <c r="AI72" s="51" t="s">
        <v>140</v>
      </c>
      <c r="AJ72" s="51" t="s">
        <v>140</v>
      </c>
      <c r="AK72" s="51" t="s">
        <v>140</v>
      </c>
      <c r="AL72" s="23"/>
      <c r="AM72" s="23"/>
      <c r="AN72" s="23"/>
      <c r="AO72" s="30"/>
      <c r="AP72" s="23"/>
      <c r="AQ72" s="23"/>
      <c r="AR72" s="23"/>
    </row>
    <row r="73">
      <c r="A73" s="44">
        <v>70.0</v>
      </c>
      <c r="B73" s="55" t="s">
        <v>1026</v>
      </c>
      <c r="C73" s="26" t="s">
        <v>418</v>
      </c>
      <c r="D73" s="26" t="s">
        <v>419</v>
      </c>
      <c r="E73" s="13">
        <f t="shared" si="2"/>
        <v>12</v>
      </c>
      <c r="F73" s="47">
        <f t="shared" si="3"/>
        <v>12</v>
      </c>
      <c r="G73" s="47">
        <f t="shared" si="4"/>
        <v>24</v>
      </c>
      <c r="H73" s="48">
        <f t="shared" si="5"/>
        <v>0.5</v>
      </c>
      <c r="I73" s="24" t="s">
        <v>140</v>
      </c>
      <c r="J73" s="23" t="s">
        <v>140</v>
      </c>
      <c r="K73" s="23" t="s">
        <v>32</v>
      </c>
      <c r="L73" s="49" t="s">
        <v>32</v>
      </c>
      <c r="M73" s="30"/>
      <c r="N73" s="23"/>
      <c r="O73" s="23" t="s">
        <v>140</v>
      </c>
      <c r="P73" s="23" t="s">
        <v>140</v>
      </c>
      <c r="Q73" s="23" t="s">
        <v>140</v>
      </c>
      <c r="R73" s="24" t="s">
        <v>32</v>
      </c>
      <c r="S73" s="24" t="s">
        <v>32</v>
      </c>
      <c r="T73" s="30"/>
      <c r="U73" s="24" t="s">
        <v>140</v>
      </c>
      <c r="V73" s="24" t="s">
        <v>32</v>
      </c>
      <c r="W73" s="24" t="s">
        <v>196</v>
      </c>
      <c r="X73" s="24" t="s">
        <v>32</v>
      </c>
      <c r="Y73" s="24" t="s">
        <v>140</v>
      </c>
      <c r="Z73" s="24" t="s">
        <v>32</v>
      </c>
      <c r="AA73" s="30"/>
      <c r="AB73" s="51" t="s">
        <v>140</v>
      </c>
      <c r="AC73" s="29" t="s">
        <v>32</v>
      </c>
      <c r="AD73" s="29" t="s">
        <v>32</v>
      </c>
      <c r="AE73" s="51" t="s">
        <v>140</v>
      </c>
      <c r="AF73" s="51" t="s">
        <v>140</v>
      </c>
      <c r="AG73" s="29" t="s">
        <v>32</v>
      </c>
      <c r="AH73" s="30"/>
      <c r="AI73" s="29" t="s">
        <v>32</v>
      </c>
      <c r="AJ73" s="51" t="s">
        <v>140</v>
      </c>
      <c r="AK73" s="29" t="s">
        <v>32</v>
      </c>
      <c r="AL73" s="23"/>
      <c r="AM73" s="23"/>
      <c r="AN73" s="23"/>
      <c r="AO73" s="30"/>
      <c r="AP73" s="23"/>
      <c r="AQ73" s="23"/>
      <c r="AR73" s="23"/>
    </row>
    <row r="74">
      <c r="A74" s="44">
        <v>71.0</v>
      </c>
      <c r="B74" s="55" t="s">
        <v>1027</v>
      </c>
      <c r="C74" s="26" t="s">
        <v>1028</v>
      </c>
      <c r="D74" s="26" t="s">
        <v>423</v>
      </c>
      <c r="E74" s="13">
        <f t="shared" si="2"/>
        <v>11</v>
      </c>
      <c r="F74" s="47">
        <f t="shared" si="3"/>
        <v>13</v>
      </c>
      <c r="G74" s="47">
        <f t="shared" si="4"/>
        <v>24</v>
      </c>
      <c r="H74" s="48">
        <f t="shared" si="5"/>
        <v>0.4583333333</v>
      </c>
      <c r="I74" s="24" t="s">
        <v>32</v>
      </c>
      <c r="J74" s="23" t="s">
        <v>32</v>
      </c>
      <c r="K74" s="23" t="s">
        <v>32</v>
      </c>
      <c r="L74" s="49" t="s">
        <v>140</v>
      </c>
      <c r="M74" s="30"/>
      <c r="N74" s="23"/>
      <c r="O74" s="23" t="s">
        <v>32</v>
      </c>
      <c r="P74" s="23" t="s">
        <v>140</v>
      </c>
      <c r="Q74" s="23" t="s">
        <v>32</v>
      </c>
      <c r="R74" s="24" t="s">
        <v>32</v>
      </c>
      <c r="S74" s="24" t="s">
        <v>32</v>
      </c>
      <c r="T74" s="30"/>
      <c r="U74" s="24" t="s">
        <v>140</v>
      </c>
      <c r="V74" s="24" t="s">
        <v>196</v>
      </c>
      <c r="W74" s="24" t="s">
        <v>196</v>
      </c>
      <c r="X74" s="24" t="s">
        <v>32</v>
      </c>
      <c r="Y74" s="24" t="s">
        <v>32</v>
      </c>
      <c r="Z74" s="24" t="s">
        <v>32</v>
      </c>
      <c r="AA74" s="30"/>
      <c r="AB74" s="51" t="s">
        <v>140</v>
      </c>
      <c r="AC74" s="51" t="s">
        <v>140</v>
      </c>
      <c r="AD74" s="29" t="s">
        <v>32</v>
      </c>
      <c r="AE74" s="51" t="s">
        <v>140</v>
      </c>
      <c r="AF74" s="51" t="s">
        <v>140</v>
      </c>
      <c r="AG74" s="29" t="s">
        <v>32</v>
      </c>
      <c r="AH74" s="30"/>
      <c r="AI74" s="51" t="s">
        <v>140</v>
      </c>
      <c r="AJ74" s="29" t="s">
        <v>32</v>
      </c>
      <c r="AK74" s="51" t="s">
        <v>140</v>
      </c>
      <c r="AL74" s="23"/>
      <c r="AM74" s="23"/>
      <c r="AN74" s="23"/>
      <c r="AO74" s="30"/>
      <c r="AP74" s="23"/>
      <c r="AQ74" s="23"/>
      <c r="AR74" s="23"/>
    </row>
    <row r="75">
      <c r="A75" s="44">
        <v>72.0</v>
      </c>
      <c r="B75" s="55" t="s">
        <v>1031</v>
      </c>
      <c r="C75" s="26" t="s">
        <v>426</v>
      </c>
      <c r="D75" s="26" t="s">
        <v>427</v>
      </c>
      <c r="E75" s="13">
        <f t="shared" si="2"/>
        <v>18</v>
      </c>
      <c r="F75" s="47">
        <f t="shared" si="3"/>
        <v>6</v>
      </c>
      <c r="G75" s="47">
        <f t="shared" si="4"/>
        <v>24</v>
      </c>
      <c r="H75" s="48">
        <f t="shared" si="5"/>
        <v>0.75</v>
      </c>
      <c r="I75" s="24" t="s">
        <v>140</v>
      </c>
      <c r="J75" s="23" t="s">
        <v>140</v>
      </c>
      <c r="K75" s="23" t="s">
        <v>32</v>
      </c>
      <c r="L75" s="24" t="s">
        <v>140</v>
      </c>
      <c r="M75" s="30"/>
      <c r="N75" s="23"/>
      <c r="O75" s="23" t="s">
        <v>32</v>
      </c>
      <c r="P75" s="23" t="s">
        <v>140</v>
      </c>
      <c r="Q75" s="23" t="s">
        <v>140</v>
      </c>
      <c r="R75" s="24" t="s">
        <v>140</v>
      </c>
      <c r="S75" s="24" t="s">
        <v>140</v>
      </c>
      <c r="T75" s="30"/>
      <c r="U75" s="24" t="s">
        <v>32</v>
      </c>
      <c r="V75" s="24" t="s">
        <v>196</v>
      </c>
      <c r="W75" s="24" t="s">
        <v>196</v>
      </c>
      <c r="X75" s="24" t="s">
        <v>140</v>
      </c>
      <c r="Y75" s="24" t="s">
        <v>32</v>
      </c>
      <c r="Z75" s="24" t="s">
        <v>140</v>
      </c>
      <c r="AA75" s="30"/>
      <c r="AB75" s="51" t="s">
        <v>140</v>
      </c>
      <c r="AC75" s="51" t="s">
        <v>140</v>
      </c>
      <c r="AD75" s="29" t="s">
        <v>32</v>
      </c>
      <c r="AE75" s="51" t="s">
        <v>140</v>
      </c>
      <c r="AF75" s="51" t="s">
        <v>140</v>
      </c>
      <c r="AG75" s="51" t="s">
        <v>140</v>
      </c>
      <c r="AH75" s="30"/>
      <c r="AI75" s="51" t="s">
        <v>140</v>
      </c>
      <c r="AJ75" s="51" t="s">
        <v>140</v>
      </c>
      <c r="AK75" s="29" t="s">
        <v>32</v>
      </c>
      <c r="AL75" s="23"/>
      <c r="AM75" s="23"/>
      <c r="AN75" s="23"/>
      <c r="AO75" s="30"/>
      <c r="AP75" s="23"/>
      <c r="AQ75" s="23"/>
      <c r="AR75" s="23"/>
    </row>
    <row r="76">
      <c r="A76" s="44">
        <v>73.0</v>
      </c>
      <c r="B76" s="55" t="s">
        <v>1023</v>
      </c>
      <c r="C76" s="26" t="s">
        <v>430</v>
      </c>
      <c r="D76" s="26" t="s">
        <v>432</v>
      </c>
      <c r="E76" s="13">
        <f t="shared" si="2"/>
        <v>20</v>
      </c>
      <c r="F76" s="47">
        <f t="shared" si="3"/>
        <v>4</v>
      </c>
      <c r="G76" s="47">
        <f t="shared" si="4"/>
        <v>24</v>
      </c>
      <c r="H76" s="48">
        <f t="shared" si="5"/>
        <v>0.8333333333</v>
      </c>
      <c r="I76" s="24" t="s">
        <v>32</v>
      </c>
      <c r="J76" s="23" t="s">
        <v>32</v>
      </c>
      <c r="K76" s="23" t="s">
        <v>32</v>
      </c>
      <c r="L76" s="24" t="s">
        <v>140</v>
      </c>
      <c r="M76" s="30"/>
      <c r="N76" s="24"/>
      <c r="O76" s="23" t="s">
        <v>140</v>
      </c>
      <c r="P76" s="23" t="s">
        <v>140</v>
      </c>
      <c r="Q76" s="23" t="s">
        <v>32</v>
      </c>
      <c r="R76" s="24" t="s">
        <v>140</v>
      </c>
      <c r="S76" s="24" t="s">
        <v>140</v>
      </c>
      <c r="T76" s="30"/>
      <c r="U76" s="24" t="s">
        <v>140</v>
      </c>
      <c r="V76" s="24" t="s">
        <v>196</v>
      </c>
      <c r="W76" s="24" t="s">
        <v>196</v>
      </c>
      <c r="X76" s="24" t="s">
        <v>140</v>
      </c>
      <c r="Y76" s="24" t="s">
        <v>140</v>
      </c>
      <c r="Z76" s="24" t="s">
        <v>140</v>
      </c>
      <c r="AA76" s="30"/>
      <c r="AB76" s="51" t="s">
        <v>140</v>
      </c>
      <c r="AC76" s="51" t="s">
        <v>140</v>
      </c>
      <c r="AD76" s="51" t="s">
        <v>140</v>
      </c>
      <c r="AE76" s="51" t="s">
        <v>140</v>
      </c>
      <c r="AF76" s="51" t="s">
        <v>140</v>
      </c>
      <c r="AG76" s="51" t="s">
        <v>140</v>
      </c>
      <c r="AH76" s="30"/>
      <c r="AI76" s="51" t="s">
        <v>140</v>
      </c>
      <c r="AJ76" s="51" t="s">
        <v>140</v>
      </c>
      <c r="AK76" s="51" t="s">
        <v>140</v>
      </c>
      <c r="AL76" s="23"/>
      <c r="AM76" s="23"/>
      <c r="AN76" s="23"/>
      <c r="AO76" s="30"/>
      <c r="AP76" s="23"/>
      <c r="AQ76" s="23"/>
      <c r="AR76" s="23"/>
    </row>
    <row r="77">
      <c r="A77" s="44">
        <v>74.0</v>
      </c>
      <c r="B77" s="54" t="s">
        <v>1033</v>
      </c>
      <c r="C77" s="26" t="s">
        <v>435</v>
      </c>
      <c r="D77" s="26" t="s">
        <v>436</v>
      </c>
      <c r="E77" s="13">
        <f t="shared" si="2"/>
        <v>12</v>
      </c>
      <c r="F77" s="47">
        <f t="shared" si="3"/>
        <v>12</v>
      </c>
      <c r="G77" s="47">
        <f t="shared" si="4"/>
        <v>24</v>
      </c>
      <c r="H77" s="48">
        <f t="shared" si="5"/>
        <v>0.5</v>
      </c>
      <c r="I77" s="24" t="s">
        <v>140</v>
      </c>
      <c r="J77" s="23" t="s">
        <v>140</v>
      </c>
      <c r="K77" s="23" t="s">
        <v>32</v>
      </c>
      <c r="L77" s="49" t="s">
        <v>32</v>
      </c>
      <c r="M77" s="30"/>
      <c r="N77" s="23"/>
      <c r="O77" s="23" t="s">
        <v>32</v>
      </c>
      <c r="P77" s="23" t="s">
        <v>32</v>
      </c>
      <c r="Q77" s="23" t="s">
        <v>140</v>
      </c>
      <c r="R77" s="24" t="s">
        <v>140</v>
      </c>
      <c r="S77" s="24" t="s">
        <v>140</v>
      </c>
      <c r="T77" s="30"/>
      <c r="U77" s="24" t="s">
        <v>140</v>
      </c>
      <c r="V77" s="24" t="s">
        <v>196</v>
      </c>
      <c r="W77" s="24" t="s">
        <v>196</v>
      </c>
      <c r="X77" s="24" t="s">
        <v>140</v>
      </c>
      <c r="Y77" s="24" t="s">
        <v>32</v>
      </c>
      <c r="Z77" s="24" t="s">
        <v>32</v>
      </c>
      <c r="AA77" s="30"/>
      <c r="AB77" s="29" t="s">
        <v>32</v>
      </c>
      <c r="AC77" s="51" t="s">
        <v>140</v>
      </c>
      <c r="AD77" s="29" t="s">
        <v>32</v>
      </c>
      <c r="AE77" s="51" t="s">
        <v>140</v>
      </c>
      <c r="AF77" s="51" t="s">
        <v>140</v>
      </c>
      <c r="AG77" s="29" t="s">
        <v>32</v>
      </c>
      <c r="AH77" s="30"/>
      <c r="AI77" s="29" t="s">
        <v>32</v>
      </c>
      <c r="AJ77" s="29" t="s">
        <v>32</v>
      </c>
      <c r="AK77" s="29" t="s">
        <v>32</v>
      </c>
      <c r="AL77" s="23"/>
      <c r="AM77" s="23"/>
      <c r="AN77" s="23"/>
      <c r="AO77" s="30"/>
      <c r="AP77" s="23"/>
      <c r="AQ77" s="23"/>
      <c r="AR77" s="23"/>
    </row>
    <row r="78">
      <c r="A78" s="44">
        <v>75.0</v>
      </c>
      <c r="B78" s="54" t="s">
        <v>1034</v>
      </c>
      <c r="C78" s="26" t="s">
        <v>439</v>
      </c>
      <c r="D78" s="26" t="s">
        <v>440</v>
      </c>
      <c r="E78" s="13">
        <f t="shared" si="2"/>
        <v>17</v>
      </c>
      <c r="F78" s="47">
        <f t="shared" si="3"/>
        <v>7</v>
      </c>
      <c r="G78" s="47">
        <f t="shared" si="4"/>
        <v>24</v>
      </c>
      <c r="H78" s="48">
        <f t="shared" si="5"/>
        <v>0.7083333333</v>
      </c>
      <c r="I78" s="24" t="s">
        <v>140</v>
      </c>
      <c r="J78" s="23" t="s">
        <v>140</v>
      </c>
      <c r="K78" s="23" t="s">
        <v>140</v>
      </c>
      <c r="L78" s="49" t="s">
        <v>32</v>
      </c>
      <c r="M78" s="30"/>
      <c r="N78" s="23"/>
      <c r="O78" s="23" t="s">
        <v>32</v>
      </c>
      <c r="P78" s="23" t="s">
        <v>32</v>
      </c>
      <c r="Q78" s="23" t="s">
        <v>32</v>
      </c>
      <c r="R78" s="24" t="s">
        <v>32</v>
      </c>
      <c r="S78" s="24" t="s">
        <v>140</v>
      </c>
      <c r="T78" s="30"/>
      <c r="U78" s="24" t="s">
        <v>140</v>
      </c>
      <c r="V78" s="24" t="s">
        <v>196</v>
      </c>
      <c r="W78" s="24" t="s">
        <v>196</v>
      </c>
      <c r="X78" s="24" t="s">
        <v>140</v>
      </c>
      <c r="Y78" s="24" t="s">
        <v>140</v>
      </c>
      <c r="Z78" s="24" t="s">
        <v>140</v>
      </c>
      <c r="AA78" s="30"/>
      <c r="AB78" s="51" t="s">
        <v>140</v>
      </c>
      <c r="AC78" s="29" t="s">
        <v>32</v>
      </c>
      <c r="AD78" s="51" t="s">
        <v>140</v>
      </c>
      <c r="AE78" s="51" t="s">
        <v>140</v>
      </c>
      <c r="AF78" s="51" t="s">
        <v>140</v>
      </c>
      <c r="AG78" s="29" t="s">
        <v>32</v>
      </c>
      <c r="AH78" s="30"/>
      <c r="AI78" s="51" t="s">
        <v>140</v>
      </c>
      <c r="AJ78" s="51" t="s">
        <v>140</v>
      </c>
      <c r="AK78" s="51" t="s">
        <v>140</v>
      </c>
      <c r="AL78" s="23"/>
      <c r="AM78" s="23"/>
      <c r="AN78" s="23"/>
      <c r="AO78" s="30"/>
      <c r="AP78" s="23"/>
      <c r="AQ78" s="23"/>
      <c r="AR78" s="23"/>
    </row>
    <row r="79">
      <c r="A79" s="44">
        <v>76.0</v>
      </c>
      <c r="B79" s="55" t="s">
        <v>1036</v>
      </c>
      <c r="C79" s="26" t="s">
        <v>1037</v>
      </c>
      <c r="D79" s="26" t="s">
        <v>444</v>
      </c>
      <c r="E79" s="13">
        <f t="shared" si="2"/>
        <v>1</v>
      </c>
      <c r="F79" s="47">
        <f t="shared" si="3"/>
        <v>23</v>
      </c>
      <c r="G79" s="47">
        <f t="shared" si="4"/>
        <v>24</v>
      </c>
      <c r="H79" s="48">
        <f t="shared" si="5"/>
        <v>0.04166666667</v>
      </c>
      <c r="I79" s="24" t="s">
        <v>32</v>
      </c>
      <c r="J79" s="23" t="s">
        <v>140</v>
      </c>
      <c r="K79" s="23" t="s">
        <v>32</v>
      </c>
      <c r="L79" s="49" t="s">
        <v>32</v>
      </c>
      <c r="M79" s="30"/>
      <c r="N79" s="23"/>
      <c r="O79" s="23" t="s">
        <v>32</v>
      </c>
      <c r="P79" s="23" t="s">
        <v>32</v>
      </c>
      <c r="Q79" s="23" t="s">
        <v>32</v>
      </c>
      <c r="R79" s="24" t="s">
        <v>32</v>
      </c>
      <c r="S79" s="24" t="s">
        <v>32</v>
      </c>
      <c r="T79" s="30"/>
      <c r="U79" s="24" t="s">
        <v>32</v>
      </c>
      <c r="V79" s="24" t="s">
        <v>32</v>
      </c>
      <c r="W79" s="24" t="s">
        <v>32</v>
      </c>
      <c r="X79" s="24" t="s">
        <v>32</v>
      </c>
      <c r="Y79" s="24" t="s">
        <v>32</v>
      </c>
      <c r="Z79" s="24" t="s">
        <v>32</v>
      </c>
      <c r="AA79" s="30"/>
      <c r="AB79" s="29" t="s">
        <v>32</v>
      </c>
      <c r="AC79" s="29" t="s">
        <v>32</v>
      </c>
      <c r="AD79" s="29" t="s">
        <v>32</v>
      </c>
      <c r="AE79" s="29" t="s">
        <v>32</v>
      </c>
      <c r="AF79" s="29" t="s">
        <v>32</v>
      </c>
      <c r="AG79" s="29" t="s">
        <v>32</v>
      </c>
      <c r="AH79" s="30"/>
      <c r="AI79" s="29" t="s">
        <v>32</v>
      </c>
      <c r="AJ79" s="29" t="s">
        <v>32</v>
      </c>
      <c r="AK79" s="29" t="s">
        <v>32</v>
      </c>
      <c r="AL79" s="23"/>
      <c r="AM79" s="23"/>
      <c r="AN79" s="23"/>
      <c r="AO79" s="30"/>
      <c r="AP79" s="23"/>
      <c r="AQ79" s="23"/>
      <c r="AR79" s="23"/>
    </row>
    <row r="80">
      <c r="A80" s="44">
        <v>77.0</v>
      </c>
      <c r="B80" s="55" t="s">
        <v>979</v>
      </c>
      <c r="C80" s="26" t="s">
        <v>448</v>
      </c>
      <c r="D80" s="26" t="s">
        <v>450</v>
      </c>
      <c r="E80" s="13">
        <f t="shared" si="2"/>
        <v>18</v>
      </c>
      <c r="F80" s="47">
        <f t="shared" si="3"/>
        <v>6</v>
      </c>
      <c r="G80" s="47">
        <f t="shared" si="4"/>
        <v>24</v>
      </c>
      <c r="H80" s="48">
        <f t="shared" si="5"/>
        <v>0.75</v>
      </c>
      <c r="I80" s="24" t="s">
        <v>140</v>
      </c>
      <c r="J80" s="23" t="s">
        <v>140</v>
      </c>
      <c r="K80" s="23" t="s">
        <v>140</v>
      </c>
      <c r="L80" s="49" t="s">
        <v>140</v>
      </c>
      <c r="M80" s="30"/>
      <c r="N80" s="24"/>
      <c r="O80" s="23" t="s">
        <v>140</v>
      </c>
      <c r="P80" s="23" t="s">
        <v>140</v>
      </c>
      <c r="Q80" s="23" t="s">
        <v>140</v>
      </c>
      <c r="R80" s="24" t="s">
        <v>140</v>
      </c>
      <c r="S80" s="24" t="s">
        <v>140</v>
      </c>
      <c r="T80" s="30"/>
      <c r="U80" s="24" t="s">
        <v>140</v>
      </c>
      <c r="V80" s="24" t="s">
        <v>196</v>
      </c>
      <c r="W80" s="24" t="s">
        <v>32</v>
      </c>
      <c r="X80" s="24" t="s">
        <v>140</v>
      </c>
      <c r="Y80" s="24" t="s">
        <v>32</v>
      </c>
      <c r="Z80" s="24" t="s">
        <v>140</v>
      </c>
      <c r="AA80" s="30"/>
      <c r="AB80" s="29" t="s">
        <v>32</v>
      </c>
      <c r="AC80" s="51" t="s">
        <v>140</v>
      </c>
      <c r="AD80" s="29" t="s">
        <v>32</v>
      </c>
      <c r="AE80" s="29" t="s">
        <v>32</v>
      </c>
      <c r="AF80" s="51" t="s">
        <v>140</v>
      </c>
      <c r="AG80" s="51" t="s">
        <v>140</v>
      </c>
      <c r="AH80" s="30"/>
      <c r="AI80" s="51" t="s">
        <v>140</v>
      </c>
      <c r="AJ80" s="29" t="s">
        <v>32</v>
      </c>
      <c r="AK80" s="51" t="s">
        <v>140</v>
      </c>
      <c r="AL80" s="23"/>
      <c r="AM80" s="23"/>
      <c r="AN80" s="23"/>
      <c r="AO80" s="30"/>
      <c r="AP80" s="23"/>
      <c r="AQ80" s="23"/>
      <c r="AR80" s="23"/>
    </row>
    <row r="81">
      <c r="A81" s="44">
        <v>78.0</v>
      </c>
      <c r="B81" s="45" t="s">
        <v>1039</v>
      </c>
      <c r="C81" s="26" t="s">
        <v>453</v>
      </c>
      <c r="D81" s="26" t="s">
        <v>454</v>
      </c>
      <c r="E81" s="13">
        <f t="shared" si="2"/>
        <v>9</v>
      </c>
      <c r="F81" s="47">
        <f t="shared" si="3"/>
        <v>15</v>
      </c>
      <c r="G81" s="47">
        <f t="shared" si="4"/>
        <v>24</v>
      </c>
      <c r="H81" s="48">
        <f t="shared" si="5"/>
        <v>0.375</v>
      </c>
      <c r="I81" s="24" t="s">
        <v>140</v>
      </c>
      <c r="J81" s="23" t="s">
        <v>32</v>
      </c>
      <c r="K81" s="23" t="s">
        <v>32</v>
      </c>
      <c r="L81" s="49" t="s">
        <v>32</v>
      </c>
      <c r="M81" s="30"/>
      <c r="N81" s="23"/>
      <c r="O81" s="23" t="s">
        <v>140</v>
      </c>
      <c r="P81" s="23" t="s">
        <v>32</v>
      </c>
      <c r="Q81" s="23" t="s">
        <v>32</v>
      </c>
      <c r="R81" s="24" t="s">
        <v>32</v>
      </c>
      <c r="S81" s="24" t="s">
        <v>140</v>
      </c>
      <c r="T81" s="30"/>
      <c r="U81" s="24" t="s">
        <v>32</v>
      </c>
      <c r="V81" s="24" t="s">
        <v>32</v>
      </c>
      <c r="W81" s="24" t="s">
        <v>32</v>
      </c>
      <c r="X81" s="24" t="s">
        <v>140</v>
      </c>
      <c r="Y81" s="24" t="s">
        <v>32</v>
      </c>
      <c r="Z81" s="24" t="s">
        <v>32</v>
      </c>
      <c r="AA81" s="30"/>
      <c r="AB81" s="29" t="s">
        <v>32</v>
      </c>
      <c r="AC81" s="51" t="s">
        <v>140</v>
      </c>
      <c r="AD81" s="29" t="s">
        <v>32</v>
      </c>
      <c r="AE81" s="51" t="s">
        <v>140</v>
      </c>
      <c r="AF81" s="51" t="s">
        <v>140</v>
      </c>
      <c r="AG81" s="51" t="s">
        <v>140</v>
      </c>
      <c r="AH81" s="30"/>
      <c r="AI81" s="51" t="s">
        <v>140</v>
      </c>
      <c r="AJ81" s="29" t="s">
        <v>32</v>
      </c>
      <c r="AK81" s="29" t="s">
        <v>32</v>
      </c>
      <c r="AL81" s="23"/>
      <c r="AM81" s="23"/>
      <c r="AN81" s="23"/>
      <c r="AO81" s="30"/>
      <c r="AP81" s="23"/>
      <c r="AQ81" s="23"/>
      <c r="AR81" s="23"/>
    </row>
    <row r="82">
      <c r="A82" s="44">
        <v>79.0</v>
      </c>
      <c r="B82" s="55" t="s">
        <v>1041</v>
      </c>
      <c r="C82" s="26" t="s">
        <v>1042</v>
      </c>
      <c r="D82" s="26" t="s">
        <v>459</v>
      </c>
      <c r="E82" s="13">
        <f t="shared" si="2"/>
        <v>14</v>
      </c>
      <c r="F82" s="47">
        <f t="shared" si="3"/>
        <v>10</v>
      </c>
      <c r="G82" s="47">
        <f t="shared" si="4"/>
        <v>24</v>
      </c>
      <c r="H82" s="48">
        <f t="shared" si="5"/>
        <v>0.5833333333</v>
      </c>
      <c r="I82" s="24" t="s">
        <v>140</v>
      </c>
      <c r="J82" s="23" t="s">
        <v>140</v>
      </c>
      <c r="K82" s="23" t="s">
        <v>32</v>
      </c>
      <c r="L82" s="49" t="s">
        <v>140</v>
      </c>
      <c r="M82" s="30"/>
      <c r="N82" s="24"/>
      <c r="O82" s="23" t="s">
        <v>140</v>
      </c>
      <c r="P82" s="23" t="s">
        <v>140</v>
      </c>
      <c r="Q82" s="23" t="s">
        <v>32</v>
      </c>
      <c r="R82" s="24" t="s">
        <v>32</v>
      </c>
      <c r="S82" s="24" t="s">
        <v>140</v>
      </c>
      <c r="T82" s="30"/>
      <c r="U82" s="24" t="s">
        <v>140</v>
      </c>
      <c r="V82" s="24" t="s">
        <v>196</v>
      </c>
      <c r="W82" s="24" t="s">
        <v>32</v>
      </c>
      <c r="X82" s="24" t="s">
        <v>140</v>
      </c>
      <c r="Y82" s="24" t="s">
        <v>140</v>
      </c>
      <c r="Z82" s="24" t="s">
        <v>32</v>
      </c>
      <c r="AA82" s="30"/>
      <c r="AB82" s="29" t="s">
        <v>32</v>
      </c>
      <c r="AC82" s="51" t="s">
        <v>140</v>
      </c>
      <c r="AD82" s="51" t="s">
        <v>140</v>
      </c>
      <c r="AE82" s="51" t="s">
        <v>140</v>
      </c>
      <c r="AF82" s="51" t="s">
        <v>140</v>
      </c>
      <c r="AG82" s="29" t="s">
        <v>32</v>
      </c>
      <c r="AH82" s="30"/>
      <c r="AI82" s="29" t="s">
        <v>32</v>
      </c>
      <c r="AJ82" s="29" t="s">
        <v>32</v>
      </c>
      <c r="AK82" s="29" t="s">
        <v>32</v>
      </c>
      <c r="AL82" s="23"/>
      <c r="AM82" s="23"/>
      <c r="AN82" s="23"/>
      <c r="AO82" s="30"/>
      <c r="AP82" s="23"/>
      <c r="AQ82" s="23"/>
      <c r="AR82" s="23"/>
    </row>
    <row r="83">
      <c r="A83" s="44">
        <v>80.0</v>
      </c>
      <c r="B83" s="45" t="s">
        <v>1044</v>
      </c>
      <c r="C83" s="26" t="s">
        <v>463</v>
      </c>
      <c r="D83" s="26" t="s">
        <v>464</v>
      </c>
      <c r="E83" s="13">
        <f t="shared" si="2"/>
        <v>11</v>
      </c>
      <c r="F83" s="47">
        <f t="shared" si="3"/>
        <v>13</v>
      </c>
      <c r="G83" s="47">
        <f t="shared" si="4"/>
        <v>24</v>
      </c>
      <c r="H83" s="48">
        <f t="shared" si="5"/>
        <v>0.4583333333</v>
      </c>
      <c r="I83" s="24" t="s">
        <v>32</v>
      </c>
      <c r="J83" s="23" t="s">
        <v>140</v>
      </c>
      <c r="K83" s="23" t="s">
        <v>140</v>
      </c>
      <c r="L83" s="49" t="s">
        <v>32</v>
      </c>
      <c r="M83" s="30"/>
      <c r="N83" s="23"/>
      <c r="O83" s="23" t="s">
        <v>32</v>
      </c>
      <c r="P83" s="23" t="s">
        <v>32</v>
      </c>
      <c r="Q83" s="23" t="s">
        <v>32</v>
      </c>
      <c r="R83" s="24" t="s">
        <v>32</v>
      </c>
      <c r="S83" s="24" t="s">
        <v>32</v>
      </c>
      <c r="T83" s="30"/>
      <c r="U83" s="24" t="s">
        <v>32</v>
      </c>
      <c r="V83" s="24" t="s">
        <v>32</v>
      </c>
      <c r="W83" s="24" t="s">
        <v>32</v>
      </c>
      <c r="X83" s="24" t="s">
        <v>32</v>
      </c>
      <c r="Y83" s="24" t="s">
        <v>32</v>
      </c>
      <c r="Z83" s="24" t="s">
        <v>32</v>
      </c>
      <c r="AA83" s="30"/>
      <c r="AB83" s="51" t="s">
        <v>140</v>
      </c>
      <c r="AC83" s="51" t="s">
        <v>140</v>
      </c>
      <c r="AD83" s="51" t="s">
        <v>140</v>
      </c>
      <c r="AE83" s="51" t="s">
        <v>140</v>
      </c>
      <c r="AF83" s="51" t="s">
        <v>140</v>
      </c>
      <c r="AG83" s="51" t="s">
        <v>140</v>
      </c>
      <c r="AH83" s="30"/>
      <c r="AI83" s="51" t="s">
        <v>140</v>
      </c>
      <c r="AJ83" s="51" t="s">
        <v>140</v>
      </c>
      <c r="AK83" s="51" t="s">
        <v>140</v>
      </c>
      <c r="AL83" s="23"/>
      <c r="AM83" s="23"/>
      <c r="AN83" s="23"/>
      <c r="AO83" s="30"/>
      <c r="AP83" s="23"/>
      <c r="AQ83" s="23"/>
      <c r="AR83" s="23"/>
    </row>
    <row r="84">
      <c r="A84" s="44">
        <v>81.0</v>
      </c>
      <c r="B84" s="45" t="s">
        <v>1045</v>
      </c>
      <c r="C84" s="26" t="s">
        <v>466</v>
      </c>
      <c r="D84" s="26" t="s">
        <v>467</v>
      </c>
      <c r="E84" s="13">
        <f t="shared" si="2"/>
        <v>5</v>
      </c>
      <c r="F84" s="47">
        <f t="shared" si="3"/>
        <v>19</v>
      </c>
      <c r="G84" s="47">
        <f t="shared" si="4"/>
        <v>24</v>
      </c>
      <c r="H84" s="48">
        <f t="shared" si="5"/>
        <v>0.2083333333</v>
      </c>
      <c r="I84" s="24" t="s">
        <v>140</v>
      </c>
      <c r="J84" s="23" t="s">
        <v>32</v>
      </c>
      <c r="K84" s="23" t="s">
        <v>32</v>
      </c>
      <c r="L84" s="49" t="s">
        <v>32</v>
      </c>
      <c r="M84" s="30"/>
      <c r="N84" s="23"/>
      <c r="O84" s="23" t="s">
        <v>32</v>
      </c>
      <c r="P84" s="23" t="s">
        <v>32</v>
      </c>
      <c r="Q84" s="23" t="s">
        <v>32</v>
      </c>
      <c r="R84" s="24" t="s">
        <v>32</v>
      </c>
      <c r="S84" s="24" t="s">
        <v>32</v>
      </c>
      <c r="T84" s="30"/>
      <c r="U84" s="24" t="s">
        <v>32</v>
      </c>
      <c r="V84" s="24" t="s">
        <v>32</v>
      </c>
      <c r="W84" s="24" t="s">
        <v>32</v>
      </c>
      <c r="X84" s="24" t="s">
        <v>32</v>
      </c>
      <c r="Y84" s="24" t="s">
        <v>32</v>
      </c>
      <c r="Z84" s="24" t="s">
        <v>32</v>
      </c>
      <c r="AA84" s="30"/>
      <c r="AB84" s="29" t="s">
        <v>32</v>
      </c>
      <c r="AC84" s="29" t="s">
        <v>32</v>
      </c>
      <c r="AD84" s="29" t="s">
        <v>32</v>
      </c>
      <c r="AE84" s="51" t="s">
        <v>140</v>
      </c>
      <c r="AF84" s="51" t="s">
        <v>140</v>
      </c>
      <c r="AG84" s="51" t="s">
        <v>140</v>
      </c>
      <c r="AH84" s="30"/>
      <c r="AI84" s="51" t="s">
        <v>140</v>
      </c>
      <c r="AJ84" s="29" t="s">
        <v>32</v>
      </c>
      <c r="AK84" s="29" t="s">
        <v>32</v>
      </c>
      <c r="AL84" s="23"/>
      <c r="AM84" s="23"/>
      <c r="AN84" s="23"/>
      <c r="AO84" s="30"/>
      <c r="AP84" s="23"/>
      <c r="AQ84" s="23"/>
      <c r="AR84" s="23"/>
    </row>
    <row r="85">
      <c r="A85" s="44">
        <v>82.0</v>
      </c>
      <c r="B85" s="72" t="s">
        <v>1046</v>
      </c>
      <c r="C85" s="26" t="s">
        <v>471</v>
      </c>
      <c r="D85" s="26" t="s">
        <v>472</v>
      </c>
      <c r="E85" s="13">
        <f t="shared" si="2"/>
        <v>3</v>
      </c>
      <c r="F85" s="47">
        <f t="shared" si="3"/>
        <v>21</v>
      </c>
      <c r="G85" s="47">
        <f t="shared" si="4"/>
        <v>24</v>
      </c>
      <c r="H85" s="48">
        <f t="shared" si="5"/>
        <v>0.125</v>
      </c>
      <c r="I85" s="24" t="s">
        <v>32</v>
      </c>
      <c r="J85" s="23" t="s">
        <v>140</v>
      </c>
      <c r="K85" s="23" t="s">
        <v>32</v>
      </c>
      <c r="L85" s="49" t="s">
        <v>32</v>
      </c>
      <c r="M85" s="30"/>
      <c r="N85" s="23"/>
      <c r="O85" s="23" t="s">
        <v>32</v>
      </c>
      <c r="P85" s="23" t="s">
        <v>32</v>
      </c>
      <c r="Q85" s="23" t="s">
        <v>32</v>
      </c>
      <c r="R85" s="24" t="s">
        <v>32</v>
      </c>
      <c r="S85" s="24" t="s">
        <v>32</v>
      </c>
      <c r="T85" s="30"/>
      <c r="U85" s="24" t="s">
        <v>32</v>
      </c>
      <c r="V85" s="24" t="s">
        <v>32</v>
      </c>
      <c r="W85" s="24" t="s">
        <v>32</v>
      </c>
      <c r="X85" s="24" t="s">
        <v>32</v>
      </c>
      <c r="Y85" s="24" t="s">
        <v>32</v>
      </c>
      <c r="Z85" s="24" t="s">
        <v>32</v>
      </c>
      <c r="AA85" s="30"/>
      <c r="AB85" s="29" t="s">
        <v>32</v>
      </c>
      <c r="AC85" s="29" t="s">
        <v>32</v>
      </c>
      <c r="AD85" s="29" t="s">
        <v>32</v>
      </c>
      <c r="AE85" s="51" t="s">
        <v>140</v>
      </c>
      <c r="AF85" s="51" t="s">
        <v>140</v>
      </c>
      <c r="AG85" s="29" t="s">
        <v>32</v>
      </c>
      <c r="AH85" s="30"/>
      <c r="AI85" s="29" t="s">
        <v>32</v>
      </c>
      <c r="AJ85" s="29" t="s">
        <v>32</v>
      </c>
      <c r="AK85" s="29" t="s">
        <v>32</v>
      </c>
      <c r="AL85" s="23"/>
      <c r="AM85" s="23"/>
      <c r="AN85" s="23"/>
      <c r="AO85" s="30"/>
      <c r="AP85" s="23"/>
      <c r="AQ85" s="23"/>
      <c r="AR85" s="23"/>
    </row>
    <row r="86">
      <c r="A86" s="44">
        <v>83.0</v>
      </c>
      <c r="B86" s="55" t="s">
        <v>1048</v>
      </c>
      <c r="C86" s="26" t="s">
        <v>1049</v>
      </c>
      <c r="D86" s="26" t="s">
        <v>477</v>
      </c>
      <c r="E86" s="13">
        <f t="shared" si="2"/>
        <v>6</v>
      </c>
      <c r="F86" s="47">
        <f t="shared" si="3"/>
        <v>18</v>
      </c>
      <c r="G86" s="47">
        <f t="shared" si="4"/>
        <v>24</v>
      </c>
      <c r="H86" s="48">
        <f t="shared" si="5"/>
        <v>0.25</v>
      </c>
      <c r="I86" s="24" t="s">
        <v>32</v>
      </c>
      <c r="J86" s="23" t="s">
        <v>140</v>
      </c>
      <c r="K86" s="23" t="s">
        <v>140</v>
      </c>
      <c r="L86" s="49" t="s">
        <v>140</v>
      </c>
      <c r="M86" s="30"/>
      <c r="N86" s="23"/>
      <c r="O86" s="23" t="s">
        <v>32</v>
      </c>
      <c r="P86" s="23" t="s">
        <v>32</v>
      </c>
      <c r="Q86" s="23" t="s">
        <v>140</v>
      </c>
      <c r="R86" s="24" t="s">
        <v>32</v>
      </c>
      <c r="S86" s="24" t="s">
        <v>32</v>
      </c>
      <c r="T86" s="30"/>
      <c r="U86" s="24" t="s">
        <v>32</v>
      </c>
      <c r="V86" s="24" t="s">
        <v>32</v>
      </c>
      <c r="W86" s="24" t="s">
        <v>32</v>
      </c>
      <c r="X86" s="24" t="s">
        <v>32</v>
      </c>
      <c r="Y86" s="24" t="s">
        <v>32</v>
      </c>
      <c r="Z86" s="24" t="s">
        <v>32</v>
      </c>
      <c r="AA86" s="30"/>
      <c r="AB86" s="51" t="s">
        <v>140</v>
      </c>
      <c r="AC86" s="29" t="s">
        <v>32</v>
      </c>
      <c r="AD86" s="29" t="s">
        <v>32</v>
      </c>
      <c r="AE86" s="51" t="s">
        <v>140</v>
      </c>
      <c r="AF86" s="29" t="s">
        <v>32</v>
      </c>
      <c r="AG86" s="29" t="s">
        <v>32</v>
      </c>
      <c r="AH86" s="30"/>
      <c r="AI86" s="29" t="s">
        <v>32</v>
      </c>
      <c r="AJ86" s="29" t="s">
        <v>32</v>
      </c>
      <c r="AK86" s="29" t="s">
        <v>32</v>
      </c>
      <c r="AL86" s="23"/>
      <c r="AM86" s="23"/>
      <c r="AN86" s="23"/>
      <c r="AO86" s="30"/>
      <c r="AP86" s="23"/>
      <c r="AQ86" s="23"/>
      <c r="AR86" s="23"/>
    </row>
    <row r="87">
      <c r="A87" s="44">
        <v>84.0</v>
      </c>
      <c r="B87" s="54" t="s">
        <v>1050</v>
      </c>
      <c r="C87" s="26" t="s">
        <v>1051</v>
      </c>
      <c r="D87" s="26" t="s">
        <v>482</v>
      </c>
      <c r="E87" s="13">
        <f t="shared" si="2"/>
        <v>0</v>
      </c>
      <c r="F87" s="47">
        <f t="shared" si="3"/>
        <v>24</v>
      </c>
      <c r="G87" s="47">
        <f t="shared" si="4"/>
        <v>24</v>
      </c>
      <c r="H87" s="48">
        <f t="shared" si="5"/>
        <v>0</v>
      </c>
      <c r="I87" s="24" t="s">
        <v>32</v>
      </c>
      <c r="J87" s="23" t="s">
        <v>32</v>
      </c>
      <c r="K87" s="23" t="s">
        <v>32</v>
      </c>
      <c r="L87" s="49" t="s">
        <v>32</v>
      </c>
      <c r="M87" s="30"/>
      <c r="N87" s="23"/>
      <c r="O87" s="23" t="s">
        <v>32</v>
      </c>
      <c r="P87" s="23" t="s">
        <v>32</v>
      </c>
      <c r="Q87" s="23" t="s">
        <v>32</v>
      </c>
      <c r="R87" s="24" t="s">
        <v>32</v>
      </c>
      <c r="S87" s="24" t="s">
        <v>32</v>
      </c>
      <c r="T87" s="30"/>
      <c r="U87" s="24" t="s">
        <v>32</v>
      </c>
      <c r="V87" s="24" t="s">
        <v>32</v>
      </c>
      <c r="W87" s="24" t="s">
        <v>32</v>
      </c>
      <c r="X87" s="24" t="s">
        <v>32</v>
      </c>
      <c r="Y87" s="24" t="s">
        <v>32</v>
      </c>
      <c r="Z87" s="24" t="s">
        <v>32</v>
      </c>
      <c r="AA87" s="30"/>
      <c r="AB87" s="29" t="s">
        <v>32</v>
      </c>
      <c r="AC87" s="29" t="s">
        <v>32</v>
      </c>
      <c r="AD87" s="29" t="s">
        <v>32</v>
      </c>
      <c r="AE87" s="29" t="s">
        <v>32</v>
      </c>
      <c r="AF87" s="29" t="s">
        <v>32</v>
      </c>
      <c r="AG87" s="29" t="s">
        <v>32</v>
      </c>
      <c r="AH87" s="30"/>
      <c r="AI87" s="29" t="s">
        <v>32</v>
      </c>
      <c r="AJ87" s="29" t="s">
        <v>32</v>
      </c>
      <c r="AK87" s="29" t="s">
        <v>32</v>
      </c>
      <c r="AL87" s="23"/>
      <c r="AM87" s="23"/>
      <c r="AN87" s="23"/>
      <c r="AO87" s="30"/>
      <c r="AP87" s="23"/>
      <c r="AQ87" s="23"/>
      <c r="AR87" s="23"/>
    </row>
    <row r="88">
      <c r="A88" s="44">
        <v>85.0</v>
      </c>
      <c r="B88" s="55" t="s">
        <v>975</v>
      </c>
      <c r="C88" s="26" t="s">
        <v>485</v>
      </c>
      <c r="D88" s="26" t="s">
        <v>486</v>
      </c>
      <c r="E88" s="13">
        <f t="shared" si="2"/>
        <v>11</v>
      </c>
      <c r="F88" s="47">
        <f t="shared" si="3"/>
        <v>13</v>
      </c>
      <c r="G88" s="47">
        <f t="shared" si="4"/>
        <v>24</v>
      </c>
      <c r="H88" s="48">
        <f t="shared" si="5"/>
        <v>0.4583333333</v>
      </c>
      <c r="I88" s="24" t="s">
        <v>32</v>
      </c>
      <c r="J88" s="23" t="s">
        <v>32</v>
      </c>
      <c r="K88" s="23" t="s">
        <v>32</v>
      </c>
      <c r="L88" s="24" t="s">
        <v>140</v>
      </c>
      <c r="M88" s="30"/>
      <c r="N88" s="23"/>
      <c r="O88" s="23" t="s">
        <v>32</v>
      </c>
      <c r="P88" s="24" t="s">
        <v>140</v>
      </c>
      <c r="Q88" s="23" t="s">
        <v>32</v>
      </c>
      <c r="R88" s="24" t="s">
        <v>140</v>
      </c>
      <c r="S88" s="24" t="s">
        <v>140</v>
      </c>
      <c r="T88" s="30"/>
      <c r="U88" s="24" t="s">
        <v>32</v>
      </c>
      <c r="V88" s="24" t="s">
        <v>196</v>
      </c>
      <c r="W88" s="24" t="s">
        <v>196</v>
      </c>
      <c r="X88" s="24" t="s">
        <v>140</v>
      </c>
      <c r="Y88" s="24" t="s">
        <v>140</v>
      </c>
      <c r="Z88" s="24" t="s">
        <v>140</v>
      </c>
      <c r="AA88" s="30"/>
      <c r="AB88" s="51" t="s">
        <v>140</v>
      </c>
      <c r="AC88" s="29" t="s">
        <v>32</v>
      </c>
      <c r="AD88" s="51" t="s">
        <v>140</v>
      </c>
      <c r="AE88" s="29" t="s">
        <v>32</v>
      </c>
      <c r="AF88" s="29" t="s">
        <v>32</v>
      </c>
      <c r="AG88" s="29" t="s">
        <v>32</v>
      </c>
      <c r="AH88" s="30"/>
      <c r="AI88" s="29" t="s">
        <v>32</v>
      </c>
      <c r="AJ88" s="29" t="s">
        <v>32</v>
      </c>
      <c r="AK88" s="29" t="s">
        <v>32</v>
      </c>
      <c r="AL88" s="23"/>
      <c r="AM88" s="23"/>
      <c r="AN88" s="23"/>
      <c r="AO88" s="30"/>
      <c r="AP88" s="23"/>
      <c r="AQ88" s="23"/>
      <c r="AR88" s="23"/>
    </row>
    <row r="89">
      <c r="A89" s="44">
        <v>86.0</v>
      </c>
      <c r="B89" s="45" t="s">
        <v>1053</v>
      </c>
      <c r="C89" s="26" t="s">
        <v>490</v>
      </c>
      <c r="D89" s="26" t="s">
        <v>491</v>
      </c>
      <c r="E89" s="13">
        <f t="shared" si="2"/>
        <v>17</v>
      </c>
      <c r="F89" s="47">
        <f t="shared" si="3"/>
        <v>7</v>
      </c>
      <c r="G89" s="47">
        <f t="shared" si="4"/>
        <v>24</v>
      </c>
      <c r="H89" s="48">
        <f t="shared" si="5"/>
        <v>0.7083333333</v>
      </c>
      <c r="I89" s="24" t="s">
        <v>140</v>
      </c>
      <c r="J89" s="23" t="s">
        <v>140</v>
      </c>
      <c r="K89" s="23" t="s">
        <v>140</v>
      </c>
      <c r="L89" s="49" t="s">
        <v>140</v>
      </c>
      <c r="M89" s="30"/>
      <c r="N89" s="23"/>
      <c r="O89" s="23" t="s">
        <v>32</v>
      </c>
      <c r="P89" s="23" t="s">
        <v>140</v>
      </c>
      <c r="Q89" s="23" t="s">
        <v>140</v>
      </c>
      <c r="R89" s="24" t="s">
        <v>32</v>
      </c>
      <c r="S89" s="24" t="s">
        <v>32</v>
      </c>
      <c r="T89" s="30"/>
      <c r="U89" s="24" t="s">
        <v>140</v>
      </c>
      <c r="V89" s="24" t="s">
        <v>32</v>
      </c>
      <c r="W89" s="24" t="s">
        <v>196</v>
      </c>
      <c r="X89" s="24" t="s">
        <v>140</v>
      </c>
      <c r="Y89" s="24" t="s">
        <v>140</v>
      </c>
      <c r="Z89" s="24" t="s">
        <v>32</v>
      </c>
      <c r="AA89" s="30"/>
      <c r="AB89" s="51" t="s">
        <v>140</v>
      </c>
      <c r="AC89" s="51" t="s">
        <v>140</v>
      </c>
      <c r="AD89" s="51" t="s">
        <v>140</v>
      </c>
      <c r="AE89" s="51" t="s">
        <v>140</v>
      </c>
      <c r="AF89" s="51" t="s">
        <v>140</v>
      </c>
      <c r="AG89" s="51" t="s">
        <v>140</v>
      </c>
      <c r="AH89" s="30"/>
      <c r="AI89" s="29" t="s">
        <v>32</v>
      </c>
      <c r="AJ89" s="29" t="s">
        <v>32</v>
      </c>
      <c r="AK89" s="51" t="s">
        <v>140</v>
      </c>
      <c r="AL89" s="23"/>
      <c r="AM89" s="23"/>
      <c r="AN89" s="23"/>
      <c r="AO89" s="30"/>
      <c r="AP89" s="23"/>
      <c r="AQ89" s="23"/>
      <c r="AR89" s="23"/>
    </row>
    <row r="90">
      <c r="A90" s="44">
        <v>87.0</v>
      </c>
      <c r="B90" s="72" t="s">
        <v>1054</v>
      </c>
      <c r="C90" s="26" t="s">
        <v>495</v>
      </c>
      <c r="D90" s="26" t="s">
        <v>496</v>
      </c>
      <c r="E90" s="13">
        <f t="shared" si="2"/>
        <v>0</v>
      </c>
      <c r="F90" s="47">
        <f t="shared" si="3"/>
        <v>24</v>
      </c>
      <c r="G90" s="47">
        <f t="shared" si="4"/>
        <v>24</v>
      </c>
      <c r="H90" s="48">
        <f t="shared" si="5"/>
        <v>0</v>
      </c>
      <c r="I90" s="76" t="s">
        <v>32</v>
      </c>
      <c r="J90" s="23" t="s">
        <v>32</v>
      </c>
      <c r="K90" s="23" t="s">
        <v>32</v>
      </c>
      <c r="L90" s="49" t="s">
        <v>32</v>
      </c>
      <c r="M90" s="30"/>
      <c r="N90" s="23"/>
      <c r="O90" s="23" t="s">
        <v>32</v>
      </c>
      <c r="P90" s="23" t="s">
        <v>32</v>
      </c>
      <c r="Q90" s="23" t="s">
        <v>32</v>
      </c>
      <c r="R90" s="24" t="s">
        <v>32</v>
      </c>
      <c r="S90" s="24" t="s">
        <v>32</v>
      </c>
      <c r="T90" s="30"/>
      <c r="U90" s="24" t="s">
        <v>32</v>
      </c>
      <c r="V90" s="24" t="s">
        <v>32</v>
      </c>
      <c r="W90" s="24" t="s">
        <v>32</v>
      </c>
      <c r="X90" s="24" t="s">
        <v>32</v>
      </c>
      <c r="Y90" s="24" t="s">
        <v>32</v>
      </c>
      <c r="Z90" s="24" t="s">
        <v>32</v>
      </c>
      <c r="AA90" s="30"/>
      <c r="AB90" s="29" t="s">
        <v>32</v>
      </c>
      <c r="AC90" s="29" t="s">
        <v>32</v>
      </c>
      <c r="AD90" s="29" t="s">
        <v>32</v>
      </c>
      <c r="AE90" s="29" t="s">
        <v>32</v>
      </c>
      <c r="AF90" s="29" t="s">
        <v>32</v>
      </c>
      <c r="AG90" s="29" t="s">
        <v>32</v>
      </c>
      <c r="AH90" s="30"/>
      <c r="AI90" s="29" t="s">
        <v>32</v>
      </c>
      <c r="AJ90" s="29" t="s">
        <v>32</v>
      </c>
      <c r="AK90" s="29" t="s">
        <v>32</v>
      </c>
      <c r="AL90" s="23"/>
      <c r="AM90" s="23"/>
      <c r="AN90" s="23"/>
      <c r="AO90" s="30"/>
      <c r="AP90" s="23"/>
      <c r="AQ90" s="23"/>
      <c r="AR90" s="23"/>
    </row>
    <row r="91">
      <c r="A91" s="44">
        <v>88.0</v>
      </c>
      <c r="B91" s="55" t="s">
        <v>1058</v>
      </c>
      <c r="C91" s="26" t="s">
        <v>1059</v>
      </c>
      <c r="D91" s="26" t="s">
        <v>501</v>
      </c>
      <c r="E91" s="13">
        <f t="shared" si="2"/>
        <v>0</v>
      </c>
      <c r="F91" s="47">
        <f t="shared" si="3"/>
        <v>24</v>
      </c>
      <c r="G91" s="47">
        <f t="shared" si="4"/>
        <v>24</v>
      </c>
      <c r="H91" s="48">
        <f t="shared" si="5"/>
        <v>0</v>
      </c>
      <c r="I91" s="24" t="s">
        <v>32</v>
      </c>
      <c r="J91" s="23" t="s">
        <v>32</v>
      </c>
      <c r="K91" s="23" t="s">
        <v>32</v>
      </c>
      <c r="L91" s="49" t="s">
        <v>32</v>
      </c>
      <c r="M91" s="30"/>
      <c r="N91" s="23"/>
      <c r="O91" s="23" t="s">
        <v>32</v>
      </c>
      <c r="P91" s="23" t="s">
        <v>32</v>
      </c>
      <c r="Q91" s="23" t="s">
        <v>32</v>
      </c>
      <c r="R91" s="24" t="s">
        <v>32</v>
      </c>
      <c r="S91" s="24" t="s">
        <v>32</v>
      </c>
      <c r="T91" s="30"/>
      <c r="U91" s="24" t="s">
        <v>32</v>
      </c>
      <c r="V91" s="24" t="s">
        <v>32</v>
      </c>
      <c r="W91" s="24" t="s">
        <v>32</v>
      </c>
      <c r="X91" s="24" t="s">
        <v>32</v>
      </c>
      <c r="Y91" s="24" t="s">
        <v>32</v>
      </c>
      <c r="Z91" s="24" t="s">
        <v>32</v>
      </c>
      <c r="AA91" s="30"/>
      <c r="AB91" s="29" t="s">
        <v>32</v>
      </c>
      <c r="AC91" s="29" t="s">
        <v>32</v>
      </c>
      <c r="AD91" s="29" t="s">
        <v>32</v>
      </c>
      <c r="AE91" s="29" t="s">
        <v>32</v>
      </c>
      <c r="AF91" s="29" t="s">
        <v>32</v>
      </c>
      <c r="AG91" s="29" t="s">
        <v>32</v>
      </c>
      <c r="AH91" s="30"/>
      <c r="AI91" s="29" t="s">
        <v>32</v>
      </c>
      <c r="AJ91" s="29" t="s">
        <v>32</v>
      </c>
      <c r="AK91" s="29" t="s">
        <v>32</v>
      </c>
      <c r="AL91" s="23"/>
      <c r="AM91" s="23"/>
      <c r="AN91" s="23"/>
      <c r="AO91" s="30"/>
      <c r="AP91" s="23"/>
      <c r="AQ91" s="23"/>
      <c r="AR91" s="23"/>
    </row>
    <row r="92">
      <c r="A92" s="44">
        <v>89.0</v>
      </c>
      <c r="B92" s="55" t="s">
        <v>1060</v>
      </c>
      <c r="C92" s="26" t="s">
        <v>1059</v>
      </c>
      <c r="D92" s="26" t="s">
        <v>510</v>
      </c>
      <c r="E92" s="13">
        <f t="shared" si="2"/>
        <v>0</v>
      </c>
      <c r="F92" s="47">
        <f t="shared" si="3"/>
        <v>24</v>
      </c>
      <c r="G92" s="47">
        <f t="shared" si="4"/>
        <v>24</v>
      </c>
      <c r="H92" s="48">
        <f t="shared" si="5"/>
        <v>0</v>
      </c>
      <c r="I92" s="24" t="s">
        <v>32</v>
      </c>
      <c r="J92" s="23" t="s">
        <v>32</v>
      </c>
      <c r="K92" s="23" t="s">
        <v>32</v>
      </c>
      <c r="L92" s="49" t="s">
        <v>32</v>
      </c>
      <c r="M92" s="30"/>
      <c r="N92" s="23"/>
      <c r="O92" s="23" t="s">
        <v>32</v>
      </c>
      <c r="P92" s="23" t="s">
        <v>32</v>
      </c>
      <c r="Q92" s="23" t="s">
        <v>32</v>
      </c>
      <c r="R92" s="24" t="s">
        <v>32</v>
      </c>
      <c r="S92" s="24" t="s">
        <v>32</v>
      </c>
      <c r="T92" s="30"/>
      <c r="U92" s="24" t="s">
        <v>32</v>
      </c>
      <c r="V92" s="24" t="s">
        <v>32</v>
      </c>
      <c r="W92" s="24" t="s">
        <v>32</v>
      </c>
      <c r="X92" s="24" t="s">
        <v>32</v>
      </c>
      <c r="Y92" s="24" t="s">
        <v>32</v>
      </c>
      <c r="Z92" s="24" t="s">
        <v>32</v>
      </c>
      <c r="AA92" s="30"/>
      <c r="AB92" s="29" t="s">
        <v>32</v>
      </c>
      <c r="AC92" s="29" t="s">
        <v>32</v>
      </c>
      <c r="AD92" s="29" t="s">
        <v>32</v>
      </c>
      <c r="AE92" s="29" t="s">
        <v>32</v>
      </c>
      <c r="AF92" s="29" t="s">
        <v>32</v>
      </c>
      <c r="AG92" s="29" t="s">
        <v>32</v>
      </c>
      <c r="AH92" s="30"/>
      <c r="AI92" s="29" t="s">
        <v>32</v>
      </c>
      <c r="AJ92" s="29" t="s">
        <v>32</v>
      </c>
      <c r="AK92" s="29" t="s">
        <v>32</v>
      </c>
      <c r="AL92" s="23"/>
      <c r="AM92" s="23"/>
      <c r="AN92" s="23"/>
      <c r="AO92" s="30"/>
      <c r="AP92" s="23"/>
      <c r="AQ92" s="23"/>
      <c r="AR92" s="23"/>
    </row>
    <row r="93">
      <c r="A93" s="44">
        <v>90.0</v>
      </c>
      <c r="B93" s="54" t="s">
        <v>1061</v>
      </c>
      <c r="C93" s="26" t="s">
        <v>1062</v>
      </c>
      <c r="D93" s="26" t="s">
        <v>515</v>
      </c>
      <c r="E93" s="13">
        <f t="shared" si="2"/>
        <v>1</v>
      </c>
      <c r="F93" s="47">
        <f t="shared" si="3"/>
        <v>23</v>
      </c>
      <c r="G93" s="47">
        <f t="shared" si="4"/>
        <v>24</v>
      </c>
      <c r="H93" s="48">
        <f t="shared" si="5"/>
        <v>0.04166666667</v>
      </c>
      <c r="I93" s="24" t="s">
        <v>32</v>
      </c>
      <c r="J93" s="23" t="s">
        <v>32</v>
      </c>
      <c r="K93" s="23" t="s">
        <v>32</v>
      </c>
      <c r="L93" s="49" t="s">
        <v>32</v>
      </c>
      <c r="M93" s="30"/>
      <c r="N93" s="23"/>
      <c r="O93" s="23" t="s">
        <v>32</v>
      </c>
      <c r="P93" s="23" t="s">
        <v>32</v>
      </c>
      <c r="Q93" s="23" t="s">
        <v>32</v>
      </c>
      <c r="R93" s="24" t="s">
        <v>32</v>
      </c>
      <c r="S93" s="24" t="s">
        <v>32</v>
      </c>
      <c r="T93" s="30"/>
      <c r="U93" s="24" t="s">
        <v>32</v>
      </c>
      <c r="V93" s="24" t="s">
        <v>32</v>
      </c>
      <c r="W93" s="24" t="s">
        <v>32</v>
      </c>
      <c r="X93" s="24" t="s">
        <v>32</v>
      </c>
      <c r="Y93" s="24" t="s">
        <v>32</v>
      </c>
      <c r="Z93" s="24" t="s">
        <v>32</v>
      </c>
      <c r="AA93" s="30"/>
      <c r="AB93" s="29" t="s">
        <v>32</v>
      </c>
      <c r="AC93" s="29" t="s">
        <v>32</v>
      </c>
      <c r="AD93" s="29" t="s">
        <v>32</v>
      </c>
      <c r="AE93" s="51" t="s">
        <v>140</v>
      </c>
      <c r="AF93" s="29" t="s">
        <v>32</v>
      </c>
      <c r="AG93" s="29" t="s">
        <v>32</v>
      </c>
      <c r="AH93" s="30"/>
      <c r="AI93" s="29" t="s">
        <v>32</v>
      </c>
      <c r="AJ93" s="29" t="s">
        <v>32</v>
      </c>
      <c r="AK93" s="29" t="s">
        <v>32</v>
      </c>
      <c r="AL93" s="23"/>
      <c r="AM93" s="23"/>
      <c r="AN93" s="23"/>
      <c r="AO93" s="30"/>
      <c r="AP93" s="23"/>
      <c r="AQ93" s="23"/>
      <c r="AR93" s="23"/>
    </row>
    <row r="94">
      <c r="A94" s="44">
        <v>91.0</v>
      </c>
      <c r="B94" s="77" t="s">
        <v>1063</v>
      </c>
      <c r="C94" s="26" t="s">
        <v>517</v>
      </c>
      <c r="D94" s="26" t="s">
        <v>519</v>
      </c>
      <c r="E94" s="13">
        <f t="shared" si="2"/>
        <v>1</v>
      </c>
      <c r="F94" s="47">
        <f t="shared" si="3"/>
        <v>23</v>
      </c>
      <c r="G94" s="47">
        <f t="shared" si="4"/>
        <v>24</v>
      </c>
      <c r="H94" s="48">
        <f t="shared" si="5"/>
        <v>0.04166666667</v>
      </c>
      <c r="I94" s="24" t="s">
        <v>32</v>
      </c>
      <c r="J94" s="23" t="s">
        <v>140</v>
      </c>
      <c r="K94" s="23" t="s">
        <v>32</v>
      </c>
      <c r="L94" s="49" t="s">
        <v>32</v>
      </c>
      <c r="M94" s="30"/>
      <c r="N94" s="23"/>
      <c r="O94" s="23" t="s">
        <v>32</v>
      </c>
      <c r="P94" s="23" t="s">
        <v>32</v>
      </c>
      <c r="Q94" s="23" t="s">
        <v>32</v>
      </c>
      <c r="R94" s="24" t="s">
        <v>32</v>
      </c>
      <c r="S94" s="24" t="s">
        <v>32</v>
      </c>
      <c r="T94" s="30"/>
      <c r="U94" s="24" t="s">
        <v>32</v>
      </c>
      <c r="V94" s="24" t="s">
        <v>32</v>
      </c>
      <c r="W94" s="24" t="s">
        <v>32</v>
      </c>
      <c r="X94" s="24" t="s">
        <v>32</v>
      </c>
      <c r="Y94" s="24" t="s">
        <v>32</v>
      </c>
      <c r="Z94" s="24" t="s">
        <v>32</v>
      </c>
      <c r="AA94" s="30"/>
      <c r="AB94" s="29" t="s">
        <v>32</v>
      </c>
      <c r="AC94" s="29" t="s">
        <v>32</v>
      </c>
      <c r="AD94" s="29" t="s">
        <v>32</v>
      </c>
      <c r="AE94" s="29" t="s">
        <v>32</v>
      </c>
      <c r="AF94" s="29" t="s">
        <v>32</v>
      </c>
      <c r="AG94" s="29" t="s">
        <v>32</v>
      </c>
      <c r="AH94" s="30"/>
      <c r="AI94" s="29" t="s">
        <v>32</v>
      </c>
      <c r="AJ94" s="29" t="s">
        <v>32</v>
      </c>
      <c r="AK94" s="29" t="s">
        <v>32</v>
      </c>
      <c r="AL94" s="23"/>
      <c r="AM94" s="23"/>
      <c r="AN94" s="23"/>
      <c r="AO94" s="30"/>
      <c r="AP94" s="23"/>
      <c r="AQ94" s="23"/>
      <c r="AR94" s="23"/>
    </row>
    <row r="95">
      <c r="A95" s="44">
        <v>92.0</v>
      </c>
      <c r="B95" s="55" t="s">
        <v>798</v>
      </c>
      <c r="C95" s="26" t="s">
        <v>523</v>
      </c>
      <c r="D95" s="26" t="s">
        <v>524</v>
      </c>
      <c r="E95" s="13">
        <f t="shared" si="2"/>
        <v>12</v>
      </c>
      <c r="F95" s="47">
        <f t="shared" si="3"/>
        <v>12</v>
      </c>
      <c r="G95" s="47">
        <f t="shared" si="4"/>
        <v>24</v>
      </c>
      <c r="H95" s="48">
        <f t="shared" si="5"/>
        <v>0.5</v>
      </c>
      <c r="I95" s="24" t="s">
        <v>140</v>
      </c>
      <c r="J95" s="23" t="s">
        <v>140</v>
      </c>
      <c r="K95" s="23" t="s">
        <v>140</v>
      </c>
      <c r="L95" s="49" t="s">
        <v>140</v>
      </c>
      <c r="M95" s="30"/>
      <c r="N95" s="24"/>
      <c r="O95" s="23" t="s">
        <v>140</v>
      </c>
      <c r="P95" s="23" t="s">
        <v>140</v>
      </c>
      <c r="Q95" s="23" t="s">
        <v>140</v>
      </c>
      <c r="R95" s="24" t="s">
        <v>32</v>
      </c>
      <c r="S95" s="24" t="s">
        <v>140</v>
      </c>
      <c r="T95" s="30"/>
      <c r="U95" s="24" t="s">
        <v>32</v>
      </c>
      <c r="V95" s="24" t="s">
        <v>32</v>
      </c>
      <c r="W95" s="24" t="s">
        <v>32</v>
      </c>
      <c r="X95" s="24" t="s">
        <v>32</v>
      </c>
      <c r="Y95" s="24" t="s">
        <v>140</v>
      </c>
      <c r="Z95" s="24" t="s">
        <v>32</v>
      </c>
      <c r="AA95" s="30"/>
      <c r="AB95" s="51" t="s">
        <v>140</v>
      </c>
      <c r="AC95" s="29" t="s">
        <v>32</v>
      </c>
      <c r="AD95" s="51" t="s">
        <v>140</v>
      </c>
      <c r="AE95" s="29" t="s">
        <v>32</v>
      </c>
      <c r="AF95" s="29" t="s">
        <v>32</v>
      </c>
      <c r="AG95" s="29" t="s">
        <v>32</v>
      </c>
      <c r="AH95" s="30"/>
      <c r="AI95" s="29" t="s">
        <v>32</v>
      </c>
      <c r="AJ95" s="29" t="s">
        <v>32</v>
      </c>
      <c r="AK95" s="51" t="s">
        <v>140</v>
      </c>
      <c r="AL95" s="23"/>
      <c r="AM95" s="23"/>
      <c r="AN95" s="23"/>
      <c r="AO95" s="30"/>
      <c r="AP95" s="23"/>
      <c r="AQ95" s="23"/>
      <c r="AR95" s="23"/>
    </row>
    <row r="96">
      <c r="A96" s="44">
        <v>93.0</v>
      </c>
      <c r="B96" s="45" t="s">
        <v>1066</v>
      </c>
      <c r="C96" s="26" t="s">
        <v>528</v>
      </c>
      <c r="D96" s="26" t="s">
        <v>529</v>
      </c>
      <c r="E96" s="13">
        <f t="shared" si="2"/>
        <v>1</v>
      </c>
      <c r="F96" s="47">
        <f t="shared" si="3"/>
        <v>23</v>
      </c>
      <c r="G96" s="47">
        <f t="shared" si="4"/>
        <v>24</v>
      </c>
      <c r="H96" s="48">
        <f t="shared" si="5"/>
        <v>0.04166666667</v>
      </c>
      <c r="I96" s="24" t="s">
        <v>32</v>
      </c>
      <c r="J96" s="23" t="s">
        <v>140</v>
      </c>
      <c r="K96" s="23" t="s">
        <v>32</v>
      </c>
      <c r="L96" s="49" t="s">
        <v>32</v>
      </c>
      <c r="M96" s="30"/>
      <c r="N96" s="23"/>
      <c r="O96" s="23" t="s">
        <v>32</v>
      </c>
      <c r="P96" s="23" t="s">
        <v>32</v>
      </c>
      <c r="Q96" s="23" t="s">
        <v>32</v>
      </c>
      <c r="R96" s="24" t="s">
        <v>32</v>
      </c>
      <c r="S96" s="24" t="s">
        <v>32</v>
      </c>
      <c r="T96" s="30"/>
      <c r="U96" s="24" t="s">
        <v>32</v>
      </c>
      <c r="V96" s="24" t="s">
        <v>32</v>
      </c>
      <c r="W96" s="24" t="s">
        <v>32</v>
      </c>
      <c r="X96" s="24" t="s">
        <v>32</v>
      </c>
      <c r="Y96" s="24" t="s">
        <v>32</v>
      </c>
      <c r="Z96" s="24" t="s">
        <v>32</v>
      </c>
      <c r="AA96" s="30"/>
      <c r="AB96" s="29" t="s">
        <v>32</v>
      </c>
      <c r="AC96" s="29" t="s">
        <v>32</v>
      </c>
      <c r="AD96" s="29" t="s">
        <v>32</v>
      </c>
      <c r="AE96" s="29" t="s">
        <v>32</v>
      </c>
      <c r="AF96" s="29" t="s">
        <v>32</v>
      </c>
      <c r="AG96" s="29" t="s">
        <v>32</v>
      </c>
      <c r="AH96" s="30"/>
      <c r="AI96" s="29" t="s">
        <v>32</v>
      </c>
      <c r="AJ96" s="29" t="s">
        <v>32</v>
      </c>
      <c r="AK96" s="29" t="s">
        <v>32</v>
      </c>
      <c r="AL96" s="23"/>
      <c r="AM96" s="23"/>
      <c r="AN96" s="23"/>
      <c r="AO96" s="30"/>
      <c r="AP96" s="23"/>
      <c r="AQ96" s="23"/>
      <c r="AR96" s="23"/>
    </row>
    <row r="97">
      <c r="A97" s="44">
        <v>94.0</v>
      </c>
      <c r="B97" s="45" t="s">
        <v>1068</v>
      </c>
      <c r="C97" s="26" t="s">
        <v>533</v>
      </c>
      <c r="D97" s="26" t="s">
        <v>534</v>
      </c>
      <c r="E97" s="13">
        <f t="shared" si="2"/>
        <v>6</v>
      </c>
      <c r="F97" s="47">
        <f t="shared" si="3"/>
        <v>18</v>
      </c>
      <c r="G97" s="47">
        <f t="shared" si="4"/>
        <v>24</v>
      </c>
      <c r="H97" s="48">
        <f t="shared" si="5"/>
        <v>0.25</v>
      </c>
      <c r="I97" s="24" t="s">
        <v>140</v>
      </c>
      <c r="J97" s="23" t="s">
        <v>140</v>
      </c>
      <c r="K97" s="23" t="s">
        <v>32</v>
      </c>
      <c r="L97" s="49" t="s">
        <v>32</v>
      </c>
      <c r="M97" s="30"/>
      <c r="N97" s="23"/>
      <c r="O97" s="23" t="s">
        <v>32</v>
      </c>
      <c r="P97" s="23" t="s">
        <v>32</v>
      </c>
      <c r="Q97" s="23" t="s">
        <v>140</v>
      </c>
      <c r="R97" s="24" t="s">
        <v>140</v>
      </c>
      <c r="S97" s="24" t="s">
        <v>32</v>
      </c>
      <c r="T97" s="30"/>
      <c r="U97" s="24" t="s">
        <v>32</v>
      </c>
      <c r="V97" s="24" t="s">
        <v>32</v>
      </c>
      <c r="W97" s="24" t="s">
        <v>32</v>
      </c>
      <c r="X97" s="24" t="s">
        <v>140</v>
      </c>
      <c r="Y97" s="24" t="s">
        <v>140</v>
      </c>
      <c r="Z97" s="24" t="s">
        <v>32</v>
      </c>
      <c r="AA97" s="30"/>
      <c r="AB97" s="29" t="s">
        <v>32</v>
      </c>
      <c r="AC97" s="29" t="s">
        <v>32</v>
      </c>
      <c r="AD97" s="29" t="s">
        <v>32</v>
      </c>
      <c r="AE97" s="29" t="s">
        <v>32</v>
      </c>
      <c r="AF97" s="29" t="s">
        <v>32</v>
      </c>
      <c r="AG97" s="29" t="s">
        <v>32</v>
      </c>
      <c r="AH97" s="30"/>
      <c r="AI97" s="29" t="s">
        <v>32</v>
      </c>
      <c r="AJ97" s="29" t="s">
        <v>32</v>
      </c>
      <c r="AK97" s="29" t="s">
        <v>32</v>
      </c>
      <c r="AL97" s="23"/>
      <c r="AM97" s="23"/>
      <c r="AN97" s="23"/>
      <c r="AO97" s="30"/>
      <c r="AP97" s="23"/>
      <c r="AQ97" s="23"/>
      <c r="AR97" s="23"/>
    </row>
    <row r="98">
      <c r="A98" s="44">
        <v>95.0</v>
      </c>
      <c r="B98" s="55" t="s">
        <v>1052</v>
      </c>
      <c r="C98" s="26" t="s">
        <v>537</v>
      </c>
      <c r="D98" s="26" t="s">
        <v>538</v>
      </c>
      <c r="E98" s="13">
        <f t="shared" si="2"/>
        <v>19</v>
      </c>
      <c r="F98" s="47">
        <f t="shared" si="3"/>
        <v>5</v>
      </c>
      <c r="G98" s="47">
        <f t="shared" si="4"/>
        <v>24</v>
      </c>
      <c r="H98" s="48">
        <f t="shared" si="5"/>
        <v>0.7916666667</v>
      </c>
      <c r="I98" s="24" t="s">
        <v>140</v>
      </c>
      <c r="J98" s="23" t="s">
        <v>140</v>
      </c>
      <c r="K98" s="23" t="s">
        <v>140</v>
      </c>
      <c r="L98" s="49" t="s">
        <v>140</v>
      </c>
      <c r="M98" s="30"/>
      <c r="N98" s="24"/>
      <c r="O98" s="23" t="s">
        <v>140</v>
      </c>
      <c r="P98" s="23" t="s">
        <v>140</v>
      </c>
      <c r="Q98" s="23" t="s">
        <v>140</v>
      </c>
      <c r="R98" s="24" t="s">
        <v>140</v>
      </c>
      <c r="S98" s="24" t="s">
        <v>140</v>
      </c>
      <c r="T98" s="30"/>
      <c r="U98" s="24" t="s">
        <v>140</v>
      </c>
      <c r="V98" s="24" t="s">
        <v>196</v>
      </c>
      <c r="W98" s="24" t="s">
        <v>196</v>
      </c>
      <c r="X98" s="24" t="s">
        <v>140</v>
      </c>
      <c r="Y98" s="24" t="s">
        <v>140</v>
      </c>
      <c r="Z98" s="24" t="s">
        <v>140</v>
      </c>
      <c r="AA98" s="30"/>
      <c r="AB98" s="51" t="s">
        <v>140</v>
      </c>
      <c r="AC98" s="29" t="s">
        <v>32</v>
      </c>
      <c r="AD98" s="29" t="s">
        <v>32</v>
      </c>
      <c r="AE98" s="51" t="s">
        <v>140</v>
      </c>
      <c r="AF98" s="29" t="s">
        <v>32</v>
      </c>
      <c r="AG98" s="29" t="s">
        <v>32</v>
      </c>
      <c r="AH98" s="30"/>
      <c r="AI98" s="29" t="s">
        <v>32</v>
      </c>
      <c r="AJ98" s="51" t="s">
        <v>140</v>
      </c>
      <c r="AK98" s="51" t="s">
        <v>140</v>
      </c>
      <c r="AL98" s="23"/>
      <c r="AM98" s="23"/>
      <c r="AN98" s="23"/>
      <c r="AO98" s="30"/>
      <c r="AP98" s="23"/>
      <c r="AQ98" s="23"/>
      <c r="AR98" s="23"/>
    </row>
    <row r="99">
      <c r="A99" s="44">
        <v>96.0</v>
      </c>
      <c r="B99" s="72" t="s">
        <v>1069</v>
      </c>
      <c r="C99" s="26" t="s">
        <v>543</v>
      </c>
      <c r="D99" s="26" t="s">
        <v>544</v>
      </c>
      <c r="E99" s="13">
        <f t="shared" si="2"/>
        <v>9</v>
      </c>
      <c r="F99" s="47">
        <f t="shared" si="3"/>
        <v>15</v>
      </c>
      <c r="G99" s="47">
        <f t="shared" si="4"/>
        <v>24</v>
      </c>
      <c r="H99" s="48">
        <f t="shared" si="5"/>
        <v>0.375</v>
      </c>
      <c r="I99" s="24" t="s">
        <v>32</v>
      </c>
      <c r="J99" s="23" t="s">
        <v>32</v>
      </c>
      <c r="K99" s="23" t="s">
        <v>32</v>
      </c>
      <c r="L99" s="49" t="s">
        <v>32</v>
      </c>
      <c r="M99" s="30"/>
      <c r="N99" s="23"/>
      <c r="O99" s="23" t="s">
        <v>32</v>
      </c>
      <c r="P99" s="23" t="s">
        <v>32</v>
      </c>
      <c r="Q99" s="23" t="s">
        <v>32</v>
      </c>
      <c r="R99" s="24" t="s">
        <v>32</v>
      </c>
      <c r="S99" s="24" t="s">
        <v>140</v>
      </c>
      <c r="T99" s="30"/>
      <c r="U99" s="24" t="s">
        <v>140</v>
      </c>
      <c r="V99" s="24" t="s">
        <v>32</v>
      </c>
      <c r="W99" s="24" t="s">
        <v>32</v>
      </c>
      <c r="X99" s="24" t="s">
        <v>32</v>
      </c>
      <c r="Y99" s="24" t="s">
        <v>32</v>
      </c>
      <c r="Z99" s="24" t="s">
        <v>32</v>
      </c>
      <c r="AA99" s="30"/>
      <c r="AB99" s="51" t="s">
        <v>140</v>
      </c>
      <c r="AC99" s="51" t="s">
        <v>140</v>
      </c>
      <c r="AD99" s="29" t="s">
        <v>32</v>
      </c>
      <c r="AE99" s="51" t="s">
        <v>140</v>
      </c>
      <c r="AF99" s="51" t="s">
        <v>140</v>
      </c>
      <c r="AG99" s="51" t="s">
        <v>140</v>
      </c>
      <c r="AH99" s="30"/>
      <c r="AI99" s="51" t="s">
        <v>140</v>
      </c>
      <c r="AJ99" s="29" t="s">
        <v>32</v>
      </c>
      <c r="AK99" s="51" t="s">
        <v>140</v>
      </c>
      <c r="AL99" s="23"/>
      <c r="AM99" s="23"/>
      <c r="AN99" s="23"/>
      <c r="AO99" s="30"/>
      <c r="AP99" s="23"/>
      <c r="AQ99" s="23"/>
      <c r="AR99" s="23"/>
    </row>
    <row r="100">
      <c r="A100" s="44">
        <v>97.0</v>
      </c>
      <c r="B100" s="45" t="s">
        <v>1072</v>
      </c>
      <c r="C100" s="26" t="s">
        <v>547</v>
      </c>
      <c r="D100" s="26" t="s">
        <v>549</v>
      </c>
      <c r="E100" s="13">
        <f t="shared" si="2"/>
        <v>0</v>
      </c>
      <c r="F100" s="47">
        <f t="shared" si="3"/>
        <v>24</v>
      </c>
      <c r="G100" s="47">
        <f t="shared" si="4"/>
        <v>24</v>
      </c>
      <c r="H100" s="48">
        <f t="shared" si="5"/>
        <v>0</v>
      </c>
      <c r="I100" s="24" t="s">
        <v>32</v>
      </c>
      <c r="J100" s="23" t="s">
        <v>32</v>
      </c>
      <c r="K100" s="23" t="s">
        <v>32</v>
      </c>
      <c r="L100" s="49" t="s">
        <v>32</v>
      </c>
      <c r="M100" s="30"/>
      <c r="N100" s="23"/>
      <c r="O100" s="23" t="s">
        <v>32</v>
      </c>
      <c r="P100" s="23" t="s">
        <v>32</v>
      </c>
      <c r="Q100" s="23" t="s">
        <v>32</v>
      </c>
      <c r="R100" s="24" t="s">
        <v>32</v>
      </c>
      <c r="S100" s="24" t="s">
        <v>32</v>
      </c>
      <c r="T100" s="30"/>
      <c r="U100" s="24" t="s">
        <v>32</v>
      </c>
      <c r="V100" s="24" t="s">
        <v>32</v>
      </c>
      <c r="W100" s="24" t="s">
        <v>32</v>
      </c>
      <c r="X100" s="24" t="s">
        <v>32</v>
      </c>
      <c r="Y100" s="24" t="s">
        <v>32</v>
      </c>
      <c r="Z100" s="24" t="s">
        <v>32</v>
      </c>
      <c r="AA100" s="30"/>
      <c r="AB100" s="29" t="s">
        <v>32</v>
      </c>
      <c r="AC100" s="29" t="s">
        <v>32</v>
      </c>
      <c r="AD100" s="29" t="s">
        <v>32</v>
      </c>
      <c r="AE100" s="29" t="s">
        <v>32</v>
      </c>
      <c r="AF100" s="29" t="s">
        <v>32</v>
      </c>
      <c r="AG100" s="29" t="s">
        <v>32</v>
      </c>
      <c r="AH100" s="30"/>
      <c r="AI100" s="29" t="s">
        <v>32</v>
      </c>
      <c r="AJ100" s="29" t="s">
        <v>32</v>
      </c>
      <c r="AK100" s="29" t="s">
        <v>32</v>
      </c>
      <c r="AL100" s="23"/>
      <c r="AM100" s="23"/>
      <c r="AN100" s="23"/>
      <c r="AO100" s="30"/>
      <c r="AP100" s="23"/>
      <c r="AQ100" s="23"/>
      <c r="AR100" s="23"/>
    </row>
    <row r="101">
      <c r="A101" s="44">
        <v>98.0</v>
      </c>
      <c r="B101" s="55" t="s">
        <v>1073</v>
      </c>
      <c r="C101" s="26" t="s">
        <v>1074</v>
      </c>
      <c r="D101" s="26" t="s">
        <v>553</v>
      </c>
      <c r="E101" s="13">
        <f t="shared" si="2"/>
        <v>8</v>
      </c>
      <c r="F101" s="47">
        <f t="shared" si="3"/>
        <v>16</v>
      </c>
      <c r="G101" s="47">
        <f t="shared" si="4"/>
        <v>24</v>
      </c>
      <c r="H101" s="48">
        <f t="shared" si="5"/>
        <v>0.3333333333</v>
      </c>
      <c r="I101" s="24" t="s">
        <v>140</v>
      </c>
      <c r="J101" s="23" t="s">
        <v>140</v>
      </c>
      <c r="K101" s="23" t="s">
        <v>140</v>
      </c>
      <c r="L101" s="49" t="s">
        <v>140</v>
      </c>
      <c r="M101" s="30"/>
      <c r="N101" s="23"/>
      <c r="O101" s="23" t="s">
        <v>32</v>
      </c>
      <c r="P101" s="23" t="s">
        <v>32</v>
      </c>
      <c r="Q101" s="23" t="s">
        <v>32</v>
      </c>
      <c r="R101" s="24" t="s">
        <v>32</v>
      </c>
      <c r="S101" s="24" t="s">
        <v>32</v>
      </c>
      <c r="T101" s="30"/>
      <c r="U101" s="24" t="s">
        <v>140</v>
      </c>
      <c r="V101" s="24" t="s">
        <v>32</v>
      </c>
      <c r="W101" s="24" t="s">
        <v>32</v>
      </c>
      <c r="X101" s="24" t="s">
        <v>32</v>
      </c>
      <c r="Y101" s="24" t="s">
        <v>32</v>
      </c>
      <c r="Z101" s="24" t="s">
        <v>32</v>
      </c>
      <c r="AA101" s="30"/>
      <c r="AB101" s="51" t="s">
        <v>140</v>
      </c>
      <c r="AC101" s="51" t="s">
        <v>140</v>
      </c>
      <c r="AD101" s="51" t="s">
        <v>140</v>
      </c>
      <c r="AE101" s="29" t="s">
        <v>32</v>
      </c>
      <c r="AF101" s="29" t="s">
        <v>32</v>
      </c>
      <c r="AG101" s="29" t="s">
        <v>32</v>
      </c>
      <c r="AH101" s="30"/>
      <c r="AI101" s="29" t="s">
        <v>32</v>
      </c>
      <c r="AJ101" s="29" t="s">
        <v>32</v>
      </c>
      <c r="AK101" s="29" t="s">
        <v>32</v>
      </c>
      <c r="AL101" s="23"/>
      <c r="AM101" s="23"/>
      <c r="AN101" s="23"/>
      <c r="AO101" s="30"/>
      <c r="AP101" s="23"/>
      <c r="AQ101" s="23"/>
      <c r="AR101" s="23"/>
    </row>
    <row r="102">
      <c r="A102" s="44">
        <v>99.0</v>
      </c>
      <c r="B102" s="45" t="s">
        <v>1076</v>
      </c>
      <c r="C102" s="26" t="s">
        <v>558</v>
      </c>
      <c r="D102" s="26" t="s">
        <v>560</v>
      </c>
      <c r="E102" s="13">
        <f t="shared" si="2"/>
        <v>6</v>
      </c>
      <c r="F102" s="47">
        <f t="shared" si="3"/>
        <v>18</v>
      </c>
      <c r="G102" s="47">
        <f t="shared" si="4"/>
        <v>24</v>
      </c>
      <c r="H102" s="48">
        <f t="shared" si="5"/>
        <v>0.25</v>
      </c>
      <c r="I102" s="24" t="s">
        <v>32</v>
      </c>
      <c r="J102" s="23" t="s">
        <v>32</v>
      </c>
      <c r="K102" s="23" t="s">
        <v>140</v>
      </c>
      <c r="L102" s="49" t="s">
        <v>32</v>
      </c>
      <c r="M102" s="30"/>
      <c r="N102" s="23"/>
      <c r="O102" s="23" t="s">
        <v>32</v>
      </c>
      <c r="P102" s="23" t="s">
        <v>32</v>
      </c>
      <c r="Q102" s="23" t="s">
        <v>32</v>
      </c>
      <c r="R102" s="24" t="s">
        <v>32</v>
      </c>
      <c r="S102" s="24" t="s">
        <v>32</v>
      </c>
      <c r="T102" s="30"/>
      <c r="U102" s="24" t="s">
        <v>32</v>
      </c>
      <c r="V102" s="24" t="s">
        <v>32</v>
      </c>
      <c r="W102" s="24" t="s">
        <v>32</v>
      </c>
      <c r="X102" s="24" t="s">
        <v>32</v>
      </c>
      <c r="Y102" s="24" t="s">
        <v>32</v>
      </c>
      <c r="Z102" s="24" t="s">
        <v>32</v>
      </c>
      <c r="AA102" s="30"/>
      <c r="AB102" s="29" t="s">
        <v>32</v>
      </c>
      <c r="AC102" s="51" t="s">
        <v>140</v>
      </c>
      <c r="AD102" s="51" t="s">
        <v>140</v>
      </c>
      <c r="AE102" s="51" t="s">
        <v>140</v>
      </c>
      <c r="AF102" s="29" t="s">
        <v>32</v>
      </c>
      <c r="AG102" s="29" t="s">
        <v>32</v>
      </c>
      <c r="AH102" s="30"/>
      <c r="AI102" s="51" t="s">
        <v>140</v>
      </c>
      <c r="AJ102" s="29" t="s">
        <v>32</v>
      </c>
      <c r="AK102" s="51" t="s">
        <v>140</v>
      </c>
      <c r="AL102" s="23"/>
      <c r="AM102" s="23"/>
      <c r="AN102" s="23"/>
      <c r="AO102" s="30"/>
      <c r="AP102" s="23"/>
      <c r="AQ102" s="23"/>
      <c r="AR102" s="23"/>
    </row>
    <row r="103">
      <c r="A103" s="44">
        <v>100.0</v>
      </c>
      <c r="B103" s="45" t="s">
        <v>893</v>
      </c>
      <c r="C103" s="26" t="s">
        <v>564</v>
      </c>
      <c r="D103" s="26" t="s">
        <v>565</v>
      </c>
      <c r="E103" s="13">
        <f t="shared" si="2"/>
        <v>5</v>
      </c>
      <c r="F103" s="47">
        <f t="shared" si="3"/>
        <v>19</v>
      </c>
      <c r="G103" s="47">
        <f t="shared" si="4"/>
        <v>24</v>
      </c>
      <c r="H103" s="48">
        <f t="shared" si="5"/>
        <v>0.2083333333</v>
      </c>
      <c r="I103" s="24" t="s">
        <v>32</v>
      </c>
      <c r="J103" s="23" t="s">
        <v>32</v>
      </c>
      <c r="K103" s="23" t="s">
        <v>32</v>
      </c>
      <c r="L103" s="49" t="s">
        <v>32</v>
      </c>
      <c r="M103" s="30"/>
      <c r="N103" s="24"/>
      <c r="O103" s="24" t="s">
        <v>140</v>
      </c>
      <c r="P103" s="23" t="s">
        <v>32</v>
      </c>
      <c r="Q103" s="23" t="s">
        <v>32</v>
      </c>
      <c r="R103" s="24" t="s">
        <v>32</v>
      </c>
      <c r="S103" s="24" t="s">
        <v>32</v>
      </c>
      <c r="T103" s="30"/>
      <c r="U103" s="24" t="s">
        <v>32</v>
      </c>
      <c r="V103" s="24" t="s">
        <v>32</v>
      </c>
      <c r="W103" s="24" t="s">
        <v>32</v>
      </c>
      <c r="X103" s="24" t="s">
        <v>32</v>
      </c>
      <c r="Y103" s="24" t="s">
        <v>32</v>
      </c>
      <c r="Z103" s="24" t="s">
        <v>32</v>
      </c>
      <c r="AA103" s="30"/>
      <c r="AB103" s="51" t="s">
        <v>140</v>
      </c>
      <c r="AC103" s="29" t="s">
        <v>32</v>
      </c>
      <c r="AD103" s="51" t="s">
        <v>140</v>
      </c>
      <c r="AE103" s="51" t="s">
        <v>140</v>
      </c>
      <c r="AF103" s="51" t="s">
        <v>140</v>
      </c>
      <c r="AG103" s="29" t="s">
        <v>32</v>
      </c>
      <c r="AH103" s="30"/>
      <c r="AI103" s="29" t="s">
        <v>32</v>
      </c>
      <c r="AJ103" s="29" t="s">
        <v>32</v>
      </c>
      <c r="AK103" s="29" t="s">
        <v>32</v>
      </c>
      <c r="AL103" s="23"/>
      <c r="AM103" s="23"/>
      <c r="AN103" s="23"/>
      <c r="AO103" s="30"/>
      <c r="AP103" s="23"/>
      <c r="AQ103" s="23"/>
      <c r="AR103" s="23"/>
    </row>
    <row r="104">
      <c r="A104" s="44">
        <v>101.0</v>
      </c>
      <c r="B104" s="45" t="s">
        <v>1079</v>
      </c>
      <c r="C104" s="26" t="s">
        <v>568</v>
      </c>
      <c r="D104" s="26" t="s">
        <v>1080</v>
      </c>
      <c r="E104" s="13">
        <f t="shared" si="2"/>
        <v>4</v>
      </c>
      <c r="F104" s="47">
        <f t="shared" si="3"/>
        <v>20</v>
      </c>
      <c r="G104" s="47">
        <f t="shared" si="4"/>
        <v>24</v>
      </c>
      <c r="H104" s="48">
        <f t="shared" si="5"/>
        <v>0.1666666667</v>
      </c>
      <c r="I104" s="24" t="s">
        <v>32</v>
      </c>
      <c r="J104" s="23" t="s">
        <v>32</v>
      </c>
      <c r="K104" s="23" t="s">
        <v>140</v>
      </c>
      <c r="L104" s="49" t="s">
        <v>32</v>
      </c>
      <c r="M104" s="30"/>
      <c r="N104" s="23"/>
      <c r="O104" s="23" t="s">
        <v>140</v>
      </c>
      <c r="P104" s="23" t="s">
        <v>32</v>
      </c>
      <c r="Q104" s="23" t="s">
        <v>32</v>
      </c>
      <c r="R104" s="24" t="s">
        <v>32</v>
      </c>
      <c r="S104" s="24" t="s">
        <v>32</v>
      </c>
      <c r="T104" s="30"/>
      <c r="U104" s="24" t="s">
        <v>32</v>
      </c>
      <c r="V104" s="24" t="s">
        <v>32</v>
      </c>
      <c r="W104" s="24" t="s">
        <v>32</v>
      </c>
      <c r="X104" s="24" t="s">
        <v>32</v>
      </c>
      <c r="Y104" s="24" t="s">
        <v>32</v>
      </c>
      <c r="Z104" s="24" t="s">
        <v>32</v>
      </c>
      <c r="AA104" s="30"/>
      <c r="AB104" s="29" t="s">
        <v>32</v>
      </c>
      <c r="AC104" s="51" t="s">
        <v>140</v>
      </c>
      <c r="AD104" s="29" t="s">
        <v>32</v>
      </c>
      <c r="AE104" s="29" t="s">
        <v>32</v>
      </c>
      <c r="AF104" s="51" t="s">
        <v>140</v>
      </c>
      <c r="AG104" s="29" t="s">
        <v>32</v>
      </c>
      <c r="AH104" s="30"/>
      <c r="AI104" s="29" t="s">
        <v>32</v>
      </c>
      <c r="AJ104" s="29" t="s">
        <v>32</v>
      </c>
      <c r="AK104" s="29" t="s">
        <v>32</v>
      </c>
      <c r="AL104" s="23"/>
      <c r="AM104" s="23"/>
      <c r="AN104" s="23"/>
      <c r="AO104" s="30"/>
      <c r="AP104" s="23"/>
      <c r="AQ104" s="23"/>
      <c r="AR104" s="23"/>
    </row>
    <row r="105">
      <c r="A105" s="44">
        <v>102.0</v>
      </c>
      <c r="B105" s="45" t="s">
        <v>1078</v>
      </c>
      <c r="C105" s="26" t="s">
        <v>1081</v>
      </c>
      <c r="D105" s="26" t="s">
        <v>574</v>
      </c>
      <c r="E105" s="13">
        <f t="shared" si="2"/>
        <v>8</v>
      </c>
      <c r="F105" s="47">
        <f t="shared" si="3"/>
        <v>16</v>
      </c>
      <c r="G105" s="47">
        <f t="shared" si="4"/>
        <v>24</v>
      </c>
      <c r="H105" s="48">
        <f t="shared" si="5"/>
        <v>0.3333333333</v>
      </c>
      <c r="I105" s="24" t="s">
        <v>140</v>
      </c>
      <c r="J105" s="23" t="s">
        <v>32</v>
      </c>
      <c r="K105" s="23" t="s">
        <v>32</v>
      </c>
      <c r="L105" s="49" t="s">
        <v>32</v>
      </c>
      <c r="M105" s="30"/>
      <c r="N105" s="23"/>
      <c r="O105" s="23" t="s">
        <v>32</v>
      </c>
      <c r="P105" s="23" t="s">
        <v>140</v>
      </c>
      <c r="Q105" s="23" t="s">
        <v>140</v>
      </c>
      <c r="R105" s="24" t="s">
        <v>32</v>
      </c>
      <c r="S105" s="24" t="s">
        <v>32</v>
      </c>
      <c r="T105" s="30"/>
      <c r="U105" s="24" t="s">
        <v>32</v>
      </c>
      <c r="V105" s="24" t="s">
        <v>196</v>
      </c>
      <c r="W105" s="24" t="s">
        <v>32</v>
      </c>
      <c r="X105" s="24" t="s">
        <v>32</v>
      </c>
      <c r="Y105" s="24" t="s">
        <v>32</v>
      </c>
      <c r="Z105" s="24" t="s">
        <v>32</v>
      </c>
      <c r="AA105" s="30"/>
      <c r="AB105" s="51" t="s">
        <v>140</v>
      </c>
      <c r="AC105" s="51" t="s">
        <v>140</v>
      </c>
      <c r="AD105" s="29" t="s">
        <v>32</v>
      </c>
      <c r="AE105" s="29" t="s">
        <v>32</v>
      </c>
      <c r="AF105" s="51" t="s">
        <v>140</v>
      </c>
      <c r="AG105" s="51" t="s">
        <v>140</v>
      </c>
      <c r="AH105" s="30"/>
      <c r="AI105" s="29" t="s">
        <v>32</v>
      </c>
      <c r="AJ105" s="29" t="s">
        <v>32</v>
      </c>
      <c r="AK105" s="29" t="s">
        <v>32</v>
      </c>
      <c r="AL105" s="23"/>
      <c r="AM105" s="23"/>
      <c r="AN105" s="23"/>
      <c r="AO105" s="30"/>
      <c r="AP105" s="23"/>
      <c r="AQ105" s="23"/>
      <c r="AR105" s="23"/>
    </row>
    <row r="106">
      <c r="A106" s="44">
        <v>103.0</v>
      </c>
      <c r="B106" s="55" t="s">
        <v>983</v>
      </c>
      <c r="C106" s="26" t="s">
        <v>1082</v>
      </c>
      <c r="D106" s="26" t="s">
        <v>581</v>
      </c>
      <c r="E106" s="13">
        <f t="shared" si="2"/>
        <v>6</v>
      </c>
      <c r="F106" s="47">
        <f t="shared" si="3"/>
        <v>18</v>
      </c>
      <c r="G106" s="47">
        <f t="shared" si="4"/>
        <v>24</v>
      </c>
      <c r="H106" s="48">
        <f t="shared" si="5"/>
        <v>0.25</v>
      </c>
      <c r="I106" s="24" t="s">
        <v>32</v>
      </c>
      <c r="J106" s="23" t="s">
        <v>32</v>
      </c>
      <c r="K106" s="23" t="s">
        <v>32</v>
      </c>
      <c r="L106" s="49" t="s">
        <v>32</v>
      </c>
      <c r="M106" s="30"/>
      <c r="N106" s="23"/>
      <c r="O106" s="23" t="s">
        <v>32</v>
      </c>
      <c r="P106" s="23" t="s">
        <v>32</v>
      </c>
      <c r="Q106" s="23" t="s">
        <v>32</v>
      </c>
      <c r="R106" s="24" t="s">
        <v>32</v>
      </c>
      <c r="S106" s="24" t="s">
        <v>32</v>
      </c>
      <c r="T106" s="30"/>
      <c r="U106" s="24" t="s">
        <v>32</v>
      </c>
      <c r="V106" s="24" t="s">
        <v>32</v>
      </c>
      <c r="W106" s="24" t="s">
        <v>32</v>
      </c>
      <c r="X106" s="24" t="s">
        <v>32</v>
      </c>
      <c r="Y106" s="24" t="s">
        <v>32</v>
      </c>
      <c r="Z106" s="24" t="s">
        <v>32</v>
      </c>
      <c r="AA106" s="30"/>
      <c r="AB106" s="51" t="s">
        <v>140</v>
      </c>
      <c r="AC106" s="51" t="s">
        <v>140</v>
      </c>
      <c r="AD106" s="51" t="s">
        <v>140</v>
      </c>
      <c r="AE106" s="51" t="s">
        <v>140</v>
      </c>
      <c r="AF106" s="29" t="s">
        <v>32</v>
      </c>
      <c r="AG106" s="29" t="s">
        <v>32</v>
      </c>
      <c r="AH106" s="30"/>
      <c r="AI106" s="51" t="s">
        <v>140</v>
      </c>
      <c r="AJ106" s="51" t="s">
        <v>140</v>
      </c>
      <c r="AK106" s="29" t="s">
        <v>32</v>
      </c>
      <c r="AL106" s="23"/>
      <c r="AM106" s="23"/>
      <c r="AN106" s="23"/>
      <c r="AO106" s="30"/>
      <c r="AP106" s="23"/>
      <c r="AQ106" s="23"/>
      <c r="AR106" s="23"/>
    </row>
    <row r="107">
      <c r="A107" s="44">
        <v>104.0</v>
      </c>
      <c r="B107" s="55" t="s">
        <v>1018</v>
      </c>
      <c r="C107" s="26" t="s">
        <v>584</v>
      </c>
      <c r="D107" s="26" t="s">
        <v>586</v>
      </c>
      <c r="E107" s="13">
        <f t="shared" si="2"/>
        <v>17</v>
      </c>
      <c r="F107" s="47">
        <f t="shared" si="3"/>
        <v>7</v>
      </c>
      <c r="G107" s="47">
        <f t="shared" si="4"/>
        <v>24</v>
      </c>
      <c r="H107" s="48">
        <f t="shared" si="5"/>
        <v>0.7083333333</v>
      </c>
      <c r="I107" s="24" t="s">
        <v>140</v>
      </c>
      <c r="J107" s="23" t="s">
        <v>140</v>
      </c>
      <c r="K107" s="23" t="s">
        <v>140</v>
      </c>
      <c r="L107" s="49" t="s">
        <v>140</v>
      </c>
      <c r="M107" s="30"/>
      <c r="N107" s="24"/>
      <c r="O107" s="23" t="s">
        <v>140</v>
      </c>
      <c r="P107" s="23" t="s">
        <v>140</v>
      </c>
      <c r="Q107" s="23" t="s">
        <v>32</v>
      </c>
      <c r="R107" s="24" t="s">
        <v>140</v>
      </c>
      <c r="S107" s="24" t="s">
        <v>140</v>
      </c>
      <c r="T107" s="30"/>
      <c r="U107" s="24" t="s">
        <v>32</v>
      </c>
      <c r="V107" s="24" t="s">
        <v>196</v>
      </c>
      <c r="W107" s="24" t="s">
        <v>196</v>
      </c>
      <c r="X107" s="24" t="s">
        <v>140</v>
      </c>
      <c r="Y107" s="24" t="s">
        <v>140</v>
      </c>
      <c r="Z107" s="24" t="s">
        <v>140</v>
      </c>
      <c r="AA107" s="30"/>
      <c r="AB107" s="29" t="s">
        <v>32</v>
      </c>
      <c r="AC107" s="51" t="s">
        <v>140</v>
      </c>
      <c r="AD107" s="51" t="s">
        <v>140</v>
      </c>
      <c r="AE107" s="51" t="s">
        <v>140</v>
      </c>
      <c r="AF107" s="29" t="s">
        <v>32</v>
      </c>
      <c r="AG107" s="51" t="s">
        <v>140</v>
      </c>
      <c r="AH107" s="30"/>
      <c r="AI107" s="29" t="s">
        <v>32</v>
      </c>
      <c r="AJ107" s="29" t="s">
        <v>32</v>
      </c>
      <c r="AK107" s="29" t="s">
        <v>32</v>
      </c>
      <c r="AL107" s="23"/>
      <c r="AM107" s="23"/>
      <c r="AN107" s="23"/>
      <c r="AO107" s="30"/>
      <c r="AP107" s="23"/>
      <c r="AQ107" s="23"/>
      <c r="AR107" s="23"/>
    </row>
    <row r="108">
      <c r="A108" s="44">
        <v>105.0</v>
      </c>
      <c r="B108" s="55" t="s">
        <v>966</v>
      </c>
      <c r="C108" s="26" t="s">
        <v>589</v>
      </c>
      <c r="D108" s="26" t="s">
        <v>590</v>
      </c>
      <c r="E108" s="13">
        <f t="shared" si="2"/>
        <v>22</v>
      </c>
      <c r="F108" s="47">
        <f t="shared" si="3"/>
        <v>2</v>
      </c>
      <c r="G108" s="47">
        <f t="shared" si="4"/>
        <v>24</v>
      </c>
      <c r="H108" s="48">
        <f t="shared" si="5"/>
        <v>0.9166666667</v>
      </c>
      <c r="I108" s="24" t="s">
        <v>140</v>
      </c>
      <c r="J108" s="23" t="s">
        <v>140</v>
      </c>
      <c r="K108" s="23" t="s">
        <v>140</v>
      </c>
      <c r="L108" s="49" t="s">
        <v>140</v>
      </c>
      <c r="M108" s="30"/>
      <c r="N108" s="23"/>
      <c r="O108" s="23" t="s">
        <v>140</v>
      </c>
      <c r="P108" s="23" t="s">
        <v>140</v>
      </c>
      <c r="Q108" s="23" t="s">
        <v>32</v>
      </c>
      <c r="R108" s="24" t="s">
        <v>140</v>
      </c>
      <c r="S108" s="24" t="s">
        <v>140</v>
      </c>
      <c r="T108" s="30"/>
      <c r="U108" s="24" t="s">
        <v>140</v>
      </c>
      <c r="V108" s="24" t="s">
        <v>196</v>
      </c>
      <c r="W108" s="24" t="s">
        <v>196</v>
      </c>
      <c r="X108" s="24" t="s">
        <v>140</v>
      </c>
      <c r="Y108" s="24" t="s">
        <v>140</v>
      </c>
      <c r="Z108" s="24" t="s">
        <v>140</v>
      </c>
      <c r="AA108" s="30"/>
      <c r="AB108" s="51" t="s">
        <v>140</v>
      </c>
      <c r="AC108" s="51" t="s">
        <v>140</v>
      </c>
      <c r="AD108" s="51" t="s">
        <v>140</v>
      </c>
      <c r="AE108" s="51" t="s">
        <v>140</v>
      </c>
      <c r="AF108" s="51" t="s">
        <v>140</v>
      </c>
      <c r="AG108" s="51" t="s">
        <v>140</v>
      </c>
      <c r="AH108" s="30"/>
      <c r="AI108" s="51" t="s">
        <v>140</v>
      </c>
      <c r="AJ108" s="29" t="s">
        <v>32</v>
      </c>
      <c r="AK108" s="51" t="s">
        <v>140</v>
      </c>
      <c r="AL108" s="23"/>
      <c r="AM108" s="23"/>
      <c r="AN108" s="23"/>
      <c r="AO108" s="30"/>
      <c r="AP108" s="23"/>
      <c r="AQ108" s="23"/>
      <c r="AR108" s="23"/>
    </row>
    <row r="109">
      <c r="A109" s="44">
        <v>106.0</v>
      </c>
      <c r="B109" s="55" t="s">
        <v>1083</v>
      </c>
      <c r="C109" s="26" t="s">
        <v>1084</v>
      </c>
      <c r="D109" s="26" t="s">
        <v>595</v>
      </c>
      <c r="E109" s="13">
        <f t="shared" si="2"/>
        <v>11</v>
      </c>
      <c r="F109" s="47">
        <f t="shared" si="3"/>
        <v>13</v>
      </c>
      <c r="G109" s="47">
        <f t="shared" si="4"/>
        <v>24</v>
      </c>
      <c r="H109" s="48">
        <f t="shared" si="5"/>
        <v>0.4583333333</v>
      </c>
      <c r="I109" s="24" t="s">
        <v>32</v>
      </c>
      <c r="J109" s="23" t="s">
        <v>32</v>
      </c>
      <c r="K109" s="23" t="s">
        <v>32</v>
      </c>
      <c r="L109" s="49" t="s">
        <v>32</v>
      </c>
      <c r="M109" s="30"/>
      <c r="N109" s="23"/>
      <c r="O109" s="23" t="s">
        <v>32</v>
      </c>
      <c r="P109" s="23" t="s">
        <v>32</v>
      </c>
      <c r="Q109" s="23" t="s">
        <v>32</v>
      </c>
      <c r="R109" s="24" t="s">
        <v>32</v>
      </c>
      <c r="S109" s="24" t="s">
        <v>32</v>
      </c>
      <c r="T109" s="30"/>
      <c r="U109" s="24" t="s">
        <v>32</v>
      </c>
      <c r="V109" s="24" t="s">
        <v>32</v>
      </c>
      <c r="W109" s="24" t="s">
        <v>32</v>
      </c>
      <c r="X109" s="24" t="s">
        <v>140</v>
      </c>
      <c r="Y109" s="24" t="s">
        <v>140</v>
      </c>
      <c r="Z109" s="24" t="s">
        <v>140</v>
      </c>
      <c r="AA109" s="30"/>
      <c r="AB109" s="51" t="s">
        <v>140</v>
      </c>
      <c r="AC109" s="51" t="s">
        <v>140</v>
      </c>
      <c r="AD109" s="51" t="s">
        <v>140</v>
      </c>
      <c r="AE109" s="51" t="s">
        <v>140</v>
      </c>
      <c r="AF109" s="51" t="s">
        <v>140</v>
      </c>
      <c r="AG109" s="51" t="s">
        <v>140</v>
      </c>
      <c r="AH109" s="30"/>
      <c r="AI109" s="29" t="s">
        <v>32</v>
      </c>
      <c r="AJ109" s="51" t="s">
        <v>140</v>
      </c>
      <c r="AK109" s="51" t="s">
        <v>140</v>
      </c>
      <c r="AL109" s="23"/>
      <c r="AM109" s="23"/>
      <c r="AN109" s="23"/>
      <c r="AO109" s="30"/>
      <c r="AP109" s="23"/>
      <c r="AQ109" s="23"/>
      <c r="AR109" s="23"/>
    </row>
    <row r="110">
      <c r="A110" s="44">
        <v>107.0</v>
      </c>
      <c r="B110" s="45" t="s">
        <v>1085</v>
      </c>
      <c r="C110" s="26" t="s">
        <v>1086</v>
      </c>
      <c r="D110" s="26" t="s">
        <v>601</v>
      </c>
      <c r="E110" s="13">
        <f t="shared" si="2"/>
        <v>15</v>
      </c>
      <c r="F110" s="47">
        <f t="shared" si="3"/>
        <v>9</v>
      </c>
      <c r="G110" s="47">
        <f t="shared" si="4"/>
        <v>24</v>
      </c>
      <c r="H110" s="48">
        <f t="shared" si="5"/>
        <v>0.625</v>
      </c>
      <c r="I110" s="24" t="s">
        <v>140</v>
      </c>
      <c r="J110" s="23" t="s">
        <v>140</v>
      </c>
      <c r="K110" s="23" t="s">
        <v>140</v>
      </c>
      <c r="L110" s="49" t="s">
        <v>32</v>
      </c>
      <c r="M110" s="30"/>
      <c r="N110" s="23"/>
      <c r="O110" s="23" t="s">
        <v>32</v>
      </c>
      <c r="P110" s="23" t="s">
        <v>32</v>
      </c>
      <c r="Q110" s="23" t="s">
        <v>140</v>
      </c>
      <c r="R110" s="24" t="s">
        <v>140</v>
      </c>
      <c r="S110" s="24" t="s">
        <v>32</v>
      </c>
      <c r="T110" s="30"/>
      <c r="U110" s="24" t="s">
        <v>32</v>
      </c>
      <c r="V110" s="24" t="s">
        <v>32</v>
      </c>
      <c r="W110" s="24" t="s">
        <v>196</v>
      </c>
      <c r="X110" s="24" t="s">
        <v>32</v>
      </c>
      <c r="Y110" s="24" t="s">
        <v>140</v>
      </c>
      <c r="Z110" s="24" t="s">
        <v>32</v>
      </c>
      <c r="AA110" s="30"/>
      <c r="AB110" s="51" t="s">
        <v>140</v>
      </c>
      <c r="AC110" s="51" t="s">
        <v>140</v>
      </c>
      <c r="AD110" s="51" t="s">
        <v>140</v>
      </c>
      <c r="AE110" s="51" t="s">
        <v>140</v>
      </c>
      <c r="AF110" s="51" t="s">
        <v>140</v>
      </c>
      <c r="AG110" s="51" t="s">
        <v>140</v>
      </c>
      <c r="AH110" s="30"/>
      <c r="AI110" s="29" t="s">
        <v>32</v>
      </c>
      <c r="AJ110" s="51" t="s">
        <v>140</v>
      </c>
      <c r="AK110" s="51" t="s">
        <v>140</v>
      </c>
      <c r="AL110" s="23"/>
      <c r="AM110" s="23"/>
      <c r="AN110" s="23"/>
      <c r="AO110" s="30"/>
      <c r="AP110" s="23"/>
      <c r="AQ110" s="23"/>
      <c r="AR110" s="23"/>
    </row>
    <row r="111">
      <c r="A111" s="44">
        <v>108.0</v>
      </c>
      <c r="B111" s="54" t="s">
        <v>1087</v>
      </c>
      <c r="C111" s="26" t="s">
        <v>1088</v>
      </c>
      <c r="D111" s="26" t="s">
        <v>606</v>
      </c>
      <c r="E111" s="13">
        <f t="shared" si="2"/>
        <v>6</v>
      </c>
      <c r="F111" s="47">
        <f t="shared" si="3"/>
        <v>18</v>
      </c>
      <c r="G111" s="47">
        <f t="shared" si="4"/>
        <v>24</v>
      </c>
      <c r="H111" s="48">
        <f t="shared" si="5"/>
        <v>0.25</v>
      </c>
      <c r="I111" s="24" t="s">
        <v>140</v>
      </c>
      <c r="J111" s="23" t="s">
        <v>32</v>
      </c>
      <c r="K111" s="23" t="s">
        <v>32</v>
      </c>
      <c r="L111" s="49" t="s">
        <v>32</v>
      </c>
      <c r="M111" s="30"/>
      <c r="N111" s="23"/>
      <c r="O111" s="23" t="s">
        <v>140</v>
      </c>
      <c r="P111" s="23" t="s">
        <v>32</v>
      </c>
      <c r="Q111" s="23" t="s">
        <v>140</v>
      </c>
      <c r="R111" s="24" t="s">
        <v>32</v>
      </c>
      <c r="S111" s="24" t="s">
        <v>32</v>
      </c>
      <c r="T111" s="30"/>
      <c r="U111" s="24" t="s">
        <v>32</v>
      </c>
      <c r="V111" s="24" t="s">
        <v>32</v>
      </c>
      <c r="W111" s="24" t="s">
        <v>32</v>
      </c>
      <c r="X111" s="24" t="s">
        <v>32</v>
      </c>
      <c r="Y111" s="24" t="s">
        <v>32</v>
      </c>
      <c r="Z111" s="24" t="s">
        <v>32</v>
      </c>
      <c r="AA111" s="30"/>
      <c r="AB111" s="51" t="s">
        <v>140</v>
      </c>
      <c r="AC111" s="51" t="s">
        <v>140</v>
      </c>
      <c r="AD111" s="29" t="s">
        <v>32</v>
      </c>
      <c r="AE111" s="51" t="s">
        <v>140</v>
      </c>
      <c r="AF111" s="29" t="s">
        <v>32</v>
      </c>
      <c r="AG111" s="29" t="s">
        <v>32</v>
      </c>
      <c r="AH111" s="30"/>
      <c r="AI111" s="29" t="s">
        <v>32</v>
      </c>
      <c r="AJ111" s="29" t="s">
        <v>32</v>
      </c>
      <c r="AK111" s="29" t="s">
        <v>32</v>
      </c>
      <c r="AL111" s="23"/>
      <c r="AM111" s="23"/>
      <c r="AN111" s="23"/>
      <c r="AO111" s="30"/>
      <c r="AP111" s="23"/>
      <c r="AQ111" s="23"/>
      <c r="AR111" s="23"/>
    </row>
    <row r="112">
      <c r="A112" s="44">
        <v>109.0</v>
      </c>
      <c r="B112" s="78" t="s">
        <v>1047</v>
      </c>
      <c r="C112" s="26" t="s">
        <v>609</v>
      </c>
      <c r="D112" s="43" t="s">
        <v>610</v>
      </c>
      <c r="E112" s="13">
        <f t="shared" si="2"/>
        <v>3</v>
      </c>
      <c r="F112" s="47">
        <f t="shared" si="3"/>
        <v>17</v>
      </c>
      <c r="G112" s="13">
        <f t="shared" si="4"/>
        <v>20</v>
      </c>
      <c r="H112" s="48">
        <f t="shared" si="5"/>
        <v>0.15</v>
      </c>
      <c r="I112" s="79"/>
      <c r="J112" s="79"/>
      <c r="K112" s="79"/>
      <c r="L112" s="79"/>
      <c r="M112" s="30"/>
      <c r="N112" s="79"/>
      <c r="O112" s="80" t="s">
        <v>140</v>
      </c>
      <c r="P112" s="23" t="s">
        <v>32</v>
      </c>
      <c r="Q112" s="23" t="s">
        <v>140</v>
      </c>
      <c r="R112" s="80" t="s">
        <v>32</v>
      </c>
      <c r="S112" s="80" t="s">
        <v>32</v>
      </c>
      <c r="T112" s="30"/>
      <c r="U112" s="80" t="s">
        <v>32</v>
      </c>
      <c r="V112" s="24" t="s">
        <v>32</v>
      </c>
      <c r="W112" s="24" t="s">
        <v>32</v>
      </c>
      <c r="X112" s="80" t="s">
        <v>32</v>
      </c>
      <c r="Y112" s="80" t="s">
        <v>32</v>
      </c>
      <c r="Z112" s="80" t="s">
        <v>32</v>
      </c>
      <c r="AA112" s="30"/>
      <c r="AB112" s="51" t="s">
        <v>140</v>
      </c>
      <c r="AC112" s="29" t="s">
        <v>32</v>
      </c>
      <c r="AD112" s="29" t="s">
        <v>32</v>
      </c>
      <c r="AE112" s="29" t="s">
        <v>32</v>
      </c>
      <c r="AF112" s="29" t="s">
        <v>32</v>
      </c>
      <c r="AG112" s="29" t="s">
        <v>32</v>
      </c>
      <c r="AH112" s="30"/>
      <c r="AI112" s="29" t="s">
        <v>32</v>
      </c>
      <c r="AJ112" s="29" t="s">
        <v>32</v>
      </c>
      <c r="AK112" s="29" t="s">
        <v>32</v>
      </c>
      <c r="AL112" s="79"/>
      <c r="AM112" s="79"/>
      <c r="AN112" s="79"/>
      <c r="AO112" s="30"/>
      <c r="AP112" s="79"/>
      <c r="AQ112" s="79"/>
      <c r="AR112" s="79"/>
      <c r="AS112" s="7"/>
    </row>
    <row r="113">
      <c r="A113" s="44">
        <v>110.0</v>
      </c>
      <c r="B113" s="54" t="s">
        <v>1089</v>
      </c>
      <c r="C113" s="26" t="s">
        <v>1090</v>
      </c>
      <c r="D113" s="26" t="s">
        <v>615</v>
      </c>
      <c r="E113" s="13">
        <f t="shared" si="2"/>
        <v>3</v>
      </c>
      <c r="F113" s="47">
        <f t="shared" si="3"/>
        <v>21</v>
      </c>
      <c r="G113" s="47">
        <f t="shared" si="4"/>
        <v>24</v>
      </c>
      <c r="H113" s="48">
        <f t="shared" si="5"/>
        <v>0.125</v>
      </c>
      <c r="I113" s="24" t="s">
        <v>140</v>
      </c>
      <c r="J113" s="23" t="s">
        <v>32</v>
      </c>
      <c r="K113" s="23" t="s">
        <v>32</v>
      </c>
      <c r="L113" s="49" t="s">
        <v>32</v>
      </c>
      <c r="M113" s="30"/>
      <c r="N113" s="23"/>
      <c r="O113" s="23" t="s">
        <v>32</v>
      </c>
      <c r="P113" s="23" t="s">
        <v>32</v>
      </c>
      <c r="Q113" s="23" t="s">
        <v>32</v>
      </c>
      <c r="R113" s="24" t="s">
        <v>32</v>
      </c>
      <c r="S113" s="24" t="s">
        <v>32</v>
      </c>
      <c r="T113" s="30"/>
      <c r="U113" s="24" t="s">
        <v>32</v>
      </c>
      <c r="V113" s="24" t="s">
        <v>32</v>
      </c>
      <c r="W113" s="24" t="s">
        <v>32</v>
      </c>
      <c r="X113" s="24" t="s">
        <v>32</v>
      </c>
      <c r="Y113" s="24" t="s">
        <v>32</v>
      </c>
      <c r="Z113" s="24" t="s">
        <v>32</v>
      </c>
      <c r="AA113" s="30"/>
      <c r="AB113" s="29" t="s">
        <v>32</v>
      </c>
      <c r="AC113" s="51" t="s">
        <v>140</v>
      </c>
      <c r="AD113" s="29" t="s">
        <v>32</v>
      </c>
      <c r="AE113" s="51" t="s">
        <v>140</v>
      </c>
      <c r="AF113" s="29" t="s">
        <v>32</v>
      </c>
      <c r="AG113" s="29" t="s">
        <v>32</v>
      </c>
      <c r="AH113" s="30"/>
      <c r="AI113" s="29" t="s">
        <v>32</v>
      </c>
      <c r="AJ113" s="29" t="s">
        <v>32</v>
      </c>
      <c r="AK113" s="29" t="s">
        <v>32</v>
      </c>
      <c r="AL113" s="23"/>
      <c r="AM113" s="23"/>
      <c r="AN113" s="23"/>
      <c r="AO113" s="30"/>
      <c r="AP113" s="23"/>
      <c r="AQ113" s="23"/>
      <c r="AR113" s="23"/>
    </row>
    <row r="114">
      <c r="A114" s="44">
        <v>111.0</v>
      </c>
      <c r="B114" s="45" t="s">
        <v>971</v>
      </c>
      <c r="C114" s="26" t="s">
        <v>621</v>
      </c>
      <c r="D114" s="26" t="s">
        <v>622</v>
      </c>
      <c r="E114" s="13">
        <f t="shared" si="2"/>
        <v>17</v>
      </c>
      <c r="F114" s="47">
        <f t="shared" si="3"/>
        <v>4</v>
      </c>
      <c r="G114" s="13">
        <f t="shared" si="4"/>
        <v>21</v>
      </c>
      <c r="H114" s="48">
        <f t="shared" si="5"/>
        <v>0.8095238095</v>
      </c>
      <c r="I114" s="79"/>
      <c r="J114" s="79"/>
      <c r="K114" s="79"/>
      <c r="L114" s="49" t="s">
        <v>140</v>
      </c>
      <c r="M114" s="30"/>
      <c r="N114" s="80"/>
      <c r="O114" s="79" t="s">
        <v>140</v>
      </c>
      <c r="P114" s="23" t="s">
        <v>140</v>
      </c>
      <c r="Q114" s="23" t="s">
        <v>140</v>
      </c>
      <c r="R114" s="80" t="s">
        <v>140</v>
      </c>
      <c r="S114" s="80" t="s">
        <v>140</v>
      </c>
      <c r="T114" s="30"/>
      <c r="U114" s="80" t="s">
        <v>140</v>
      </c>
      <c r="V114" s="24" t="s">
        <v>32</v>
      </c>
      <c r="W114" s="80" t="s">
        <v>196</v>
      </c>
      <c r="X114" s="80" t="s">
        <v>32</v>
      </c>
      <c r="Y114" s="80" t="s">
        <v>140</v>
      </c>
      <c r="Z114" s="80" t="s">
        <v>140</v>
      </c>
      <c r="AA114" s="30"/>
      <c r="AB114" s="51" t="s">
        <v>140</v>
      </c>
      <c r="AC114" s="51" t="s">
        <v>140</v>
      </c>
      <c r="AD114" s="51" t="s">
        <v>140</v>
      </c>
      <c r="AE114" s="29" t="s">
        <v>32</v>
      </c>
      <c r="AF114" s="51" t="s">
        <v>140</v>
      </c>
      <c r="AG114" s="51" t="s">
        <v>140</v>
      </c>
      <c r="AH114" s="30"/>
      <c r="AI114" s="29" t="s">
        <v>32</v>
      </c>
      <c r="AJ114" s="51" t="s">
        <v>140</v>
      </c>
      <c r="AK114" s="51" t="s">
        <v>140</v>
      </c>
      <c r="AL114" s="79"/>
      <c r="AM114" s="79"/>
      <c r="AN114" s="79"/>
      <c r="AO114" s="30"/>
      <c r="AP114" s="79"/>
      <c r="AQ114" s="79"/>
      <c r="AR114" s="79"/>
      <c r="AS114" s="7"/>
    </row>
    <row r="115">
      <c r="A115" s="44">
        <v>112.0</v>
      </c>
      <c r="B115" s="45" t="s">
        <v>1091</v>
      </c>
      <c r="C115" s="26" t="s">
        <v>624</v>
      </c>
      <c r="D115" s="26" t="s">
        <v>625</v>
      </c>
      <c r="E115" s="13">
        <f t="shared" si="2"/>
        <v>15</v>
      </c>
      <c r="F115" s="47">
        <f t="shared" si="3"/>
        <v>9</v>
      </c>
      <c r="G115" s="47">
        <f t="shared" si="4"/>
        <v>24</v>
      </c>
      <c r="H115" s="48">
        <f t="shared" si="5"/>
        <v>0.625</v>
      </c>
      <c r="I115" s="24" t="s">
        <v>32</v>
      </c>
      <c r="J115" s="23" t="s">
        <v>32</v>
      </c>
      <c r="K115" s="23" t="s">
        <v>32</v>
      </c>
      <c r="L115" s="49" t="s">
        <v>140</v>
      </c>
      <c r="M115" s="30"/>
      <c r="N115" s="24"/>
      <c r="O115" s="23" t="s">
        <v>140</v>
      </c>
      <c r="P115" s="23" t="s">
        <v>32</v>
      </c>
      <c r="Q115" s="23" t="s">
        <v>140</v>
      </c>
      <c r="R115" s="24" t="s">
        <v>32</v>
      </c>
      <c r="S115" s="24" t="s">
        <v>140</v>
      </c>
      <c r="T115" s="30"/>
      <c r="U115" s="24" t="s">
        <v>32</v>
      </c>
      <c r="V115" s="24" t="s">
        <v>32</v>
      </c>
      <c r="W115" s="24" t="s">
        <v>196</v>
      </c>
      <c r="X115" s="24" t="s">
        <v>32</v>
      </c>
      <c r="Y115" s="24" t="s">
        <v>140</v>
      </c>
      <c r="Z115" s="24" t="s">
        <v>140</v>
      </c>
      <c r="AA115" s="30"/>
      <c r="AB115" s="29" t="s">
        <v>32</v>
      </c>
      <c r="AC115" s="51" t="s">
        <v>140</v>
      </c>
      <c r="AD115" s="51" t="s">
        <v>140</v>
      </c>
      <c r="AE115" s="51" t="s">
        <v>140</v>
      </c>
      <c r="AF115" s="51" t="s">
        <v>140</v>
      </c>
      <c r="AG115" s="51" t="s">
        <v>140</v>
      </c>
      <c r="AH115" s="30"/>
      <c r="AI115" s="51" t="s">
        <v>140</v>
      </c>
      <c r="AJ115" s="51" t="s">
        <v>140</v>
      </c>
      <c r="AK115" s="51" t="s">
        <v>140</v>
      </c>
      <c r="AL115" s="23"/>
      <c r="AM115" s="23"/>
      <c r="AN115" s="23"/>
      <c r="AO115" s="30"/>
      <c r="AP115" s="23"/>
      <c r="AQ115" s="23"/>
      <c r="AR115" s="23"/>
    </row>
    <row r="116">
      <c r="A116" s="44">
        <v>113.0</v>
      </c>
      <c r="B116" s="54" t="s">
        <v>1092</v>
      </c>
      <c r="C116" s="26" t="s">
        <v>1093</v>
      </c>
      <c r="D116" s="26" t="s">
        <v>630</v>
      </c>
      <c r="E116" s="13">
        <f t="shared" si="2"/>
        <v>0</v>
      </c>
      <c r="F116" s="47">
        <f t="shared" si="3"/>
        <v>24</v>
      </c>
      <c r="G116" s="47">
        <f t="shared" si="4"/>
        <v>24</v>
      </c>
      <c r="H116" s="48">
        <f t="shared" si="5"/>
        <v>0</v>
      </c>
      <c r="I116" s="24" t="s">
        <v>32</v>
      </c>
      <c r="J116" s="23" t="s">
        <v>32</v>
      </c>
      <c r="K116" s="23" t="s">
        <v>32</v>
      </c>
      <c r="L116" s="49" t="s">
        <v>32</v>
      </c>
      <c r="M116" s="30"/>
      <c r="N116" s="23"/>
      <c r="O116" s="23" t="s">
        <v>32</v>
      </c>
      <c r="P116" s="23" t="s">
        <v>32</v>
      </c>
      <c r="Q116" s="23" t="s">
        <v>32</v>
      </c>
      <c r="R116" s="24" t="s">
        <v>32</v>
      </c>
      <c r="S116" s="24" t="s">
        <v>32</v>
      </c>
      <c r="T116" s="30"/>
      <c r="U116" s="24" t="s">
        <v>32</v>
      </c>
      <c r="V116" s="24" t="s">
        <v>32</v>
      </c>
      <c r="W116" s="24" t="s">
        <v>32</v>
      </c>
      <c r="X116" s="24" t="s">
        <v>32</v>
      </c>
      <c r="Y116" s="24" t="s">
        <v>32</v>
      </c>
      <c r="Z116" s="24" t="s">
        <v>32</v>
      </c>
      <c r="AA116" s="30"/>
      <c r="AB116" s="29" t="s">
        <v>32</v>
      </c>
      <c r="AC116" s="29" t="s">
        <v>32</v>
      </c>
      <c r="AD116" s="29" t="s">
        <v>32</v>
      </c>
      <c r="AE116" s="29" t="s">
        <v>32</v>
      </c>
      <c r="AF116" s="29" t="s">
        <v>32</v>
      </c>
      <c r="AG116" s="29" t="s">
        <v>32</v>
      </c>
      <c r="AH116" s="30"/>
      <c r="AI116" s="29" t="s">
        <v>32</v>
      </c>
      <c r="AJ116" s="29" t="s">
        <v>32</v>
      </c>
      <c r="AK116" s="29" t="s">
        <v>32</v>
      </c>
      <c r="AL116" s="23"/>
      <c r="AM116" s="23"/>
      <c r="AN116" s="23"/>
      <c r="AO116" s="30"/>
      <c r="AP116" s="23"/>
      <c r="AQ116" s="23"/>
      <c r="AR116" s="23"/>
    </row>
    <row r="117">
      <c r="A117" s="44">
        <v>114.0</v>
      </c>
      <c r="B117" s="45" t="s">
        <v>1094</v>
      </c>
      <c r="C117" s="26" t="s">
        <v>1095</v>
      </c>
      <c r="D117" s="26" t="s">
        <v>635</v>
      </c>
      <c r="E117" s="13">
        <f t="shared" si="2"/>
        <v>8</v>
      </c>
      <c r="F117" s="47">
        <f t="shared" si="3"/>
        <v>16</v>
      </c>
      <c r="G117" s="47">
        <f t="shared" si="4"/>
        <v>24</v>
      </c>
      <c r="H117" s="48">
        <f t="shared" si="5"/>
        <v>0.3333333333</v>
      </c>
      <c r="I117" s="24" t="s">
        <v>32</v>
      </c>
      <c r="J117" s="23" t="s">
        <v>32</v>
      </c>
      <c r="K117" s="23" t="s">
        <v>32</v>
      </c>
      <c r="L117" s="49" t="s">
        <v>32</v>
      </c>
      <c r="M117" s="30"/>
      <c r="N117" s="23"/>
      <c r="O117" s="24" t="s">
        <v>32</v>
      </c>
      <c r="P117" s="23" t="s">
        <v>32</v>
      </c>
      <c r="Q117" s="23" t="s">
        <v>32</v>
      </c>
      <c r="R117" s="24" t="s">
        <v>140</v>
      </c>
      <c r="S117" s="24" t="s">
        <v>140</v>
      </c>
      <c r="T117" s="30"/>
      <c r="U117" s="24" t="s">
        <v>32</v>
      </c>
      <c r="V117" s="24" t="s">
        <v>32</v>
      </c>
      <c r="W117" s="24" t="s">
        <v>32</v>
      </c>
      <c r="X117" s="24" t="s">
        <v>32</v>
      </c>
      <c r="Y117" s="24" t="s">
        <v>32</v>
      </c>
      <c r="Z117" s="24" t="s">
        <v>140</v>
      </c>
      <c r="AA117" s="30"/>
      <c r="AB117" s="29" t="s">
        <v>32</v>
      </c>
      <c r="AC117" s="51" t="s">
        <v>140</v>
      </c>
      <c r="AD117" s="29" t="s">
        <v>32</v>
      </c>
      <c r="AE117" s="51" t="s">
        <v>140</v>
      </c>
      <c r="AF117" s="51" t="s">
        <v>140</v>
      </c>
      <c r="AG117" s="51" t="s">
        <v>140</v>
      </c>
      <c r="AH117" s="30"/>
      <c r="AI117" s="29" t="s">
        <v>32</v>
      </c>
      <c r="AJ117" s="29" t="s">
        <v>32</v>
      </c>
      <c r="AK117" s="51" t="s">
        <v>140</v>
      </c>
      <c r="AL117" s="23"/>
      <c r="AM117" s="23"/>
      <c r="AN117" s="23"/>
      <c r="AO117" s="30"/>
      <c r="AP117" s="23"/>
      <c r="AQ117" s="23"/>
      <c r="AR117" s="23"/>
    </row>
    <row r="118">
      <c r="A118" s="44">
        <v>115.0</v>
      </c>
      <c r="B118" s="45" t="s">
        <v>1096</v>
      </c>
      <c r="C118" s="26" t="s">
        <v>1097</v>
      </c>
      <c r="D118" s="26" t="s">
        <v>641</v>
      </c>
      <c r="E118" s="13">
        <f t="shared" si="2"/>
        <v>1</v>
      </c>
      <c r="F118" s="47">
        <f t="shared" si="3"/>
        <v>23</v>
      </c>
      <c r="G118" s="47">
        <f t="shared" si="4"/>
        <v>24</v>
      </c>
      <c r="H118" s="48">
        <f t="shared" si="5"/>
        <v>0.04166666667</v>
      </c>
      <c r="I118" s="24" t="s">
        <v>32</v>
      </c>
      <c r="J118" s="23" t="s">
        <v>32</v>
      </c>
      <c r="K118" s="23" t="s">
        <v>32</v>
      </c>
      <c r="L118" s="49" t="s">
        <v>140</v>
      </c>
      <c r="M118" s="30"/>
      <c r="N118" s="23"/>
      <c r="O118" s="23" t="s">
        <v>32</v>
      </c>
      <c r="P118" s="23" t="s">
        <v>32</v>
      </c>
      <c r="Q118" s="23" t="s">
        <v>32</v>
      </c>
      <c r="R118" s="24" t="s">
        <v>32</v>
      </c>
      <c r="S118" s="24" t="s">
        <v>32</v>
      </c>
      <c r="T118" s="30"/>
      <c r="U118" s="24" t="s">
        <v>32</v>
      </c>
      <c r="V118" s="24" t="s">
        <v>32</v>
      </c>
      <c r="W118" s="24" t="s">
        <v>32</v>
      </c>
      <c r="X118" s="24" t="s">
        <v>32</v>
      </c>
      <c r="Y118" s="24" t="s">
        <v>32</v>
      </c>
      <c r="Z118" s="24" t="s">
        <v>32</v>
      </c>
      <c r="AA118" s="30"/>
      <c r="AB118" s="29" t="s">
        <v>32</v>
      </c>
      <c r="AC118" s="29" t="s">
        <v>32</v>
      </c>
      <c r="AD118" s="29" t="s">
        <v>32</v>
      </c>
      <c r="AE118" s="29" t="s">
        <v>32</v>
      </c>
      <c r="AF118" s="29" t="s">
        <v>32</v>
      </c>
      <c r="AG118" s="29" t="s">
        <v>32</v>
      </c>
      <c r="AH118" s="30"/>
      <c r="AI118" s="29" t="s">
        <v>32</v>
      </c>
      <c r="AJ118" s="29" t="s">
        <v>32</v>
      </c>
      <c r="AK118" s="29" t="s">
        <v>32</v>
      </c>
      <c r="AL118" s="23"/>
      <c r="AM118" s="23"/>
      <c r="AN118" s="23"/>
      <c r="AO118" s="30"/>
      <c r="AP118" s="23"/>
      <c r="AQ118" s="23"/>
      <c r="AR118" s="23"/>
    </row>
    <row r="119">
      <c r="A119" s="44">
        <v>116.0</v>
      </c>
      <c r="B119" s="72" t="s">
        <v>1098</v>
      </c>
      <c r="C119" s="26" t="s">
        <v>651</v>
      </c>
      <c r="D119" s="26" t="s">
        <v>653</v>
      </c>
      <c r="E119" s="13">
        <f t="shared" si="2"/>
        <v>12</v>
      </c>
      <c r="F119" s="47">
        <f t="shared" si="3"/>
        <v>12</v>
      </c>
      <c r="G119" s="47">
        <f t="shared" si="4"/>
        <v>24</v>
      </c>
      <c r="H119" s="48">
        <f t="shared" si="5"/>
        <v>0.5</v>
      </c>
      <c r="I119" s="24" t="s">
        <v>140</v>
      </c>
      <c r="J119" s="23" t="s">
        <v>32</v>
      </c>
      <c r="K119" s="23" t="s">
        <v>140</v>
      </c>
      <c r="L119" s="24" t="s">
        <v>140</v>
      </c>
      <c r="M119" s="30"/>
      <c r="N119" s="23"/>
      <c r="O119" s="23" t="s">
        <v>32</v>
      </c>
      <c r="P119" s="23" t="s">
        <v>32</v>
      </c>
      <c r="Q119" s="23" t="s">
        <v>32</v>
      </c>
      <c r="R119" s="24" t="s">
        <v>140</v>
      </c>
      <c r="S119" s="24" t="s">
        <v>32</v>
      </c>
      <c r="T119" s="30"/>
      <c r="U119" s="24" t="s">
        <v>140</v>
      </c>
      <c r="V119" s="24" t="s">
        <v>32</v>
      </c>
      <c r="W119" s="24" t="s">
        <v>196</v>
      </c>
      <c r="X119" s="24" t="s">
        <v>32</v>
      </c>
      <c r="Y119" s="24" t="s">
        <v>32</v>
      </c>
      <c r="Z119" s="24" t="s">
        <v>32</v>
      </c>
      <c r="AA119" s="30"/>
      <c r="AB119" s="51" t="s">
        <v>140</v>
      </c>
      <c r="AC119" s="51" t="s">
        <v>140</v>
      </c>
      <c r="AD119" s="51" t="s">
        <v>140</v>
      </c>
      <c r="AE119" s="51" t="s">
        <v>140</v>
      </c>
      <c r="AF119" s="51" t="s">
        <v>140</v>
      </c>
      <c r="AG119" s="29" t="s">
        <v>32</v>
      </c>
      <c r="AH119" s="30"/>
      <c r="AI119" s="29" t="s">
        <v>32</v>
      </c>
      <c r="AJ119" s="51" t="s">
        <v>140</v>
      </c>
      <c r="AK119" s="29" t="s">
        <v>32</v>
      </c>
      <c r="AL119" s="23"/>
      <c r="AM119" s="23"/>
      <c r="AN119" s="23"/>
      <c r="AO119" s="30"/>
      <c r="AP119" s="23"/>
      <c r="AQ119" s="23"/>
      <c r="AR119" s="23"/>
    </row>
    <row r="120">
      <c r="A120" s="44">
        <v>117.0</v>
      </c>
      <c r="B120" s="54" t="s">
        <v>1099</v>
      </c>
      <c r="C120" s="26" t="s">
        <v>1100</v>
      </c>
      <c r="D120" s="26" t="s">
        <v>670</v>
      </c>
      <c r="E120" s="13">
        <f t="shared" si="2"/>
        <v>1</v>
      </c>
      <c r="F120" s="47">
        <f t="shared" si="3"/>
        <v>23</v>
      </c>
      <c r="G120" s="47">
        <f t="shared" si="4"/>
        <v>24</v>
      </c>
      <c r="H120" s="48">
        <f t="shared" si="5"/>
        <v>0.04166666667</v>
      </c>
      <c r="I120" s="24" t="s">
        <v>140</v>
      </c>
      <c r="J120" s="23" t="s">
        <v>32</v>
      </c>
      <c r="K120" s="23" t="s">
        <v>32</v>
      </c>
      <c r="L120" s="49" t="s">
        <v>32</v>
      </c>
      <c r="M120" s="30"/>
      <c r="N120" s="23"/>
      <c r="O120" s="23" t="s">
        <v>32</v>
      </c>
      <c r="P120" s="23" t="s">
        <v>32</v>
      </c>
      <c r="Q120" s="23" t="s">
        <v>32</v>
      </c>
      <c r="R120" s="24" t="s">
        <v>32</v>
      </c>
      <c r="S120" s="24" t="s">
        <v>32</v>
      </c>
      <c r="T120" s="30"/>
      <c r="U120" s="24" t="s">
        <v>32</v>
      </c>
      <c r="V120" s="24" t="s">
        <v>32</v>
      </c>
      <c r="W120" s="24" t="s">
        <v>32</v>
      </c>
      <c r="X120" s="24" t="s">
        <v>32</v>
      </c>
      <c r="Y120" s="24" t="s">
        <v>32</v>
      </c>
      <c r="Z120" s="24" t="s">
        <v>32</v>
      </c>
      <c r="AA120" s="30"/>
      <c r="AB120" s="29" t="s">
        <v>32</v>
      </c>
      <c r="AC120" s="29" t="s">
        <v>32</v>
      </c>
      <c r="AD120" s="29" t="s">
        <v>32</v>
      </c>
      <c r="AE120" s="29" t="s">
        <v>32</v>
      </c>
      <c r="AF120" s="29" t="s">
        <v>32</v>
      </c>
      <c r="AG120" s="29" t="s">
        <v>32</v>
      </c>
      <c r="AH120" s="30"/>
      <c r="AI120" s="29" t="s">
        <v>32</v>
      </c>
      <c r="AJ120" s="29" t="s">
        <v>32</v>
      </c>
      <c r="AK120" s="29" t="s">
        <v>32</v>
      </c>
      <c r="AL120" s="23"/>
      <c r="AM120" s="23"/>
      <c r="AN120" s="23"/>
      <c r="AO120" s="30"/>
      <c r="AP120" s="23"/>
      <c r="AQ120" s="23"/>
      <c r="AR120" s="23"/>
    </row>
    <row r="121">
      <c r="A121" s="44">
        <v>118.0</v>
      </c>
      <c r="B121" s="54" t="s">
        <v>1101</v>
      </c>
      <c r="C121" s="26" t="s">
        <v>1102</v>
      </c>
      <c r="D121" s="26" t="s">
        <v>687</v>
      </c>
      <c r="E121" s="13">
        <f t="shared" si="2"/>
        <v>0</v>
      </c>
      <c r="F121" s="47">
        <f t="shared" si="3"/>
        <v>24</v>
      </c>
      <c r="G121" s="47">
        <f t="shared" si="4"/>
        <v>24</v>
      </c>
      <c r="H121" s="48">
        <f t="shared" si="5"/>
        <v>0</v>
      </c>
      <c r="I121" s="24" t="s">
        <v>32</v>
      </c>
      <c r="J121" s="23" t="s">
        <v>32</v>
      </c>
      <c r="K121" s="23" t="s">
        <v>32</v>
      </c>
      <c r="L121" s="49" t="s">
        <v>32</v>
      </c>
      <c r="M121" s="30"/>
      <c r="N121" s="23"/>
      <c r="O121" s="23" t="s">
        <v>32</v>
      </c>
      <c r="P121" s="23" t="s">
        <v>32</v>
      </c>
      <c r="Q121" s="23" t="s">
        <v>32</v>
      </c>
      <c r="R121" s="24" t="s">
        <v>32</v>
      </c>
      <c r="S121" s="24" t="s">
        <v>32</v>
      </c>
      <c r="T121" s="30"/>
      <c r="U121" s="24" t="s">
        <v>32</v>
      </c>
      <c r="V121" s="24" t="s">
        <v>32</v>
      </c>
      <c r="W121" s="24" t="s">
        <v>32</v>
      </c>
      <c r="X121" s="24" t="s">
        <v>32</v>
      </c>
      <c r="Y121" s="24" t="s">
        <v>32</v>
      </c>
      <c r="Z121" s="24" t="s">
        <v>32</v>
      </c>
      <c r="AA121" s="30"/>
      <c r="AB121" s="29" t="s">
        <v>32</v>
      </c>
      <c r="AC121" s="29" t="s">
        <v>32</v>
      </c>
      <c r="AD121" s="29" t="s">
        <v>32</v>
      </c>
      <c r="AE121" s="29" t="s">
        <v>32</v>
      </c>
      <c r="AF121" s="29" t="s">
        <v>32</v>
      </c>
      <c r="AG121" s="29" t="s">
        <v>32</v>
      </c>
      <c r="AH121" s="30"/>
      <c r="AI121" s="29" t="s">
        <v>32</v>
      </c>
      <c r="AJ121" s="29" t="s">
        <v>32</v>
      </c>
      <c r="AK121" s="29" t="s">
        <v>32</v>
      </c>
      <c r="AL121" s="23"/>
      <c r="AM121" s="23"/>
      <c r="AN121" s="23"/>
      <c r="AO121" s="30"/>
      <c r="AP121" s="23"/>
      <c r="AQ121" s="23"/>
      <c r="AR121" s="23"/>
    </row>
    <row r="122">
      <c r="A122" s="44">
        <v>119.0</v>
      </c>
      <c r="B122" s="54" t="s">
        <v>941</v>
      </c>
      <c r="C122" s="26" t="s">
        <v>705</v>
      </c>
      <c r="D122" s="26" t="s">
        <v>707</v>
      </c>
      <c r="E122" s="13">
        <f t="shared" si="2"/>
        <v>20</v>
      </c>
      <c r="F122" s="47">
        <f t="shared" si="3"/>
        <v>4</v>
      </c>
      <c r="G122" s="47">
        <f t="shared" si="4"/>
        <v>24</v>
      </c>
      <c r="H122" s="48">
        <f t="shared" si="5"/>
        <v>0.8333333333</v>
      </c>
      <c r="I122" s="24" t="s">
        <v>140</v>
      </c>
      <c r="J122" s="23" t="s">
        <v>140</v>
      </c>
      <c r="K122" s="23" t="s">
        <v>140</v>
      </c>
      <c r="L122" s="49" t="s">
        <v>140</v>
      </c>
      <c r="M122" s="30"/>
      <c r="N122" s="24"/>
      <c r="O122" s="24" t="s">
        <v>140</v>
      </c>
      <c r="P122" s="23" t="s">
        <v>140</v>
      </c>
      <c r="Q122" s="23" t="s">
        <v>140</v>
      </c>
      <c r="R122" s="24" t="s">
        <v>32</v>
      </c>
      <c r="S122" s="24" t="s">
        <v>140</v>
      </c>
      <c r="T122" s="30"/>
      <c r="U122" s="24" t="s">
        <v>140</v>
      </c>
      <c r="V122" s="24" t="s">
        <v>196</v>
      </c>
      <c r="W122" s="24" t="s">
        <v>196</v>
      </c>
      <c r="X122" s="24" t="s">
        <v>140</v>
      </c>
      <c r="Y122" s="24" t="s">
        <v>140</v>
      </c>
      <c r="Z122" s="24" t="s">
        <v>140</v>
      </c>
      <c r="AA122" s="30"/>
      <c r="AB122" s="51" t="s">
        <v>140</v>
      </c>
      <c r="AC122" s="29" t="s">
        <v>32</v>
      </c>
      <c r="AD122" s="51" t="s">
        <v>140</v>
      </c>
      <c r="AE122" s="29" t="s">
        <v>32</v>
      </c>
      <c r="AF122" s="51" t="s">
        <v>140</v>
      </c>
      <c r="AG122" s="29" t="s">
        <v>32</v>
      </c>
      <c r="AH122" s="30"/>
      <c r="AI122" s="51" t="s">
        <v>140</v>
      </c>
      <c r="AJ122" s="51" t="s">
        <v>140</v>
      </c>
      <c r="AK122" s="51" t="s">
        <v>140</v>
      </c>
      <c r="AL122" s="23"/>
      <c r="AM122" s="23"/>
      <c r="AN122" s="23"/>
      <c r="AO122" s="30"/>
      <c r="AP122" s="23"/>
      <c r="AQ122" s="23"/>
      <c r="AR122" s="23"/>
    </row>
    <row r="123">
      <c r="A123" s="44">
        <v>120.0</v>
      </c>
      <c r="B123" s="54" t="s">
        <v>1103</v>
      </c>
      <c r="C123" s="26" t="s">
        <v>721</v>
      </c>
      <c r="D123" s="26" t="s">
        <v>723</v>
      </c>
      <c r="E123" s="13">
        <f t="shared" si="2"/>
        <v>15</v>
      </c>
      <c r="F123" s="47">
        <f t="shared" si="3"/>
        <v>9</v>
      </c>
      <c r="G123" s="47">
        <f t="shared" si="4"/>
        <v>24</v>
      </c>
      <c r="H123" s="48">
        <f t="shared" si="5"/>
        <v>0.625</v>
      </c>
      <c r="I123" s="24" t="s">
        <v>32</v>
      </c>
      <c r="J123" s="23" t="s">
        <v>32</v>
      </c>
      <c r="K123" s="23" t="s">
        <v>32</v>
      </c>
      <c r="L123" s="49" t="s">
        <v>32</v>
      </c>
      <c r="M123" s="30"/>
      <c r="N123" s="23"/>
      <c r="O123" s="23" t="s">
        <v>32</v>
      </c>
      <c r="P123" s="23" t="s">
        <v>32</v>
      </c>
      <c r="Q123" s="23" t="s">
        <v>32</v>
      </c>
      <c r="R123" s="24" t="s">
        <v>32</v>
      </c>
      <c r="S123" s="24" t="s">
        <v>32</v>
      </c>
      <c r="T123" s="30"/>
      <c r="U123" s="24" t="s">
        <v>140</v>
      </c>
      <c r="V123" s="24" t="s">
        <v>196</v>
      </c>
      <c r="W123" s="24" t="s">
        <v>196</v>
      </c>
      <c r="X123" s="24" t="s">
        <v>140</v>
      </c>
      <c r="Y123" s="24" t="s">
        <v>140</v>
      </c>
      <c r="Z123" s="24" t="s">
        <v>140</v>
      </c>
      <c r="AA123" s="30"/>
      <c r="AB123" s="51" t="s">
        <v>140</v>
      </c>
      <c r="AC123" s="51" t="s">
        <v>140</v>
      </c>
      <c r="AD123" s="51" t="s">
        <v>140</v>
      </c>
      <c r="AE123" s="51" t="s">
        <v>140</v>
      </c>
      <c r="AF123" s="51" t="s">
        <v>140</v>
      </c>
      <c r="AG123" s="51" t="s">
        <v>140</v>
      </c>
      <c r="AH123" s="30"/>
      <c r="AI123" s="51" t="s">
        <v>140</v>
      </c>
      <c r="AJ123" s="51" t="s">
        <v>140</v>
      </c>
      <c r="AK123" s="51" t="s">
        <v>140</v>
      </c>
      <c r="AL123" s="23"/>
      <c r="AM123" s="23"/>
      <c r="AN123" s="23"/>
      <c r="AO123" s="30"/>
      <c r="AP123" s="23"/>
      <c r="AQ123" s="23"/>
      <c r="AR123" s="23"/>
    </row>
    <row r="124">
      <c r="A124" s="44">
        <v>121.0</v>
      </c>
      <c r="B124" s="55" t="s">
        <v>1043</v>
      </c>
      <c r="C124" s="26" t="s">
        <v>740</v>
      </c>
      <c r="D124" s="26" t="s">
        <v>742</v>
      </c>
      <c r="E124" s="13">
        <f t="shared" si="2"/>
        <v>9</v>
      </c>
      <c r="F124" s="47">
        <f t="shared" si="3"/>
        <v>15</v>
      </c>
      <c r="G124" s="47">
        <f t="shared" si="4"/>
        <v>24</v>
      </c>
      <c r="H124" s="48">
        <f t="shared" si="5"/>
        <v>0.375</v>
      </c>
      <c r="I124" s="24" t="s">
        <v>140</v>
      </c>
      <c r="J124" s="23" t="s">
        <v>140</v>
      </c>
      <c r="K124" s="23" t="s">
        <v>32</v>
      </c>
      <c r="L124" s="49" t="s">
        <v>32</v>
      </c>
      <c r="M124" s="30"/>
      <c r="N124" s="23"/>
      <c r="O124" s="23" t="s">
        <v>140</v>
      </c>
      <c r="P124" s="23" t="s">
        <v>140</v>
      </c>
      <c r="Q124" s="23" t="s">
        <v>32</v>
      </c>
      <c r="R124" s="24" t="s">
        <v>32</v>
      </c>
      <c r="S124" s="24" t="s">
        <v>32</v>
      </c>
      <c r="T124" s="30"/>
      <c r="U124" s="24" t="s">
        <v>140</v>
      </c>
      <c r="V124" s="24" t="s">
        <v>32</v>
      </c>
      <c r="W124" s="24" t="s">
        <v>32</v>
      </c>
      <c r="X124" s="24" t="s">
        <v>32</v>
      </c>
      <c r="Y124" s="24" t="s">
        <v>32</v>
      </c>
      <c r="Z124" s="24" t="s">
        <v>32</v>
      </c>
      <c r="AA124" s="30"/>
      <c r="AB124" s="29" t="s">
        <v>32</v>
      </c>
      <c r="AC124" s="51" t="s">
        <v>140</v>
      </c>
      <c r="AD124" s="51" t="s">
        <v>140</v>
      </c>
      <c r="AE124" s="51" t="s">
        <v>140</v>
      </c>
      <c r="AF124" s="51" t="s">
        <v>140</v>
      </c>
      <c r="AG124" s="29" t="s">
        <v>32</v>
      </c>
      <c r="AH124" s="30"/>
      <c r="AI124" s="29" t="s">
        <v>32</v>
      </c>
      <c r="AJ124" s="29" t="s">
        <v>32</v>
      </c>
      <c r="AK124" s="29" t="s">
        <v>32</v>
      </c>
      <c r="AL124" s="23"/>
      <c r="AM124" s="23"/>
      <c r="AN124" s="23"/>
      <c r="AO124" s="30"/>
      <c r="AP124" s="23"/>
      <c r="AQ124" s="23"/>
      <c r="AR124" s="23"/>
    </row>
    <row r="125">
      <c r="A125" s="44">
        <v>122.0</v>
      </c>
      <c r="B125" s="77" t="s">
        <v>1104</v>
      </c>
      <c r="C125" s="26" t="s">
        <v>757</v>
      </c>
      <c r="D125" s="26" t="s">
        <v>759</v>
      </c>
      <c r="E125" s="13">
        <f t="shared" si="2"/>
        <v>1</v>
      </c>
      <c r="F125" s="47">
        <f t="shared" si="3"/>
        <v>23</v>
      </c>
      <c r="G125" s="47">
        <f t="shared" si="4"/>
        <v>24</v>
      </c>
      <c r="H125" s="48">
        <f t="shared" si="5"/>
        <v>0.04166666667</v>
      </c>
      <c r="I125" s="24" t="s">
        <v>32</v>
      </c>
      <c r="J125" s="23" t="s">
        <v>32</v>
      </c>
      <c r="K125" s="23" t="s">
        <v>32</v>
      </c>
      <c r="L125" s="49" t="s">
        <v>140</v>
      </c>
      <c r="M125" s="30"/>
      <c r="N125" s="23"/>
      <c r="O125" s="23" t="s">
        <v>32</v>
      </c>
      <c r="P125" s="23" t="s">
        <v>32</v>
      </c>
      <c r="Q125" s="23" t="s">
        <v>32</v>
      </c>
      <c r="R125" s="24" t="s">
        <v>32</v>
      </c>
      <c r="S125" s="24" t="s">
        <v>32</v>
      </c>
      <c r="T125" s="30"/>
      <c r="U125" s="24" t="s">
        <v>32</v>
      </c>
      <c r="V125" s="24" t="s">
        <v>32</v>
      </c>
      <c r="W125" s="24" t="s">
        <v>32</v>
      </c>
      <c r="X125" s="24" t="s">
        <v>32</v>
      </c>
      <c r="Y125" s="24" t="s">
        <v>32</v>
      </c>
      <c r="Z125" s="24" t="s">
        <v>32</v>
      </c>
      <c r="AA125" s="30"/>
      <c r="AB125" s="29" t="s">
        <v>32</v>
      </c>
      <c r="AC125" s="29" t="s">
        <v>32</v>
      </c>
      <c r="AD125" s="29" t="s">
        <v>32</v>
      </c>
      <c r="AE125" s="29" t="s">
        <v>32</v>
      </c>
      <c r="AF125" s="29" t="s">
        <v>32</v>
      </c>
      <c r="AG125" s="29" t="s">
        <v>32</v>
      </c>
      <c r="AH125" s="30"/>
      <c r="AI125" s="29" t="s">
        <v>32</v>
      </c>
      <c r="AJ125" s="29" t="s">
        <v>32</v>
      </c>
      <c r="AK125" s="29" t="s">
        <v>32</v>
      </c>
      <c r="AL125" s="23"/>
      <c r="AM125" s="23"/>
      <c r="AN125" s="23"/>
      <c r="AO125" s="30"/>
      <c r="AP125" s="23"/>
      <c r="AQ125" s="23"/>
      <c r="AR125" s="23"/>
    </row>
    <row r="126">
      <c r="A126" s="44">
        <v>123.0</v>
      </c>
      <c r="B126" s="55" t="s">
        <v>1105</v>
      </c>
      <c r="C126" s="26" t="s">
        <v>1106</v>
      </c>
      <c r="D126" s="26" t="s">
        <v>772</v>
      </c>
      <c r="E126" s="13">
        <f t="shared" si="2"/>
        <v>1</v>
      </c>
      <c r="F126" s="47">
        <f t="shared" si="3"/>
        <v>23</v>
      </c>
      <c r="G126" s="47">
        <f t="shared" si="4"/>
        <v>24</v>
      </c>
      <c r="H126" s="48">
        <f t="shared" si="5"/>
        <v>0.04166666667</v>
      </c>
      <c r="I126" s="24" t="s">
        <v>140</v>
      </c>
      <c r="J126" s="23" t="s">
        <v>32</v>
      </c>
      <c r="K126" s="23" t="s">
        <v>32</v>
      </c>
      <c r="L126" s="49" t="s">
        <v>32</v>
      </c>
      <c r="M126" s="30"/>
      <c r="N126" s="23"/>
      <c r="O126" s="23" t="s">
        <v>32</v>
      </c>
      <c r="P126" s="23" t="s">
        <v>32</v>
      </c>
      <c r="Q126" s="23" t="s">
        <v>32</v>
      </c>
      <c r="R126" s="24" t="s">
        <v>32</v>
      </c>
      <c r="S126" s="24" t="s">
        <v>32</v>
      </c>
      <c r="T126" s="30"/>
      <c r="U126" s="24" t="s">
        <v>32</v>
      </c>
      <c r="V126" s="24" t="s">
        <v>32</v>
      </c>
      <c r="W126" s="24" t="s">
        <v>32</v>
      </c>
      <c r="X126" s="24" t="s">
        <v>32</v>
      </c>
      <c r="Y126" s="24" t="s">
        <v>32</v>
      </c>
      <c r="Z126" s="24" t="s">
        <v>32</v>
      </c>
      <c r="AA126" s="30"/>
      <c r="AB126" s="29" t="s">
        <v>32</v>
      </c>
      <c r="AC126" s="29" t="s">
        <v>32</v>
      </c>
      <c r="AD126" s="29" t="s">
        <v>32</v>
      </c>
      <c r="AE126" s="29" t="s">
        <v>32</v>
      </c>
      <c r="AF126" s="29" t="s">
        <v>32</v>
      </c>
      <c r="AG126" s="29" t="s">
        <v>32</v>
      </c>
      <c r="AH126" s="30"/>
      <c r="AI126" s="29" t="s">
        <v>32</v>
      </c>
      <c r="AJ126" s="29" t="s">
        <v>32</v>
      </c>
      <c r="AK126" s="29" t="s">
        <v>32</v>
      </c>
      <c r="AL126" s="23"/>
      <c r="AM126" s="23"/>
      <c r="AN126" s="23"/>
      <c r="AO126" s="30"/>
      <c r="AP126" s="23"/>
      <c r="AQ126" s="23"/>
      <c r="AR126" s="23"/>
    </row>
    <row r="127">
      <c r="A127" s="44">
        <v>124.0</v>
      </c>
      <c r="B127" s="55" t="s">
        <v>1107</v>
      </c>
      <c r="C127" s="26" t="s">
        <v>790</v>
      </c>
      <c r="D127" s="26" t="s">
        <v>792</v>
      </c>
      <c r="E127" s="13">
        <f t="shared" si="2"/>
        <v>12</v>
      </c>
      <c r="F127" s="47">
        <f t="shared" si="3"/>
        <v>12</v>
      </c>
      <c r="G127" s="47">
        <f t="shared" si="4"/>
        <v>24</v>
      </c>
      <c r="H127" s="48">
        <f t="shared" si="5"/>
        <v>0.5</v>
      </c>
      <c r="I127" s="24" t="s">
        <v>32</v>
      </c>
      <c r="J127" s="23" t="s">
        <v>140</v>
      </c>
      <c r="K127" s="23" t="s">
        <v>32</v>
      </c>
      <c r="L127" s="49" t="s">
        <v>32</v>
      </c>
      <c r="M127" s="30"/>
      <c r="N127" s="23"/>
      <c r="O127" s="23" t="s">
        <v>32</v>
      </c>
      <c r="P127" s="23" t="s">
        <v>32</v>
      </c>
      <c r="Q127" s="23" t="s">
        <v>32</v>
      </c>
      <c r="R127" s="24" t="s">
        <v>32</v>
      </c>
      <c r="S127" s="24" t="s">
        <v>140</v>
      </c>
      <c r="T127" s="30"/>
      <c r="U127" s="24" t="s">
        <v>140</v>
      </c>
      <c r="V127" s="24" t="s">
        <v>196</v>
      </c>
      <c r="W127" s="24" t="s">
        <v>32</v>
      </c>
      <c r="X127" s="24" t="s">
        <v>140</v>
      </c>
      <c r="Y127" s="24" t="s">
        <v>140</v>
      </c>
      <c r="Z127" s="24" t="s">
        <v>140</v>
      </c>
      <c r="AA127" s="30"/>
      <c r="AB127" s="51" t="s">
        <v>140</v>
      </c>
      <c r="AC127" s="29" t="s">
        <v>32</v>
      </c>
      <c r="AD127" s="29" t="s">
        <v>32</v>
      </c>
      <c r="AE127" s="29" t="s">
        <v>32</v>
      </c>
      <c r="AF127" s="51" t="s">
        <v>140</v>
      </c>
      <c r="AG127" s="51" t="s">
        <v>140</v>
      </c>
      <c r="AH127" s="30"/>
      <c r="AI127" s="29" t="s">
        <v>32</v>
      </c>
      <c r="AJ127" s="51" t="s">
        <v>140</v>
      </c>
      <c r="AK127" s="51" t="s">
        <v>140</v>
      </c>
      <c r="AL127" s="23"/>
      <c r="AM127" s="23"/>
      <c r="AN127" s="23"/>
      <c r="AO127" s="30"/>
      <c r="AP127" s="23"/>
      <c r="AQ127" s="23"/>
      <c r="AR127" s="23"/>
    </row>
    <row r="128">
      <c r="A128" s="44">
        <v>125.0</v>
      </c>
      <c r="B128" s="45" t="s">
        <v>1108</v>
      </c>
      <c r="C128" s="26" t="s">
        <v>795</v>
      </c>
      <c r="D128" s="26" t="s">
        <v>797</v>
      </c>
      <c r="E128" s="13">
        <f t="shared" si="2"/>
        <v>2</v>
      </c>
      <c r="F128" s="47">
        <f t="shared" si="3"/>
        <v>22</v>
      </c>
      <c r="G128" s="47">
        <f t="shared" si="4"/>
        <v>24</v>
      </c>
      <c r="H128" s="48">
        <f t="shared" si="5"/>
        <v>0.08333333333</v>
      </c>
      <c r="I128" s="24" t="s">
        <v>140</v>
      </c>
      <c r="J128" s="23" t="s">
        <v>32</v>
      </c>
      <c r="K128" s="23" t="s">
        <v>32</v>
      </c>
      <c r="L128" s="49" t="s">
        <v>32</v>
      </c>
      <c r="M128" s="30"/>
      <c r="N128" s="23"/>
      <c r="O128" s="23" t="s">
        <v>32</v>
      </c>
      <c r="P128" s="23" t="s">
        <v>32</v>
      </c>
      <c r="Q128" s="23" t="s">
        <v>32</v>
      </c>
      <c r="R128" s="24" t="s">
        <v>32</v>
      </c>
      <c r="S128" s="24" t="s">
        <v>32</v>
      </c>
      <c r="T128" s="30"/>
      <c r="U128" s="24" t="s">
        <v>32</v>
      </c>
      <c r="V128" s="24" t="s">
        <v>32</v>
      </c>
      <c r="W128" s="24" t="s">
        <v>32</v>
      </c>
      <c r="X128" s="24" t="s">
        <v>32</v>
      </c>
      <c r="Y128" s="24" t="s">
        <v>32</v>
      </c>
      <c r="Z128" s="24" t="s">
        <v>32</v>
      </c>
      <c r="AA128" s="30"/>
      <c r="AB128" s="29" t="s">
        <v>32</v>
      </c>
      <c r="AC128" s="29" t="s">
        <v>32</v>
      </c>
      <c r="AD128" s="29" t="s">
        <v>32</v>
      </c>
      <c r="AE128" s="29" t="s">
        <v>32</v>
      </c>
      <c r="AF128" s="51" t="s">
        <v>140</v>
      </c>
      <c r="AG128" s="29" t="s">
        <v>32</v>
      </c>
      <c r="AH128" s="30"/>
      <c r="AI128" s="29" t="s">
        <v>32</v>
      </c>
      <c r="AJ128" s="29" t="s">
        <v>32</v>
      </c>
      <c r="AK128" s="29" t="s">
        <v>32</v>
      </c>
      <c r="AL128" s="23"/>
      <c r="AM128" s="23"/>
      <c r="AN128" s="23"/>
      <c r="AO128" s="30"/>
      <c r="AP128" s="23"/>
      <c r="AQ128" s="23"/>
      <c r="AR128" s="23"/>
    </row>
    <row r="129">
      <c r="A129" s="44">
        <v>126.0</v>
      </c>
      <c r="B129" s="55" t="s">
        <v>1109</v>
      </c>
      <c r="C129" s="26" t="s">
        <v>807</v>
      </c>
      <c r="D129" s="26" t="s">
        <v>808</v>
      </c>
      <c r="E129" s="13">
        <f t="shared" si="2"/>
        <v>7</v>
      </c>
      <c r="F129" s="47">
        <f t="shared" si="3"/>
        <v>17</v>
      </c>
      <c r="G129" s="47">
        <f t="shared" si="4"/>
        <v>24</v>
      </c>
      <c r="H129" s="48">
        <f t="shared" si="5"/>
        <v>0.2916666667</v>
      </c>
      <c r="I129" s="24" t="s">
        <v>140</v>
      </c>
      <c r="J129" s="23" t="s">
        <v>140</v>
      </c>
      <c r="K129" s="23" t="s">
        <v>32</v>
      </c>
      <c r="L129" s="49" t="s">
        <v>32</v>
      </c>
      <c r="M129" s="30"/>
      <c r="N129" s="23"/>
      <c r="O129" s="23" t="s">
        <v>32</v>
      </c>
      <c r="P129" s="23" t="s">
        <v>32</v>
      </c>
      <c r="Q129" s="23" t="s">
        <v>32</v>
      </c>
      <c r="R129" s="24" t="s">
        <v>32</v>
      </c>
      <c r="S129" s="24" t="s">
        <v>32</v>
      </c>
      <c r="T129" s="30"/>
      <c r="U129" s="24" t="s">
        <v>140</v>
      </c>
      <c r="V129" s="24" t="s">
        <v>32</v>
      </c>
      <c r="W129" s="24" t="s">
        <v>32</v>
      </c>
      <c r="X129" s="24" t="s">
        <v>32</v>
      </c>
      <c r="Y129" s="24" t="s">
        <v>32</v>
      </c>
      <c r="Z129" s="24" t="s">
        <v>32</v>
      </c>
      <c r="AA129" s="30"/>
      <c r="AB129" s="29" t="s">
        <v>32</v>
      </c>
      <c r="AC129" s="51" t="s">
        <v>140</v>
      </c>
      <c r="AD129" s="51" t="s">
        <v>140</v>
      </c>
      <c r="AE129" s="51" t="s">
        <v>140</v>
      </c>
      <c r="AF129" s="51" t="s">
        <v>140</v>
      </c>
      <c r="AG129" s="29" t="s">
        <v>32</v>
      </c>
      <c r="AH129" s="30"/>
      <c r="AI129" s="29" t="s">
        <v>32</v>
      </c>
      <c r="AJ129" s="29" t="s">
        <v>32</v>
      </c>
      <c r="AK129" s="29" t="s">
        <v>32</v>
      </c>
      <c r="AL129" s="23"/>
      <c r="AM129" s="23"/>
      <c r="AN129" s="23"/>
      <c r="AO129" s="30"/>
      <c r="AP129" s="23"/>
      <c r="AQ129" s="23"/>
      <c r="AR129" s="23"/>
    </row>
    <row r="130">
      <c r="A130" s="44">
        <v>127.0</v>
      </c>
      <c r="B130" s="55" t="s">
        <v>1110</v>
      </c>
      <c r="C130" s="26" t="s">
        <v>816</v>
      </c>
      <c r="D130" s="26" t="s">
        <v>817</v>
      </c>
      <c r="E130" s="13">
        <f t="shared" si="2"/>
        <v>3</v>
      </c>
      <c r="F130" s="47">
        <f t="shared" si="3"/>
        <v>21</v>
      </c>
      <c r="G130" s="47">
        <f t="shared" si="4"/>
        <v>24</v>
      </c>
      <c r="H130" s="48">
        <f t="shared" si="5"/>
        <v>0.125</v>
      </c>
      <c r="I130" s="24" t="s">
        <v>32</v>
      </c>
      <c r="J130" s="23" t="s">
        <v>32</v>
      </c>
      <c r="K130" s="23" t="s">
        <v>32</v>
      </c>
      <c r="L130" s="49" t="s">
        <v>32</v>
      </c>
      <c r="M130" s="30"/>
      <c r="N130" s="23"/>
      <c r="O130" s="23" t="s">
        <v>32</v>
      </c>
      <c r="P130" s="23" t="s">
        <v>32</v>
      </c>
      <c r="Q130" s="23" t="s">
        <v>32</v>
      </c>
      <c r="R130" s="24" t="s">
        <v>32</v>
      </c>
      <c r="S130" s="24" t="s">
        <v>32</v>
      </c>
      <c r="T130" s="30"/>
      <c r="U130" s="24" t="s">
        <v>32</v>
      </c>
      <c r="V130" s="24" t="s">
        <v>32</v>
      </c>
      <c r="W130" s="24" t="s">
        <v>32</v>
      </c>
      <c r="X130" s="24" t="s">
        <v>32</v>
      </c>
      <c r="Y130" s="24" t="s">
        <v>32</v>
      </c>
      <c r="Z130" s="24" t="s">
        <v>32</v>
      </c>
      <c r="AA130" s="30"/>
      <c r="AB130" s="51" t="s">
        <v>140</v>
      </c>
      <c r="AC130" s="51" t="s">
        <v>140</v>
      </c>
      <c r="AD130" s="29" t="s">
        <v>32</v>
      </c>
      <c r="AE130" s="51" t="s">
        <v>140</v>
      </c>
      <c r="AF130" s="29" t="s">
        <v>32</v>
      </c>
      <c r="AG130" s="29" t="s">
        <v>32</v>
      </c>
      <c r="AH130" s="30"/>
      <c r="AI130" s="29" t="s">
        <v>32</v>
      </c>
      <c r="AJ130" s="29" t="s">
        <v>32</v>
      </c>
      <c r="AK130" s="29" t="s">
        <v>32</v>
      </c>
      <c r="AL130" s="23"/>
      <c r="AM130" s="23"/>
      <c r="AN130" s="23"/>
      <c r="AO130" s="30"/>
      <c r="AP130" s="23"/>
      <c r="AQ130" s="23"/>
      <c r="AR130" s="23"/>
    </row>
    <row r="131">
      <c r="A131" s="44">
        <v>128.0</v>
      </c>
      <c r="B131" s="54" t="s">
        <v>1065</v>
      </c>
      <c r="C131" s="26" t="s">
        <v>822</v>
      </c>
      <c r="D131" s="26" t="s">
        <v>823</v>
      </c>
      <c r="E131" s="13">
        <f t="shared" si="2"/>
        <v>15</v>
      </c>
      <c r="F131" s="47">
        <f t="shared" si="3"/>
        <v>9</v>
      </c>
      <c r="G131" s="47">
        <f t="shared" si="4"/>
        <v>24</v>
      </c>
      <c r="H131" s="48">
        <f t="shared" si="5"/>
        <v>0.625</v>
      </c>
      <c r="I131" s="24" t="s">
        <v>140</v>
      </c>
      <c r="J131" s="23" t="s">
        <v>140</v>
      </c>
      <c r="K131" s="23" t="s">
        <v>32</v>
      </c>
      <c r="L131" s="49" t="s">
        <v>140</v>
      </c>
      <c r="M131" s="30"/>
      <c r="N131" s="23"/>
      <c r="O131" s="23" t="s">
        <v>140</v>
      </c>
      <c r="P131" s="23" t="s">
        <v>140</v>
      </c>
      <c r="Q131" s="23" t="s">
        <v>140</v>
      </c>
      <c r="R131" s="24" t="s">
        <v>140</v>
      </c>
      <c r="S131" s="24" t="s">
        <v>140</v>
      </c>
      <c r="T131" s="30"/>
      <c r="U131" s="24" t="s">
        <v>140</v>
      </c>
      <c r="V131" s="24" t="s">
        <v>196</v>
      </c>
      <c r="W131" s="24" t="s">
        <v>196</v>
      </c>
      <c r="X131" s="24" t="s">
        <v>140</v>
      </c>
      <c r="Y131" s="24" t="s">
        <v>140</v>
      </c>
      <c r="Z131" s="24" t="s">
        <v>140</v>
      </c>
      <c r="AA131" s="30"/>
      <c r="AB131" s="29" t="s">
        <v>32</v>
      </c>
      <c r="AC131" s="29" t="s">
        <v>32</v>
      </c>
      <c r="AD131" s="51" t="s">
        <v>140</v>
      </c>
      <c r="AE131" s="29" t="s">
        <v>32</v>
      </c>
      <c r="AF131" s="29" t="s">
        <v>32</v>
      </c>
      <c r="AG131" s="29" t="s">
        <v>32</v>
      </c>
      <c r="AH131" s="30"/>
      <c r="AI131" s="29" t="s">
        <v>32</v>
      </c>
      <c r="AJ131" s="29" t="s">
        <v>32</v>
      </c>
      <c r="AK131" s="29" t="s">
        <v>32</v>
      </c>
      <c r="AL131" s="23"/>
      <c r="AM131" s="23"/>
      <c r="AN131" s="23"/>
      <c r="AO131" s="30"/>
      <c r="AP131" s="23"/>
      <c r="AQ131" s="23"/>
      <c r="AR131" s="23"/>
    </row>
    <row r="132">
      <c r="A132" s="44">
        <v>129.0</v>
      </c>
      <c r="B132" s="45" t="s">
        <v>1111</v>
      </c>
      <c r="C132" s="26" t="s">
        <v>828</v>
      </c>
      <c r="D132" s="26" t="s">
        <v>830</v>
      </c>
      <c r="E132" s="13">
        <f t="shared" si="2"/>
        <v>10</v>
      </c>
      <c r="F132" s="47">
        <f t="shared" si="3"/>
        <v>14</v>
      </c>
      <c r="G132" s="47">
        <f t="shared" si="4"/>
        <v>24</v>
      </c>
      <c r="H132" s="48">
        <f t="shared" si="5"/>
        <v>0.4166666667</v>
      </c>
      <c r="I132" s="24" t="s">
        <v>32</v>
      </c>
      <c r="J132" s="23" t="s">
        <v>32</v>
      </c>
      <c r="K132" s="23" t="s">
        <v>140</v>
      </c>
      <c r="L132" s="49" t="s">
        <v>140</v>
      </c>
      <c r="M132" s="30"/>
      <c r="N132" s="23"/>
      <c r="O132" s="23" t="s">
        <v>32</v>
      </c>
      <c r="P132" s="23" t="s">
        <v>140</v>
      </c>
      <c r="Q132" s="23" t="s">
        <v>140</v>
      </c>
      <c r="R132" s="24" t="s">
        <v>32</v>
      </c>
      <c r="S132" s="24" t="s">
        <v>32</v>
      </c>
      <c r="T132" s="30"/>
      <c r="U132" s="24" t="s">
        <v>32</v>
      </c>
      <c r="V132" s="24" t="s">
        <v>196</v>
      </c>
      <c r="W132" s="24" t="s">
        <v>196</v>
      </c>
      <c r="X132" s="24" t="s">
        <v>32</v>
      </c>
      <c r="Y132" s="24" t="s">
        <v>140</v>
      </c>
      <c r="Z132" s="24" t="s">
        <v>140</v>
      </c>
      <c r="AA132" s="30"/>
      <c r="AB132" s="51" t="s">
        <v>140</v>
      </c>
      <c r="AC132" s="29" t="s">
        <v>32</v>
      </c>
      <c r="AD132" s="29" t="s">
        <v>32</v>
      </c>
      <c r="AE132" s="29" t="s">
        <v>32</v>
      </c>
      <c r="AF132" s="29" t="s">
        <v>32</v>
      </c>
      <c r="AG132" s="51" t="s">
        <v>140</v>
      </c>
      <c r="AH132" s="30"/>
      <c r="AI132" s="29" t="s">
        <v>32</v>
      </c>
      <c r="AJ132" s="29" t="s">
        <v>32</v>
      </c>
      <c r="AK132" s="29" t="s">
        <v>32</v>
      </c>
      <c r="AL132" s="23"/>
      <c r="AM132" s="23"/>
      <c r="AN132" s="23"/>
      <c r="AO132" s="30"/>
      <c r="AP132" s="23"/>
      <c r="AQ132" s="23"/>
      <c r="AR132" s="23"/>
    </row>
    <row r="133">
      <c r="A133" s="44">
        <v>130.0</v>
      </c>
      <c r="B133" s="54" t="s">
        <v>1112</v>
      </c>
      <c r="C133" s="26" t="s">
        <v>834</v>
      </c>
      <c r="D133" s="26" t="s">
        <v>835</v>
      </c>
      <c r="E133" s="13">
        <f t="shared" si="2"/>
        <v>15</v>
      </c>
      <c r="F133" s="47">
        <f t="shared" si="3"/>
        <v>9</v>
      </c>
      <c r="G133" s="47">
        <f t="shared" si="4"/>
        <v>24</v>
      </c>
      <c r="H133" s="48">
        <f t="shared" si="5"/>
        <v>0.625</v>
      </c>
      <c r="I133" s="24" t="s">
        <v>32</v>
      </c>
      <c r="J133" s="23" t="s">
        <v>32</v>
      </c>
      <c r="K133" s="23" t="s">
        <v>140</v>
      </c>
      <c r="L133" s="49" t="s">
        <v>140</v>
      </c>
      <c r="M133" s="30"/>
      <c r="N133" s="23"/>
      <c r="O133" s="23" t="s">
        <v>140</v>
      </c>
      <c r="P133" s="23" t="s">
        <v>140</v>
      </c>
      <c r="Q133" s="23" t="s">
        <v>140</v>
      </c>
      <c r="R133" s="24" t="s">
        <v>140</v>
      </c>
      <c r="S133" s="24" t="s">
        <v>140</v>
      </c>
      <c r="T133" s="30"/>
      <c r="U133" s="24" t="s">
        <v>32</v>
      </c>
      <c r="V133" s="24" t="s">
        <v>32</v>
      </c>
      <c r="W133" s="24" t="s">
        <v>196</v>
      </c>
      <c r="X133" s="24" t="s">
        <v>32</v>
      </c>
      <c r="Y133" s="24" t="s">
        <v>140</v>
      </c>
      <c r="Z133" s="24" t="s">
        <v>140</v>
      </c>
      <c r="AA133" s="30"/>
      <c r="AB133" s="51" t="s">
        <v>140</v>
      </c>
      <c r="AC133" s="51" t="s">
        <v>140</v>
      </c>
      <c r="AD133" s="51" t="s">
        <v>140</v>
      </c>
      <c r="AE133" s="51" t="s">
        <v>140</v>
      </c>
      <c r="AF133" s="51" t="s">
        <v>140</v>
      </c>
      <c r="AG133" s="29" t="s">
        <v>32</v>
      </c>
      <c r="AH133" s="30"/>
      <c r="AI133" s="29" t="s">
        <v>32</v>
      </c>
      <c r="AJ133" s="29" t="s">
        <v>32</v>
      </c>
      <c r="AK133" s="29" t="s">
        <v>32</v>
      </c>
      <c r="AL133" s="23"/>
      <c r="AM133" s="23"/>
      <c r="AN133" s="23"/>
      <c r="AO133" s="30"/>
      <c r="AP133" s="23"/>
      <c r="AQ133" s="23"/>
      <c r="AR133" s="23"/>
    </row>
    <row r="134">
      <c r="A134" s="44">
        <v>131.0</v>
      </c>
      <c r="B134" s="55" t="s">
        <v>1113</v>
      </c>
      <c r="C134" s="26" t="s">
        <v>1114</v>
      </c>
      <c r="D134" s="26" t="s">
        <v>840</v>
      </c>
      <c r="E134" s="13">
        <f t="shared" si="2"/>
        <v>4</v>
      </c>
      <c r="F134" s="47">
        <f t="shared" si="3"/>
        <v>20</v>
      </c>
      <c r="G134" s="47">
        <f t="shared" si="4"/>
        <v>24</v>
      </c>
      <c r="H134" s="48">
        <f t="shared" si="5"/>
        <v>0.1666666667</v>
      </c>
      <c r="I134" s="24" t="s">
        <v>140</v>
      </c>
      <c r="J134" s="23" t="s">
        <v>140</v>
      </c>
      <c r="K134" s="23" t="s">
        <v>32</v>
      </c>
      <c r="L134" s="49" t="s">
        <v>32</v>
      </c>
      <c r="M134" s="30"/>
      <c r="N134" s="23"/>
      <c r="O134" s="23" t="s">
        <v>32</v>
      </c>
      <c r="P134" s="23" t="s">
        <v>32</v>
      </c>
      <c r="Q134" s="23" t="s">
        <v>32</v>
      </c>
      <c r="R134" s="24" t="s">
        <v>32</v>
      </c>
      <c r="S134" s="24" t="s">
        <v>32</v>
      </c>
      <c r="T134" s="30"/>
      <c r="U134" s="24" t="s">
        <v>32</v>
      </c>
      <c r="V134" s="24" t="s">
        <v>32</v>
      </c>
      <c r="W134" s="24" t="s">
        <v>32</v>
      </c>
      <c r="X134" s="24" t="s">
        <v>32</v>
      </c>
      <c r="Y134" s="24" t="s">
        <v>32</v>
      </c>
      <c r="Z134" s="24" t="s">
        <v>32</v>
      </c>
      <c r="AA134" s="30"/>
      <c r="AB134" s="29" t="s">
        <v>32</v>
      </c>
      <c r="AC134" s="29" t="s">
        <v>32</v>
      </c>
      <c r="AD134" s="29" t="s">
        <v>32</v>
      </c>
      <c r="AE134" s="29" t="s">
        <v>32</v>
      </c>
      <c r="AF134" s="51" t="s">
        <v>140</v>
      </c>
      <c r="AG134" s="51" t="s">
        <v>140</v>
      </c>
      <c r="AH134" s="30"/>
      <c r="AI134" s="29" t="s">
        <v>32</v>
      </c>
      <c r="AJ134" s="29" t="s">
        <v>32</v>
      </c>
      <c r="AK134" s="29" t="s">
        <v>32</v>
      </c>
      <c r="AL134" s="23"/>
      <c r="AM134" s="23"/>
      <c r="AN134" s="23"/>
      <c r="AO134" s="30"/>
      <c r="AP134" s="23"/>
      <c r="AQ134" s="23"/>
      <c r="AR134" s="23"/>
    </row>
    <row r="135">
      <c r="A135" s="44">
        <v>132.0</v>
      </c>
      <c r="B135" s="55" t="s">
        <v>1115</v>
      </c>
      <c r="C135" s="26" t="s">
        <v>1116</v>
      </c>
      <c r="D135" s="26" t="s">
        <v>845</v>
      </c>
      <c r="E135" s="13">
        <f t="shared" si="2"/>
        <v>2</v>
      </c>
      <c r="F135" s="47">
        <f t="shared" si="3"/>
        <v>22</v>
      </c>
      <c r="G135" s="47">
        <f t="shared" si="4"/>
        <v>24</v>
      </c>
      <c r="H135" s="48">
        <f t="shared" si="5"/>
        <v>0.08333333333</v>
      </c>
      <c r="I135" s="24" t="s">
        <v>32</v>
      </c>
      <c r="J135" s="23" t="s">
        <v>140</v>
      </c>
      <c r="K135" s="23" t="s">
        <v>32</v>
      </c>
      <c r="L135" s="49" t="s">
        <v>32</v>
      </c>
      <c r="M135" s="30"/>
      <c r="N135" s="23"/>
      <c r="O135" s="23" t="s">
        <v>32</v>
      </c>
      <c r="P135" s="23" t="s">
        <v>32</v>
      </c>
      <c r="Q135" s="23" t="s">
        <v>32</v>
      </c>
      <c r="R135" s="24" t="s">
        <v>32</v>
      </c>
      <c r="S135" s="24" t="s">
        <v>32</v>
      </c>
      <c r="T135" s="30"/>
      <c r="U135" s="24" t="s">
        <v>32</v>
      </c>
      <c r="V135" s="24" t="s">
        <v>32</v>
      </c>
      <c r="W135" s="24" t="s">
        <v>32</v>
      </c>
      <c r="X135" s="24" t="s">
        <v>32</v>
      </c>
      <c r="Y135" s="24" t="s">
        <v>32</v>
      </c>
      <c r="Z135" s="24" t="s">
        <v>32</v>
      </c>
      <c r="AA135" s="30"/>
      <c r="AB135" s="29" t="s">
        <v>32</v>
      </c>
      <c r="AC135" s="29" t="s">
        <v>32</v>
      </c>
      <c r="AD135" s="29" t="s">
        <v>32</v>
      </c>
      <c r="AE135" s="29" t="s">
        <v>32</v>
      </c>
      <c r="AF135" s="51" t="s">
        <v>140</v>
      </c>
      <c r="AG135" s="29" t="s">
        <v>32</v>
      </c>
      <c r="AH135" s="30"/>
      <c r="AI135" s="29" t="s">
        <v>32</v>
      </c>
      <c r="AJ135" s="29" t="s">
        <v>32</v>
      </c>
      <c r="AK135" s="29" t="s">
        <v>32</v>
      </c>
      <c r="AL135" s="23"/>
      <c r="AM135" s="23"/>
      <c r="AN135" s="23"/>
      <c r="AO135" s="30"/>
      <c r="AP135" s="23"/>
      <c r="AQ135" s="23"/>
      <c r="AR135" s="23"/>
    </row>
    <row r="136">
      <c r="A136" s="44">
        <v>133.0</v>
      </c>
      <c r="B136" s="55" t="s">
        <v>1011</v>
      </c>
      <c r="C136" s="26" t="s">
        <v>849</v>
      </c>
      <c r="D136" s="26" t="s">
        <v>850</v>
      </c>
      <c r="E136" s="13">
        <f t="shared" si="2"/>
        <v>21</v>
      </c>
      <c r="F136" s="47">
        <f t="shared" si="3"/>
        <v>3</v>
      </c>
      <c r="G136" s="47">
        <f t="shared" si="4"/>
        <v>24</v>
      </c>
      <c r="H136" s="48">
        <f t="shared" si="5"/>
        <v>0.875</v>
      </c>
      <c r="I136" s="24" t="s">
        <v>32</v>
      </c>
      <c r="J136" s="23" t="s">
        <v>32</v>
      </c>
      <c r="K136" s="23" t="s">
        <v>140</v>
      </c>
      <c r="L136" s="49" t="s">
        <v>140</v>
      </c>
      <c r="M136" s="30"/>
      <c r="N136" s="24"/>
      <c r="O136" s="23" t="s">
        <v>140</v>
      </c>
      <c r="P136" s="23" t="s">
        <v>140</v>
      </c>
      <c r="Q136" s="23" t="s">
        <v>140</v>
      </c>
      <c r="R136" s="24" t="s">
        <v>140</v>
      </c>
      <c r="S136" s="24" t="s">
        <v>140</v>
      </c>
      <c r="T136" s="30"/>
      <c r="U136" s="24" t="s">
        <v>140</v>
      </c>
      <c r="V136" s="24" t="s">
        <v>196</v>
      </c>
      <c r="W136" s="24" t="s">
        <v>196</v>
      </c>
      <c r="X136" s="24" t="s">
        <v>140</v>
      </c>
      <c r="Y136" s="24" t="s">
        <v>140</v>
      </c>
      <c r="Z136" s="24" t="s">
        <v>140</v>
      </c>
      <c r="AA136" s="30"/>
      <c r="AB136" s="51" t="s">
        <v>140</v>
      </c>
      <c r="AC136" s="51" t="s">
        <v>140</v>
      </c>
      <c r="AD136" s="51" t="s">
        <v>140</v>
      </c>
      <c r="AE136" s="51" t="s">
        <v>140</v>
      </c>
      <c r="AF136" s="51" t="s">
        <v>140</v>
      </c>
      <c r="AG136" s="29" t="s">
        <v>32</v>
      </c>
      <c r="AH136" s="30"/>
      <c r="AI136" s="51" t="s">
        <v>140</v>
      </c>
      <c r="AJ136" s="51" t="s">
        <v>140</v>
      </c>
      <c r="AK136" s="51" t="s">
        <v>140</v>
      </c>
      <c r="AL136" s="23"/>
      <c r="AM136" s="23"/>
      <c r="AN136" s="23"/>
      <c r="AO136" s="30"/>
      <c r="AP136" s="23"/>
      <c r="AQ136" s="23"/>
      <c r="AR136" s="23"/>
    </row>
    <row r="137">
      <c r="A137" s="44">
        <v>134.0</v>
      </c>
      <c r="B137" s="54" t="s">
        <v>1117</v>
      </c>
      <c r="C137" s="26" t="s">
        <v>1118</v>
      </c>
      <c r="D137" s="26" t="s">
        <v>856</v>
      </c>
      <c r="E137" s="13">
        <f t="shared" si="2"/>
        <v>5</v>
      </c>
      <c r="F137" s="47">
        <f t="shared" si="3"/>
        <v>19</v>
      </c>
      <c r="G137" s="47">
        <f t="shared" si="4"/>
        <v>24</v>
      </c>
      <c r="H137" s="48">
        <f t="shared" si="5"/>
        <v>0.2083333333</v>
      </c>
      <c r="I137" s="24" t="s">
        <v>32</v>
      </c>
      <c r="J137" s="23" t="s">
        <v>140</v>
      </c>
      <c r="K137" s="23" t="s">
        <v>32</v>
      </c>
      <c r="L137" s="49" t="s">
        <v>32</v>
      </c>
      <c r="M137" s="30"/>
      <c r="N137" s="23"/>
      <c r="O137" s="23" t="s">
        <v>32</v>
      </c>
      <c r="P137" s="23" t="s">
        <v>32</v>
      </c>
      <c r="Q137" s="23" t="s">
        <v>32</v>
      </c>
      <c r="R137" s="24" t="s">
        <v>32</v>
      </c>
      <c r="S137" s="24" t="s">
        <v>32</v>
      </c>
      <c r="T137" s="30"/>
      <c r="U137" s="24" t="s">
        <v>32</v>
      </c>
      <c r="V137" s="24" t="s">
        <v>32</v>
      </c>
      <c r="W137" s="24" t="s">
        <v>32</v>
      </c>
      <c r="X137" s="24" t="s">
        <v>32</v>
      </c>
      <c r="Y137" s="24" t="s">
        <v>32</v>
      </c>
      <c r="Z137" s="24" t="s">
        <v>32</v>
      </c>
      <c r="AA137" s="30"/>
      <c r="AB137" s="51" t="s">
        <v>140</v>
      </c>
      <c r="AC137" s="29" t="s">
        <v>32</v>
      </c>
      <c r="AD137" s="51" t="s">
        <v>140</v>
      </c>
      <c r="AE137" s="51" t="s">
        <v>140</v>
      </c>
      <c r="AF137" s="51" t="s">
        <v>140</v>
      </c>
      <c r="AG137" s="29" t="s">
        <v>32</v>
      </c>
      <c r="AH137" s="30"/>
      <c r="AI137" s="29" t="s">
        <v>32</v>
      </c>
      <c r="AJ137" s="29" t="s">
        <v>32</v>
      </c>
      <c r="AK137" s="29" t="s">
        <v>32</v>
      </c>
      <c r="AL137" s="23"/>
      <c r="AM137" s="23"/>
      <c r="AN137" s="23"/>
      <c r="AO137" s="30"/>
      <c r="AP137" s="23"/>
      <c r="AQ137" s="23"/>
      <c r="AR137" s="23"/>
    </row>
    <row r="138">
      <c r="A138" s="44">
        <v>135.0</v>
      </c>
      <c r="B138" s="55" t="s">
        <v>1119</v>
      </c>
      <c r="C138" s="81" t="s">
        <v>1120</v>
      </c>
      <c r="D138" s="26" t="s">
        <v>861</v>
      </c>
      <c r="E138" s="13">
        <f t="shared" si="2"/>
        <v>7</v>
      </c>
      <c r="F138" s="47">
        <f t="shared" si="3"/>
        <v>17</v>
      </c>
      <c r="G138" s="47">
        <f t="shared" si="4"/>
        <v>24</v>
      </c>
      <c r="H138" s="48">
        <f t="shared" si="5"/>
        <v>0.2916666667</v>
      </c>
      <c r="I138" s="24" t="s">
        <v>140</v>
      </c>
      <c r="J138" s="23" t="s">
        <v>140</v>
      </c>
      <c r="K138" s="23" t="s">
        <v>32</v>
      </c>
      <c r="L138" s="49" t="s">
        <v>32</v>
      </c>
      <c r="M138" s="30"/>
      <c r="N138" s="23"/>
      <c r="O138" s="24" t="s">
        <v>140</v>
      </c>
      <c r="P138" s="23" t="s">
        <v>32</v>
      </c>
      <c r="Q138" s="23" t="s">
        <v>140</v>
      </c>
      <c r="R138" s="24" t="s">
        <v>32</v>
      </c>
      <c r="S138" s="24" t="s">
        <v>32</v>
      </c>
      <c r="T138" s="30"/>
      <c r="U138" s="24" t="s">
        <v>32</v>
      </c>
      <c r="V138" s="24" t="s">
        <v>32</v>
      </c>
      <c r="W138" s="24" t="s">
        <v>32</v>
      </c>
      <c r="X138" s="24" t="s">
        <v>32</v>
      </c>
      <c r="Y138" s="24" t="s">
        <v>140</v>
      </c>
      <c r="Z138" s="24" t="s">
        <v>140</v>
      </c>
      <c r="AA138" s="30"/>
      <c r="AB138" s="29" t="s">
        <v>32</v>
      </c>
      <c r="AC138" s="29" t="s">
        <v>32</v>
      </c>
      <c r="AD138" s="29" t="s">
        <v>32</v>
      </c>
      <c r="AE138" s="29" t="s">
        <v>32</v>
      </c>
      <c r="AF138" s="29" t="s">
        <v>32</v>
      </c>
      <c r="AG138" s="51" t="s">
        <v>140</v>
      </c>
      <c r="AH138" s="30"/>
      <c r="AI138" s="29" t="s">
        <v>32</v>
      </c>
      <c r="AJ138" s="29" t="s">
        <v>32</v>
      </c>
      <c r="AK138" s="29" t="s">
        <v>32</v>
      </c>
      <c r="AL138" s="23"/>
      <c r="AM138" s="23"/>
      <c r="AN138" s="23"/>
      <c r="AO138" s="30"/>
      <c r="AP138" s="23"/>
      <c r="AQ138" s="23"/>
      <c r="AR138" s="23"/>
    </row>
    <row r="139">
      <c r="A139" s="44">
        <v>136.0</v>
      </c>
      <c r="B139" s="45" t="s">
        <v>1007</v>
      </c>
      <c r="C139" s="26" t="s">
        <v>865</v>
      </c>
      <c r="D139" s="26" t="s">
        <v>866</v>
      </c>
      <c r="E139" s="13">
        <f t="shared" si="2"/>
        <v>5</v>
      </c>
      <c r="F139" s="47">
        <f t="shared" si="3"/>
        <v>19</v>
      </c>
      <c r="G139" s="47">
        <f t="shared" si="4"/>
        <v>24</v>
      </c>
      <c r="H139" s="48">
        <f t="shared" si="5"/>
        <v>0.2083333333</v>
      </c>
      <c r="I139" s="24" t="s">
        <v>140</v>
      </c>
      <c r="J139" s="23" t="s">
        <v>140</v>
      </c>
      <c r="K139" s="23" t="s">
        <v>140</v>
      </c>
      <c r="L139" s="49" t="s">
        <v>140</v>
      </c>
      <c r="M139" s="30"/>
      <c r="N139" s="23"/>
      <c r="O139" s="23" t="s">
        <v>32</v>
      </c>
      <c r="P139" s="23" t="s">
        <v>32</v>
      </c>
      <c r="Q139" s="23" t="s">
        <v>32</v>
      </c>
      <c r="R139" s="24" t="s">
        <v>32</v>
      </c>
      <c r="S139" s="24" t="s">
        <v>32</v>
      </c>
      <c r="T139" s="30"/>
      <c r="U139" s="24" t="s">
        <v>32</v>
      </c>
      <c r="V139" s="24" t="s">
        <v>32</v>
      </c>
      <c r="W139" s="24" t="s">
        <v>32</v>
      </c>
      <c r="X139" s="24" t="s">
        <v>32</v>
      </c>
      <c r="Y139" s="24" t="s">
        <v>32</v>
      </c>
      <c r="Z139" s="24" t="s">
        <v>32</v>
      </c>
      <c r="AA139" s="30"/>
      <c r="AB139" s="29" t="s">
        <v>32</v>
      </c>
      <c r="AC139" s="29" t="s">
        <v>32</v>
      </c>
      <c r="AD139" s="29" t="s">
        <v>32</v>
      </c>
      <c r="AE139" s="29" t="s">
        <v>32</v>
      </c>
      <c r="AF139" s="51" t="s">
        <v>140</v>
      </c>
      <c r="AG139" s="29" t="s">
        <v>32</v>
      </c>
      <c r="AH139" s="30"/>
      <c r="AI139" s="29" t="s">
        <v>32</v>
      </c>
      <c r="AJ139" s="29" t="s">
        <v>32</v>
      </c>
      <c r="AK139" s="29" t="s">
        <v>32</v>
      </c>
      <c r="AL139" s="23"/>
      <c r="AM139" s="23"/>
      <c r="AN139" s="23"/>
      <c r="AO139" s="30"/>
      <c r="AP139" s="23"/>
      <c r="AQ139" s="23"/>
      <c r="AR139" s="23"/>
    </row>
    <row r="140">
      <c r="A140" s="44">
        <v>137.0</v>
      </c>
      <c r="B140" s="45" t="s">
        <v>1121</v>
      </c>
      <c r="C140" s="26" t="s">
        <v>872</v>
      </c>
      <c r="D140" s="26" t="s">
        <v>873</v>
      </c>
      <c r="E140" s="13">
        <f t="shared" si="2"/>
        <v>2</v>
      </c>
      <c r="F140" s="47">
        <f t="shared" si="3"/>
        <v>19</v>
      </c>
      <c r="G140" s="13">
        <f t="shared" si="4"/>
        <v>21</v>
      </c>
      <c r="H140" s="48">
        <f t="shared" si="5"/>
        <v>0.09523809524</v>
      </c>
      <c r="I140" s="79"/>
      <c r="J140" s="79"/>
      <c r="K140" s="79"/>
      <c r="L140" s="49" t="s">
        <v>140</v>
      </c>
      <c r="M140" s="30"/>
      <c r="N140" s="79"/>
      <c r="O140" s="80" t="s">
        <v>140</v>
      </c>
      <c r="P140" s="23" t="s">
        <v>32</v>
      </c>
      <c r="Q140" s="23" t="s">
        <v>32</v>
      </c>
      <c r="R140" s="80" t="s">
        <v>32</v>
      </c>
      <c r="S140" s="80" t="s">
        <v>32</v>
      </c>
      <c r="T140" s="30"/>
      <c r="U140" s="80" t="s">
        <v>32</v>
      </c>
      <c r="V140" s="24" t="s">
        <v>32</v>
      </c>
      <c r="W140" s="24" t="s">
        <v>32</v>
      </c>
      <c r="X140" s="80" t="s">
        <v>32</v>
      </c>
      <c r="Y140" s="80" t="s">
        <v>32</v>
      </c>
      <c r="Z140" s="80" t="s">
        <v>32</v>
      </c>
      <c r="AA140" s="30"/>
      <c r="AB140" s="29" t="s">
        <v>32</v>
      </c>
      <c r="AC140" s="29" t="s">
        <v>32</v>
      </c>
      <c r="AD140" s="29" t="s">
        <v>32</v>
      </c>
      <c r="AE140" s="29" t="s">
        <v>32</v>
      </c>
      <c r="AF140" s="29" t="s">
        <v>32</v>
      </c>
      <c r="AG140" s="29" t="s">
        <v>32</v>
      </c>
      <c r="AH140" s="30"/>
      <c r="AI140" s="29" t="s">
        <v>32</v>
      </c>
      <c r="AJ140" s="29" t="s">
        <v>32</v>
      </c>
      <c r="AK140" s="29" t="s">
        <v>32</v>
      </c>
      <c r="AL140" s="79"/>
      <c r="AM140" s="79"/>
      <c r="AN140" s="79"/>
      <c r="AO140" s="30"/>
      <c r="AP140" s="79"/>
      <c r="AQ140" s="79"/>
      <c r="AR140" s="79"/>
      <c r="AS140" s="7"/>
    </row>
    <row r="141">
      <c r="A141" s="44">
        <v>138.0</v>
      </c>
      <c r="B141" s="45" t="s">
        <v>1122</v>
      </c>
      <c r="C141" s="26" t="s">
        <v>877</v>
      </c>
      <c r="D141" s="26" t="s">
        <v>879</v>
      </c>
      <c r="E141" s="13">
        <f t="shared" si="2"/>
        <v>12</v>
      </c>
      <c r="F141" s="47">
        <f t="shared" si="3"/>
        <v>12</v>
      </c>
      <c r="G141" s="47">
        <f t="shared" si="4"/>
        <v>24</v>
      </c>
      <c r="H141" s="48">
        <f t="shared" si="5"/>
        <v>0.5</v>
      </c>
      <c r="I141" s="24" t="s">
        <v>140</v>
      </c>
      <c r="J141" s="23" t="s">
        <v>140</v>
      </c>
      <c r="K141" s="23" t="s">
        <v>140</v>
      </c>
      <c r="L141" s="49" t="s">
        <v>140</v>
      </c>
      <c r="M141" s="37"/>
      <c r="N141" s="24"/>
      <c r="O141" s="23" t="s">
        <v>140</v>
      </c>
      <c r="P141" s="23" t="s">
        <v>32</v>
      </c>
      <c r="Q141" s="23" t="s">
        <v>32</v>
      </c>
      <c r="R141" s="24" t="s">
        <v>140</v>
      </c>
      <c r="S141" s="24" t="s">
        <v>32</v>
      </c>
      <c r="T141" s="37"/>
      <c r="U141" s="24" t="s">
        <v>32</v>
      </c>
      <c r="V141" s="24" t="s">
        <v>32</v>
      </c>
      <c r="W141" s="24" t="s">
        <v>32</v>
      </c>
      <c r="X141" s="24" t="s">
        <v>32</v>
      </c>
      <c r="Y141" s="24" t="s">
        <v>140</v>
      </c>
      <c r="Z141" s="24" t="s">
        <v>32</v>
      </c>
      <c r="AA141" s="37"/>
      <c r="AB141" s="29" t="s">
        <v>32</v>
      </c>
      <c r="AC141" s="51" t="s">
        <v>140</v>
      </c>
      <c r="AD141" s="51" t="s">
        <v>140</v>
      </c>
      <c r="AE141" s="29" t="s">
        <v>32</v>
      </c>
      <c r="AF141" s="51" t="s">
        <v>140</v>
      </c>
      <c r="AG141" s="51" t="s">
        <v>140</v>
      </c>
      <c r="AH141" s="37"/>
      <c r="AI141" s="29" t="s">
        <v>32</v>
      </c>
      <c r="AJ141" s="29" t="s">
        <v>32</v>
      </c>
      <c r="AK141" s="51" t="s">
        <v>140</v>
      </c>
      <c r="AL141" s="23"/>
      <c r="AM141" s="23"/>
      <c r="AN141" s="23"/>
      <c r="AO141" s="37"/>
      <c r="AP141" s="23"/>
      <c r="AQ141" s="23"/>
      <c r="AR141" s="23"/>
    </row>
    <row r="142">
      <c r="B142" s="82"/>
      <c r="C142" s="7"/>
      <c r="D142" s="82"/>
    </row>
    <row r="143">
      <c r="B143" s="82"/>
      <c r="C143" s="7"/>
      <c r="D143" s="82"/>
      <c r="I143" s="35" t="str">
        <f t="shared" ref="I143:AR143" si="6">countif(I4:I141,"P")&amp;" Online"</f>
        <v>55 Online</v>
      </c>
      <c r="J143" s="35" t="str">
        <f t="shared" si="6"/>
        <v>59 Online</v>
      </c>
      <c r="K143" s="35" t="str">
        <f t="shared" si="6"/>
        <v>46 Online</v>
      </c>
      <c r="L143" s="35" t="str">
        <f t="shared" si="6"/>
        <v>54 Online</v>
      </c>
      <c r="M143" s="35" t="str">
        <f t="shared" si="6"/>
        <v>0 Online</v>
      </c>
      <c r="N143" s="35" t="str">
        <f t="shared" si="6"/>
        <v>0 Online</v>
      </c>
      <c r="O143" s="35" t="str">
        <f t="shared" si="6"/>
        <v>47 Online</v>
      </c>
      <c r="P143" s="35" t="str">
        <f t="shared" si="6"/>
        <v>48 Online</v>
      </c>
      <c r="Q143" s="35" t="str">
        <f t="shared" si="6"/>
        <v>49 Online</v>
      </c>
      <c r="R143" s="35" t="str">
        <f t="shared" si="6"/>
        <v>43 Online</v>
      </c>
      <c r="S143" s="35" t="str">
        <f t="shared" si="6"/>
        <v>43 Online</v>
      </c>
      <c r="T143" s="35" t="str">
        <f t="shared" si="6"/>
        <v>0 Online</v>
      </c>
      <c r="U143" s="35" t="str">
        <f t="shared" si="6"/>
        <v>43 Online</v>
      </c>
      <c r="V143" s="35" t="str">
        <f t="shared" si="6"/>
        <v>40 Online</v>
      </c>
      <c r="W143" s="35" t="str">
        <f t="shared" si="6"/>
        <v>46 Online</v>
      </c>
      <c r="X143" s="35" t="str">
        <f t="shared" si="6"/>
        <v>38 Online</v>
      </c>
      <c r="Y143" s="35" t="str">
        <f t="shared" si="6"/>
        <v>46 Online</v>
      </c>
      <c r="Z143" s="35" t="str">
        <f t="shared" si="6"/>
        <v>40 Online</v>
      </c>
      <c r="AA143" s="35" t="str">
        <f t="shared" si="6"/>
        <v>0 Online</v>
      </c>
      <c r="AB143" s="35" t="str">
        <f t="shared" si="6"/>
        <v>70 Online</v>
      </c>
      <c r="AC143" s="35" t="str">
        <f t="shared" si="6"/>
        <v>63 Online</v>
      </c>
      <c r="AD143" s="35" t="str">
        <f t="shared" si="6"/>
        <v>53 Online</v>
      </c>
      <c r="AE143" s="35" t="str">
        <f t="shared" si="6"/>
        <v>70 Online</v>
      </c>
      <c r="AF143" s="35" t="str">
        <f t="shared" si="6"/>
        <v>72 Online</v>
      </c>
      <c r="AG143" s="35" t="str">
        <f t="shared" si="6"/>
        <v>50 Online</v>
      </c>
      <c r="AH143" s="35" t="str">
        <f t="shared" si="6"/>
        <v>0 Online</v>
      </c>
      <c r="AI143" s="35" t="str">
        <f t="shared" si="6"/>
        <v>38 Online</v>
      </c>
      <c r="AJ143" s="35" t="str">
        <f t="shared" si="6"/>
        <v>42 Online</v>
      </c>
      <c r="AK143" s="35" t="str">
        <f t="shared" si="6"/>
        <v>43 Online</v>
      </c>
      <c r="AL143" s="35" t="str">
        <f t="shared" si="6"/>
        <v>0 Online</v>
      </c>
      <c r="AM143" s="35" t="str">
        <f t="shared" si="6"/>
        <v>0 Online</v>
      </c>
      <c r="AN143" s="35" t="str">
        <f t="shared" si="6"/>
        <v>0 Online</v>
      </c>
      <c r="AO143" s="35" t="str">
        <f t="shared" si="6"/>
        <v>0 Online</v>
      </c>
      <c r="AP143" s="35" t="str">
        <f t="shared" si="6"/>
        <v>0 Online</v>
      </c>
      <c r="AQ143" s="35" t="str">
        <f t="shared" si="6"/>
        <v>0 Online</v>
      </c>
      <c r="AR143" s="35" t="str">
        <f t="shared" si="6"/>
        <v>0 Online</v>
      </c>
    </row>
    <row r="144">
      <c r="B144" s="82"/>
      <c r="C144" s="7"/>
      <c r="D144" s="82"/>
    </row>
    <row r="145">
      <c r="B145" s="82"/>
      <c r="C145" s="63"/>
      <c r="D145" s="82"/>
    </row>
    <row r="146">
      <c r="B146" s="82"/>
      <c r="C146" s="63"/>
      <c r="D146" s="63"/>
    </row>
    <row r="147">
      <c r="B147" s="82"/>
      <c r="C147" s="63" t="str">
        <f>IFERROR(__xludf.DUMMYFUNCTION("FILTER(B4:B142,D4:D142=E147)"),"")</f>
        <v/>
      </c>
      <c r="D147" s="63"/>
    </row>
    <row r="148">
      <c r="B148" s="82"/>
      <c r="C148" s="63"/>
      <c r="D148" s="63"/>
    </row>
    <row r="149">
      <c r="B149" s="82"/>
      <c r="C149" s="63"/>
      <c r="D149" s="63"/>
    </row>
    <row r="150">
      <c r="B150" s="82"/>
      <c r="C150" s="63"/>
      <c r="D150" s="63"/>
    </row>
    <row r="151">
      <c r="B151" s="82"/>
      <c r="C151" s="63"/>
      <c r="D151" s="63"/>
    </row>
    <row r="152">
      <c r="B152" s="82"/>
      <c r="C152" s="63"/>
      <c r="D152" s="63"/>
    </row>
    <row r="153">
      <c r="B153" s="82"/>
      <c r="C153" s="63"/>
      <c r="D153" s="63"/>
    </row>
    <row r="154">
      <c r="B154" s="82"/>
      <c r="C154" s="63"/>
      <c r="D154" s="63"/>
    </row>
    <row r="155">
      <c r="B155" s="82"/>
      <c r="C155" s="63"/>
      <c r="D155" s="63"/>
    </row>
    <row r="156">
      <c r="B156" s="82"/>
      <c r="C156" s="63"/>
      <c r="D156" s="63"/>
    </row>
    <row r="157">
      <c r="B157" s="82"/>
      <c r="C157" s="63"/>
      <c r="D157" s="63"/>
    </row>
    <row r="158">
      <c r="B158" s="82"/>
      <c r="C158" s="63"/>
      <c r="D158" s="63"/>
    </row>
    <row r="159">
      <c r="B159" s="82"/>
      <c r="C159" s="63"/>
      <c r="D159" s="63"/>
    </row>
    <row r="160">
      <c r="B160" s="82"/>
      <c r="C160" s="63"/>
      <c r="D160" s="63"/>
    </row>
    <row r="161">
      <c r="B161" s="82"/>
      <c r="C161" s="63"/>
      <c r="D161" s="63"/>
    </row>
    <row r="162">
      <c r="B162" s="82"/>
      <c r="C162" s="63"/>
      <c r="D162" s="63"/>
    </row>
    <row r="163">
      <c r="B163" s="82"/>
      <c r="C163" s="63"/>
      <c r="D163" s="63"/>
    </row>
    <row r="164">
      <c r="B164" s="82"/>
      <c r="C164" s="63"/>
      <c r="D164" s="63"/>
    </row>
    <row r="165">
      <c r="B165" s="82"/>
      <c r="C165" s="63"/>
      <c r="D165" s="63"/>
    </row>
    <row r="166">
      <c r="B166" s="82"/>
      <c r="C166" s="63"/>
      <c r="D166" s="63"/>
    </row>
    <row r="167">
      <c r="B167" s="82"/>
      <c r="C167" s="63"/>
      <c r="D167" s="63"/>
    </row>
    <row r="168">
      <c r="B168" s="82"/>
      <c r="C168" s="63"/>
      <c r="D168" s="63"/>
    </row>
    <row r="169">
      <c r="B169" s="82"/>
      <c r="C169" s="63"/>
      <c r="D169" s="63"/>
    </row>
    <row r="170">
      <c r="B170" s="82"/>
      <c r="C170" s="63"/>
      <c r="D170" s="63"/>
    </row>
    <row r="171">
      <c r="B171" s="82"/>
      <c r="C171" s="63"/>
      <c r="D171" s="63"/>
    </row>
    <row r="172">
      <c r="B172" s="82"/>
      <c r="C172" s="63"/>
      <c r="D172" s="63"/>
    </row>
    <row r="173">
      <c r="B173" s="82"/>
      <c r="C173" s="63"/>
      <c r="D173" s="63"/>
    </row>
    <row r="174">
      <c r="B174" s="82"/>
      <c r="C174" s="63"/>
      <c r="D174" s="63"/>
    </row>
    <row r="175">
      <c r="B175" s="82"/>
      <c r="C175" s="63"/>
      <c r="D175" s="63"/>
    </row>
    <row r="176">
      <c r="B176" s="82"/>
      <c r="C176" s="63"/>
      <c r="D176" s="63"/>
    </row>
    <row r="177">
      <c r="B177" s="82"/>
      <c r="C177" s="63"/>
      <c r="D177" s="63"/>
    </row>
    <row r="178">
      <c r="B178" s="82"/>
      <c r="C178" s="63"/>
      <c r="D178" s="63"/>
    </row>
    <row r="179">
      <c r="B179" s="82"/>
      <c r="C179" s="63"/>
      <c r="D179" s="63"/>
    </row>
    <row r="180">
      <c r="B180" s="82"/>
      <c r="C180" s="63"/>
      <c r="D180" s="63"/>
    </row>
    <row r="181">
      <c r="B181" s="82"/>
      <c r="C181" s="63"/>
      <c r="D181" s="63"/>
    </row>
    <row r="182">
      <c r="B182" s="82"/>
      <c r="C182" s="63"/>
      <c r="D182" s="63"/>
    </row>
    <row r="183">
      <c r="B183" s="82"/>
      <c r="C183" s="63"/>
      <c r="D183" s="63"/>
    </row>
    <row r="184">
      <c r="B184" s="82"/>
      <c r="C184" s="63"/>
      <c r="D184" s="63"/>
    </row>
    <row r="185">
      <c r="B185" s="82"/>
      <c r="C185" s="63"/>
      <c r="D185" s="63"/>
    </row>
    <row r="186">
      <c r="B186" s="82"/>
      <c r="C186" s="63"/>
      <c r="D186" s="63"/>
    </row>
    <row r="187">
      <c r="B187" s="82"/>
      <c r="C187" s="63"/>
      <c r="D187" s="63"/>
    </row>
    <row r="188">
      <c r="B188" s="82"/>
      <c r="C188" s="63"/>
      <c r="D188" s="63"/>
    </row>
    <row r="189">
      <c r="B189" s="82"/>
      <c r="C189" s="63"/>
      <c r="D189" s="63"/>
    </row>
    <row r="190">
      <c r="B190" s="82"/>
      <c r="C190" s="63"/>
      <c r="D190" s="63"/>
    </row>
    <row r="191">
      <c r="B191" s="82"/>
      <c r="C191" s="63"/>
      <c r="D191" s="63"/>
    </row>
    <row r="192">
      <c r="B192" s="82"/>
      <c r="C192" s="63"/>
      <c r="D192" s="63"/>
    </row>
    <row r="193">
      <c r="B193" s="82"/>
      <c r="C193" s="63"/>
      <c r="D193" s="63"/>
    </row>
    <row r="194">
      <c r="B194" s="82"/>
      <c r="C194" s="63"/>
      <c r="D194" s="63"/>
    </row>
    <row r="195">
      <c r="B195" s="82"/>
      <c r="C195" s="63"/>
      <c r="D195" s="63"/>
    </row>
    <row r="196">
      <c r="B196" s="82"/>
      <c r="C196" s="63"/>
      <c r="D196" s="63"/>
    </row>
    <row r="197">
      <c r="B197" s="82"/>
      <c r="C197" s="63"/>
      <c r="D197" s="63"/>
    </row>
    <row r="198">
      <c r="B198" s="82"/>
      <c r="C198" s="63"/>
      <c r="D198" s="63"/>
    </row>
    <row r="199">
      <c r="B199" s="82"/>
      <c r="C199" s="63"/>
      <c r="D199" s="63"/>
    </row>
    <row r="200">
      <c r="B200" s="82"/>
      <c r="C200" s="63"/>
      <c r="D200" s="63"/>
    </row>
    <row r="201">
      <c r="B201" s="82"/>
      <c r="C201" s="63"/>
      <c r="D201" s="63"/>
    </row>
    <row r="202">
      <c r="B202" s="82"/>
      <c r="C202" s="63"/>
      <c r="D202" s="63"/>
    </row>
    <row r="203">
      <c r="B203" s="82"/>
      <c r="C203" s="63"/>
      <c r="D203" s="63"/>
    </row>
    <row r="204">
      <c r="B204" s="82"/>
      <c r="C204" s="63"/>
      <c r="D204" s="63"/>
    </row>
    <row r="205">
      <c r="B205" s="82"/>
      <c r="C205" s="63"/>
      <c r="D205" s="63"/>
    </row>
    <row r="206">
      <c r="B206" s="82"/>
      <c r="C206" s="63"/>
      <c r="D206" s="63"/>
    </row>
    <row r="207">
      <c r="B207" s="82"/>
      <c r="C207" s="63"/>
      <c r="D207" s="63"/>
    </row>
    <row r="208">
      <c r="B208" s="82"/>
      <c r="C208" s="63"/>
      <c r="D208" s="63"/>
    </row>
    <row r="209">
      <c r="B209" s="82"/>
      <c r="C209" s="63"/>
      <c r="D209" s="64"/>
    </row>
    <row r="210">
      <c r="B210" s="82"/>
      <c r="C210" s="63"/>
      <c r="D210" s="64"/>
    </row>
    <row r="211">
      <c r="B211" s="82"/>
      <c r="C211" s="63"/>
      <c r="D211" s="64"/>
    </row>
    <row r="212">
      <c r="B212" s="82"/>
      <c r="C212" s="63"/>
      <c r="D212" s="64"/>
    </row>
    <row r="213">
      <c r="B213" s="82"/>
      <c r="C213" s="63"/>
      <c r="D213" s="64"/>
    </row>
    <row r="214">
      <c r="B214" s="82"/>
      <c r="C214" s="63"/>
      <c r="D214" s="64"/>
    </row>
    <row r="215">
      <c r="B215" s="82"/>
      <c r="C215" s="63"/>
      <c r="D215" s="64"/>
    </row>
    <row r="216">
      <c r="B216" s="82"/>
      <c r="C216" s="63"/>
      <c r="D216" s="64"/>
    </row>
    <row r="217">
      <c r="B217" s="82"/>
      <c r="C217" s="63"/>
      <c r="D217" s="64"/>
    </row>
    <row r="218">
      <c r="B218" s="82"/>
      <c r="C218" s="63"/>
      <c r="D218" s="64"/>
    </row>
    <row r="219">
      <c r="B219" s="82"/>
      <c r="C219" s="63"/>
      <c r="D219" s="64"/>
    </row>
    <row r="220">
      <c r="B220" s="82"/>
      <c r="C220" s="63"/>
      <c r="D220" s="64"/>
    </row>
    <row r="221">
      <c r="B221" s="82"/>
      <c r="C221" s="63"/>
      <c r="D221" s="64"/>
    </row>
    <row r="222">
      <c r="B222" s="82"/>
      <c r="C222" s="63"/>
      <c r="D222" s="64"/>
    </row>
    <row r="223">
      <c r="B223" s="82"/>
      <c r="C223" s="63"/>
      <c r="D223" s="64"/>
    </row>
    <row r="224">
      <c r="B224" s="82"/>
      <c r="C224" s="63"/>
      <c r="D224" s="64"/>
    </row>
    <row r="225">
      <c r="B225" s="82"/>
      <c r="C225" s="63"/>
      <c r="D225" s="64"/>
    </row>
    <row r="226">
      <c r="B226" s="82"/>
      <c r="C226" s="63"/>
      <c r="D226" s="64"/>
    </row>
    <row r="227">
      <c r="B227" s="82"/>
      <c r="C227" s="63"/>
      <c r="D227" s="64"/>
    </row>
    <row r="228">
      <c r="B228" s="82"/>
      <c r="C228" s="63"/>
      <c r="D228" s="64"/>
    </row>
    <row r="229">
      <c r="B229" s="82"/>
      <c r="C229" s="63"/>
      <c r="D229" s="64"/>
    </row>
    <row r="230">
      <c r="B230" s="82"/>
      <c r="C230" s="63"/>
      <c r="D230" s="64"/>
    </row>
    <row r="231">
      <c r="B231" s="82"/>
      <c r="C231" s="63"/>
      <c r="D231" s="64"/>
    </row>
    <row r="232">
      <c r="B232" s="82"/>
      <c r="C232" s="63"/>
      <c r="D232" s="64"/>
    </row>
    <row r="233">
      <c r="B233" s="82"/>
      <c r="C233" s="63"/>
      <c r="D233" s="64"/>
    </row>
    <row r="234">
      <c r="B234" s="82"/>
      <c r="C234" s="63"/>
      <c r="D234" s="64"/>
    </row>
    <row r="235">
      <c r="B235" s="82"/>
      <c r="C235" s="63"/>
      <c r="D235" s="64"/>
    </row>
    <row r="236">
      <c r="B236" s="82"/>
      <c r="C236" s="63"/>
      <c r="D236" s="64"/>
    </row>
    <row r="237">
      <c r="B237" s="82"/>
      <c r="C237" s="63"/>
      <c r="D237" s="64"/>
    </row>
    <row r="238">
      <c r="B238" s="82"/>
      <c r="C238" s="63"/>
      <c r="D238" s="64"/>
    </row>
    <row r="239">
      <c r="B239" s="82"/>
      <c r="C239" s="63"/>
      <c r="D239" s="64"/>
    </row>
    <row r="240">
      <c r="B240" s="82"/>
      <c r="C240" s="63"/>
      <c r="D240" s="64"/>
    </row>
    <row r="241">
      <c r="B241" s="82"/>
      <c r="C241" s="63"/>
      <c r="D241" s="64"/>
    </row>
    <row r="242">
      <c r="B242" s="82"/>
      <c r="C242" s="63"/>
      <c r="D242" s="64"/>
    </row>
    <row r="243">
      <c r="B243" s="82"/>
      <c r="C243" s="63"/>
      <c r="D243" s="64"/>
    </row>
    <row r="244">
      <c r="B244" s="82"/>
      <c r="C244" s="63"/>
      <c r="D244" s="64"/>
    </row>
    <row r="245">
      <c r="B245" s="82"/>
      <c r="C245" s="63"/>
      <c r="D245" s="64"/>
    </row>
    <row r="246">
      <c r="B246" s="82"/>
      <c r="C246" s="63"/>
      <c r="D246" s="64"/>
    </row>
    <row r="247">
      <c r="B247" s="82"/>
      <c r="C247" s="63"/>
      <c r="D247" s="64"/>
    </row>
    <row r="248">
      <c r="B248" s="82"/>
      <c r="C248" s="63"/>
      <c r="D248" s="64"/>
    </row>
    <row r="249">
      <c r="B249" s="82"/>
      <c r="C249" s="63"/>
      <c r="D249" s="64"/>
    </row>
    <row r="250">
      <c r="B250" s="82"/>
      <c r="C250" s="63"/>
      <c r="D250" s="64"/>
    </row>
    <row r="251">
      <c r="B251" s="82"/>
      <c r="C251" s="63"/>
      <c r="D251" s="64"/>
    </row>
    <row r="252">
      <c r="B252" s="82"/>
      <c r="C252" s="63"/>
      <c r="D252" s="64"/>
    </row>
    <row r="253">
      <c r="B253" s="82"/>
      <c r="C253" s="63"/>
      <c r="D253" s="64"/>
    </row>
    <row r="254">
      <c r="B254" s="82"/>
      <c r="C254" s="63"/>
      <c r="D254" s="64"/>
    </row>
    <row r="255">
      <c r="B255" s="82"/>
      <c r="C255" s="63"/>
      <c r="D255" s="64"/>
    </row>
    <row r="256">
      <c r="B256" s="82"/>
      <c r="C256" s="63"/>
      <c r="D256" s="64"/>
    </row>
    <row r="257">
      <c r="B257" s="82"/>
      <c r="C257" s="63"/>
      <c r="D257" s="64"/>
    </row>
    <row r="258">
      <c r="B258" s="82"/>
      <c r="C258" s="63"/>
      <c r="D258" s="64"/>
    </row>
    <row r="259">
      <c r="B259" s="82"/>
      <c r="C259" s="63"/>
      <c r="D259" s="64"/>
    </row>
    <row r="260">
      <c r="B260" s="82"/>
      <c r="C260" s="63"/>
      <c r="D260" s="64"/>
    </row>
    <row r="261">
      <c r="B261" s="82"/>
      <c r="C261" s="63"/>
      <c r="D261" s="64"/>
    </row>
    <row r="262">
      <c r="B262" s="82"/>
      <c r="C262" s="63"/>
      <c r="D262" s="64"/>
    </row>
    <row r="263">
      <c r="B263" s="82"/>
      <c r="C263" s="63"/>
      <c r="D263" s="64"/>
    </row>
    <row r="264">
      <c r="B264" s="82"/>
      <c r="C264" s="63"/>
      <c r="D264" s="64"/>
    </row>
    <row r="265">
      <c r="B265" s="82"/>
      <c r="C265" s="63" t="str">
        <f>IFERROR(__xludf.DUMMYFUNCTION("FILTER(B122:B260,D122:D260=E265)"),"")</f>
        <v/>
      </c>
      <c r="D265" s="64"/>
    </row>
    <row r="266">
      <c r="B266" s="82"/>
      <c r="C266" s="7"/>
      <c r="D266" s="64"/>
    </row>
    <row r="267">
      <c r="B267" s="82"/>
      <c r="C267" s="7"/>
      <c r="D267" s="64"/>
    </row>
    <row r="268">
      <c r="B268" s="82"/>
      <c r="C268" s="7"/>
      <c r="D268" s="64"/>
    </row>
    <row r="269">
      <c r="B269" s="82"/>
      <c r="C269" s="7"/>
      <c r="D269" s="64"/>
    </row>
    <row r="270">
      <c r="B270" s="82"/>
      <c r="C270" s="7"/>
      <c r="D270" s="64"/>
    </row>
    <row r="271">
      <c r="B271" s="82"/>
      <c r="C271" s="7"/>
      <c r="D271" s="64"/>
    </row>
    <row r="272">
      <c r="B272" s="82"/>
      <c r="C272" s="7"/>
      <c r="D272" s="64"/>
    </row>
    <row r="273">
      <c r="B273" s="82"/>
      <c r="C273" s="7"/>
      <c r="D273" s="64"/>
    </row>
    <row r="274">
      <c r="B274" s="82"/>
      <c r="C274" s="7"/>
      <c r="D274" s="64"/>
    </row>
    <row r="275">
      <c r="B275" s="82"/>
      <c r="C275" s="7"/>
      <c r="D275" s="64"/>
    </row>
    <row r="276">
      <c r="B276" s="82"/>
      <c r="C276" s="7"/>
      <c r="D276" s="64"/>
    </row>
    <row r="277">
      <c r="B277" s="82"/>
      <c r="C277" s="7"/>
      <c r="D277" s="64"/>
    </row>
    <row r="278">
      <c r="B278" s="82"/>
      <c r="C278" s="7"/>
      <c r="D278" s="64"/>
    </row>
    <row r="279">
      <c r="B279" s="82"/>
      <c r="C279" s="7"/>
      <c r="D279" s="64"/>
    </row>
    <row r="280">
      <c r="B280" s="82"/>
      <c r="C280" s="7"/>
      <c r="D280" s="64"/>
    </row>
    <row r="281">
      <c r="B281" s="82"/>
      <c r="C281" s="7"/>
      <c r="D281" s="64"/>
    </row>
    <row r="282">
      <c r="B282" s="82"/>
      <c r="C282" s="7"/>
      <c r="D282" s="64"/>
    </row>
    <row r="283">
      <c r="B283" s="82"/>
      <c r="C283" s="7"/>
      <c r="D283" s="64"/>
    </row>
    <row r="284">
      <c r="B284" s="82"/>
      <c r="C284" s="7"/>
      <c r="D284" s="64"/>
    </row>
    <row r="285">
      <c r="B285" s="82"/>
      <c r="C285" s="7"/>
      <c r="D285" s="64"/>
    </row>
    <row r="286">
      <c r="B286" s="82"/>
      <c r="C286" s="7"/>
      <c r="D286" s="64"/>
    </row>
    <row r="287">
      <c r="B287" s="82"/>
      <c r="C287" s="7"/>
      <c r="D287" s="64"/>
    </row>
    <row r="288">
      <c r="B288" s="82"/>
      <c r="C288" s="7"/>
      <c r="D288" s="64"/>
    </row>
    <row r="289">
      <c r="B289" s="82"/>
      <c r="C289" s="7"/>
      <c r="D289" s="64"/>
    </row>
    <row r="290">
      <c r="B290" s="82"/>
      <c r="C290" s="7"/>
      <c r="D290" s="64"/>
    </row>
    <row r="291">
      <c r="B291" s="82"/>
      <c r="C291" s="7"/>
      <c r="D291" s="64"/>
    </row>
    <row r="292">
      <c r="B292" s="82"/>
      <c r="C292" s="7"/>
      <c r="D292" s="64"/>
    </row>
    <row r="293">
      <c r="B293" s="82"/>
      <c r="C293" s="7"/>
      <c r="D293" s="64"/>
    </row>
    <row r="294">
      <c r="B294" s="82"/>
      <c r="C294" s="7"/>
      <c r="D294" s="64"/>
    </row>
    <row r="295">
      <c r="B295" s="82"/>
      <c r="C295" s="7"/>
      <c r="D295" s="64"/>
    </row>
    <row r="296">
      <c r="B296" s="82"/>
      <c r="C296" s="7"/>
      <c r="D296" s="64"/>
    </row>
    <row r="297">
      <c r="B297" s="82"/>
      <c r="C297" s="7"/>
      <c r="D297" s="64"/>
    </row>
    <row r="298">
      <c r="B298" s="82"/>
      <c r="C298" s="7"/>
      <c r="D298" s="64"/>
    </row>
    <row r="299">
      <c r="B299" s="82"/>
      <c r="C299" s="7"/>
      <c r="D299" s="64"/>
    </row>
    <row r="300">
      <c r="B300" s="82"/>
      <c r="C300" s="7"/>
      <c r="D300" s="64"/>
    </row>
    <row r="301">
      <c r="B301" s="82"/>
      <c r="C301" s="7"/>
      <c r="D301" s="64"/>
    </row>
    <row r="302">
      <c r="B302" s="82"/>
      <c r="C302" s="7"/>
      <c r="D302" s="64"/>
    </row>
    <row r="303">
      <c r="B303" s="82"/>
      <c r="C303" s="7"/>
      <c r="D303" s="64"/>
    </row>
    <row r="304">
      <c r="B304" s="82"/>
      <c r="C304" s="7"/>
      <c r="D304" s="64"/>
    </row>
    <row r="305">
      <c r="B305" s="82"/>
      <c r="C305" s="7"/>
      <c r="D305" s="64"/>
    </row>
    <row r="306">
      <c r="B306" s="82"/>
      <c r="C306" s="7"/>
      <c r="D306" s="64"/>
    </row>
    <row r="307">
      <c r="B307" s="82"/>
      <c r="C307" s="7"/>
      <c r="D307" s="64"/>
    </row>
    <row r="308">
      <c r="B308" s="82"/>
      <c r="C308" s="7"/>
      <c r="D308" s="64"/>
    </row>
    <row r="309">
      <c r="B309" s="82"/>
      <c r="C309" s="7"/>
      <c r="D309" s="64"/>
    </row>
    <row r="310">
      <c r="B310" s="82"/>
      <c r="C310" s="7"/>
      <c r="D310" s="64"/>
    </row>
    <row r="311">
      <c r="B311" s="82"/>
      <c r="C311" s="7"/>
      <c r="D311" s="64"/>
    </row>
    <row r="312">
      <c r="B312" s="82"/>
      <c r="C312" s="7"/>
      <c r="D312" s="64"/>
    </row>
    <row r="313">
      <c r="B313" s="82"/>
      <c r="C313" s="7"/>
      <c r="D313" s="64"/>
    </row>
    <row r="314">
      <c r="B314" s="82"/>
      <c r="C314" s="7"/>
      <c r="D314" s="64"/>
    </row>
    <row r="315">
      <c r="B315" s="82"/>
      <c r="C315" s="7"/>
      <c r="D315" s="64"/>
    </row>
    <row r="316">
      <c r="B316" s="82"/>
      <c r="C316" s="7"/>
      <c r="D316" s="64"/>
    </row>
    <row r="317">
      <c r="B317" s="82"/>
      <c r="C317" s="7"/>
      <c r="D317" s="64"/>
    </row>
    <row r="318">
      <c r="B318" s="82"/>
      <c r="C318" s="7"/>
      <c r="D318" s="64"/>
    </row>
    <row r="319">
      <c r="B319" s="82"/>
      <c r="C319" s="7"/>
      <c r="D319" s="64"/>
    </row>
    <row r="320">
      <c r="B320" s="82"/>
      <c r="C320" s="7"/>
      <c r="D320" s="64"/>
    </row>
    <row r="321">
      <c r="B321" s="82"/>
      <c r="C321" s="7"/>
      <c r="D321" s="64"/>
    </row>
    <row r="322">
      <c r="B322" s="82"/>
      <c r="C322" s="7"/>
      <c r="D322" s="64"/>
    </row>
    <row r="323">
      <c r="B323" s="82"/>
      <c r="C323" s="7"/>
      <c r="D323" s="64"/>
    </row>
    <row r="324">
      <c r="B324" s="82"/>
      <c r="C324" s="7"/>
      <c r="D324" s="64"/>
    </row>
    <row r="325">
      <c r="B325" s="82"/>
      <c r="C325" s="7"/>
      <c r="D325" s="64"/>
    </row>
    <row r="326">
      <c r="B326" s="82"/>
      <c r="C326" s="7"/>
      <c r="D326" s="64"/>
    </row>
    <row r="327">
      <c r="B327" s="82"/>
      <c r="C327" s="7"/>
      <c r="D327" s="64"/>
    </row>
    <row r="328">
      <c r="B328" s="82"/>
      <c r="C328" s="7"/>
      <c r="D328" s="64"/>
    </row>
    <row r="329">
      <c r="B329" s="82"/>
      <c r="C329" s="7"/>
      <c r="D329" s="64"/>
    </row>
    <row r="330">
      <c r="B330" s="82"/>
      <c r="C330" s="7"/>
      <c r="D330" s="64"/>
    </row>
    <row r="331">
      <c r="B331" s="82"/>
      <c r="C331" s="7"/>
      <c r="D331" s="64"/>
    </row>
    <row r="332">
      <c r="B332" s="82"/>
      <c r="C332" s="7"/>
      <c r="D332" s="64"/>
    </row>
    <row r="333">
      <c r="B333" s="82"/>
      <c r="C333" s="7"/>
      <c r="D333" s="64"/>
    </row>
    <row r="334">
      <c r="B334" s="82"/>
      <c r="C334" s="7"/>
      <c r="D334" s="64"/>
    </row>
    <row r="335">
      <c r="B335" s="82"/>
      <c r="C335" s="7"/>
      <c r="D335" s="64"/>
    </row>
    <row r="336">
      <c r="B336" s="82"/>
      <c r="C336" s="7"/>
      <c r="D336" s="64"/>
    </row>
    <row r="337">
      <c r="B337" s="82"/>
      <c r="C337" s="7"/>
      <c r="D337" s="64"/>
    </row>
    <row r="338">
      <c r="B338" s="82"/>
      <c r="C338" s="7"/>
      <c r="D338" s="64"/>
    </row>
    <row r="339">
      <c r="B339" s="82"/>
      <c r="C339" s="7"/>
      <c r="D339" s="64"/>
    </row>
    <row r="340">
      <c r="B340" s="82"/>
      <c r="C340" s="7"/>
      <c r="D340" s="64"/>
    </row>
    <row r="341">
      <c r="B341" s="82"/>
      <c r="C341" s="7"/>
      <c r="D341" s="64"/>
    </row>
    <row r="342">
      <c r="B342" s="82"/>
      <c r="C342" s="7"/>
      <c r="D342" s="64"/>
    </row>
    <row r="343">
      <c r="B343" s="82"/>
      <c r="C343" s="7"/>
      <c r="D343" s="64"/>
    </row>
    <row r="344">
      <c r="B344" s="82"/>
      <c r="C344" s="7"/>
      <c r="D344" s="64"/>
    </row>
    <row r="345">
      <c r="B345" s="82"/>
      <c r="C345" s="7"/>
      <c r="D345" s="64"/>
    </row>
    <row r="346">
      <c r="B346" s="82"/>
      <c r="C346" s="7"/>
      <c r="D346" s="64"/>
    </row>
    <row r="347">
      <c r="B347" s="82"/>
      <c r="C347" s="7"/>
      <c r="D347" s="64"/>
    </row>
    <row r="348">
      <c r="B348" s="82"/>
      <c r="C348" s="7"/>
      <c r="D348" s="64"/>
    </row>
    <row r="349">
      <c r="B349" s="82"/>
      <c r="C349" s="7"/>
      <c r="D349" s="64"/>
    </row>
    <row r="350">
      <c r="B350" s="82"/>
      <c r="C350" s="7"/>
      <c r="D350" s="64"/>
    </row>
    <row r="351">
      <c r="B351" s="82"/>
      <c r="C351" s="7"/>
      <c r="D351" s="64"/>
    </row>
    <row r="352">
      <c r="B352" s="82"/>
      <c r="C352" s="7"/>
      <c r="D352" s="64"/>
    </row>
    <row r="353">
      <c r="B353" s="82"/>
      <c r="C353" s="7"/>
      <c r="D353" s="64"/>
    </row>
    <row r="354">
      <c r="B354" s="82"/>
      <c r="C354" s="7"/>
      <c r="D354" s="64"/>
    </row>
    <row r="355">
      <c r="B355" s="82"/>
      <c r="C355" s="7"/>
      <c r="D355" s="64"/>
    </row>
    <row r="356">
      <c r="B356" s="82"/>
      <c r="C356" s="7"/>
      <c r="D356" s="64"/>
    </row>
    <row r="357">
      <c r="B357" s="82"/>
      <c r="C357" s="7"/>
      <c r="D357" s="64"/>
    </row>
    <row r="358">
      <c r="B358" s="82"/>
      <c r="C358" s="7"/>
      <c r="D358" s="64"/>
    </row>
    <row r="359">
      <c r="B359" s="82"/>
      <c r="C359" s="7"/>
      <c r="D359" s="64"/>
    </row>
    <row r="360">
      <c r="B360" s="82"/>
      <c r="C360" s="7"/>
      <c r="D360" s="82"/>
    </row>
    <row r="361">
      <c r="B361" s="82"/>
      <c r="C361" s="7"/>
      <c r="D361" s="82"/>
    </row>
    <row r="362">
      <c r="B362" s="82"/>
      <c r="C362" s="7"/>
      <c r="D362" s="82"/>
    </row>
    <row r="363">
      <c r="B363" s="82"/>
      <c r="C363" s="7"/>
      <c r="D363" s="82"/>
    </row>
    <row r="364">
      <c r="B364" s="82"/>
      <c r="C364" s="7"/>
      <c r="D364" s="82"/>
    </row>
    <row r="365">
      <c r="B365" s="82"/>
      <c r="C365" s="7"/>
      <c r="D365" s="82"/>
    </row>
    <row r="366">
      <c r="B366" s="82"/>
      <c r="C366" s="7"/>
      <c r="D366" s="82"/>
    </row>
    <row r="367">
      <c r="B367" s="82"/>
      <c r="C367" s="7"/>
      <c r="D367" s="82"/>
    </row>
    <row r="368">
      <c r="B368" s="82"/>
      <c r="C368" s="7"/>
      <c r="D368" s="82"/>
    </row>
    <row r="369">
      <c r="B369" s="82"/>
      <c r="C369" s="7"/>
      <c r="D369" s="82"/>
    </row>
    <row r="370">
      <c r="B370" s="82"/>
      <c r="C370" s="7"/>
      <c r="D370" s="82"/>
    </row>
    <row r="371">
      <c r="B371" s="82"/>
      <c r="C371" s="7"/>
      <c r="D371" s="82"/>
    </row>
    <row r="372">
      <c r="B372" s="82"/>
      <c r="C372" s="7"/>
      <c r="D372" s="82"/>
    </row>
    <row r="373">
      <c r="B373" s="82"/>
      <c r="C373" s="7"/>
      <c r="D373" s="82"/>
    </row>
    <row r="374">
      <c r="B374" s="82"/>
      <c r="C374" s="7"/>
      <c r="D374" s="82"/>
    </row>
    <row r="375">
      <c r="B375" s="82"/>
      <c r="C375" s="7"/>
      <c r="D375" s="82"/>
    </row>
    <row r="376">
      <c r="B376" s="82"/>
      <c r="C376" s="7"/>
      <c r="D376" s="82"/>
    </row>
    <row r="377">
      <c r="B377" s="82"/>
      <c r="C377" s="7"/>
      <c r="D377" s="82"/>
    </row>
    <row r="378">
      <c r="B378" s="82"/>
      <c r="C378" s="7"/>
      <c r="D378" s="82"/>
    </row>
    <row r="379">
      <c r="B379" s="82"/>
      <c r="C379" s="7"/>
      <c r="D379" s="82"/>
    </row>
    <row r="380">
      <c r="B380" s="82"/>
      <c r="C380" s="7"/>
      <c r="D380" s="82"/>
    </row>
    <row r="381">
      <c r="B381" s="82"/>
      <c r="C381" s="7"/>
      <c r="D381" s="82"/>
    </row>
    <row r="382">
      <c r="B382" s="82"/>
      <c r="C382" s="7"/>
      <c r="D382" s="82"/>
    </row>
    <row r="383">
      <c r="B383" s="82"/>
      <c r="C383" s="7"/>
      <c r="D383" s="82"/>
    </row>
    <row r="384">
      <c r="B384" s="82"/>
      <c r="C384" s="7"/>
      <c r="D384" s="82"/>
    </row>
    <row r="385">
      <c r="B385" s="82"/>
      <c r="C385" s="7"/>
      <c r="D385" s="82"/>
    </row>
    <row r="386">
      <c r="B386" s="82"/>
      <c r="C386" s="7"/>
      <c r="D386" s="82"/>
    </row>
    <row r="387">
      <c r="B387" s="82"/>
      <c r="C387" s="7"/>
      <c r="D387" s="82"/>
    </row>
    <row r="388">
      <c r="B388" s="82"/>
      <c r="C388" s="7"/>
      <c r="D388" s="82"/>
    </row>
    <row r="389">
      <c r="B389" s="82"/>
      <c r="C389" s="7"/>
      <c r="D389" s="82"/>
    </row>
    <row r="390">
      <c r="B390" s="82"/>
      <c r="C390" s="7"/>
      <c r="D390" s="82"/>
    </row>
    <row r="391">
      <c r="B391" s="82"/>
      <c r="C391" s="7"/>
      <c r="D391" s="82"/>
    </row>
    <row r="392">
      <c r="B392" s="82"/>
      <c r="C392" s="7"/>
      <c r="D392" s="82"/>
    </row>
    <row r="393">
      <c r="B393" s="82"/>
      <c r="C393" s="7"/>
      <c r="D393" s="82"/>
    </row>
    <row r="394">
      <c r="B394" s="82"/>
      <c r="C394" s="7"/>
      <c r="D394" s="82"/>
    </row>
    <row r="395">
      <c r="B395" s="82"/>
      <c r="C395" s="7"/>
      <c r="D395" s="82"/>
    </row>
    <row r="396">
      <c r="B396" s="82"/>
      <c r="C396" s="7"/>
      <c r="D396" s="82"/>
    </row>
    <row r="397">
      <c r="B397" s="82"/>
      <c r="C397" s="7"/>
      <c r="D397" s="82"/>
    </row>
    <row r="398">
      <c r="B398" s="82"/>
      <c r="C398" s="7"/>
      <c r="D398" s="82"/>
    </row>
    <row r="399">
      <c r="B399" s="82"/>
      <c r="C399" s="7"/>
      <c r="D399" s="82"/>
    </row>
    <row r="400">
      <c r="B400" s="82"/>
      <c r="C400" s="7"/>
      <c r="D400" s="82"/>
    </row>
    <row r="401">
      <c r="B401" s="82"/>
      <c r="C401" s="7"/>
      <c r="D401" s="82"/>
    </row>
    <row r="402">
      <c r="B402" s="82"/>
      <c r="C402" s="7"/>
      <c r="D402" s="82"/>
    </row>
    <row r="403">
      <c r="B403" s="82"/>
      <c r="C403" s="7"/>
      <c r="D403" s="82"/>
    </row>
    <row r="404">
      <c r="B404" s="82"/>
      <c r="C404" s="7"/>
      <c r="D404" s="82"/>
    </row>
    <row r="405">
      <c r="B405" s="82"/>
      <c r="C405" s="7"/>
      <c r="D405" s="82"/>
    </row>
    <row r="406">
      <c r="B406" s="82"/>
      <c r="C406" s="7"/>
      <c r="D406" s="82"/>
    </row>
    <row r="407">
      <c r="B407" s="82"/>
      <c r="C407" s="7"/>
      <c r="D407" s="82"/>
    </row>
    <row r="408">
      <c r="B408" s="82"/>
      <c r="C408" s="7"/>
      <c r="D408" s="82"/>
    </row>
    <row r="409">
      <c r="B409" s="82"/>
      <c r="C409" s="7"/>
      <c r="D409" s="82"/>
    </row>
    <row r="410">
      <c r="B410" s="82"/>
      <c r="C410" s="7"/>
      <c r="D410" s="82"/>
    </row>
    <row r="411">
      <c r="B411" s="82"/>
      <c r="C411" s="7"/>
      <c r="D411" s="82"/>
    </row>
    <row r="412">
      <c r="B412" s="82"/>
      <c r="C412" s="7"/>
      <c r="D412" s="82"/>
    </row>
    <row r="413">
      <c r="B413" s="82"/>
      <c r="C413" s="7"/>
      <c r="D413" s="82"/>
    </row>
    <row r="414">
      <c r="B414" s="82"/>
      <c r="C414" s="7"/>
      <c r="D414" s="82"/>
    </row>
    <row r="415">
      <c r="B415" s="82"/>
      <c r="C415" s="7"/>
      <c r="D415" s="82"/>
    </row>
    <row r="416">
      <c r="B416" s="82"/>
      <c r="C416" s="7"/>
      <c r="D416" s="82"/>
    </row>
    <row r="417">
      <c r="B417" s="82"/>
      <c r="C417" s="7"/>
      <c r="D417" s="82"/>
    </row>
    <row r="418">
      <c r="B418" s="82"/>
      <c r="C418" s="7"/>
      <c r="D418" s="82"/>
    </row>
    <row r="419">
      <c r="B419" s="82"/>
      <c r="C419" s="7"/>
      <c r="D419" s="82"/>
    </row>
    <row r="420">
      <c r="B420" s="82"/>
      <c r="C420" s="7"/>
      <c r="D420" s="82"/>
    </row>
    <row r="421">
      <c r="B421" s="82"/>
      <c r="C421" s="7"/>
      <c r="D421" s="82"/>
    </row>
    <row r="422">
      <c r="B422" s="82"/>
      <c r="C422" s="7"/>
      <c r="D422" s="82"/>
    </row>
    <row r="423">
      <c r="B423" s="82"/>
      <c r="C423" s="7"/>
      <c r="D423" s="82"/>
    </row>
    <row r="424">
      <c r="B424" s="82"/>
      <c r="C424" s="7"/>
      <c r="D424" s="82"/>
    </row>
    <row r="425">
      <c r="B425" s="82"/>
      <c r="C425" s="7"/>
      <c r="D425" s="82"/>
    </row>
    <row r="426">
      <c r="B426" s="82"/>
      <c r="C426" s="7"/>
      <c r="D426" s="82"/>
    </row>
    <row r="427">
      <c r="B427" s="82"/>
      <c r="C427" s="7"/>
      <c r="D427" s="82"/>
    </row>
    <row r="428">
      <c r="B428" s="82"/>
      <c r="C428" s="7"/>
      <c r="D428" s="82"/>
    </row>
    <row r="429">
      <c r="B429" s="82"/>
      <c r="C429" s="7"/>
      <c r="D429" s="82"/>
    </row>
    <row r="430">
      <c r="B430" s="82"/>
      <c r="C430" s="7"/>
      <c r="D430" s="82"/>
    </row>
    <row r="431">
      <c r="B431" s="82"/>
      <c r="C431" s="7"/>
      <c r="D431" s="82"/>
    </row>
    <row r="432">
      <c r="B432" s="82"/>
      <c r="C432" s="7"/>
      <c r="D432" s="82"/>
    </row>
    <row r="433">
      <c r="B433" s="82"/>
      <c r="C433" s="7"/>
      <c r="D433" s="82"/>
    </row>
    <row r="434">
      <c r="B434" s="82"/>
      <c r="C434" s="7"/>
      <c r="D434" s="82"/>
    </row>
    <row r="435">
      <c r="B435" s="82"/>
      <c r="C435" s="7"/>
      <c r="D435" s="82"/>
    </row>
    <row r="436">
      <c r="B436" s="82"/>
      <c r="C436" s="7"/>
      <c r="D436" s="82"/>
    </row>
    <row r="437">
      <c r="B437" s="82"/>
      <c r="C437" s="7"/>
      <c r="D437" s="82"/>
    </row>
    <row r="438">
      <c r="B438" s="82"/>
      <c r="C438" s="7"/>
      <c r="D438" s="82"/>
    </row>
    <row r="439">
      <c r="B439" s="82"/>
      <c r="C439" s="7"/>
      <c r="D439" s="82"/>
    </row>
    <row r="440">
      <c r="B440" s="82"/>
      <c r="C440" s="7"/>
      <c r="D440" s="82"/>
    </row>
    <row r="441">
      <c r="B441" s="82"/>
      <c r="C441" s="7"/>
      <c r="D441" s="82"/>
    </row>
    <row r="442">
      <c r="B442" s="82"/>
      <c r="C442" s="7"/>
      <c r="D442" s="82"/>
    </row>
    <row r="443">
      <c r="B443" s="82"/>
      <c r="C443" s="7"/>
      <c r="D443" s="82"/>
    </row>
    <row r="444">
      <c r="B444" s="82"/>
      <c r="C444" s="7"/>
      <c r="D444" s="82"/>
    </row>
    <row r="445">
      <c r="B445" s="82"/>
      <c r="C445" s="7"/>
      <c r="D445" s="82"/>
    </row>
    <row r="446">
      <c r="B446" s="82"/>
      <c r="C446" s="7"/>
      <c r="D446" s="82"/>
    </row>
    <row r="447">
      <c r="B447" s="82"/>
      <c r="C447" s="7"/>
      <c r="D447" s="82"/>
    </row>
    <row r="448">
      <c r="B448" s="82"/>
      <c r="C448" s="7"/>
      <c r="D448" s="82"/>
    </row>
    <row r="449">
      <c r="B449" s="82"/>
      <c r="C449" s="7"/>
      <c r="D449" s="82"/>
    </row>
    <row r="450">
      <c r="B450" s="82"/>
      <c r="C450" s="7"/>
      <c r="D450" s="82"/>
    </row>
    <row r="451">
      <c r="B451" s="82"/>
      <c r="C451" s="7"/>
      <c r="D451" s="82"/>
    </row>
    <row r="452">
      <c r="B452" s="82"/>
      <c r="C452" s="7"/>
      <c r="D452" s="82"/>
    </row>
    <row r="453">
      <c r="B453" s="82"/>
      <c r="C453" s="7"/>
      <c r="D453" s="82"/>
    </row>
    <row r="454">
      <c r="B454" s="82"/>
      <c r="C454" s="7"/>
      <c r="D454" s="82"/>
    </row>
    <row r="455">
      <c r="B455" s="82"/>
      <c r="C455" s="7"/>
      <c r="D455" s="82"/>
    </row>
    <row r="456">
      <c r="B456" s="82"/>
      <c r="C456" s="7"/>
      <c r="D456" s="82"/>
    </row>
    <row r="457">
      <c r="B457" s="82"/>
      <c r="C457" s="7"/>
      <c r="D457" s="82"/>
    </row>
    <row r="458">
      <c r="B458" s="82"/>
      <c r="C458" s="7"/>
      <c r="D458" s="82"/>
    </row>
    <row r="459">
      <c r="B459" s="82"/>
      <c r="C459" s="7"/>
      <c r="D459" s="82"/>
    </row>
    <row r="460">
      <c r="B460" s="82"/>
      <c r="C460" s="7"/>
      <c r="D460" s="82"/>
    </row>
    <row r="461">
      <c r="B461" s="82"/>
      <c r="C461" s="7"/>
      <c r="D461" s="82"/>
    </row>
    <row r="462">
      <c r="B462" s="82"/>
      <c r="C462" s="7"/>
      <c r="D462" s="82"/>
    </row>
    <row r="463">
      <c r="B463" s="82"/>
      <c r="C463" s="7"/>
      <c r="D463" s="82"/>
    </row>
    <row r="464">
      <c r="B464" s="82"/>
      <c r="C464" s="7"/>
      <c r="D464" s="82"/>
    </row>
    <row r="465">
      <c r="B465" s="82"/>
      <c r="C465" s="7"/>
      <c r="D465" s="82"/>
    </row>
    <row r="466">
      <c r="B466" s="82"/>
      <c r="C466" s="7"/>
      <c r="D466" s="82"/>
    </row>
    <row r="467">
      <c r="B467" s="82"/>
      <c r="C467" s="7"/>
      <c r="D467" s="82"/>
    </row>
    <row r="468">
      <c r="B468" s="82"/>
      <c r="C468" s="7"/>
      <c r="D468" s="82"/>
    </row>
    <row r="469">
      <c r="B469" s="82"/>
      <c r="C469" s="7"/>
      <c r="D469" s="82"/>
    </row>
    <row r="470">
      <c r="B470" s="82"/>
      <c r="C470" s="7"/>
      <c r="D470" s="82"/>
    </row>
    <row r="471">
      <c r="B471" s="82"/>
      <c r="C471" s="7"/>
      <c r="D471" s="82"/>
    </row>
    <row r="472">
      <c r="B472" s="82"/>
      <c r="C472" s="7"/>
      <c r="D472" s="82"/>
    </row>
    <row r="473">
      <c r="B473" s="82"/>
      <c r="C473" s="7"/>
      <c r="D473" s="82"/>
    </row>
    <row r="474">
      <c r="B474" s="82"/>
      <c r="C474" s="7"/>
      <c r="D474" s="82"/>
    </row>
    <row r="475">
      <c r="B475" s="82"/>
      <c r="C475" s="7"/>
      <c r="D475" s="82"/>
    </row>
    <row r="476">
      <c r="B476" s="82"/>
      <c r="C476" s="7"/>
      <c r="D476" s="82"/>
    </row>
    <row r="477">
      <c r="B477" s="82"/>
      <c r="C477" s="7"/>
      <c r="D477" s="82"/>
    </row>
    <row r="478">
      <c r="B478" s="82"/>
      <c r="C478" s="7"/>
      <c r="D478" s="82"/>
    </row>
    <row r="479">
      <c r="B479" s="82"/>
      <c r="C479" s="7"/>
      <c r="D479" s="82"/>
    </row>
    <row r="480">
      <c r="B480" s="82"/>
      <c r="C480" s="7"/>
      <c r="D480" s="82"/>
    </row>
    <row r="481">
      <c r="B481" s="82"/>
      <c r="C481" s="7"/>
      <c r="D481" s="82"/>
    </row>
    <row r="482">
      <c r="B482" s="82"/>
      <c r="C482" s="7"/>
      <c r="D482" s="82"/>
    </row>
    <row r="483">
      <c r="B483" s="82"/>
      <c r="C483" s="7"/>
      <c r="D483" s="82"/>
    </row>
    <row r="484">
      <c r="B484" s="82"/>
      <c r="C484" s="7"/>
      <c r="D484" s="82"/>
    </row>
    <row r="485">
      <c r="B485" s="82"/>
      <c r="C485" s="7"/>
      <c r="D485" s="82"/>
    </row>
    <row r="486">
      <c r="B486" s="82"/>
      <c r="C486" s="7"/>
      <c r="D486" s="82"/>
    </row>
    <row r="487">
      <c r="B487" s="82"/>
      <c r="C487" s="7"/>
      <c r="D487" s="82"/>
    </row>
    <row r="488">
      <c r="B488" s="82"/>
      <c r="C488" s="7"/>
      <c r="D488" s="82"/>
    </row>
    <row r="489">
      <c r="B489" s="82"/>
      <c r="C489" s="7"/>
      <c r="D489" s="82"/>
    </row>
    <row r="490">
      <c r="B490" s="82"/>
      <c r="C490" s="7"/>
      <c r="D490" s="82"/>
    </row>
    <row r="491">
      <c r="B491" s="82"/>
      <c r="C491" s="7"/>
      <c r="D491" s="82"/>
    </row>
    <row r="492">
      <c r="B492" s="82"/>
      <c r="C492" s="7"/>
      <c r="D492" s="82"/>
    </row>
    <row r="493">
      <c r="B493" s="82"/>
      <c r="C493" s="7"/>
      <c r="D493" s="82"/>
    </row>
    <row r="494">
      <c r="B494" s="82"/>
      <c r="C494" s="7"/>
      <c r="D494" s="82"/>
    </row>
    <row r="495">
      <c r="B495" s="82"/>
      <c r="C495" s="7"/>
      <c r="D495" s="82"/>
    </row>
    <row r="496">
      <c r="B496" s="82"/>
      <c r="C496" s="7"/>
      <c r="D496" s="82"/>
    </row>
    <row r="497">
      <c r="B497" s="82"/>
      <c r="C497" s="7"/>
      <c r="D497" s="82"/>
    </row>
    <row r="498">
      <c r="B498" s="82"/>
      <c r="C498" s="7"/>
      <c r="D498" s="82"/>
    </row>
    <row r="499">
      <c r="B499" s="82"/>
      <c r="C499" s="7"/>
      <c r="D499" s="82"/>
    </row>
    <row r="500">
      <c r="B500" s="82"/>
      <c r="C500" s="7"/>
      <c r="D500" s="82"/>
    </row>
    <row r="501">
      <c r="B501" s="82"/>
      <c r="C501" s="7"/>
      <c r="D501" s="82"/>
    </row>
    <row r="502">
      <c r="B502" s="82"/>
      <c r="C502" s="7"/>
      <c r="D502" s="82"/>
    </row>
    <row r="503">
      <c r="B503" s="82"/>
      <c r="C503" s="7"/>
      <c r="D503" s="82"/>
    </row>
    <row r="504">
      <c r="B504" s="82"/>
      <c r="C504" s="7"/>
      <c r="D504" s="82"/>
    </row>
    <row r="505">
      <c r="B505" s="82"/>
      <c r="C505" s="7"/>
      <c r="D505" s="82"/>
    </row>
    <row r="506">
      <c r="B506" s="82"/>
      <c r="C506" s="7"/>
      <c r="D506" s="82"/>
    </row>
    <row r="507">
      <c r="B507" s="82"/>
      <c r="C507" s="7"/>
      <c r="D507" s="82"/>
    </row>
    <row r="508">
      <c r="B508" s="82"/>
      <c r="C508" s="7"/>
      <c r="D508" s="82"/>
    </row>
    <row r="509">
      <c r="B509" s="82"/>
      <c r="C509" s="7"/>
      <c r="D509" s="82"/>
    </row>
    <row r="510">
      <c r="B510" s="82"/>
      <c r="C510" s="7"/>
      <c r="D510" s="82"/>
    </row>
    <row r="511">
      <c r="B511" s="82"/>
      <c r="C511" s="7"/>
      <c r="D511" s="82"/>
    </row>
    <row r="512">
      <c r="B512" s="82"/>
      <c r="C512" s="7"/>
      <c r="D512" s="82"/>
    </row>
    <row r="513">
      <c r="B513" s="82"/>
      <c r="C513" s="7"/>
      <c r="D513" s="82"/>
    </row>
    <row r="514">
      <c r="B514" s="82"/>
      <c r="C514" s="7"/>
      <c r="D514" s="82"/>
    </row>
    <row r="515">
      <c r="B515" s="82"/>
      <c r="C515" s="7"/>
      <c r="D515" s="82"/>
    </row>
    <row r="516">
      <c r="B516" s="82"/>
      <c r="C516" s="7"/>
      <c r="D516" s="82"/>
    </row>
    <row r="517">
      <c r="B517" s="82"/>
      <c r="C517" s="7"/>
      <c r="D517" s="82"/>
    </row>
    <row r="518">
      <c r="B518" s="82"/>
      <c r="C518" s="7"/>
      <c r="D518" s="82"/>
    </row>
    <row r="519">
      <c r="B519" s="82"/>
      <c r="C519" s="7"/>
      <c r="D519" s="82"/>
    </row>
    <row r="520">
      <c r="B520" s="82"/>
      <c r="C520" s="7"/>
      <c r="D520" s="82"/>
    </row>
    <row r="521">
      <c r="B521" s="82"/>
      <c r="C521" s="7"/>
      <c r="D521" s="82"/>
    </row>
    <row r="522">
      <c r="B522" s="82"/>
      <c r="C522" s="7"/>
      <c r="D522" s="82"/>
    </row>
    <row r="523">
      <c r="B523" s="82"/>
      <c r="C523" s="7"/>
      <c r="D523" s="82"/>
    </row>
    <row r="524">
      <c r="B524" s="82"/>
      <c r="C524" s="7"/>
      <c r="D524" s="82"/>
    </row>
    <row r="525">
      <c r="B525" s="82"/>
      <c r="C525" s="7"/>
      <c r="D525" s="82"/>
    </row>
    <row r="526">
      <c r="B526" s="82"/>
      <c r="C526" s="7"/>
      <c r="D526" s="82"/>
    </row>
    <row r="527">
      <c r="B527" s="82"/>
      <c r="C527" s="7"/>
      <c r="D527" s="82"/>
    </row>
    <row r="528">
      <c r="B528" s="82"/>
      <c r="C528" s="7"/>
      <c r="D528" s="82"/>
    </row>
    <row r="529">
      <c r="B529" s="82"/>
      <c r="C529" s="7"/>
      <c r="D529" s="82"/>
    </row>
    <row r="530">
      <c r="B530" s="82"/>
      <c r="C530" s="7"/>
      <c r="D530" s="82"/>
    </row>
    <row r="531">
      <c r="B531" s="82"/>
      <c r="C531" s="7"/>
      <c r="D531" s="82"/>
    </row>
    <row r="532">
      <c r="B532" s="82"/>
      <c r="C532" s="7"/>
      <c r="D532" s="82"/>
    </row>
    <row r="533">
      <c r="B533" s="82"/>
      <c r="C533" s="7"/>
      <c r="D533" s="82"/>
    </row>
    <row r="534">
      <c r="B534" s="82"/>
      <c r="C534" s="7"/>
      <c r="D534" s="82"/>
    </row>
    <row r="535">
      <c r="B535" s="82"/>
      <c r="C535" s="7"/>
      <c r="D535" s="82"/>
    </row>
    <row r="536">
      <c r="B536" s="82"/>
      <c r="C536" s="7"/>
      <c r="D536" s="82"/>
    </row>
    <row r="537">
      <c r="B537" s="82"/>
      <c r="C537" s="7"/>
      <c r="D537" s="82"/>
    </row>
    <row r="538">
      <c r="B538" s="82"/>
      <c r="C538" s="7"/>
      <c r="D538" s="82"/>
    </row>
    <row r="539">
      <c r="B539" s="82"/>
      <c r="C539" s="7"/>
      <c r="D539" s="82"/>
    </row>
    <row r="540">
      <c r="B540" s="82"/>
      <c r="C540" s="7"/>
      <c r="D540" s="82"/>
    </row>
    <row r="541">
      <c r="B541" s="82"/>
      <c r="C541" s="7"/>
      <c r="D541" s="82"/>
    </row>
    <row r="542">
      <c r="B542" s="82"/>
      <c r="C542" s="7"/>
      <c r="D542" s="82"/>
    </row>
    <row r="543">
      <c r="B543" s="82"/>
      <c r="C543" s="7"/>
      <c r="D543" s="82"/>
    </row>
    <row r="544">
      <c r="B544" s="82"/>
      <c r="C544" s="7"/>
      <c r="D544" s="82"/>
    </row>
    <row r="545">
      <c r="B545" s="82"/>
      <c r="C545" s="7"/>
      <c r="D545" s="82"/>
    </row>
    <row r="546">
      <c r="B546" s="82"/>
      <c r="C546" s="7"/>
      <c r="D546" s="82"/>
    </row>
    <row r="547">
      <c r="B547" s="82"/>
      <c r="C547" s="7"/>
      <c r="D547" s="82"/>
    </row>
    <row r="548">
      <c r="B548" s="82"/>
      <c r="C548" s="7"/>
      <c r="D548" s="82"/>
    </row>
    <row r="549">
      <c r="B549" s="82"/>
      <c r="C549" s="7"/>
      <c r="D549" s="82"/>
    </row>
    <row r="550">
      <c r="B550" s="82"/>
      <c r="C550" s="7"/>
      <c r="D550" s="82"/>
    </row>
    <row r="551">
      <c r="B551" s="82"/>
      <c r="C551" s="7"/>
      <c r="D551" s="82"/>
    </row>
    <row r="552">
      <c r="B552" s="82"/>
      <c r="C552" s="7"/>
      <c r="D552" s="82"/>
    </row>
    <row r="553">
      <c r="B553" s="82"/>
      <c r="C553" s="7"/>
      <c r="D553" s="82"/>
    </row>
    <row r="554">
      <c r="B554" s="82"/>
      <c r="C554" s="7"/>
      <c r="D554" s="82"/>
    </row>
    <row r="555">
      <c r="B555" s="82"/>
      <c r="C555" s="7"/>
      <c r="D555" s="82"/>
    </row>
    <row r="556">
      <c r="B556" s="82"/>
      <c r="C556" s="7"/>
      <c r="D556" s="82"/>
    </row>
    <row r="557">
      <c r="B557" s="82"/>
      <c r="C557" s="7"/>
      <c r="D557" s="82"/>
    </row>
    <row r="558">
      <c r="B558" s="82"/>
      <c r="C558" s="7"/>
      <c r="D558" s="82"/>
    </row>
    <row r="559">
      <c r="B559" s="82"/>
      <c r="C559" s="7"/>
      <c r="D559" s="82"/>
    </row>
    <row r="560">
      <c r="B560" s="82"/>
      <c r="C560" s="7"/>
      <c r="D560" s="82"/>
    </row>
    <row r="561">
      <c r="B561" s="82"/>
      <c r="C561" s="7"/>
      <c r="D561" s="82"/>
    </row>
    <row r="562">
      <c r="B562" s="82"/>
      <c r="C562" s="7"/>
      <c r="D562" s="82"/>
    </row>
    <row r="563">
      <c r="B563" s="82"/>
      <c r="C563" s="7"/>
      <c r="D563" s="82"/>
    </row>
    <row r="564">
      <c r="B564" s="82"/>
      <c r="C564" s="7"/>
      <c r="D564" s="82"/>
    </row>
    <row r="565">
      <c r="B565" s="82"/>
      <c r="C565" s="7"/>
      <c r="D565" s="82"/>
    </row>
    <row r="566">
      <c r="B566" s="82"/>
      <c r="C566" s="7"/>
      <c r="D566" s="82"/>
    </row>
    <row r="567">
      <c r="B567" s="82"/>
      <c r="C567" s="7"/>
      <c r="D567" s="82"/>
    </row>
    <row r="568">
      <c r="B568" s="82"/>
      <c r="C568" s="7"/>
      <c r="D568" s="82"/>
    </row>
    <row r="569">
      <c r="B569" s="82"/>
      <c r="C569" s="7"/>
      <c r="D569" s="82"/>
    </row>
    <row r="570">
      <c r="B570" s="82"/>
      <c r="C570" s="7"/>
      <c r="D570" s="82"/>
    </row>
    <row r="571">
      <c r="B571" s="82"/>
      <c r="C571" s="7"/>
      <c r="D571" s="82"/>
    </row>
    <row r="572">
      <c r="B572" s="82"/>
      <c r="C572" s="7"/>
      <c r="D572" s="82"/>
    </row>
    <row r="573">
      <c r="B573" s="82"/>
      <c r="C573" s="7"/>
      <c r="D573" s="82"/>
    </row>
    <row r="574">
      <c r="B574" s="82"/>
      <c r="C574" s="7"/>
      <c r="D574" s="82"/>
    </row>
    <row r="575">
      <c r="B575" s="82"/>
      <c r="C575" s="7"/>
      <c r="D575" s="82"/>
    </row>
    <row r="576">
      <c r="B576" s="82"/>
      <c r="C576" s="7"/>
      <c r="D576" s="82"/>
    </row>
    <row r="577">
      <c r="B577" s="82"/>
      <c r="C577" s="7"/>
      <c r="D577" s="82"/>
    </row>
    <row r="578">
      <c r="B578" s="82"/>
      <c r="C578" s="7"/>
      <c r="D578" s="82"/>
    </row>
    <row r="579">
      <c r="B579" s="82"/>
      <c r="C579" s="7"/>
      <c r="D579" s="82"/>
    </row>
    <row r="580">
      <c r="B580" s="82"/>
      <c r="C580" s="7"/>
      <c r="D580" s="82"/>
    </row>
    <row r="581">
      <c r="B581" s="82"/>
      <c r="C581" s="7"/>
      <c r="D581" s="82"/>
    </row>
    <row r="582">
      <c r="B582" s="82"/>
      <c r="C582" s="7"/>
      <c r="D582" s="82"/>
    </row>
    <row r="583">
      <c r="B583" s="82"/>
      <c r="C583" s="7"/>
      <c r="D583" s="82"/>
    </row>
    <row r="584">
      <c r="B584" s="82"/>
      <c r="C584" s="7"/>
      <c r="D584" s="82"/>
    </row>
    <row r="585">
      <c r="B585" s="82"/>
      <c r="C585" s="7"/>
      <c r="D585" s="82"/>
    </row>
    <row r="586">
      <c r="B586" s="82"/>
      <c r="C586" s="7"/>
      <c r="D586" s="82"/>
    </row>
    <row r="587">
      <c r="B587" s="82"/>
      <c r="C587" s="7"/>
      <c r="D587" s="82"/>
    </row>
    <row r="588">
      <c r="B588" s="82"/>
      <c r="C588" s="7"/>
      <c r="D588" s="82"/>
    </row>
    <row r="589">
      <c r="B589" s="82"/>
      <c r="C589" s="7"/>
      <c r="D589" s="82"/>
    </row>
    <row r="590">
      <c r="B590" s="82"/>
      <c r="C590" s="7"/>
      <c r="D590" s="82"/>
    </row>
    <row r="591">
      <c r="B591" s="82"/>
      <c r="C591" s="7"/>
      <c r="D591" s="82"/>
    </row>
    <row r="592">
      <c r="B592" s="82"/>
      <c r="C592" s="7"/>
      <c r="D592" s="82"/>
    </row>
    <row r="593">
      <c r="B593" s="82"/>
      <c r="C593" s="7"/>
      <c r="D593" s="82"/>
    </row>
    <row r="594">
      <c r="B594" s="82"/>
      <c r="C594" s="7"/>
      <c r="D594" s="82"/>
    </row>
    <row r="595">
      <c r="B595" s="82"/>
      <c r="C595" s="7"/>
      <c r="D595" s="82"/>
    </row>
    <row r="596">
      <c r="B596" s="82"/>
      <c r="C596" s="7"/>
      <c r="D596" s="82"/>
    </row>
    <row r="597">
      <c r="B597" s="82"/>
      <c r="C597" s="7"/>
      <c r="D597" s="82"/>
    </row>
    <row r="598">
      <c r="B598" s="82"/>
      <c r="C598" s="7"/>
      <c r="D598" s="82"/>
    </row>
    <row r="599">
      <c r="B599" s="82"/>
      <c r="C599" s="7"/>
      <c r="D599" s="82"/>
    </row>
    <row r="600">
      <c r="B600" s="82"/>
      <c r="C600" s="7"/>
      <c r="D600" s="82"/>
    </row>
    <row r="601">
      <c r="B601" s="82"/>
      <c r="C601" s="7"/>
      <c r="D601" s="82"/>
    </row>
    <row r="602">
      <c r="B602" s="82"/>
      <c r="C602" s="7"/>
      <c r="D602" s="82"/>
    </row>
    <row r="603">
      <c r="B603" s="82"/>
      <c r="C603" s="7"/>
      <c r="D603" s="82"/>
    </row>
    <row r="604">
      <c r="B604" s="82"/>
      <c r="C604" s="7"/>
      <c r="D604" s="82"/>
    </row>
    <row r="605">
      <c r="B605" s="82"/>
      <c r="C605" s="7"/>
      <c r="D605" s="82"/>
    </row>
    <row r="606">
      <c r="B606" s="82"/>
      <c r="C606" s="7"/>
      <c r="D606" s="82"/>
    </row>
    <row r="607">
      <c r="B607" s="82"/>
      <c r="C607" s="7"/>
      <c r="D607" s="82"/>
    </row>
    <row r="608">
      <c r="B608" s="82"/>
      <c r="C608" s="7"/>
      <c r="D608" s="82"/>
    </row>
    <row r="609">
      <c r="B609" s="82"/>
      <c r="C609" s="7"/>
      <c r="D609" s="82"/>
    </row>
    <row r="610">
      <c r="B610" s="82"/>
      <c r="C610" s="7"/>
      <c r="D610" s="82"/>
    </row>
    <row r="611">
      <c r="B611" s="82"/>
      <c r="C611" s="7"/>
      <c r="D611" s="82"/>
    </row>
    <row r="612">
      <c r="B612" s="82"/>
      <c r="C612" s="7"/>
      <c r="D612" s="82"/>
    </row>
    <row r="613">
      <c r="B613" s="82"/>
      <c r="C613" s="7"/>
      <c r="D613" s="82"/>
    </row>
    <row r="614">
      <c r="B614" s="82"/>
      <c r="C614" s="7"/>
      <c r="D614" s="82"/>
    </row>
    <row r="615">
      <c r="B615" s="82"/>
      <c r="C615" s="7"/>
      <c r="D615" s="82"/>
    </row>
    <row r="616">
      <c r="B616" s="82"/>
      <c r="C616" s="7"/>
      <c r="D616" s="82"/>
    </row>
    <row r="617">
      <c r="B617" s="82"/>
      <c r="C617" s="7"/>
      <c r="D617" s="82"/>
    </row>
    <row r="618">
      <c r="B618" s="82"/>
      <c r="C618" s="7"/>
      <c r="D618" s="82"/>
    </row>
    <row r="619">
      <c r="B619" s="82"/>
      <c r="C619" s="7"/>
      <c r="D619" s="82"/>
    </row>
    <row r="620">
      <c r="B620" s="82"/>
      <c r="C620" s="7"/>
      <c r="D620" s="82"/>
    </row>
    <row r="621">
      <c r="B621" s="82"/>
      <c r="C621" s="7"/>
      <c r="D621" s="82"/>
    </row>
    <row r="622">
      <c r="B622" s="82"/>
      <c r="C622" s="7"/>
      <c r="D622" s="82"/>
    </row>
    <row r="623">
      <c r="B623" s="82"/>
      <c r="C623" s="7"/>
      <c r="D623" s="82"/>
    </row>
    <row r="624">
      <c r="B624" s="82"/>
      <c r="C624" s="7"/>
      <c r="D624" s="82"/>
    </row>
    <row r="625">
      <c r="B625" s="82"/>
      <c r="C625" s="7"/>
      <c r="D625" s="82"/>
    </row>
    <row r="626">
      <c r="B626" s="82"/>
      <c r="C626" s="7"/>
      <c r="D626" s="82"/>
    </row>
    <row r="627">
      <c r="B627" s="82"/>
      <c r="C627" s="7"/>
      <c r="D627" s="82"/>
    </row>
    <row r="628">
      <c r="B628" s="82"/>
      <c r="C628" s="7"/>
      <c r="D628" s="82"/>
    </row>
    <row r="629">
      <c r="B629" s="82"/>
      <c r="C629" s="7"/>
      <c r="D629" s="82"/>
    </row>
    <row r="630">
      <c r="B630" s="82"/>
      <c r="C630" s="7"/>
      <c r="D630" s="82"/>
    </row>
    <row r="631">
      <c r="B631" s="82"/>
      <c r="C631" s="7"/>
      <c r="D631" s="82"/>
    </row>
    <row r="632">
      <c r="B632" s="82"/>
      <c r="C632" s="7"/>
      <c r="D632" s="82"/>
    </row>
    <row r="633">
      <c r="B633" s="82"/>
      <c r="C633" s="7"/>
      <c r="D633" s="82"/>
    </row>
    <row r="634">
      <c r="B634" s="82"/>
      <c r="C634" s="7"/>
      <c r="D634" s="82"/>
    </row>
    <row r="635">
      <c r="B635" s="82"/>
      <c r="C635" s="7"/>
      <c r="D635" s="82"/>
    </row>
    <row r="636">
      <c r="B636" s="82"/>
      <c r="C636" s="7"/>
      <c r="D636" s="82"/>
    </row>
    <row r="637">
      <c r="B637" s="82"/>
      <c r="C637" s="7"/>
      <c r="D637" s="82"/>
    </row>
    <row r="638">
      <c r="B638" s="82"/>
      <c r="C638" s="7"/>
      <c r="D638" s="82"/>
    </row>
    <row r="639">
      <c r="B639" s="82"/>
      <c r="C639" s="7"/>
      <c r="D639" s="82"/>
    </row>
    <row r="640">
      <c r="B640" s="82"/>
      <c r="C640" s="7"/>
      <c r="D640" s="82"/>
    </row>
    <row r="641">
      <c r="B641" s="82"/>
      <c r="C641" s="7"/>
      <c r="D641" s="82"/>
    </row>
    <row r="642">
      <c r="B642" s="82"/>
      <c r="C642" s="7"/>
      <c r="D642" s="82"/>
    </row>
    <row r="643">
      <c r="B643" s="82"/>
      <c r="C643" s="7"/>
      <c r="D643" s="82"/>
    </row>
    <row r="644">
      <c r="B644" s="82"/>
      <c r="C644" s="7"/>
      <c r="D644" s="82"/>
    </row>
    <row r="645">
      <c r="B645" s="82"/>
      <c r="C645" s="7"/>
      <c r="D645" s="82"/>
    </row>
    <row r="646">
      <c r="B646" s="82"/>
      <c r="C646" s="7"/>
      <c r="D646" s="82"/>
    </row>
    <row r="647">
      <c r="B647" s="82"/>
      <c r="C647" s="7"/>
      <c r="D647" s="82"/>
    </row>
    <row r="648">
      <c r="B648" s="82"/>
      <c r="C648" s="7"/>
      <c r="D648" s="82"/>
    </row>
    <row r="649">
      <c r="B649" s="82"/>
      <c r="C649" s="7"/>
      <c r="D649" s="82"/>
    </row>
    <row r="650">
      <c r="B650" s="82"/>
      <c r="C650" s="7"/>
      <c r="D650" s="82"/>
    </row>
    <row r="651">
      <c r="B651" s="82"/>
      <c r="C651" s="7"/>
      <c r="D651" s="82"/>
    </row>
    <row r="652">
      <c r="B652" s="82"/>
      <c r="C652" s="7"/>
      <c r="D652" s="82"/>
    </row>
    <row r="653">
      <c r="B653" s="82"/>
      <c r="C653" s="7"/>
      <c r="D653" s="82"/>
    </row>
    <row r="654">
      <c r="B654" s="82"/>
      <c r="C654" s="7"/>
      <c r="D654" s="82"/>
    </row>
    <row r="655">
      <c r="B655" s="82"/>
      <c r="C655" s="7"/>
      <c r="D655" s="82"/>
    </row>
    <row r="656">
      <c r="B656" s="82"/>
      <c r="C656" s="7"/>
      <c r="D656" s="82"/>
    </row>
    <row r="657">
      <c r="B657" s="82"/>
      <c r="C657" s="7"/>
      <c r="D657" s="82"/>
    </row>
    <row r="658">
      <c r="B658" s="82"/>
      <c r="C658" s="7"/>
      <c r="D658" s="82"/>
    </row>
    <row r="659">
      <c r="B659" s="82"/>
      <c r="C659" s="7"/>
      <c r="D659" s="82"/>
    </row>
    <row r="660">
      <c r="B660" s="82"/>
      <c r="C660" s="7"/>
      <c r="D660" s="82"/>
    </row>
    <row r="661">
      <c r="B661" s="82"/>
      <c r="C661" s="7"/>
      <c r="D661" s="82"/>
    </row>
    <row r="662">
      <c r="B662" s="82"/>
      <c r="C662" s="7"/>
      <c r="D662" s="82"/>
    </row>
    <row r="663">
      <c r="B663" s="82"/>
      <c r="C663" s="7"/>
      <c r="D663" s="82"/>
    </row>
    <row r="664">
      <c r="B664" s="82"/>
      <c r="C664" s="7"/>
      <c r="D664" s="82"/>
    </row>
    <row r="665">
      <c r="B665" s="82"/>
      <c r="C665" s="7"/>
      <c r="D665" s="82"/>
    </row>
    <row r="666">
      <c r="B666" s="82"/>
      <c r="C666" s="7"/>
      <c r="D666" s="82"/>
    </row>
    <row r="667">
      <c r="B667" s="82"/>
      <c r="C667" s="7"/>
      <c r="D667" s="82"/>
    </row>
    <row r="668">
      <c r="B668" s="82"/>
      <c r="C668" s="7"/>
      <c r="D668" s="82"/>
    </row>
    <row r="669">
      <c r="B669" s="82"/>
      <c r="C669" s="7"/>
      <c r="D669" s="82"/>
    </row>
    <row r="670">
      <c r="B670" s="82"/>
      <c r="C670" s="7"/>
      <c r="D670" s="82"/>
    </row>
    <row r="671">
      <c r="B671" s="82"/>
      <c r="C671" s="7"/>
      <c r="D671" s="82"/>
    </row>
    <row r="672">
      <c r="B672" s="82"/>
      <c r="C672" s="7"/>
      <c r="D672" s="82"/>
    </row>
    <row r="673">
      <c r="B673" s="82"/>
      <c r="C673" s="7"/>
      <c r="D673" s="82"/>
    </row>
    <row r="674">
      <c r="B674" s="82"/>
      <c r="C674" s="7"/>
      <c r="D674" s="82"/>
    </row>
    <row r="675">
      <c r="B675" s="82"/>
      <c r="C675" s="7"/>
      <c r="D675" s="82"/>
    </row>
    <row r="676">
      <c r="B676" s="82"/>
      <c r="C676" s="7"/>
      <c r="D676" s="82"/>
    </row>
    <row r="677">
      <c r="B677" s="82"/>
      <c r="C677" s="7"/>
      <c r="D677" s="82"/>
    </row>
    <row r="678">
      <c r="B678" s="82"/>
      <c r="C678" s="7"/>
      <c r="D678" s="82"/>
    </row>
    <row r="679">
      <c r="B679" s="82"/>
      <c r="C679" s="7"/>
      <c r="D679" s="82"/>
    </row>
    <row r="680">
      <c r="B680" s="82"/>
      <c r="C680" s="7"/>
      <c r="D680" s="82"/>
    </row>
    <row r="681">
      <c r="B681" s="82"/>
      <c r="C681" s="7"/>
      <c r="D681" s="82"/>
    </row>
    <row r="682">
      <c r="B682" s="82"/>
      <c r="C682" s="7"/>
      <c r="D682" s="82"/>
    </row>
    <row r="683">
      <c r="B683" s="82"/>
      <c r="C683" s="7"/>
      <c r="D683" s="82"/>
    </row>
    <row r="684">
      <c r="B684" s="82"/>
      <c r="C684" s="7"/>
      <c r="D684" s="82"/>
    </row>
    <row r="685">
      <c r="B685" s="82"/>
      <c r="C685" s="7"/>
      <c r="D685" s="82"/>
    </row>
    <row r="686">
      <c r="B686" s="82"/>
      <c r="C686" s="7"/>
      <c r="D686" s="82"/>
    </row>
    <row r="687">
      <c r="B687" s="82"/>
      <c r="C687" s="7"/>
      <c r="D687" s="82"/>
    </row>
    <row r="688">
      <c r="B688" s="82"/>
      <c r="C688" s="7"/>
      <c r="D688" s="82"/>
    </row>
    <row r="689">
      <c r="B689" s="82"/>
      <c r="C689" s="7"/>
      <c r="D689" s="82"/>
    </row>
    <row r="690">
      <c r="B690" s="82"/>
      <c r="C690" s="7"/>
      <c r="D690" s="82"/>
    </row>
    <row r="691">
      <c r="B691" s="82"/>
      <c r="C691" s="7"/>
      <c r="D691" s="82"/>
    </row>
    <row r="692">
      <c r="B692" s="82"/>
      <c r="C692" s="7"/>
      <c r="D692" s="82"/>
    </row>
    <row r="693">
      <c r="B693" s="82"/>
      <c r="C693" s="7"/>
      <c r="D693" s="82"/>
    </row>
    <row r="694">
      <c r="B694" s="82"/>
      <c r="C694" s="7"/>
      <c r="D694" s="82"/>
    </row>
    <row r="695">
      <c r="B695" s="82"/>
      <c r="C695" s="7"/>
      <c r="D695" s="82"/>
    </row>
    <row r="696">
      <c r="B696" s="82"/>
      <c r="C696" s="7"/>
      <c r="D696" s="82"/>
    </row>
    <row r="697">
      <c r="B697" s="82"/>
      <c r="C697" s="7"/>
      <c r="D697" s="82"/>
    </row>
    <row r="698">
      <c r="B698" s="82"/>
      <c r="C698" s="7"/>
      <c r="D698" s="82"/>
    </row>
    <row r="699">
      <c r="B699" s="82"/>
      <c r="C699" s="7"/>
      <c r="D699" s="82"/>
    </row>
    <row r="700">
      <c r="B700" s="82"/>
      <c r="C700" s="7"/>
      <c r="D700" s="82"/>
    </row>
    <row r="701">
      <c r="B701" s="82"/>
      <c r="C701" s="7"/>
      <c r="D701" s="82"/>
    </row>
    <row r="702">
      <c r="B702" s="82"/>
      <c r="C702" s="7"/>
      <c r="D702" s="82"/>
    </row>
    <row r="703">
      <c r="B703" s="82"/>
      <c r="C703" s="7"/>
      <c r="D703" s="82"/>
    </row>
    <row r="704">
      <c r="B704" s="82"/>
      <c r="C704" s="7"/>
      <c r="D704" s="82"/>
    </row>
    <row r="705">
      <c r="B705" s="82"/>
      <c r="C705" s="7"/>
      <c r="D705" s="82"/>
    </row>
    <row r="706">
      <c r="B706" s="82"/>
      <c r="C706" s="7"/>
      <c r="D706" s="82"/>
    </row>
    <row r="707">
      <c r="B707" s="82"/>
      <c r="C707" s="7"/>
      <c r="D707" s="82"/>
    </row>
    <row r="708">
      <c r="B708" s="82"/>
      <c r="C708" s="7"/>
      <c r="D708" s="82"/>
    </row>
    <row r="709">
      <c r="B709" s="82"/>
      <c r="C709" s="7"/>
      <c r="D709" s="82"/>
    </row>
    <row r="710">
      <c r="B710" s="82"/>
      <c r="C710" s="7"/>
      <c r="D710" s="82"/>
    </row>
    <row r="711">
      <c r="B711" s="82"/>
      <c r="C711" s="7"/>
      <c r="D711" s="82"/>
    </row>
    <row r="712">
      <c r="B712" s="82"/>
      <c r="C712" s="7"/>
      <c r="D712" s="82"/>
    </row>
    <row r="713">
      <c r="B713" s="82"/>
      <c r="C713" s="7"/>
      <c r="D713" s="82"/>
    </row>
    <row r="714">
      <c r="B714" s="82"/>
      <c r="C714" s="7"/>
      <c r="D714" s="82"/>
    </row>
    <row r="715">
      <c r="B715" s="82"/>
      <c r="C715" s="7"/>
      <c r="D715" s="82"/>
    </row>
    <row r="716">
      <c r="B716" s="82"/>
      <c r="C716" s="7"/>
      <c r="D716" s="82"/>
    </row>
    <row r="717">
      <c r="B717" s="82"/>
      <c r="C717" s="7"/>
      <c r="D717" s="82"/>
    </row>
    <row r="718">
      <c r="B718" s="82"/>
      <c r="C718" s="7"/>
      <c r="D718" s="82"/>
    </row>
    <row r="719">
      <c r="B719" s="82"/>
      <c r="C719" s="7"/>
      <c r="D719" s="82"/>
    </row>
    <row r="720">
      <c r="B720" s="82"/>
      <c r="C720" s="7"/>
      <c r="D720" s="82"/>
    </row>
    <row r="721">
      <c r="B721" s="82"/>
      <c r="C721" s="7"/>
      <c r="D721" s="82"/>
    </row>
    <row r="722">
      <c r="B722" s="82"/>
      <c r="C722" s="7"/>
      <c r="D722" s="82"/>
    </row>
    <row r="723">
      <c r="B723" s="82"/>
      <c r="C723" s="7"/>
      <c r="D723" s="82"/>
    </row>
    <row r="724">
      <c r="B724" s="82"/>
      <c r="C724" s="7"/>
      <c r="D724" s="82"/>
    </row>
    <row r="725">
      <c r="B725" s="82"/>
      <c r="C725" s="7"/>
      <c r="D725" s="82"/>
    </row>
    <row r="726">
      <c r="B726" s="82"/>
      <c r="C726" s="7"/>
      <c r="D726" s="82"/>
    </row>
    <row r="727">
      <c r="B727" s="82"/>
      <c r="C727" s="7"/>
      <c r="D727" s="82"/>
    </row>
    <row r="728">
      <c r="B728" s="82"/>
      <c r="C728" s="7"/>
      <c r="D728" s="82"/>
    </row>
    <row r="729">
      <c r="B729" s="82"/>
      <c r="C729" s="7"/>
      <c r="D729" s="82"/>
    </row>
    <row r="730">
      <c r="B730" s="82"/>
      <c r="C730" s="7"/>
      <c r="D730" s="82"/>
    </row>
    <row r="731">
      <c r="B731" s="82"/>
      <c r="C731" s="7"/>
      <c r="D731" s="82"/>
    </row>
    <row r="732">
      <c r="B732" s="82"/>
      <c r="C732" s="7"/>
      <c r="D732" s="82"/>
    </row>
    <row r="733">
      <c r="B733" s="82"/>
      <c r="C733" s="7"/>
      <c r="D733" s="82"/>
    </row>
    <row r="734">
      <c r="B734" s="82"/>
      <c r="C734" s="7"/>
      <c r="D734" s="82"/>
    </row>
    <row r="735">
      <c r="B735" s="82"/>
      <c r="C735" s="7"/>
      <c r="D735" s="82"/>
    </row>
    <row r="736">
      <c r="B736" s="82"/>
      <c r="C736" s="7"/>
      <c r="D736" s="82"/>
    </row>
    <row r="737">
      <c r="B737" s="82"/>
      <c r="C737" s="7"/>
      <c r="D737" s="82"/>
    </row>
    <row r="738">
      <c r="B738" s="82"/>
      <c r="C738" s="7"/>
      <c r="D738" s="82"/>
    </row>
    <row r="739">
      <c r="B739" s="82"/>
      <c r="C739" s="7"/>
      <c r="D739" s="82"/>
    </row>
    <row r="740">
      <c r="B740" s="82"/>
      <c r="C740" s="7"/>
      <c r="D740" s="82"/>
    </row>
    <row r="741">
      <c r="B741" s="82"/>
      <c r="C741" s="7"/>
      <c r="D741" s="82"/>
    </row>
    <row r="742">
      <c r="B742" s="82"/>
      <c r="C742" s="7"/>
      <c r="D742" s="82"/>
    </row>
    <row r="743">
      <c r="B743" s="82"/>
      <c r="C743" s="7"/>
      <c r="D743" s="82"/>
    </row>
    <row r="744">
      <c r="B744" s="82"/>
      <c r="C744" s="7"/>
      <c r="D744" s="82"/>
    </row>
    <row r="745">
      <c r="B745" s="82"/>
      <c r="C745" s="7"/>
      <c r="D745" s="82"/>
    </row>
    <row r="746">
      <c r="B746" s="82"/>
      <c r="C746" s="7"/>
      <c r="D746" s="82"/>
    </row>
    <row r="747">
      <c r="B747" s="82"/>
      <c r="C747" s="7"/>
      <c r="D747" s="82"/>
    </row>
    <row r="748">
      <c r="B748" s="82"/>
      <c r="C748" s="7"/>
      <c r="D748" s="82"/>
    </row>
    <row r="749">
      <c r="B749" s="82"/>
      <c r="C749" s="7"/>
      <c r="D749" s="82"/>
    </row>
    <row r="750">
      <c r="B750" s="82"/>
      <c r="C750" s="7"/>
      <c r="D750" s="82"/>
    </row>
    <row r="751">
      <c r="B751" s="82"/>
      <c r="C751" s="7"/>
      <c r="D751" s="82"/>
    </row>
    <row r="752">
      <c r="B752" s="82"/>
      <c r="C752" s="7"/>
      <c r="D752" s="82"/>
    </row>
    <row r="753">
      <c r="B753" s="82"/>
      <c r="C753" s="7"/>
      <c r="D753" s="82"/>
    </row>
    <row r="754">
      <c r="B754" s="82"/>
      <c r="C754" s="7"/>
      <c r="D754" s="82"/>
    </row>
    <row r="755">
      <c r="B755" s="82"/>
      <c r="C755" s="7"/>
      <c r="D755" s="82"/>
    </row>
    <row r="756">
      <c r="B756" s="82"/>
      <c r="C756" s="7"/>
      <c r="D756" s="82"/>
    </row>
    <row r="757">
      <c r="B757" s="82"/>
      <c r="C757" s="7"/>
      <c r="D757" s="82"/>
    </row>
    <row r="758">
      <c r="B758" s="82"/>
      <c r="C758" s="7"/>
      <c r="D758" s="82"/>
    </row>
    <row r="759">
      <c r="B759" s="82"/>
      <c r="C759" s="7"/>
      <c r="D759" s="82"/>
    </row>
    <row r="760">
      <c r="B760" s="82"/>
      <c r="C760" s="7"/>
      <c r="D760" s="82"/>
    </row>
    <row r="761">
      <c r="B761" s="82"/>
      <c r="C761" s="7"/>
      <c r="D761" s="82"/>
    </row>
    <row r="762">
      <c r="B762" s="82"/>
      <c r="C762" s="7"/>
      <c r="D762" s="82"/>
    </row>
    <row r="763">
      <c r="B763" s="82"/>
      <c r="C763" s="7"/>
      <c r="D763" s="82"/>
    </row>
    <row r="764">
      <c r="B764" s="82"/>
      <c r="C764" s="7"/>
      <c r="D764" s="82"/>
    </row>
    <row r="765">
      <c r="B765" s="82"/>
      <c r="C765" s="7"/>
      <c r="D765" s="82"/>
    </row>
    <row r="766">
      <c r="B766" s="82"/>
      <c r="C766" s="7"/>
      <c r="D766" s="82"/>
    </row>
    <row r="767">
      <c r="B767" s="82"/>
      <c r="C767" s="7"/>
      <c r="D767" s="82"/>
    </row>
    <row r="768">
      <c r="B768" s="82"/>
      <c r="C768" s="7"/>
      <c r="D768" s="82"/>
    </row>
    <row r="769">
      <c r="B769" s="82"/>
      <c r="C769" s="7"/>
      <c r="D769" s="82"/>
    </row>
    <row r="770">
      <c r="B770" s="82"/>
      <c r="C770" s="7"/>
      <c r="D770" s="82"/>
    </row>
    <row r="771">
      <c r="B771" s="82"/>
      <c r="C771" s="7"/>
      <c r="D771" s="82"/>
    </row>
    <row r="772">
      <c r="B772" s="82"/>
      <c r="C772" s="7"/>
      <c r="D772" s="82"/>
    </row>
    <row r="773">
      <c r="B773" s="82"/>
      <c r="C773" s="7"/>
      <c r="D773" s="82"/>
    </row>
    <row r="774">
      <c r="B774" s="82"/>
      <c r="C774" s="7"/>
      <c r="D774" s="82"/>
    </row>
    <row r="775">
      <c r="B775" s="82"/>
      <c r="C775" s="7"/>
      <c r="D775" s="82"/>
    </row>
    <row r="776">
      <c r="B776" s="82"/>
      <c r="C776" s="7"/>
      <c r="D776" s="82"/>
    </row>
    <row r="777">
      <c r="B777" s="82"/>
      <c r="C777" s="7"/>
      <c r="D777" s="82"/>
    </row>
    <row r="778">
      <c r="B778" s="82"/>
      <c r="C778" s="7"/>
      <c r="D778" s="82"/>
    </row>
    <row r="779">
      <c r="B779" s="82"/>
      <c r="C779" s="7"/>
      <c r="D779" s="82"/>
    </row>
    <row r="780">
      <c r="B780" s="82"/>
      <c r="C780" s="7"/>
      <c r="D780" s="82"/>
    </row>
    <row r="781">
      <c r="B781" s="82"/>
      <c r="C781" s="7"/>
      <c r="D781" s="82"/>
    </row>
    <row r="782">
      <c r="B782" s="82"/>
      <c r="C782" s="7"/>
      <c r="D782" s="82"/>
    </row>
    <row r="783">
      <c r="B783" s="82"/>
      <c r="C783" s="7"/>
      <c r="D783" s="82"/>
    </row>
    <row r="784">
      <c r="B784" s="82"/>
      <c r="C784" s="7"/>
      <c r="D784" s="82"/>
    </row>
    <row r="785">
      <c r="B785" s="82"/>
      <c r="C785" s="7"/>
      <c r="D785" s="82"/>
    </row>
    <row r="786">
      <c r="B786" s="82"/>
      <c r="C786" s="7"/>
      <c r="D786" s="82"/>
    </row>
    <row r="787">
      <c r="B787" s="82"/>
      <c r="C787" s="7"/>
      <c r="D787" s="82"/>
    </row>
    <row r="788">
      <c r="B788" s="82"/>
      <c r="C788" s="7"/>
      <c r="D788" s="82"/>
    </row>
    <row r="789">
      <c r="B789" s="82"/>
      <c r="C789" s="7"/>
      <c r="D789" s="82"/>
    </row>
    <row r="790">
      <c r="B790" s="82"/>
      <c r="C790" s="7"/>
      <c r="D790" s="82"/>
    </row>
    <row r="791">
      <c r="B791" s="82"/>
      <c r="C791" s="7"/>
      <c r="D791" s="82"/>
    </row>
    <row r="792">
      <c r="B792" s="82"/>
      <c r="C792" s="7"/>
      <c r="D792" s="82"/>
    </row>
    <row r="793">
      <c r="B793" s="82"/>
      <c r="C793" s="7"/>
      <c r="D793" s="82"/>
    </row>
    <row r="794">
      <c r="B794" s="82"/>
      <c r="C794" s="7"/>
      <c r="D794" s="82"/>
    </row>
    <row r="795">
      <c r="B795" s="82"/>
      <c r="C795" s="7"/>
      <c r="D795" s="82"/>
    </row>
    <row r="796">
      <c r="B796" s="82"/>
      <c r="C796" s="7"/>
      <c r="D796" s="82"/>
    </row>
    <row r="797">
      <c r="B797" s="82"/>
      <c r="C797" s="7"/>
      <c r="D797" s="82"/>
    </row>
    <row r="798">
      <c r="B798" s="82"/>
      <c r="C798" s="7"/>
      <c r="D798" s="82"/>
    </row>
    <row r="799">
      <c r="B799" s="82"/>
      <c r="C799" s="7"/>
      <c r="D799" s="82"/>
    </row>
    <row r="800">
      <c r="B800" s="82"/>
      <c r="C800" s="7"/>
      <c r="D800" s="82"/>
    </row>
    <row r="801">
      <c r="B801" s="82"/>
      <c r="C801" s="7"/>
      <c r="D801" s="82"/>
    </row>
    <row r="802">
      <c r="B802" s="82"/>
      <c r="C802" s="7"/>
      <c r="D802" s="82"/>
    </row>
    <row r="803">
      <c r="B803" s="82"/>
      <c r="C803" s="7"/>
      <c r="D803" s="82"/>
    </row>
    <row r="804">
      <c r="B804" s="82"/>
      <c r="C804" s="7"/>
      <c r="D804" s="82"/>
    </row>
    <row r="805">
      <c r="B805" s="82"/>
      <c r="C805" s="7"/>
      <c r="D805" s="82"/>
    </row>
    <row r="806">
      <c r="B806" s="82"/>
      <c r="C806" s="7"/>
      <c r="D806" s="82"/>
    </row>
    <row r="807">
      <c r="B807" s="82"/>
      <c r="C807" s="7"/>
      <c r="D807" s="82"/>
    </row>
    <row r="808">
      <c r="B808" s="82"/>
      <c r="C808" s="7"/>
      <c r="D808" s="82"/>
    </row>
    <row r="809">
      <c r="B809" s="82"/>
      <c r="C809" s="7"/>
      <c r="D809" s="82"/>
    </row>
    <row r="810">
      <c r="B810" s="82"/>
      <c r="C810" s="7"/>
      <c r="D810" s="82"/>
    </row>
    <row r="811">
      <c r="B811" s="82"/>
      <c r="C811" s="7"/>
      <c r="D811" s="82"/>
    </row>
    <row r="812">
      <c r="B812" s="82"/>
      <c r="C812" s="7"/>
      <c r="D812" s="82"/>
    </row>
    <row r="813">
      <c r="B813" s="82"/>
      <c r="C813" s="7"/>
      <c r="D813" s="82"/>
    </row>
    <row r="814">
      <c r="B814" s="82"/>
      <c r="C814" s="7"/>
      <c r="D814" s="82"/>
    </row>
    <row r="815">
      <c r="B815" s="82"/>
      <c r="C815" s="7"/>
      <c r="D815" s="82"/>
    </row>
    <row r="816">
      <c r="B816" s="82"/>
      <c r="C816" s="7"/>
      <c r="D816" s="82"/>
    </row>
    <row r="817">
      <c r="B817" s="82"/>
      <c r="C817" s="7"/>
      <c r="D817" s="82"/>
    </row>
    <row r="818">
      <c r="B818" s="82"/>
      <c r="C818" s="7"/>
      <c r="D818" s="82"/>
    </row>
    <row r="819">
      <c r="B819" s="82"/>
      <c r="C819" s="7"/>
      <c r="D819" s="82"/>
    </row>
    <row r="820">
      <c r="B820" s="82"/>
      <c r="C820" s="7"/>
      <c r="D820" s="82"/>
    </row>
    <row r="821">
      <c r="B821" s="82"/>
      <c r="C821" s="7"/>
      <c r="D821" s="82"/>
    </row>
    <row r="822">
      <c r="B822" s="82"/>
      <c r="C822" s="7"/>
      <c r="D822" s="82"/>
    </row>
    <row r="823">
      <c r="B823" s="82"/>
      <c r="C823" s="7"/>
      <c r="D823" s="82"/>
    </row>
    <row r="824">
      <c r="B824" s="82"/>
      <c r="C824" s="7"/>
      <c r="D824" s="82"/>
    </row>
    <row r="825">
      <c r="B825" s="82"/>
      <c r="C825" s="7"/>
      <c r="D825" s="82"/>
    </row>
    <row r="826">
      <c r="B826" s="82"/>
      <c r="C826" s="7"/>
      <c r="D826" s="82"/>
    </row>
    <row r="827">
      <c r="B827" s="82"/>
      <c r="C827" s="7"/>
      <c r="D827" s="82"/>
    </row>
    <row r="828">
      <c r="B828" s="82"/>
      <c r="C828" s="7"/>
      <c r="D828" s="82"/>
    </row>
    <row r="829">
      <c r="B829" s="82"/>
      <c r="C829" s="7"/>
      <c r="D829" s="82"/>
    </row>
    <row r="830">
      <c r="B830" s="82"/>
      <c r="C830" s="7"/>
      <c r="D830" s="82"/>
    </row>
    <row r="831">
      <c r="B831" s="82"/>
      <c r="C831" s="7"/>
      <c r="D831" s="82"/>
    </row>
    <row r="832">
      <c r="B832" s="82"/>
      <c r="C832" s="7"/>
      <c r="D832" s="82"/>
    </row>
    <row r="833">
      <c r="B833" s="82"/>
      <c r="C833" s="7"/>
      <c r="D833" s="82"/>
    </row>
    <row r="834">
      <c r="B834" s="82"/>
      <c r="C834" s="7"/>
      <c r="D834" s="82"/>
    </row>
    <row r="835">
      <c r="B835" s="82"/>
      <c r="C835" s="7"/>
      <c r="D835" s="82"/>
    </row>
    <row r="836">
      <c r="B836" s="82"/>
      <c r="C836" s="7"/>
      <c r="D836" s="82"/>
    </row>
    <row r="837">
      <c r="B837" s="82"/>
      <c r="C837" s="7"/>
      <c r="D837" s="82"/>
    </row>
    <row r="838">
      <c r="B838" s="82"/>
      <c r="C838" s="7"/>
      <c r="D838" s="82"/>
    </row>
    <row r="839">
      <c r="B839" s="82"/>
      <c r="C839" s="7"/>
      <c r="D839" s="82"/>
    </row>
    <row r="840">
      <c r="B840" s="82"/>
      <c r="C840" s="7"/>
      <c r="D840" s="82"/>
    </row>
    <row r="841">
      <c r="B841" s="82"/>
      <c r="C841" s="7"/>
      <c r="D841" s="82"/>
    </row>
    <row r="842">
      <c r="B842" s="82"/>
      <c r="C842" s="7"/>
      <c r="D842" s="82"/>
    </row>
    <row r="843">
      <c r="B843" s="82"/>
      <c r="C843" s="7"/>
      <c r="D843" s="82"/>
    </row>
    <row r="844">
      <c r="B844" s="82"/>
      <c r="C844" s="7"/>
      <c r="D844" s="82"/>
    </row>
    <row r="845">
      <c r="B845" s="82"/>
      <c r="C845" s="7"/>
      <c r="D845" s="82"/>
    </row>
    <row r="846">
      <c r="B846" s="82"/>
      <c r="C846" s="7"/>
      <c r="D846" s="82"/>
    </row>
    <row r="847">
      <c r="B847" s="82"/>
      <c r="C847" s="7"/>
      <c r="D847" s="82"/>
    </row>
    <row r="848">
      <c r="B848" s="82"/>
      <c r="C848" s="7"/>
      <c r="D848" s="82"/>
    </row>
    <row r="849">
      <c r="B849" s="82"/>
      <c r="C849" s="7"/>
      <c r="D849" s="82"/>
    </row>
    <row r="850">
      <c r="B850" s="82"/>
      <c r="C850" s="7"/>
      <c r="D850" s="82"/>
    </row>
    <row r="851">
      <c r="B851" s="82"/>
      <c r="C851" s="7"/>
      <c r="D851" s="82"/>
    </row>
    <row r="852">
      <c r="B852" s="82"/>
      <c r="C852" s="7"/>
      <c r="D852" s="82"/>
    </row>
    <row r="853">
      <c r="B853" s="82"/>
      <c r="C853" s="7"/>
      <c r="D853" s="82"/>
    </row>
    <row r="854">
      <c r="B854" s="82"/>
      <c r="C854" s="7"/>
      <c r="D854" s="82"/>
    </row>
    <row r="855">
      <c r="B855" s="82"/>
      <c r="C855" s="7"/>
      <c r="D855" s="82"/>
    </row>
    <row r="856">
      <c r="B856" s="82"/>
      <c r="C856" s="7"/>
      <c r="D856" s="82"/>
    </row>
    <row r="857">
      <c r="B857" s="82"/>
      <c r="C857" s="7"/>
      <c r="D857" s="82"/>
    </row>
    <row r="858">
      <c r="B858" s="82"/>
      <c r="C858" s="7"/>
      <c r="D858" s="82"/>
    </row>
    <row r="859">
      <c r="B859" s="82"/>
      <c r="C859" s="7"/>
      <c r="D859" s="82"/>
    </row>
    <row r="860">
      <c r="B860" s="82"/>
      <c r="C860" s="7"/>
      <c r="D860" s="82"/>
    </row>
    <row r="861">
      <c r="B861" s="82"/>
      <c r="C861" s="7"/>
      <c r="D861" s="82"/>
    </row>
    <row r="862">
      <c r="B862" s="82"/>
      <c r="C862" s="7"/>
      <c r="D862" s="82"/>
    </row>
    <row r="863">
      <c r="B863" s="82"/>
      <c r="C863" s="7"/>
      <c r="D863" s="82"/>
    </row>
    <row r="864">
      <c r="B864" s="82"/>
      <c r="C864" s="7"/>
      <c r="D864" s="82"/>
    </row>
    <row r="865">
      <c r="B865" s="82"/>
      <c r="C865" s="7"/>
      <c r="D865" s="82"/>
    </row>
    <row r="866">
      <c r="B866" s="82"/>
      <c r="C866" s="7"/>
      <c r="D866" s="82"/>
    </row>
    <row r="867">
      <c r="B867" s="82"/>
      <c r="C867" s="7"/>
      <c r="D867" s="82"/>
    </row>
    <row r="868">
      <c r="B868" s="82"/>
      <c r="C868" s="7"/>
      <c r="D868" s="82"/>
    </row>
    <row r="869">
      <c r="B869" s="82"/>
      <c r="C869" s="7"/>
      <c r="D869" s="82"/>
    </row>
    <row r="870">
      <c r="B870" s="82"/>
      <c r="C870" s="7"/>
      <c r="D870" s="82"/>
    </row>
    <row r="871">
      <c r="B871" s="82"/>
      <c r="C871" s="7"/>
      <c r="D871" s="82"/>
    </row>
    <row r="872">
      <c r="B872" s="82"/>
      <c r="C872" s="7"/>
      <c r="D872" s="82"/>
    </row>
    <row r="873">
      <c r="B873" s="82"/>
      <c r="C873" s="7"/>
      <c r="D873" s="82"/>
    </row>
    <row r="874">
      <c r="B874" s="82"/>
      <c r="C874" s="7"/>
      <c r="D874" s="82"/>
    </row>
    <row r="875">
      <c r="B875" s="82"/>
      <c r="C875" s="7"/>
      <c r="D875" s="82"/>
    </row>
    <row r="876">
      <c r="B876" s="82"/>
      <c r="C876" s="7"/>
      <c r="D876" s="82"/>
    </row>
    <row r="877">
      <c r="B877" s="82"/>
      <c r="C877" s="7"/>
      <c r="D877" s="82"/>
    </row>
    <row r="878">
      <c r="B878" s="82"/>
      <c r="C878" s="7"/>
      <c r="D878" s="82"/>
    </row>
    <row r="879">
      <c r="B879" s="82"/>
      <c r="C879" s="7"/>
      <c r="D879" s="82"/>
    </row>
    <row r="880">
      <c r="B880" s="82"/>
      <c r="C880" s="7"/>
      <c r="D880" s="82"/>
    </row>
    <row r="881">
      <c r="B881" s="82"/>
      <c r="C881" s="7"/>
      <c r="D881" s="82"/>
    </row>
    <row r="882">
      <c r="B882" s="82"/>
      <c r="C882" s="7"/>
      <c r="D882" s="82"/>
    </row>
    <row r="883">
      <c r="B883" s="82"/>
      <c r="C883" s="7"/>
      <c r="D883" s="82"/>
    </row>
    <row r="884">
      <c r="B884" s="82"/>
      <c r="C884" s="7"/>
      <c r="D884" s="82"/>
    </row>
    <row r="885">
      <c r="B885" s="82"/>
      <c r="C885" s="7"/>
      <c r="D885" s="82"/>
    </row>
    <row r="886">
      <c r="B886" s="82"/>
      <c r="C886" s="7"/>
      <c r="D886" s="82"/>
    </row>
    <row r="887">
      <c r="B887" s="82"/>
      <c r="C887" s="7"/>
      <c r="D887" s="82"/>
    </row>
    <row r="888">
      <c r="B888" s="82"/>
      <c r="C888" s="7"/>
      <c r="D888" s="82"/>
    </row>
    <row r="889">
      <c r="B889" s="82"/>
      <c r="C889" s="7"/>
      <c r="D889" s="82"/>
    </row>
    <row r="890">
      <c r="B890" s="82"/>
      <c r="C890" s="7"/>
      <c r="D890" s="82"/>
    </row>
    <row r="891">
      <c r="B891" s="82"/>
      <c r="C891" s="7"/>
      <c r="D891" s="82"/>
    </row>
    <row r="892">
      <c r="B892" s="82"/>
      <c r="C892" s="7"/>
      <c r="D892" s="82"/>
    </row>
    <row r="893">
      <c r="B893" s="82"/>
      <c r="C893" s="7"/>
      <c r="D893" s="82"/>
    </row>
    <row r="894">
      <c r="B894" s="82"/>
      <c r="C894" s="7"/>
      <c r="D894" s="82"/>
    </row>
    <row r="895">
      <c r="B895" s="82"/>
      <c r="C895" s="7"/>
      <c r="D895" s="82"/>
    </row>
    <row r="896">
      <c r="B896" s="82"/>
      <c r="C896" s="7"/>
      <c r="D896" s="82"/>
    </row>
    <row r="897">
      <c r="B897" s="82"/>
      <c r="C897" s="7"/>
      <c r="D897" s="82"/>
    </row>
    <row r="898">
      <c r="B898" s="82"/>
      <c r="C898" s="7"/>
      <c r="D898" s="82"/>
    </row>
    <row r="899">
      <c r="B899" s="82"/>
      <c r="C899" s="7"/>
      <c r="D899" s="82"/>
    </row>
    <row r="900">
      <c r="B900" s="82"/>
      <c r="C900" s="7"/>
      <c r="D900" s="82"/>
    </row>
    <row r="901">
      <c r="B901" s="82"/>
      <c r="C901" s="7"/>
      <c r="D901" s="82"/>
    </row>
    <row r="902">
      <c r="B902" s="82"/>
      <c r="C902" s="7"/>
      <c r="D902" s="82"/>
    </row>
    <row r="903">
      <c r="B903" s="82"/>
      <c r="C903" s="7"/>
      <c r="D903" s="82"/>
    </row>
    <row r="904">
      <c r="B904" s="82"/>
      <c r="C904" s="7"/>
      <c r="D904" s="82"/>
    </row>
    <row r="905">
      <c r="B905" s="82"/>
      <c r="C905" s="7"/>
      <c r="D905" s="82"/>
    </row>
    <row r="906">
      <c r="B906" s="82"/>
      <c r="C906" s="7"/>
      <c r="D906" s="82"/>
    </row>
    <row r="907">
      <c r="B907" s="82"/>
      <c r="C907" s="7"/>
      <c r="D907" s="82"/>
    </row>
    <row r="908">
      <c r="B908" s="82"/>
      <c r="C908" s="7"/>
      <c r="D908" s="82"/>
    </row>
    <row r="909">
      <c r="B909" s="82"/>
      <c r="C909" s="7"/>
      <c r="D909" s="82"/>
    </row>
    <row r="910">
      <c r="B910" s="82"/>
      <c r="C910" s="7"/>
      <c r="D910" s="82"/>
    </row>
    <row r="911">
      <c r="B911" s="82"/>
      <c r="C911" s="7"/>
      <c r="D911" s="82"/>
    </row>
    <row r="912">
      <c r="B912" s="82"/>
      <c r="C912" s="7"/>
      <c r="D912" s="82"/>
    </row>
    <row r="913">
      <c r="B913" s="82"/>
      <c r="C913" s="7"/>
      <c r="D913" s="82"/>
    </row>
    <row r="914">
      <c r="B914" s="82"/>
      <c r="C914" s="7"/>
      <c r="D914" s="82"/>
    </row>
    <row r="915">
      <c r="B915" s="82"/>
      <c r="C915" s="7"/>
      <c r="D915" s="82"/>
    </row>
    <row r="916">
      <c r="B916" s="82"/>
      <c r="C916" s="7"/>
      <c r="D916" s="82"/>
    </row>
    <row r="917">
      <c r="B917" s="82"/>
      <c r="C917" s="7"/>
      <c r="D917" s="82"/>
    </row>
    <row r="918">
      <c r="B918" s="82"/>
      <c r="C918" s="7"/>
      <c r="D918" s="82"/>
    </row>
    <row r="919">
      <c r="B919" s="82"/>
      <c r="C919" s="7"/>
      <c r="D919" s="82"/>
    </row>
    <row r="920">
      <c r="B920" s="82"/>
      <c r="C920" s="7"/>
      <c r="D920" s="82"/>
    </row>
    <row r="921">
      <c r="B921" s="82"/>
      <c r="C921" s="7"/>
      <c r="D921" s="82"/>
    </row>
    <row r="922">
      <c r="B922" s="82"/>
      <c r="C922" s="7"/>
      <c r="D922" s="82"/>
    </row>
    <row r="923">
      <c r="B923" s="82"/>
      <c r="C923" s="7"/>
      <c r="D923" s="82"/>
    </row>
    <row r="924">
      <c r="B924" s="82"/>
      <c r="C924" s="7"/>
      <c r="D924" s="82"/>
    </row>
    <row r="925">
      <c r="B925" s="82"/>
      <c r="C925" s="7"/>
      <c r="D925" s="82"/>
    </row>
    <row r="926">
      <c r="B926" s="82"/>
      <c r="C926" s="7"/>
      <c r="D926" s="82"/>
    </row>
    <row r="927">
      <c r="B927" s="82"/>
      <c r="C927" s="7"/>
      <c r="D927" s="82"/>
    </row>
    <row r="928">
      <c r="B928" s="82"/>
      <c r="C928" s="7"/>
      <c r="D928" s="82"/>
    </row>
    <row r="929">
      <c r="B929" s="82"/>
      <c r="C929" s="7"/>
      <c r="D929" s="82"/>
    </row>
    <row r="930">
      <c r="B930" s="82"/>
      <c r="C930" s="7"/>
      <c r="D930" s="82"/>
    </row>
    <row r="931">
      <c r="B931" s="82"/>
      <c r="C931" s="7"/>
      <c r="D931" s="82"/>
    </row>
    <row r="932">
      <c r="B932" s="82"/>
      <c r="C932" s="7"/>
      <c r="D932" s="82"/>
    </row>
    <row r="933">
      <c r="B933" s="82"/>
      <c r="C933" s="7"/>
      <c r="D933" s="82"/>
    </row>
    <row r="934">
      <c r="B934" s="82"/>
      <c r="C934" s="7"/>
      <c r="D934" s="82"/>
    </row>
    <row r="935">
      <c r="B935" s="82"/>
      <c r="C935" s="7"/>
      <c r="D935" s="82"/>
    </row>
    <row r="936">
      <c r="B936" s="82"/>
      <c r="C936" s="7"/>
      <c r="D936" s="82"/>
    </row>
    <row r="937">
      <c r="B937" s="82"/>
      <c r="C937" s="7"/>
      <c r="D937" s="82"/>
    </row>
    <row r="938">
      <c r="B938" s="82"/>
      <c r="C938" s="7"/>
      <c r="D938" s="82"/>
    </row>
    <row r="939">
      <c r="B939" s="82"/>
      <c r="C939" s="7"/>
      <c r="D939" s="82"/>
    </row>
    <row r="940">
      <c r="B940" s="82"/>
      <c r="C940" s="7"/>
      <c r="D940" s="82"/>
    </row>
    <row r="941">
      <c r="B941" s="82"/>
      <c r="C941" s="7"/>
      <c r="D941" s="82"/>
    </row>
    <row r="942">
      <c r="B942" s="82"/>
      <c r="C942" s="7"/>
      <c r="D942" s="82"/>
    </row>
    <row r="943">
      <c r="B943" s="82"/>
      <c r="C943" s="7"/>
      <c r="D943" s="82"/>
    </row>
    <row r="944">
      <c r="B944" s="82"/>
      <c r="C944" s="7"/>
      <c r="D944" s="82"/>
    </row>
    <row r="945">
      <c r="B945" s="82"/>
      <c r="C945" s="7"/>
      <c r="D945" s="82"/>
    </row>
    <row r="946">
      <c r="B946" s="82"/>
      <c r="C946" s="7"/>
      <c r="D946" s="82"/>
    </row>
    <row r="947">
      <c r="B947" s="82"/>
      <c r="C947" s="7"/>
      <c r="D947" s="82"/>
    </row>
    <row r="948">
      <c r="B948" s="82"/>
      <c r="C948" s="7"/>
      <c r="D948" s="82"/>
    </row>
    <row r="949">
      <c r="B949" s="82"/>
      <c r="C949" s="7"/>
      <c r="D949" s="82"/>
    </row>
    <row r="950">
      <c r="B950" s="82"/>
      <c r="C950" s="7"/>
      <c r="D950" s="82"/>
    </row>
    <row r="951">
      <c r="B951" s="82"/>
      <c r="C951" s="7"/>
      <c r="D951" s="82"/>
    </row>
    <row r="952">
      <c r="B952" s="82"/>
      <c r="C952" s="7"/>
      <c r="D952" s="82"/>
    </row>
    <row r="953">
      <c r="B953" s="82"/>
      <c r="C953" s="7"/>
      <c r="D953" s="82"/>
    </row>
    <row r="954">
      <c r="B954" s="82"/>
      <c r="C954" s="7"/>
      <c r="D954" s="82"/>
    </row>
    <row r="955">
      <c r="B955" s="82"/>
      <c r="C955" s="7"/>
      <c r="D955" s="82"/>
    </row>
    <row r="956">
      <c r="B956" s="82"/>
      <c r="C956" s="7"/>
      <c r="D956" s="82"/>
    </row>
    <row r="957">
      <c r="B957" s="82"/>
      <c r="C957" s="7"/>
      <c r="D957" s="82"/>
    </row>
    <row r="958">
      <c r="B958" s="82"/>
      <c r="C958" s="7"/>
      <c r="D958" s="82"/>
    </row>
    <row r="959">
      <c r="B959" s="82"/>
      <c r="C959" s="7"/>
      <c r="D959" s="82"/>
    </row>
    <row r="960">
      <c r="B960" s="82"/>
      <c r="C960" s="7"/>
      <c r="D960" s="82"/>
    </row>
    <row r="961">
      <c r="B961" s="82"/>
      <c r="C961" s="7"/>
      <c r="D961" s="82"/>
    </row>
    <row r="962">
      <c r="B962" s="82"/>
      <c r="C962" s="7"/>
      <c r="D962" s="82"/>
    </row>
    <row r="963">
      <c r="B963" s="82"/>
      <c r="C963" s="7"/>
      <c r="D963" s="82"/>
    </row>
    <row r="964">
      <c r="B964" s="82"/>
      <c r="C964" s="7"/>
      <c r="D964" s="82"/>
    </row>
    <row r="965">
      <c r="B965" s="82"/>
      <c r="C965" s="7"/>
      <c r="D965" s="82"/>
    </row>
    <row r="966">
      <c r="B966" s="82"/>
      <c r="C966" s="7"/>
      <c r="D966" s="82"/>
    </row>
    <row r="967">
      <c r="B967" s="82"/>
      <c r="C967" s="7"/>
      <c r="D967" s="82"/>
    </row>
    <row r="968">
      <c r="B968" s="82"/>
      <c r="C968" s="7"/>
      <c r="D968" s="82"/>
    </row>
    <row r="969">
      <c r="B969" s="82"/>
      <c r="C969" s="7"/>
      <c r="D969" s="82"/>
    </row>
    <row r="970">
      <c r="B970" s="82"/>
      <c r="C970" s="7"/>
      <c r="D970" s="82"/>
    </row>
    <row r="971">
      <c r="B971" s="82"/>
      <c r="C971" s="7"/>
      <c r="D971" s="82"/>
    </row>
    <row r="972">
      <c r="B972" s="82"/>
      <c r="C972" s="7"/>
      <c r="D972" s="82"/>
    </row>
    <row r="973">
      <c r="B973" s="82"/>
      <c r="C973" s="7"/>
      <c r="D973" s="82"/>
    </row>
    <row r="974">
      <c r="B974" s="82"/>
      <c r="C974" s="7"/>
      <c r="D974" s="82"/>
    </row>
    <row r="975">
      <c r="B975" s="82"/>
      <c r="C975" s="7"/>
      <c r="D975" s="82"/>
    </row>
    <row r="976">
      <c r="B976" s="82"/>
      <c r="C976" s="7"/>
      <c r="D976" s="82"/>
    </row>
    <row r="977">
      <c r="B977" s="82"/>
      <c r="C977" s="7"/>
      <c r="D977" s="82"/>
    </row>
    <row r="978">
      <c r="B978" s="82"/>
      <c r="C978" s="7"/>
      <c r="D978" s="82"/>
    </row>
    <row r="979">
      <c r="B979" s="82"/>
      <c r="C979" s="7"/>
      <c r="D979" s="82"/>
    </row>
    <row r="980">
      <c r="B980" s="82"/>
      <c r="C980" s="7"/>
      <c r="D980" s="82"/>
    </row>
    <row r="981">
      <c r="B981" s="82"/>
      <c r="C981" s="7"/>
      <c r="D981" s="82"/>
    </row>
    <row r="982">
      <c r="B982" s="82"/>
      <c r="C982" s="7"/>
      <c r="D982" s="82"/>
    </row>
    <row r="983">
      <c r="B983" s="82"/>
      <c r="C983" s="7"/>
      <c r="D983" s="82"/>
    </row>
    <row r="984">
      <c r="B984" s="82"/>
      <c r="C984" s="7"/>
      <c r="D984" s="82"/>
    </row>
    <row r="985">
      <c r="B985" s="82"/>
      <c r="C985" s="7"/>
      <c r="D985" s="82"/>
    </row>
    <row r="986">
      <c r="B986" s="82"/>
      <c r="C986" s="7"/>
      <c r="D986" s="82"/>
    </row>
    <row r="987">
      <c r="B987" s="82"/>
      <c r="C987" s="7"/>
      <c r="D987" s="82"/>
    </row>
    <row r="988">
      <c r="B988" s="82"/>
      <c r="C988" s="7"/>
      <c r="D988" s="82"/>
    </row>
    <row r="989">
      <c r="B989" s="82"/>
      <c r="C989" s="7"/>
      <c r="D989" s="82"/>
    </row>
    <row r="990">
      <c r="B990" s="82"/>
      <c r="C990" s="7"/>
      <c r="D990" s="82"/>
    </row>
    <row r="991">
      <c r="B991" s="82"/>
      <c r="C991" s="7"/>
      <c r="D991" s="82"/>
    </row>
    <row r="992">
      <c r="B992" s="82"/>
      <c r="C992" s="7"/>
      <c r="D992" s="82"/>
    </row>
    <row r="993">
      <c r="B993" s="82"/>
      <c r="C993" s="7"/>
      <c r="D993" s="82"/>
    </row>
    <row r="994">
      <c r="B994" s="82"/>
      <c r="C994" s="7"/>
      <c r="D994" s="82"/>
    </row>
    <row r="995">
      <c r="B995" s="82"/>
      <c r="C995" s="7"/>
      <c r="D995" s="82"/>
    </row>
    <row r="996">
      <c r="B996" s="82"/>
      <c r="C996" s="7"/>
      <c r="D996" s="82"/>
    </row>
    <row r="997">
      <c r="B997" s="82"/>
      <c r="C997" s="7"/>
      <c r="D997" s="82"/>
    </row>
    <row r="998">
      <c r="B998" s="82"/>
      <c r="C998" s="7"/>
      <c r="D998" s="82"/>
    </row>
    <row r="999">
      <c r="B999" s="82"/>
      <c r="C999" s="7"/>
      <c r="D999" s="82"/>
    </row>
    <row r="1000">
      <c r="B1000" s="82"/>
      <c r="C1000" s="7"/>
      <c r="D1000" s="82"/>
    </row>
    <row r="1001">
      <c r="B1001" s="82"/>
      <c r="C1001" s="7"/>
      <c r="D1001" s="82"/>
    </row>
  </sheetData>
  <mergeCells count="15">
    <mergeCell ref="H1:H3"/>
    <mergeCell ref="I1:AC1"/>
    <mergeCell ref="AD1:AR1"/>
    <mergeCell ref="M4:M141"/>
    <mergeCell ref="T4:T141"/>
    <mergeCell ref="AA4:AA141"/>
    <mergeCell ref="AH4:AH141"/>
    <mergeCell ref="AO4:AO141"/>
    <mergeCell ref="A1:A3"/>
    <mergeCell ref="B1:B3"/>
    <mergeCell ref="C1:C3"/>
    <mergeCell ref="D1:D3"/>
    <mergeCell ref="E1:E3"/>
    <mergeCell ref="F1:F3"/>
    <mergeCell ref="G1:G3"/>
  </mergeCells>
  <conditionalFormatting sqref="I4:AR145">
    <cfRule type="beginsWith" dxfId="1" priority="1" operator="beginsWith" text="p">
      <formula>LEFT((I4),LEN("p"))=("p")</formula>
    </cfRule>
  </conditionalFormatting>
  <conditionalFormatting sqref="I4:AR145">
    <cfRule type="beginsWith" dxfId="0" priority="2" operator="beginsWith" text="a">
      <formula>LEFT((I4),LEN("a"))=("a")</formula>
    </cfRule>
  </conditionalFormatting>
  <conditionalFormatting sqref="I4:AR145">
    <cfRule type="beginsWith" dxfId="2" priority="3" operator="beginsWith" text="op">
      <formula>LEFT((I4),LEN("op"))=("op")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1.25"/>
    <col customWidth="1" min="4" max="4" width="23.88"/>
    <col customWidth="1" min="5" max="5" width="17.38"/>
  </cols>
  <sheetData>
    <row r="1">
      <c r="A1" s="2" t="s">
        <v>0</v>
      </c>
      <c r="B1" s="2" t="s">
        <v>2</v>
      </c>
      <c r="C1" s="2" t="s">
        <v>4</v>
      </c>
      <c r="D1" s="2" t="s">
        <v>6</v>
      </c>
      <c r="E1" s="2" t="s">
        <v>7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3">
        <v>1.0</v>
      </c>
      <c r="B2" s="14">
        <v>46183.0</v>
      </c>
      <c r="C2" s="17" t="s">
        <v>15</v>
      </c>
      <c r="D2" s="23" t="str">
        <f t="array" ref="D2:D37">TRANSPOSE(Attendance!I143:AR143)</f>
        <v>55 Online</v>
      </c>
      <c r="E2" s="24" t="s">
        <v>28</v>
      </c>
      <c r="G2" s="24">
        <v>55.0</v>
      </c>
    </row>
    <row r="3">
      <c r="A3" s="13">
        <v>2.0</v>
      </c>
      <c r="B3" s="14">
        <v>46184.0</v>
      </c>
      <c r="C3" s="28" t="s">
        <v>33</v>
      </c>
      <c r="D3" s="23" t="s">
        <v>34</v>
      </c>
      <c r="E3" s="24" t="s">
        <v>28</v>
      </c>
      <c r="G3" s="24">
        <v>59.0</v>
      </c>
    </row>
    <row r="4">
      <c r="A4" s="13">
        <v>3.0</v>
      </c>
      <c r="B4" s="14">
        <v>46185.0</v>
      </c>
      <c r="C4" s="33" t="s">
        <v>36</v>
      </c>
      <c r="D4" s="23" t="s">
        <v>38</v>
      </c>
      <c r="E4" s="24" t="s">
        <v>28</v>
      </c>
      <c r="G4" s="24">
        <v>46.0</v>
      </c>
    </row>
    <row r="5">
      <c r="A5" s="13">
        <v>4.0</v>
      </c>
      <c r="B5" s="14">
        <v>46186.0</v>
      </c>
      <c r="C5" s="33" t="s">
        <v>42</v>
      </c>
      <c r="D5" s="23" t="s">
        <v>43</v>
      </c>
      <c r="E5" s="24" t="s">
        <v>28</v>
      </c>
      <c r="G5" s="24">
        <v>54.0</v>
      </c>
    </row>
    <row r="6">
      <c r="A6" s="13"/>
      <c r="B6" s="14">
        <v>46187.0</v>
      </c>
      <c r="C6" s="33" t="s">
        <v>45</v>
      </c>
      <c r="D6" s="35" t="s">
        <v>46</v>
      </c>
      <c r="E6" s="24"/>
    </row>
    <row r="7">
      <c r="A7" s="13">
        <v>5.0</v>
      </c>
      <c r="B7" s="14">
        <v>46188.0</v>
      </c>
      <c r="C7" s="33" t="s">
        <v>49</v>
      </c>
      <c r="D7" s="23" t="s">
        <v>46</v>
      </c>
      <c r="E7" s="24" t="s">
        <v>28</v>
      </c>
    </row>
    <row r="8">
      <c r="A8" s="13">
        <v>6.0</v>
      </c>
      <c r="B8" s="14">
        <v>46189.0</v>
      </c>
      <c r="C8" s="33" t="s">
        <v>53</v>
      </c>
      <c r="D8" s="23" t="s">
        <v>54</v>
      </c>
      <c r="E8" s="24" t="s">
        <v>28</v>
      </c>
    </row>
    <row r="9">
      <c r="A9" s="13">
        <v>7.0</v>
      </c>
      <c r="B9" s="14">
        <v>46190.0</v>
      </c>
      <c r="C9" s="33" t="s">
        <v>57</v>
      </c>
      <c r="D9" s="23" t="s">
        <v>59</v>
      </c>
      <c r="E9" s="24" t="s">
        <v>28</v>
      </c>
    </row>
    <row r="10">
      <c r="A10" s="13">
        <v>8.0</v>
      </c>
      <c r="B10" s="14">
        <v>46191.0</v>
      </c>
      <c r="C10" s="33" t="s">
        <v>64</v>
      </c>
      <c r="D10" s="23" t="s">
        <v>66</v>
      </c>
      <c r="E10" s="24" t="s">
        <v>28</v>
      </c>
    </row>
    <row r="11">
      <c r="A11" s="13">
        <v>9.0</v>
      </c>
      <c r="B11" s="14">
        <v>46192.0</v>
      </c>
      <c r="C11" s="38" t="s">
        <v>68</v>
      </c>
      <c r="D11" s="23" t="s">
        <v>69</v>
      </c>
      <c r="E11" s="24" t="s">
        <v>28</v>
      </c>
    </row>
    <row r="12">
      <c r="A12" s="13">
        <v>10.0</v>
      </c>
      <c r="B12" s="14">
        <v>46193.0</v>
      </c>
      <c r="C12" s="38" t="s">
        <v>72</v>
      </c>
      <c r="D12" s="23" t="s">
        <v>69</v>
      </c>
      <c r="E12" s="24" t="s">
        <v>28</v>
      </c>
    </row>
    <row r="13">
      <c r="A13" s="13"/>
      <c r="B13" s="14">
        <v>46194.0</v>
      </c>
      <c r="C13" s="38" t="s">
        <v>45</v>
      </c>
      <c r="D13" s="23" t="s">
        <v>46</v>
      </c>
      <c r="E13" s="24"/>
    </row>
    <row r="14">
      <c r="A14" s="13">
        <v>11.0</v>
      </c>
      <c r="B14" s="14">
        <v>46195.0</v>
      </c>
      <c r="C14" s="38" t="s">
        <v>78</v>
      </c>
      <c r="D14" s="23" t="s">
        <v>69</v>
      </c>
      <c r="E14" s="24" t="s">
        <v>28</v>
      </c>
    </row>
    <row r="15">
      <c r="A15" s="13">
        <v>12.0</v>
      </c>
      <c r="B15" s="14">
        <v>46196.0</v>
      </c>
      <c r="C15" s="38" t="s">
        <v>80</v>
      </c>
      <c r="D15" s="23" t="s">
        <v>81</v>
      </c>
      <c r="E15" s="24" t="s">
        <v>28</v>
      </c>
    </row>
    <row r="16">
      <c r="A16" s="13">
        <v>13.0</v>
      </c>
      <c r="B16" s="14">
        <v>46197.0</v>
      </c>
      <c r="C16" s="38" t="s">
        <v>86</v>
      </c>
      <c r="D16" s="23" t="s">
        <v>38</v>
      </c>
      <c r="E16" s="24" t="s">
        <v>28</v>
      </c>
    </row>
    <row r="17">
      <c r="A17" s="13">
        <v>14.0</v>
      </c>
      <c r="B17" s="14">
        <v>46198.0</v>
      </c>
      <c r="C17" s="38" t="s">
        <v>88</v>
      </c>
      <c r="D17" s="23" t="s">
        <v>89</v>
      </c>
      <c r="E17" s="24" t="s">
        <v>28</v>
      </c>
    </row>
    <row r="18">
      <c r="A18" s="13">
        <v>15.0</v>
      </c>
      <c r="B18" s="14">
        <v>46199.0</v>
      </c>
      <c r="C18" s="38" t="s">
        <v>94</v>
      </c>
      <c r="D18" s="23" t="s">
        <v>38</v>
      </c>
      <c r="E18" s="24" t="s">
        <v>28</v>
      </c>
    </row>
    <row r="19">
      <c r="A19" s="13">
        <v>16.0</v>
      </c>
      <c r="B19" s="14">
        <v>46200.0</v>
      </c>
      <c r="C19" s="38" t="s">
        <v>96</v>
      </c>
      <c r="D19" s="23" t="s">
        <v>81</v>
      </c>
      <c r="E19" s="24" t="s">
        <v>28</v>
      </c>
    </row>
    <row r="20">
      <c r="A20" s="13"/>
      <c r="B20" s="14">
        <v>46201.0</v>
      </c>
      <c r="C20" s="38" t="s">
        <v>45</v>
      </c>
      <c r="D20" s="23" t="s">
        <v>46</v>
      </c>
      <c r="E20" s="24"/>
    </row>
    <row r="21">
      <c r="A21" s="13">
        <v>17.0</v>
      </c>
      <c r="B21" s="14">
        <v>46202.0</v>
      </c>
      <c r="C21" s="38" t="s">
        <v>102</v>
      </c>
      <c r="D21" s="23" t="s">
        <v>104</v>
      </c>
      <c r="E21" s="24" t="s">
        <v>28</v>
      </c>
    </row>
    <row r="22">
      <c r="A22" s="13">
        <v>18.0</v>
      </c>
      <c r="B22" s="14">
        <v>46203.0</v>
      </c>
      <c r="C22" s="41" t="s">
        <v>107</v>
      </c>
      <c r="D22" s="23" t="s">
        <v>108</v>
      </c>
      <c r="E22" s="24" t="s">
        <v>28</v>
      </c>
    </row>
    <row r="23">
      <c r="A23" s="13">
        <v>19.0</v>
      </c>
      <c r="B23" s="14">
        <v>46204.0</v>
      </c>
      <c r="C23" s="41" t="s">
        <v>110</v>
      </c>
      <c r="D23" s="23" t="s">
        <v>111</v>
      </c>
      <c r="E23" s="24" t="s">
        <v>28</v>
      </c>
    </row>
    <row r="24">
      <c r="A24" s="13">
        <v>20.0</v>
      </c>
      <c r="B24" s="14">
        <v>46205.0</v>
      </c>
      <c r="C24" s="38" t="s">
        <v>115</v>
      </c>
      <c r="D24" s="23" t="s">
        <v>104</v>
      </c>
      <c r="E24" s="24" t="s">
        <v>28</v>
      </c>
    </row>
    <row r="25">
      <c r="A25" s="13">
        <v>21.0</v>
      </c>
      <c r="B25" s="14">
        <v>46206.0</v>
      </c>
      <c r="C25" s="38" t="s">
        <v>119</v>
      </c>
      <c r="D25" s="23" t="s">
        <v>120</v>
      </c>
      <c r="E25" s="24" t="s">
        <v>28</v>
      </c>
    </row>
    <row r="26">
      <c r="A26" s="13">
        <v>22.0</v>
      </c>
      <c r="B26" s="14">
        <v>46207.0</v>
      </c>
      <c r="C26" s="38" t="s">
        <v>124</v>
      </c>
      <c r="D26" s="23" t="s">
        <v>125</v>
      </c>
      <c r="E26" s="24" t="s">
        <v>28</v>
      </c>
    </row>
    <row r="27">
      <c r="A27" s="13">
        <v>23.0</v>
      </c>
      <c r="B27" s="14">
        <v>46208.0</v>
      </c>
      <c r="C27" s="46" t="s">
        <v>45</v>
      </c>
      <c r="D27" s="23" t="s">
        <v>46</v>
      </c>
      <c r="E27" s="24" t="s">
        <v>28</v>
      </c>
    </row>
    <row r="28">
      <c r="A28" s="13">
        <v>24.0</v>
      </c>
      <c r="B28" s="14">
        <v>46209.0</v>
      </c>
      <c r="C28" s="38" t="s">
        <v>131</v>
      </c>
      <c r="D28" s="23" t="s">
        <v>89</v>
      </c>
      <c r="E28" s="24" t="s">
        <v>28</v>
      </c>
    </row>
    <row r="29">
      <c r="A29" s="13">
        <v>25.0</v>
      </c>
      <c r="B29" s="14">
        <v>46210.0</v>
      </c>
      <c r="C29" s="38" t="s">
        <v>135</v>
      </c>
      <c r="D29" s="23" t="s">
        <v>137</v>
      </c>
      <c r="E29" s="24" t="s">
        <v>28</v>
      </c>
    </row>
    <row r="30">
      <c r="A30" s="13">
        <v>26.0</v>
      </c>
      <c r="B30" s="14">
        <v>46211.0</v>
      </c>
      <c r="C30" s="38" t="s">
        <v>139</v>
      </c>
      <c r="D30" s="23" t="s">
        <v>69</v>
      </c>
      <c r="E30" s="24" t="s">
        <v>28</v>
      </c>
    </row>
    <row r="31">
      <c r="A31" s="13">
        <v>27.0</v>
      </c>
      <c r="B31" s="14">
        <v>46212.0</v>
      </c>
      <c r="C31" s="38" t="s">
        <v>144</v>
      </c>
      <c r="D31" s="23" t="s">
        <v>46</v>
      </c>
      <c r="E31" s="24" t="s">
        <v>28</v>
      </c>
    </row>
    <row r="32">
      <c r="A32" s="13">
        <v>28.0</v>
      </c>
      <c r="B32" s="14">
        <v>46213.0</v>
      </c>
      <c r="C32" s="38" t="s">
        <v>146</v>
      </c>
      <c r="D32" s="23" t="s">
        <v>46</v>
      </c>
      <c r="E32" s="24" t="s">
        <v>28</v>
      </c>
    </row>
    <row r="33">
      <c r="A33" s="13">
        <v>29.0</v>
      </c>
      <c r="B33" s="14">
        <v>46214.0</v>
      </c>
      <c r="C33" s="41" t="s">
        <v>151</v>
      </c>
      <c r="D33" s="23" t="s">
        <v>46</v>
      </c>
      <c r="E33" s="24" t="s">
        <v>28</v>
      </c>
    </row>
    <row r="34">
      <c r="A34" s="13">
        <v>30.0</v>
      </c>
      <c r="B34" s="14">
        <v>46216.0</v>
      </c>
      <c r="C34" s="41" t="s">
        <v>153</v>
      </c>
      <c r="D34" s="23" t="s">
        <v>46</v>
      </c>
      <c r="E34" s="24" t="s">
        <v>28</v>
      </c>
    </row>
    <row r="35">
      <c r="A35" s="13">
        <v>31.0</v>
      </c>
      <c r="B35" s="14">
        <v>46217.0</v>
      </c>
      <c r="C35" s="41" t="s">
        <v>158</v>
      </c>
      <c r="D35" s="23" t="s">
        <v>46</v>
      </c>
      <c r="E35" s="24" t="s">
        <v>28</v>
      </c>
    </row>
    <row r="36">
      <c r="A36" s="13">
        <v>32.0</v>
      </c>
      <c r="B36" s="14"/>
      <c r="C36" s="23"/>
      <c r="D36" s="23" t="s">
        <v>46</v>
      </c>
      <c r="E36" s="23"/>
    </row>
    <row r="37">
      <c r="A37" s="13">
        <v>33.0</v>
      </c>
      <c r="B37" s="23"/>
      <c r="C37" s="23"/>
      <c r="D37" s="23" t="s">
        <v>46</v>
      </c>
      <c r="E37" s="23"/>
    </row>
    <row r="38">
      <c r="A38" s="13">
        <v>34.0</v>
      </c>
      <c r="B38" s="23"/>
      <c r="C38" s="23"/>
      <c r="D38" s="23"/>
      <c r="E38" s="23"/>
    </row>
    <row r="39">
      <c r="A39" s="13">
        <v>35.0</v>
      </c>
      <c r="B39" s="23"/>
      <c r="C39" s="23"/>
      <c r="D39" s="23"/>
      <c r="E39" s="23"/>
    </row>
    <row r="40">
      <c r="A40" s="13">
        <v>36.0</v>
      </c>
      <c r="B40" s="23"/>
      <c r="C40" s="23"/>
      <c r="D40" s="23"/>
      <c r="E40" s="23"/>
    </row>
    <row r="41">
      <c r="A41" s="13">
        <v>37.0</v>
      </c>
      <c r="B41" s="23"/>
      <c r="C41" s="23"/>
      <c r="D41" s="23"/>
      <c r="E41" s="23"/>
    </row>
    <row r="42">
      <c r="A42" s="13">
        <v>38.0</v>
      </c>
      <c r="B42" s="23"/>
      <c r="C42" s="23"/>
      <c r="D42" s="23"/>
      <c r="E42" s="23"/>
    </row>
    <row r="43">
      <c r="A43" s="13">
        <v>39.0</v>
      </c>
      <c r="B43" s="23"/>
      <c r="C43" s="23"/>
      <c r="D43" s="23"/>
      <c r="E43" s="23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  <row r="1001">
      <c r="A1001" s="7"/>
    </row>
    <row r="1002">
      <c r="A1002" s="7"/>
    </row>
    <row r="1003">
      <c r="A1003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</cols>
  <sheetData>
    <row r="1">
      <c r="A1" s="1"/>
      <c r="B1" s="1"/>
      <c r="C1" s="1"/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11" t="s">
        <v>1</v>
      </c>
      <c r="B2" s="11" t="s">
        <v>9</v>
      </c>
      <c r="C2" s="11" t="s">
        <v>11</v>
      </c>
      <c r="D2" s="16" t="s">
        <v>13</v>
      </c>
      <c r="E2" s="16" t="s">
        <v>17</v>
      </c>
      <c r="F2" s="16" t="s">
        <v>18</v>
      </c>
      <c r="G2" s="16" t="s">
        <v>20</v>
      </c>
      <c r="H2" s="19" t="s">
        <v>21</v>
      </c>
      <c r="I2" s="19" t="s">
        <v>24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24">
        <v>1.0</v>
      </c>
      <c r="B3" s="26" t="s">
        <v>29</v>
      </c>
      <c r="C3" s="26" t="s">
        <v>31</v>
      </c>
      <c r="D3" s="23">
        <v>28.0</v>
      </c>
      <c r="E3" s="24" t="s">
        <v>32</v>
      </c>
      <c r="F3" s="24">
        <v>28.0</v>
      </c>
      <c r="G3" s="29" t="s">
        <v>32</v>
      </c>
      <c r="H3" s="23"/>
      <c r="I3" s="23"/>
      <c r="J3" s="35" t="str">
        <f>IFERROR(__xludf.DUMMYFUNCTION("TEXTJOIN("", "",TRUE,FILTER(D$1:I$1,D3:I3=""A""))"),"2, 4")</f>
        <v>2, 4</v>
      </c>
    </row>
    <row r="4">
      <c r="A4" s="24">
        <v>2.0</v>
      </c>
      <c r="B4" s="26" t="s">
        <v>39</v>
      </c>
      <c r="C4" s="26" t="s">
        <v>41</v>
      </c>
      <c r="D4" s="24" t="s">
        <v>32</v>
      </c>
      <c r="E4" s="24">
        <v>24.0</v>
      </c>
      <c r="F4" s="24" t="s">
        <v>32</v>
      </c>
      <c r="G4" s="36">
        <v>29.0</v>
      </c>
      <c r="H4" s="23"/>
      <c r="I4" s="23"/>
      <c r="J4" s="35" t="str">
        <f>IFERROR(__xludf.DUMMYFUNCTION("TEXTJOIN("", "",TRUE,FILTER(D$1:I$1,D4:I4=""A""))"),"1, 3")</f>
        <v>1, 3</v>
      </c>
    </row>
    <row r="5">
      <c r="A5" s="24">
        <v>3.0</v>
      </c>
      <c r="B5" s="26" t="s">
        <v>48</v>
      </c>
      <c r="C5" s="26" t="s">
        <v>51</v>
      </c>
      <c r="D5" s="24" t="s">
        <v>32</v>
      </c>
      <c r="E5" s="24" t="s">
        <v>32</v>
      </c>
      <c r="F5" s="24" t="s">
        <v>32</v>
      </c>
      <c r="G5" s="29" t="s">
        <v>32</v>
      </c>
      <c r="H5" s="23"/>
      <c r="I5" s="23"/>
      <c r="J5" s="35" t="str">
        <f>IFERROR(__xludf.DUMMYFUNCTION("TEXTJOIN("", "",TRUE,FILTER(D$1:I$1,D5:I5=""A""))"),"1, 2, 3, 4")</f>
        <v>1, 2, 3, 4</v>
      </c>
    </row>
    <row r="6">
      <c r="A6" s="24">
        <v>4.0</v>
      </c>
      <c r="B6" s="26" t="s">
        <v>56</v>
      </c>
      <c r="C6" s="26" t="s">
        <v>58</v>
      </c>
      <c r="D6" s="24" t="s">
        <v>32</v>
      </c>
      <c r="E6" s="24" t="s">
        <v>32</v>
      </c>
      <c r="F6" s="24" t="s">
        <v>32</v>
      </c>
      <c r="G6" s="29" t="s">
        <v>32</v>
      </c>
      <c r="H6" s="23"/>
      <c r="I6" s="23"/>
      <c r="J6" s="35" t="str">
        <f>IFERROR(__xludf.DUMMYFUNCTION("TEXTJOIN("", "",TRUE,FILTER(D$1:I$1,D6:I6=""A""))"),"1, 2, 3, 4")</f>
        <v>1, 2, 3, 4</v>
      </c>
    </row>
    <row r="7">
      <c r="A7" s="24">
        <v>5.0</v>
      </c>
      <c r="B7" s="26" t="s">
        <v>63</v>
      </c>
      <c r="C7" s="26" t="s">
        <v>65</v>
      </c>
      <c r="D7" s="23">
        <v>12.0</v>
      </c>
      <c r="E7" s="24" t="s">
        <v>32</v>
      </c>
      <c r="F7" s="24" t="s">
        <v>32</v>
      </c>
      <c r="G7" s="29" t="s">
        <v>32</v>
      </c>
      <c r="H7" s="23"/>
      <c r="I7" s="23"/>
      <c r="J7" s="35" t="str">
        <f>IFERROR(__xludf.DUMMYFUNCTION("TEXTJOIN("", "",TRUE,FILTER(D$1:I$1,D7:I7=""A""))"),"2, 3, 4")</f>
        <v>2, 3, 4</v>
      </c>
    </row>
    <row r="8">
      <c r="A8" s="24">
        <v>6.0</v>
      </c>
      <c r="B8" s="26" t="s">
        <v>70</v>
      </c>
      <c r="C8" s="26" t="s">
        <v>71</v>
      </c>
      <c r="D8" s="24" t="s">
        <v>32</v>
      </c>
      <c r="E8" s="24" t="s">
        <v>32</v>
      </c>
      <c r="F8" s="24" t="s">
        <v>32</v>
      </c>
      <c r="G8" s="29" t="s">
        <v>32</v>
      </c>
      <c r="H8" s="23"/>
      <c r="I8" s="23"/>
      <c r="J8" s="35" t="str">
        <f>IFERROR(__xludf.DUMMYFUNCTION("TEXTJOIN("", "",TRUE,FILTER(D$1:I$1,D8:I8=""A""))"),"1, 2, 3, 4")</f>
        <v>1, 2, 3, 4</v>
      </c>
    </row>
    <row r="9">
      <c r="A9" s="24">
        <v>7.0</v>
      </c>
      <c r="B9" s="26" t="s">
        <v>75</v>
      </c>
      <c r="C9" s="26" t="s">
        <v>77</v>
      </c>
      <c r="D9" s="24" t="s">
        <v>32</v>
      </c>
      <c r="E9" s="24" t="s">
        <v>32</v>
      </c>
      <c r="F9" s="24" t="s">
        <v>32</v>
      </c>
      <c r="G9" s="29" t="s">
        <v>32</v>
      </c>
      <c r="H9" s="23"/>
      <c r="I9" s="23"/>
      <c r="J9" s="35" t="str">
        <f>IFERROR(__xludf.DUMMYFUNCTION("TEXTJOIN("", "",TRUE,FILTER(D$1:I$1,D9:I9=""A""))"),"1, 2, 3, 4")</f>
        <v>1, 2, 3, 4</v>
      </c>
    </row>
    <row r="10">
      <c r="A10" s="24">
        <v>8.0</v>
      </c>
      <c r="B10" s="26" t="s">
        <v>83</v>
      </c>
      <c r="C10" s="26" t="s">
        <v>84</v>
      </c>
      <c r="D10" s="23">
        <v>26.0</v>
      </c>
      <c r="E10" s="24" t="s">
        <v>32</v>
      </c>
      <c r="F10" s="24">
        <v>26.0</v>
      </c>
      <c r="G10" s="36">
        <v>24.0</v>
      </c>
      <c r="H10" s="23"/>
      <c r="I10" s="23"/>
      <c r="J10" s="35" t="str">
        <f>IFERROR(__xludf.DUMMYFUNCTION("TEXTJOIN("", "",TRUE,FILTER(D$1:I$1,D10:I10=""A""))"),"2")</f>
        <v>2</v>
      </c>
    </row>
    <row r="11">
      <c r="A11" s="24">
        <v>9.0</v>
      </c>
      <c r="B11" s="26" t="s">
        <v>91</v>
      </c>
      <c r="C11" s="26" t="s">
        <v>92</v>
      </c>
      <c r="D11" s="23">
        <v>21.0</v>
      </c>
      <c r="E11" s="24">
        <v>18.0</v>
      </c>
      <c r="F11" s="24">
        <v>24.0</v>
      </c>
      <c r="G11" s="29" t="s">
        <v>32</v>
      </c>
      <c r="H11" s="23"/>
      <c r="I11" s="23"/>
      <c r="J11" s="35" t="str">
        <f>IFERROR(__xludf.DUMMYFUNCTION("TEXTJOIN("", "",TRUE,FILTER(D$1:I$1,D11:I11=""A""))"),"4")</f>
        <v>4</v>
      </c>
    </row>
    <row r="12">
      <c r="A12" s="24">
        <v>10.0</v>
      </c>
      <c r="B12" s="26" t="s">
        <v>97</v>
      </c>
      <c r="C12" s="26" t="s">
        <v>99</v>
      </c>
      <c r="D12" s="23">
        <v>16.0</v>
      </c>
      <c r="E12" s="24">
        <v>20.0</v>
      </c>
      <c r="F12" s="24">
        <v>25.0</v>
      </c>
      <c r="G12" s="36">
        <v>30.0</v>
      </c>
      <c r="H12" s="23"/>
      <c r="I12" s="23"/>
      <c r="J12" s="35" t="str">
        <f>IFERROR(__xludf.DUMMYFUNCTION("TEXTJOIN("", "",TRUE,FILTER(D$1:I$1,D12:I12=""A""))"),"#N/A")</f>
        <v>#N/A</v>
      </c>
    </row>
    <row r="13">
      <c r="A13" s="24">
        <v>11.0</v>
      </c>
      <c r="B13" s="26" t="s">
        <v>103</v>
      </c>
      <c r="C13" s="26" t="s">
        <v>105</v>
      </c>
      <c r="D13" s="24" t="s">
        <v>32</v>
      </c>
      <c r="E13" s="24" t="s">
        <v>32</v>
      </c>
      <c r="F13" s="24" t="s">
        <v>32</v>
      </c>
      <c r="G13" s="29" t="s">
        <v>32</v>
      </c>
      <c r="H13" s="23"/>
      <c r="I13" s="23"/>
      <c r="J13" s="35" t="str">
        <f>IFERROR(__xludf.DUMMYFUNCTION("TEXTJOIN("", "",TRUE,FILTER(D$1:I$1,D13:I13=""A""))"),"1, 2, 3, 4")</f>
        <v>1, 2, 3, 4</v>
      </c>
    </row>
    <row r="14">
      <c r="A14" s="24">
        <v>12.0</v>
      </c>
      <c r="B14" s="26" t="s">
        <v>113</v>
      </c>
      <c r="C14" s="43" t="s">
        <v>114</v>
      </c>
      <c r="D14" s="23">
        <v>24.0</v>
      </c>
      <c r="E14" s="24" t="s">
        <v>32</v>
      </c>
      <c r="F14" s="24" t="s">
        <v>32</v>
      </c>
      <c r="G14" s="29" t="s">
        <v>32</v>
      </c>
      <c r="H14" s="23"/>
      <c r="I14" s="23"/>
      <c r="J14" s="35" t="str">
        <f>IFERROR(__xludf.DUMMYFUNCTION("TEXTJOIN("", "",TRUE,FILTER(D$1:I$1,D14:I14=""A""))"),"2, 3, 4")</f>
        <v>2, 3, 4</v>
      </c>
    </row>
    <row r="15">
      <c r="A15" s="24">
        <v>13.0</v>
      </c>
      <c r="B15" s="26" t="s">
        <v>121</v>
      </c>
      <c r="C15" s="26" t="s">
        <v>123</v>
      </c>
      <c r="D15" s="24" t="s">
        <v>32</v>
      </c>
      <c r="E15" s="24" t="s">
        <v>32</v>
      </c>
      <c r="F15" s="24" t="s">
        <v>32</v>
      </c>
      <c r="G15" s="29" t="s">
        <v>32</v>
      </c>
      <c r="H15" s="23"/>
      <c r="I15" s="23"/>
      <c r="J15" s="35" t="str">
        <f>IFERROR(__xludf.DUMMYFUNCTION("TEXTJOIN("", "",TRUE,FILTER(D$1:I$1,D15:I15=""A""))"),"1, 2, 3, 4")</f>
        <v>1, 2, 3, 4</v>
      </c>
    </row>
    <row r="16">
      <c r="A16" s="24">
        <v>14.0</v>
      </c>
      <c r="B16" s="26" t="s">
        <v>128</v>
      </c>
      <c r="C16" s="26" t="s">
        <v>129</v>
      </c>
      <c r="D16" s="24" t="s">
        <v>32</v>
      </c>
      <c r="E16" s="24" t="s">
        <v>32</v>
      </c>
      <c r="F16" s="24" t="s">
        <v>32</v>
      </c>
      <c r="G16" s="29" t="s">
        <v>32</v>
      </c>
      <c r="H16" s="23"/>
      <c r="I16" s="23"/>
      <c r="J16" s="35" t="str">
        <f>IFERROR(__xludf.DUMMYFUNCTION("TEXTJOIN("", "",TRUE,FILTER(D$1:I$1,D16:I16=""A""))"),"1, 2, 3, 4")</f>
        <v>1, 2, 3, 4</v>
      </c>
    </row>
    <row r="17">
      <c r="A17" s="24">
        <v>15.0</v>
      </c>
      <c r="B17" s="26" t="s">
        <v>134</v>
      </c>
      <c r="C17" s="26" t="s">
        <v>136</v>
      </c>
      <c r="D17" s="23">
        <v>15.0</v>
      </c>
      <c r="E17" s="24" t="s">
        <v>32</v>
      </c>
      <c r="F17" s="24" t="s">
        <v>32</v>
      </c>
      <c r="G17" s="29" t="s">
        <v>32</v>
      </c>
      <c r="H17" s="23"/>
      <c r="I17" s="23"/>
      <c r="J17" s="35" t="str">
        <f>IFERROR(__xludf.DUMMYFUNCTION("TEXTJOIN("", "",TRUE,FILTER(D$1:I$1,D17:I17=""A""))"),"2, 3, 4")</f>
        <v>2, 3, 4</v>
      </c>
    </row>
    <row r="18">
      <c r="A18" s="24">
        <v>16.0</v>
      </c>
      <c r="B18" s="26" t="s">
        <v>142</v>
      </c>
      <c r="C18" s="26" t="s">
        <v>143</v>
      </c>
      <c r="D18" s="24" t="s">
        <v>32</v>
      </c>
      <c r="E18" s="24" t="s">
        <v>32</v>
      </c>
      <c r="F18" s="24" t="s">
        <v>32</v>
      </c>
      <c r="G18" s="29" t="s">
        <v>32</v>
      </c>
      <c r="H18" s="23"/>
      <c r="I18" s="23"/>
      <c r="J18" s="35" t="str">
        <f>IFERROR(__xludf.DUMMYFUNCTION("TEXTJOIN("", "",TRUE,FILTER(D$1:I$1,D18:I18=""A""))"),"1, 2, 3, 4")</f>
        <v>1, 2, 3, 4</v>
      </c>
    </row>
    <row r="19">
      <c r="A19" s="24">
        <v>17.0</v>
      </c>
      <c r="B19" s="26" t="s">
        <v>148</v>
      </c>
      <c r="C19" s="26" t="s">
        <v>150</v>
      </c>
      <c r="D19" s="24" t="s">
        <v>32</v>
      </c>
      <c r="E19" s="24" t="s">
        <v>32</v>
      </c>
      <c r="F19" s="24" t="s">
        <v>32</v>
      </c>
      <c r="G19" s="29" t="s">
        <v>32</v>
      </c>
      <c r="H19" s="23"/>
      <c r="I19" s="23"/>
      <c r="J19" s="35" t="str">
        <f>IFERROR(__xludf.DUMMYFUNCTION("TEXTJOIN("", "",TRUE,FILTER(D$1:I$1,D19:I19=""A""))"),"1, 2, 3, 4")</f>
        <v>1, 2, 3, 4</v>
      </c>
    </row>
    <row r="20">
      <c r="A20" s="24">
        <v>18.0</v>
      </c>
      <c r="B20" s="26" t="s">
        <v>155</v>
      </c>
      <c r="C20" s="26" t="s">
        <v>156</v>
      </c>
      <c r="D20" s="24" t="s">
        <v>32</v>
      </c>
      <c r="E20" s="24" t="s">
        <v>32</v>
      </c>
      <c r="F20" s="24" t="s">
        <v>32</v>
      </c>
      <c r="G20" s="29" t="s">
        <v>32</v>
      </c>
      <c r="H20" s="23"/>
      <c r="I20" s="23"/>
      <c r="J20" s="35" t="str">
        <f>IFERROR(__xludf.DUMMYFUNCTION("TEXTJOIN("", "",TRUE,FILTER(D$1:I$1,D20:I20=""A""))"),"1, 2, 3, 4")</f>
        <v>1, 2, 3, 4</v>
      </c>
    </row>
    <row r="21">
      <c r="A21" s="24">
        <v>19.0</v>
      </c>
      <c r="B21" s="26" t="s">
        <v>160</v>
      </c>
      <c r="C21" s="26" t="s">
        <v>162</v>
      </c>
      <c r="D21" s="23">
        <v>22.0</v>
      </c>
      <c r="E21" s="24">
        <v>21.0</v>
      </c>
      <c r="F21" s="24">
        <v>27.0</v>
      </c>
      <c r="G21" s="29" t="s">
        <v>32</v>
      </c>
      <c r="H21" s="23"/>
      <c r="I21" s="23"/>
      <c r="J21" s="35" t="str">
        <f>IFERROR(__xludf.DUMMYFUNCTION("TEXTJOIN("", "",TRUE,FILTER(D$1:I$1,D21:I21=""A""))"),"4")</f>
        <v>4</v>
      </c>
    </row>
    <row r="22">
      <c r="A22" s="24">
        <v>20.0</v>
      </c>
      <c r="B22" s="26" t="s">
        <v>165</v>
      </c>
      <c r="C22" s="26" t="s">
        <v>166</v>
      </c>
      <c r="D22" s="24" t="s">
        <v>32</v>
      </c>
      <c r="E22" s="24" t="s">
        <v>32</v>
      </c>
      <c r="F22" s="24" t="s">
        <v>32</v>
      </c>
      <c r="G22" s="29" t="s">
        <v>32</v>
      </c>
      <c r="H22" s="23"/>
      <c r="I22" s="23"/>
      <c r="J22" s="35" t="str">
        <f>IFERROR(__xludf.DUMMYFUNCTION("TEXTJOIN("", "",TRUE,FILTER(D$1:I$1,D22:I22=""A""))"),"1, 2, 3, 4")</f>
        <v>1, 2, 3, 4</v>
      </c>
    </row>
    <row r="23">
      <c r="A23" s="24">
        <v>21.0</v>
      </c>
      <c r="B23" s="26" t="s">
        <v>171</v>
      </c>
      <c r="C23" s="26" t="s">
        <v>172</v>
      </c>
      <c r="D23" s="24" t="s">
        <v>32</v>
      </c>
      <c r="E23" s="24" t="s">
        <v>32</v>
      </c>
      <c r="F23" s="24" t="s">
        <v>32</v>
      </c>
      <c r="G23" s="29" t="s">
        <v>32</v>
      </c>
      <c r="H23" s="23"/>
      <c r="I23" s="23"/>
      <c r="J23" s="35" t="str">
        <f>IFERROR(__xludf.DUMMYFUNCTION("TEXTJOIN("", "",TRUE,FILTER(D$1:I$1,D23:I23=""A""))"),"1, 2, 3, 4")</f>
        <v>1, 2, 3, 4</v>
      </c>
    </row>
    <row r="24">
      <c r="A24" s="24">
        <v>22.0</v>
      </c>
      <c r="B24" s="26" t="s">
        <v>175</v>
      </c>
      <c r="C24" s="26" t="s">
        <v>177</v>
      </c>
      <c r="D24" s="24" t="s">
        <v>32</v>
      </c>
      <c r="E24" s="24" t="s">
        <v>32</v>
      </c>
      <c r="F24" s="24" t="s">
        <v>32</v>
      </c>
      <c r="G24" s="29" t="s">
        <v>32</v>
      </c>
      <c r="H24" s="23"/>
      <c r="I24" s="23"/>
      <c r="J24" s="35" t="str">
        <f>IFERROR(__xludf.DUMMYFUNCTION("TEXTJOIN("", "",TRUE,FILTER(D$1:I$1,D24:I24=""A""))"),"1, 2, 3, 4")</f>
        <v>1, 2, 3, 4</v>
      </c>
    </row>
    <row r="25">
      <c r="A25" s="24">
        <v>23.0</v>
      </c>
      <c r="B25" s="26" t="s">
        <v>181</v>
      </c>
      <c r="C25" s="26" t="s">
        <v>182</v>
      </c>
      <c r="D25" s="24" t="s">
        <v>32</v>
      </c>
      <c r="E25" s="24">
        <v>24.0</v>
      </c>
      <c r="F25" s="24">
        <v>30.0</v>
      </c>
      <c r="G25" s="36">
        <v>15.0</v>
      </c>
      <c r="H25" s="23"/>
      <c r="I25" s="23"/>
      <c r="J25" s="35" t="str">
        <f>IFERROR(__xludf.DUMMYFUNCTION("TEXTJOIN("", "",TRUE,FILTER(D$1:I$1,D25:I25=""A""))"),"1")</f>
        <v>1</v>
      </c>
    </row>
    <row r="26">
      <c r="A26" s="24">
        <v>24.0</v>
      </c>
      <c r="B26" s="26" t="s">
        <v>187</v>
      </c>
      <c r="C26" s="26" t="s">
        <v>189</v>
      </c>
      <c r="D26" s="24" t="s">
        <v>32</v>
      </c>
      <c r="E26" s="24" t="s">
        <v>32</v>
      </c>
      <c r="F26" s="24" t="s">
        <v>32</v>
      </c>
      <c r="G26" s="29" t="s">
        <v>32</v>
      </c>
      <c r="H26" s="23"/>
      <c r="I26" s="23"/>
      <c r="J26" s="35" t="str">
        <f>IFERROR(__xludf.DUMMYFUNCTION("TEXTJOIN("", "",TRUE,FILTER(D$1:I$1,D26:I26=""A""))"),"1, 2, 3, 4")</f>
        <v>1, 2, 3, 4</v>
      </c>
    </row>
    <row r="27">
      <c r="A27" s="24">
        <v>25.0</v>
      </c>
      <c r="B27" s="26" t="s">
        <v>192</v>
      </c>
      <c r="C27" s="26" t="s">
        <v>194</v>
      </c>
      <c r="D27" s="24" t="s">
        <v>32</v>
      </c>
      <c r="E27" s="24" t="s">
        <v>32</v>
      </c>
      <c r="F27" s="24" t="s">
        <v>32</v>
      </c>
      <c r="G27" s="29" t="s">
        <v>32</v>
      </c>
      <c r="H27" s="23"/>
      <c r="I27" s="23"/>
      <c r="J27" s="35" t="str">
        <f>IFERROR(__xludf.DUMMYFUNCTION("TEXTJOIN("", "",TRUE,FILTER(D$1:I$1,D27:I27=""A""))"),"1, 2, 3, 4")</f>
        <v>1, 2, 3, 4</v>
      </c>
    </row>
    <row r="28">
      <c r="A28" s="24">
        <v>26.0</v>
      </c>
      <c r="B28" s="53" t="s">
        <v>197</v>
      </c>
      <c r="C28" s="53" t="s">
        <v>199</v>
      </c>
      <c r="D28" s="24" t="s">
        <v>32</v>
      </c>
      <c r="E28" s="24" t="s">
        <v>32</v>
      </c>
      <c r="F28" s="24" t="s">
        <v>32</v>
      </c>
      <c r="G28" s="29" t="s">
        <v>32</v>
      </c>
      <c r="H28" s="23"/>
      <c r="I28" s="23"/>
      <c r="J28" s="35" t="str">
        <f>IFERROR(__xludf.DUMMYFUNCTION("TEXTJOIN("", "",TRUE,FILTER(D$1:I$1,D28:I28=""A""))"),"1, 2, 3, 4")</f>
        <v>1, 2, 3, 4</v>
      </c>
    </row>
    <row r="29">
      <c r="A29" s="24">
        <v>27.0</v>
      </c>
      <c r="B29" s="26" t="s">
        <v>203</v>
      </c>
      <c r="C29" s="26" t="s">
        <v>204</v>
      </c>
      <c r="D29" s="24" t="s">
        <v>32</v>
      </c>
      <c r="E29" s="24" t="s">
        <v>32</v>
      </c>
      <c r="F29" s="24" t="s">
        <v>32</v>
      </c>
      <c r="G29" s="29" t="s">
        <v>32</v>
      </c>
      <c r="H29" s="23"/>
      <c r="I29" s="23"/>
      <c r="J29" s="35" t="str">
        <f>IFERROR(__xludf.DUMMYFUNCTION("TEXTJOIN("", "",TRUE,FILTER(D$1:I$1,D29:I29=""A""))"),"1, 2, 3, 4")</f>
        <v>1, 2, 3, 4</v>
      </c>
    </row>
    <row r="30">
      <c r="A30" s="24">
        <v>28.0</v>
      </c>
      <c r="B30" s="26" t="s">
        <v>209</v>
      </c>
      <c r="C30" s="26" t="s">
        <v>210</v>
      </c>
      <c r="D30" s="23">
        <v>14.0</v>
      </c>
      <c r="E30" s="24">
        <v>14.0</v>
      </c>
      <c r="F30" s="24" t="s">
        <v>32</v>
      </c>
      <c r="G30" s="36">
        <v>15.0</v>
      </c>
      <c r="H30" s="23"/>
      <c r="I30" s="23"/>
      <c r="J30" s="35" t="str">
        <f>IFERROR(__xludf.DUMMYFUNCTION("TEXTJOIN("", "",TRUE,FILTER(D$1:I$1,D30:I30=""A""))"),"3")</f>
        <v>3</v>
      </c>
    </row>
    <row r="31">
      <c r="A31" s="24">
        <v>29.0</v>
      </c>
      <c r="B31" s="26" t="s">
        <v>213</v>
      </c>
      <c r="C31" s="26" t="s">
        <v>215</v>
      </c>
      <c r="D31" s="23">
        <v>21.0</v>
      </c>
      <c r="E31" s="24" t="s">
        <v>32</v>
      </c>
      <c r="F31" s="24">
        <v>24.0</v>
      </c>
      <c r="G31" s="36">
        <v>23.0</v>
      </c>
      <c r="H31" s="23"/>
      <c r="I31" s="23"/>
      <c r="J31" s="35" t="str">
        <f>IFERROR(__xludf.DUMMYFUNCTION("TEXTJOIN("", "",TRUE,FILTER(D$1:I$1,D31:I31=""A""))"),"2")</f>
        <v>2</v>
      </c>
    </row>
    <row r="32">
      <c r="A32" s="24">
        <v>30.0</v>
      </c>
      <c r="B32" s="26" t="s">
        <v>217</v>
      </c>
      <c r="C32" s="26" t="s">
        <v>219</v>
      </c>
      <c r="D32" s="24" t="s">
        <v>32</v>
      </c>
      <c r="E32" s="24" t="s">
        <v>32</v>
      </c>
      <c r="F32" s="24" t="s">
        <v>32</v>
      </c>
      <c r="G32" s="29" t="s">
        <v>32</v>
      </c>
      <c r="H32" s="23"/>
      <c r="I32" s="23"/>
      <c r="J32" s="35" t="str">
        <f>IFERROR(__xludf.DUMMYFUNCTION("TEXTJOIN("", "",TRUE,FILTER(D$1:I$1,D32:I32=""A""))"),"1, 2, 3, 4")</f>
        <v>1, 2, 3, 4</v>
      </c>
    </row>
    <row r="33">
      <c r="A33" s="24">
        <v>31.0</v>
      </c>
      <c r="B33" s="26" t="s">
        <v>223</v>
      </c>
      <c r="C33" s="26" t="s">
        <v>226</v>
      </c>
      <c r="D33" s="24" t="s">
        <v>32</v>
      </c>
      <c r="E33" s="24" t="s">
        <v>32</v>
      </c>
      <c r="F33" s="24" t="s">
        <v>32</v>
      </c>
      <c r="G33" s="29" t="s">
        <v>32</v>
      </c>
      <c r="H33" s="23"/>
      <c r="I33" s="23"/>
      <c r="J33" s="35" t="str">
        <f>IFERROR(__xludf.DUMMYFUNCTION("TEXTJOIN("", "",TRUE,FILTER(D$1:I$1,D33:I33=""A""))"),"1, 2, 3, 4")</f>
        <v>1, 2, 3, 4</v>
      </c>
    </row>
    <row r="34">
      <c r="A34" s="24">
        <v>32.0</v>
      </c>
      <c r="B34" s="26" t="s">
        <v>229</v>
      </c>
      <c r="C34" s="26" t="s">
        <v>231</v>
      </c>
      <c r="D34" s="23">
        <v>26.0</v>
      </c>
      <c r="E34" s="24">
        <v>18.0</v>
      </c>
      <c r="F34" s="24">
        <v>26.0</v>
      </c>
      <c r="G34" s="36">
        <v>28.0</v>
      </c>
      <c r="H34" s="23"/>
      <c r="I34" s="23"/>
      <c r="J34" s="35" t="str">
        <f>IFERROR(__xludf.DUMMYFUNCTION("TEXTJOIN("", "",TRUE,FILTER(D$1:I$1,D34:I34=""A""))"),"#N/A")</f>
        <v>#N/A</v>
      </c>
    </row>
    <row r="35">
      <c r="A35" s="24">
        <v>33.0</v>
      </c>
      <c r="B35" s="26" t="s">
        <v>233</v>
      </c>
      <c r="C35" s="26" t="s">
        <v>234</v>
      </c>
      <c r="D35" s="23">
        <v>16.0</v>
      </c>
      <c r="E35" s="24" t="s">
        <v>32</v>
      </c>
      <c r="F35" s="24">
        <v>24.0</v>
      </c>
      <c r="G35" s="36">
        <v>28.0</v>
      </c>
      <c r="H35" s="23"/>
      <c r="I35" s="23"/>
      <c r="J35" s="35" t="str">
        <f>IFERROR(__xludf.DUMMYFUNCTION("TEXTJOIN("", "",TRUE,FILTER(D$1:I$1,D35:I35=""A""))"),"2")</f>
        <v>2</v>
      </c>
    </row>
    <row r="36">
      <c r="A36" s="24">
        <v>34.0</v>
      </c>
      <c r="B36" s="26" t="s">
        <v>238</v>
      </c>
      <c r="C36" s="26" t="s">
        <v>239</v>
      </c>
      <c r="D36" s="24" t="s">
        <v>32</v>
      </c>
      <c r="E36" s="24">
        <v>23.0</v>
      </c>
      <c r="F36" s="24">
        <v>27.0</v>
      </c>
      <c r="G36" s="29" t="s">
        <v>32</v>
      </c>
      <c r="H36" s="23"/>
      <c r="I36" s="23"/>
      <c r="J36" s="35" t="str">
        <f>IFERROR(__xludf.DUMMYFUNCTION("TEXTJOIN("", "",TRUE,FILTER(D$1:I$1,D36:I36=""A""))"),"1, 4")</f>
        <v>1, 4</v>
      </c>
    </row>
    <row r="37">
      <c r="A37" s="24">
        <v>35.0</v>
      </c>
      <c r="B37" s="26" t="s">
        <v>244</v>
      </c>
      <c r="C37" s="26" t="s">
        <v>245</v>
      </c>
      <c r="D37" s="24" t="s">
        <v>32</v>
      </c>
      <c r="E37" s="24" t="s">
        <v>32</v>
      </c>
      <c r="F37" s="24">
        <v>18.0</v>
      </c>
      <c r="G37" s="36">
        <v>18.0</v>
      </c>
      <c r="H37" s="23"/>
      <c r="I37" s="23"/>
      <c r="J37" s="35" t="str">
        <f>IFERROR(__xludf.DUMMYFUNCTION("TEXTJOIN("", "",TRUE,FILTER(D$1:I$1,D37:I37=""A""))"),"1, 2")</f>
        <v>1, 2</v>
      </c>
    </row>
    <row r="38">
      <c r="A38" s="24">
        <v>36.0</v>
      </c>
      <c r="B38" s="26" t="s">
        <v>249</v>
      </c>
      <c r="C38" s="26" t="s">
        <v>250</v>
      </c>
      <c r="D38" s="24" t="s">
        <v>32</v>
      </c>
      <c r="E38" s="24" t="s">
        <v>32</v>
      </c>
      <c r="F38" s="24" t="s">
        <v>32</v>
      </c>
      <c r="G38" s="29" t="s">
        <v>32</v>
      </c>
      <c r="H38" s="23"/>
      <c r="I38" s="23"/>
      <c r="J38" s="35" t="str">
        <f>IFERROR(__xludf.DUMMYFUNCTION("TEXTJOIN("", "",TRUE,FILTER(D$1:I$1,D38:I38=""A""))"),"1, 2, 3, 4")</f>
        <v>1, 2, 3, 4</v>
      </c>
    </row>
    <row r="39">
      <c r="A39" s="24">
        <v>37.0</v>
      </c>
      <c r="B39" s="26" t="s">
        <v>253</v>
      </c>
      <c r="C39" s="26" t="s">
        <v>254</v>
      </c>
      <c r="D39" s="23">
        <v>24.0</v>
      </c>
      <c r="E39" s="24" t="s">
        <v>32</v>
      </c>
      <c r="F39" s="24" t="s">
        <v>32</v>
      </c>
      <c r="G39" s="29" t="s">
        <v>32</v>
      </c>
      <c r="H39" s="23"/>
      <c r="I39" s="23"/>
      <c r="J39" s="35" t="str">
        <f>IFERROR(__xludf.DUMMYFUNCTION("TEXTJOIN("", "",TRUE,FILTER(D$1:I$1,D39:I39=""A""))"),"2, 3, 4")</f>
        <v>2, 3, 4</v>
      </c>
    </row>
    <row r="40">
      <c r="A40" s="24">
        <v>38.0</v>
      </c>
      <c r="B40" s="26" t="s">
        <v>258</v>
      </c>
      <c r="C40" s="26" t="s">
        <v>259</v>
      </c>
      <c r="D40" s="24" t="s">
        <v>32</v>
      </c>
      <c r="E40" s="24" t="s">
        <v>32</v>
      </c>
      <c r="F40" s="24" t="s">
        <v>32</v>
      </c>
      <c r="G40" s="29" t="s">
        <v>32</v>
      </c>
      <c r="H40" s="23"/>
      <c r="I40" s="23"/>
      <c r="J40" s="35" t="str">
        <f>IFERROR(__xludf.DUMMYFUNCTION("TEXTJOIN("", "",TRUE,FILTER(D$1:I$1,D40:I40=""A""))"),"1, 2, 3, 4")</f>
        <v>1, 2, 3, 4</v>
      </c>
    </row>
    <row r="41">
      <c r="A41" s="24">
        <v>39.0</v>
      </c>
      <c r="B41" s="26" t="s">
        <v>263</v>
      </c>
      <c r="C41" s="26" t="s">
        <v>264</v>
      </c>
      <c r="D41" s="24" t="s">
        <v>32</v>
      </c>
      <c r="E41" s="24" t="s">
        <v>32</v>
      </c>
      <c r="F41" s="24" t="s">
        <v>32</v>
      </c>
      <c r="G41" s="29" t="s">
        <v>32</v>
      </c>
      <c r="H41" s="23"/>
      <c r="I41" s="23"/>
      <c r="J41" s="35" t="str">
        <f>IFERROR(__xludf.DUMMYFUNCTION("TEXTJOIN("", "",TRUE,FILTER(D$1:I$1,D41:I41=""A""))"),"1, 2, 3, 4")</f>
        <v>1, 2, 3, 4</v>
      </c>
    </row>
    <row r="42">
      <c r="A42" s="24">
        <v>40.0</v>
      </c>
      <c r="B42" s="26" t="s">
        <v>267</v>
      </c>
      <c r="C42" s="26" t="s">
        <v>269</v>
      </c>
      <c r="D42" s="24" t="s">
        <v>32</v>
      </c>
      <c r="E42" s="24" t="s">
        <v>32</v>
      </c>
      <c r="F42" s="24" t="s">
        <v>32</v>
      </c>
      <c r="G42" s="29" t="s">
        <v>32</v>
      </c>
      <c r="H42" s="23"/>
      <c r="I42" s="23"/>
      <c r="J42" s="35" t="str">
        <f>IFERROR(__xludf.DUMMYFUNCTION("TEXTJOIN("", "",TRUE,FILTER(D$1:I$1,D42:I42=""A""))"),"1, 2, 3, 4")</f>
        <v>1, 2, 3, 4</v>
      </c>
    </row>
    <row r="43">
      <c r="A43" s="24">
        <v>41.0</v>
      </c>
      <c r="B43" s="26" t="s">
        <v>272</v>
      </c>
      <c r="C43" s="26" t="s">
        <v>273</v>
      </c>
      <c r="D43" s="23">
        <v>19.0</v>
      </c>
      <c r="E43" s="24">
        <v>23.0</v>
      </c>
      <c r="F43" s="24" t="s">
        <v>32</v>
      </c>
      <c r="G43" s="36">
        <v>21.0</v>
      </c>
      <c r="H43" s="23"/>
      <c r="I43" s="23"/>
      <c r="J43" s="35" t="str">
        <f>IFERROR(__xludf.DUMMYFUNCTION("TEXTJOIN("", "",TRUE,FILTER(D$1:I$1,D43:I43=""A""))"),"3")</f>
        <v>3</v>
      </c>
    </row>
    <row r="44">
      <c r="A44" s="24">
        <v>42.0</v>
      </c>
      <c r="B44" s="26" t="s">
        <v>277</v>
      </c>
      <c r="C44" s="26" t="s">
        <v>278</v>
      </c>
      <c r="D44" s="24" t="s">
        <v>32</v>
      </c>
      <c r="E44" s="24" t="s">
        <v>32</v>
      </c>
      <c r="F44" s="24" t="s">
        <v>32</v>
      </c>
      <c r="G44" s="29" t="s">
        <v>32</v>
      </c>
      <c r="H44" s="23"/>
      <c r="I44" s="23"/>
      <c r="J44" s="35" t="str">
        <f>IFERROR(__xludf.DUMMYFUNCTION("TEXTJOIN("", "",TRUE,FILTER(D$1:I$1,D44:I44=""A""))"),"1, 2, 3, 4")</f>
        <v>1, 2, 3, 4</v>
      </c>
    </row>
    <row r="45">
      <c r="A45" s="24">
        <v>43.0</v>
      </c>
      <c r="B45" s="26" t="s">
        <v>283</v>
      </c>
      <c r="C45" s="26" t="s">
        <v>284</v>
      </c>
      <c r="D45" s="23">
        <v>18.0</v>
      </c>
      <c r="E45" s="24">
        <v>20.0</v>
      </c>
      <c r="F45" s="24">
        <v>27.0</v>
      </c>
      <c r="G45" s="36">
        <v>30.0</v>
      </c>
      <c r="H45" s="23"/>
      <c r="I45" s="23"/>
      <c r="J45" s="35" t="str">
        <f>IFERROR(__xludf.DUMMYFUNCTION("TEXTJOIN("", "",TRUE,FILTER(D$1:I$1,D45:I45=""A""))"),"#N/A")</f>
        <v>#N/A</v>
      </c>
    </row>
    <row r="46">
      <c r="A46" s="24">
        <v>44.0</v>
      </c>
      <c r="B46" s="26" t="s">
        <v>287</v>
      </c>
      <c r="C46" s="26" t="s">
        <v>289</v>
      </c>
      <c r="D46" s="24" t="s">
        <v>32</v>
      </c>
      <c r="E46" s="24">
        <v>19.0</v>
      </c>
      <c r="F46" s="24">
        <v>29.0</v>
      </c>
      <c r="G46" s="36">
        <v>29.0</v>
      </c>
      <c r="H46" s="23"/>
      <c r="I46" s="23"/>
      <c r="J46" s="35" t="str">
        <f>IFERROR(__xludf.DUMMYFUNCTION("TEXTJOIN("", "",TRUE,FILTER(D$1:I$1,D46:I46=""A""))"),"1")</f>
        <v>1</v>
      </c>
    </row>
    <row r="47">
      <c r="A47" s="24">
        <v>45.0</v>
      </c>
      <c r="B47" s="26" t="s">
        <v>292</v>
      </c>
      <c r="C47" s="26" t="s">
        <v>293</v>
      </c>
      <c r="D47" s="24" t="s">
        <v>32</v>
      </c>
      <c r="E47" s="24" t="s">
        <v>32</v>
      </c>
      <c r="F47" s="24" t="s">
        <v>32</v>
      </c>
      <c r="G47" s="29" t="s">
        <v>32</v>
      </c>
      <c r="H47" s="23"/>
      <c r="I47" s="23"/>
      <c r="J47" s="35" t="str">
        <f>IFERROR(__xludf.DUMMYFUNCTION("TEXTJOIN("", "",TRUE,FILTER(D$1:I$1,D47:I47=""A""))"),"1, 2, 3, 4")</f>
        <v>1, 2, 3, 4</v>
      </c>
    </row>
    <row r="48">
      <c r="A48" s="24">
        <v>46.0</v>
      </c>
      <c r="B48" s="26" t="s">
        <v>297</v>
      </c>
      <c r="C48" s="26" t="s">
        <v>299</v>
      </c>
      <c r="D48" s="24" t="s">
        <v>32</v>
      </c>
      <c r="E48" s="24" t="s">
        <v>32</v>
      </c>
      <c r="F48" s="24" t="s">
        <v>32</v>
      </c>
      <c r="G48" s="29" t="s">
        <v>32</v>
      </c>
      <c r="H48" s="23"/>
      <c r="I48" s="23"/>
      <c r="J48" s="35" t="str">
        <f>IFERROR(__xludf.DUMMYFUNCTION("TEXTJOIN("", "",TRUE,FILTER(D$1:I$1,D48:I48=""A""))"),"1, 2, 3, 4")</f>
        <v>1, 2, 3, 4</v>
      </c>
    </row>
    <row r="49">
      <c r="A49" s="24">
        <v>47.0</v>
      </c>
      <c r="B49" s="26" t="s">
        <v>303</v>
      </c>
      <c r="C49" s="26" t="s">
        <v>305</v>
      </c>
      <c r="D49" s="24" t="s">
        <v>32</v>
      </c>
      <c r="E49" s="24" t="s">
        <v>32</v>
      </c>
      <c r="F49" s="24" t="s">
        <v>32</v>
      </c>
      <c r="G49" s="29" t="s">
        <v>32</v>
      </c>
      <c r="H49" s="23"/>
      <c r="I49" s="23"/>
      <c r="J49" s="35" t="str">
        <f>IFERROR(__xludf.DUMMYFUNCTION("TEXTJOIN("", "",TRUE,FILTER(D$1:I$1,D49:I49=""A""))"),"1, 2, 3, 4")</f>
        <v>1, 2, 3, 4</v>
      </c>
    </row>
    <row r="50">
      <c r="A50" s="24">
        <v>48.0</v>
      </c>
      <c r="B50" s="26" t="s">
        <v>308</v>
      </c>
      <c r="C50" s="26" t="s">
        <v>310</v>
      </c>
      <c r="D50" s="23">
        <v>15.0</v>
      </c>
      <c r="E50" s="24">
        <v>19.0</v>
      </c>
      <c r="F50" s="24">
        <v>30.0</v>
      </c>
      <c r="G50" s="36">
        <v>22.0</v>
      </c>
      <c r="H50" s="23"/>
      <c r="I50" s="23"/>
      <c r="J50" s="35" t="str">
        <f>IFERROR(__xludf.DUMMYFUNCTION("TEXTJOIN("", "",TRUE,FILTER(D$1:I$1,D50:I50=""A""))"),"#N/A")</f>
        <v>#N/A</v>
      </c>
    </row>
    <row r="51">
      <c r="A51" s="24">
        <v>49.0</v>
      </c>
      <c r="B51" s="26" t="s">
        <v>314</v>
      </c>
      <c r="C51" s="26" t="s">
        <v>315</v>
      </c>
      <c r="D51" s="23">
        <v>24.0</v>
      </c>
      <c r="E51" s="24" t="s">
        <v>32</v>
      </c>
      <c r="F51" s="24">
        <v>27.0</v>
      </c>
      <c r="G51" s="29" t="s">
        <v>32</v>
      </c>
      <c r="H51" s="23"/>
      <c r="I51" s="23"/>
      <c r="J51" s="35" t="str">
        <f>IFERROR(__xludf.DUMMYFUNCTION("TEXTJOIN("", "",TRUE,FILTER(D$1:I$1,D51:I51=""A""))"),"2, 4")</f>
        <v>2, 4</v>
      </c>
    </row>
    <row r="52">
      <c r="A52" s="24">
        <v>50.0</v>
      </c>
      <c r="B52" s="26" t="s">
        <v>320</v>
      </c>
      <c r="C52" s="26" t="s">
        <v>321</v>
      </c>
      <c r="D52" s="23">
        <v>25.0</v>
      </c>
      <c r="E52" s="24">
        <v>24.0</v>
      </c>
      <c r="F52" s="24">
        <v>28.0</v>
      </c>
      <c r="G52" s="36">
        <v>25.0</v>
      </c>
      <c r="H52" s="23"/>
      <c r="I52" s="23"/>
      <c r="J52" s="35" t="str">
        <f>IFERROR(__xludf.DUMMYFUNCTION("TEXTJOIN("", "",TRUE,FILTER(D$1:I$1,D52:I52=""A""))"),"#N/A")</f>
        <v>#N/A</v>
      </c>
    </row>
    <row r="53">
      <c r="A53" s="24">
        <v>51.0</v>
      </c>
      <c r="B53" s="26" t="s">
        <v>325</v>
      </c>
      <c r="C53" s="26" t="s">
        <v>326</v>
      </c>
      <c r="D53" s="24" t="s">
        <v>32</v>
      </c>
      <c r="E53" s="24" t="s">
        <v>32</v>
      </c>
      <c r="F53" s="24">
        <v>28.0</v>
      </c>
      <c r="G53" s="29" t="s">
        <v>32</v>
      </c>
      <c r="H53" s="23"/>
      <c r="I53" s="23"/>
      <c r="J53" s="35" t="str">
        <f>IFERROR(__xludf.DUMMYFUNCTION("TEXTJOIN("", "",TRUE,FILTER(D$1:I$1,D53:I53=""A""))"),"1, 2, 4")</f>
        <v>1, 2, 4</v>
      </c>
    </row>
    <row r="54">
      <c r="A54" s="24">
        <v>52.0</v>
      </c>
      <c r="B54" s="26" t="s">
        <v>329</v>
      </c>
      <c r="C54" s="26" t="s">
        <v>331</v>
      </c>
      <c r="D54" s="24" t="s">
        <v>32</v>
      </c>
      <c r="E54" s="24" t="s">
        <v>32</v>
      </c>
      <c r="F54" s="24" t="s">
        <v>32</v>
      </c>
      <c r="G54" s="29" t="s">
        <v>32</v>
      </c>
      <c r="H54" s="23"/>
      <c r="I54" s="23"/>
      <c r="J54" s="35" t="str">
        <f>IFERROR(__xludf.DUMMYFUNCTION("TEXTJOIN("", "",TRUE,FILTER(D$1:I$1,D54:I54=""A""))"),"1, 2, 3, 4")</f>
        <v>1, 2, 3, 4</v>
      </c>
    </row>
    <row r="55">
      <c r="A55" s="24">
        <v>53.0</v>
      </c>
      <c r="B55" s="26" t="s">
        <v>334</v>
      </c>
      <c r="C55" s="26" t="s">
        <v>335</v>
      </c>
      <c r="D55" s="23">
        <v>26.0</v>
      </c>
      <c r="E55" s="24" t="s">
        <v>32</v>
      </c>
      <c r="F55" s="24">
        <v>29.0</v>
      </c>
      <c r="G55" s="29" t="s">
        <v>32</v>
      </c>
      <c r="H55" s="23"/>
      <c r="I55" s="23"/>
      <c r="J55" s="35" t="str">
        <f>IFERROR(__xludf.DUMMYFUNCTION("TEXTJOIN("", "",TRUE,FILTER(D$1:I$1,D55:I55=""A""))"),"2, 4")</f>
        <v>2, 4</v>
      </c>
    </row>
    <row r="56">
      <c r="A56" s="24">
        <v>54.0</v>
      </c>
      <c r="B56" s="26" t="s">
        <v>340</v>
      </c>
      <c r="C56" s="43" t="s">
        <v>341</v>
      </c>
      <c r="D56" s="23">
        <v>25.0</v>
      </c>
      <c r="E56" s="24" t="s">
        <v>32</v>
      </c>
      <c r="F56" s="24" t="s">
        <v>32</v>
      </c>
      <c r="G56" s="29" t="s">
        <v>32</v>
      </c>
      <c r="H56" s="23"/>
      <c r="I56" s="23"/>
      <c r="J56" s="35" t="str">
        <f>IFERROR(__xludf.DUMMYFUNCTION("TEXTJOIN("", "",TRUE,FILTER(D$1:I$1,D56:I56=""A""))"),"2, 3, 4")</f>
        <v>2, 3, 4</v>
      </c>
    </row>
    <row r="57">
      <c r="A57" s="24">
        <v>55.0</v>
      </c>
      <c r="B57" s="26" t="s">
        <v>344</v>
      </c>
      <c r="C57" s="26" t="s">
        <v>345</v>
      </c>
      <c r="D57" s="24" t="s">
        <v>32</v>
      </c>
      <c r="E57" s="24" t="s">
        <v>32</v>
      </c>
      <c r="F57" s="24" t="s">
        <v>32</v>
      </c>
      <c r="G57" s="29" t="s">
        <v>32</v>
      </c>
      <c r="H57" s="23"/>
      <c r="I57" s="23"/>
      <c r="J57" s="35" t="str">
        <f>IFERROR(__xludf.DUMMYFUNCTION("TEXTJOIN("", "",TRUE,FILTER(D$1:I$1,D57:I57=""A""))"),"1, 2, 3, 4")</f>
        <v>1, 2, 3, 4</v>
      </c>
    </row>
    <row r="58">
      <c r="A58" s="24">
        <v>56.0</v>
      </c>
      <c r="B58" s="26" t="s">
        <v>348</v>
      </c>
      <c r="C58" s="26" t="s">
        <v>350</v>
      </c>
      <c r="D58" s="24" t="s">
        <v>32</v>
      </c>
      <c r="E58" s="24" t="s">
        <v>32</v>
      </c>
      <c r="F58" s="24" t="s">
        <v>32</v>
      </c>
      <c r="G58" s="29" t="s">
        <v>32</v>
      </c>
      <c r="H58" s="23"/>
      <c r="I58" s="23"/>
      <c r="J58" s="35" t="str">
        <f>IFERROR(__xludf.DUMMYFUNCTION("TEXTJOIN("", "",TRUE,FILTER(D$1:I$1,D58:I58=""A""))"),"1, 2, 3, 4")</f>
        <v>1, 2, 3, 4</v>
      </c>
    </row>
    <row r="59">
      <c r="A59" s="24">
        <v>57.0</v>
      </c>
      <c r="B59" s="26" t="s">
        <v>353</v>
      </c>
      <c r="C59" s="26" t="s">
        <v>354</v>
      </c>
      <c r="D59" s="23">
        <v>30.0</v>
      </c>
      <c r="E59" s="24" t="s">
        <v>32</v>
      </c>
      <c r="F59" s="24">
        <v>29.0</v>
      </c>
      <c r="G59" s="29" t="s">
        <v>32</v>
      </c>
      <c r="H59" s="23"/>
      <c r="I59" s="23"/>
      <c r="J59" s="35" t="str">
        <f>IFERROR(__xludf.DUMMYFUNCTION("TEXTJOIN("", "",TRUE,FILTER(D$1:I$1,D59:I59=""A""))"),"2, 4")</f>
        <v>2, 4</v>
      </c>
    </row>
    <row r="60">
      <c r="A60" s="24">
        <v>58.0</v>
      </c>
      <c r="B60" s="26" t="s">
        <v>359</v>
      </c>
      <c r="C60" s="26" t="s">
        <v>360</v>
      </c>
      <c r="D60" s="23">
        <v>26.0</v>
      </c>
      <c r="E60" s="24" t="s">
        <v>32</v>
      </c>
      <c r="F60" s="24">
        <v>28.0</v>
      </c>
      <c r="G60" s="29" t="s">
        <v>32</v>
      </c>
      <c r="H60" s="23"/>
      <c r="I60" s="23"/>
      <c r="J60" s="35" t="str">
        <f>IFERROR(__xludf.DUMMYFUNCTION("TEXTJOIN("", "",TRUE,FILTER(D$1:I$1,D60:I60=""A""))"),"2, 4")</f>
        <v>2, 4</v>
      </c>
    </row>
    <row r="61">
      <c r="A61" s="24">
        <v>59.0</v>
      </c>
      <c r="B61" s="26" t="s">
        <v>363</v>
      </c>
      <c r="C61" s="26" t="s">
        <v>365</v>
      </c>
      <c r="D61" s="24" t="s">
        <v>32</v>
      </c>
      <c r="E61" s="24" t="s">
        <v>32</v>
      </c>
      <c r="F61" s="24" t="s">
        <v>32</v>
      </c>
      <c r="G61" s="29" t="s">
        <v>32</v>
      </c>
      <c r="H61" s="23"/>
      <c r="I61" s="23"/>
      <c r="J61" s="35" t="str">
        <f>IFERROR(__xludf.DUMMYFUNCTION("TEXTJOIN("", "",TRUE,FILTER(D$1:I$1,D61:I61=""A""))"),"1, 2, 3, 4")</f>
        <v>1, 2, 3, 4</v>
      </c>
    </row>
    <row r="62">
      <c r="A62" s="24">
        <v>60.0</v>
      </c>
      <c r="B62" s="26" t="s">
        <v>368</v>
      </c>
      <c r="C62" s="26" t="s">
        <v>369</v>
      </c>
      <c r="D62" s="24" t="s">
        <v>32</v>
      </c>
      <c r="E62" s="24" t="s">
        <v>32</v>
      </c>
      <c r="F62" s="24" t="s">
        <v>32</v>
      </c>
      <c r="G62" s="29" t="s">
        <v>32</v>
      </c>
      <c r="H62" s="23"/>
      <c r="I62" s="23"/>
      <c r="J62" s="35" t="str">
        <f>IFERROR(__xludf.DUMMYFUNCTION("TEXTJOIN("", "",TRUE,FILTER(D$1:I$1,D62:I62=""A""))"),"1, 2, 3, 4")</f>
        <v>1, 2, 3, 4</v>
      </c>
    </row>
    <row r="63">
      <c r="A63" s="24">
        <v>61.0</v>
      </c>
      <c r="B63" s="26" t="s">
        <v>374</v>
      </c>
      <c r="C63" s="26" t="s">
        <v>376</v>
      </c>
      <c r="D63" s="24">
        <v>22.0</v>
      </c>
      <c r="E63" s="24" t="s">
        <v>32</v>
      </c>
      <c r="F63" s="24">
        <v>23.0</v>
      </c>
      <c r="G63" s="36">
        <v>25.0</v>
      </c>
      <c r="H63" s="23"/>
      <c r="I63" s="23"/>
      <c r="J63" s="35" t="str">
        <f>IFERROR(__xludf.DUMMYFUNCTION("TEXTJOIN("", "",TRUE,FILTER(D$1:I$1,D63:I63=""A""))"),"2")</f>
        <v>2</v>
      </c>
    </row>
    <row r="64">
      <c r="A64" s="24">
        <v>62.0</v>
      </c>
      <c r="B64" s="26" t="s">
        <v>381</v>
      </c>
      <c r="C64" s="26" t="s">
        <v>383</v>
      </c>
      <c r="D64" s="24" t="s">
        <v>32</v>
      </c>
      <c r="E64" s="24" t="s">
        <v>32</v>
      </c>
      <c r="F64" s="24" t="s">
        <v>32</v>
      </c>
      <c r="G64" s="29" t="s">
        <v>32</v>
      </c>
      <c r="H64" s="23"/>
      <c r="I64" s="23"/>
      <c r="J64" s="35" t="str">
        <f>IFERROR(__xludf.DUMMYFUNCTION("TEXTJOIN("", "",TRUE,FILTER(D$1:I$1,D64:I64=""A""))"),"1, 2, 3, 4")</f>
        <v>1, 2, 3, 4</v>
      </c>
    </row>
    <row r="65">
      <c r="A65" s="24">
        <v>63.0</v>
      </c>
      <c r="B65" s="26" t="s">
        <v>386</v>
      </c>
      <c r="C65" s="26" t="s">
        <v>387</v>
      </c>
      <c r="D65" s="24" t="s">
        <v>32</v>
      </c>
      <c r="E65" s="24" t="s">
        <v>32</v>
      </c>
      <c r="F65" s="24" t="s">
        <v>32</v>
      </c>
      <c r="G65" s="29" t="s">
        <v>32</v>
      </c>
      <c r="H65" s="23"/>
      <c r="I65" s="23"/>
      <c r="J65" s="35" t="str">
        <f>IFERROR(__xludf.DUMMYFUNCTION("TEXTJOIN("", "",TRUE,FILTER(D$1:I$1,D65:I65=""A""))"),"1, 2, 3, 4")</f>
        <v>1, 2, 3, 4</v>
      </c>
    </row>
    <row r="66">
      <c r="A66" s="24">
        <v>64.0</v>
      </c>
      <c r="B66" s="26" t="s">
        <v>391</v>
      </c>
      <c r="C66" s="26" t="s">
        <v>392</v>
      </c>
      <c r="D66" s="24">
        <v>28.0</v>
      </c>
      <c r="E66" s="24" t="s">
        <v>32</v>
      </c>
      <c r="F66" s="24">
        <v>29.0</v>
      </c>
      <c r="G66" s="29" t="s">
        <v>32</v>
      </c>
      <c r="H66" s="23"/>
      <c r="I66" s="23"/>
      <c r="J66" s="35" t="str">
        <f>IFERROR(__xludf.DUMMYFUNCTION("TEXTJOIN("", "",TRUE,FILTER(D$1:I$1,D66:I66=""A""))"),"2, 4")</f>
        <v>2, 4</v>
      </c>
    </row>
    <row r="67">
      <c r="A67" s="24">
        <v>65.0</v>
      </c>
      <c r="B67" s="26" t="s">
        <v>396</v>
      </c>
      <c r="C67" s="26" t="s">
        <v>397</v>
      </c>
      <c r="D67" s="24" t="s">
        <v>32</v>
      </c>
      <c r="E67" s="24">
        <v>15.0</v>
      </c>
      <c r="F67" s="24">
        <v>21.0</v>
      </c>
      <c r="G67" s="36">
        <v>20.0</v>
      </c>
      <c r="H67" s="23"/>
      <c r="I67" s="23"/>
      <c r="J67" s="35" t="str">
        <f>IFERROR(__xludf.DUMMYFUNCTION("TEXTJOIN("", "",TRUE,FILTER(D$1:I$1,D67:I67=""A""))"),"1")</f>
        <v>1</v>
      </c>
    </row>
    <row r="68">
      <c r="A68" s="24">
        <v>66.0</v>
      </c>
      <c r="B68" s="26" t="s">
        <v>400</v>
      </c>
      <c r="C68" s="26" t="s">
        <v>402</v>
      </c>
      <c r="D68" s="23">
        <v>22.0</v>
      </c>
      <c r="E68" s="24">
        <v>20.0</v>
      </c>
      <c r="F68" s="24">
        <v>25.0</v>
      </c>
      <c r="G68" s="36">
        <v>27.0</v>
      </c>
      <c r="H68" s="23"/>
      <c r="I68" s="23"/>
      <c r="J68" s="35" t="str">
        <f>IFERROR(__xludf.DUMMYFUNCTION("TEXTJOIN("", "",TRUE,FILTER(D$1:I$1,D68:I68=""A""))"),"#N/A")</f>
        <v>#N/A</v>
      </c>
    </row>
    <row r="69">
      <c r="A69" s="24">
        <v>67.0</v>
      </c>
      <c r="B69" s="26" t="s">
        <v>405</v>
      </c>
      <c r="C69" s="26" t="s">
        <v>406</v>
      </c>
      <c r="D69" s="24" t="s">
        <v>32</v>
      </c>
      <c r="E69" s="24" t="s">
        <v>32</v>
      </c>
      <c r="F69" s="24" t="s">
        <v>32</v>
      </c>
      <c r="G69" s="29" t="s">
        <v>32</v>
      </c>
      <c r="H69" s="23"/>
      <c r="I69" s="23"/>
      <c r="J69" s="35" t="str">
        <f>IFERROR(__xludf.DUMMYFUNCTION("TEXTJOIN("", "",TRUE,FILTER(D$1:I$1,D69:I69=""A""))"),"1, 2, 3, 4")</f>
        <v>1, 2, 3, 4</v>
      </c>
    </row>
    <row r="70">
      <c r="A70" s="24">
        <v>68.0</v>
      </c>
      <c r="B70" s="26" t="s">
        <v>410</v>
      </c>
      <c r="C70" s="26" t="s">
        <v>411</v>
      </c>
      <c r="D70" s="24" t="s">
        <v>32</v>
      </c>
      <c r="E70" s="24" t="s">
        <v>32</v>
      </c>
      <c r="F70" s="24" t="s">
        <v>32</v>
      </c>
      <c r="G70" s="29" t="s">
        <v>32</v>
      </c>
      <c r="H70" s="23"/>
      <c r="I70" s="23"/>
      <c r="J70" s="35" t="str">
        <f>IFERROR(__xludf.DUMMYFUNCTION("TEXTJOIN("", "",TRUE,FILTER(D$1:I$1,D70:I70=""A""))"),"1, 2, 3, 4")</f>
        <v>1, 2, 3, 4</v>
      </c>
    </row>
    <row r="71">
      <c r="A71" s="24">
        <v>69.0</v>
      </c>
      <c r="B71" s="26" t="s">
        <v>415</v>
      </c>
      <c r="C71" s="26" t="s">
        <v>416</v>
      </c>
      <c r="D71" s="23">
        <v>25.0</v>
      </c>
      <c r="E71" s="24" t="s">
        <v>32</v>
      </c>
      <c r="F71" s="24">
        <v>27.0</v>
      </c>
      <c r="G71" s="36">
        <v>27.0</v>
      </c>
      <c r="H71" s="23"/>
      <c r="I71" s="23"/>
      <c r="J71" s="35" t="str">
        <f>IFERROR(__xludf.DUMMYFUNCTION("TEXTJOIN("", "",TRUE,FILTER(D$1:I$1,D71:I71=""A""))"),"2")</f>
        <v>2</v>
      </c>
    </row>
    <row r="72">
      <c r="A72" s="24">
        <v>70.0</v>
      </c>
      <c r="B72" s="26" t="s">
        <v>418</v>
      </c>
      <c r="C72" s="26" t="s">
        <v>419</v>
      </c>
      <c r="D72" s="24" t="s">
        <v>32</v>
      </c>
      <c r="E72" s="24" t="s">
        <v>32</v>
      </c>
      <c r="F72" s="24" t="s">
        <v>32</v>
      </c>
      <c r="G72" s="29" t="s">
        <v>32</v>
      </c>
      <c r="H72" s="23"/>
      <c r="I72" s="23"/>
      <c r="J72" s="35" t="str">
        <f>IFERROR(__xludf.DUMMYFUNCTION("TEXTJOIN("", "",TRUE,FILTER(D$1:I$1,D72:I72=""A""))"),"1, 2, 3, 4")</f>
        <v>1, 2, 3, 4</v>
      </c>
    </row>
    <row r="73">
      <c r="A73" s="24">
        <v>71.0</v>
      </c>
      <c r="B73" s="26" t="s">
        <v>422</v>
      </c>
      <c r="C73" s="26" t="s">
        <v>423</v>
      </c>
      <c r="D73" s="23">
        <v>14.0</v>
      </c>
      <c r="E73" s="24" t="s">
        <v>32</v>
      </c>
      <c r="F73" s="24">
        <v>16.0</v>
      </c>
      <c r="G73" s="29" t="s">
        <v>32</v>
      </c>
      <c r="H73" s="23"/>
      <c r="I73" s="23"/>
      <c r="J73" s="35" t="str">
        <f>IFERROR(__xludf.DUMMYFUNCTION("TEXTJOIN("", "",TRUE,FILTER(D$1:I$1,D73:I73=""A""))"),"2, 4")</f>
        <v>2, 4</v>
      </c>
    </row>
    <row r="74">
      <c r="A74" s="24">
        <v>72.0</v>
      </c>
      <c r="B74" s="26" t="s">
        <v>426</v>
      </c>
      <c r="C74" s="26" t="s">
        <v>427</v>
      </c>
      <c r="D74" s="23">
        <v>27.0</v>
      </c>
      <c r="E74" s="24">
        <v>24.0</v>
      </c>
      <c r="F74" s="24">
        <v>28.0</v>
      </c>
      <c r="G74" s="36">
        <v>30.0</v>
      </c>
      <c r="H74" s="23"/>
      <c r="I74" s="23"/>
      <c r="J74" s="35" t="str">
        <f>IFERROR(__xludf.DUMMYFUNCTION("TEXTJOIN("", "",TRUE,FILTER(D$1:I$1,D74:I74=""A""))"),"#N/A")</f>
        <v>#N/A</v>
      </c>
    </row>
    <row r="75">
      <c r="A75" s="24">
        <v>73.0</v>
      </c>
      <c r="B75" s="26" t="s">
        <v>430</v>
      </c>
      <c r="C75" s="26" t="s">
        <v>432</v>
      </c>
      <c r="D75" s="23">
        <v>27.0</v>
      </c>
      <c r="E75" s="24">
        <v>24.0</v>
      </c>
      <c r="F75" s="24">
        <v>28.0</v>
      </c>
      <c r="G75" s="36">
        <v>30.0</v>
      </c>
      <c r="H75" s="23"/>
      <c r="I75" s="23"/>
      <c r="J75" s="35" t="str">
        <f>IFERROR(__xludf.DUMMYFUNCTION("TEXTJOIN("", "",TRUE,FILTER(D$1:I$1,D75:I75=""A""))"),"#N/A")</f>
        <v>#N/A</v>
      </c>
    </row>
    <row r="76">
      <c r="A76" s="24">
        <v>74.0</v>
      </c>
      <c r="B76" s="26" t="s">
        <v>435</v>
      </c>
      <c r="C76" s="26" t="s">
        <v>436</v>
      </c>
      <c r="D76" s="24" t="s">
        <v>32</v>
      </c>
      <c r="E76" s="24">
        <v>24.0</v>
      </c>
      <c r="F76" s="24" t="s">
        <v>32</v>
      </c>
      <c r="G76" s="29" t="s">
        <v>32</v>
      </c>
      <c r="H76" s="23"/>
      <c r="I76" s="23"/>
      <c r="J76" s="35" t="str">
        <f>IFERROR(__xludf.DUMMYFUNCTION("TEXTJOIN("", "",TRUE,FILTER(D$1:I$1,D76:I76=""A""))"),"1, 3, 4")</f>
        <v>1, 3, 4</v>
      </c>
    </row>
    <row r="77">
      <c r="A77" s="24">
        <v>75.0</v>
      </c>
      <c r="B77" s="26" t="s">
        <v>439</v>
      </c>
      <c r="C77" s="26" t="s">
        <v>440</v>
      </c>
      <c r="D77" s="24" t="s">
        <v>32</v>
      </c>
      <c r="E77" s="24">
        <v>10.0</v>
      </c>
      <c r="F77" s="24" t="s">
        <v>32</v>
      </c>
      <c r="G77" s="36">
        <v>9.0</v>
      </c>
      <c r="H77" s="23"/>
      <c r="I77" s="23"/>
      <c r="J77" s="35" t="str">
        <f>IFERROR(__xludf.DUMMYFUNCTION("TEXTJOIN("", "",TRUE,FILTER(D$1:I$1,D77:I77=""A""))"),"1, 3")</f>
        <v>1, 3</v>
      </c>
    </row>
    <row r="78">
      <c r="A78" s="24">
        <v>76.0</v>
      </c>
      <c r="B78" s="26" t="s">
        <v>443</v>
      </c>
      <c r="C78" s="26" t="s">
        <v>444</v>
      </c>
      <c r="D78" s="24" t="s">
        <v>32</v>
      </c>
      <c r="E78" s="24" t="s">
        <v>32</v>
      </c>
      <c r="F78" s="24" t="s">
        <v>32</v>
      </c>
      <c r="G78" s="29" t="s">
        <v>32</v>
      </c>
      <c r="H78" s="23"/>
      <c r="I78" s="23"/>
      <c r="J78" s="35" t="str">
        <f>IFERROR(__xludf.DUMMYFUNCTION("TEXTJOIN("", "",TRUE,FILTER(D$1:I$1,D78:I78=""A""))"),"1, 2, 3, 4")</f>
        <v>1, 2, 3, 4</v>
      </c>
    </row>
    <row r="79">
      <c r="A79" s="24">
        <v>77.0</v>
      </c>
      <c r="B79" s="26" t="s">
        <v>448</v>
      </c>
      <c r="C79" s="26" t="s">
        <v>450</v>
      </c>
      <c r="D79" s="23">
        <v>20.0</v>
      </c>
      <c r="E79" s="24">
        <v>20.0</v>
      </c>
      <c r="F79" s="24" t="s">
        <v>32</v>
      </c>
      <c r="G79" s="29" t="s">
        <v>32</v>
      </c>
      <c r="H79" s="23"/>
      <c r="I79" s="23"/>
      <c r="J79" s="35" t="str">
        <f>IFERROR(__xludf.DUMMYFUNCTION("TEXTJOIN("", "",TRUE,FILTER(D$1:I$1,D79:I79=""A""))"),"3, 4")</f>
        <v>3, 4</v>
      </c>
    </row>
    <row r="80">
      <c r="A80" s="24">
        <v>78.0</v>
      </c>
      <c r="B80" s="26" t="s">
        <v>453</v>
      </c>
      <c r="C80" s="26" t="s">
        <v>454</v>
      </c>
      <c r="D80" s="24" t="s">
        <v>32</v>
      </c>
      <c r="E80" s="24" t="s">
        <v>32</v>
      </c>
      <c r="F80" s="24" t="s">
        <v>32</v>
      </c>
      <c r="G80" s="29" t="s">
        <v>32</v>
      </c>
      <c r="H80" s="23"/>
      <c r="I80" s="23"/>
      <c r="J80" s="35" t="str">
        <f>IFERROR(__xludf.DUMMYFUNCTION("TEXTJOIN("", "",TRUE,FILTER(D$1:I$1,D80:I80=""A""))"),"1, 2, 3, 4")</f>
        <v>1, 2, 3, 4</v>
      </c>
    </row>
    <row r="81">
      <c r="A81" s="24">
        <v>79.0</v>
      </c>
      <c r="B81" s="26" t="s">
        <v>458</v>
      </c>
      <c r="C81" s="26" t="s">
        <v>459</v>
      </c>
      <c r="D81" s="23">
        <v>26.0</v>
      </c>
      <c r="E81" s="24" t="s">
        <v>32</v>
      </c>
      <c r="F81" s="24" t="s">
        <v>32</v>
      </c>
      <c r="G81" s="29" t="s">
        <v>32</v>
      </c>
      <c r="H81" s="23"/>
      <c r="I81" s="23"/>
      <c r="J81" s="35" t="str">
        <f>IFERROR(__xludf.DUMMYFUNCTION("TEXTJOIN("", "",TRUE,FILTER(D$1:I$1,D81:I81=""A""))"),"2, 3, 4")</f>
        <v>2, 3, 4</v>
      </c>
    </row>
    <row r="82">
      <c r="A82" s="24">
        <v>80.0</v>
      </c>
      <c r="B82" s="26" t="s">
        <v>463</v>
      </c>
      <c r="C82" s="26" t="s">
        <v>464</v>
      </c>
      <c r="D82" s="24" t="s">
        <v>32</v>
      </c>
      <c r="E82" s="24" t="s">
        <v>32</v>
      </c>
      <c r="F82" s="24">
        <v>22.0</v>
      </c>
      <c r="G82" s="36">
        <v>24.0</v>
      </c>
      <c r="H82" s="23"/>
      <c r="I82" s="23"/>
      <c r="J82" s="35" t="str">
        <f>IFERROR(__xludf.DUMMYFUNCTION("TEXTJOIN("", "",TRUE,FILTER(D$1:I$1,D82:I82=""A""))"),"1, 2")</f>
        <v>1, 2</v>
      </c>
    </row>
    <row r="83">
      <c r="A83" s="24">
        <v>81.0</v>
      </c>
      <c r="B83" s="26" t="s">
        <v>466</v>
      </c>
      <c r="C83" s="26" t="s">
        <v>467</v>
      </c>
      <c r="D83" s="24" t="s">
        <v>32</v>
      </c>
      <c r="E83" s="24" t="s">
        <v>32</v>
      </c>
      <c r="F83" s="24" t="s">
        <v>32</v>
      </c>
      <c r="G83" s="29" t="s">
        <v>32</v>
      </c>
      <c r="H83" s="23"/>
      <c r="I83" s="23"/>
      <c r="J83" s="35" t="str">
        <f>IFERROR(__xludf.DUMMYFUNCTION("TEXTJOIN("", "",TRUE,FILTER(D$1:I$1,D83:I83=""A""))"),"1, 2, 3, 4")</f>
        <v>1, 2, 3, 4</v>
      </c>
    </row>
    <row r="84">
      <c r="A84" s="24">
        <v>82.0</v>
      </c>
      <c r="B84" s="26" t="s">
        <v>471</v>
      </c>
      <c r="C84" s="26" t="s">
        <v>472</v>
      </c>
      <c r="D84" s="24" t="s">
        <v>32</v>
      </c>
      <c r="E84" s="24" t="s">
        <v>32</v>
      </c>
      <c r="F84" s="24" t="s">
        <v>32</v>
      </c>
      <c r="G84" s="29" t="s">
        <v>32</v>
      </c>
      <c r="H84" s="23"/>
      <c r="I84" s="23"/>
      <c r="J84" s="35" t="str">
        <f>IFERROR(__xludf.DUMMYFUNCTION("TEXTJOIN("", "",TRUE,FILTER(D$1:I$1,D84:I84=""A""))"),"1, 2, 3, 4")</f>
        <v>1, 2, 3, 4</v>
      </c>
    </row>
    <row r="85">
      <c r="A85" s="24">
        <v>83.0</v>
      </c>
      <c r="B85" s="26" t="s">
        <v>476</v>
      </c>
      <c r="C85" s="26" t="s">
        <v>477</v>
      </c>
      <c r="D85" s="24" t="s">
        <v>32</v>
      </c>
      <c r="E85" s="24" t="s">
        <v>32</v>
      </c>
      <c r="F85" s="24" t="s">
        <v>32</v>
      </c>
      <c r="G85" s="29" t="s">
        <v>32</v>
      </c>
      <c r="H85" s="23"/>
      <c r="I85" s="23"/>
      <c r="J85" s="35" t="str">
        <f>IFERROR(__xludf.DUMMYFUNCTION("TEXTJOIN("", "",TRUE,FILTER(D$1:I$1,D85:I85=""A""))"),"1, 2, 3, 4")</f>
        <v>1, 2, 3, 4</v>
      </c>
    </row>
    <row r="86">
      <c r="A86" s="24">
        <v>84.0</v>
      </c>
      <c r="B86" s="26" t="s">
        <v>480</v>
      </c>
      <c r="C86" s="26" t="s">
        <v>482</v>
      </c>
      <c r="D86" s="24" t="s">
        <v>32</v>
      </c>
      <c r="E86" s="24" t="s">
        <v>32</v>
      </c>
      <c r="F86" s="24" t="s">
        <v>32</v>
      </c>
      <c r="G86" s="29" t="s">
        <v>32</v>
      </c>
      <c r="H86" s="23"/>
      <c r="I86" s="23"/>
      <c r="J86" s="35" t="str">
        <f>IFERROR(__xludf.DUMMYFUNCTION("TEXTJOIN("", "",TRUE,FILTER(D$1:I$1,D86:I86=""A""))"),"1, 2, 3, 4")</f>
        <v>1, 2, 3, 4</v>
      </c>
    </row>
    <row r="87">
      <c r="A87" s="24">
        <v>85.0</v>
      </c>
      <c r="B87" s="26" t="s">
        <v>485</v>
      </c>
      <c r="C87" s="26" t="s">
        <v>486</v>
      </c>
      <c r="D87" s="23">
        <v>14.0</v>
      </c>
      <c r="E87" s="24" t="s">
        <v>32</v>
      </c>
      <c r="F87" s="24" t="s">
        <v>32</v>
      </c>
      <c r="G87" s="29" t="s">
        <v>32</v>
      </c>
      <c r="H87" s="23"/>
      <c r="I87" s="23"/>
      <c r="J87" s="35" t="str">
        <f>IFERROR(__xludf.DUMMYFUNCTION("TEXTJOIN("", "",TRUE,FILTER(D$1:I$1,D87:I87=""A""))"),"2, 3, 4")</f>
        <v>2, 3, 4</v>
      </c>
    </row>
    <row r="88">
      <c r="A88" s="24">
        <v>86.0</v>
      </c>
      <c r="B88" s="26" t="s">
        <v>490</v>
      </c>
      <c r="C88" s="26" t="s">
        <v>491</v>
      </c>
      <c r="D88" s="24" t="s">
        <v>32</v>
      </c>
      <c r="E88" s="24" t="s">
        <v>32</v>
      </c>
      <c r="F88" s="24">
        <v>25.0</v>
      </c>
      <c r="G88" s="36">
        <v>26.0</v>
      </c>
      <c r="H88" s="23"/>
      <c r="I88" s="23"/>
      <c r="J88" s="35" t="str">
        <f>IFERROR(__xludf.DUMMYFUNCTION("TEXTJOIN("", "",TRUE,FILTER(D$1:I$1,D88:I88=""A""))"),"1, 2")</f>
        <v>1, 2</v>
      </c>
    </row>
    <row r="89">
      <c r="A89" s="24">
        <v>87.0</v>
      </c>
      <c r="B89" s="26" t="s">
        <v>495</v>
      </c>
      <c r="C89" s="26" t="s">
        <v>496</v>
      </c>
      <c r="D89" s="24" t="s">
        <v>32</v>
      </c>
      <c r="E89" s="24" t="s">
        <v>32</v>
      </c>
      <c r="F89" s="24" t="s">
        <v>32</v>
      </c>
      <c r="G89" s="29" t="s">
        <v>32</v>
      </c>
      <c r="H89" s="23"/>
      <c r="I89" s="23"/>
      <c r="J89" s="35" t="str">
        <f>IFERROR(__xludf.DUMMYFUNCTION("TEXTJOIN("", "",TRUE,FILTER(D$1:I$1,D89:I89=""A""))"),"1, 2, 3, 4")</f>
        <v>1, 2, 3, 4</v>
      </c>
    </row>
    <row r="90">
      <c r="A90" s="24">
        <v>88.0</v>
      </c>
      <c r="B90" s="26" t="s">
        <v>499</v>
      </c>
      <c r="C90" s="26" t="s">
        <v>501</v>
      </c>
      <c r="D90" s="24" t="s">
        <v>32</v>
      </c>
      <c r="E90" s="24" t="s">
        <v>32</v>
      </c>
      <c r="F90" s="24" t="s">
        <v>32</v>
      </c>
      <c r="G90" s="29" t="s">
        <v>32</v>
      </c>
      <c r="H90" s="23"/>
      <c r="I90" s="23"/>
      <c r="J90" s="35" t="str">
        <f>IFERROR(__xludf.DUMMYFUNCTION("TEXTJOIN("", "",TRUE,FILTER(D$1:I$1,D90:I90=""A""))"),"1, 2, 3, 4")</f>
        <v>1, 2, 3, 4</v>
      </c>
    </row>
    <row r="91">
      <c r="A91" s="24">
        <v>89.0</v>
      </c>
      <c r="B91" s="26" t="s">
        <v>509</v>
      </c>
      <c r="C91" s="26" t="s">
        <v>510</v>
      </c>
      <c r="D91" s="24" t="s">
        <v>32</v>
      </c>
      <c r="E91" s="24" t="s">
        <v>32</v>
      </c>
      <c r="F91" s="24" t="s">
        <v>32</v>
      </c>
      <c r="G91" s="29" t="s">
        <v>32</v>
      </c>
      <c r="H91" s="23"/>
      <c r="I91" s="23"/>
      <c r="J91" s="35" t="str">
        <f>IFERROR(__xludf.DUMMYFUNCTION("TEXTJOIN("", "",TRUE,FILTER(D$1:I$1,D91:I91=""A""))"),"1, 2, 3, 4")</f>
        <v>1, 2, 3, 4</v>
      </c>
    </row>
    <row r="92">
      <c r="A92" s="24">
        <v>90.0</v>
      </c>
      <c r="B92" s="26" t="s">
        <v>514</v>
      </c>
      <c r="C92" s="26" t="s">
        <v>515</v>
      </c>
      <c r="D92" s="24" t="s">
        <v>32</v>
      </c>
      <c r="E92" s="24" t="s">
        <v>32</v>
      </c>
      <c r="F92" s="24" t="s">
        <v>32</v>
      </c>
      <c r="G92" s="29" t="s">
        <v>32</v>
      </c>
      <c r="H92" s="23"/>
      <c r="I92" s="23"/>
      <c r="J92" s="35" t="str">
        <f>IFERROR(__xludf.DUMMYFUNCTION("TEXTJOIN("", "",TRUE,FILTER(D$1:I$1,D92:I92=""A""))"),"1, 2, 3, 4")</f>
        <v>1, 2, 3, 4</v>
      </c>
    </row>
    <row r="93">
      <c r="A93" s="24">
        <v>91.0</v>
      </c>
      <c r="B93" s="26" t="s">
        <v>517</v>
      </c>
      <c r="C93" s="26" t="s">
        <v>519</v>
      </c>
      <c r="D93" s="24" t="s">
        <v>32</v>
      </c>
      <c r="E93" s="24" t="s">
        <v>32</v>
      </c>
      <c r="F93" s="24" t="s">
        <v>32</v>
      </c>
      <c r="G93" s="29" t="s">
        <v>32</v>
      </c>
      <c r="H93" s="23"/>
      <c r="I93" s="23"/>
      <c r="J93" s="35" t="str">
        <f>IFERROR(__xludf.DUMMYFUNCTION("TEXTJOIN("", "",TRUE,FILTER(D$1:I$1,D93:I93=""A""))"),"1, 2, 3, 4")</f>
        <v>1, 2, 3, 4</v>
      </c>
    </row>
    <row r="94">
      <c r="A94" s="24">
        <v>92.0</v>
      </c>
      <c r="B94" s="26" t="s">
        <v>523</v>
      </c>
      <c r="C94" s="26" t="s">
        <v>524</v>
      </c>
      <c r="D94" s="23">
        <v>29.0</v>
      </c>
      <c r="E94" s="24" t="s">
        <v>32</v>
      </c>
      <c r="F94" s="24" t="s">
        <v>32</v>
      </c>
      <c r="G94" s="29" t="s">
        <v>32</v>
      </c>
      <c r="H94" s="23"/>
      <c r="I94" s="23"/>
      <c r="J94" s="35" t="str">
        <f>IFERROR(__xludf.DUMMYFUNCTION("TEXTJOIN("", "",TRUE,FILTER(D$1:I$1,D94:I94=""A""))"),"2, 3, 4")</f>
        <v>2, 3, 4</v>
      </c>
    </row>
    <row r="95">
      <c r="A95" s="24">
        <v>93.0</v>
      </c>
      <c r="B95" s="26" t="s">
        <v>528</v>
      </c>
      <c r="C95" s="26" t="s">
        <v>529</v>
      </c>
      <c r="D95" s="24" t="s">
        <v>32</v>
      </c>
      <c r="E95" s="24" t="s">
        <v>32</v>
      </c>
      <c r="F95" s="24" t="s">
        <v>32</v>
      </c>
      <c r="G95" s="29" t="s">
        <v>32</v>
      </c>
      <c r="H95" s="23"/>
      <c r="I95" s="23"/>
      <c r="J95" s="35" t="str">
        <f>IFERROR(__xludf.DUMMYFUNCTION("TEXTJOIN("", "",TRUE,FILTER(D$1:I$1,D95:I95=""A""))"),"1, 2, 3, 4")</f>
        <v>1, 2, 3, 4</v>
      </c>
    </row>
    <row r="96">
      <c r="A96" s="24">
        <v>94.0</v>
      </c>
      <c r="B96" s="26" t="s">
        <v>533</v>
      </c>
      <c r="C96" s="26" t="s">
        <v>534</v>
      </c>
      <c r="D96" s="24" t="s">
        <v>32</v>
      </c>
      <c r="E96" s="24" t="s">
        <v>32</v>
      </c>
      <c r="F96" s="24" t="s">
        <v>32</v>
      </c>
      <c r="G96" s="29" t="s">
        <v>32</v>
      </c>
      <c r="H96" s="23"/>
      <c r="I96" s="23"/>
      <c r="J96" s="35" t="str">
        <f>IFERROR(__xludf.DUMMYFUNCTION("TEXTJOIN("", "",TRUE,FILTER(D$1:I$1,D96:I96=""A""))"),"1, 2, 3, 4")</f>
        <v>1, 2, 3, 4</v>
      </c>
    </row>
    <row r="97">
      <c r="A97" s="24">
        <v>95.0</v>
      </c>
      <c r="B97" s="26" t="s">
        <v>537</v>
      </c>
      <c r="C97" s="26" t="s">
        <v>538</v>
      </c>
      <c r="D97" s="23">
        <v>29.0</v>
      </c>
      <c r="E97" s="24">
        <v>24.0</v>
      </c>
      <c r="F97" s="24">
        <v>30.0</v>
      </c>
      <c r="G97" s="36">
        <v>28.0</v>
      </c>
      <c r="H97" s="23"/>
      <c r="I97" s="23"/>
      <c r="J97" s="35" t="str">
        <f>IFERROR(__xludf.DUMMYFUNCTION("TEXTJOIN("", "",TRUE,FILTER(D$1:I$1,D97:I97=""A""))"),"#N/A")</f>
        <v>#N/A</v>
      </c>
    </row>
    <row r="98">
      <c r="A98" s="24">
        <v>96.0</v>
      </c>
      <c r="B98" s="26" t="s">
        <v>543</v>
      </c>
      <c r="C98" s="26" t="s">
        <v>544</v>
      </c>
      <c r="D98" s="24" t="s">
        <v>32</v>
      </c>
      <c r="E98" s="24" t="s">
        <v>32</v>
      </c>
      <c r="F98" s="24" t="s">
        <v>32</v>
      </c>
      <c r="G98" s="29" t="s">
        <v>32</v>
      </c>
      <c r="H98" s="23"/>
      <c r="I98" s="23"/>
      <c r="J98" s="35" t="str">
        <f>IFERROR(__xludf.DUMMYFUNCTION("TEXTJOIN("", "",TRUE,FILTER(D$1:I$1,D98:I98=""A""))"),"1, 2, 3, 4")</f>
        <v>1, 2, 3, 4</v>
      </c>
    </row>
    <row r="99">
      <c r="A99" s="24">
        <v>97.0</v>
      </c>
      <c r="B99" s="26" t="s">
        <v>547</v>
      </c>
      <c r="C99" s="26" t="s">
        <v>549</v>
      </c>
      <c r="D99" s="24" t="s">
        <v>32</v>
      </c>
      <c r="E99" s="24" t="s">
        <v>32</v>
      </c>
      <c r="F99" s="24" t="s">
        <v>32</v>
      </c>
      <c r="G99" s="29" t="s">
        <v>32</v>
      </c>
      <c r="H99" s="23"/>
      <c r="I99" s="23"/>
      <c r="J99" s="35" t="str">
        <f>IFERROR(__xludf.DUMMYFUNCTION("TEXTJOIN("", "",TRUE,FILTER(D$1:I$1,D99:I99=""A""))"),"1, 2, 3, 4")</f>
        <v>1, 2, 3, 4</v>
      </c>
    </row>
    <row r="100">
      <c r="A100" s="24">
        <v>98.0</v>
      </c>
      <c r="B100" s="26" t="s">
        <v>552</v>
      </c>
      <c r="C100" s="26" t="s">
        <v>553</v>
      </c>
      <c r="D100" s="24" t="s">
        <v>32</v>
      </c>
      <c r="E100" s="24" t="s">
        <v>32</v>
      </c>
      <c r="F100" s="24" t="s">
        <v>32</v>
      </c>
      <c r="G100" s="29" t="s">
        <v>32</v>
      </c>
      <c r="H100" s="23"/>
      <c r="I100" s="23"/>
      <c r="J100" s="35" t="str">
        <f>IFERROR(__xludf.DUMMYFUNCTION("TEXTJOIN("", "",TRUE,FILTER(D$1:I$1,D100:I100=""A""))"),"1, 2, 3, 4")</f>
        <v>1, 2, 3, 4</v>
      </c>
    </row>
    <row r="101">
      <c r="A101" s="24">
        <v>99.0</v>
      </c>
      <c r="B101" s="26" t="s">
        <v>558</v>
      </c>
      <c r="C101" s="26" t="s">
        <v>560</v>
      </c>
      <c r="D101" s="24" t="s">
        <v>32</v>
      </c>
      <c r="E101" s="24" t="s">
        <v>32</v>
      </c>
      <c r="F101" s="24" t="s">
        <v>32</v>
      </c>
      <c r="G101" s="29" t="s">
        <v>32</v>
      </c>
      <c r="H101" s="23"/>
      <c r="I101" s="23"/>
      <c r="J101" s="35" t="str">
        <f>IFERROR(__xludf.DUMMYFUNCTION("TEXTJOIN("", "",TRUE,FILTER(D$1:I$1,D101:I101=""A""))"),"1, 2, 3, 4")</f>
        <v>1, 2, 3, 4</v>
      </c>
    </row>
    <row r="102">
      <c r="A102" s="24">
        <v>100.0</v>
      </c>
      <c r="B102" s="26" t="s">
        <v>564</v>
      </c>
      <c r="C102" s="26" t="s">
        <v>565</v>
      </c>
      <c r="D102" s="23">
        <v>26.0</v>
      </c>
      <c r="E102" s="24" t="s">
        <v>32</v>
      </c>
      <c r="F102" s="24">
        <v>23.0</v>
      </c>
      <c r="G102" s="29" t="s">
        <v>32</v>
      </c>
      <c r="H102" s="23"/>
      <c r="I102" s="23"/>
      <c r="J102" s="35" t="str">
        <f>IFERROR(__xludf.DUMMYFUNCTION("TEXTJOIN("", "",TRUE,FILTER(D$1:I$1,D102:I102=""A""))"),"2, 4")</f>
        <v>2, 4</v>
      </c>
    </row>
    <row r="103">
      <c r="A103" s="24">
        <v>101.0</v>
      </c>
      <c r="B103" s="26" t="s">
        <v>568</v>
      </c>
      <c r="C103" s="43" t="s">
        <v>569</v>
      </c>
      <c r="D103" s="24" t="s">
        <v>32</v>
      </c>
      <c r="E103" s="24" t="s">
        <v>32</v>
      </c>
      <c r="F103" s="24" t="s">
        <v>32</v>
      </c>
      <c r="G103" s="29" t="s">
        <v>32</v>
      </c>
      <c r="H103" s="23"/>
      <c r="I103" s="23"/>
      <c r="J103" s="35" t="str">
        <f>IFERROR(__xludf.DUMMYFUNCTION("TEXTJOIN("", "",TRUE,FILTER(D$1:I$1,D103:I103=""A""))"),"1, 2, 3, 4")</f>
        <v>1, 2, 3, 4</v>
      </c>
    </row>
    <row r="104">
      <c r="A104" s="24">
        <v>102.0</v>
      </c>
      <c r="B104" s="26" t="s">
        <v>573</v>
      </c>
      <c r="C104" s="26" t="s">
        <v>574</v>
      </c>
      <c r="D104" s="23">
        <v>9.0</v>
      </c>
      <c r="E104" s="24" t="s">
        <v>32</v>
      </c>
      <c r="F104" s="24">
        <v>26.0</v>
      </c>
      <c r="G104" s="29" t="s">
        <v>32</v>
      </c>
      <c r="H104" s="23"/>
      <c r="I104" s="23"/>
      <c r="J104" s="35" t="str">
        <f>IFERROR(__xludf.DUMMYFUNCTION("TEXTJOIN("", "",TRUE,FILTER(D$1:I$1,D104:I104=""A""))"),"2, 4")</f>
        <v>2, 4</v>
      </c>
    </row>
    <row r="105">
      <c r="A105" s="24">
        <v>103.0</v>
      </c>
      <c r="B105" s="26" t="s">
        <v>580</v>
      </c>
      <c r="C105" s="26" t="s">
        <v>581</v>
      </c>
      <c r="D105" s="23">
        <v>19.0</v>
      </c>
      <c r="E105" s="24" t="s">
        <v>32</v>
      </c>
      <c r="F105" s="24" t="s">
        <v>32</v>
      </c>
      <c r="G105" s="29" t="s">
        <v>32</v>
      </c>
      <c r="H105" s="23"/>
      <c r="I105" s="23"/>
      <c r="J105" s="35" t="str">
        <f>IFERROR(__xludf.DUMMYFUNCTION("TEXTJOIN("", "",TRUE,FILTER(D$1:I$1,D105:I105=""A""))"),"2, 3, 4")</f>
        <v>2, 3, 4</v>
      </c>
    </row>
    <row r="106">
      <c r="A106" s="24">
        <v>104.0</v>
      </c>
      <c r="B106" s="26" t="s">
        <v>584</v>
      </c>
      <c r="C106" s="26" t="s">
        <v>586</v>
      </c>
      <c r="D106" s="23">
        <v>13.0</v>
      </c>
      <c r="E106" s="24">
        <v>15.0</v>
      </c>
      <c r="F106" s="24" t="s">
        <v>32</v>
      </c>
      <c r="G106" s="29" t="s">
        <v>32</v>
      </c>
      <c r="H106" s="23"/>
      <c r="I106" s="23"/>
      <c r="J106" s="35" t="str">
        <f>IFERROR(__xludf.DUMMYFUNCTION("TEXTJOIN("", "",TRUE,FILTER(D$1:I$1,D106:I106=""A""))"),"3, 4")</f>
        <v>3, 4</v>
      </c>
    </row>
    <row r="107">
      <c r="A107" s="24">
        <v>105.0</v>
      </c>
      <c r="B107" s="26" t="s">
        <v>589</v>
      </c>
      <c r="C107" s="26" t="s">
        <v>590</v>
      </c>
      <c r="D107" s="23">
        <v>28.0</v>
      </c>
      <c r="E107" s="24">
        <v>23.0</v>
      </c>
      <c r="F107" s="24">
        <v>27.0</v>
      </c>
      <c r="G107" s="29" t="s">
        <v>32</v>
      </c>
      <c r="H107" s="23"/>
      <c r="I107" s="23"/>
      <c r="J107" s="35" t="str">
        <f>IFERROR(__xludf.DUMMYFUNCTION("TEXTJOIN("", "",TRUE,FILTER(D$1:I$1,D107:I107=""A""))"),"4")</f>
        <v>4</v>
      </c>
    </row>
    <row r="108">
      <c r="A108" s="24">
        <v>106.0</v>
      </c>
      <c r="B108" s="26" t="s">
        <v>593</v>
      </c>
      <c r="C108" s="26" t="s">
        <v>595</v>
      </c>
      <c r="D108" s="23">
        <v>14.0</v>
      </c>
      <c r="E108" s="24" t="s">
        <v>32</v>
      </c>
      <c r="F108" s="24">
        <v>22.0</v>
      </c>
      <c r="G108" s="36">
        <v>23.0</v>
      </c>
      <c r="H108" s="23"/>
      <c r="I108" s="23"/>
      <c r="J108" s="35" t="str">
        <f>IFERROR(__xludf.DUMMYFUNCTION("TEXTJOIN("", "",TRUE,FILTER(D$1:I$1,D108:I108=""A""))"),"2")</f>
        <v>2</v>
      </c>
    </row>
    <row r="109">
      <c r="A109" s="24">
        <v>107.0</v>
      </c>
      <c r="B109" s="26" t="s">
        <v>600</v>
      </c>
      <c r="C109" s="26" t="s">
        <v>601</v>
      </c>
      <c r="D109" s="24" t="s">
        <v>32</v>
      </c>
      <c r="E109" s="24" t="s">
        <v>32</v>
      </c>
      <c r="F109" s="24">
        <v>29.0</v>
      </c>
      <c r="G109" s="29" t="s">
        <v>32</v>
      </c>
      <c r="H109" s="23"/>
      <c r="I109" s="23"/>
      <c r="J109" s="35" t="str">
        <f>IFERROR(__xludf.DUMMYFUNCTION("TEXTJOIN("", "",TRUE,FILTER(D$1:I$1,D109:I109=""A""))"),"1, 2, 4")</f>
        <v>1, 2, 4</v>
      </c>
    </row>
    <row r="110">
      <c r="A110" s="24">
        <v>108.0</v>
      </c>
      <c r="B110" s="26" t="s">
        <v>604</v>
      </c>
      <c r="C110" s="26" t="s">
        <v>606</v>
      </c>
      <c r="D110" s="24" t="s">
        <v>32</v>
      </c>
      <c r="E110" s="24" t="s">
        <v>32</v>
      </c>
      <c r="F110" s="24" t="s">
        <v>32</v>
      </c>
      <c r="G110" s="29" t="s">
        <v>32</v>
      </c>
      <c r="H110" s="23"/>
      <c r="I110" s="23"/>
      <c r="J110" s="35" t="str">
        <f>IFERROR(__xludf.DUMMYFUNCTION("TEXTJOIN("", "",TRUE,FILTER(D$1:I$1,D110:I110=""A""))"),"1, 2, 3, 4")</f>
        <v>1, 2, 3, 4</v>
      </c>
    </row>
    <row r="111">
      <c r="A111" s="24">
        <v>109.0</v>
      </c>
      <c r="B111" s="26" t="s">
        <v>609</v>
      </c>
      <c r="C111" s="43" t="s">
        <v>610</v>
      </c>
      <c r="D111" s="23">
        <v>25.0</v>
      </c>
      <c r="E111" s="24" t="s">
        <v>32</v>
      </c>
      <c r="F111" s="24" t="s">
        <v>32</v>
      </c>
      <c r="G111" s="29" t="s">
        <v>32</v>
      </c>
      <c r="H111" s="23"/>
      <c r="I111" s="23"/>
      <c r="J111" s="35" t="str">
        <f>IFERROR(__xludf.DUMMYFUNCTION("TEXTJOIN("", "",TRUE,FILTER(D$1:I$1,D111:I111=""A""))"),"2, 3, 4")</f>
        <v>2, 3, 4</v>
      </c>
    </row>
    <row r="112">
      <c r="A112" s="24">
        <v>110.0</v>
      </c>
      <c r="B112" s="26" t="s">
        <v>613</v>
      </c>
      <c r="C112" s="26" t="s">
        <v>615</v>
      </c>
      <c r="D112" s="24" t="s">
        <v>32</v>
      </c>
      <c r="E112" s="24" t="s">
        <v>32</v>
      </c>
      <c r="F112" s="24" t="s">
        <v>32</v>
      </c>
      <c r="G112" s="29" t="s">
        <v>32</v>
      </c>
      <c r="H112" s="23"/>
      <c r="I112" s="23"/>
      <c r="J112" s="35" t="str">
        <f>IFERROR(__xludf.DUMMYFUNCTION("TEXTJOIN("", "",TRUE,FILTER(D$1:I$1,D112:I112=""A""))"),"1, 2, 3, 4")</f>
        <v>1, 2, 3, 4</v>
      </c>
    </row>
    <row r="113">
      <c r="A113" s="24">
        <v>111.0</v>
      </c>
      <c r="B113" s="26" t="s">
        <v>621</v>
      </c>
      <c r="C113" s="26" t="s">
        <v>622</v>
      </c>
      <c r="D113" s="23">
        <v>21.0</v>
      </c>
      <c r="E113" s="24" t="s">
        <v>32</v>
      </c>
      <c r="F113" s="24">
        <v>28.0</v>
      </c>
      <c r="G113" s="36">
        <v>29.0</v>
      </c>
      <c r="H113" s="23"/>
      <c r="I113" s="23"/>
      <c r="J113" s="35" t="str">
        <f>IFERROR(__xludf.DUMMYFUNCTION("TEXTJOIN("", "",TRUE,FILTER(D$1:I$1,D113:I113=""A""))"),"2")</f>
        <v>2</v>
      </c>
    </row>
    <row r="114">
      <c r="A114" s="24">
        <v>112.0</v>
      </c>
      <c r="B114" s="26" t="s">
        <v>624</v>
      </c>
      <c r="C114" s="26" t="s">
        <v>625</v>
      </c>
      <c r="D114" s="24" t="s">
        <v>32</v>
      </c>
      <c r="E114" s="24" t="s">
        <v>32</v>
      </c>
      <c r="F114" s="24" t="s">
        <v>32</v>
      </c>
      <c r="G114" s="36">
        <v>24.0</v>
      </c>
      <c r="H114" s="23"/>
      <c r="I114" s="23"/>
      <c r="J114" s="35" t="str">
        <f>IFERROR(__xludf.DUMMYFUNCTION("TEXTJOIN("", "",TRUE,FILTER(D$1:I$1,D114:I114=""A""))"),"1, 2, 3")</f>
        <v>1, 2, 3</v>
      </c>
    </row>
    <row r="115">
      <c r="A115" s="24">
        <v>113.0</v>
      </c>
      <c r="B115" s="26" t="s">
        <v>629</v>
      </c>
      <c r="C115" s="26" t="s">
        <v>630</v>
      </c>
      <c r="D115" s="24" t="s">
        <v>32</v>
      </c>
      <c r="E115" s="24" t="s">
        <v>32</v>
      </c>
      <c r="F115" s="24" t="s">
        <v>32</v>
      </c>
      <c r="G115" s="29" t="s">
        <v>32</v>
      </c>
      <c r="H115" s="23"/>
      <c r="I115" s="23"/>
      <c r="J115" s="35" t="str">
        <f>IFERROR(__xludf.DUMMYFUNCTION("TEXTJOIN("", "",TRUE,FILTER(D$1:I$1,D115:I115=""A""))"),"1, 2, 3, 4")</f>
        <v>1, 2, 3, 4</v>
      </c>
    </row>
    <row r="116">
      <c r="A116" s="24">
        <v>114.0</v>
      </c>
      <c r="B116" s="26" t="s">
        <v>633</v>
      </c>
      <c r="C116" s="26" t="s">
        <v>635</v>
      </c>
      <c r="D116" s="24" t="s">
        <v>32</v>
      </c>
      <c r="E116" s="24" t="s">
        <v>32</v>
      </c>
      <c r="F116" s="24" t="s">
        <v>32</v>
      </c>
      <c r="G116" s="29" t="s">
        <v>32</v>
      </c>
      <c r="H116" s="23"/>
      <c r="I116" s="23"/>
      <c r="J116" s="35" t="str">
        <f>IFERROR(__xludf.DUMMYFUNCTION("TEXTJOIN("", "",TRUE,FILTER(D$1:I$1,D116:I116=""A""))"),"1, 2, 3, 4")</f>
        <v>1, 2, 3, 4</v>
      </c>
    </row>
    <row r="117">
      <c r="A117" s="24">
        <v>115.0</v>
      </c>
      <c r="B117" s="26" t="s">
        <v>640</v>
      </c>
      <c r="C117" s="26" t="s">
        <v>641</v>
      </c>
      <c r="D117" s="24" t="s">
        <v>32</v>
      </c>
      <c r="E117" s="24" t="s">
        <v>32</v>
      </c>
      <c r="F117" s="24" t="s">
        <v>32</v>
      </c>
      <c r="G117" s="29" t="s">
        <v>32</v>
      </c>
      <c r="H117" s="23"/>
      <c r="I117" s="23"/>
      <c r="J117" s="35" t="str">
        <f>IFERROR(__xludf.DUMMYFUNCTION("TEXTJOIN("", "",TRUE,FILTER(D$1:I$1,D117:I117=""A""))"),"1, 2, 3, 4")</f>
        <v>1, 2, 3, 4</v>
      </c>
    </row>
    <row r="118">
      <c r="A118" s="24">
        <v>116.0</v>
      </c>
      <c r="B118" s="26" t="s">
        <v>651</v>
      </c>
      <c r="C118" s="26" t="s">
        <v>653</v>
      </c>
      <c r="D118" s="24" t="s">
        <v>32</v>
      </c>
      <c r="E118" s="24" t="s">
        <v>32</v>
      </c>
      <c r="F118" s="24">
        <v>20.0</v>
      </c>
      <c r="G118" s="29" t="s">
        <v>32</v>
      </c>
      <c r="H118" s="23"/>
      <c r="I118" s="23"/>
      <c r="J118" s="35" t="str">
        <f>IFERROR(__xludf.DUMMYFUNCTION("TEXTJOIN("", "",TRUE,FILTER(D$1:I$1,D118:I118=""A""))"),"1, 2, 4")</f>
        <v>1, 2, 4</v>
      </c>
    </row>
    <row r="119">
      <c r="A119" s="24">
        <v>117.0</v>
      </c>
      <c r="B119" s="26" t="s">
        <v>666</v>
      </c>
      <c r="C119" s="26" t="s">
        <v>670</v>
      </c>
      <c r="D119" s="24" t="s">
        <v>32</v>
      </c>
      <c r="E119" s="24" t="s">
        <v>32</v>
      </c>
      <c r="F119" s="24" t="s">
        <v>32</v>
      </c>
      <c r="G119" s="29" t="s">
        <v>32</v>
      </c>
      <c r="H119" s="23"/>
      <c r="I119" s="23"/>
      <c r="J119" s="35" t="str">
        <f>IFERROR(__xludf.DUMMYFUNCTION("TEXTJOIN("", "",TRUE,FILTER(D$1:I$1,D119:I119=""A""))"),"1, 2, 3, 4")</f>
        <v>1, 2, 3, 4</v>
      </c>
    </row>
    <row r="120">
      <c r="A120" s="24">
        <v>118.0</v>
      </c>
      <c r="B120" s="26" t="s">
        <v>684</v>
      </c>
      <c r="C120" s="26" t="s">
        <v>687</v>
      </c>
      <c r="D120" s="24" t="s">
        <v>32</v>
      </c>
      <c r="E120" s="24" t="s">
        <v>32</v>
      </c>
      <c r="F120" s="24" t="s">
        <v>32</v>
      </c>
      <c r="G120" s="29" t="s">
        <v>32</v>
      </c>
      <c r="H120" s="23"/>
      <c r="I120" s="23"/>
      <c r="J120" s="35" t="str">
        <f>IFERROR(__xludf.DUMMYFUNCTION("TEXTJOIN("", "",TRUE,FILTER(D$1:I$1,D120:I120=""A""))"),"1, 2, 3, 4")</f>
        <v>1, 2, 3, 4</v>
      </c>
    </row>
    <row r="121">
      <c r="A121" s="24">
        <v>119.0</v>
      </c>
      <c r="B121" s="26" t="s">
        <v>705</v>
      </c>
      <c r="C121" s="26" t="s">
        <v>707</v>
      </c>
      <c r="D121" s="23">
        <v>18.0</v>
      </c>
      <c r="E121" s="24">
        <v>19.0</v>
      </c>
      <c r="F121" s="24">
        <v>27.0</v>
      </c>
      <c r="G121" s="36">
        <v>24.0</v>
      </c>
      <c r="H121" s="23"/>
      <c r="I121" s="23"/>
      <c r="J121" s="35" t="str">
        <f>IFERROR(__xludf.DUMMYFUNCTION("TEXTJOIN("", "",TRUE,FILTER(D$1:I$1,D121:I121=""A""))"),"#N/A")</f>
        <v>#N/A</v>
      </c>
    </row>
    <row r="122">
      <c r="A122" s="24">
        <v>120.0</v>
      </c>
      <c r="B122" s="26" t="s">
        <v>721</v>
      </c>
      <c r="C122" s="26" t="s">
        <v>723</v>
      </c>
      <c r="D122" s="24" t="s">
        <v>32</v>
      </c>
      <c r="E122" s="24" t="s">
        <v>32</v>
      </c>
      <c r="F122" s="24">
        <v>27.0</v>
      </c>
      <c r="G122" s="29" t="s">
        <v>32</v>
      </c>
      <c r="H122" s="23"/>
      <c r="I122" s="23"/>
      <c r="J122" s="35" t="str">
        <f>IFERROR(__xludf.DUMMYFUNCTION("TEXTJOIN("", "",TRUE,FILTER(D$1:I$1,D122:I122=""A""))"),"1, 2, 4")</f>
        <v>1, 2, 4</v>
      </c>
    </row>
    <row r="123">
      <c r="A123" s="24">
        <v>121.0</v>
      </c>
      <c r="B123" s="26" t="s">
        <v>740</v>
      </c>
      <c r="C123" s="26" t="s">
        <v>742</v>
      </c>
      <c r="D123" s="23">
        <v>26.0</v>
      </c>
      <c r="E123" s="24" t="s">
        <v>32</v>
      </c>
      <c r="F123" s="24">
        <v>29.0</v>
      </c>
      <c r="G123" s="29" t="s">
        <v>32</v>
      </c>
      <c r="H123" s="23"/>
      <c r="I123" s="23"/>
      <c r="J123" s="35" t="str">
        <f>IFERROR(__xludf.DUMMYFUNCTION("TEXTJOIN("", "",TRUE,FILTER(D$1:I$1,D123:I123=""A""))"),"2, 4")</f>
        <v>2, 4</v>
      </c>
    </row>
    <row r="124">
      <c r="A124" s="24">
        <v>122.0</v>
      </c>
      <c r="B124" s="26" t="s">
        <v>757</v>
      </c>
      <c r="C124" s="26" t="s">
        <v>759</v>
      </c>
      <c r="D124" s="24" t="s">
        <v>32</v>
      </c>
      <c r="E124" s="24" t="s">
        <v>32</v>
      </c>
      <c r="F124" s="24" t="s">
        <v>32</v>
      </c>
      <c r="G124" s="29" t="s">
        <v>32</v>
      </c>
      <c r="H124" s="23"/>
      <c r="I124" s="23"/>
      <c r="J124" s="35" t="str">
        <f>IFERROR(__xludf.DUMMYFUNCTION("TEXTJOIN("", "",TRUE,FILTER(D$1:I$1,D124:I124=""A""))"),"1, 2, 3, 4")</f>
        <v>1, 2, 3, 4</v>
      </c>
    </row>
    <row r="125">
      <c r="A125" s="24">
        <v>123.0</v>
      </c>
      <c r="B125" s="26" t="s">
        <v>769</v>
      </c>
      <c r="C125" s="26" t="s">
        <v>772</v>
      </c>
      <c r="D125" s="24" t="s">
        <v>32</v>
      </c>
      <c r="E125" s="24" t="s">
        <v>32</v>
      </c>
      <c r="F125" s="24" t="s">
        <v>32</v>
      </c>
      <c r="G125" s="29" t="s">
        <v>32</v>
      </c>
      <c r="H125" s="23"/>
      <c r="I125" s="23"/>
      <c r="J125" s="35" t="str">
        <f>IFERROR(__xludf.DUMMYFUNCTION("TEXTJOIN("", "",TRUE,FILTER(D$1:I$1,D125:I125=""A""))"),"1, 2, 3, 4")</f>
        <v>1, 2, 3, 4</v>
      </c>
    </row>
    <row r="126">
      <c r="A126" s="24">
        <v>124.0</v>
      </c>
      <c r="B126" s="26" t="s">
        <v>790</v>
      </c>
      <c r="C126" s="26" t="s">
        <v>792</v>
      </c>
      <c r="D126" s="24" t="s">
        <v>32</v>
      </c>
      <c r="E126" s="24">
        <v>18.0</v>
      </c>
      <c r="F126" s="24" t="s">
        <v>32</v>
      </c>
      <c r="G126" s="29" t="s">
        <v>32</v>
      </c>
      <c r="H126" s="23"/>
      <c r="I126" s="23"/>
      <c r="J126" s="35" t="str">
        <f>IFERROR(__xludf.DUMMYFUNCTION("TEXTJOIN("", "",TRUE,FILTER(D$1:I$1,D126:I126=""A""))"),"1, 3, 4")</f>
        <v>1, 3, 4</v>
      </c>
    </row>
    <row r="127">
      <c r="A127" s="24">
        <v>125.0</v>
      </c>
      <c r="B127" s="26" t="s">
        <v>795</v>
      </c>
      <c r="C127" s="26" t="s">
        <v>797</v>
      </c>
      <c r="D127" s="24" t="s">
        <v>32</v>
      </c>
      <c r="E127" s="24" t="s">
        <v>32</v>
      </c>
      <c r="F127" s="24" t="s">
        <v>32</v>
      </c>
      <c r="G127" s="29" t="s">
        <v>32</v>
      </c>
      <c r="H127" s="23"/>
      <c r="I127" s="23"/>
      <c r="J127" s="35" t="str">
        <f>IFERROR(__xludf.DUMMYFUNCTION("TEXTJOIN("", "",TRUE,FILTER(D$1:I$1,D127:I127=""A""))"),"1, 2, 3, 4")</f>
        <v>1, 2, 3, 4</v>
      </c>
    </row>
    <row r="128">
      <c r="A128" s="24">
        <v>126.0</v>
      </c>
      <c r="B128" s="26" t="s">
        <v>807</v>
      </c>
      <c r="C128" s="26" t="s">
        <v>808</v>
      </c>
      <c r="D128" s="24" t="s">
        <v>32</v>
      </c>
      <c r="E128" s="24" t="s">
        <v>32</v>
      </c>
      <c r="F128" s="24" t="s">
        <v>32</v>
      </c>
      <c r="G128" s="29" t="s">
        <v>32</v>
      </c>
      <c r="H128" s="23"/>
      <c r="I128" s="23"/>
      <c r="J128" s="35" t="str">
        <f>IFERROR(__xludf.DUMMYFUNCTION("TEXTJOIN("", "",TRUE,FILTER(D$1:I$1,D128:I128=""A""))"),"1, 2, 3, 4")</f>
        <v>1, 2, 3, 4</v>
      </c>
    </row>
    <row r="129">
      <c r="A129" s="24">
        <v>127.0</v>
      </c>
      <c r="B129" s="26" t="s">
        <v>816</v>
      </c>
      <c r="C129" s="26" t="s">
        <v>817</v>
      </c>
      <c r="D129" s="24" t="s">
        <v>32</v>
      </c>
      <c r="E129" s="24" t="s">
        <v>32</v>
      </c>
      <c r="F129" s="24">
        <v>30.0</v>
      </c>
      <c r="G129" s="29" t="s">
        <v>32</v>
      </c>
      <c r="H129" s="23"/>
      <c r="I129" s="23"/>
      <c r="J129" s="35" t="str">
        <f>IFERROR(__xludf.DUMMYFUNCTION("TEXTJOIN("", "",TRUE,FILTER(D$1:I$1,D129:I129=""A""))"),"1, 2, 4")</f>
        <v>1, 2, 4</v>
      </c>
    </row>
    <row r="130">
      <c r="A130" s="24">
        <v>128.0</v>
      </c>
      <c r="B130" s="26" t="s">
        <v>822</v>
      </c>
      <c r="C130" s="26" t="s">
        <v>823</v>
      </c>
      <c r="D130" s="23">
        <v>16.0</v>
      </c>
      <c r="E130" s="24" t="s">
        <v>32</v>
      </c>
      <c r="F130" s="24" t="s">
        <v>32</v>
      </c>
      <c r="G130" s="29" t="s">
        <v>32</v>
      </c>
      <c r="H130" s="23"/>
      <c r="I130" s="23"/>
      <c r="J130" s="35" t="str">
        <f>IFERROR(__xludf.DUMMYFUNCTION("TEXTJOIN("", "",TRUE,FILTER(D$1:I$1,D130:I130=""A""))"),"2, 3, 4")</f>
        <v>2, 3, 4</v>
      </c>
    </row>
    <row r="131">
      <c r="A131" s="24">
        <v>129.0</v>
      </c>
      <c r="B131" s="26" t="s">
        <v>828</v>
      </c>
      <c r="C131" s="26" t="s">
        <v>830</v>
      </c>
      <c r="D131" s="24" t="s">
        <v>32</v>
      </c>
      <c r="E131" s="24" t="s">
        <v>32</v>
      </c>
      <c r="F131" s="24">
        <v>29.0</v>
      </c>
      <c r="G131" s="29" t="s">
        <v>32</v>
      </c>
      <c r="H131" s="23"/>
      <c r="I131" s="23"/>
      <c r="J131" s="35" t="str">
        <f>IFERROR(__xludf.DUMMYFUNCTION("TEXTJOIN("", "",TRUE,FILTER(D$1:I$1,D131:I131=""A""))"),"1, 2, 4")</f>
        <v>1, 2, 4</v>
      </c>
    </row>
    <row r="132">
      <c r="A132" s="24">
        <v>130.0</v>
      </c>
      <c r="B132" s="26" t="s">
        <v>834</v>
      </c>
      <c r="C132" s="26" t="s">
        <v>835</v>
      </c>
      <c r="D132" s="23">
        <v>28.0</v>
      </c>
      <c r="E132" s="24" t="s">
        <v>32</v>
      </c>
      <c r="F132" s="24" t="s">
        <v>32</v>
      </c>
      <c r="G132" s="29" t="s">
        <v>32</v>
      </c>
      <c r="H132" s="23"/>
      <c r="I132" s="23"/>
      <c r="J132" s="35" t="str">
        <f>IFERROR(__xludf.DUMMYFUNCTION("TEXTJOIN("", "",TRUE,FILTER(D$1:I$1,D132:I132=""A""))"),"2, 3, 4")</f>
        <v>2, 3, 4</v>
      </c>
    </row>
    <row r="133">
      <c r="A133" s="24">
        <v>131.0</v>
      </c>
      <c r="B133" s="26" t="s">
        <v>839</v>
      </c>
      <c r="C133" s="26" t="s">
        <v>840</v>
      </c>
      <c r="D133" s="24" t="s">
        <v>32</v>
      </c>
      <c r="E133" s="24" t="s">
        <v>32</v>
      </c>
      <c r="F133" s="24" t="s">
        <v>32</v>
      </c>
      <c r="G133" s="29" t="s">
        <v>32</v>
      </c>
      <c r="H133" s="23"/>
      <c r="I133" s="23"/>
      <c r="J133" s="35" t="str">
        <f>IFERROR(__xludf.DUMMYFUNCTION("TEXTJOIN("", "",TRUE,FILTER(D$1:I$1,D133:I133=""A""))"),"1, 2, 3, 4")</f>
        <v>1, 2, 3, 4</v>
      </c>
    </row>
    <row r="134">
      <c r="A134" s="24">
        <v>132.0</v>
      </c>
      <c r="B134" s="26" t="s">
        <v>844</v>
      </c>
      <c r="C134" s="26" t="s">
        <v>845</v>
      </c>
      <c r="D134" s="24" t="s">
        <v>32</v>
      </c>
      <c r="E134" s="24" t="s">
        <v>32</v>
      </c>
      <c r="F134" s="24" t="s">
        <v>32</v>
      </c>
      <c r="G134" s="29" t="s">
        <v>32</v>
      </c>
      <c r="H134" s="23"/>
      <c r="I134" s="23"/>
      <c r="J134" s="35" t="str">
        <f>IFERROR(__xludf.DUMMYFUNCTION("TEXTJOIN("", "",TRUE,FILTER(D$1:I$1,D134:I134=""A""))"),"1, 2, 3, 4")</f>
        <v>1, 2, 3, 4</v>
      </c>
    </row>
    <row r="135">
      <c r="A135" s="24">
        <v>133.0</v>
      </c>
      <c r="B135" s="26" t="s">
        <v>849</v>
      </c>
      <c r="C135" s="26" t="s">
        <v>850</v>
      </c>
      <c r="D135" s="23">
        <v>29.0</v>
      </c>
      <c r="E135" s="24">
        <v>25.0</v>
      </c>
      <c r="F135" s="24">
        <v>30.0</v>
      </c>
      <c r="G135" s="36">
        <v>30.0</v>
      </c>
      <c r="H135" s="23"/>
      <c r="I135" s="23"/>
      <c r="J135" s="35" t="str">
        <f>IFERROR(__xludf.DUMMYFUNCTION("TEXTJOIN("", "",TRUE,FILTER(D$1:I$1,D135:I135=""A""))"),"#N/A")</f>
        <v>#N/A</v>
      </c>
    </row>
    <row r="136">
      <c r="A136" s="24">
        <v>134.0</v>
      </c>
      <c r="B136" s="26" t="s">
        <v>855</v>
      </c>
      <c r="C136" s="26" t="s">
        <v>856</v>
      </c>
      <c r="D136" s="24" t="s">
        <v>32</v>
      </c>
      <c r="E136" s="24" t="s">
        <v>32</v>
      </c>
      <c r="F136" s="24">
        <v>27.0</v>
      </c>
      <c r="G136" s="36">
        <v>27.0</v>
      </c>
      <c r="H136" s="23"/>
      <c r="I136" s="23"/>
      <c r="J136" s="35" t="str">
        <f>IFERROR(__xludf.DUMMYFUNCTION("TEXTJOIN("", "",TRUE,FILTER(D$1:I$1,D136:I136=""A""))"),"1, 2")</f>
        <v>1, 2</v>
      </c>
    </row>
    <row r="137">
      <c r="A137" s="24">
        <v>135.0</v>
      </c>
      <c r="B137" s="26" t="s">
        <v>859</v>
      </c>
      <c r="C137" s="26" t="s">
        <v>861</v>
      </c>
      <c r="D137" s="24" t="s">
        <v>32</v>
      </c>
      <c r="E137" s="24" t="s">
        <v>32</v>
      </c>
      <c r="F137" s="24" t="s">
        <v>32</v>
      </c>
      <c r="G137" s="29" t="s">
        <v>32</v>
      </c>
      <c r="H137" s="23"/>
      <c r="I137" s="23"/>
      <c r="J137" s="35" t="str">
        <f>IFERROR(__xludf.DUMMYFUNCTION("TEXTJOIN("", "",TRUE,FILTER(D$1:I$1,D137:I137=""A""))"),"1, 2, 3, 4")</f>
        <v>1, 2, 3, 4</v>
      </c>
    </row>
    <row r="138">
      <c r="A138" s="24">
        <v>136.0</v>
      </c>
      <c r="B138" s="26" t="s">
        <v>865</v>
      </c>
      <c r="C138" s="26" t="s">
        <v>866</v>
      </c>
      <c r="D138" s="23">
        <v>24.0</v>
      </c>
      <c r="E138" s="24" t="s">
        <v>32</v>
      </c>
      <c r="F138" s="24" t="s">
        <v>32</v>
      </c>
      <c r="G138" s="65" t="s">
        <v>32</v>
      </c>
      <c r="H138" s="23"/>
      <c r="I138" s="23"/>
      <c r="J138" s="35" t="str">
        <f>IFERROR(__xludf.DUMMYFUNCTION("TEXTJOIN("", "",TRUE,FILTER(D$1:I$1,D138:I138=""A""))"),"2, 3, 4")</f>
        <v>2, 3, 4</v>
      </c>
    </row>
    <row r="139">
      <c r="A139" s="24">
        <v>137.0</v>
      </c>
      <c r="B139" s="26" t="s">
        <v>872</v>
      </c>
      <c r="C139" s="26" t="s">
        <v>873</v>
      </c>
      <c r="D139" s="24" t="s">
        <v>32</v>
      </c>
      <c r="E139" s="24" t="s">
        <v>32</v>
      </c>
      <c r="F139" s="24" t="s">
        <v>32</v>
      </c>
      <c r="G139" s="65" t="s">
        <v>32</v>
      </c>
      <c r="H139" s="23"/>
      <c r="I139" s="23"/>
      <c r="J139" s="35" t="str">
        <f>IFERROR(__xludf.DUMMYFUNCTION("TEXTJOIN("", "",TRUE,FILTER(D$1:I$1,D139:I139=""A""))"),"1, 2, 3, 4")</f>
        <v>1, 2, 3, 4</v>
      </c>
    </row>
    <row r="140">
      <c r="A140" s="24">
        <v>138.0</v>
      </c>
      <c r="B140" s="26" t="s">
        <v>877</v>
      </c>
      <c r="C140" s="26" t="s">
        <v>879</v>
      </c>
      <c r="D140" s="24" t="s">
        <v>32</v>
      </c>
      <c r="E140" s="24" t="s">
        <v>32</v>
      </c>
      <c r="F140" s="24" t="s">
        <v>32</v>
      </c>
      <c r="G140" s="36">
        <v>25.0</v>
      </c>
      <c r="H140" s="23"/>
      <c r="I140" s="23"/>
      <c r="J140" s="35" t="str">
        <f>IFERROR(__xludf.DUMMYFUNCTION("TEXTJOIN("", "",TRUE,FILTER(D$1:I$1,D140:I140=""A""))"),"1, 2, 3")</f>
        <v>1, 2, 3</v>
      </c>
    </row>
    <row r="143">
      <c r="B143" s="66"/>
      <c r="C143" s="66"/>
      <c r="D143" s="66"/>
      <c r="F143" s="67">
        <v>21.0</v>
      </c>
      <c r="G143" s="68" t="s">
        <v>883</v>
      </c>
      <c r="H143" s="68" t="s">
        <v>884</v>
      </c>
    </row>
    <row r="144">
      <c r="B144" s="67"/>
      <c r="C144" s="68"/>
      <c r="D144" s="68"/>
      <c r="F144" s="69">
        <v>27.0</v>
      </c>
      <c r="G144" s="70" t="s">
        <v>886</v>
      </c>
      <c r="H144" s="70" t="s">
        <v>888</v>
      </c>
    </row>
    <row r="145">
      <c r="B145" s="67"/>
      <c r="C145" s="68"/>
      <c r="D145" s="68"/>
    </row>
    <row r="146">
      <c r="B146" s="67"/>
      <c r="C146" s="68"/>
      <c r="D146" s="68"/>
    </row>
    <row r="147">
      <c r="B147" s="67"/>
      <c r="C147" s="68"/>
      <c r="D147" s="68"/>
    </row>
    <row r="148">
      <c r="B148" s="67"/>
      <c r="C148" s="68"/>
      <c r="D148" s="68"/>
    </row>
    <row r="149">
      <c r="B149" s="67"/>
      <c r="C149" s="68"/>
      <c r="D149" s="68"/>
    </row>
    <row r="150">
      <c r="B150" s="67"/>
      <c r="C150" s="68"/>
      <c r="D150" s="68"/>
    </row>
    <row r="151">
      <c r="B151" s="67"/>
      <c r="C151" s="68"/>
      <c r="D151" s="68"/>
    </row>
    <row r="152">
      <c r="B152" s="67"/>
      <c r="C152" s="68"/>
      <c r="D152" s="68"/>
    </row>
    <row r="153">
      <c r="B153" s="67"/>
      <c r="C153" s="68"/>
      <c r="D153" s="68"/>
    </row>
    <row r="154">
      <c r="B154" s="67"/>
      <c r="C154" s="68"/>
      <c r="D154" s="68"/>
    </row>
    <row r="155">
      <c r="B155" s="67"/>
      <c r="C155" s="68"/>
      <c r="D155" s="68"/>
    </row>
    <row r="156">
      <c r="B156" s="67"/>
      <c r="C156" s="68"/>
      <c r="D156" s="68"/>
    </row>
    <row r="157">
      <c r="B157" s="67"/>
      <c r="C157" s="68"/>
      <c r="D157" s="68"/>
    </row>
    <row r="158">
      <c r="B158" s="67"/>
      <c r="C158" s="68"/>
      <c r="D158" s="68"/>
    </row>
    <row r="159">
      <c r="B159" s="67"/>
      <c r="C159" s="68"/>
      <c r="D159" s="68"/>
    </row>
    <row r="160">
      <c r="B160" s="67"/>
      <c r="C160" s="68"/>
      <c r="D160" s="68"/>
    </row>
    <row r="161">
      <c r="B161" s="67"/>
      <c r="C161" s="68"/>
      <c r="D161" s="68"/>
    </row>
    <row r="162">
      <c r="B162" s="67"/>
      <c r="C162" s="68"/>
      <c r="D162" s="68"/>
    </row>
    <row r="163">
      <c r="B163" s="67"/>
      <c r="C163" s="68"/>
      <c r="D163" s="68"/>
    </row>
    <row r="164">
      <c r="B164" s="67"/>
      <c r="C164" s="68"/>
      <c r="D164" s="71"/>
    </row>
    <row r="165">
      <c r="B165" s="67"/>
      <c r="C165" s="68"/>
      <c r="D165" s="68"/>
    </row>
    <row r="166">
      <c r="B166" s="67"/>
      <c r="C166" s="68"/>
      <c r="D166" s="68"/>
    </row>
    <row r="167">
      <c r="B167" s="67"/>
      <c r="C167" s="68"/>
      <c r="D167" s="68"/>
    </row>
    <row r="168">
      <c r="B168" s="67"/>
      <c r="C168" s="68"/>
      <c r="D168" s="68"/>
    </row>
    <row r="169">
      <c r="B169" s="67"/>
      <c r="C169" s="68"/>
      <c r="D169" s="68"/>
    </row>
    <row r="170">
      <c r="B170" s="67"/>
      <c r="C170" s="68"/>
      <c r="D170" s="68"/>
    </row>
    <row r="171">
      <c r="B171" s="67"/>
      <c r="C171" s="68"/>
      <c r="D171" s="68"/>
    </row>
    <row r="172">
      <c r="B172" s="67"/>
      <c r="C172" s="68"/>
      <c r="D172" s="68"/>
    </row>
    <row r="173">
      <c r="B173" s="67"/>
      <c r="C173" s="68"/>
      <c r="D173" s="68"/>
    </row>
    <row r="174">
      <c r="B174" s="67"/>
      <c r="C174" s="68"/>
      <c r="D174" s="71"/>
    </row>
    <row r="175">
      <c r="B175" s="67"/>
      <c r="C175" s="68"/>
      <c r="D175" s="71"/>
    </row>
    <row r="176">
      <c r="B176" s="67"/>
      <c r="C176" s="68"/>
      <c r="D176" s="68"/>
    </row>
    <row r="177">
      <c r="B177" s="67"/>
      <c r="C177" s="68"/>
      <c r="D177" s="68"/>
    </row>
    <row r="178">
      <c r="B178" s="67"/>
      <c r="C178" s="68"/>
      <c r="D178" s="68"/>
    </row>
    <row r="179">
      <c r="B179" s="67"/>
      <c r="C179" s="68"/>
      <c r="D179" s="68"/>
    </row>
    <row r="180">
      <c r="B180" s="67"/>
      <c r="C180" s="68"/>
      <c r="D180" s="68"/>
    </row>
    <row r="181">
      <c r="B181" s="67"/>
      <c r="C181" s="68"/>
      <c r="D181" s="68"/>
    </row>
    <row r="182">
      <c r="B182" s="67"/>
      <c r="C182" s="68"/>
      <c r="D182" s="68"/>
    </row>
    <row r="183">
      <c r="B183" s="67"/>
      <c r="C183" s="68"/>
      <c r="D183" s="68"/>
    </row>
    <row r="184">
      <c r="B184" s="67"/>
      <c r="C184" s="68"/>
      <c r="D184" s="68"/>
    </row>
    <row r="185">
      <c r="B185" s="67"/>
      <c r="C185" s="68"/>
      <c r="D185" s="68"/>
    </row>
    <row r="186">
      <c r="B186" s="67"/>
      <c r="C186" s="68"/>
      <c r="D186" s="68"/>
    </row>
    <row r="187">
      <c r="B187" s="67"/>
      <c r="C187" s="68"/>
      <c r="D187" s="68"/>
    </row>
    <row r="188">
      <c r="B188" s="67"/>
      <c r="C188" s="68"/>
      <c r="D188" s="68"/>
    </row>
    <row r="189">
      <c r="B189" s="67"/>
      <c r="C189" s="68"/>
      <c r="D189" s="68"/>
    </row>
    <row r="190">
      <c r="B190" s="67"/>
      <c r="C190" s="68"/>
      <c r="D190" s="68"/>
    </row>
    <row r="191">
      <c r="B191" s="67"/>
      <c r="C191" s="68"/>
      <c r="D191" s="68"/>
    </row>
    <row r="192">
      <c r="B192" s="67"/>
      <c r="C192" s="68"/>
      <c r="D192" s="68"/>
    </row>
    <row r="193">
      <c r="B193" s="67"/>
      <c r="C193" s="68"/>
      <c r="D193" s="68"/>
    </row>
    <row r="194">
      <c r="B194" s="67"/>
      <c r="C194" s="68"/>
      <c r="D194" s="68"/>
    </row>
    <row r="195">
      <c r="B195" s="67"/>
      <c r="C195" s="68"/>
      <c r="D195" s="71"/>
    </row>
    <row r="196">
      <c r="B196" s="7"/>
      <c r="C196" s="7"/>
      <c r="D196" s="7"/>
    </row>
    <row r="197">
      <c r="B197" s="7"/>
      <c r="C197" s="7"/>
      <c r="D197" s="7"/>
    </row>
    <row r="198">
      <c r="B198" s="7"/>
      <c r="C198" s="7"/>
      <c r="D198" s="7"/>
    </row>
    <row r="199">
      <c r="B199" s="7"/>
      <c r="C199" s="7"/>
      <c r="D199" s="7"/>
    </row>
    <row r="200">
      <c r="B200" s="7"/>
      <c r="C200" s="7"/>
      <c r="D200" s="7"/>
    </row>
    <row r="201">
      <c r="B201" s="7"/>
      <c r="C201" s="7"/>
      <c r="D201" s="7"/>
    </row>
    <row r="202">
      <c r="B202" s="7"/>
      <c r="C202" s="7"/>
      <c r="D202" s="7"/>
    </row>
    <row r="203">
      <c r="B203" s="7"/>
      <c r="C203" s="7"/>
      <c r="D203" s="7"/>
    </row>
    <row r="204">
      <c r="B204" s="7"/>
      <c r="C204" s="7"/>
      <c r="D204" s="7"/>
    </row>
    <row r="205">
      <c r="B205" s="7"/>
      <c r="C205" s="7"/>
      <c r="D205" s="7"/>
    </row>
    <row r="206">
      <c r="B206" s="7"/>
      <c r="C206" s="7"/>
      <c r="D206" s="7"/>
    </row>
    <row r="207">
      <c r="B207" s="7"/>
      <c r="C207" s="7"/>
      <c r="D207" s="7"/>
    </row>
    <row r="208">
      <c r="B208" s="7"/>
      <c r="C208" s="7"/>
      <c r="D208" s="7"/>
    </row>
    <row r="209">
      <c r="B209" s="7"/>
      <c r="C209" s="7"/>
      <c r="D209" s="7"/>
    </row>
    <row r="210">
      <c r="B210" s="7"/>
      <c r="C210" s="7"/>
      <c r="D210" s="7"/>
    </row>
    <row r="211">
      <c r="B211" s="7"/>
      <c r="C211" s="7"/>
      <c r="D211" s="7"/>
    </row>
    <row r="212">
      <c r="B212" s="7"/>
      <c r="C212" s="7"/>
      <c r="D212" s="7"/>
    </row>
    <row r="213">
      <c r="B213" s="7"/>
      <c r="C213" s="7"/>
      <c r="D213" s="7"/>
    </row>
    <row r="214">
      <c r="B214" s="7"/>
      <c r="C214" s="7"/>
      <c r="D214" s="7"/>
    </row>
    <row r="215">
      <c r="B215" s="7"/>
      <c r="C215" s="7"/>
      <c r="D215" s="7"/>
    </row>
    <row r="216">
      <c r="B216" s="7"/>
      <c r="C216" s="7"/>
      <c r="D216" s="7"/>
    </row>
    <row r="217">
      <c r="B217" s="7"/>
      <c r="C217" s="7"/>
      <c r="D217" s="7"/>
    </row>
    <row r="218">
      <c r="B218" s="7"/>
      <c r="C218" s="7"/>
      <c r="D218" s="7"/>
    </row>
    <row r="219">
      <c r="B219" s="7"/>
      <c r="C219" s="7"/>
      <c r="D219" s="7"/>
    </row>
    <row r="220">
      <c r="B220" s="7"/>
      <c r="C220" s="7"/>
      <c r="D220" s="7"/>
    </row>
    <row r="221">
      <c r="B221" s="7"/>
      <c r="C221" s="7"/>
      <c r="D221" s="7"/>
    </row>
    <row r="222">
      <c r="B222" s="7"/>
      <c r="C222" s="7"/>
      <c r="D222" s="7"/>
    </row>
    <row r="223">
      <c r="B223" s="7"/>
      <c r="C223" s="7"/>
      <c r="D223" s="7"/>
    </row>
    <row r="224">
      <c r="B224" s="7"/>
      <c r="C224" s="7"/>
      <c r="D224" s="7"/>
    </row>
    <row r="225">
      <c r="B225" s="7"/>
      <c r="C225" s="7"/>
      <c r="D225" s="7"/>
    </row>
    <row r="226">
      <c r="B226" s="7"/>
      <c r="C226" s="7"/>
      <c r="D226" s="7"/>
    </row>
    <row r="227">
      <c r="B227" s="7"/>
      <c r="C227" s="7"/>
      <c r="D227" s="7"/>
    </row>
    <row r="228">
      <c r="B228" s="7"/>
      <c r="C228" s="7"/>
      <c r="D228" s="7"/>
    </row>
    <row r="229">
      <c r="B229" s="7"/>
      <c r="C229" s="7"/>
      <c r="D229" s="7"/>
    </row>
    <row r="230">
      <c r="B230" s="7"/>
      <c r="C230" s="7"/>
      <c r="D230" s="7"/>
    </row>
    <row r="231">
      <c r="B231" s="7"/>
      <c r="C231" s="7"/>
      <c r="D231" s="7"/>
    </row>
    <row r="232">
      <c r="B232" s="7"/>
      <c r="C232" s="7"/>
      <c r="D232" s="7"/>
    </row>
    <row r="233">
      <c r="B233" s="7"/>
      <c r="C233" s="7"/>
      <c r="D233" s="7"/>
    </row>
    <row r="234">
      <c r="B234" s="7"/>
      <c r="C234" s="7"/>
      <c r="D234" s="7"/>
    </row>
    <row r="235">
      <c r="B235" s="7"/>
      <c r="C235" s="7"/>
      <c r="D235" s="7"/>
    </row>
    <row r="236">
      <c r="B236" s="7"/>
      <c r="C236" s="7"/>
      <c r="D236" s="7"/>
    </row>
    <row r="237">
      <c r="B237" s="7"/>
      <c r="C237" s="7"/>
      <c r="D237" s="7"/>
    </row>
    <row r="238">
      <c r="B238" s="7"/>
      <c r="C238" s="7"/>
      <c r="D238" s="7"/>
    </row>
    <row r="239">
      <c r="B239" s="7"/>
      <c r="C239" s="7"/>
      <c r="D239" s="7"/>
    </row>
    <row r="240">
      <c r="B240" s="7"/>
      <c r="C240" s="7"/>
      <c r="D240" s="7"/>
    </row>
    <row r="241">
      <c r="B241" s="7"/>
      <c r="C241" s="7"/>
      <c r="D241" s="7"/>
    </row>
    <row r="242">
      <c r="B242" s="7"/>
      <c r="C242" s="7"/>
      <c r="D242" s="7"/>
    </row>
    <row r="243">
      <c r="B243" s="7"/>
      <c r="C243" s="7"/>
      <c r="D243" s="7"/>
    </row>
    <row r="244">
      <c r="B244" s="7"/>
      <c r="C244" s="7"/>
      <c r="D244" s="7"/>
    </row>
    <row r="245">
      <c r="B245" s="7"/>
      <c r="C245" s="7"/>
      <c r="D245" s="7"/>
    </row>
    <row r="246">
      <c r="B246" s="7"/>
      <c r="C246" s="7"/>
      <c r="D246" s="7"/>
    </row>
    <row r="247">
      <c r="B247" s="7"/>
      <c r="C247" s="7"/>
      <c r="D247" s="7"/>
    </row>
    <row r="248">
      <c r="B248" s="7"/>
      <c r="C248" s="7"/>
      <c r="D248" s="7"/>
    </row>
    <row r="249">
      <c r="B249" s="7"/>
      <c r="C249" s="7"/>
      <c r="D249" s="7"/>
    </row>
    <row r="250">
      <c r="B250" s="7"/>
      <c r="C250" s="7"/>
      <c r="D250" s="7"/>
    </row>
    <row r="251">
      <c r="B251" s="7"/>
      <c r="C251" s="7"/>
      <c r="D251" s="7"/>
    </row>
    <row r="252">
      <c r="B252" s="7"/>
      <c r="C252" s="7"/>
      <c r="D252" s="7"/>
    </row>
    <row r="253">
      <c r="B253" s="7"/>
      <c r="C253" s="7"/>
      <c r="D253" s="7"/>
    </row>
    <row r="254">
      <c r="B254" s="7"/>
      <c r="C254" s="7"/>
      <c r="D254" s="7"/>
    </row>
    <row r="255">
      <c r="B255" s="7"/>
      <c r="C255" s="7"/>
      <c r="D255" s="7"/>
    </row>
    <row r="256">
      <c r="B256" s="7"/>
      <c r="C256" s="7"/>
      <c r="D256" s="7"/>
    </row>
    <row r="257">
      <c r="B257" s="7"/>
      <c r="C257" s="7"/>
      <c r="D257" s="7"/>
    </row>
    <row r="258">
      <c r="B258" s="7"/>
      <c r="C258" s="7"/>
      <c r="D258" s="7"/>
    </row>
    <row r="259">
      <c r="B259" s="7"/>
      <c r="C259" s="7"/>
      <c r="D259" s="7"/>
    </row>
    <row r="260">
      <c r="B260" s="7"/>
      <c r="C260" s="7"/>
      <c r="D260" s="7"/>
    </row>
    <row r="261">
      <c r="B261" s="7"/>
      <c r="C261" s="7"/>
      <c r="D261" s="7"/>
    </row>
    <row r="262">
      <c r="B262" s="7"/>
      <c r="C262" s="7"/>
      <c r="D262" s="7"/>
    </row>
    <row r="263">
      <c r="B263" s="7"/>
      <c r="C263" s="7"/>
      <c r="D263" s="7"/>
    </row>
    <row r="264">
      <c r="B264" s="7"/>
      <c r="C264" s="7"/>
      <c r="D264" s="7"/>
    </row>
    <row r="265">
      <c r="B265" s="7"/>
      <c r="C265" s="7"/>
      <c r="D265" s="7"/>
    </row>
    <row r="266">
      <c r="B266" s="7"/>
      <c r="C266" s="7"/>
      <c r="D266" s="7"/>
    </row>
    <row r="267">
      <c r="B267" s="7"/>
      <c r="C267" s="7"/>
      <c r="D267" s="7"/>
    </row>
    <row r="268">
      <c r="B268" s="7"/>
      <c r="C268" s="7"/>
      <c r="D268" s="7"/>
    </row>
    <row r="269">
      <c r="B269" s="7"/>
      <c r="C269" s="7"/>
      <c r="D269" s="7"/>
    </row>
    <row r="270">
      <c r="B270" s="7"/>
      <c r="C270" s="7"/>
      <c r="D270" s="7"/>
    </row>
    <row r="271">
      <c r="B271" s="7"/>
      <c r="C271" s="7"/>
      <c r="D271" s="7"/>
    </row>
    <row r="272">
      <c r="B272" s="7"/>
      <c r="C272" s="7"/>
      <c r="D272" s="7"/>
    </row>
    <row r="273">
      <c r="B273" s="7"/>
      <c r="C273" s="7"/>
      <c r="D273" s="7"/>
    </row>
    <row r="274">
      <c r="B274" s="7"/>
      <c r="C274" s="7"/>
      <c r="D274" s="7"/>
    </row>
    <row r="275">
      <c r="B275" s="7"/>
      <c r="C275" s="7"/>
      <c r="D275" s="7"/>
    </row>
    <row r="276">
      <c r="B276" s="7"/>
      <c r="C276" s="7"/>
      <c r="D276" s="7"/>
    </row>
    <row r="277">
      <c r="B277" s="7"/>
      <c r="C277" s="7"/>
      <c r="D277" s="7"/>
    </row>
    <row r="278">
      <c r="B278" s="7"/>
      <c r="C278" s="7"/>
      <c r="D278" s="7"/>
    </row>
    <row r="279">
      <c r="B279" s="7"/>
      <c r="C279" s="7"/>
      <c r="D279" s="7"/>
    </row>
    <row r="280">
      <c r="B280" s="7"/>
      <c r="C280" s="7"/>
      <c r="D280" s="7"/>
    </row>
    <row r="281">
      <c r="B281" s="7"/>
      <c r="C281" s="7"/>
      <c r="D281" s="7"/>
    </row>
    <row r="282">
      <c r="B282" s="7"/>
      <c r="C282" s="7"/>
      <c r="D282" s="7"/>
    </row>
    <row r="283">
      <c r="B283" s="7"/>
      <c r="C283" s="7"/>
      <c r="D283" s="7"/>
    </row>
    <row r="284">
      <c r="B284" s="7"/>
      <c r="C284" s="7"/>
      <c r="D284" s="7"/>
    </row>
    <row r="285">
      <c r="B285" s="7"/>
      <c r="C285" s="7"/>
      <c r="D285" s="7"/>
    </row>
    <row r="286">
      <c r="B286" s="7"/>
      <c r="C286" s="7"/>
      <c r="D286" s="7"/>
    </row>
    <row r="287">
      <c r="B287" s="7"/>
      <c r="C287" s="7"/>
      <c r="D287" s="7"/>
    </row>
    <row r="288">
      <c r="B288" s="7"/>
      <c r="C288" s="7"/>
      <c r="D288" s="7"/>
    </row>
    <row r="289">
      <c r="B289" s="7"/>
      <c r="C289" s="7"/>
      <c r="D289" s="7"/>
    </row>
    <row r="290">
      <c r="B290" s="7"/>
      <c r="C290" s="7"/>
      <c r="D290" s="7"/>
    </row>
    <row r="291">
      <c r="B291" s="7"/>
      <c r="C291" s="7"/>
      <c r="D291" s="7"/>
    </row>
    <row r="292">
      <c r="B292" s="7"/>
      <c r="C292" s="7"/>
      <c r="D292" s="7"/>
    </row>
    <row r="293">
      <c r="B293" s="7"/>
      <c r="C293" s="7"/>
      <c r="D293" s="7"/>
    </row>
    <row r="294">
      <c r="B294" s="7"/>
      <c r="C294" s="7"/>
      <c r="D294" s="7"/>
    </row>
    <row r="295">
      <c r="B295" s="7"/>
      <c r="C295" s="7"/>
      <c r="D295" s="7"/>
    </row>
    <row r="296">
      <c r="B296" s="7"/>
      <c r="C296" s="7"/>
      <c r="D296" s="7"/>
    </row>
    <row r="297">
      <c r="B297" s="7"/>
      <c r="C297" s="7"/>
      <c r="D297" s="7"/>
    </row>
    <row r="298">
      <c r="B298" s="7"/>
      <c r="C298" s="7"/>
      <c r="D298" s="7"/>
    </row>
    <row r="299">
      <c r="B299" s="7"/>
      <c r="C299" s="7"/>
      <c r="D299" s="7"/>
    </row>
    <row r="300">
      <c r="B300" s="7"/>
      <c r="C300" s="7"/>
      <c r="D300" s="7"/>
    </row>
    <row r="301">
      <c r="B301" s="7"/>
      <c r="C301" s="7"/>
      <c r="D301" s="7"/>
    </row>
    <row r="302">
      <c r="B302" s="7"/>
      <c r="C302" s="7"/>
      <c r="D302" s="7"/>
    </row>
    <row r="303">
      <c r="B303" s="7"/>
      <c r="C303" s="7"/>
      <c r="D303" s="7"/>
    </row>
    <row r="304">
      <c r="B304" s="7"/>
      <c r="C304" s="7"/>
      <c r="D304" s="7"/>
    </row>
    <row r="305">
      <c r="B305" s="7"/>
      <c r="C305" s="7"/>
      <c r="D305" s="7"/>
    </row>
    <row r="306">
      <c r="B306" s="7"/>
      <c r="C306" s="7"/>
      <c r="D306" s="7"/>
    </row>
    <row r="307">
      <c r="B307" s="7"/>
      <c r="C307" s="7"/>
      <c r="D307" s="7"/>
    </row>
    <row r="308">
      <c r="B308" s="7"/>
      <c r="C308" s="7"/>
      <c r="D308" s="7"/>
    </row>
    <row r="309">
      <c r="B309" s="7"/>
      <c r="C309" s="7"/>
      <c r="D309" s="7"/>
    </row>
    <row r="310">
      <c r="B310" s="7"/>
      <c r="C310" s="7"/>
      <c r="D310" s="7"/>
    </row>
    <row r="311">
      <c r="B311" s="7"/>
      <c r="C311" s="7"/>
      <c r="D311" s="7"/>
    </row>
    <row r="312">
      <c r="B312" s="7"/>
      <c r="C312" s="7"/>
      <c r="D312" s="7"/>
    </row>
    <row r="313">
      <c r="B313" s="7"/>
      <c r="C313" s="7"/>
      <c r="D313" s="7"/>
    </row>
    <row r="314">
      <c r="B314" s="7"/>
      <c r="C314" s="7"/>
      <c r="D314" s="7"/>
    </row>
    <row r="315">
      <c r="B315" s="7"/>
      <c r="C315" s="7"/>
      <c r="D315" s="7"/>
    </row>
    <row r="316">
      <c r="B316" s="7"/>
      <c r="C316" s="7"/>
      <c r="D316" s="7"/>
    </row>
    <row r="317">
      <c r="B317" s="7"/>
      <c r="C317" s="7"/>
      <c r="D317" s="7"/>
    </row>
    <row r="318">
      <c r="B318" s="7"/>
      <c r="C318" s="7"/>
      <c r="D318" s="7"/>
    </row>
    <row r="319">
      <c r="B319" s="7"/>
      <c r="C319" s="7"/>
      <c r="D319" s="7"/>
    </row>
    <row r="320">
      <c r="B320" s="7"/>
      <c r="C320" s="7"/>
      <c r="D320" s="7"/>
    </row>
    <row r="321">
      <c r="B321" s="7"/>
      <c r="C321" s="7"/>
      <c r="D321" s="7"/>
    </row>
    <row r="322">
      <c r="B322" s="7"/>
      <c r="C322" s="7"/>
      <c r="D322" s="7"/>
    </row>
    <row r="323">
      <c r="B323" s="7"/>
      <c r="C323" s="7"/>
      <c r="D323" s="7"/>
    </row>
    <row r="324">
      <c r="B324" s="7"/>
      <c r="C324" s="7"/>
      <c r="D324" s="7"/>
    </row>
    <row r="325">
      <c r="B325" s="7"/>
      <c r="C325" s="7"/>
      <c r="D325" s="7"/>
    </row>
    <row r="326">
      <c r="B326" s="7"/>
      <c r="C326" s="7"/>
      <c r="D326" s="7"/>
    </row>
    <row r="327">
      <c r="B327" s="7"/>
      <c r="C327" s="7"/>
      <c r="D327" s="7"/>
    </row>
    <row r="328">
      <c r="B328" s="7"/>
      <c r="C328" s="7"/>
      <c r="D328" s="7"/>
    </row>
    <row r="329">
      <c r="B329" s="7"/>
      <c r="C329" s="7"/>
      <c r="D329" s="7"/>
    </row>
    <row r="330">
      <c r="B330" s="7"/>
      <c r="C330" s="7"/>
      <c r="D330" s="7"/>
    </row>
    <row r="331">
      <c r="B331" s="7"/>
      <c r="C331" s="7"/>
      <c r="D331" s="7"/>
    </row>
    <row r="332">
      <c r="B332" s="7"/>
      <c r="C332" s="7"/>
      <c r="D332" s="7"/>
    </row>
    <row r="333">
      <c r="B333" s="7"/>
      <c r="C333" s="7"/>
      <c r="D333" s="7"/>
    </row>
    <row r="334">
      <c r="B334" s="7"/>
      <c r="C334" s="7"/>
      <c r="D334" s="7"/>
    </row>
    <row r="335">
      <c r="B335" s="7"/>
      <c r="C335" s="7"/>
      <c r="D335" s="7"/>
    </row>
    <row r="336">
      <c r="B336" s="7"/>
      <c r="C336" s="7"/>
      <c r="D336" s="7"/>
    </row>
    <row r="337">
      <c r="B337" s="7"/>
      <c r="C337" s="7"/>
      <c r="D337" s="7"/>
    </row>
    <row r="338">
      <c r="B338" s="7"/>
      <c r="C338" s="7"/>
      <c r="D338" s="7"/>
    </row>
    <row r="339">
      <c r="B339" s="7"/>
      <c r="C339" s="7"/>
      <c r="D339" s="7"/>
    </row>
    <row r="340">
      <c r="B340" s="7"/>
      <c r="C340" s="7"/>
      <c r="D340" s="7"/>
    </row>
    <row r="341">
      <c r="B341" s="7"/>
      <c r="C341" s="7"/>
      <c r="D341" s="7"/>
    </row>
    <row r="342">
      <c r="B342" s="7"/>
      <c r="C342" s="7"/>
      <c r="D342" s="7"/>
    </row>
    <row r="343">
      <c r="B343" s="7"/>
      <c r="C343" s="7"/>
      <c r="D343" s="7"/>
    </row>
    <row r="344">
      <c r="B344" s="7"/>
      <c r="C344" s="7"/>
      <c r="D344" s="7"/>
    </row>
    <row r="345">
      <c r="B345" s="7"/>
      <c r="C345" s="7"/>
      <c r="D345" s="7"/>
    </row>
    <row r="346">
      <c r="B346" s="7"/>
      <c r="C346" s="7"/>
      <c r="D346" s="7"/>
    </row>
    <row r="347">
      <c r="B347" s="7"/>
      <c r="C347" s="7"/>
      <c r="D347" s="7"/>
    </row>
    <row r="348">
      <c r="B348" s="7"/>
      <c r="C348" s="7"/>
      <c r="D348" s="7"/>
    </row>
    <row r="349">
      <c r="B349" s="7"/>
      <c r="C349" s="7"/>
      <c r="D349" s="7"/>
    </row>
    <row r="350">
      <c r="B350" s="7"/>
      <c r="C350" s="7"/>
      <c r="D350" s="7"/>
    </row>
    <row r="351">
      <c r="B351" s="7"/>
      <c r="C351" s="7"/>
      <c r="D351" s="7"/>
    </row>
    <row r="352">
      <c r="B352" s="7"/>
      <c r="C352" s="7"/>
      <c r="D352" s="7"/>
    </row>
    <row r="353">
      <c r="B353" s="7"/>
      <c r="C353" s="7"/>
      <c r="D353" s="7"/>
    </row>
    <row r="354">
      <c r="B354" s="7"/>
      <c r="C354" s="7"/>
      <c r="D354" s="7"/>
    </row>
    <row r="355">
      <c r="B355" s="7"/>
      <c r="C355" s="7"/>
      <c r="D355" s="7"/>
    </row>
    <row r="356">
      <c r="B356" s="7"/>
      <c r="C356" s="7"/>
      <c r="D356" s="7"/>
    </row>
    <row r="357">
      <c r="B357" s="7"/>
      <c r="C357" s="7"/>
      <c r="D357" s="7"/>
    </row>
    <row r="358">
      <c r="B358" s="7"/>
      <c r="C358" s="7"/>
      <c r="D358" s="7"/>
    </row>
    <row r="359">
      <c r="B359" s="7"/>
      <c r="C359" s="7"/>
      <c r="D359" s="7"/>
    </row>
    <row r="360">
      <c r="B360" s="7"/>
      <c r="C360" s="7"/>
      <c r="D360" s="7"/>
    </row>
    <row r="361">
      <c r="B361" s="7"/>
      <c r="C361" s="7"/>
      <c r="D361" s="7"/>
    </row>
    <row r="362">
      <c r="B362" s="7"/>
      <c r="C362" s="7"/>
      <c r="D362" s="7"/>
    </row>
    <row r="363">
      <c r="B363" s="7"/>
      <c r="C363" s="7"/>
      <c r="D363" s="7"/>
    </row>
    <row r="364">
      <c r="B364" s="7"/>
      <c r="C364" s="7"/>
      <c r="D364" s="7"/>
    </row>
    <row r="365">
      <c r="B365" s="7"/>
      <c r="C365" s="7"/>
      <c r="D365" s="7"/>
    </row>
    <row r="366">
      <c r="B366" s="7"/>
      <c r="C366" s="7"/>
      <c r="D366" s="7"/>
    </row>
    <row r="367">
      <c r="B367" s="7"/>
      <c r="C367" s="7"/>
      <c r="D367" s="7"/>
    </row>
    <row r="368">
      <c r="B368" s="7"/>
      <c r="C368" s="7"/>
      <c r="D368" s="7"/>
    </row>
    <row r="369">
      <c r="B369" s="7"/>
      <c r="C369" s="7"/>
      <c r="D369" s="7"/>
    </row>
    <row r="370">
      <c r="B370" s="7"/>
      <c r="C370" s="7"/>
      <c r="D370" s="7"/>
    </row>
    <row r="371">
      <c r="B371" s="7"/>
      <c r="C371" s="7"/>
      <c r="D371" s="7"/>
    </row>
    <row r="372">
      <c r="B372" s="7"/>
      <c r="C372" s="7"/>
      <c r="D372" s="7"/>
    </row>
    <row r="373">
      <c r="B373" s="7"/>
      <c r="C373" s="7"/>
      <c r="D373" s="7"/>
    </row>
    <row r="374">
      <c r="B374" s="7"/>
      <c r="C374" s="7"/>
      <c r="D374" s="7"/>
    </row>
    <row r="375">
      <c r="B375" s="7"/>
      <c r="C375" s="7"/>
      <c r="D375" s="7"/>
    </row>
    <row r="376">
      <c r="B376" s="7"/>
      <c r="C376" s="7"/>
      <c r="D376" s="7"/>
    </row>
    <row r="377">
      <c r="B377" s="7"/>
      <c r="C377" s="7"/>
      <c r="D377" s="7"/>
    </row>
    <row r="378">
      <c r="B378" s="7"/>
      <c r="C378" s="7"/>
      <c r="D378" s="7"/>
    </row>
    <row r="379">
      <c r="B379" s="7"/>
      <c r="C379" s="7"/>
      <c r="D379" s="7"/>
    </row>
    <row r="380">
      <c r="B380" s="7"/>
      <c r="C380" s="7"/>
      <c r="D380" s="7"/>
    </row>
    <row r="381">
      <c r="B381" s="7"/>
      <c r="C381" s="7"/>
      <c r="D381" s="7"/>
    </row>
    <row r="382">
      <c r="B382" s="7"/>
      <c r="C382" s="7"/>
      <c r="D382" s="7"/>
    </row>
    <row r="383">
      <c r="B383" s="7"/>
      <c r="C383" s="7"/>
      <c r="D383" s="7"/>
    </row>
    <row r="384">
      <c r="B384" s="7"/>
      <c r="C384" s="7"/>
      <c r="D384" s="7"/>
    </row>
    <row r="385">
      <c r="B385" s="7"/>
      <c r="C385" s="7"/>
      <c r="D385" s="7"/>
    </row>
    <row r="386">
      <c r="B386" s="7"/>
      <c r="C386" s="7"/>
      <c r="D386" s="7"/>
    </row>
    <row r="387">
      <c r="B387" s="7"/>
      <c r="C387" s="7"/>
      <c r="D387" s="7"/>
    </row>
    <row r="388">
      <c r="B388" s="7"/>
      <c r="C388" s="7"/>
      <c r="D388" s="7"/>
    </row>
    <row r="389">
      <c r="B389" s="7"/>
      <c r="C389" s="7"/>
      <c r="D389" s="7"/>
    </row>
    <row r="390">
      <c r="B390" s="7"/>
      <c r="C390" s="7"/>
      <c r="D390" s="7"/>
    </row>
    <row r="391">
      <c r="B391" s="7"/>
      <c r="C391" s="7"/>
      <c r="D391" s="7"/>
    </row>
    <row r="392">
      <c r="B392" s="7"/>
      <c r="C392" s="7"/>
      <c r="D392" s="7"/>
    </row>
    <row r="393">
      <c r="B393" s="7"/>
      <c r="C393" s="7"/>
      <c r="D393" s="7"/>
    </row>
    <row r="394">
      <c r="B394" s="7"/>
      <c r="C394" s="7"/>
      <c r="D394" s="7"/>
    </row>
    <row r="395">
      <c r="B395" s="7"/>
      <c r="C395" s="7"/>
      <c r="D395" s="7"/>
    </row>
    <row r="396">
      <c r="B396" s="7"/>
      <c r="C396" s="7"/>
      <c r="D396" s="7"/>
    </row>
    <row r="397">
      <c r="B397" s="7"/>
      <c r="C397" s="7"/>
      <c r="D397" s="7"/>
    </row>
    <row r="398">
      <c r="B398" s="7"/>
      <c r="C398" s="7"/>
      <c r="D398" s="7"/>
    </row>
    <row r="399">
      <c r="B399" s="7"/>
      <c r="C399" s="7"/>
      <c r="D399" s="7"/>
    </row>
    <row r="400">
      <c r="B400" s="7"/>
      <c r="C400" s="7"/>
      <c r="D400" s="7"/>
    </row>
    <row r="401">
      <c r="B401" s="7"/>
      <c r="C401" s="7"/>
      <c r="D401" s="7"/>
    </row>
    <row r="402">
      <c r="B402" s="7"/>
      <c r="C402" s="7"/>
      <c r="D402" s="7"/>
    </row>
    <row r="403">
      <c r="B403" s="7"/>
      <c r="C403" s="7"/>
      <c r="D403" s="7"/>
    </row>
    <row r="404">
      <c r="B404" s="7"/>
      <c r="C404" s="7"/>
      <c r="D404" s="7"/>
    </row>
    <row r="405">
      <c r="B405" s="7"/>
      <c r="C405" s="7"/>
      <c r="D405" s="7"/>
    </row>
    <row r="406">
      <c r="B406" s="7"/>
      <c r="C406" s="7"/>
      <c r="D406" s="7"/>
    </row>
    <row r="407">
      <c r="B407" s="7"/>
      <c r="C407" s="7"/>
      <c r="D407" s="7"/>
    </row>
    <row r="408">
      <c r="B408" s="7"/>
      <c r="C408" s="7"/>
      <c r="D408" s="7"/>
    </row>
    <row r="409">
      <c r="B409" s="7"/>
      <c r="C409" s="7"/>
      <c r="D409" s="7"/>
    </row>
    <row r="410">
      <c r="B410" s="7"/>
      <c r="C410" s="7"/>
      <c r="D410" s="7"/>
    </row>
    <row r="411">
      <c r="B411" s="7"/>
      <c r="C411" s="7"/>
      <c r="D411" s="7"/>
    </row>
    <row r="412">
      <c r="B412" s="7"/>
      <c r="C412" s="7"/>
      <c r="D412" s="7"/>
    </row>
    <row r="413">
      <c r="B413" s="7"/>
      <c r="C413" s="7"/>
      <c r="D413" s="7"/>
    </row>
    <row r="414">
      <c r="B414" s="7"/>
      <c r="C414" s="7"/>
      <c r="D414" s="7"/>
    </row>
    <row r="415">
      <c r="B415" s="7"/>
      <c r="C415" s="7"/>
      <c r="D415" s="7"/>
    </row>
    <row r="416">
      <c r="B416" s="7"/>
      <c r="C416" s="7"/>
      <c r="D416" s="7"/>
    </row>
    <row r="417">
      <c r="B417" s="7"/>
      <c r="C417" s="7"/>
      <c r="D417" s="7"/>
    </row>
    <row r="418">
      <c r="B418" s="7"/>
      <c r="C418" s="7"/>
      <c r="D418" s="7"/>
    </row>
    <row r="419">
      <c r="B419" s="7"/>
      <c r="C419" s="7"/>
      <c r="D419" s="7"/>
    </row>
    <row r="420">
      <c r="B420" s="7"/>
      <c r="C420" s="7"/>
      <c r="D420" s="7"/>
    </row>
    <row r="421">
      <c r="B421" s="7"/>
      <c r="C421" s="7"/>
      <c r="D421" s="7"/>
    </row>
    <row r="422">
      <c r="B422" s="7"/>
      <c r="C422" s="7"/>
      <c r="D422" s="7"/>
    </row>
    <row r="423">
      <c r="B423" s="7"/>
      <c r="C423" s="7"/>
      <c r="D423" s="7"/>
    </row>
    <row r="424">
      <c r="B424" s="7"/>
      <c r="C424" s="7"/>
      <c r="D424" s="7"/>
    </row>
    <row r="425">
      <c r="B425" s="7"/>
      <c r="C425" s="7"/>
      <c r="D425" s="7"/>
    </row>
    <row r="426">
      <c r="B426" s="7"/>
      <c r="C426" s="7"/>
      <c r="D426" s="7"/>
    </row>
    <row r="427">
      <c r="B427" s="7"/>
      <c r="C427" s="7"/>
      <c r="D427" s="7"/>
    </row>
    <row r="428">
      <c r="B428" s="7"/>
      <c r="C428" s="7"/>
      <c r="D428" s="7"/>
    </row>
    <row r="429">
      <c r="B429" s="7"/>
      <c r="C429" s="7"/>
      <c r="D429" s="7"/>
    </row>
    <row r="430">
      <c r="B430" s="7"/>
      <c r="C430" s="7"/>
      <c r="D430" s="7"/>
    </row>
    <row r="431">
      <c r="B431" s="7"/>
      <c r="C431" s="7"/>
      <c r="D431" s="7"/>
    </row>
    <row r="432">
      <c r="B432" s="7"/>
      <c r="C432" s="7"/>
      <c r="D432" s="7"/>
    </row>
    <row r="433">
      <c r="B433" s="7"/>
      <c r="C433" s="7"/>
      <c r="D433" s="7"/>
    </row>
    <row r="434">
      <c r="B434" s="7"/>
      <c r="C434" s="7"/>
      <c r="D434" s="7"/>
    </row>
    <row r="435">
      <c r="B435" s="7"/>
      <c r="C435" s="7"/>
      <c r="D435" s="7"/>
    </row>
    <row r="436">
      <c r="B436" s="7"/>
      <c r="C436" s="7"/>
      <c r="D436" s="7"/>
    </row>
    <row r="437">
      <c r="B437" s="7"/>
      <c r="C437" s="7"/>
      <c r="D437" s="7"/>
    </row>
    <row r="438">
      <c r="B438" s="7"/>
      <c r="C438" s="7"/>
      <c r="D438" s="7"/>
    </row>
    <row r="439">
      <c r="B439" s="7"/>
      <c r="C439" s="7"/>
      <c r="D439" s="7"/>
    </row>
    <row r="440">
      <c r="B440" s="7"/>
      <c r="C440" s="7"/>
      <c r="D440" s="7"/>
    </row>
    <row r="441">
      <c r="B441" s="7"/>
      <c r="C441" s="7"/>
      <c r="D441" s="7"/>
    </row>
    <row r="442">
      <c r="B442" s="7"/>
      <c r="C442" s="7"/>
      <c r="D442" s="7"/>
    </row>
    <row r="443">
      <c r="B443" s="7"/>
      <c r="C443" s="7"/>
      <c r="D443" s="7"/>
    </row>
    <row r="444">
      <c r="B444" s="7"/>
      <c r="C444" s="7"/>
      <c r="D444" s="7"/>
    </row>
    <row r="445">
      <c r="B445" s="7"/>
      <c r="C445" s="7"/>
      <c r="D445" s="7"/>
    </row>
    <row r="446">
      <c r="B446" s="7"/>
      <c r="C446" s="7"/>
      <c r="D446" s="7"/>
    </row>
    <row r="447">
      <c r="B447" s="7"/>
      <c r="C447" s="7"/>
      <c r="D447" s="7"/>
    </row>
    <row r="448">
      <c r="B448" s="7"/>
      <c r="C448" s="7"/>
      <c r="D448" s="7"/>
    </row>
    <row r="449">
      <c r="B449" s="7"/>
      <c r="C449" s="7"/>
      <c r="D449" s="7"/>
    </row>
    <row r="450">
      <c r="B450" s="7"/>
      <c r="C450" s="7"/>
      <c r="D450" s="7"/>
    </row>
    <row r="451">
      <c r="B451" s="7"/>
      <c r="C451" s="7"/>
      <c r="D451" s="7"/>
    </row>
    <row r="452">
      <c r="B452" s="7"/>
      <c r="C452" s="7"/>
      <c r="D452" s="7"/>
    </row>
    <row r="453">
      <c r="B453" s="7"/>
      <c r="C453" s="7"/>
      <c r="D453" s="7"/>
    </row>
    <row r="454">
      <c r="B454" s="7"/>
      <c r="C454" s="7"/>
      <c r="D454" s="7"/>
    </row>
    <row r="455">
      <c r="B455" s="7"/>
      <c r="C455" s="7"/>
      <c r="D455" s="7"/>
    </row>
    <row r="456">
      <c r="B456" s="7"/>
      <c r="C456" s="7"/>
      <c r="D456" s="7"/>
    </row>
    <row r="457">
      <c r="B457" s="7"/>
      <c r="C457" s="7"/>
      <c r="D457" s="7"/>
    </row>
    <row r="458">
      <c r="B458" s="7"/>
      <c r="C458" s="7"/>
      <c r="D458" s="7"/>
    </row>
    <row r="459">
      <c r="B459" s="7"/>
      <c r="C459" s="7"/>
      <c r="D459" s="7"/>
    </row>
    <row r="460">
      <c r="B460" s="7"/>
      <c r="C460" s="7"/>
      <c r="D460" s="7"/>
    </row>
    <row r="461">
      <c r="B461" s="7"/>
      <c r="C461" s="7"/>
      <c r="D461" s="7"/>
    </row>
    <row r="462">
      <c r="B462" s="7"/>
      <c r="C462" s="7"/>
      <c r="D462" s="7"/>
    </row>
    <row r="463">
      <c r="B463" s="7"/>
      <c r="C463" s="7"/>
      <c r="D463" s="7"/>
    </row>
    <row r="464">
      <c r="B464" s="7"/>
      <c r="C464" s="7"/>
      <c r="D464" s="7"/>
    </row>
    <row r="465">
      <c r="B465" s="7"/>
      <c r="C465" s="7"/>
      <c r="D465" s="7"/>
    </row>
    <row r="466">
      <c r="B466" s="7"/>
      <c r="C466" s="7"/>
      <c r="D466" s="7"/>
    </row>
    <row r="467">
      <c r="B467" s="7"/>
      <c r="C467" s="7"/>
      <c r="D467" s="7"/>
    </row>
    <row r="468">
      <c r="B468" s="7"/>
      <c r="C468" s="7"/>
      <c r="D468" s="7"/>
    </row>
    <row r="469">
      <c r="B469" s="7"/>
      <c r="C469" s="7"/>
      <c r="D469" s="7"/>
    </row>
    <row r="470">
      <c r="B470" s="7"/>
      <c r="C470" s="7"/>
      <c r="D470" s="7"/>
    </row>
    <row r="471">
      <c r="B471" s="7"/>
      <c r="C471" s="7"/>
      <c r="D471" s="7"/>
    </row>
    <row r="472">
      <c r="B472" s="7"/>
      <c r="C472" s="7"/>
      <c r="D472" s="7"/>
    </row>
    <row r="473">
      <c r="B473" s="7"/>
      <c r="C473" s="7"/>
      <c r="D473" s="7"/>
    </row>
    <row r="474">
      <c r="B474" s="7"/>
      <c r="C474" s="7"/>
      <c r="D474" s="7"/>
    </row>
    <row r="475">
      <c r="B475" s="7"/>
      <c r="C475" s="7"/>
      <c r="D475" s="7"/>
    </row>
    <row r="476">
      <c r="B476" s="7"/>
      <c r="C476" s="7"/>
      <c r="D476" s="7"/>
    </row>
    <row r="477">
      <c r="B477" s="7"/>
      <c r="C477" s="7"/>
      <c r="D477" s="7"/>
    </row>
    <row r="478">
      <c r="B478" s="7"/>
      <c r="C478" s="7"/>
      <c r="D478" s="7"/>
    </row>
    <row r="479">
      <c r="B479" s="7"/>
      <c r="C479" s="7"/>
      <c r="D479" s="7"/>
    </row>
    <row r="480">
      <c r="B480" s="7"/>
      <c r="C480" s="7"/>
      <c r="D480" s="7"/>
    </row>
    <row r="481">
      <c r="B481" s="7"/>
      <c r="C481" s="7"/>
      <c r="D481" s="7"/>
    </row>
    <row r="482">
      <c r="B482" s="7"/>
      <c r="C482" s="7"/>
      <c r="D482" s="7"/>
    </row>
    <row r="483">
      <c r="B483" s="7"/>
      <c r="C483" s="7"/>
      <c r="D483" s="7"/>
    </row>
    <row r="484">
      <c r="B484" s="7"/>
      <c r="C484" s="7"/>
      <c r="D484" s="7"/>
    </row>
    <row r="485">
      <c r="B485" s="7"/>
      <c r="C485" s="7"/>
      <c r="D485" s="7"/>
    </row>
    <row r="486">
      <c r="B486" s="7"/>
      <c r="C486" s="7"/>
      <c r="D486" s="7"/>
    </row>
    <row r="487">
      <c r="B487" s="7"/>
      <c r="C487" s="7"/>
      <c r="D487" s="7"/>
    </row>
    <row r="488">
      <c r="B488" s="7"/>
      <c r="C488" s="7"/>
      <c r="D488" s="7"/>
    </row>
    <row r="489">
      <c r="B489" s="7"/>
      <c r="C489" s="7"/>
      <c r="D489" s="7"/>
    </row>
    <row r="490">
      <c r="B490" s="7"/>
      <c r="C490" s="7"/>
      <c r="D490" s="7"/>
    </row>
    <row r="491">
      <c r="B491" s="7"/>
      <c r="C491" s="7"/>
      <c r="D491" s="7"/>
    </row>
    <row r="492">
      <c r="B492" s="7"/>
      <c r="C492" s="7"/>
      <c r="D492" s="7"/>
    </row>
    <row r="493">
      <c r="B493" s="7"/>
      <c r="C493" s="7"/>
      <c r="D493" s="7"/>
    </row>
    <row r="494">
      <c r="B494" s="7"/>
      <c r="C494" s="7"/>
      <c r="D494" s="7"/>
    </row>
    <row r="495">
      <c r="B495" s="7"/>
      <c r="C495" s="7"/>
      <c r="D495" s="7"/>
    </row>
    <row r="496">
      <c r="B496" s="7"/>
      <c r="C496" s="7"/>
      <c r="D496" s="7"/>
    </row>
    <row r="497">
      <c r="B497" s="7"/>
      <c r="C497" s="7"/>
      <c r="D497" s="7"/>
    </row>
    <row r="498">
      <c r="B498" s="7"/>
      <c r="C498" s="7"/>
      <c r="D498" s="7"/>
    </row>
    <row r="499">
      <c r="B499" s="7"/>
      <c r="C499" s="7"/>
      <c r="D499" s="7"/>
    </row>
    <row r="500">
      <c r="B500" s="7"/>
      <c r="C500" s="7"/>
      <c r="D500" s="7"/>
    </row>
    <row r="501">
      <c r="B501" s="7"/>
      <c r="C501" s="7"/>
      <c r="D501" s="7"/>
    </row>
    <row r="502">
      <c r="B502" s="7"/>
      <c r="C502" s="7"/>
      <c r="D502" s="7"/>
    </row>
    <row r="503">
      <c r="B503" s="7"/>
      <c r="C503" s="7"/>
      <c r="D503" s="7"/>
    </row>
    <row r="504">
      <c r="B504" s="7"/>
      <c r="C504" s="7"/>
      <c r="D504" s="7"/>
    </row>
    <row r="505">
      <c r="B505" s="7"/>
      <c r="C505" s="7"/>
      <c r="D505" s="7"/>
    </row>
    <row r="506">
      <c r="B506" s="7"/>
      <c r="C506" s="7"/>
      <c r="D506" s="7"/>
    </row>
    <row r="507">
      <c r="B507" s="7"/>
      <c r="C507" s="7"/>
      <c r="D507" s="7"/>
    </row>
    <row r="508">
      <c r="B508" s="7"/>
      <c r="C508" s="7"/>
      <c r="D508" s="7"/>
    </row>
    <row r="509">
      <c r="B509" s="7"/>
      <c r="C509" s="7"/>
      <c r="D509" s="7"/>
    </row>
    <row r="510">
      <c r="B510" s="7"/>
      <c r="C510" s="7"/>
      <c r="D510" s="7"/>
    </row>
    <row r="511">
      <c r="B511" s="7"/>
      <c r="C511" s="7"/>
      <c r="D511" s="7"/>
    </row>
    <row r="512">
      <c r="B512" s="7"/>
      <c r="C512" s="7"/>
      <c r="D512" s="7"/>
    </row>
    <row r="513">
      <c r="B513" s="7"/>
      <c r="C513" s="7"/>
      <c r="D513" s="7"/>
    </row>
    <row r="514">
      <c r="B514" s="7"/>
      <c r="C514" s="7"/>
      <c r="D514" s="7"/>
    </row>
    <row r="515">
      <c r="B515" s="7"/>
      <c r="C515" s="7"/>
      <c r="D515" s="7"/>
    </row>
    <row r="516">
      <c r="B516" s="7"/>
      <c r="C516" s="7"/>
      <c r="D516" s="7"/>
    </row>
    <row r="517">
      <c r="B517" s="7"/>
      <c r="C517" s="7"/>
      <c r="D517" s="7"/>
    </row>
    <row r="518">
      <c r="B518" s="7"/>
      <c r="C518" s="7"/>
      <c r="D518" s="7"/>
    </row>
    <row r="519">
      <c r="B519" s="7"/>
      <c r="C519" s="7"/>
      <c r="D519" s="7"/>
    </row>
    <row r="520">
      <c r="B520" s="7"/>
      <c r="C520" s="7"/>
      <c r="D520" s="7"/>
    </row>
    <row r="521">
      <c r="B521" s="7"/>
      <c r="C521" s="7"/>
      <c r="D521" s="7"/>
    </row>
    <row r="522">
      <c r="B522" s="7"/>
      <c r="C522" s="7"/>
      <c r="D522" s="7"/>
    </row>
    <row r="523">
      <c r="B523" s="7"/>
      <c r="C523" s="7"/>
      <c r="D523" s="7"/>
    </row>
    <row r="524">
      <c r="B524" s="7"/>
      <c r="C524" s="7"/>
      <c r="D524" s="7"/>
    </row>
    <row r="525">
      <c r="B525" s="7"/>
      <c r="C525" s="7"/>
      <c r="D525" s="7"/>
    </row>
    <row r="526">
      <c r="B526" s="7"/>
      <c r="C526" s="7"/>
      <c r="D526" s="7"/>
    </row>
    <row r="527">
      <c r="B527" s="7"/>
      <c r="C527" s="7"/>
      <c r="D527" s="7"/>
    </row>
    <row r="528">
      <c r="B528" s="7"/>
      <c r="C528" s="7"/>
      <c r="D528" s="7"/>
    </row>
    <row r="529">
      <c r="B529" s="7"/>
      <c r="C529" s="7"/>
      <c r="D529" s="7"/>
    </row>
    <row r="530">
      <c r="B530" s="7"/>
      <c r="C530" s="7"/>
      <c r="D530" s="7"/>
    </row>
    <row r="531">
      <c r="B531" s="7"/>
      <c r="C531" s="7"/>
      <c r="D531" s="7"/>
    </row>
    <row r="532">
      <c r="B532" s="7"/>
      <c r="C532" s="7"/>
      <c r="D532" s="7"/>
    </row>
    <row r="533">
      <c r="B533" s="7"/>
      <c r="C533" s="7"/>
      <c r="D533" s="7"/>
    </row>
    <row r="534">
      <c r="B534" s="7"/>
      <c r="C534" s="7"/>
      <c r="D534" s="7"/>
    </row>
    <row r="535">
      <c r="B535" s="7"/>
      <c r="C535" s="7"/>
      <c r="D535" s="7"/>
    </row>
    <row r="536">
      <c r="B536" s="7"/>
      <c r="C536" s="7"/>
      <c r="D536" s="7"/>
    </row>
    <row r="537">
      <c r="B537" s="7"/>
      <c r="C537" s="7"/>
      <c r="D537" s="7"/>
    </row>
    <row r="538">
      <c r="B538" s="7"/>
      <c r="C538" s="7"/>
      <c r="D538" s="7"/>
    </row>
    <row r="539">
      <c r="B539" s="7"/>
      <c r="C539" s="7"/>
      <c r="D539" s="7"/>
    </row>
    <row r="540">
      <c r="B540" s="7"/>
      <c r="C540" s="7"/>
      <c r="D540" s="7"/>
    </row>
    <row r="541">
      <c r="B541" s="7"/>
      <c r="C541" s="7"/>
      <c r="D541" s="7"/>
    </row>
    <row r="542">
      <c r="B542" s="7"/>
      <c r="C542" s="7"/>
      <c r="D542" s="7"/>
    </row>
    <row r="543">
      <c r="B543" s="7"/>
      <c r="C543" s="7"/>
      <c r="D543" s="7"/>
    </row>
    <row r="544">
      <c r="B544" s="7"/>
      <c r="C544" s="7"/>
      <c r="D544" s="7"/>
    </row>
    <row r="545">
      <c r="B545" s="7"/>
      <c r="C545" s="7"/>
      <c r="D545" s="7"/>
    </row>
    <row r="546">
      <c r="B546" s="7"/>
      <c r="C546" s="7"/>
      <c r="D546" s="7"/>
    </row>
    <row r="547">
      <c r="B547" s="7"/>
      <c r="C547" s="7"/>
      <c r="D547" s="7"/>
    </row>
    <row r="548">
      <c r="B548" s="7"/>
      <c r="C548" s="7"/>
      <c r="D548" s="7"/>
    </row>
    <row r="549">
      <c r="B549" s="7"/>
      <c r="C549" s="7"/>
      <c r="D549" s="7"/>
    </row>
    <row r="550">
      <c r="B550" s="7"/>
      <c r="C550" s="7"/>
      <c r="D550" s="7"/>
    </row>
    <row r="551">
      <c r="B551" s="7"/>
      <c r="C551" s="7"/>
      <c r="D551" s="7"/>
    </row>
    <row r="552">
      <c r="B552" s="7"/>
      <c r="C552" s="7"/>
      <c r="D552" s="7"/>
    </row>
    <row r="553">
      <c r="B553" s="7"/>
      <c r="C553" s="7"/>
      <c r="D553" s="7"/>
    </row>
    <row r="554">
      <c r="B554" s="7"/>
      <c r="C554" s="7"/>
      <c r="D554" s="7"/>
    </row>
    <row r="555">
      <c r="B555" s="7"/>
      <c r="C555" s="7"/>
      <c r="D555" s="7"/>
    </row>
    <row r="556">
      <c r="B556" s="7"/>
      <c r="C556" s="7"/>
      <c r="D556" s="7"/>
    </row>
    <row r="557">
      <c r="B557" s="7"/>
      <c r="C557" s="7"/>
      <c r="D557" s="7"/>
    </row>
    <row r="558">
      <c r="B558" s="7"/>
      <c r="C558" s="7"/>
      <c r="D558" s="7"/>
    </row>
    <row r="559">
      <c r="B559" s="7"/>
      <c r="C559" s="7"/>
      <c r="D559" s="7"/>
    </row>
    <row r="560">
      <c r="B560" s="7"/>
      <c r="C560" s="7"/>
      <c r="D560" s="7"/>
    </row>
    <row r="561">
      <c r="B561" s="7"/>
      <c r="C561" s="7"/>
      <c r="D561" s="7"/>
    </row>
    <row r="562">
      <c r="B562" s="7"/>
      <c r="C562" s="7"/>
      <c r="D562" s="7"/>
    </row>
    <row r="563">
      <c r="B563" s="7"/>
      <c r="C563" s="7"/>
      <c r="D563" s="7"/>
    </row>
    <row r="564">
      <c r="B564" s="7"/>
      <c r="C564" s="7"/>
      <c r="D564" s="7"/>
    </row>
    <row r="565">
      <c r="B565" s="7"/>
      <c r="C565" s="7"/>
      <c r="D565" s="7"/>
    </row>
    <row r="566">
      <c r="B566" s="7"/>
      <c r="C566" s="7"/>
      <c r="D566" s="7"/>
    </row>
    <row r="567">
      <c r="B567" s="7"/>
      <c r="C567" s="7"/>
      <c r="D567" s="7"/>
    </row>
    <row r="568">
      <c r="B568" s="7"/>
      <c r="C568" s="7"/>
      <c r="D568" s="7"/>
    </row>
    <row r="569">
      <c r="B569" s="7"/>
      <c r="C569" s="7"/>
      <c r="D569" s="7"/>
    </row>
    <row r="570">
      <c r="B570" s="7"/>
      <c r="C570" s="7"/>
      <c r="D570" s="7"/>
    </row>
    <row r="571">
      <c r="B571" s="7"/>
      <c r="C571" s="7"/>
      <c r="D571" s="7"/>
    </row>
    <row r="572">
      <c r="B572" s="7"/>
      <c r="C572" s="7"/>
      <c r="D572" s="7"/>
    </row>
    <row r="573">
      <c r="B573" s="7"/>
      <c r="C573" s="7"/>
      <c r="D573" s="7"/>
    </row>
    <row r="574">
      <c r="B574" s="7"/>
      <c r="C574" s="7"/>
      <c r="D574" s="7"/>
    </row>
    <row r="575">
      <c r="B575" s="7"/>
      <c r="C575" s="7"/>
      <c r="D575" s="7"/>
    </row>
    <row r="576">
      <c r="B576" s="7"/>
      <c r="C576" s="7"/>
      <c r="D576" s="7"/>
    </row>
    <row r="577">
      <c r="B577" s="7"/>
      <c r="C577" s="7"/>
      <c r="D577" s="7"/>
    </row>
    <row r="578">
      <c r="B578" s="7"/>
      <c r="C578" s="7"/>
      <c r="D578" s="7"/>
    </row>
    <row r="579">
      <c r="B579" s="7"/>
      <c r="C579" s="7"/>
      <c r="D579" s="7"/>
    </row>
    <row r="580">
      <c r="B580" s="7"/>
      <c r="C580" s="7"/>
      <c r="D580" s="7"/>
    </row>
    <row r="581">
      <c r="B581" s="7"/>
      <c r="C581" s="7"/>
      <c r="D581" s="7"/>
    </row>
    <row r="582">
      <c r="B582" s="7"/>
      <c r="C582" s="7"/>
      <c r="D582" s="7"/>
    </row>
    <row r="583">
      <c r="B583" s="7"/>
      <c r="C583" s="7"/>
      <c r="D583" s="7"/>
    </row>
    <row r="584">
      <c r="B584" s="7"/>
      <c r="C584" s="7"/>
      <c r="D584" s="7"/>
    </row>
    <row r="585">
      <c r="B585" s="7"/>
      <c r="C585" s="7"/>
      <c r="D585" s="7"/>
    </row>
    <row r="586">
      <c r="B586" s="7"/>
      <c r="C586" s="7"/>
      <c r="D586" s="7"/>
    </row>
    <row r="587">
      <c r="B587" s="7"/>
      <c r="C587" s="7"/>
      <c r="D587" s="7"/>
    </row>
    <row r="588">
      <c r="B588" s="7"/>
      <c r="C588" s="7"/>
      <c r="D588" s="7"/>
    </row>
    <row r="589">
      <c r="B589" s="7"/>
      <c r="C589" s="7"/>
      <c r="D589" s="7"/>
    </row>
    <row r="590">
      <c r="B590" s="7"/>
      <c r="C590" s="7"/>
      <c r="D590" s="7"/>
    </row>
    <row r="591">
      <c r="B591" s="7"/>
      <c r="C591" s="7"/>
      <c r="D591" s="7"/>
    </row>
    <row r="592">
      <c r="B592" s="7"/>
      <c r="C592" s="7"/>
      <c r="D592" s="7"/>
    </row>
    <row r="593">
      <c r="B593" s="7"/>
      <c r="C593" s="7"/>
      <c r="D593" s="7"/>
    </row>
    <row r="594">
      <c r="B594" s="7"/>
      <c r="C594" s="7"/>
      <c r="D594" s="7"/>
    </row>
    <row r="595">
      <c r="B595" s="7"/>
      <c r="C595" s="7"/>
      <c r="D595" s="7"/>
    </row>
    <row r="596">
      <c r="B596" s="7"/>
      <c r="C596" s="7"/>
      <c r="D596" s="7"/>
    </row>
    <row r="597">
      <c r="B597" s="7"/>
      <c r="C597" s="7"/>
      <c r="D597" s="7"/>
    </row>
    <row r="598">
      <c r="B598" s="7"/>
      <c r="C598" s="7"/>
      <c r="D598" s="7"/>
    </row>
    <row r="599">
      <c r="B599" s="7"/>
      <c r="C599" s="7"/>
      <c r="D599" s="7"/>
    </row>
    <row r="600">
      <c r="B600" s="7"/>
      <c r="C600" s="7"/>
      <c r="D600" s="7"/>
    </row>
    <row r="601">
      <c r="B601" s="7"/>
      <c r="C601" s="7"/>
      <c r="D601" s="7"/>
    </row>
    <row r="602">
      <c r="B602" s="7"/>
      <c r="C602" s="7"/>
      <c r="D602" s="7"/>
    </row>
    <row r="603">
      <c r="B603" s="7"/>
      <c r="C603" s="7"/>
      <c r="D603" s="7"/>
    </row>
    <row r="604">
      <c r="B604" s="7"/>
      <c r="C604" s="7"/>
      <c r="D604" s="7"/>
    </row>
    <row r="605">
      <c r="B605" s="7"/>
      <c r="C605" s="7"/>
      <c r="D605" s="7"/>
    </row>
    <row r="606">
      <c r="B606" s="7"/>
      <c r="C606" s="7"/>
      <c r="D606" s="7"/>
    </row>
    <row r="607">
      <c r="B607" s="7"/>
      <c r="C607" s="7"/>
      <c r="D607" s="7"/>
    </row>
    <row r="608">
      <c r="B608" s="7"/>
      <c r="C608" s="7"/>
      <c r="D608" s="7"/>
    </row>
    <row r="609">
      <c r="B609" s="7"/>
      <c r="C609" s="7"/>
      <c r="D609" s="7"/>
    </row>
    <row r="610">
      <c r="B610" s="7"/>
      <c r="C610" s="7"/>
      <c r="D610" s="7"/>
    </row>
    <row r="611">
      <c r="B611" s="7"/>
      <c r="C611" s="7"/>
      <c r="D611" s="7"/>
    </row>
    <row r="612">
      <c r="B612" s="7"/>
      <c r="C612" s="7"/>
      <c r="D612" s="7"/>
    </row>
    <row r="613">
      <c r="B613" s="7"/>
      <c r="C613" s="7"/>
      <c r="D613" s="7"/>
    </row>
    <row r="614">
      <c r="B614" s="7"/>
      <c r="C614" s="7"/>
      <c r="D614" s="7"/>
    </row>
    <row r="615">
      <c r="B615" s="7"/>
      <c r="C615" s="7"/>
      <c r="D615" s="7"/>
    </row>
    <row r="616">
      <c r="B616" s="7"/>
      <c r="C616" s="7"/>
      <c r="D616" s="7"/>
    </row>
    <row r="617">
      <c r="B617" s="7"/>
      <c r="C617" s="7"/>
      <c r="D617" s="7"/>
    </row>
    <row r="618">
      <c r="B618" s="7"/>
      <c r="C618" s="7"/>
      <c r="D618" s="7"/>
    </row>
    <row r="619">
      <c r="B619" s="7"/>
      <c r="C619" s="7"/>
      <c r="D619" s="7"/>
    </row>
    <row r="620">
      <c r="B620" s="7"/>
      <c r="C620" s="7"/>
      <c r="D620" s="7"/>
    </row>
    <row r="621">
      <c r="B621" s="7"/>
      <c r="C621" s="7"/>
      <c r="D621" s="7"/>
    </row>
    <row r="622">
      <c r="B622" s="7"/>
      <c r="C622" s="7"/>
      <c r="D622" s="7"/>
    </row>
    <row r="623">
      <c r="B623" s="7"/>
      <c r="C623" s="7"/>
      <c r="D623" s="7"/>
    </row>
    <row r="624">
      <c r="B624" s="7"/>
      <c r="C624" s="7"/>
      <c r="D624" s="7"/>
    </row>
    <row r="625">
      <c r="B625" s="7"/>
      <c r="C625" s="7"/>
      <c r="D625" s="7"/>
    </row>
    <row r="626">
      <c r="B626" s="7"/>
      <c r="C626" s="7"/>
      <c r="D626" s="7"/>
    </row>
    <row r="627">
      <c r="B627" s="7"/>
      <c r="C627" s="7"/>
      <c r="D627" s="7"/>
    </row>
    <row r="628">
      <c r="B628" s="7"/>
      <c r="C628" s="7"/>
      <c r="D628" s="7"/>
    </row>
    <row r="629">
      <c r="B629" s="7"/>
      <c r="C629" s="7"/>
      <c r="D629" s="7"/>
    </row>
    <row r="630">
      <c r="B630" s="7"/>
      <c r="C630" s="7"/>
      <c r="D630" s="7"/>
    </row>
    <row r="631">
      <c r="B631" s="7"/>
      <c r="C631" s="7"/>
      <c r="D631" s="7"/>
    </row>
    <row r="632">
      <c r="B632" s="7"/>
      <c r="C632" s="7"/>
      <c r="D632" s="7"/>
    </row>
    <row r="633">
      <c r="B633" s="7"/>
      <c r="C633" s="7"/>
      <c r="D633" s="7"/>
    </row>
    <row r="634">
      <c r="B634" s="7"/>
      <c r="C634" s="7"/>
      <c r="D634" s="7"/>
    </row>
    <row r="635">
      <c r="B635" s="7"/>
      <c r="C635" s="7"/>
      <c r="D635" s="7"/>
    </row>
    <row r="636">
      <c r="B636" s="7"/>
      <c r="C636" s="7"/>
      <c r="D636" s="7"/>
    </row>
    <row r="637">
      <c r="B637" s="7"/>
      <c r="C637" s="7"/>
      <c r="D637" s="7"/>
    </row>
    <row r="638">
      <c r="B638" s="7"/>
      <c r="C638" s="7"/>
      <c r="D638" s="7"/>
    </row>
    <row r="639">
      <c r="B639" s="7"/>
      <c r="C639" s="7"/>
      <c r="D639" s="7"/>
    </row>
    <row r="640">
      <c r="B640" s="7"/>
      <c r="C640" s="7"/>
      <c r="D640" s="7"/>
    </row>
    <row r="641">
      <c r="B641" s="7"/>
      <c r="C641" s="7"/>
      <c r="D641" s="7"/>
    </row>
    <row r="642">
      <c r="B642" s="7"/>
      <c r="C642" s="7"/>
      <c r="D642" s="7"/>
    </row>
    <row r="643">
      <c r="B643" s="7"/>
      <c r="C643" s="7"/>
      <c r="D643" s="7"/>
    </row>
    <row r="644">
      <c r="B644" s="7"/>
      <c r="C644" s="7"/>
      <c r="D644" s="7"/>
    </row>
    <row r="645">
      <c r="B645" s="7"/>
      <c r="C645" s="7"/>
      <c r="D645" s="7"/>
    </row>
    <row r="646">
      <c r="B646" s="7"/>
      <c r="C646" s="7"/>
      <c r="D646" s="7"/>
    </row>
    <row r="647">
      <c r="B647" s="7"/>
      <c r="C647" s="7"/>
      <c r="D647" s="7"/>
    </row>
    <row r="648">
      <c r="B648" s="7"/>
      <c r="C648" s="7"/>
      <c r="D648" s="7"/>
    </row>
    <row r="649">
      <c r="B649" s="7"/>
      <c r="C649" s="7"/>
      <c r="D649" s="7"/>
    </row>
    <row r="650">
      <c r="B650" s="7"/>
      <c r="C650" s="7"/>
      <c r="D650" s="7"/>
    </row>
    <row r="651">
      <c r="B651" s="7"/>
      <c r="C651" s="7"/>
      <c r="D651" s="7"/>
    </row>
    <row r="652">
      <c r="B652" s="7"/>
      <c r="C652" s="7"/>
      <c r="D652" s="7"/>
    </row>
    <row r="653">
      <c r="B653" s="7"/>
      <c r="C653" s="7"/>
      <c r="D653" s="7"/>
    </row>
    <row r="654">
      <c r="B654" s="7"/>
      <c r="C654" s="7"/>
      <c r="D654" s="7"/>
    </row>
    <row r="655">
      <c r="B655" s="7"/>
      <c r="C655" s="7"/>
      <c r="D655" s="7"/>
    </row>
    <row r="656">
      <c r="B656" s="7"/>
      <c r="C656" s="7"/>
      <c r="D656" s="7"/>
    </row>
    <row r="657">
      <c r="B657" s="7"/>
      <c r="C657" s="7"/>
      <c r="D657" s="7"/>
    </row>
    <row r="658">
      <c r="B658" s="7"/>
      <c r="C658" s="7"/>
      <c r="D658" s="7"/>
    </row>
    <row r="659">
      <c r="B659" s="7"/>
      <c r="C659" s="7"/>
      <c r="D659" s="7"/>
    </row>
    <row r="660">
      <c r="B660" s="7"/>
      <c r="C660" s="7"/>
      <c r="D660" s="7"/>
    </row>
    <row r="661">
      <c r="B661" s="7"/>
      <c r="C661" s="7"/>
      <c r="D661" s="7"/>
    </row>
    <row r="662">
      <c r="B662" s="7"/>
      <c r="C662" s="7"/>
      <c r="D662" s="7"/>
    </row>
    <row r="663">
      <c r="B663" s="7"/>
      <c r="C663" s="7"/>
      <c r="D663" s="7"/>
    </row>
    <row r="664">
      <c r="B664" s="7"/>
      <c r="C664" s="7"/>
      <c r="D664" s="7"/>
    </row>
    <row r="665">
      <c r="B665" s="7"/>
      <c r="C665" s="7"/>
      <c r="D665" s="7"/>
    </row>
    <row r="666">
      <c r="B666" s="7"/>
      <c r="C666" s="7"/>
      <c r="D666" s="7"/>
    </row>
    <row r="667">
      <c r="B667" s="7"/>
      <c r="C667" s="7"/>
      <c r="D667" s="7"/>
    </row>
    <row r="668">
      <c r="B668" s="7"/>
      <c r="C668" s="7"/>
      <c r="D668" s="7"/>
    </row>
    <row r="669">
      <c r="B669" s="7"/>
      <c r="C669" s="7"/>
      <c r="D669" s="7"/>
    </row>
    <row r="670">
      <c r="B670" s="7"/>
      <c r="C670" s="7"/>
      <c r="D670" s="7"/>
    </row>
    <row r="671">
      <c r="B671" s="7"/>
      <c r="C671" s="7"/>
      <c r="D671" s="7"/>
    </row>
    <row r="672">
      <c r="B672" s="7"/>
      <c r="C672" s="7"/>
      <c r="D672" s="7"/>
    </row>
    <row r="673">
      <c r="B673" s="7"/>
      <c r="C673" s="7"/>
      <c r="D673" s="7"/>
    </row>
    <row r="674">
      <c r="B674" s="7"/>
      <c r="C674" s="7"/>
      <c r="D674" s="7"/>
    </row>
    <row r="675">
      <c r="B675" s="7"/>
      <c r="C675" s="7"/>
      <c r="D675" s="7"/>
    </row>
    <row r="676">
      <c r="B676" s="7"/>
      <c r="C676" s="7"/>
      <c r="D676" s="7"/>
    </row>
    <row r="677">
      <c r="B677" s="7"/>
      <c r="C677" s="7"/>
      <c r="D677" s="7"/>
    </row>
    <row r="678">
      <c r="B678" s="7"/>
      <c r="C678" s="7"/>
      <c r="D678" s="7"/>
    </row>
    <row r="679">
      <c r="B679" s="7"/>
      <c r="C679" s="7"/>
      <c r="D679" s="7"/>
    </row>
    <row r="680">
      <c r="B680" s="7"/>
      <c r="C680" s="7"/>
      <c r="D680" s="7"/>
    </row>
    <row r="681">
      <c r="B681" s="7"/>
      <c r="C681" s="7"/>
      <c r="D681" s="7"/>
    </row>
    <row r="682">
      <c r="B682" s="7"/>
      <c r="C682" s="7"/>
      <c r="D682" s="7"/>
    </row>
    <row r="683">
      <c r="B683" s="7"/>
      <c r="C683" s="7"/>
      <c r="D683" s="7"/>
    </row>
    <row r="684">
      <c r="B684" s="7"/>
      <c r="C684" s="7"/>
      <c r="D684" s="7"/>
    </row>
    <row r="685">
      <c r="B685" s="7"/>
      <c r="C685" s="7"/>
      <c r="D685" s="7"/>
    </row>
    <row r="686">
      <c r="B686" s="7"/>
      <c r="C686" s="7"/>
      <c r="D686" s="7"/>
    </row>
    <row r="687">
      <c r="B687" s="7"/>
      <c r="C687" s="7"/>
      <c r="D687" s="7"/>
    </row>
    <row r="688">
      <c r="B688" s="7"/>
      <c r="C688" s="7"/>
      <c r="D688" s="7"/>
    </row>
    <row r="689">
      <c r="B689" s="7"/>
      <c r="C689" s="7"/>
      <c r="D689" s="7"/>
    </row>
    <row r="690">
      <c r="B690" s="7"/>
      <c r="C690" s="7"/>
      <c r="D690" s="7"/>
    </row>
    <row r="691">
      <c r="B691" s="7"/>
      <c r="C691" s="7"/>
      <c r="D691" s="7"/>
    </row>
    <row r="692">
      <c r="B692" s="7"/>
      <c r="C692" s="7"/>
      <c r="D692" s="7"/>
    </row>
    <row r="693">
      <c r="B693" s="7"/>
      <c r="C693" s="7"/>
      <c r="D693" s="7"/>
    </row>
    <row r="694">
      <c r="B694" s="7"/>
      <c r="C694" s="7"/>
      <c r="D694" s="7"/>
    </row>
    <row r="695">
      <c r="B695" s="7"/>
      <c r="C695" s="7"/>
      <c r="D695" s="7"/>
    </row>
    <row r="696">
      <c r="B696" s="7"/>
      <c r="C696" s="7"/>
      <c r="D696" s="7"/>
    </row>
    <row r="697">
      <c r="B697" s="7"/>
      <c r="C697" s="7"/>
      <c r="D697" s="7"/>
    </row>
    <row r="698">
      <c r="B698" s="7"/>
      <c r="C698" s="7"/>
      <c r="D698" s="7"/>
    </row>
    <row r="699">
      <c r="B699" s="7"/>
      <c r="C699" s="7"/>
      <c r="D699" s="7"/>
    </row>
    <row r="700">
      <c r="B700" s="7"/>
      <c r="C700" s="7"/>
      <c r="D700" s="7"/>
    </row>
    <row r="701">
      <c r="B701" s="7"/>
      <c r="C701" s="7"/>
      <c r="D701" s="7"/>
    </row>
    <row r="702">
      <c r="B702" s="7"/>
      <c r="C702" s="7"/>
      <c r="D702" s="7"/>
    </row>
    <row r="703">
      <c r="B703" s="7"/>
      <c r="C703" s="7"/>
      <c r="D703" s="7"/>
    </row>
    <row r="704">
      <c r="B704" s="7"/>
      <c r="C704" s="7"/>
      <c r="D704" s="7"/>
    </row>
    <row r="705">
      <c r="B705" s="7"/>
      <c r="C705" s="7"/>
      <c r="D705" s="7"/>
    </row>
    <row r="706">
      <c r="B706" s="7"/>
      <c r="C706" s="7"/>
      <c r="D706" s="7"/>
    </row>
    <row r="707">
      <c r="B707" s="7"/>
      <c r="C707" s="7"/>
      <c r="D707" s="7"/>
    </row>
    <row r="708">
      <c r="B708" s="7"/>
      <c r="C708" s="7"/>
      <c r="D708" s="7"/>
    </row>
    <row r="709">
      <c r="B709" s="7"/>
      <c r="C709" s="7"/>
      <c r="D709" s="7"/>
    </row>
    <row r="710">
      <c r="B710" s="7"/>
      <c r="C710" s="7"/>
      <c r="D710" s="7"/>
    </row>
    <row r="711">
      <c r="B711" s="7"/>
      <c r="C711" s="7"/>
      <c r="D711" s="7"/>
    </row>
    <row r="712">
      <c r="B712" s="7"/>
      <c r="C712" s="7"/>
      <c r="D712" s="7"/>
    </row>
    <row r="713">
      <c r="B713" s="7"/>
      <c r="C713" s="7"/>
      <c r="D713" s="7"/>
    </row>
    <row r="714">
      <c r="B714" s="7"/>
      <c r="C714" s="7"/>
      <c r="D714" s="7"/>
    </row>
    <row r="715">
      <c r="B715" s="7"/>
      <c r="C715" s="7"/>
      <c r="D715" s="7"/>
    </row>
    <row r="716">
      <c r="B716" s="7"/>
      <c r="C716" s="7"/>
      <c r="D716" s="7"/>
    </row>
    <row r="717">
      <c r="B717" s="7"/>
      <c r="C717" s="7"/>
      <c r="D717" s="7"/>
    </row>
    <row r="718">
      <c r="B718" s="7"/>
      <c r="C718" s="7"/>
      <c r="D718" s="7"/>
    </row>
    <row r="719">
      <c r="B719" s="7"/>
      <c r="C719" s="7"/>
      <c r="D719" s="7"/>
    </row>
    <row r="720">
      <c r="B720" s="7"/>
      <c r="C720" s="7"/>
      <c r="D720" s="7"/>
    </row>
    <row r="721">
      <c r="B721" s="7"/>
      <c r="C721" s="7"/>
      <c r="D721" s="7"/>
    </row>
    <row r="722">
      <c r="B722" s="7"/>
      <c r="C722" s="7"/>
      <c r="D722" s="7"/>
    </row>
    <row r="723">
      <c r="B723" s="7"/>
      <c r="C723" s="7"/>
      <c r="D723" s="7"/>
    </row>
    <row r="724">
      <c r="B724" s="7"/>
      <c r="C724" s="7"/>
      <c r="D724" s="7"/>
    </row>
    <row r="725">
      <c r="B725" s="7"/>
      <c r="C725" s="7"/>
      <c r="D725" s="7"/>
    </row>
    <row r="726">
      <c r="B726" s="7"/>
      <c r="C726" s="7"/>
      <c r="D726" s="7"/>
    </row>
    <row r="727">
      <c r="B727" s="7"/>
      <c r="C727" s="7"/>
      <c r="D727" s="7"/>
    </row>
    <row r="728">
      <c r="B728" s="7"/>
      <c r="C728" s="7"/>
      <c r="D728" s="7"/>
    </row>
    <row r="729">
      <c r="B729" s="7"/>
      <c r="C729" s="7"/>
      <c r="D729" s="7"/>
    </row>
    <row r="730">
      <c r="B730" s="7"/>
      <c r="C730" s="7"/>
      <c r="D730" s="7"/>
    </row>
    <row r="731">
      <c r="B731" s="7"/>
      <c r="C731" s="7"/>
      <c r="D731" s="7"/>
    </row>
    <row r="732">
      <c r="B732" s="7"/>
      <c r="C732" s="7"/>
      <c r="D732" s="7"/>
    </row>
    <row r="733">
      <c r="B733" s="7"/>
      <c r="C733" s="7"/>
      <c r="D733" s="7"/>
    </row>
    <row r="734">
      <c r="B734" s="7"/>
      <c r="C734" s="7"/>
      <c r="D734" s="7"/>
    </row>
    <row r="735">
      <c r="B735" s="7"/>
      <c r="C735" s="7"/>
      <c r="D735" s="7"/>
    </row>
    <row r="736">
      <c r="B736" s="7"/>
      <c r="C736" s="7"/>
      <c r="D736" s="7"/>
    </row>
    <row r="737">
      <c r="B737" s="7"/>
      <c r="C737" s="7"/>
      <c r="D737" s="7"/>
    </row>
    <row r="738">
      <c r="B738" s="7"/>
      <c r="C738" s="7"/>
      <c r="D738" s="7"/>
    </row>
    <row r="739">
      <c r="B739" s="7"/>
      <c r="C739" s="7"/>
      <c r="D739" s="7"/>
    </row>
    <row r="740">
      <c r="B740" s="7"/>
      <c r="C740" s="7"/>
      <c r="D740" s="7"/>
    </row>
    <row r="741">
      <c r="B741" s="7"/>
      <c r="C741" s="7"/>
      <c r="D741" s="7"/>
    </row>
    <row r="742">
      <c r="B742" s="7"/>
      <c r="C742" s="7"/>
      <c r="D742" s="7"/>
    </row>
    <row r="743">
      <c r="B743" s="7"/>
      <c r="C743" s="7"/>
      <c r="D743" s="7"/>
    </row>
    <row r="744">
      <c r="B744" s="7"/>
      <c r="C744" s="7"/>
      <c r="D744" s="7"/>
    </row>
    <row r="745">
      <c r="B745" s="7"/>
      <c r="C745" s="7"/>
      <c r="D745" s="7"/>
    </row>
    <row r="746">
      <c r="B746" s="7"/>
      <c r="C746" s="7"/>
      <c r="D746" s="7"/>
    </row>
    <row r="747">
      <c r="B747" s="7"/>
      <c r="C747" s="7"/>
      <c r="D747" s="7"/>
    </row>
    <row r="748">
      <c r="B748" s="7"/>
      <c r="C748" s="7"/>
      <c r="D748" s="7"/>
    </row>
    <row r="749">
      <c r="B749" s="7"/>
      <c r="C749" s="7"/>
      <c r="D749" s="7"/>
    </row>
    <row r="750">
      <c r="B750" s="7"/>
      <c r="C750" s="7"/>
      <c r="D750" s="7"/>
    </row>
    <row r="751">
      <c r="B751" s="7"/>
      <c r="C751" s="7"/>
      <c r="D751" s="7"/>
    </row>
    <row r="752">
      <c r="B752" s="7"/>
      <c r="C752" s="7"/>
      <c r="D752" s="7"/>
    </row>
    <row r="753">
      <c r="B753" s="7"/>
      <c r="C753" s="7"/>
      <c r="D753" s="7"/>
    </row>
    <row r="754">
      <c r="B754" s="7"/>
      <c r="C754" s="7"/>
      <c r="D754" s="7"/>
    </row>
    <row r="755">
      <c r="B755" s="7"/>
      <c r="C755" s="7"/>
      <c r="D755" s="7"/>
    </row>
    <row r="756">
      <c r="B756" s="7"/>
      <c r="C756" s="7"/>
      <c r="D756" s="7"/>
    </row>
    <row r="757">
      <c r="B757" s="7"/>
      <c r="C757" s="7"/>
      <c r="D757" s="7"/>
    </row>
    <row r="758">
      <c r="B758" s="7"/>
      <c r="C758" s="7"/>
      <c r="D758" s="7"/>
    </row>
    <row r="759">
      <c r="B759" s="7"/>
      <c r="C759" s="7"/>
      <c r="D759" s="7"/>
    </row>
    <row r="760">
      <c r="B760" s="7"/>
      <c r="C760" s="7"/>
      <c r="D760" s="7"/>
    </row>
    <row r="761">
      <c r="B761" s="7"/>
      <c r="C761" s="7"/>
      <c r="D761" s="7"/>
    </row>
    <row r="762">
      <c r="B762" s="7"/>
      <c r="C762" s="7"/>
      <c r="D762" s="7"/>
    </row>
    <row r="763">
      <c r="B763" s="7"/>
      <c r="C763" s="7"/>
      <c r="D763" s="7"/>
    </row>
    <row r="764">
      <c r="B764" s="7"/>
      <c r="C764" s="7"/>
      <c r="D764" s="7"/>
    </row>
    <row r="765">
      <c r="B765" s="7"/>
      <c r="C765" s="7"/>
      <c r="D765" s="7"/>
    </row>
    <row r="766">
      <c r="B766" s="7"/>
      <c r="C766" s="7"/>
      <c r="D766" s="7"/>
    </row>
    <row r="767">
      <c r="B767" s="7"/>
      <c r="C767" s="7"/>
      <c r="D767" s="7"/>
    </row>
    <row r="768">
      <c r="B768" s="7"/>
      <c r="C768" s="7"/>
      <c r="D768" s="7"/>
    </row>
    <row r="769">
      <c r="B769" s="7"/>
      <c r="C769" s="7"/>
      <c r="D769" s="7"/>
    </row>
    <row r="770">
      <c r="B770" s="7"/>
      <c r="C770" s="7"/>
      <c r="D770" s="7"/>
    </row>
    <row r="771">
      <c r="B771" s="7"/>
      <c r="C771" s="7"/>
      <c r="D771" s="7"/>
    </row>
    <row r="772">
      <c r="B772" s="7"/>
      <c r="C772" s="7"/>
      <c r="D772" s="7"/>
    </row>
    <row r="773">
      <c r="B773" s="7"/>
      <c r="C773" s="7"/>
      <c r="D773" s="7"/>
    </row>
    <row r="774">
      <c r="B774" s="7"/>
      <c r="C774" s="7"/>
      <c r="D774" s="7"/>
    </row>
    <row r="775">
      <c r="B775" s="7"/>
      <c r="C775" s="7"/>
      <c r="D775" s="7"/>
    </row>
    <row r="776">
      <c r="B776" s="7"/>
      <c r="C776" s="7"/>
      <c r="D776" s="7"/>
    </row>
    <row r="777">
      <c r="B777" s="7"/>
      <c r="C777" s="7"/>
      <c r="D777" s="7"/>
    </row>
    <row r="778">
      <c r="B778" s="7"/>
      <c r="C778" s="7"/>
      <c r="D778" s="7"/>
    </row>
    <row r="779">
      <c r="B779" s="7"/>
      <c r="C779" s="7"/>
      <c r="D779" s="7"/>
    </row>
    <row r="780">
      <c r="B780" s="7"/>
      <c r="C780" s="7"/>
      <c r="D780" s="7"/>
    </row>
    <row r="781">
      <c r="B781" s="7"/>
      <c r="C781" s="7"/>
      <c r="D781" s="7"/>
    </row>
    <row r="782">
      <c r="B782" s="7"/>
      <c r="C782" s="7"/>
      <c r="D782" s="7"/>
    </row>
    <row r="783">
      <c r="B783" s="7"/>
      <c r="C783" s="7"/>
      <c r="D783" s="7"/>
    </row>
    <row r="784">
      <c r="B784" s="7"/>
      <c r="C784" s="7"/>
      <c r="D784" s="7"/>
    </row>
    <row r="785">
      <c r="B785" s="7"/>
      <c r="C785" s="7"/>
      <c r="D785" s="7"/>
    </row>
    <row r="786">
      <c r="B786" s="7"/>
      <c r="C786" s="7"/>
      <c r="D786" s="7"/>
    </row>
    <row r="787">
      <c r="B787" s="7"/>
      <c r="C787" s="7"/>
      <c r="D787" s="7"/>
    </row>
    <row r="788">
      <c r="B788" s="7"/>
      <c r="C788" s="7"/>
      <c r="D788" s="7"/>
    </row>
    <row r="789">
      <c r="B789" s="7"/>
      <c r="C789" s="7"/>
      <c r="D789" s="7"/>
    </row>
    <row r="790">
      <c r="B790" s="7"/>
      <c r="C790" s="7"/>
      <c r="D790" s="7"/>
    </row>
    <row r="791">
      <c r="B791" s="7"/>
      <c r="C791" s="7"/>
      <c r="D791" s="7"/>
    </row>
    <row r="792">
      <c r="B792" s="7"/>
      <c r="C792" s="7"/>
      <c r="D792" s="7"/>
    </row>
    <row r="793">
      <c r="B793" s="7"/>
      <c r="C793" s="7"/>
      <c r="D793" s="7"/>
    </row>
    <row r="794">
      <c r="B794" s="7"/>
      <c r="C794" s="7"/>
      <c r="D794" s="7"/>
    </row>
    <row r="795">
      <c r="B795" s="7"/>
      <c r="C795" s="7"/>
      <c r="D795" s="7"/>
    </row>
    <row r="796">
      <c r="B796" s="7"/>
      <c r="C796" s="7"/>
      <c r="D796" s="7"/>
    </row>
    <row r="797">
      <c r="B797" s="7"/>
      <c r="C797" s="7"/>
      <c r="D797" s="7"/>
    </row>
    <row r="798">
      <c r="B798" s="7"/>
      <c r="C798" s="7"/>
      <c r="D798" s="7"/>
    </row>
    <row r="799">
      <c r="B799" s="7"/>
      <c r="C799" s="7"/>
      <c r="D799" s="7"/>
    </row>
    <row r="800">
      <c r="B800" s="7"/>
      <c r="C800" s="7"/>
      <c r="D800" s="7"/>
    </row>
    <row r="801">
      <c r="B801" s="7"/>
      <c r="C801" s="7"/>
      <c r="D801" s="7"/>
    </row>
    <row r="802">
      <c r="B802" s="7"/>
      <c r="C802" s="7"/>
      <c r="D802" s="7"/>
    </row>
    <row r="803">
      <c r="B803" s="7"/>
      <c r="C803" s="7"/>
      <c r="D803" s="7"/>
    </row>
    <row r="804">
      <c r="B804" s="7"/>
      <c r="C804" s="7"/>
      <c r="D804" s="7"/>
    </row>
    <row r="805">
      <c r="B805" s="7"/>
      <c r="C805" s="7"/>
      <c r="D805" s="7"/>
    </row>
    <row r="806">
      <c r="B806" s="7"/>
      <c r="C806" s="7"/>
      <c r="D806" s="7"/>
    </row>
    <row r="807">
      <c r="B807" s="7"/>
      <c r="C807" s="7"/>
      <c r="D807" s="7"/>
    </row>
    <row r="808">
      <c r="B808" s="7"/>
      <c r="C808" s="7"/>
      <c r="D808" s="7"/>
    </row>
    <row r="809">
      <c r="B809" s="7"/>
      <c r="C809" s="7"/>
      <c r="D809" s="7"/>
    </row>
    <row r="810">
      <c r="B810" s="7"/>
      <c r="C810" s="7"/>
      <c r="D810" s="7"/>
    </row>
    <row r="811">
      <c r="B811" s="7"/>
      <c r="C811" s="7"/>
      <c r="D811" s="7"/>
    </row>
    <row r="812">
      <c r="B812" s="7"/>
      <c r="C812" s="7"/>
      <c r="D812" s="7"/>
    </row>
    <row r="813">
      <c r="B813" s="7"/>
      <c r="C813" s="7"/>
      <c r="D813" s="7"/>
    </row>
    <row r="814">
      <c r="B814" s="7"/>
      <c r="C814" s="7"/>
      <c r="D814" s="7"/>
    </row>
    <row r="815">
      <c r="B815" s="7"/>
      <c r="C815" s="7"/>
      <c r="D815" s="7"/>
    </row>
    <row r="816">
      <c r="B816" s="7"/>
      <c r="C816" s="7"/>
      <c r="D816" s="7"/>
    </row>
    <row r="817">
      <c r="B817" s="7"/>
      <c r="C817" s="7"/>
      <c r="D817" s="7"/>
    </row>
    <row r="818">
      <c r="B818" s="7"/>
      <c r="C818" s="7"/>
      <c r="D818" s="7"/>
    </row>
    <row r="819">
      <c r="B819" s="7"/>
      <c r="C819" s="7"/>
      <c r="D819" s="7"/>
    </row>
    <row r="820">
      <c r="B820" s="7"/>
      <c r="C820" s="7"/>
      <c r="D820" s="7"/>
    </row>
    <row r="821">
      <c r="B821" s="7"/>
      <c r="C821" s="7"/>
      <c r="D821" s="7"/>
    </row>
    <row r="822">
      <c r="B822" s="7"/>
      <c r="C822" s="7"/>
      <c r="D822" s="7"/>
    </row>
    <row r="823">
      <c r="B823" s="7"/>
      <c r="C823" s="7"/>
      <c r="D823" s="7"/>
    </row>
    <row r="824">
      <c r="B824" s="7"/>
      <c r="C824" s="7"/>
      <c r="D824" s="7"/>
    </row>
    <row r="825">
      <c r="B825" s="7"/>
      <c r="C825" s="7"/>
      <c r="D825" s="7"/>
    </row>
    <row r="826">
      <c r="B826" s="7"/>
      <c r="C826" s="7"/>
      <c r="D826" s="7"/>
    </row>
    <row r="827">
      <c r="B827" s="7"/>
      <c r="C827" s="7"/>
      <c r="D827" s="7"/>
    </row>
    <row r="828">
      <c r="B828" s="7"/>
      <c r="C828" s="7"/>
      <c r="D828" s="7"/>
    </row>
    <row r="829">
      <c r="B829" s="7"/>
      <c r="C829" s="7"/>
      <c r="D829" s="7"/>
    </row>
    <row r="830">
      <c r="B830" s="7"/>
      <c r="C830" s="7"/>
      <c r="D830" s="7"/>
    </row>
    <row r="831">
      <c r="B831" s="7"/>
      <c r="C831" s="7"/>
      <c r="D831" s="7"/>
    </row>
    <row r="832">
      <c r="B832" s="7"/>
      <c r="C832" s="7"/>
      <c r="D832" s="7"/>
    </row>
    <row r="833">
      <c r="B833" s="7"/>
      <c r="C833" s="7"/>
      <c r="D833" s="7"/>
    </row>
    <row r="834">
      <c r="B834" s="7"/>
      <c r="C834" s="7"/>
      <c r="D834" s="7"/>
    </row>
    <row r="835">
      <c r="B835" s="7"/>
      <c r="C835" s="7"/>
      <c r="D835" s="7"/>
    </row>
    <row r="836">
      <c r="B836" s="7"/>
      <c r="C836" s="7"/>
      <c r="D836" s="7"/>
    </row>
    <row r="837">
      <c r="B837" s="7"/>
      <c r="C837" s="7"/>
      <c r="D837" s="7"/>
    </row>
    <row r="838">
      <c r="B838" s="7"/>
      <c r="C838" s="7"/>
      <c r="D838" s="7"/>
    </row>
    <row r="839">
      <c r="B839" s="7"/>
      <c r="C839" s="7"/>
      <c r="D839" s="7"/>
    </row>
    <row r="840">
      <c r="B840" s="7"/>
      <c r="C840" s="7"/>
      <c r="D840" s="7"/>
    </row>
    <row r="841">
      <c r="B841" s="7"/>
      <c r="C841" s="7"/>
      <c r="D841" s="7"/>
    </row>
    <row r="842">
      <c r="B842" s="7"/>
      <c r="C842" s="7"/>
      <c r="D842" s="7"/>
    </row>
    <row r="843">
      <c r="B843" s="7"/>
      <c r="C843" s="7"/>
      <c r="D843" s="7"/>
    </row>
    <row r="844">
      <c r="B844" s="7"/>
      <c r="C844" s="7"/>
      <c r="D844" s="7"/>
    </row>
    <row r="845">
      <c r="B845" s="7"/>
      <c r="C845" s="7"/>
      <c r="D845" s="7"/>
    </row>
    <row r="846">
      <c r="B846" s="7"/>
      <c r="C846" s="7"/>
      <c r="D846" s="7"/>
    </row>
    <row r="847">
      <c r="B847" s="7"/>
      <c r="C847" s="7"/>
      <c r="D847" s="7"/>
    </row>
    <row r="848">
      <c r="B848" s="7"/>
      <c r="C848" s="7"/>
      <c r="D848" s="7"/>
    </row>
    <row r="849">
      <c r="B849" s="7"/>
      <c r="C849" s="7"/>
      <c r="D849" s="7"/>
    </row>
    <row r="850">
      <c r="B850" s="7"/>
      <c r="C850" s="7"/>
      <c r="D850" s="7"/>
    </row>
    <row r="851">
      <c r="B851" s="7"/>
      <c r="C851" s="7"/>
      <c r="D851" s="7"/>
    </row>
    <row r="852">
      <c r="B852" s="7"/>
      <c r="C852" s="7"/>
      <c r="D852" s="7"/>
    </row>
    <row r="853">
      <c r="B853" s="7"/>
      <c r="C853" s="7"/>
      <c r="D853" s="7"/>
    </row>
    <row r="854">
      <c r="B854" s="7"/>
      <c r="C854" s="7"/>
      <c r="D854" s="7"/>
    </row>
    <row r="855">
      <c r="B855" s="7"/>
      <c r="C855" s="7"/>
      <c r="D855" s="7"/>
    </row>
    <row r="856">
      <c r="B856" s="7"/>
      <c r="C856" s="7"/>
      <c r="D856" s="7"/>
    </row>
    <row r="857">
      <c r="B857" s="7"/>
      <c r="C857" s="7"/>
      <c r="D857" s="7"/>
    </row>
    <row r="858">
      <c r="B858" s="7"/>
      <c r="C858" s="7"/>
      <c r="D858" s="7"/>
    </row>
    <row r="859">
      <c r="B859" s="7"/>
      <c r="C859" s="7"/>
      <c r="D859" s="7"/>
    </row>
    <row r="860">
      <c r="B860" s="7"/>
      <c r="C860" s="7"/>
      <c r="D860" s="7"/>
    </row>
    <row r="861">
      <c r="B861" s="7"/>
      <c r="C861" s="7"/>
      <c r="D861" s="7"/>
    </row>
    <row r="862">
      <c r="B862" s="7"/>
      <c r="C862" s="7"/>
      <c r="D862" s="7"/>
    </row>
    <row r="863">
      <c r="B863" s="7"/>
      <c r="C863" s="7"/>
      <c r="D863" s="7"/>
    </row>
    <row r="864">
      <c r="B864" s="7"/>
      <c r="C864" s="7"/>
      <c r="D864" s="7"/>
    </row>
    <row r="865">
      <c r="B865" s="7"/>
      <c r="C865" s="7"/>
      <c r="D865" s="7"/>
    </row>
    <row r="866">
      <c r="B866" s="7"/>
      <c r="C866" s="7"/>
      <c r="D866" s="7"/>
    </row>
    <row r="867">
      <c r="B867" s="7"/>
      <c r="C867" s="7"/>
      <c r="D867" s="7"/>
    </row>
    <row r="868">
      <c r="B868" s="7"/>
      <c r="C868" s="7"/>
      <c r="D868" s="7"/>
    </row>
    <row r="869">
      <c r="B869" s="7"/>
      <c r="C869" s="7"/>
      <c r="D869" s="7"/>
    </row>
    <row r="870">
      <c r="B870" s="7"/>
      <c r="C870" s="7"/>
      <c r="D870" s="7"/>
    </row>
    <row r="871">
      <c r="B871" s="7"/>
      <c r="C871" s="7"/>
      <c r="D871" s="7"/>
    </row>
    <row r="872">
      <c r="B872" s="7"/>
      <c r="C872" s="7"/>
      <c r="D872" s="7"/>
    </row>
    <row r="873">
      <c r="B873" s="7"/>
      <c r="C873" s="7"/>
      <c r="D873" s="7"/>
    </row>
    <row r="874">
      <c r="B874" s="7"/>
      <c r="C874" s="7"/>
      <c r="D874" s="7"/>
    </row>
    <row r="875">
      <c r="B875" s="7"/>
      <c r="C875" s="7"/>
      <c r="D875" s="7"/>
    </row>
    <row r="876">
      <c r="B876" s="7"/>
      <c r="C876" s="7"/>
      <c r="D876" s="7"/>
    </row>
    <row r="877">
      <c r="B877" s="7"/>
      <c r="C877" s="7"/>
      <c r="D877" s="7"/>
    </row>
    <row r="878">
      <c r="B878" s="7"/>
      <c r="C878" s="7"/>
      <c r="D878" s="7"/>
    </row>
    <row r="879">
      <c r="B879" s="7"/>
      <c r="C879" s="7"/>
      <c r="D879" s="7"/>
    </row>
    <row r="880">
      <c r="B880" s="7"/>
      <c r="C880" s="7"/>
      <c r="D880" s="7"/>
    </row>
    <row r="881">
      <c r="B881" s="7"/>
      <c r="C881" s="7"/>
      <c r="D881" s="7"/>
    </row>
    <row r="882">
      <c r="B882" s="7"/>
      <c r="C882" s="7"/>
      <c r="D882" s="7"/>
    </row>
    <row r="883">
      <c r="B883" s="7"/>
      <c r="C883" s="7"/>
      <c r="D883" s="7"/>
    </row>
    <row r="884">
      <c r="B884" s="7"/>
      <c r="C884" s="7"/>
      <c r="D884" s="7"/>
    </row>
    <row r="885">
      <c r="B885" s="7"/>
      <c r="C885" s="7"/>
      <c r="D885" s="7"/>
    </row>
    <row r="886">
      <c r="B886" s="7"/>
      <c r="C886" s="7"/>
      <c r="D886" s="7"/>
    </row>
    <row r="887">
      <c r="B887" s="7"/>
      <c r="C887" s="7"/>
      <c r="D887" s="7"/>
    </row>
    <row r="888">
      <c r="B888" s="7"/>
      <c r="C888" s="7"/>
      <c r="D888" s="7"/>
    </row>
    <row r="889">
      <c r="B889" s="7"/>
      <c r="C889" s="7"/>
      <c r="D889" s="7"/>
    </row>
    <row r="890">
      <c r="B890" s="7"/>
      <c r="C890" s="7"/>
      <c r="D890" s="7"/>
    </row>
    <row r="891">
      <c r="B891" s="7"/>
      <c r="C891" s="7"/>
      <c r="D891" s="7"/>
    </row>
    <row r="892">
      <c r="B892" s="7"/>
      <c r="C892" s="7"/>
      <c r="D892" s="7"/>
    </row>
    <row r="893">
      <c r="B893" s="7"/>
      <c r="C893" s="7"/>
      <c r="D893" s="7"/>
    </row>
    <row r="894">
      <c r="B894" s="7"/>
      <c r="C894" s="7"/>
      <c r="D894" s="7"/>
    </row>
    <row r="895">
      <c r="B895" s="7"/>
      <c r="C895" s="7"/>
      <c r="D895" s="7"/>
    </row>
    <row r="896">
      <c r="B896" s="7"/>
      <c r="C896" s="7"/>
      <c r="D896" s="7"/>
    </row>
    <row r="897">
      <c r="B897" s="7"/>
      <c r="C897" s="7"/>
      <c r="D897" s="7"/>
    </row>
    <row r="898">
      <c r="B898" s="7"/>
      <c r="C898" s="7"/>
      <c r="D898" s="7"/>
    </row>
    <row r="899">
      <c r="B899" s="7"/>
      <c r="C899" s="7"/>
      <c r="D899" s="7"/>
    </row>
    <row r="900">
      <c r="B900" s="7"/>
      <c r="C900" s="7"/>
      <c r="D900" s="7"/>
    </row>
    <row r="901">
      <c r="B901" s="7"/>
      <c r="C901" s="7"/>
      <c r="D901" s="7"/>
    </row>
    <row r="902">
      <c r="B902" s="7"/>
      <c r="C902" s="7"/>
      <c r="D902" s="7"/>
    </row>
    <row r="903">
      <c r="B903" s="7"/>
      <c r="C903" s="7"/>
      <c r="D903" s="7"/>
    </row>
    <row r="904">
      <c r="B904" s="7"/>
      <c r="C904" s="7"/>
      <c r="D904" s="7"/>
    </row>
    <row r="905">
      <c r="B905" s="7"/>
      <c r="C905" s="7"/>
      <c r="D905" s="7"/>
    </row>
    <row r="906">
      <c r="B906" s="7"/>
      <c r="C906" s="7"/>
      <c r="D906" s="7"/>
    </row>
    <row r="907">
      <c r="B907" s="7"/>
      <c r="C907" s="7"/>
      <c r="D907" s="7"/>
    </row>
    <row r="908">
      <c r="B908" s="7"/>
      <c r="C908" s="7"/>
      <c r="D908" s="7"/>
    </row>
    <row r="909">
      <c r="B909" s="7"/>
      <c r="C909" s="7"/>
      <c r="D909" s="7"/>
    </row>
    <row r="910">
      <c r="B910" s="7"/>
      <c r="C910" s="7"/>
      <c r="D910" s="7"/>
    </row>
    <row r="911">
      <c r="B911" s="7"/>
      <c r="C911" s="7"/>
      <c r="D911" s="7"/>
    </row>
    <row r="912">
      <c r="B912" s="7"/>
      <c r="C912" s="7"/>
      <c r="D912" s="7"/>
    </row>
    <row r="913">
      <c r="B913" s="7"/>
      <c r="C913" s="7"/>
      <c r="D913" s="7"/>
    </row>
    <row r="914">
      <c r="B914" s="7"/>
      <c r="C914" s="7"/>
      <c r="D914" s="7"/>
    </row>
    <row r="915">
      <c r="B915" s="7"/>
      <c r="C915" s="7"/>
      <c r="D915" s="7"/>
    </row>
    <row r="916">
      <c r="B916" s="7"/>
      <c r="C916" s="7"/>
      <c r="D916" s="7"/>
    </row>
    <row r="917">
      <c r="B917" s="7"/>
      <c r="C917" s="7"/>
      <c r="D917" s="7"/>
    </row>
    <row r="918">
      <c r="B918" s="7"/>
      <c r="C918" s="7"/>
      <c r="D918" s="7"/>
    </row>
    <row r="919">
      <c r="B919" s="7"/>
      <c r="C919" s="7"/>
      <c r="D919" s="7"/>
    </row>
    <row r="920">
      <c r="B920" s="7"/>
      <c r="C920" s="7"/>
      <c r="D920" s="7"/>
    </row>
    <row r="921">
      <c r="B921" s="7"/>
      <c r="C921" s="7"/>
      <c r="D921" s="7"/>
    </row>
    <row r="922">
      <c r="B922" s="7"/>
      <c r="C922" s="7"/>
      <c r="D922" s="7"/>
    </row>
    <row r="923">
      <c r="B923" s="7"/>
      <c r="C923" s="7"/>
      <c r="D923" s="7"/>
    </row>
    <row r="924">
      <c r="B924" s="7"/>
      <c r="C924" s="7"/>
      <c r="D924" s="7"/>
    </row>
    <row r="925">
      <c r="B925" s="7"/>
      <c r="C925" s="7"/>
      <c r="D925" s="7"/>
    </row>
    <row r="926">
      <c r="B926" s="7"/>
      <c r="C926" s="7"/>
      <c r="D926" s="7"/>
    </row>
    <row r="927">
      <c r="B927" s="7"/>
      <c r="C927" s="7"/>
      <c r="D927" s="7"/>
    </row>
    <row r="928">
      <c r="B928" s="7"/>
      <c r="C928" s="7"/>
      <c r="D928" s="7"/>
    </row>
    <row r="929">
      <c r="B929" s="7"/>
      <c r="C929" s="7"/>
      <c r="D929" s="7"/>
    </row>
    <row r="930">
      <c r="B930" s="7"/>
      <c r="C930" s="7"/>
      <c r="D930" s="7"/>
    </row>
    <row r="931">
      <c r="B931" s="7"/>
      <c r="C931" s="7"/>
      <c r="D931" s="7"/>
    </row>
    <row r="932">
      <c r="B932" s="7"/>
      <c r="C932" s="7"/>
      <c r="D932" s="7"/>
    </row>
    <row r="933">
      <c r="B933" s="7"/>
      <c r="C933" s="7"/>
      <c r="D933" s="7"/>
    </row>
    <row r="934">
      <c r="B934" s="7"/>
      <c r="C934" s="7"/>
      <c r="D934" s="7"/>
    </row>
    <row r="935">
      <c r="B935" s="7"/>
      <c r="C935" s="7"/>
      <c r="D935" s="7"/>
    </row>
    <row r="936">
      <c r="B936" s="7"/>
      <c r="C936" s="7"/>
      <c r="D936" s="7"/>
    </row>
    <row r="937">
      <c r="B937" s="7"/>
      <c r="C937" s="7"/>
      <c r="D937" s="7"/>
    </row>
    <row r="938">
      <c r="B938" s="7"/>
      <c r="C938" s="7"/>
      <c r="D938" s="7"/>
    </row>
    <row r="939">
      <c r="B939" s="7"/>
      <c r="C939" s="7"/>
      <c r="D939" s="7"/>
    </row>
    <row r="940">
      <c r="B940" s="7"/>
      <c r="C940" s="7"/>
      <c r="D940" s="7"/>
    </row>
    <row r="941">
      <c r="B941" s="7"/>
      <c r="C941" s="7"/>
      <c r="D941" s="7"/>
    </row>
    <row r="942">
      <c r="B942" s="7"/>
      <c r="C942" s="7"/>
      <c r="D942" s="7"/>
    </row>
    <row r="943">
      <c r="B943" s="7"/>
      <c r="C943" s="7"/>
      <c r="D943" s="7"/>
    </row>
    <row r="944">
      <c r="B944" s="7"/>
      <c r="C944" s="7"/>
      <c r="D944" s="7"/>
    </row>
    <row r="945">
      <c r="B945" s="7"/>
      <c r="C945" s="7"/>
      <c r="D945" s="7"/>
    </row>
    <row r="946">
      <c r="B946" s="7"/>
      <c r="C946" s="7"/>
      <c r="D946" s="7"/>
    </row>
    <row r="947">
      <c r="B947" s="7"/>
      <c r="C947" s="7"/>
      <c r="D947" s="7"/>
    </row>
    <row r="948">
      <c r="B948" s="7"/>
      <c r="C948" s="7"/>
      <c r="D948" s="7"/>
    </row>
    <row r="949">
      <c r="B949" s="7"/>
      <c r="C949" s="7"/>
      <c r="D949" s="7"/>
    </row>
    <row r="950">
      <c r="B950" s="7"/>
      <c r="C950" s="7"/>
      <c r="D950" s="7"/>
    </row>
    <row r="951">
      <c r="B951" s="7"/>
      <c r="C951" s="7"/>
      <c r="D951" s="7"/>
    </row>
    <row r="952">
      <c r="B952" s="7"/>
      <c r="C952" s="7"/>
      <c r="D952" s="7"/>
    </row>
    <row r="953">
      <c r="B953" s="7"/>
      <c r="C953" s="7"/>
      <c r="D953" s="7"/>
    </row>
    <row r="954">
      <c r="B954" s="7"/>
      <c r="C954" s="7"/>
      <c r="D954" s="7"/>
    </row>
    <row r="955">
      <c r="B955" s="7"/>
      <c r="C955" s="7"/>
      <c r="D955" s="7"/>
    </row>
    <row r="956">
      <c r="B956" s="7"/>
      <c r="C956" s="7"/>
      <c r="D956" s="7"/>
    </row>
    <row r="957">
      <c r="B957" s="7"/>
      <c r="C957" s="7"/>
      <c r="D957" s="7"/>
    </row>
    <row r="958">
      <c r="B958" s="7"/>
      <c r="C958" s="7"/>
      <c r="D958" s="7"/>
    </row>
    <row r="959">
      <c r="B959" s="7"/>
      <c r="C959" s="7"/>
      <c r="D959" s="7"/>
    </row>
    <row r="960">
      <c r="B960" s="7"/>
      <c r="C960" s="7"/>
      <c r="D960" s="7"/>
    </row>
    <row r="961">
      <c r="B961" s="7"/>
      <c r="C961" s="7"/>
      <c r="D961" s="7"/>
    </row>
    <row r="962">
      <c r="B962" s="7"/>
      <c r="C962" s="7"/>
      <c r="D962" s="7"/>
    </row>
    <row r="963">
      <c r="B963" s="7"/>
      <c r="C963" s="7"/>
      <c r="D963" s="7"/>
    </row>
    <row r="964">
      <c r="B964" s="7"/>
      <c r="C964" s="7"/>
      <c r="D964" s="7"/>
    </row>
    <row r="965">
      <c r="B965" s="7"/>
      <c r="C965" s="7"/>
      <c r="D965" s="7"/>
    </row>
    <row r="966">
      <c r="B966" s="7"/>
      <c r="C966" s="7"/>
      <c r="D966" s="7"/>
    </row>
    <row r="967">
      <c r="B967" s="7"/>
      <c r="C967" s="7"/>
      <c r="D967" s="7"/>
    </row>
    <row r="968">
      <c r="B968" s="7"/>
      <c r="C968" s="7"/>
      <c r="D968" s="7"/>
    </row>
    <row r="969">
      <c r="B969" s="7"/>
      <c r="C969" s="7"/>
      <c r="D969" s="7"/>
    </row>
    <row r="970">
      <c r="B970" s="7"/>
      <c r="C970" s="7"/>
      <c r="D970" s="7"/>
    </row>
    <row r="971">
      <c r="B971" s="7"/>
      <c r="C971" s="7"/>
      <c r="D971" s="7"/>
    </row>
    <row r="972">
      <c r="B972" s="7"/>
      <c r="C972" s="7"/>
      <c r="D972" s="7"/>
    </row>
    <row r="973">
      <c r="B973" s="7"/>
      <c r="C973" s="7"/>
      <c r="D973" s="7"/>
    </row>
    <row r="974">
      <c r="B974" s="7"/>
      <c r="C974" s="7"/>
      <c r="D974" s="7"/>
    </row>
    <row r="975">
      <c r="B975" s="7"/>
      <c r="C975" s="7"/>
      <c r="D975" s="7"/>
    </row>
    <row r="976">
      <c r="B976" s="7"/>
      <c r="C976" s="7"/>
      <c r="D976" s="7"/>
    </row>
    <row r="977">
      <c r="B977" s="7"/>
      <c r="C977" s="7"/>
      <c r="D977" s="7"/>
    </row>
    <row r="978">
      <c r="B978" s="7"/>
      <c r="C978" s="7"/>
      <c r="D978" s="7"/>
    </row>
    <row r="979">
      <c r="B979" s="7"/>
      <c r="C979" s="7"/>
      <c r="D979" s="7"/>
    </row>
    <row r="980">
      <c r="B980" s="7"/>
      <c r="C980" s="7"/>
      <c r="D980" s="7"/>
    </row>
    <row r="981">
      <c r="B981" s="7"/>
      <c r="C981" s="7"/>
      <c r="D981" s="7"/>
    </row>
    <row r="982">
      <c r="B982" s="7"/>
      <c r="C982" s="7"/>
      <c r="D982" s="7"/>
    </row>
    <row r="983">
      <c r="B983" s="7"/>
      <c r="C983" s="7"/>
      <c r="D983" s="7"/>
    </row>
    <row r="984">
      <c r="B984" s="7"/>
      <c r="C984" s="7"/>
      <c r="D984" s="7"/>
    </row>
    <row r="985">
      <c r="B985" s="7"/>
      <c r="C985" s="7"/>
      <c r="D985" s="7"/>
    </row>
    <row r="986">
      <c r="B986" s="7"/>
      <c r="C986" s="7"/>
      <c r="D986" s="7"/>
    </row>
    <row r="987">
      <c r="B987" s="7"/>
      <c r="C987" s="7"/>
      <c r="D987" s="7"/>
    </row>
    <row r="988">
      <c r="B988" s="7"/>
      <c r="C988" s="7"/>
      <c r="D988" s="7"/>
    </row>
    <row r="989">
      <c r="B989" s="7"/>
      <c r="C989" s="7"/>
      <c r="D989" s="7"/>
    </row>
    <row r="990">
      <c r="B990" s="7"/>
      <c r="C990" s="7"/>
      <c r="D990" s="7"/>
    </row>
    <row r="991">
      <c r="B991" s="7"/>
      <c r="C991" s="7"/>
      <c r="D991" s="7"/>
    </row>
    <row r="992">
      <c r="B992" s="7"/>
      <c r="C992" s="7"/>
      <c r="D992" s="7"/>
    </row>
    <row r="993">
      <c r="B993" s="7"/>
      <c r="C993" s="7"/>
      <c r="D993" s="7"/>
    </row>
    <row r="994">
      <c r="B994" s="7"/>
      <c r="C994" s="7"/>
      <c r="D994" s="7"/>
    </row>
    <row r="995">
      <c r="B995" s="7"/>
      <c r="C995" s="7"/>
      <c r="D995" s="7"/>
    </row>
    <row r="996">
      <c r="B996" s="7"/>
      <c r="C996" s="7"/>
      <c r="D996" s="7"/>
    </row>
    <row r="997">
      <c r="B997" s="7"/>
      <c r="C997" s="7"/>
      <c r="D997" s="7"/>
    </row>
    <row r="998">
      <c r="B998" s="7"/>
      <c r="C998" s="7"/>
      <c r="D998" s="7"/>
    </row>
    <row r="999">
      <c r="B999" s="7"/>
      <c r="C999" s="7"/>
      <c r="D999" s="7"/>
    </row>
    <row r="1000">
      <c r="B1000" s="7"/>
      <c r="C1000" s="7"/>
      <c r="D1000" s="7"/>
    </row>
    <row r="1001">
      <c r="B1001" s="7"/>
      <c r="C1001" s="7"/>
      <c r="D1001" s="7"/>
    </row>
    <row r="1002">
      <c r="B1002" s="7"/>
      <c r="C1002" s="7"/>
      <c r="D1002" s="7"/>
    </row>
    <row r="1003">
      <c r="B1003" s="7"/>
      <c r="C1003" s="7"/>
      <c r="D1003" s="7"/>
    </row>
    <row r="1004">
      <c r="B1004" s="7"/>
      <c r="C1004" s="7"/>
      <c r="D1004" s="7"/>
    </row>
    <row r="1005">
      <c r="B1005" s="7"/>
      <c r="C1005" s="7"/>
      <c r="D1005" s="7"/>
    </row>
    <row r="1006">
      <c r="B1006" s="7"/>
      <c r="C1006" s="7"/>
      <c r="D1006" s="7"/>
    </row>
    <row r="1007">
      <c r="B1007" s="7"/>
      <c r="C1007" s="7"/>
      <c r="D1007" s="7"/>
    </row>
    <row r="1008">
      <c r="B1008" s="7"/>
      <c r="C1008" s="7"/>
      <c r="D1008" s="7"/>
    </row>
    <row r="1009">
      <c r="B1009" s="7"/>
      <c r="C1009" s="7"/>
      <c r="D1009" s="7"/>
    </row>
    <row r="1010">
      <c r="B1010" s="7"/>
      <c r="C1010" s="7"/>
      <c r="D1010" s="7"/>
    </row>
    <row r="1011">
      <c r="B1011" s="7"/>
      <c r="C1011" s="7"/>
      <c r="D1011" s="7"/>
    </row>
    <row r="1012">
      <c r="B1012" s="7"/>
      <c r="C1012" s="7"/>
      <c r="D1012" s="7"/>
    </row>
    <row r="1013">
      <c r="B1013" s="7"/>
      <c r="C1013" s="7"/>
      <c r="D1013" s="7"/>
    </row>
    <row r="1014">
      <c r="B1014" s="7"/>
      <c r="C1014" s="7"/>
      <c r="D1014" s="7"/>
    </row>
    <row r="1015">
      <c r="B1015" s="7"/>
      <c r="C1015" s="7"/>
      <c r="D1015" s="7"/>
    </row>
    <row r="1016">
      <c r="B1016" s="7"/>
      <c r="C1016" s="7"/>
      <c r="D1016" s="7"/>
    </row>
    <row r="1017">
      <c r="B1017" s="7"/>
      <c r="C1017" s="7"/>
      <c r="D1017" s="7"/>
    </row>
    <row r="1018">
      <c r="B1018" s="7"/>
      <c r="C1018" s="7"/>
      <c r="D1018" s="7"/>
    </row>
    <row r="1019">
      <c r="B1019" s="7"/>
      <c r="C1019" s="7"/>
      <c r="D1019" s="7"/>
    </row>
    <row r="1020">
      <c r="B1020" s="7"/>
      <c r="C1020" s="7"/>
      <c r="D1020" s="7"/>
    </row>
    <row r="1021">
      <c r="B1021" s="7"/>
      <c r="C1021" s="7"/>
      <c r="D1021" s="7"/>
    </row>
    <row r="1022">
      <c r="B1022" s="7"/>
      <c r="C1022" s="7"/>
      <c r="D1022" s="7"/>
    </row>
    <row r="1023">
      <c r="B1023" s="7"/>
      <c r="C1023" s="7"/>
      <c r="D1023" s="7"/>
    </row>
    <row r="1024">
      <c r="B1024" s="7"/>
      <c r="C1024" s="7"/>
      <c r="D1024" s="7"/>
    </row>
    <row r="1025">
      <c r="B1025" s="7"/>
      <c r="C1025" s="7"/>
      <c r="D1025" s="7"/>
    </row>
    <row r="1026">
      <c r="B1026" s="7"/>
      <c r="C1026" s="7"/>
      <c r="D1026" s="7"/>
    </row>
    <row r="1027">
      <c r="B1027" s="7"/>
      <c r="C1027" s="7"/>
      <c r="D1027" s="7"/>
    </row>
    <row r="1028">
      <c r="B1028" s="7"/>
      <c r="C1028" s="7"/>
      <c r="D1028" s="7"/>
    </row>
    <row r="1029">
      <c r="B1029" s="7"/>
      <c r="C1029" s="7"/>
      <c r="D1029" s="7"/>
    </row>
    <row r="1030">
      <c r="B1030" s="7"/>
      <c r="C1030" s="7"/>
      <c r="D1030" s="7"/>
    </row>
    <row r="1031">
      <c r="B1031" s="7"/>
      <c r="C1031" s="7"/>
      <c r="D1031" s="7"/>
    </row>
    <row r="1032">
      <c r="B1032" s="7"/>
      <c r="C1032" s="7"/>
      <c r="D1032" s="7"/>
    </row>
    <row r="1033">
      <c r="B1033" s="7"/>
      <c r="C1033" s="7"/>
      <c r="D1033" s="7"/>
    </row>
    <row r="1034">
      <c r="B1034" s="7"/>
      <c r="C1034" s="7"/>
      <c r="D1034" s="7"/>
    </row>
    <row r="1035">
      <c r="B1035" s="7"/>
      <c r="C1035" s="7"/>
      <c r="D1035" s="7"/>
    </row>
    <row r="1036">
      <c r="B1036" s="7"/>
      <c r="C1036" s="7"/>
      <c r="D1036" s="7"/>
    </row>
    <row r="1037">
      <c r="B1037" s="7"/>
      <c r="C1037" s="7"/>
      <c r="D1037" s="7"/>
    </row>
    <row r="1038">
      <c r="B1038" s="7"/>
      <c r="C1038" s="7"/>
      <c r="D1038" s="7"/>
    </row>
    <row r="1039">
      <c r="B1039" s="7"/>
      <c r="C1039" s="7"/>
      <c r="D1039" s="7"/>
    </row>
    <row r="1040">
      <c r="B1040" s="7"/>
      <c r="C1040" s="7"/>
      <c r="D1040" s="7"/>
    </row>
    <row r="1041">
      <c r="B1041" s="7"/>
      <c r="C1041" s="7"/>
      <c r="D1041" s="7"/>
    </row>
    <row r="1042">
      <c r="B1042" s="7"/>
      <c r="C1042" s="7"/>
      <c r="D1042" s="7"/>
    </row>
    <row r="1043">
      <c r="B1043" s="7"/>
      <c r="C1043" s="7"/>
      <c r="D1043" s="7"/>
    </row>
    <row r="1044">
      <c r="B1044" s="7"/>
      <c r="C1044" s="7"/>
      <c r="D1044" s="7"/>
    </row>
    <row r="1045">
      <c r="B1045" s="7"/>
      <c r="C1045" s="7"/>
      <c r="D1045" s="7"/>
    </row>
    <row r="1046">
      <c r="B1046" s="7"/>
      <c r="C1046" s="7"/>
      <c r="D1046" s="7"/>
    </row>
    <row r="1047">
      <c r="B1047" s="7"/>
      <c r="C1047" s="7"/>
      <c r="D1047" s="7"/>
    </row>
    <row r="1048">
      <c r="B1048" s="7"/>
      <c r="C1048" s="7"/>
      <c r="D1048" s="7"/>
    </row>
    <row r="1049">
      <c r="B1049" s="7"/>
      <c r="C1049" s="7"/>
      <c r="D1049" s="7"/>
    </row>
    <row r="1050">
      <c r="B1050" s="7"/>
      <c r="C1050" s="7"/>
      <c r="D1050" s="7"/>
    </row>
    <row r="1051">
      <c r="B1051" s="7"/>
      <c r="C1051" s="7"/>
      <c r="D1051" s="7"/>
    </row>
    <row r="1052">
      <c r="B1052" s="7"/>
      <c r="C1052" s="7"/>
      <c r="D1052" s="7"/>
    </row>
    <row r="1053">
      <c r="B1053" s="7"/>
      <c r="C1053" s="7"/>
      <c r="D1053" s="7"/>
    </row>
    <row r="1054">
      <c r="B1054" s="7"/>
      <c r="C1054" s="7"/>
      <c r="D1054" s="7"/>
    </row>
    <row r="1055">
      <c r="B1055" s="7"/>
      <c r="C1055" s="7"/>
      <c r="D1055" s="7"/>
    </row>
    <row r="1056">
      <c r="B1056" s="7"/>
      <c r="C1056" s="7"/>
      <c r="D1056" s="7"/>
    </row>
    <row r="1057">
      <c r="B1057" s="7"/>
      <c r="C1057" s="7"/>
      <c r="D1057" s="7"/>
    </row>
    <row r="1058">
      <c r="B1058" s="7"/>
      <c r="C1058" s="7"/>
      <c r="D1058" s="7"/>
    </row>
    <row r="1059">
      <c r="B1059" s="7"/>
      <c r="C1059" s="7"/>
      <c r="D1059" s="7"/>
    </row>
    <row r="1060">
      <c r="B1060" s="7"/>
      <c r="C1060" s="7"/>
      <c r="D1060" s="7"/>
    </row>
    <row r="1061">
      <c r="B1061" s="7"/>
      <c r="C1061" s="7"/>
      <c r="D1061" s="7"/>
    </row>
    <row r="1062">
      <c r="B1062" s="7"/>
      <c r="C1062" s="7"/>
      <c r="D1062" s="7"/>
    </row>
    <row r="1063">
      <c r="B1063" s="7"/>
      <c r="C1063" s="7"/>
      <c r="D1063" s="7"/>
    </row>
    <row r="1064">
      <c r="B1064" s="7"/>
      <c r="C1064" s="7"/>
      <c r="D1064" s="7"/>
    </row>
    <row r="1065">
      <c r="B1065" s="7"/>
      <c r="C1065" s="7"/>
      <c r="D1065" s="7"/>
    </row>
    <row r="1066">
      <c r="B1066" s="7"/>
      <c r="C1066" s="7"/>
      <c r="D1066" s="7"/>
    </row>
    <row r="1067">
      <c r="B1067" s="7"/>
      <c r="C1067" s="7"/>
      <c r="D1067" s="7"/>
    </row>
    <row r="1068">
      <c r="B1068" s="7"/>
      <c r="C1068" s="7"/>
      <c r="D1068" s="7"/>
    </row>
    <row r="1069">
      <c r="B1069" s="7"/>
      <c r="C1069" s="7"/>
      <c r="D1069" s="7"/>
    </row>
    <row r="1070">
      <c r="B1070" s="7"/>
      <c r="C1070" s="7"/>
      <c r="D1070" s="7"/>
    </row>
    <row r="1071">
      <c r="B1071" s="7"/>
      <c r="C1071" s="7"/>
      <c r="D1071" s="7"/>
    </row>
    <row r="1072">
      <c r="B1072" s="7"/>
      <c r="C1072" s="7"/>
      <c r="D1072" s="7"/>
    </row>
    <row r="1073">
      <c r="B1073" s="7"/>
      <c r="C1073" s="7"/>
      <c r="D1073" s="7"/>
    </row>
    <row r="1074">
      <c r="B1074" s="7"/>
      <c r="C1074" s="7"/>
      <c r="D1074" s="7"/>
    </row>
    <row r="1075">
      <c r="B1075" s="7"/>
      <c r="C1075" s="7"/>
      <c r="D1075" s="7"/>
    </row>
    <row r="1076">
      <c r="B1076" s="7"/>
      <c r="C1076" s="7"/>
      <c r="D1076" s="7"/>
    </row>
    <row r="1077">
      <c r="B1077" s="7"/>
      <c r="C1077" s="7"/>
      <c r="D1077" s="7"/>
    </row>
    <row r="1078">
      <c r="B1078" s="7"/>
      <c r="C1078" s="7"/>
      <c r="D1078" s="7"/>
    </row>
    <row r="1079">
      <c r="B1079" s="7"/>
      <c r="C1079" s="7"/>
      <c r="D1079" s="7"/>
    </row>
    <row r="1080">
      <c r="B1080" s="7"/>
      <c r="C1080" s="7"/>
      <c r="D1080" s="7"/>
    </row>
    <row r="1081">
      <c r="B1081" s="7"/>
      <c r="C1081" s="7"/>
      <c r="D1081" s="7"/>
    </row>
    <row r="1082">
      <c r="B1082" s="7"/>
      <c r="C1082" s="7"/>
      <c r="D1082" s="7"/>
    </row>
    <row r="1083">
      <c r="B1083" s="7"/>
      <c r="C1083" s="7"/>
      <c r="D1083" s="7"/>
    </row>
    <row r="1084">
      <c r="B1084" s="7"/>
      <c r="C1084" s="7"/>
      <c r="D1084" s="7"/>
    </row>
    <row r="1085">
      <c r="B1085" s="7"/>
      <c r="C1085" s="7"/>
      <c r="D1085" s="7"/>
    </row>
    <row r="1086">
      <c r="B1086" s="7"/>
      <c r="C1086" s="7"/>
      <c r="D1086" s="7"/>
    </row>
    <row r="1087">
      <c r="B1087" s="7"/>
      <c r="C1087" s="7"/>
      <c r="D1087" s="7"/>
    </row>
    <row r="1088">
      <c r="B1088" s="7"/>
      <c r="C1088" s="7"/>
      <c r="D1088" s="7"/>
    </row>
    <row r="1089">
      <c r="B1089" s="7"/>
      <c r="C1089" s="7"/>
      <c r="D1089" s="7"/>
    </row>
    <row r="1090">
      <c r="B1090" s="7"/>
      <c r="C1090" s="7"/>
      <c r="D1090" s="7"/>
    </row>
    <row r="1091">
      <c r="B1091" s="7"/>
      <c r="C1091" s="7"/>
      <c r="D1091" s="7"/>
    </row>
    <row r="1092">
      <c r="B1092" s="7"/>
      <c r="C1092" s="7"/>
      <c r="D1092" s="7"/>
    </row>
    <row r="1093">
      <c r="B1093" s="7"/>
      <c r="C1093" s="7"/>
      <c r="D1093" s="7"/>
    </row>
    <row r="1094">
      <c r="B1094" s="7"/>
      <c r="C1094" s="7"/>
      <c r="D1094" s="7"/>
    </row>
    <row r="1095">
      <c r="B1095" s="7"/>
      <c r="C1095" s="7"/>
      <c r="D1095" s="7"/>
    </row>
    <row r="1096">
      <c r="B1096" s="7"/>
      <c r="C1096" s="7"/>
      <c r="D1096" s="7"/>
    </row>
    <row r="1097">
      <c r="B1097" s="7"/>
      <c r="C1097" s="7"/>
      <c r="D1097" s="7"/>
    </row>
    <row r="1098">
      <c r="B1098" s="7"/>
      <c r="C1098" s="7"/>
      <c r="D1098" s="7"/>
    </row>
    <row r="1099">
      <c r="B1099" s="7"/>
      <c r="C1099" s="7"/>
      <c r="D1099" s="7"/>
    </row>
    <row r="1100">
      <c r="B1100" s="7"/>
      <c r="C1100" s="7"/>
      <c r="D1100" s="7"/>
    </row>
    <row r="1101">
      <c r="B1101" s="7"/>
      <c r="C1101" s="7"/>
      <c r="D1101" s="7"/>
    </row>
    <row r="1102">
      <c r="B1102" s="7"/>
      <c r="C1102" s="7"/>
      <c r="D1102" s="7"/>
    </row>
    <row r="1103">
      <c r="B1103" s="7"/>
      <c r="C1103" s="7"/>
      <c r="D1103" s="7"/>
    </row>
    <row r="1104">
      <c r="B1104" s="7"/>
      <c r="C1104" s="7"/>
      <c r="D1104" s="7"/>
    </row>
    <row r="1105">
      <c r="B1105" s="7"/>
      <c r="C1105" s="7"/>
      <c r="D1105" s="7"/>
    </row>
    <row r="1106">
      <c r="B1106" s="7"/>
      <c r="C1106" s="7"/>
      <c r="D1106" s="7"/>
    </row>
    <row r="1107">
      <c r="B1107" s="7"/>
      <c r="C1107" s="7"/>
      <c r="D1107" s="7"/>
    </row>
    <row r="1108">
      <c r="B1108" s="7"/>
      <c r="C1108" s="7"/>
      <c r="D1108" s="7"/>
    </row>
    <row r="1109">
      <c r="B1109" s="7"/>
      <c r="C1109" s="7"/>
      <c r="D1109" s="7"/>
    </row>
    <row r="1110">
      <c r="B1110" s="7"/>
      <c r="C1110" s="7"/>
      <c r="D1110" s="7"/>
    </row>
    <row r="1111">
      <c r="B1111" s="7"/>
      <c r="C1111" s="7"/>
      <c r="D1111" s="7"/>
    </row>
    <row r="1112">
      <c r="B1112" s="7"/>
      <c r="C1112" s="7"/>
      <c r="D1112" s="7"/>
    </row>
    <row r="1113">
      <c r="B1113" s="7"/>
      <c r="C1113" s="7"/>
      <c r="D1113" s="7"/>
    </row>
    <row r="1114">
      <c r="B1114" s="7"/>
      <c r="C1114" s="7"/>
      <c r="D1114" s="7"/>
    </row>
    <row r="1115">
      <c r="B1115" s="7"/>
      <c r="C1115" s="7"/>
      <c r="D1115" s="7"/>
    </row>
    <row r="1116">
      <c r="B1116" s="7"/>
      <c r="C1116" s="7"/>
      <c r="D1116" s="7"/>
    </row>
    <row r="1117">
      <c r="B1117" s="7"/>
      <c r="C1117" s="7"/>
      <c r="D1117" s="7"/>
    </row>
    <row r="1118">
      <c r="B1118" s="7"/>
      <c r="C1118" s="7"/>
      <c r="D1118" s="7"/>
    </row>
    <row r="1119">
      <c r="B1119" s="7"/>
      <c r="C1119" s="7"/>
      <c r="D1119" s="7"/>
    </row>
    <row r="1120">
      <c r="B1120" s="7"/>
      <c r="C1120" s="7"/>
      <c r="D1120" s="7"/>
    </row>
    <row r="1121">
      <c r="B1121" s="7"/>
      <c r="C1121" s="7"/>
      <c r="D1121" s="7"/>
    </row>
    <row r="1122">
      <c r="B1122" s="7"/>
      <c r="C1122" s="7"/>
      <c r="D1122" s="7"/>
    </row>
    <row r="1123">
      <c r="B1123" s="7"/>
      <c r="C1123" s="7"/>
      <c r="D1123" s="7"/>
    </row>
    <row r="1124">
      <c r="B1124" s="7"/>
      <c r="C1124" s="7"/>
      <c r="D1124" s="7"/>
    </row>
    <row r="1125">
      <c r="B1125" s="7"/>
      <c r="C1125" s="7"/>
      <c r="D1125" s="7"/>
    </row>
    <row r="1126">
      <c r="B1126" s="7"/>
      <c r="C1126" s="7"/>
      <c r="D1126" s="7"/>
    </row>
    <row r="1127">
      <c r="B1127" s="7"/>
      <c r="C1127" s="7"/>
      <c r="D1127" s="7"/>
    </row>
    <row r="1128">
      <c r="B1128" s="7"/>
      <c r="C1128" s="7"/>
      <c r="D1128" s="7"/>
    </row>
    <row r="1129">
      <c r="B1129" s="7"/>
      <c r="C1129" s="7"/>
      <c r="D1129" s="7"/>
    </row>
    <row r="1130">
      <c r="B1130" s="7"/>
      <c r="C1130" s="7"/>
      <c r="D1130" s="7"/>
    </row>
    <row r="1131">
      <c r="B1131" s="7"/>
      <c r="C1131" s="7"/>
      <c r="D1131" s="7"/>
    </row>
    <row r="1132">
      <c r="B1132" s="7"/>
      <c r="C1132" s="7"/>
      <c r="D1132" s="7"/>
    </row>
    <row r="1133">
      <c r="B1133" s="7"/>
      <c r="C1133" s="7"/>
      <c r="D1133" s="7"/>
    </row>
    <row r="1134">
      <c r="B1134" s="7"/>
      <c r="C1134" s="7"/>
      <c r="D1134" s="7"/>
    </row>
    <row r="1135">
      <c r="B1135" s="7"/>
      <c r="C1135" s="7"/>
      <c r="D1135" s="7"/>
    </row>
    <row r="1136">
      <c r="B1136" s="7"/>
      <c r="C1136" s="7"/>
      <c r="D1136" s="7"/>
    </row>
    <row r="1137">
      <c r="B1137" s="7"/>
      <c r="C1137" s="7"/>
      <c r="D1137" s="7"/>
    </row>
    <row r="1138">
      <c r="B1138" s="7"/>
      <c r="C1138" s="7"/>
      <c r="D1138" s="7"/>
    </row>
    <row r="1139">
      <c r="B1139" s="7"/>
      <c r="C1139" s="7"/>
      <c r="D1139" s="7"/>
    </row>
    <row r="1140">
      <c r="B1140" s="7"/>
      <c r="C1140" s="7"/>
      <c r="D1140" s="7"/>
    </row>
    <row r="1141">
      <c r="B1141" s="7"/>
      <c r="C1141" s="7"/>
      <c r="D1141" s="7"/>
    </row>
  </sheetData>
  <conditionalFormatting sqref="D3:F140 G3:I137">
    <cfRule type="beginsWith" dxfId="0" priority="1" operator="beginsWith" text="a">
      <formula>LEFT((D3),LEN("a"))=("a")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5"/>
    <col customWidth="1" min="3" max="3" width="15.63"/>
    <col customWidth="1" min="4" max="4" width="13.63"/>
  </cols>
  <sheetData>
    <row r="1">
      <c r="A1" s="5" t="s">
        <v>3</v>
      </c>
      <c r="B1" s="8"/>
      <c r="C1" s="8"/>
      <c r="D1" s="9"/>
    </row>
    <row r="2">
      <c r="A2" s="5" t="s">
        <v>8</v>
      </c>
      <c r="B2" s="8"/>
      <c r="C2" s="8"/>
      <c r="D2" s="9"/>
    </row>
    <row r="3">
      <c r="A3" s="5" t="s">
        <v>10</v>
      </c>
      <c r="B3" s="8"/>
      <c r="C3" s="8"/>
      <c r="D3" s="9"/>
    </row>
    <row r="4">
      <c r="A4" s="15" t="s">
        <v>12</v>
      </c>
      <c r="B4" s="9"/>
      <c r="C4" s="18"/>
      <c r="D4" s="9"/>
    </row>
    <row r="5">
      <c r="A5" s="15" t="s">
        <v>22</v>
      </c>
      <c r="B5" s="9"/>
      <c r="C5" s="18"/>
      <c r="D5" s="9"/>
    </row>
    <row r="6">
      <c r="A6" s="18"/>
      <c r="B6" s="8"/>
      <c r="C6" s="8"/>
      <c r="D6" s="9"/>
    </row>
    <row r="7">
      <c r="A7" s="22" t="s">
        <v>25</v>
      </c>
      <c r="B7" s="22" t="s">
        <v>26</v>
      </c>
      <c r="C7" s="25" t="s">
        <v>27</v>
      </c>
      <c r="D7" s="25" t="s">
        <v>30</v>
      </c>
    </row>
    <row r="8">
      <c r="A8" s="27">
        <v>1.0</v>
      </c>
      <c r="B8" s="17" t="s">
        <v>15</v>
      </c>
      <c r="C8" s="14">
        <v>46183.0</v>
      </c>
      <c r="D8" s="31" t="s">
        <v>35</v>
      </c>
    </row>
    <row r="9">
      <c r="A9" s="30"/>
      <c r="B9" s="34" t="s">
        <v>37</v>
      </c>
      <c r="C9" s="14">
        <v>46183.0</v>
      </c>
      <c r="D9" s="31" t="s">
        <v>35</v>
      </c>
    </row>
    <row r="10">
      <c r="A10" s="30"/>
      <c r="B10" s="34" t="s">
        <v>40</v>
      </c>
      <c r="C10" s="14">
        <v>46183.0</v>
      </c>
      <c r="D10" s="31" t="s">
        <v>35</v>
      </c>
    </row>
    <row r="11">
      <c r="A11" s="30"/>
      <c r="B11" s="34" t="s">
        <v>44</v>
      </c>
      <c r="C11" s="14">
        <v>46183.0</v>
      </c>
      <c r="D11" s="31" t="s">
        <v>35</v>
      </c>
    </row>
    <row r="12">
      <c r="A12" s="30"/>
      <c r="B12" s="34" t="s">
        <v>47</v>
      </c>
      <c r="C12" s="14">
        <v>46183.0</v>
      </c>
      <c r="D12" s="31" t="s">
        <v>35</v>
      </c>
    </row>
    <row r="13">
      <c r="A13" s="30"/>
      <c r="B13" s="34" t="s">
        <v>50</v>
      </c>
      <c r="C13" s="14">
        <v>46183.0</v>
      </c>
      <c r="D13" s="31" t="s">
        <v>35</v>
      </c>
    </row>
    <row r="14">
      <c r="A14" s="30"/>
      <c r="B14" s="34" t="s">
        <v>52</v>
      </c>
      <c r="C14" s="14">
        <v>46183.0</v>
      </c>
      <c r="D14" s="31" t="s">
        <v>35</v>
      </c>
    </row>
    <row r="15">
      <c r="A15" s="30"/>
      <c r="B15" s="34" t="s">
        <v>55</v>
      </c>
      <c r="C15" s="14">
        <v>46183.0</v>
      </c>
      <c r="D15" s="31" t="s">
        <v>35</v>
      </c>
    </row>
    <row r="16">
      <c r="A16" s="30"/>
      <c r="B16" s="34" t="s">
        <v>60</v>
      </c>
      <c r="C16" s="14">
        <v>46183.0</v>
      </c>
      <c r="D16" s="31" t="s">
        <v>35</v>
      </c>
    </row>
    <row r="17">
      <c r="A17" s="30"/>
      <c r="B17" s="34" t="s">
        <v>61</v>
      </c>
      <c r="C17" s="14">
        <v>46183.0</v>
      </c>
      <c r="D17" s="31" t="s">
        <v>35</v>
      </c>
    </row>
    <row r="18">
      <c r="A18" s="30"/>
      <c r="B18" s="34" t="s">
        <v>62</v>
      </c>
      <c r="C18" s="14">
        <v>46183.0</v>
      </c>
      <c r="D18" s="31" t="s">
        <v>35</v>
      </c>
    </row>
    <row r="19">
      <c r="A19" s="37"/>
      <c r="B19" s="34" t="s">
        <v>67</v>
      </c>
      <c r="C19" s="14">
        <v>46183.0</v>
      </c>
      <c r="D19" s="31" t="s">
        <v>35</v>
      </c>
    </row>
    <row r="20">
      <c r="A20" s="27">
        <v>2.0</v>
      </c>
      <c r="B20" s="28" t="s">
        <v>33</v>
      </c>
      <c r="C20" s="14">
        <v>46184.0</v>
      </c>
      <c r="D20" s="31" t="s">
        <v>35</v>
      </c>
    </row>
    <row r="21">
      <c r="A21" s="30"/>
      <c r="B21" s="34" t="s">
        <v>73</v>
      </c>
      <c r="C21" s="14">
        <v>46184.0</v>
      </c>
      <c r="D21" s="31" t="s">
        <v>35</v>
      </c>
    </row>
    <row r="22">
      <c r="A22" s="30"/>
      <c r="B22" s="34" t="s">
        <v>74</v>
      </c>
      <c r="C22" s="14">
        <v>46184.0</v>
      </c>
      <c r="D22" s="31" t="s">
        <v>35</v>
      </c>
    </row>
    <row r="23">
      <c r="A23" s="30"/>
      <c r="B23" s="34" t="s">
        <v>76</v>
      </c>
      <c r="C23" s="14">
        <v>46184.0</v>
      </c>
      <c r="D23" s="31" t="s">
        <v>35</v>
      </c>
    </row>
    <row r="24">
      <c r="A24" s="30"/>
      <c r="B24" s="34" t="s">
        <v>79</v>
      </c>
      <c r="C24" s="14">
        <v>46184.0</v>
      </c>
      <c r="D24" s="31" t="s">
        <v>35</v>
      </c>
    </row>
    <row r="25">
      <c r="A25" s="30"/>
      <c r="B25" s="34" t="s">
        <v>82</v>
      </c>
      <c r="C25" s="14">
        <v>46184.0</v>
      </c>
      <c r="D25" s="31" t="s">
        <v>35</v>
      </c>
    </row>
    <row r="26">
      <c r="A26" s="30"/>
      <c r="B26" s="34" t="s">
        <v>85</v>
      </c>
      <c r="C26" s="14">
        <v>46184.0</v>
      </c>
      <c r="D26" s="31" t="s">
        <v>35</v>
      </c>
    </row>
    <row r="27">
      <c r="A27" s="30"/>
      <c r="B27" s="34" t="s">
        <v>87</v>
      </c>
      <c r="C27" s="14">
        <v>46184.0</v>
      </c>
      <c r="D27" s="31" t="s">
        <v>35</v>
      </c>
    </row>
    <row r="28">
      <c r="A28" s="30"/>
      <c r="B28" s="34" t="s">
        <v>90</v>
      </c>
      <c r="C28" s="14">
        <v>46184.0</v>
      </c>
      <c r="D28" s="31" t="s">
        <v>35</v>
      </c>
    </row>
    <row r="29">
      <c r="A29" s="30"/>
      <c r="B29" s="34" t="s">
        <v>93</v>
      </c>
      <c r="C29" s="14">
        <v>46184.0</v>
      </c>
      <c r="D29" s="31" t="s">
        <v>35</v>
      </c>
    </row>
    <row r="30">
      <c r="A30" s="30"/>
      <c r="B30" s="34" t="s">
        <v>95</v>
      </c>
      <c r="C30" s="14">
        <v>46184.0</v>
      </c>
      <c r="D30" s="31" t="s">
        <v>35</v>
      </c>
    </row>
    <row r="31">
      <c r="A31" s="30"/>
      <c r="B31" s="34" t="s">
        <v>98</v>
      </c>
      <c r="C31" s="14">
        <v>46184.0</v>
      </c>
      <c r="D31" s="31" t="s">
        <v>35</v>
      </c>
    </row>
    <row r="32">
      <c r="A32" s="30"/>
      <c r="B32" s="34" t="s">
        <v>100</v>
      </c>
      <c r="C32" s="14">
        <v>46184.0</v>
      </c>
      <c r="D32" s="31" t="s">
        <v>35</v>
      </c>
    </row>
    <row r="33">
      <c r="A33" s="30"/>
      <c r="B33" s="34" t="s">
        <v>101</v>
      </c>
      <c r="C33" s="14">
        <v>46184.0</v>
      </c>
      <c r="D33" s="31" t="s">
        <v>35</v>
      </c>
    </row>
    <row r="34">
      <c r="A34" s="37"/>
      <c r="B34" s="34" t="s">
        <v>106</v>
      </c>
      <c r="C34" s="14">
        <v>46184.0</v>
      </c>
      <c r="D34" s="31" t="s">
        <v>35</v>
      </c>
    </row>
    <row r="35">
      <c r="A35" s="27">
        <v>3.0</v>
      </c>
      <c r="B35" s="28" t="s">
        <v>109</v>
      </c>
      <c r="C35" s="42">
        <v>46189.0</v>
      </c>
      <c r="D35" s="31" t="s">
        <v>35</v>
      </c>
    </row>
    <row r="36">
      <c r="A36" s="30"/>
      <c r="B36" s="34" t="s">
        <v>112</v>
      </c>
      <c r="C36" s="42">
        <v>46189.0</v>
      </c>
      <c r="D36" s="31" t="s">
        <v>35</v>
      </c>
    </row>
    <row r="37">
      <c r="A37" s="30"/>
      <c r="B37" s="34" t="s">
        <v>116</v>
      </c>
      <c r="C37" s="42">
        <v>46189.0</v>
      </c>
      <c r="D37" s="31" t="s">
        <v>35</v>
      </c>
    </row>
    <row r="38">
      <c r="A38" s="30"/>
      <c r="B38" s="34" t="s">
        <v>118</v>
      </c>
      <c r="C38" s="42">
        <v>46189.0</v>
      </c>
      <c r="D38" s="31" t="s">
        <v>35</v>
      </c>
    </row>
    <row r="39">
      <c r="A39" s="30"/>
      <c r="B39" s="34" t="s">
        <v>122</v>
      </c>
      <c r="C39" s="42">
        <v>46189.0</v>
      </c>
      <c r="D39" s="31" t="s">
        <v>35</v>
      </c>
    </row>
    <row r="40">
      <c r="A40" s="30"/>
      <c r="B40" s="34" t="s">
        <v>126</v>
      </c>
      <c r="C40" s="42">
        <v>46189.0</v>
      </c>
      <c r="D40" s="31" t="s">
        <v>35</v>
      </c>
    </row>
    <row r="41">
      <c r="A41" s="30"/>
      <c r="B41" s="34" t="s">
        <v>127</v>
      </c>
      <c r="C41" s="42">
        <v>46189.0</v>
      </c>
      <c r="D41" s="31" t="s">
        <v>35</v>
      </c>
    </row>
    <row r="42">
      <c r="A42" s="30"/>
      <c r="B42" s="34" t="s">
        <v>130</v>
      </c>
      <c r="C42" s="42">
        <v>46189.0</v>
      </c>
      <c r="D42" s="31" t="s">
        <v>35</v>
      </c>
    </row>
    <row r="43">
      <c r="A43" s="30"/>
      <c r="B43" s="34" t="s">
        <v>132</v>
      </c>
      <c r="C43" s="42">
        <v>46189.0</v>
      </c>
      <c r="D43" s="31" t="s">
        <v>35</v>
      </c>
    </row>
    <row r="44">
      <c r="A44" s="30"/>
      <c r="B44" s="34" t="s">
        <v>133</v>
      </c>
      <c r="C44" s="42">
        <v>46189.0</v>
      </c>
      <c r="D44" s="31" t="s">
        <v>35</v>
      </c>
    </row>
    <row r="45">
      <c r="A45" s="30"/>
      <c r="B45" s="34" t="s">
        <v>138</v>
      </c>
      <c r="C45" s="42">
        <v>46189.0</v>
      </c>
      <c r="D45" s="31" t="s">
        <v>35</v>
      </c>
    </row>
    <row r="46">
      <c r="A46" s="30"/>
      <c r="B46" s="34" t="s">
        <v>141</v>
      </c>
      <c r="C46" s="42">
        <v>46189.0</v>
      </c>
      <c r="D46" s="31" t="s">
        <v>35</v>
      </c>
    </row>
    <row r="47">
      <c r="A47" s="37"/>
      <c r="B47" s="34" t="s">
        <v>145</v>
      </c>
      <c r="C47" s="42">
        <v>46189.0</v>
      </c>
      <c r="D47" s="31" t="s">
        <v>35</v>
      </c>
    </row>
    <row r="48">
      <c r="A48" s="27">
        <v>4.0</v>
      </c>
      <c r="B48" s="28" t="s">
        <v>147</v>
      </c>
      <c r="C48" s="14">
        <v>46190.0</v>
      </c>
      <c r="D48" s="31" t="s">
        <v>35</v>
      </c>
    </row>
    <row r="49">
      <c r="A49" s="30"/>
      <c r="B49" s="34" t="s">
        <v>149</v>
      </c>
      <c r="C49" s="14">
        <v>46190.0</v>
      </c>
      <c r="D49" s="31" t="s">
        <v>35</v>
      </c>
    </row>
    <row r="50">
      <c r="A50" s="30"/>
      <c r="B50" s="34" t="s">
        <v>152</v>
      </c>
      <c r="C50" s="14">
        <v>46190.0</v>
      </c>
      <c r="D50" s="31" t="s">
        <v>35</v>
      </c>
    </row>
    <row r="51">
      <c r="A51" s="30"/>
      <c r="B51" s="34" t="s">
        <v>154</v>
      </c>
      <c r="C51" s="14">
        <v>46190.0</v>
      </c>
      <c r="D51" s="31" t="s">
        <v>35</v>
      </c>
    </row>
    <row r="52">
      <c r="A52" s="30"/>
      <c r="B52" s="34" t="s">
        <v>157</v>
      </c>
      <c r="C52" s="14">
        <v>46190.0</v>
      </c>
      <c r="D52" s="31" t="s">
        <v>35</v>
      </c>
    </row>
    <row r="53">
      <c r="A53" s="30"/>
      <c r="B53" s="34" t="s">
        <v>159</v>
      </c>
      <c r="C53" s="14">
        <v>46190.0</v>
      </c>
      <c r="D53" s="31" t="s">
        <v>35</v>
      </c>
    </row>
    <row r="54">
      <c r="A54" s="30"/>
      <c r="B54" s="34" t="s">
        <v>161</v>
      </c>
      <c r="C54" s="14">
        <v>46190.0</v>
      </c>
      <c r="D54" s="31" t="s">
        <v>35</v>
      </c>
    </row>
    <row r="55">
      <c r="A55" s="30"/>
      <c r="B55" s="34" t="s">
        <v>163</v>
      </c>
      <c r="C55" s="14">
        <v>46191.0</v>
      </c>
      <c r="D55" s="31" t="s">
        <v>35</v>
      </c>
    </row>
    <row r="56">
      <c r="A56" s="30"/>
      <c r="B56" s="34" t="s">
        <v>164</v>
      </c>
      <c r="C56" s="14">
        <v>46191.0</v>
      </c>
      <c r="D56" s="31" t="s">
        <v>35</v>
      </c>
    </row>
    <row r="57">
      <c r="A57" s="30"/>
      <c r="B57" s="34" t="s">
        <v>167</v>
      </c>
      <c r="C57" s="14">
        <v>46191.0</v>
      </c>
      <c r="D57" s="31" t="s">
        <v>35</v>
      </c>
    </row>
    <row r="58">
      <c r="A58" s="30"/>
      <c r="B58" s="34" t="s">
        <v>168</v>
      </c>
      <c r="C58" s="14">
        <v>46191.0</v>
      </c>
      <c r="D58" s="31" t="s">
        <v>35</v>
      </c>
    </row>
    <row r="59">
      <c r="A59" s="30"/>
      <c r="B59" s="34" t="s">
        <v>169</v>
      </c>
      <c r="C59" s="14">
        <v>46191.0</v>
      </c>
      <c r="D59" s="31" t="s">
        <v>35</v>
      </c>
    </row>
    <row r="60">
      <c r="A60" s="37"/>
      <c r="B60" s="34" t="s">
        <v>170</v>
      </c>
      <c r="C60" s="14">
        <v>46191.0</v>
      </c>
      <c r="D60" s="31" t="s">
        <v>35</v>
      </c>
    </row>
    <row r="61">
      <c r="A61" s="27">
        <v>5.0</v>
      </c>
      <c r="B61" s="28" t="s">
        <v>173</v>
      </c>
      <c r="C61" s="14">
        <v>46192.0</v>
      </c>
      <c r="D61" s="31" t="s">
        <v>35</v>
      </c>
    </row>
    <row r="62">
      <c r="A62" s="30"/>
      <c r="B62" s="34" t="s">
        <v>174</v>
      </c>
      <c r="C62" s="14">
        <v>46192.0</v>
      </c>
      <c r="D62" s="31" t="s">
        <v>35</v>
      </c>
    </row>
    <row r="63">
      <c r="A63" s="30"/>
      <c r="B63" s="34" t="s">
        <v>176</v>
      </c>
      <c r="C63" s="14">
        <v>46192.0</v>
      </c>
      <c r="D63" s="31" t="s">
        <v>35</v>
      </c>
    </row>
    <row r="64">
      <c r="A64" s="30"/>
      <c r="B64" s="34" t="s">
        <v>178</v>
      </c>
      <c r="C64" s="14">
        <v>46192.0</v>
      </c>
      <c r="D64" s="31" t="s">
        <v>35</v>
      </c>
    </row>
    <row r="65">
      <c r="A65" s="30"/>
      <c r="B65" s="34" t="s">
        <v>179</v>
      </c>
      <c r="C65" s="14">
        <v>46192.0</v>
      </c>
      <c r="D65" s="31" t="s">
        <v>35</v>
      </c>
    </row>
    <row r="66">
      <c r="A66" s="30"/>
      <c r="B66" s="34" t="s">
        <v>180</v>
      </c>
      <c r="C66" s="14">
        <v>46192.0</v>
      </c>
      <c r="D66" s="31" t="s">
        <v>35</v>
      </c>
    </row>
    <row r="67">
      <c r="A67" s="30"/>
      <c r="B67" s="34" t="s">
        <v>184</v>
      </c>
      <c r="C67" s="14">
        <v>46192.0</v>
      </c>
      <c r="D67" s="31" t="s">
        <v>35</v>
      </c>
    </row>
    <row r="68">
      <c r="A68" s="30"/>
      <c r="B68" s="34" t="s">
        <v>186</v>
      </c>
      <c r="C68" s="14">
        <v>46192.0</v>
      </c>
      <c r="D68" s="31" t="s">
        <v>35</v>
      </c>
    </row>
    <row r="69">
      <c r="A69" s="30"/>
      <c r="B69" s="34" t="s">
        <v>188</v>
      </c>
      <c r="C69" s="14">
        <v>46192.0</v>
      </c>
      <c r="D69" s="31" t="s">
        <v>35</v>
      </c>
    </row>
    <row r="70">
      <c r="A70" s="30"/>
      <c r="B70" s="34" t="s">
        <v>190</v>
      </c>
      <c r="C70" s="14">
        <v>46192.0</v>
      </c>
      <c r="D70" s="31" t="s">
        <v>35</v>
      </c>
    </row>
    <row r="71">
      <c r="A71" s="30"/>
      <c r="B71" s="34" t="s">
        <v>191</v>
      </c>
      <c r="C71" s="14">
        <v>46192.0</v>
      </c>
      <c r="D71" s="31" t="s">
        <v>35</v>
      </c>
    </row>
    <row r="72">
      <c r="A72" s="30"/>
      <c r="B72" s="34" t="s">
        <v>193</v>
      </c>
      <c r="C72" s="14">
        <v>46192.0</v>
      </c>
      <c r="D72" s="31" t="s">
        <v>35</v>
      </c>
    </row>
    <row r="73">
      <c r="A73" s="37"/>
      <c r="B73" s="34" t="s">
        <v>195</v>
      </c>
      <c r="C73" s="14">
        <v>46192.0</v>
      </c>
      <c r="D73" s="31" t="s">
        <v>35</v>
      </c>
    </row>
    <row r="74">
      <c r="A74" s="27">
        <v>6.0</v>
      </c>
      <c r="B74" s="28" t="s">
        <v>198</v>
      </c>
      <c r="C74" s="14">
        <v>46193.0</v>
      </c>
      <c r="D74" s="31" t="s">
        <v>35</v>
      </c>
    </row>
    <row r="75">
      <c r="A75" s="30"/>
      <c r="B75" s="34" t="s">
        <v>200</v>
      </c>
      <c r="C75" s="14">
        <v>46193.0</v>
      </c>
      <c r="D75" s="31" t="s">
        <v>35</v>
      </c>
    </row>
    <row r="76">
      <c r="A76" s="30"/>
      <c r="B76" s="34" t="s">
        <v>201</v>
      </c>
      <c r="C76" s="14">
        <v>46193.0</v>
      </c>
      <c r="D76" s="31" t="s">
        <v>35</v>
      </c>
    </row>
    <row r="77">
      <c r="A77" s="30"/>
      <c r="B77" s="34" t="s">
        <v>202</v>
      </c>
      <c r="C77" s="14">
        <v>46193.0</v>
      </c>
      <c r="D77" s="31" t="s">
        <v>35</v>
      </c>
    </row>
    <row r="78">
      <c r="A78" s="30"/>
      <c r="B78" s="34" t="s">
        <v>205</v>
      </c>
      <c r="C78" s="14">
        <v>46193.0</v>
      </c>
      <c r="D78" s="31" t="s">
        <v>35</v>
      </c>
    </row>
    <row r="79">
      <c r="A79" s="30"/>
      <c r="B79" s="34" t="s">
        <v>207</v>
      </c>
      <c r="C79" s="14">
        <v>46193.0</v>
      </c>
      <c r="D79" s="31" t="s">
        <v>35</v>
      </c>
    </row>
    <row r="80">
      <c r="A80" s="30"/>
      <c r="B80" s="34" t="s">
        <v>208</v>
      </c>
      <c r="C80" s="14">
        <v>46193.0</v>
      </c>
      <c r="D80" s="31" t="s">
        <v>35</v>
      </c>
    </row>
    <row r="81">
      <c r="A81" s="30"/>
      <c r="B81" s="34" t="s">
        <v>211</v>
      </c>
      <c r="C81" s="14">
        <v>46193.0</v>
      </c>
      <c r="D81" s="31" t="s">
        <v>35</v>
      </c>
    </row>
    <row r="82">
      <c r="A82" s="30"/>
      <c r="B82" s="34" t="s">
        <v>212</v>
      </c>
      <c r="C82" s="14">
        <v>46193.0</v>
      </c>
      <c r="D82" s="31" t="s">
        <v>35</v>
      </c>
    </row>
    <row r="83">
      <c r="A83" s="37"/>
      <c r="B83" s="34" t="s">
        <v>214</v>
      </c>
      <c r="C83" s="14">
        <v>46193.0</v>
      </c>
      <c r="D83" s="31" t="s">
        <v>35</v>
      </c>
    </row>
    <row r="84">
      <c r="A84" s="27">
        <v>7.0</v>
      </c>
      <c r="B84" s="28" t="s">
        <v>216</v>
      </c>
      <c r="C84" s="42">
        <v>46185.0</v>
      </c>
      <c r="D84" s="31" t="s">
        <v>35</v>
      </c>
    </row>
    <row r="85">
      <c r="A85" s="30"/>
      <c r="B85" s="34" t="s">
        <v>218</v>
      </c>
      <c r="C85" s="42">
        <v>46185.0</v>
      </c>
      <c r="D85" s="31" t="s">
        <v>35</v>
      </c>
    </row>
    <row r="86">
      <c r="A86" s="30"/>
      <c r="B86" s="34" t="s">
        <v>220</v>
      </c>
      <c r="C86" s="42">
        <v>46185.0</v>
      </c>
      <c r="D86" s="31" t="s">
        <v>35</v>
      </c>
    </row>
    <row r="87">
      <c r="A87" s="30"/>
      <c r="B87" s="34" t="s">
        <v>221</v>
      </c>
      <c r="C87" s="42">
        <v>46185.0</v>
      </c>
      <c r="D87" s="31" t="s">
        <v>35</v>
      </c>
    </row>
    <row r="88">
      <c r="A88" s="30"/>
      <c r="B88" s="34" t="s">
        <v>222</v>
      </c>
      <c r="C88" s="42">
        <v>46185.0</v>
      </c>
      <c r="D88" s="31" t="s">
        <v>35</v>
      </c>
    </row>
    <row r="89">
      <c r="A89" s="30"/>
      <c r="B89" s="34" t="s">
        <v>227</v>
      </c>
      <c r="C89" s="42">
        <v>46185.0</v>
      </c>
      <c r="D89" s="31" t="s">
        <v>35</v>
      </c>
    </row>
    <row r="90">
      <c r="A90" s="30"/>
      <c r="B90" s="34" t="s">
        <v>228</v>
      </c>
      <c r="C90" s="42">
        <v>46185.0</v>
      </c>
      <c r="D90" s="31" t="s">
        <v>35</v>
      </c>
    </row>
    <row r="91">
      <c r="A91" s="30"/>
      <c r="B91" s="34" t="s">
        <v>230</v>
      </c>
      <c r="C91" s="42">
        <v>46185.0</v>
      </c>
      <c r="D91" s="31" t="s">
        <v>35</v>
      </c>
    </row>
    <row r="92">
      <c r="A92" s="30"/>
      <c r="B92" s="34" t="s">
        <v>232</v>
      </c>
      <c r="C92" s="42">
        <v>46185.0</v>
      </c>
      <c r="D92" s="31" t="s">
        <v>35</v>
      </c>
    </row>
    <row r="93">
      <c r="A93" s="30"/>
      <c r="B93" s="34" t="s">
        <v>235</v>
      </c>
      <c r="C93" s="42">
        <v>46185.0</v>
      </c>
      <c r="D93" s="31" t="s">
        <v>35</v>
      </c>
    </row>
    <row r="94">
      <c r="A94" s="30"/>
      <c r="B94" s="34" t="s">
        <v>236</v>
      </c>
      <c r="C94" s="42">
        <v>46185.0</v>
      </c>
      <c r="D94" s="31" t="s">
        <v>35</v>
      </c>
    </row>
    <row r="95">
      <c r="A95" s="30"/>
      <c r="B95" s="34" t="s">
        <v>237</v>
      </c>
      <c r="C95" s="42">
        <v>46185.0</v>
      </c>
      <c r="D95" s="31" t="s">
        <v>35</v>
      </c>
    </row>
    <row r="96">
      <c r="A96" s="37"/>
      <c r="B96" s="34" t="s">
        <v>240</v>
      </c>
      <c r="C96" s="42">
        <v>46185.0</v>
      </c>
      <c r="D96" s="31" t="s">
        <v>35</v>
      </c>
    </row>
    <row r="97">
      <c r="A97" s="27">
        <v>8.0</v>
      </c>
      <c r="B97" s="28" t="s">
        <v>241</v>
      </c>
      <c r="C97" s="42">
        <v>46186.0</v>
      </c>
      <c r="D97" s="31" t="s">
        <v>35</v>
      </c>
    </row>
    <row r="98">
      <c r="A98" s="30"/>
      <c r="B98" s="34" t="s">
        <v>243</v>
      </c>
      <c r="C98" s="42">
        <v>46186.0</v>
      </c>
      <c r="D98" s="31" t="s">
        <v>35</v>
      </c>
    </row>
    <row r="99">
      <c r="A99" s="30"/>
      <c r="B99" s="34" t="s">
        <v>246</v>
      </c>
      <c r="C99" s="42">
        <v>46186.0</v>
      </c>
      <c r="D99" s="31" t="s">
        <v>35</v>
      </c>
    </row>
    <row r="100">
      <c r="A100" s="30"/>
      <c r="B100" s="34" t="s">
        <v>247</v>
      </c>
      <c r="C100" s="42">
        <v>46186.0</v>
      </c>
      <c r="D100" s="31" t="s">
        <v>35</v>
      </c>
    </row>
    <row r="101">
      <c r="A101" s="30"/>
      <c r="B101" s="34" t="s">
        <v>248</v>
      </c>
      <c r="C101" s="42">
        <v>46186.0</v>
      </c>
      <c r="D101" s="31" t="s">
        <v>35</v>
      </c>
    </row>
    <row r="102">
      <c r="A102" s="30"/>
      <c r="B102" s="34" t="s">
        <v>251</v>
      </c>
      <c r="C102" s="42">
        <v>46186.0</v>
      </c>
      <c r="D102" s="31" t="s">
        <v>35</v>
      </c>
    </row>
    <row r="103">
      <c r="A103" s="30"/>
      <c r="B103" s="34" t="s">
        <v>252</v>
      </c>
      <c r="C103" s="42">
        <v>46186.0</v>
      </c>
      <c r="D103" s="31" t="s">
        <v>35</v>
      </c>
    </row>
    <row r="104">
      <c r="A104" s="30"/>
      <c r="B104" s="34" t="s">
        <v>255</v>
      </c>
      <c r="C104" s="42">
        <v>46186.0</v>
      </c>
      <c r="D104" s="31" t="s">
        <v>35</v>
      </c>
    </row>
    <row r="105">
      <c r="A105" s="30"/>
      <c r="B105" s="34" t="s">
        <v>256</v>
      </c>
      <c r="C105" s="42">
        <v>46186.0</v>
      </c>
      <c r="D105" s="31" t="s">
        <v>35</v>
      </c>
    </row>
    <row r="106">
      <c r="A106" s="30"/>
      <c r="B106" s="34" t="s">
        <v>257</v>
      </c>
      <c r="C106" s="42">
        <v>46186.0</v>
      </c>
      <c r="D106" s="31" t="s">
        <v>35</v>
      </c>
    </row>
    <row r="107">
      <c r="A107" s="30"/>
      <c r="B107" s="34" t="s">
        <v>260</v>
      </c>
      <c r="C107" s="42">
        <v>46186.0</v>
      </c>
      <c r="D107" s="31" t="s">
        <v>35</v>
      </c>
    </row>
    <row r="108">
      <c r="A108" s="37"/>
      <c r="B108" s="34" t="s">
        <v>262</v>
      </c>
      <c r="C108" s="42">
        <v>46186.0</v>
      </c>
      <c r="D108" s="31" t="s">
        <v>35</v>
      </c>
    </row>
    <row r="109">
      <c r="A109" s="27">
        <v>9.0</v>
      </c>
      <c r="B109" s="28" t="s">
        <v>265</v>
      </c>
      <c r="C109" s="42">
        <v>46188.0</v>
      </c>
      <c r="D109" s="31" t="s">
        <v>35</v>
      </c>
    </row>
    <row r="110">
      <c r="A110" s="30"/>
      <c r="B110" s="34" t="s">
        <v>266</v>
      </c>
      <c r="C110" s="42">
        <v>46188.0</v>
      </c>
      <c r="D110" s="31" t="s">
        <v>35</v>
      </c>
    </row>
    <row r="111">
      <c r="A111" s="30"/>
      <c r="B111" s="34" t="s">
        <v>268</v>
      </c>
      <c r="C111" s="42">
        <v>46188.0</v>
      </c>
      <c r="D111" s="31" t="s">
        <v>35</v>
      </c>
    </row>
    <row r="112">
      <c r="A112" s="30"/>
      <c r="B112" s="34" t="s">
        <v>270</v>
      </c>
      <c r="C112" s="42">
        <v>46188.0</v>
      </c>
      <c r="D112" s="31" t="s">
        <v>35</v>
      </c>
    </row>
    <row r="113">
      <c r="A113" s="30"/>
      <c r="B113" s="34" t="s">
        <v>271</v>
      </c>
      <c r="C113" s="42">
        <v>46188.0</v>
      </c>
      <c r="D113" s="31" t="s">
        <v>35</v>
      </c>
    </row>
    <row r="114">
      <c r="A114" s="30"/>
      <c r="B114" s="34" t="s">
        <v>274</v>
      </c>
      <c r="C114" s="42">
        <v>46188.0</v>
      </c>
      <c r="D114" s="31" t="s">
        <v>35</v>
      </c>
    </row>
    <row r="115">
      <c r="A115" s="30"/>
      <c r="B115" s="34" t="s">
        <v>275</v>
      </c>
      <c r="C115" s="42">
        <v>46188.0</v>
      </c>
      <c r="D115" s="31" t="s">
        <v>35</v>
      </c>
    </row>
    <row r="116">
      <c r="A116" s="30"/>
      <c r="B116" s="34" t="s">
        <v>276</v>
      </c>
      <c r="C116" s="42">
        <v>46188.0</v>
      </c>
      <c r="D116" s="31" t="s">
        <v>35</v>
      </c>
    </row>
    <row r="117">
      <c r="A117" s="30"/>
      <c r="B117" s="34" t="s">
        <v>281</v>
      </c>
      <c r="C117" s="42">
        <v>46188.0</v>
      </c>
      <c r="D117" s="31" t="s">
        <v>35</v>
      </c>
    </row>
    <row r="118">
      <c r="A118" s="30"/>
      <c r="B118" s="34" t="s">
        <v>282</v>
      </c>
      <c r="C118" s="42">
        <v>46188.0</v>
      </c>
      <c r="D118" s="31" t="s">
        <v>35</v>
      </c>
    </row>
    <row r="119">
      <c r="A119" s="30"/>
      <c r="B119" s="34" t="s">
        <v>285</v>
      </c>
      <c r="C119" s="42">
        <v>46188.0</v>
      </c>
      <c r="D119" s="31" t="s">
        <v>35</v>
      </c>
    </row>
    <row r="120">
      <c r="A120" s="30"/>
      <c r="B120" s="34" t="s">
        <v>286</v>
      </c>
      <c r="C120" s="42">
        <v>46188.0</v>
      </c>
      <c r="D120" s="31" t="s">
        <v>35</v>
      </c>
    </row>
    <row r="121">
      <c r="A121" s="30"/>
      <c r="B121" s="34" t="s">
        <v>288</v>
      </c>
      <c r="C121" s="42">
        <v>46188.0</v>
      </c>
      <c r="D121" s="31" t="s">
        <v>35</v>
      </c>
    </row>
    <row r="122">
      <c r="A122" s="37"/>
      <c r="B122" s="34" t="s">
        <v>290</v>
      </c>
      <c r="C122" s="42">
        <v>46188.0</v>
      </c>
      <c r="D122" s="31" t="s">
        <v>35</v>
      </c>
    </row>
    <row r="123">
      <c r="A123" s="27">
        <v>10.0</v>
      </c>
      <c r="B123" s="28" t="s">
        <v>291</v>
      </c>
      <c r="C123" s="14">
        <v>46196.0</v>
      </c>
      <c r="D123" s="31" t="s">
        <v>35</v>
      </c>
    </row>
    <row r="124">
      <c r="A124" s="30"/>
      <c r="B124" s="34" t="s">
        <v>294</v>
      </c>
      <c r="C124" s="14">
        <v>46196.0</v>
      </c>
      <c r="D124" s="31" t="s">
        <v>35</v>
      </c>
    </row>
    <row r="125">
      <c r="A125" s="30"/>
      <c r="B125" s="34" t="s">
        <v>295</v>
      </c>
      <c r="C125" s="14">
        <v>46196.0</v>
      </c>
      <c r="D125" s="31" t="s">
        <v>35</v>
      </c>
    </row>
    <row r="126">
      <c r="A126" s="30"/>
      <c r="B126" s="34" t="s">
        <v>296</v>
      </c>
      <c r="C126" s="14">
        <v>46196.0</v>
      </c>
      <c r="D126" s="31" t="s">
        <v>35</v>
      </c>
    </row>
    <row r="127">
      <c r="A127" s="30"/>
      <c r="B127" s="34" t="s">
        <v>301</v>
      </c>
      <c r="C127" s="14">
        <v>46196.0</v>
      </c>
      <c r="D127" s="31" t="s">
        <v>35</v>
      </c>
    </row>
    <row r="128">
      <c r="A128" s="30"/>
      <c r="B128" s="34" t="s">
        <v>302</v>
      </c>
      <c r="C128" s="14">
        <v>46196.0</v>
      </c>
      <c r="D128" s="31" t="s">
        <v>35</v>
      </c>
    </row>
    <row r="129">
      <c r="A129" s="30"/>
      <c r="B129" s="34" t="s">
        <v>304</v>
      </c>
      <c r="C129" s="14">
        <v>46196.0</v>
      </c>
      <c r="D129" s="31" t="s">
        <v>35</v>
      </c>
    </row>
    <row r="130">
      <c r="A130" s="30"/>
      <c r="B130" s="34" t="s">
        <v>306</v>
      </c>
      <c r="C130" s="14">
        <v>46196.0</v>
      </c>
      <c r="D130" s="31" t="s">
        <v>35</v>
      </c>
    </row>
    <row r="131">
      <c r="A131" s="30"/>
      <c r="B131" s="34" t="s">
        <v>307</v>
      </c>
      <c r="C131" s="14">
        <v>46196.0</v>
      </c>
      <c r="D131" s="31" t="s">
        <v>35</v>
      </c>
    </row>
    <row r="132">
      <c r="A132" s="30"/>
      <c r="B132" s="34" t="s">
        <v>309</v>
      </c>
      <c r="C132" s="14">
        <v>46196.0</v>
      </c>
      <c r="D132" s="31" t="s">
        <v>35</v>
      </c>
    </row>
    <row r="133">
      <c r="A133" s="30"/>
      <c r="B133" s="34" t="s">
        <v>311</v>
      </c>
      <c r="C133" s="14">
        <v>46196.0</v>
      </c>
      <c r="D133" s="31" t="s">
        <v>35</v>
      </c>
    </row>
    <row r="134">
      <c r="A134" s="30"/>
      <c r="B134" s="34" t="s">
        <v>312</v>
      </c>
      <c r="C134" s="14">
        <v>46196.0</v>
      </c>
      <c r="D134" s="31" t="s">
        <v>35</v>
      </c>
    </row>
    <row r="135">
      <c r="A135" s="37"/>
      <c r="B135" s="34" t="s">
        <v>313</v>
      </c>
      <c r="C135" s="14">
        <v>46196.0</v>
      </c>
      <c r="D135" s="31" t="s">
        <v>35</v>
      </c>
    </row>
    <row r="136">
      <c r="A136" s="27">
        <v>11.0</v>
      </c>
      <c r="B136" s="28" t="s">
        <v>317</v>
      </c>
      <c r="C136" s="14">
        <v>46197.0</v>
      </c>
      <c r="D136" s="31" t="s">
        <v>35</v>
      </c>
    </row>
    <row r="137">
      <c r="A137" s="30"/>
      <c r="B137" s="34" t="s">
        <v>319</v>
      </c>
      <c r="C137" s="14">
        <v>46197.0</v>
      </c>
      <c r="D137" s="31" t="s">
        <v>35</v>
      </c>
    </row>
    <row r="138">
      <c r="A138" s="30"/>
      <c r="B138" s="34" t="s">
        <v>322</v>
      </c>
      <c r="C138" s="14">
        <v>46197.0</v>
      </c>
      <c r="D138" s="31" t="s">
        <v>35</v>
      </c>
    </row>
    <row r="139">
      <c r="A139" s="30"/>
      <c r="B139" s="34" t="s">
        <v>323</v>
      </c>
      <c r="C139" s="14">
        <v>46197.0</v>
      </c>
      <c r="D139" s="31" t="s">
        <v>35</v>
      </c>
    </row>
    <row r="140">
      <c r="A140" s="30"/>
      <c r="B140" s="34" t="s">
        <v>324</v>
      </c>
      <c r="C140" s="14">
        <v>46197.0</v>
      </c>
      <c r="D140" s="31" t="s">
        <v>35</v>
      </c>
    </row>
    <row r="141">
      <c r="A141" s="30"/>
      <c r="B141" s="34" t="s">
        <v>327</v>
      </c>
      <c r="C141" s="14">
        <v>46197.0</v>
      </c>
      <c r="D141" s="31" t="s">
        <v>35</v>
      </c>
    </row>
    <row r="142">
      <c r="A142" s="30"/>
      <c r="B142" s="34" t="s">
        <v>328</v>
      </c>
      <c r="C142" s="14">
        <v>46197.0</v>
      </c>
      <c r="D142" s="31" t="s">
        <v>35</v>
      </c>
    </row>
    <row r="143">
      <c r="A143" s="30"/>
      <c r="B143" s="34" t="s">
        <v>330</v>
      </c>
      <c r="C143" s="14">
        <v>46197.0</v>
      </c>
      <c r="D143" s="31" t="s">
        <v>35</v>
      </c>
    </row>
    <row r="144">
      <c r="A144" s="30"/>
      <c r="B144" s="34" t="s">
        <v>332</v>
      </c>
      <c r="C144" s="14">
        <v>46197.0</v>
      </c>
      <c r="D144" s="31" t="s">
        <v>35</v>
      </c>
    </row>
    <row r="145">
      <c r="A145" s="30"/>
      <c r="B145" s="34" t="s">
        <v>333</v>
      </c>
      <c r="C145" s="14">
        <v>46197.0</v>
      </c>
      <c r="D145" s="31" t="s">
        <v>35</v>
      </c>
    </row>
    <row r="146">
      <c r="A146" s="30"/>
      <c r="B146" s="34" t="s">
        <v>336</v>
      </c>
      <c r="C146" s="14">
        <v>46197.0</v>
      </c>
      <c r="D146" s="31" t="s">
        <v>35</v>
      </c>
    </row>
    <row r="147">
      <c r="A147" s="30"/>
      <c r="B147" s="34" t="s">
        <v>337</v>
      </c>
      <c r="C147" s="14">
        <v>46197.0</v>
      </c>
      <c r="D147" s="31" t="s">
        <v>35</v>
      </c>
    </row>
    <row r="148">
      <c r="A148" s="37"/>
      <c r="B148" s="34" t="s">
        <v>339</v>
      </c>
      <c r="C148" s="14">
        <v>46197.0</v>
      </c>
      <c r="D148" s="31" t="s">
        <v>35</v>
      </c>
    </row>
    <row r="149">
      <c r="A149" s="27">
        <v>12.0</v>
      </c>
      <c r="B149" s="28" t="s">
        <v>342</v>
      </c>
      <c r="C149" s="14">
        <v>46198.0</v>
      </c>
      <c r="D149" s="31" t="s">
        <v>35</v>
      </c>
    </row>
    <row r="150">
      <c r="A150" s="30"/>
      <c r="B150" s="34" t="s">
        <v>343</v>
      </c>
      <c r="C150" s="14">
        <v>46198.0</v>
      </c>
      <c r="D150" s="31" t="s">
        <v>35</v>
      </c>
    </row>
    <row r="151">
      <c r="A151" s="30"/>
      <c r="B151" s="34" t="s">
        <v>346</v>
      </c>
      <c r="C151" s="14">
        <v>46198.0</v>
      </c>
      <c r="D151" s="31" t="s">
        <v>35</v>
      </c>
    </row>
    <row r="152">
      <c r="A152" s="30"/>
      <c r="B152" s="34" t="s">
        <v>347</v>
      </c>
      <c r="C152" s="14">
        <v>46198.0</v>
      </c>
      <c r="D152" s="31" t="s">
        <v>35</v>
      </c>
    </row>
    <row r="153">
      <c r="A153" s="30"/>
      <c r="B153" s="34" t="s">
        <v>349</v>
      </c>
      <c r="C153" s="14">
        <v>46198.0</v>
      </c>
      <c r="D153" s="31" t="s">
        <v>35</v>
      </c>
    </row>
    <row r="154">
      <c r="A154" s="30"/>
      <c r="B154" s="34" t="s">
        <v>351</v>
      </c>
      <c r="C154" s="14">
        <v>46198.0</v>
      </c>
      <c r="D154" s="31" t="s">
        <v>35</v>
      </c>
    </row>
    <row r="155">
      <c r="A155" s="30"/>
      <c r="B155" s="34" t="s">
        <v>352</v>
      </c>
      <c r="C155" s="14">
        <v>46198.0</v>
      </c>
      <c r="D155" s="31" t="s">
        <v>35</v>
      </c>
    </row>
    <row r="156">
      <c r="A156" s="30"/>
      <c r="B156" s="34" t="s">
        <v>355</v>
      </c>
      <c r="C156" s="14">
        <v>46198.0</v>
      </c>
      <c r="D156" s="31" t="s">
        <v>35</v>
      </c>
    </row>
    <row r="157">
      <c r="A157" s="30"/>
      <c r="B157" s="34" t="s">
        <v>356</v>
      </c>
      <c r="C157" s="14">
        <v>46198.0</v>
      </c>
      <c r="D157" s="31" t="s">
        <v>35</v>
      </c>
    </row>
    <row r="158">
      <c r="A158" s="30"/>
      <c r="B158" s="34" t="s">
        <v>358</v>
      </c>
      <c r="C158" s="14">
        <v>46198.0</v>
      </c>
      <c r="D158" s="31" t="s">
        <v>35</v>
      </c>
    </row>
    <row r="159">
      <c r="A159" s="30"/>
      <c r="B159" s="34" t="s">
        <v>361</v>
      </c>
      <c r="C159" s="14">
        <v>46198.0</v>
      </c>
      <c r="D159" s="31" t="s">
        <v>35</v>
      </c>
    </row>
    <row r="160">
      <c r="A160" s="30"/>
      <c r="B160" s="34" t="s">
        <v>362</v>
      </c>
      <c r="C160" s="14">
        <v>46198.0</v>
      </c>
      <c r="D160" s="31" t="s">
        <v>35</v>
      </c>
    </row>
    <row r="161">
      <c r="A161" s="30"/>
      <c r="B161" s="34" t="s">
        <v>364</v>
      </c>
      <c r="C161" s="14">
        <v>46198.0</v>
      </c>
      <c r="D161" s="31" t="s">
        <v>35</v>
      </c>
    </row>
    <row r="162">
      <c r="A162" s="30"/>
      <c r="B162" s="34" t="s">
        <v>366</v>
      </c>
      <c r="C162" s="14">
        <v>46198.0</v>
      </c>
      <c r="D162" s="31" t="s">
        <v>35</v>
      </c>
    </row>
    <row r="163">
      <c r="A163" s="37"/>
      <c r="B163" s="34" t="s">
        <v>367</v>
      </c>
      <c r="C163" s="14">
        <v>46198.0</v>
      </c>
      <c r="D163" s="31" t="s">
        <v>35</v>
      </c>
    </row>
    <row r="164">
      <c r="A164" s="27">
        <v>13.0</v>
      </c>
      <c r="B164" s="28" t="s">
        <v>370</v>
      </c>
      <c r="C164" s="14">
        <v>46193.0</v>
      </c>
      <c r="D164" s="31" t="s">
        <v>35</v>
      </c>
    </row>
    <row r="165">
      <c r="A165" s="30"/>
      <c r="B165" s="34" t="s">
        <v>371</v>
      </c>
      <c r="C165" s="14">
        <v>46193.0</v>
      </c>
      <c r="D165" s="31" t="s">
        <v>35</v>
      </c>
    </row>
    <row r="166">
      <c r="A166" s="30"/>
      <c r="B166" s="34" t="s">
        <v>372</v>
      </c>
      <c r="C166" s="14">
        <v>46193.0</v>
      </c>
      <c r="D166" s="31" t="s">
        <v>35</v>
      </c>
    </row>
    <row r="167">
      <c r="A167" s="30"/>
      <c r="B167" s="34" t="s">
        <v>377</v>
      </c>
      <c r="C167" s="14">
        <v>46193.0</v>
      </c>
      <c r="D167" s="31" t="s">
        <v>35</v>
      </c>
    </row>
    <row r="168">
      <c r="A168" s="30"/>
      <c r="B168" s="34" t="s">
        <v>379</v>
      </c>
      <c r="C168" s="14">
        <v>46193.0</v>
      </c>
      <c r="D168" s="31" t="s">
        <v>35</v>
      </c>
    </row>
    <row r="169">
      <c r="A169" s="30"/>
      <c r="B169" s="34" t="s">
        <v>380</v>
      </c>
      <c r="C169" s="14">
        <v>46193.0</v>
      </c>
      <c r="D169" s="31" t="s">
        <v>35</v>
      </c>
    </row>
    <row r="170">
      <c r="A170" s="30"/>
      <c r="B170" s="34" t="s">
        <v>382</v>
      </c>
      <c r="C170" s="14">
        <v>46193.0</v>
      </c>
      <c r="D170" s="31" t="s">
        <v>35</v>
      </c>
    </row>
    <row r="171">
      <c r="A171" s="30"/>
      <c r="B171" s="34" t="s">
        <v>384</v>
      </c>
      <c r="C171" s="14">
        <v>46193.0</v>
      </c>
      <c r="D171" s="31" t="s">
        <v>35</v>
      </c>
    </row>
    <row r="172">
      <c r="A172" s="30"/>
      <c r="B172" s="34" t="s">
        <v>385</v>
      </c>
      <c r="C172" s="14">
        <v>46193.0</v>
      </c>
      <c r="D172" s="31" t="s">
        <v>35</v>
      </c>
    </row>
    <row r="173">
      <c r="A173" s="30"/>
      <c r="B173" s="34" t="s">
        <v>388</v>
      </c>
      <c r="C173" s="14">
        <v>46193.0</v>
      </c>
      <c r="D173" s="31" t="s">
        <v>35</v>
      </c>
    </row>
    <row r="174">
      <c r="A174" s="30"/>
      <c r="B174" s="34" t="s">
        <v>389</v>
      </c>
      <c r="C174" s="14">
        <v>46193.0</v>
      </c>
      <c r="D174" s="31" t="s">
        <v>35</v>
      </c>
    </row>
    <row r="175">
      <c r="A175" s="30"/>
      <c r="B175" s="34" t="s">
        <v>390</v>
      </c>
      <c r="C175" s="14">
        <v>46193.0</v>
      </c>
      <c r="D175" s="31" t="s">
        <v>35</v>
      </c>
    </row>
    <row r="176">
      <c r="A176" s="37"/>
      <c r="B176" s="34" t="s">
        <v>393</v>
      </c>
      <c r="C176" s="14">
        <v>46193.0</v>
      </c>
      <c r="D176" s="31" t="s">
        <v>35</v>
      </c>
    </row>
    <row r="177">
      <c r="A177" s="27">
        <v>14.0</v>
      </c>
      <c r="B177" s="28" t="s">
        <v>395</v>
      </c>
      <c r="C177" s="14">
        <v>46195.0</v>
      </c>
      <c r="D177" s="31" t="s">
        <v>35</v>
      </c>
    </row>
    <row r="178">
      <c r="A178" s="30"/>
      <c r="B178" s="34" t="s">
        <v>398</v>
      </c>
      <c r="C178" s="14">
        <v>46195.0</v>
      </c>
      <c r="D178" s="31" t="s">
        <v>35</v>
      </c>
    </row>
    <row r="179">
      <c r="A179" s="30"/>
      <c r="B179" s="34" t="s">
        <v>399</v>
      </c>
      <c r="C179" s="14">
        <v>46195.0</v>
      </c>
      <c r="D179" s="31" t="s">
        <v>35</v>
      </c>
    </row>
    <row r="180">
      <c r="A180" s="30"/>
      <c r="B180" s="34" t="s">
        <v>401</v>
      </c>
      <c r="C180" s="14">
        <v>46195.0</v>
      </c>
      <c r="D180" s="31" t="s">
        <v>35</v>
      </c>
    </row>
    <row r="181">
      <c r="A181" s="30"/>
      <c r="B181" s="34" t="s">
        <v>403</v>
      </c>
      <c r="C181" s="14">
        <v>46195.0</v>
      </c>
      <c r="D181" s="31" t="s">
        <v>35</v>
      </c>
    </row>
    <row r="182">
      <c r="A182" s="30"/>
      <c r="B182" s="34" t="s">
        <v>404</v>
      </c>
      <c r="C182" s="14">
        <v>46195.0</v>
      </c>
      <c r="D182" s="31" t="s">
        <v>35</v>
      </c>
    </row>
    <row r="183">
      <c r="A183" s="30"/>
      <c r="B183" s="34" t="s">
        <v>407</v>
      </c>
      <c r="C183" s="14">
        <v>46195.0</v>
      </c>
      <c r="D183" s="31" t="s">
        <v>35</v>
      </c>
    </row>
    <row r="184">
      <c r="A184" s="30"/>
      <c r="B184" s="34" t="s">
        <v>408</v>
      </c>
      <c r="C184" s="14">
        <v>46195.0</v>
      </c>
      <c r="D184" s="31" t="s">
        <v>35</v>
      </c>
    </row>
    <row r="185">
      <c r="A185" s="30"/>
      <c r="B185" s="34" t="s">
        <v>409</v>
      </c>
      <c r="C185" s="14">
        <v>46195.0</v>
      </c>
      <c r="D185" s="31" t="s">
        <v>35</v>
      </c>
    </row>
    <row r="186">
      <c r="A186" s="37"/>
      <c r="B186" s="34" t="s">
        <v>412</v>
      </c>
      <c r="C186" s="14">
        <v>46195.0</v>
      </c>
      <c r="D186" s="31" t="s">
        <v>35</v>
      </c>
    </row>
    <row r="187">
      <c r="A187" s="27">
        <v>15.0</v>
      </c>
      <c r="B187" s="28" t="s">
        <v>417</v>
      </c>
      <c r="C187" s="14">
        <v>46199.0</v>
      </c>
      <c r="D187" s="31" t="s">
        <v>35</v>
      </c>
    </row>
    <row r="188">
      <c r="A188" s="30"/>
      <c r="B188" s="34" t="s">
        <v>420</v>
      </c>
      <c r="C188" s="14">
        <v>46199.0</v>
      </c>
      <c r="D188" s="31" t="s">
        <v>35</v>
      </c>
    </row>
    <row r="189">
      <c r="A189" s="30"/>
      <c r="B189" s="34" t="s">
        <v>421</v>
      </c>
      <c r="C189" s="14">
        <v>46199.0</v>
      </c>
      <c r="D189" s="31" t="s">
        <v>35</v>
      </c>
    </row>
    <row r="190">
      <c r="A190" s="30"/>
      <c r="B190" s="34" t="s">
        <v>424</v>
      </c>
      <c r="C190" s="14">
        <v>46199.0</v>
      </c>
      <c r="D190" s="31" t="s">
        <v>35</v>
      </c>
    </row>
    <row r="191">
      <c r="A191" s="30"/>
      <c r="B191" s="34" t="s">
        <v>425</v>
      </c>
      <c r="C191" s="14">
        <v>46199.0</v>
      </c>
      <c r="D191" s="31" t="s">
        <v>35</v>
      </c>
    </row>
    <row r="192">
      <c r="A192" s="30"/>
      <c r="B192" s="34" t="s">
        <v>428</v>
      </c>
      <c r="C192" s="14">
        <v>46199.0</v>
      </c>
      <c r="D192" s="31" t="s">
        <v>35</v>
      </c>
    </row>
    <row r="193">
      <c r="A193" s="30"/>
      <c r="B193" s="34" t="s">
        <v>429</v>
      </c>
      <c r="C193" s="14">
        <v>46199.0</v>
      </c>
      <c r="D193" s="31" t="s">
        <v>35</v>
      </c>
    </row>
    <row r="194">
      <c r="A194" s="30"/>
      <c r="B194" s="34" t="s">
        <v>433</v>
      </c>
      <c r="C194" s="14">
        <v>46199.0</v>
      </c>
      <c r="D194" s="31" t="s">
        <v>35</v>
      </c>
    </row>
    <row r="195">
      <c r="A195" s="30"/>
      <c r="B195" s="34" t="s">
        <v>434</v>
      </c>
      <c r="C195" s="14">
        <v>46199.0</v>
      </c>
      <c r="D195" s="31" t="s">
        <v>35</v>
      </c>
    </row>
    <row r="196">
      <c r="A196" s="30"/>
      <c r="B196" s="34" t="s">
        <v>437</v>
      </c>
      <c r="C196" s="14">
        <v>46199.0</v>
      </c>
      <c r="D196" s="31" t="s">
        <v>35</v>
      </c>
    </row>
    <row r="197">
      <c r="A197" s="37"/>
      <c r="B197" s="34" t="s">
        <v>438</v>
      </c>
      <c r="C197" s="14">
        <v>46199.0</v>
      </c>
      <c r="D197" s="31" t="s">
        <v>35</v>
      </c>
    </row>
    <row r="198">
      <c r="A198" s="27">
        <v>16.0</v>
      </c>
      <c r="B198" s="28" t="s">
        <v>96</v>
      </c>
      <c r="C198" s="14">
        <v>46200.0</v>
      </c>
      <c r="D198" s="31" t="s">
        <v>35</v>
      </c>
    </row>
    <row r="199">
      <c r="A199" s="30"/>
      <c r="B199" s="34" t="s">
        <v>441</v>
      </c>
      <c r="C199" s="14">
        <v>46200.0</v>
      </c>
      <c r="D199" s="31" t="s">
        <v>35</v>
      </c>
    </row>
    <row r="200">
      <c r="A200" s="30"/>
      <c r="B200" s="34" t="s">
        <v>442</v>
      </c>
      <c r="C200" s="14">
        <v>46200.0</v>
      </c>
      <c r="D200" s="31" t="s">
        <v>35</v>
      </c>
    </row>
    <row r="201">
      <c r="A201" s="30"/>
      <c r="B201" s="34" t="s">
        <v>445</v>
      </c>
      <c r="C201" s="14">
        <v>46200.0</v>
      </c>
      <c r="D201" s="31" t="s">
        <v>35</v>
      </c>
    </row>
    <row r="202">
      <c r="A202" s="30"/>
      <c r="B202" s="34" t="s">
        <v>446</v>
      </c>
      <c r="C202" s="14">
        <v>46200.0</v>
      </c>
      <c r="D202" s="31" t="s">
        <v>35</v>
      </c>
    </row>
    <row r="203">
      <c r="A203" s="30"/>
      <c r="B203" s="34" t="s">
        <v>449</v>
      </c>
      <c r="C203" s="14">
        <v>46200.0</v>
      </c>
      <c r="D203" s="31" t="s">
        <v>35</v>
      </c>
    </row>
    <row r="204">
      <c r="A204" s="30"/>
      <c r="B204" s="34" t="s">
        <v>451</v>
      </c>
      <c r="C204" s="14">
        <v>46200.0</v>
      </c>
      <c r="D204" s="31" t="s">
        <v>35</v>
      </c>
    </row>
    <row r="205">
      <c r="A205" s="30"/>
      <c r="B205" s="34" t="s">
        <v>452</v>
      </c>
      <c r="C205" s="14">
        <v>46200.0</v>
      </c>
      <c r="D205" s="31" t="s">
        <v>35</v>
      </c>
    </row>
    <row r="206">
      <c r="A206" s="30"/>
      <c r="B206" s="34" t="s">
        <v>455</v>
      </c>
      <c r="C206" s="14">
        <v>46200.0</v>
      </c>
      <c r="D206" s="31" t="s">
        <v>35</v>
      </c>
    </row>
    <row r="207">
      <c r="A207" s="30"/>
      <c r="B207" s="34" t="s">
        <v>456</v>
      </c>
      <c r="C207" s="14">
        <v>46200.0</v>
      </c>
      <c r="D207" s="31" t="s">
        <v>35</v>
      </c>
    </row>
    <row r="208">
      <c r="A208" s="30"/>
      <c r="B208" s="34" t="s">
        <v>457</v>
      </c>
      <c r="C208" s="14">
        <v>46200.0</v>
      </c>
      <c r="D208" s="31" t="s">
        <v>35</v>
      </c>
    </row>
    <row r="209">
      <c r="A209" s="30"/>
      <c r="B209" s="34" t="s">
        <v>460</v>
      </c>
      <c r="C209" s="14">
        <v>46200.0</v>
      </c>
      <c r="D209" s="31" t="s">
        <v>35</v>
      </c>
    </row>
    <row r="210">
      <c r="A210" s="30"/>
      <c r="B210" s="34" t="s">
        <v>461</v>
      </c>
      <c r="C210" s="14">
        <v>46200.0</v>
      </c>
      <c r="D210" s="31" t="s">
        <v>35</v>
      </c>
    </row>
    <row r="211">
      <c r="A211" s="37"/>
      <c r="B211" s="34" t="s">
        <v>462</v>
      </c>
      <c r="C211" s="14">
        <v>46200.0</v>
      </c>
      <c r="D211" s="31" t="s">
        <v>35</v>
      </c>
    </row>
    <row r="212">
      <c r="A212" s="27">
        <v>17.0</v>
      </c>
      <c r="B212" s="28" t="s">
        <v>102</v>
      </c>
      <c r="C212" s="14">
        <v>46202.0</v>
      </c>
      <c r="D212" s="31" t="s">
        <v>35</v>
      </c>
    </row>
    <row r="213">
      <c r="A213" s="30"/>
      <c r="B213" s="34" t="s">
        <v>468</v>
      </c>
      <c r="C213" s="14">
        <v>46202.0</v>
      </c>
      <c r="D213" s="31" t="s">
        <v>35</v>
      </c>
    </row>
    <row r="214">
      <c r="A214" s="30"/>
      <c r="B214" s="34" t="s">
        <v>469</v>
      </c>
      <c r="C214" s="14">
        <v>46202.0</v>
      </c>
      <c r="D214" s="31" t="s">
        <v>35</v>
      </c>
    </row>
    <row r="215">
      <c r="A215" s="30"/>
      <c r="B215" s="34" t="s">
        <v>470</v>
      </c>
      <c r="C215" s="14">
        <v>46202.0</v>
      </c>
      <c r="D215" s="31" t="s">
        <v>35</v>
      </c>
    </row>
    <row r="216">
      <c r="A216" s="30"/>
      <c r="B216" s="34" t="s">
        <v>473</v>
      </c>
      <c r="C216" s="14">
        <v>46202.0</v>
      </c>
      <c r="D216" s="31" t="s">
        <v>35</v>
      </c>
    </row>
    <row r="217">
      <c r="A217" s="30"/>
      <c r="B217" s="34" t="s">
        <v>474</v>
      </c>
      <c r="C217" s="14">
        <v>46202.0</v>
      </c>
      <c r="D217" s="31" t="s">
        <v>35</v>
      </c>
    </row>
    <row r="218">
      <c r="A218" s="30"/>
      <c r="B218" s="34" t="s">
        <v>475</v>
      </c>
      <c r="C218" s="14">
        <v>46202.0</v>
      </c>
      <c r="D218" s="31" t="s">
        <v>35</v>
      </c>
    </row>
    <row r="219">
      <c r="A219" s="30"/>
      <c r="B219" s="34" t="s">
        <v>478</v>
      </c>
      <c r="C219" s="14">
        <v>46202.0</v>
      </c>
      <c r="D219" s="31" t="s">
        <v>35</v>
      </c>
    </row>
    <row r="220">
      <c r="A220" s="30"/>
      <c r="B220" s="34" t="s">
        <v>479</v>
      </c>
      <c r="C220" s="14">
        <v>46202.0</v>
      </c>
      <c r="D220" s="31" t="s">
        <v>35</v>
      </c>
    </row>
    <row r="221">
      <c r="A221" s="30"/>
      <c r="B221" s="34" t="s">
        <v>481</v>
      </c>
      <c r="C221" s="14">
        <v>46202.0</v>
      </c>
      <c r="D221" s="31" t="s">
        <v>35</v>
      </c>
    </row>
    <row r="222">
      <c r="A222" s="30"/>
      <c r="B222" s="34" t="s">
        <v>483</v>
      </c>
      <c r="C222" s="14">
        <v>46202.0</v>
      </c>
      <c r="D222" s="31" t="s">
        <v>35</v>
      </c>
    </row>
    <row r="223">
      <c r="A223" s="30"/>
      <c r="B223" s="34" t="s">
        <v>484</v>
      </c>
      <c r="C223" s="14">
        <v>46202.0</v>
      </c>
      <c r="D223" s="31" t="s">
        <v>35</v>
      </c>
    </row>
    <row r="224">
      <c r="A224" s="37"/>
      <c r="B224" s="34" t="s">
        <v>489</v>
      </c>
      <c r="C224" s="14">
        <v>46202.0</v>
      </c>
      <c r="D224" s="31" t="s">
        <v>35</v>
      </c>
    </row>
    <row r="225">
      <c r="A225" s="27">
        <v>18.0</v>
      </c>
      <c r="B225" s="28" t="s">
        <v>107</v>
      </c>
      <c r="C225" s="14">
        <v>46203.0</v>
      </c>
      <c r="D225" s="31" t="s">
        <v>35</v>
      </c>
    </row>
    <row r="226">
      <c r="A226" s="30"/>
      <c r="B226" s="34" t="s">
        <v>492</v>
      </c>
      <c r="C226" s="14">
        <v>46203.0</v>
      </c>
      <c r="D226" s="31" t="s">
        <v>35</v>
      </c>
    </row>
    <row r="227">
      <c r="A227" s="30"/>
      <c r="B227" s="34" t="s">
        <v>493</v>
      </c>
      <c r="C227" s="14">
        <v>46203.0</v>
      </c>
      <c r="D227" s="31" t="s">
        <v>35</v>
      </c>
    </row>
    <row r="228">
      <c r="A228" s="30"/>
      <c r="B228" s="34" t="s">
        <v>494</v>
      </c>
      <c r="C228" s="14">
        <v>46203.0</v>
      </c>
      <c r="D228" s="31" t="s">
        <v>35</v>
      </c>
    </row>
    <row r="229">
      <c r="A229" s="30"/>
      <c r="B229" s="34" t="s">
        <v>497</v>
      </c>
      <c r="C229" s="14">
        <v>46203.0</v>
      </c>
      <c r="D229" s="31" t="s">
        <v>35</v>
      </c>
    </row>
    <row r="230">
      <c r="A230" s="30"/>
      <c r="B230" s="34" t="s">
        <v>498</v>
      </c>
      <c r="C230" s="14">
        <v>46203.0</v>
      </c>
      <c r="D230" s="31" t="s">
        <v>35</v>
      </c>
    </row>
    <row r="231">
      <c r="A231" s="30"/>
      <c r="B231" s="34" t="s">
        <v>500</v>
      </c>
      <c r="C231" s="14">
        <v>46203.0</v>
      </c>
      <c r="D231" s="31" t="s">
        <v>35</v>
      </c>
    </row>
    <row r="232">
      <c r="A232" s="30"/>
      <c r="B232" s="34" t="s">
        <v>502</v>
      </c>
      <c r="C232" s="14">
        <v>46203.0</v>
      </c>
      <c r="D232" s="31" t="s">
        <v>35</v>
      </c>
    </row>
    <row r="233">
      <c r="A233" s="30"/>
      <c r="B233" s="34" t="s">
        <v>503</v>
      </c>
      <c r="C233" s="14">
        <v>46203.0</v>
      </c>
      <c r="D233" s="31" t="s">
        <v>35</v>
      </c>
    </row>
    <row r="234">
      <c r="A234" s="30"/>
      <c r="B234" s="34" t="s">
        <v>505</v>
      </c>
      <c r="C234" s="14">
        <v>46203.0</v>
      </c>
      <c r="D234" s="31" t="s">
        <v>35</v>
      </c>
    </row>
    <row r="235">
      <c r="A235" s="30"/>
      <c r="B235" s="34" t="s">
        <v>507</v>
      </c>
      <c r="C235" s="14">
        <v>46203.0</v>
      </c>
      <c r="D235" s="31" t="s">
        <v>35</v>
      </c>
    </row>
    <row r="236">
      <c r="A236" s="30"/>
      <c r="B236" s="34" t="s">
        <v>508</v>
      </c>
      <c r="C236" s="14">
        <v>46203.0</v>
      </c>
      <c r="D236" s="31" t="s">
        <v>35</v>
      </c>
    </row>
    <row r="237">
      <c r="A237" s="30"/>
      <c r="B237" s="34" t="s">
        <v>511</v>
      </c>
      <c r="C237" s="14">
        <v>46203.0</v>
      </c>
      <c r="D237" s="31" t="s">
        <v>35</v>
      </c>
    </row>
    <row r="238">
      <c r="A238" s="30"/>
      <c r="B238" s="34" t="s">
        <v>512</v>
      </c>
      <c r="C238" s="14">
        <v>46203.0</v>
      </c>
      <c r="D238" s="31" t="s">
        <v>35</v>
      </c>
    </row>
    <row r="239">
      <c r="A239" s="37"/>
      <c r="B239" s="34" t="s">
        <v>513</v>
      </c>
      <c r="C239" s="14">
        <v>46203.0</v>
      </c>
      <c r="D239" s="31" t="s">
        <v>35</v>
      </c>
    </row>
    <row r="240">
      <c r="A240" s="27">
        <v>19.0</v>
      </c>
      <c r="B240" s="28" t="s">
        <v>110</v>
      </c>
      <c r="C240" s="14">
        <v>46204.0</v>
      </c>
      <c r="D240" s="31" t="s">
        <v>35</v>
      </c>
    </row>
    <row r="241">
      <c r="A241" s="30"/>
      <c r="B241" s="34" t="s">
        <v>516</v>
      </c>
      <c r="C241" s="14">
        <v>46204.0</v>
      </c>
      <c r="D241" s="31" t="s">
        <v>35</v>
      </c>
    </row>
    <row r="242">
      <c r="A242" s="30"/>
      <c r="B242" s="34" t="s">
        <v>518</v>
      </c>
      <c r="C242" s="14">
        <v>46204.0</v>
      </c>
      <c r="D242" s="31" t="s">
        <v>35</v>
      </c>
    </row>
    <row r="243">
      <c r="A243" s="30"/>
      <c r="B243" s="34" t="s">
        <v>520</v>
      </c>
      <c r="C243" s="14">
        <v>46204.0</v>
      </c>
      <c r="D243" s="31" t="s">
        <v>35</v>
      </c>
    </row>
    <row r="244">
      <c r="A244" s="30"/>
      <c r="B244" s="34" t="s">
        <v>522</v>
      </c>
      <c r="C244" s="14">
        <v>46204.0</v>
      </c>
      <c r="D244" s="31" t="s">
        <v>35</v>
      </c>
    </row>
    <row r="245">
      <c r="A245" s="30"/>
      <c r="B245" s="34" t="s">
        <v>525</v>
      </c>
      <c r="C245" s="14">
        <v>46204.0</v>
      </c>
      <c r="D245" s="31" t="s">
        <v>35</v>
      </c>
    </row>
    <row r="246">
      <c r="A246" s="30"/>
      <c r="B246" s="34" t="s">
        <v>526</v>
      </c>
      <c r="C246" s="14">
        <v>46204.0</v>
      </c>
      <c r="D246" s="31" t="s">
        <v>35</v>
      </c>
    </row>
    <row r="247">
      <c r="A247" s="30"/>
      <c r="B247" s="34" t="s">
        <v>527</v>
      </c>
      <c r="C247" s="14">
        <v>46204.0</v>
      </c>
      <c r="D247" s="31" t="s">
        <v>35</v>
      </c>
    </row>
    <row r="248">
      <c r="A248" s="30"/>
      <c r="B248" s="34" t="s">
        <v>530</v>
      </c>
      <c r="C248" s="14">
        <v>46204.0</v>
      </c>
      <c r="D248" s="31" t="s">
        <v>35</v>
      </c>
    </row>
    <row r="249">
      <c r="A249" s="30"/>
      <c r="B249" s="34" t="s">
        <v>531</v>
      </c>
      <c r="C249" s="14">
        <v>46204.0</v>
      </c>
      <c r="D249" s="31" t="s">
        <v>35</v>
      </c>
    </row>
    <row r="250">
      <c r="A250" s="30"/>
      <c r="B250" s="34" t="s">
        <v>532</v>
      </c>
      <c r="C250" s="14">
        <v>46204.0</v>
      </c>
      <c r="D250" s="31" t="s">
        <v>35</v>
      </c>
    </row>
    <row r="251">
      <c r="A251" s="30"/>
      <c r="B251" s="34" t="s">
        <v>535</v>
      </c>
      <c r="C251" s="14">
        <v>46204.0</v>
      </c>
      <c r="D251" s="31" t="s">
        <v>35</v>
      </c>
    </row>
    <row r="252">
      <c r="A252" s="37"/>
      <c r="B252" s="34" t="s">
        <v>536</v>
      </c>
      <c r="C252" s="14">
        <v>46204.0</v>
      </c>
      <c r="D252" s="31" t="s">
        <v>35</v>
      </c>
    </row>
    <row r="253">
      <c r="A253" s="27">
        <v>20.0</v>
      </c>
      <c r="B253" s="28" t="s">
        <v>539</v>
      </c>
      <c r="C253" s="14">
        <v>46199.0</v>
      </c>
      <c r="D253" s="31" t="s">
        <v>35</v>
      </c>
    </row>
    <row r="254">
      <c r="A254" s="30"/>
      <c r="B254" s="34" t="s">
        <v>541</v>
      </c>
      <c r="C254" s="14">
        <v>46199.0</v>
      </c>
      <c r="D254" s="31" t="s">
        <v>35</v>
      </c>
    </row>
    <row r="255">
      <c r="A255" s="30"/>
      <c r="B255" s="34" t="s">
        <v>542</v>
      </c>
      <c r="C255" s="14">
        <v>46199.0</v>
      </c>
      <c r="D255" s="31" t="s">
        <v>35</v>
      </c>
    </row>
    <row r="256">
      <c r="A256" s="30"/>
      <c r="B256" s="34" t="s">
        <v>545</v>
      </c>
      <c r="C256" s="14">
        <v>46199.0</v>
      </c>
      <c r="D256" s="31" t="s">
        <v>35</v>
      </c>
    </row>
    <row r="257">
      <c r="A257" s="30"/>
      <c r="B257" s="34" t="s">
        <v>546</v>
      </c>
      <c r="C257" s="14">
        <v>46199.0</v>
      </c>
      <c r="D257" s="31" t="s">
        <v>35</v>
      </c>
    </row>
    <row r="258">
      <c r="A258" s="30"/>
      <c r="B258" s="34" t="s">
        <v>548</v>
      </c>
      <c r="C258" s="14">
        <v>46199.0</v>
      </c>
      <c r="D258" s="31" t="s">
        <v>35</v>
      </c>
    </row>
    <row r="259">
      <c r="A259" s="30"/>
      <c r="B259" s="34" t="s">
        <v>550</v>
      </c>
      <c r="C259" s="14">
        <v>46199.0</v>
      </c>
      <c r="D259" s="31" t="s">
        <v>35</v>
      </c>
    </row>
    <row r="260">
      <c r="A260" s="30"/>
      <c r="B260" s="34" t="s">
        <v>551</v>
      </c>
      <c r="C260" s="14">
        <v>46199.0</v>
      </c>
      <c r="D260" s="31" t="s">
        <v>35</v>
      </c>
    </row>
    <row r="261">
      <c r="A261" s="30"/>
      <c r="B261" s="34" t="s">
        <v>554</v>
      </c>
      <c r="C261" s="14">
        <v>46199.0</v>
      </c>
      <c r="D261" s="31" t="s">
        <v>35</v>
      </c>
    </row>
    <row r="262">
      <c r="A262" s="30"/>
      <c r="B262" s="34" t="s">
        <v>555</v>
      </c>
      <c r="C262" s="14">
        <v>46199.0</v>
      </c>
      <c r="D262" s="31" t="s">
        <v>35</v>
      </c>
    </row>
    <row r="263">
      <c r="A263" s="30"/>
      <c r="B263" s="34" t="s">
        <v>556</v>
      </c>
      <c r="C263" s="14">
        <v>46199.0</v>
      </c>
      <c r="D263" s="31" t="s">
        <v>35</v>
      </c>
    </row>
    <row r="264">
      <c r="A264" s="30"/>
      <c r="B264" s="34" t="s">
        <v>561</v>
      </c>
      <c r="C264" s="14">
        <v>46199.0</v>
      </c>
      <c r="D264" s="31" t="s">
        <v>35</v>
      </c>
    </row>
    <row r="265">
      <c r="A265" s="30"/>
      <c r="B265" s="34" t="s">
        <v>562</v>
      </c>
      <c r="C265" s="14">
        <v>46199.0</v>
      </c>
      <c r="D265" s="31" t="s">
        <v>35</v>
      </c>
    </row>
    <row r="266">
      <c r="A266" s="37"/>
      <c r="B266" s="34" t="s">
        <v>563</v>
      </c>
      <c r="C266" s="14">
        <v>46199.0</v>
      </c>
      <c r="D266" s="31" t="s">
        <v>35</v>
      </c>
    </row>
    <row r="267">
      <c r="A267" s="27">
        <v>21.0</v>
      </c>
      <c r="B267" s="28" t="s">
        <v>566</v>
      </c>
      <c r="C267" s="14">
        <v>46205.0</v>
      </c>
      <c r="D267" s="31" t="s">
        <v>35</v>
      </c>
    </row>
    <row r="268">
      <c r="A268" s="30"/>
      <c r="B268" s="34" t="s">
        <v>567</v>
      </c>
      <c r="C268" s="14">
        <v>46205.0</v>
      </c>
      <c r="D268" s="31" t="s">
        <v>35</v>
      </c>
    </row>
    <row r="269">
      <c r="A269" s="30"/>
      <c r="B269" s="34" t="s">
        <v>570</v>
      </c>
      <c r="C269" s="14">
        <v>46205.0</v>
      </c>
      <c r="D269" s="31" t="s">
        <v>35</v>
      </c>
    </row>
    <row r="270">
      <c r="A270" s="30"/>
      <c r="B270" s="34" t="s">
        <v>571</v>
      </c>
      <c r="C270" s="14">
        <v>46205.0</v>
      </c>
      <c r="D270" s="31" t="s">
        <v>35</v>
      </c>
    </row>
    <row r="271">
      <c r="A271" s="30"/>
      <c r="B271" s="34" t="s">
        <v>572</v>
      </c>
      <c r="C271" s="14">
        <v>46205.0</v>
      </c>
      <c r="D271" s="31" t="s">
        <v>35</v>
      </c>
    </row>
    <row r="272">
      <c r="A272" s="30"/>
      <c r="B272" s="34" t="s">
        <v>575</v>
      </c>
      <c r="C272" s="14">
        <v>46205.0</v>
      </c>
      <c r="D272" s="31" t="s">
        <v>35</v>
      </c>
    </row>
    <row r="273">
      <c r="A273" s="30"/>
      <c r="B273" s="34" t="s">
        <v>576</v>
      </c>
      <c r="C273" s="14">
        <v>46205.0</v>
      </c>
      <c r="D273" s="31" t="s">
        <v>35</v>
      </c>
    </row>
    <row r="274">
      <c r="A274" s="30"/>
      <c r="B274" s="34" t="s">
        <v>579</v>
      </c>
      <c r="C274" s="14">
        <v>46205.0</v>
      </c>
      <c r="D274" s="31" t="s">
        <v>35</v>
      </c>
    </row>
    <row r="275">
      <c r="A275" s="30"/>
      <c r="B275" s="34" t="s">
        <v>582</v>
      </c>
      <c r="C275" s="14">
        <v>46205.0</v>
      </c>
      <c r="D275" s="31" t="s">
        <v>35</v>
      </c>
    </row>
    <row r="276">
      <c r="A276" s="30"/>
      <c r="B276" s="34" t="s">
        <v>583</v>
      </c>
      <c r="C276" s="14">
        <v>46205.0</v>
      </c>
      <c r="D276" s="31" t="s">
        <v>35</v>
      </c>
    </row>
    <row r="277">
      <c r="A277" s="30"/>
      <c r="B277" s="34" t="s">
        <v>585</v>
      </c>
      <c r="C277" s="14">
        <v>46205.0</v>
      </c>
      <c r="D277" s="31" t="s">
        <v>35</v>
      </c>
    </row>
    <row r="278">
      <c r="A278" s="30"/>
      <c r="B278" s="34" t="s">
        <v>587</v>
      </c>
      <c r="C278" s="14">
        <v>46205.0</v>
      </c>
      <c r="D278" s="31" t="s">
        <v>35</v>
      </c>
    </row>
    <row r="279">
      <c r="A279" s="30"/>
      <c r="B279" s="34" t="s">
        <v>588</v>
      </c>
      <c r="C279" s="14">
        <v>46205.0</v>
      </c>
      <c r="D279" s="31" t="s">
        <v>35</v>
      </c>
    </row>
    <row r="280">
      <c r="A280" s="30"/>
      <c r="B280" s="34" t="s">
        <v>591</v>
      </c>
      <c r="C280" s="14">
        <v>46205.0</v>
      </c>
      <c r="D280" s="31" t="s">
        <v>35</v>
      </c>
    </row>
    <row r="281">
      <c r="A281" s="30"/>
      <c r="B281" s="34" t="s">
        <v>592</v>
      </c>
      <c r="C281" s="14">
        <v>46205.0</v>
      </c>
      <c r="D281" s="31" t="s">
        <v>35</v>
      </c>
    </row>
    <row r="282">
      <c r="A282" s="37"/>
      <c r="B282" s="34" t="s">
        <v>594</v>
      </c>
      <c r="C282" s="14">
        <v>46205.0</v>
      </c>
      <c r="D282" s="31" t="s">
        <v>35</v>
      </c>
    </row>
    <row r="283">
      <c r="A283" s="27">
        <v>22.0</v>
      </c>
      <c r="B283" s="28" t="s">
        <v>596</v>
      </c>
      <c r="C283" s="14">
        <v>46206.0</v>
      </c>
      <c r="D283" s="31" t="s">
        <v>35</v>
      </c>
    </row>
    <row r="284">
      <c r="A284" s="30"/>
      <c r="B284" s="34" t="s">
        <v>599</v>
      </c>
      <c r="C284" s="14">
        <v>46206.0</v>
      </c>
      <c r="D284" s="31" t="s">
        <v>35</v>
      </c>
    </row>
    <row r="285">
      <c r="A285" s="30"/>
      <c r="B285" s="34" t="s">
        <v>602</v>
      </c>
      <c r="C285" s="14">
        <v>46206.0</v>
      </c>
      <c r="D285" s="31" t="s">
        <v>35</v>
      </c>
    </row>
    <row r="286">
      <c r="A286" s="30"/>
      <c r="B286" s="34" t="s">
        <v>603</v>
      </c>
      <c r="C286" s="14">
        <v>46206.0</v>
      </c>
      <c r="D286" s="31" t="s">
        <v>35</v>
      </c>
    </row>
    <row r="287">
      <c r="A287" s="30"/>
      <c r="B287" s="34" t="s">
        <v>605</v>
      </c>
      <c r="C287" s="14">
        <v>46206.0</v>
      </c>
      <c r="D287" s="31" t="s">
        <v>35</v>
      </c>
    </row>
    <row r="288">
      <c r="A288" s="30"/>
      <c r="B288" s="34" t="s">
        <v>607</v>
      </c>
      <c r="C288" s="14">
        <v>46206.0</v>
      </c>
      <c r="D288" s="31" t="s">
        <v>35</v>
      </c>
    </row>
    <row r="289">
      <c r="A289" s="30"/>
      <c r="B289" s="34" t="s">
        <v>608</v>
      </c>
      <c r="C289" s="14">
        <v>46206.0</v>
      </c>
      <c r="D289" s="31" t="s">
        <v>35</v>
      </c>
    </row>
    <row r="290">
      <c r="A290" s="30"/>
      <c r="B290" s="34" t="s">
        <v>611</v>
      </c>
      <c r="C290" s="14">
        <v>46206.0</v>
      </c>
      <c r="D290" s="31" t="s">
        <v>35</v>
      </c>
    </row>
    <row r="291">
      <c r="A291" s="30"/>
      <c r="B291" s="34" t="s">
        <v>612</v>
      </c>
      <c r="C291" s="14">
        <v>46206.0</v>
      </c>
      <c r="D291" s="31" t="s">
        <v>35</v>
      </c>
    </row>
    <row r="292">
      <c r="A292" s="30"/>
      <c r="B292" s="34" t="s">
        <v>614</v>
      </c>
      <c r="C292" s="14">
        <v>46206.0</v>
      </c>
      <c r="D292" s="31" t="s">
        <v>35</v>
      </c>
    </row>
    <row r="293">
      <c r="A293" s="30"/>
      <c r="B293" s="34" t="s">
        <v>616</v>
      </c>
      <c r="C293" s="14">
        <v>46206.0</v>
      </c>
      <c r="D293" s="31" t="s">
        <v>35</v>
      </c>
    </row>
    <row r="294">
      <c r="A294" s="30"/>
      <c r="B294" s="34" t="s">
        <v>619</v>
      </c>
      <c r="C294" s="14">
        <v>46206.0</v>
      </c>
      <c r="D294" s="31" t="s">
        <v>35</v>
      </c>
    </row>
    <row r="295">
      <c r="A295" s="30"/>
      <c r="B295" s="34" t="s">
        <v>620</v>
      </c>
      <c r="C295" s="14">
        <v>46206.0</v>
      </c>
      <c r="D295" s="31" t="s">
        <v>35</v>
      </c>
    </row>
    <row r="296">
      <c r="A296" s="37"/>
      <c r="B296" s="34" t="s">
        <v>623</v>
      </c>
      <c r="C296" s="14">
        <v>46206.0</v>
      </c>
      <c r="D296" s="31" t="s">
        <v>35</v>
      </c>
    </row>
    <row r="297">
      <c r="A297" s="27">
        <v>23.0</v>
      </c>
      <c r="B297" s="28" t="s">
        <v>626</v>
      </c>
      <c r="C297" s="14">
        <v>46207.0</v>
      </c>
      <c r="D297" s="31" t="s">
        <v>35</v>
      </c>
    </row>
    <row r="298">
      <c r="A298" s="30"/>
      <c r="B298" s="34" t="s">
        <v>627</v>
      </c>
      <c r="C298" s="14">
        <v>46207.0</v>
      </c>
      <c r="D298" s="31" t="s">
        <v>35</v>
      </c>
    </row>
    <row r="299">
      <c r="A299" s="30"/>
      <c r="B299" s="34" t="s">
        <v>628</v>
      </c>
      <c r="C299" s="14">
        <v>46207.0</v>
      </c>
      <c r="D299" s="31" t="s">
        <v>35</v>
      </c>
    </row>
    <row r="300">
      <c r="A300" s="30"/>
      <c r="B300" s="34" t="s">
        <v>631</v>
      </c>
      <c r="C300" s="14">
        <v>46207.0</v>
      </c>
      <c r="D300" s="31" t="s">
        <v>35</v>
      </c>
    </row>
    <row r="301">
      <c r="A301" s="30"/>
      <c r="B301" s="34" t="s">
        <v>632</v>
      </c>
      <c r="C301" s="14">
        <v>46207.0</v>
      </c>
      <c r="D301" s="31" t="s">
        <v>35</v>
      </c>
    </row>
    <row r="302">
      <c r="A302" s="30"/>
      <c r="B302" s="34" t="s">
        <v>634</v>
      </c>
      <c r="C302" s="14">
        <v>46207.0</v>
      </c>
      <c r="D302" s="31" t="s">
        <v>35</v>
      </c>
    </row>
    <row r="303">
      <c r="A303" s="30"/>
      <c r="B303" s="34" t="s">
        <v>638</v>
      </c>
      <c r="C303" s="14">
        <v>46207.0</v>
      </c>
      <c r="D303" s="31" t="s">
        <v>35</v>
      </c>
    </row>
    <row r="304">
      <c r="A304" s="30"/>
      <c r="B304" s="34" t="s">
        <v>639</v>
      </c>
      <c r="C304" s="14">
        <v>46207.0</v>
      </c>
      <c r="D304" s="31" t="s">
        <v>35</v>
      </c>
    </row>
    <row r="305">
      <c r="A305" s="30"/>
      <c r="B305" s="34" t="s">
        <v>643</v>
      </c>
      <c r="C305" s="14">
        <v>46207.0</v>
      </c>
      <c r="D305" s="31" t="s">
        <v>35</v>
      </c>
    </row>
    <row r="306">
      <c r="A306" s="30"/>
      <c r="B306" s="34" t="s">
        <v>644</v>
      </c>
      <c r="C306" s="14">
        <v>46207.0</v>
      </c>
      <c r="D306" s="31" t="s">
        <v>35</v>
      </c>
    </row>
    <row r="307">
      <c r="A307" s="30"/>
      <c r="B307" s="34" t="s">
        <v>649</v>
      </c>
      <c r="C307" s="14">
        <v>46207.0</v>
      </c>
      <c r="D307" s="31" t="s">
        <v>35</v>
      </c>
    </row>
    <row r="308">
      <c r="A308" s="30"/>
      <c r="B308" s="34" t="s">
        <v>657</v>
      </c>
      <c r="C308" s="14">
        <v>46207.0</v>
      </c>
      <c r="D308" s="31" t="s">
        <v>35</v>
      </c>
    </row>
    <row r="309">
      <c r="A309" s="30"/>
      <c r="B309" s="34" t="s">
        <v>662</v>
      </c>
      <c r="C309" s="14">
        <v>46207.0</v>
      </c>
      <c r="D309" s="31" t="s">
        <v>35</v>
      </c>
    </row>
    <row r="310">
      <c r="A310" s="30"/>
      <c r="B310" s="34" t="s">
        <v>668</v>
      </c>
      <c r="C310" s="14">
        <v>46207.0</v>
      </c>
      <c r="D310" s="31" t="s">
        <v>35</v>
      </c>
    </row>
    <row r="311">
      <c r="A311" s="37"/>
      <c r="B311" s="34" t="s">
        <v>675</v>
      </c>
      <c r="C311" s="14">
        <v>46207.0</v>
      </c>
      <c r="D311" s="31" t="s">
        <v>35</v>
      </c>
    </row>
    <row r="312">
      <c r="A312" s="27">
        <v>24.0</v>
      </c>
      <c r="B312" s="28" t="s">
        <v>685</v>
      </c>
      <c r="C312" s="14">
        <v>46209.0</v>
      </c>
      <c r="D312" s="31" t="s">
        <v>35</v>
      </c>
    </row>
    <row r="313">
      <c r="A313" s="30"/>
      <c r="B313" s="34" t="s">
        <v>696</v>
      </c>
      <c r="C313" s="14">
        <v>46209.0</v>
      </c>
      <c r="D313" s="31" t="s">
        <v>35</v>
      </c>
    </row>
    <row r="314">
      <c r="A314" s="30"/>
      <c r="B314" s="34" t="s">
        <v>703</v>
      </c>
      <c r="C314" s="14">
        <v>46209.0</v>
      </c>
      <c r="D314" s="31" t="s">
        <v>35</v>
      </c>
    </row>
    <row r="315">
      <c r="A315" s="30"/>
      <c r="B315" s="34" t="s">
        <v>711</v>
      </c>
      <c r="C315" s="14">
        <v>46209.0</v>
      </c>
      <c r="D315" s="31" t="s">
        <v>35</v>
      </c>
    </row>
    <row r="316">
      <c r="A316" s="30"/>
      <c r="B316" s="34" t="s">
        <v>718</v>
      </c>
      <c r="C316" s="14">
        <v>46209.0</v>
      </c>
      <c r="D316" s="31" t="s">
        <v>35</v>
      </c>
    </row>
    <row r="317">
      <c r="A317" s="30"/>
      <c r="B317" s="34" t="s">
        <v>724</v>
      </c>
      <c r="C317" s="14">
        <v>46209.0</v>
      </c>
      <c r="D317" s="31" t="s">
        <v>35</v>
      </c>
    </row>
    <row r="318">
      <c r="A318" s="30"/>
      <c r="B318" s="34" t="s">
        <v>730</v>
      </c>
      <c r="C318" s="14">
        <v>46209.0</v>
      </c>
      <c r="D318" s="31" t="s">
        <v>35</v>
      </c>
    </row>
    <row r="319">
      <c r="A319" s="30"/>
      <c r="B319" s="34" t="s">
        <v>736</v>
      </c>
      <c r="C319" s="14">
        <v>46209.0</v>
      </c>
      <c r="D319" s="31" t="s">
        <v>35</v>
      </c>
    </row>
    <row r="320">
      <c r="A320" s="30"/>
      <c r="B320" s="34" t="s">
        <v>744</v>
      </c>
      <c r="C320" s="14">
        <v>46209.0</v>
      </c>
      <c r="D320" s="31" t="s">
        <v>35</v>
      </c>
    </row>
    <row r="321">
      <c r="A321" s="30"/>
      <c r="B321" s="34" t="s">
        <v>750</v>
      </c>
      <c r="C321" s="14">
        <v>46209.0</v>
      </c>
      <c r="D321" s="31" t="s">
        <v>35</v>
      </c>
    </row>
    <row r="322">
      <c r="A322" s="30"/>
      <c r="B322" s="34" t="s">
        <v>756</v>
      </c>
      <c r="C322" s="14">
        <v>46209.0</v>
      </c>
      <c r="D322" s="31" t="s">
        <v>35</v>
      </c>
    </row>
    <row r="323">
      <c r="A323" s="30"/>
      <c r="B323" s="34" t="s">
        <v>763</v>
      </c>
      <c r="C323" s="14">
        <v>46209.0</v>
      </c>
      <c r="D323" s="31" t="s">
        <v>35</v>
      </c>
    </row>
    <row r="324">
      <c r="A324" s="30"/>
      <c r="B324" s="34" t="s">
        <v>775</v>
      </c>
      <c r="C324" s="14">
        <v>46209.0</v>
      </c>
      <c r="D324" s="31" t="s">
        <v>35</v>
      </c>
    </row>
    <row r="325">
      <c r="A325" s="30"/>
      <c r="B325" s="34" t="s">
        <v>781</v>
      </c>
      <c r="C325" s="14">
        <v>46209.0</v>
      </c>
      <c r="D325" s="31" t="s">
        <v>35</v>
      </c>
    </row>
    <row r="326">
      <c r="A326" s="30"/>
      <c r="B326" s="34" t="s">
        <v>787</v>
      </c>
      <c r="C326" s="14">
        <v>46209.0</v>
      </c>
      <c r="D326" s="31" t="s">
        <v>35</v>
      </c>
    </row>
    <row r="327">
      <c r="A327" s="37"/>
      <c r="B327" s="34" t="s">
        <v>791</v>
      </c>
      <c r="C327" s="14">
        <v>46209.0</v>
      </c>
      <c r="D327" s="31" t="s">
        <v>35</v>
      </c>
    </row>
    <row r="328">
      <c r="A328" s="27">
        <v>25.0</v>
      </c>
      <c r="B328" s="28" t="s">
        <v>794</v>
      </c>
      <c r="C328" s="14">
        <v>46210.0</v>
      </c>
      <c r="D328" s="31" t="s">
        <v>35</v>
      </c>
    </row>
    <row r="329">
      <c r="A329" s="30"/>
      <c r="B329" s="34" t="s">
        <v>796</v>
      </c>
      <c r="C329" s="14">
        <v>46210.0</v>
      </c>
      <c r="D329" s="31" t="s">
        <v>35</v>
      </c>
    </row>
    <row r="330">
      <c r="A330" s="30"/>
      <c r="B330" s="34" t="s">
        <v>800</v>
      </c>
      <c r="C330" s="14">
        <v>46210.0</v>
      </c>
      <c r="D330" s="31" t="s">
        <v>35</v>
      </c>
    </row>
    <row r="331">
      <c r="A331" s="30"/>
      <c r="B331" s="34" t="s">
        <v>804</v>
      </c>
      <c r="C331" s="14">
        <v>46210.0</v>
      </c>
      <c r="D331" s="31" t="s">
        <v>35</v>
      </c>
    </row>
    <row r="332">
      <c r="A332" s="30"/>
      <c r="B332" s="34" t="s">
        <v>809</v>
      </c>
      <c r="C332" s="14">
        <v>46210.0</v>
      </c>
      <c r="D332" s="31" t="s">
        <v>35</v>
      </c>
    </row>
    <row r="333">
      <c r="A333" s="30"/>
      <c r="B333" s="34" t="s">
        <v>813</v>
      </c>
      <c r="C333" s="14">
        <v>46210.0</v>
      </c>
      <c r="D333" s="31" t="s">
        <v>35</v>
      </c>
    </row>
    <row r="334">
      <c r="A334" s="30"/>
      <c r="B334" s="34" t="s">
        <v>815</v>
      </c>
      <c r="C334" s="14">
        <v>46210.0</v>
      </c>
      <c r="D334" s="31" t="s">
        <v>35</v>
      </c>
    </row>
    <row r="335">
      <c r="A335" s="30"/>
      <c r="B335" s="34" t="s">
        <v>818</v>
      </c>
      <c r="C335" s="14">
        <v>46210.0</v>
      </c>
      <c r="D335" s="31" t="s">
        <v>35</v>
      </c>
    </row>
    <row r="336">
      <c r="A336" s="30"/>
      <c r="B336" s="34" t="s">
        <v>820</v>
      </c>
      <c r="C336" s="14">
        <v>46210.0</v>
      </c>
      <c r="D336" s="31" t="s">
        <v>35</v>
      </c>
    </row>
    <row r="337">
      <c r="A337" s="30"/>
      <c r="B337" s="34" t="s">
        <v>821</v>
      </c>
      <c r="C337" s="14">
        <v>46210.0</v>
      </c>
      <c r="D337" s="31" t="s">
        <v>35</v>
      </c>
    </row>
    <row r="338">
      <c r="A338" s="30"/>
      <c r="B338" s="34" t="s">
        <v>825</v>
      </c>
      <c r="C338" s="14">
        <v>46210.0</v>
      </c>
      <c r="D338" s="31" t="s">
        <v>35</v>
      </c>
    </row>
    <row r="339">
      <c r="A339" s="30"/>
      <c r="B339" s="34" t="s">
        <v>826</v>
      </c>
      <c r="C339" s="14">
        <v>46210.0</v>
      </c>
      <c r="D339" s="31" t="s">
        <v>35</v>
      </c>
    </row>
    <row r="340">
      <c r="A340" s="30"/>
      <c r="B340" s="34" t="s">
        <v>827</v>
      </c>
      <c r="C340" s="14">
        <v>46210.0</v>
      </c>
      <c r="D340" s="31" t="s">
        <v>35</v>
      </c>
    </row>
    <row r="341">
      <c r="A341" s="37"/>
      <c r="B341" s="34" t="s">
        <v>832</v>
      </c>
      <c r="C341" s="14">
        <v>46210.0</v>
      </c>
      <c r="D341" s="31" t="s">
        <v>35</v>
      </c>
    </row>
    <row r="342">
      <c r="A342" s="27">
        <v>26.0</v>
      </c>
      <c r="B342" s="28" t="s">
        <v>833</v>
      </c>
      <c r="C342" s="14">
        <v>46211.0</v>
      </c>
      <c r="D342" s="31" t="s">
        <v>35</v>
      </c>
    </row>
    <row r="343">
      <c r="A343" s="30"/>
      <c r="B343" s="34" t="s">
        <v>836</v>
      </c>
      <c r="C343" s="14">
        <v>46211.0</v>
      </c>
      <c r="D343" s="31" t="s">
        <v>35</v>
      </c>
    </row>
    <row r="344">
      <c r="A344" s="30"/>
      <c r="B344" s="34" t="s">
        <v>837</v>
      </c>
      <c r="C344" s="14">
        <v>46211.0</v>
      </c>
      <c r="D344" s="31" t="s">
        <v>35</v>
      </c>
    </row>
    <row r="345">
      <c r="A345" s="30"/>
      <c r="B345" s="34" t="s">
        <v>841</v>
      </c>
      <c r="C345" s="14">
        <v>46211.0</v>
      </c>
      <c r="D345" s="31" t="s">
        <v>35</v>
      </c>
    </row>
    <row r="346">
      <c r="A346" s="30"/>
      <c r="B346" s="34" t="s">
        <v>843</v>
      </c>
      <c r="C346" s="14">
        <v>46211.0</v>
      </c>
      <c r="D346" s="31" t="s">
        <v>35</v>
      </c>
    </row>
    <row r="347">
      <c r="A347" s="30"/>
      <c r="B347" s="34" t="s">
        <v>846</v>
      </c>
      <c r="C347" s="14">
        <v>46211.0</v>
      </c>
      <c r="D347" s="31" t="s">
        <v>35</v>
      </c>
    </row>
    <row r="348">
      <c r="A348" s="30"/>
      <c r="B348" s="34" t="s">
        <v>847</v>
      </c>
      <c r="C348" s="14">
        <v>46211.0</v>
      </c>
      <c r="D348" s="31" t="s">
        <v>35</v>
      </c>
    </row>
    <row r="349">
      <c r="A349" s="30"/>
      <c r="B349" s="34" t="s">
        <v>848</v>
      </c>
      <c r="C349" s="14">
        <v>46211.0</v>
      </c>
      <c r="D349" s="31" t="s">
        <v>35</v>
      </c>
    </row>
    <row r="350">
      <c r="A350" s="30"/>
      <c r="B350" s="34" t="s">
        <v>851</v>
      </c>
      <c r="C350" s="14">
        <v>46211.0</v>
      </c>
      <c r="D350" s="31" t="s">
        <v>35</v>
      </c>
    </row>
    <row r="351">
      <c r="A351" s="30"/>
      <c r="B351" s="34" t="s">
        <v>853</v>
      </c>
      <c r="C351" s="14">
        <v>46211.0</v>
      </c>
      <c r="D351" s="31" t="s">
        <v>35</v>
      </c>
    </row>
    <row r="352">
      <c r="A352" s="30"/>
      <c r="B352" s="34" t="s">
        <v>854</v>
      </c>
      <c r="C352" s="14">
        <v>46211.0</v>
      </c>
      <c r="D352" s="31" t="s">
        <v>35</v>
      </c>
    </row>
    <row r="353">
      <c r="A353" s="30"/>
      <c r="B353" s="34" t="s">
        <v>857</v>
      </c>
      <c r="C353" s="14">
        <v>46211.0</v>
      </c>
      <c r="D353" s="31" t="s">
        <v>35</v>
      </c>
    </row>
    <row r="354">
      <c r="A354" s="30"/>
      <c r="B354" s="34" t="s">
        <v>858</v>
      </c>
      <c r="C354" s="14">
        <v>46211.0</v>
      </c>
      <c r="D354" s="31" t="s">
        <v>35</v>
      </c>
    </row>
    <row r="355">
      <c r="A355" s="30"/>
      <c r="B355" s="34" t="s">
        <v>860</v>
      </c>
      <c r="C355" s="14">
        <v>46211.0</v>
      </c>
      <c r="D355" s="31" t="s">
        <v>35</v>
      </c>
    </row>
    <row r="356">
      <c r="A356" s="37"/>
      <c r="B356" s="34" t="s">
        <v>862</v>
      </c>
      <c r="C356" s="14">
        <v>46211.0</v>
      </c>
      <c r="D356" s="31" t="s">
        <v>35</v>
      </c>
    </row>
    <row r="357">
      <c r="A357" s="27">
        <v>27.0</v>
      </c>
      <c r="B357" s="28" t="s">
        <v>867</v>
      </c>
      <c r="C357" s="14">
        <v>46212.0</v>
      </c>
      <c r="D357" s="31" t="s">
        <v>35</v>
      </c>
    </row>
    <row r="358">
      <c r="A358" s="30"/>
      <c r="B358" s="34" t="s">
        <v>868</v>
      </c>
      <c r="C358" s="14">
        <v>46212.0</v>
      </c>
      <c r="D358" s="31" t="s">
        <v>35</v>
      </c>
    </row>
    <row r="359">
      <c r="A359" s="30"/>
      <c r="B359" s="34" t="s">
        <v>871</v>
      </c>
      <c r="C359" s="14">
        <v>46212.0</v>
      </c>
      <c r="D359" s="31" t="s">
        <v>35</v>
      </c>
    </row>
    <row r="360">
      <c r="A360" s="30"/>
      <c r="B360" s="34" t="s">
        <v>874</v>
      </c>
      <c r="C360" s="14">
        <v>46212.0</v>
      </c>
      <c r="D360" s="31" t="s">
        <v>35</v>
      </c>
    </row>
    <row r="361">
      <c r="A361" s="30"/>
      <c r="B361" s="34" t="s">
        <v>875</v>
      </c>
      <c r="C361" s="14">
        <v>46212.0</v>
      </c>
      <c r="D361" s="31" t="s">
        <v>35</v>
      </c>
    </row>
    <row r="362">
      <c r="A362" s="30"/>
      <c r="B362" s="34" t="s">
        <v>878</v>
      </c>
      <c r="C362" s="14">
        <v>46212.0</v>
      </c>
      <c r="D362" s="31" t="s">
        <v>35</v>
      </c>
    </row>
    <row r="363">
      <c r="A363" s="30"/>
      <c r="B363" s="34" t="s">
        <v>880</v>
      </c>
      <c r="C363" s="14">
        <v>46212.0</v>
      </c>
      <c r="D363" s="31" t="s">
        <v>35</v>
      </c>
    </row>
    <row r="364">
      <c r="A364" s="30"/>
      <c r="B364" s="34" t="s">
        <v>881</v>
      </c>
      <c r="C364" s="14">
        <v>46212.0</v>
      </c>
      <c r="D364" s="31" t="s">
        <v>35</v>
      </c>
    </row>
    <row r="365">
      <c r="A365" s="30"/>
      <c r="B365" s="34" t="s">
        <v>882</v>
      </c>
      <c r="C365" s="14">
        <v>46212.0</v>
      </c>
      <c r="D365" s="31" t="s">
        <v>35</v>
      </c>
    </row>
    <row r="366">
      <c r="A366" s="30"/>
      <c r="B366" s="34" t="s">
        <v>885</v>
      </c>
      <c r="C366" s="14">
        <v>46212.0</v>
      </c>
      <c r="D366" s="31" t="s">
        <v>35</v>
      </c>
    </row>
    <row r="367">
      <c r="A367" s="30"/>
      <c r="B367" s="34" t="s">
        <v>887</v>
      </c>
      <c r="C367" s="14">
        <v>46212.0</v>
      </c>
      <c r="D367" s="31" t="s">
        <v>35</v>
      </c>
    </row>
    <row r="368">
      <c r="A368" s="30"/>
      <c r="B368" s="34" t="s">
        <v>889</v>
      </c>
      <c r="C368" s="14">
        <v>46212.0</v>
      </c>
      <c r="D368" s="31" t="s">
        <v>35</v>
      </c>
    </row>
    <row r="369">
      <c r="A369" s="30"/>
      <c r="B369" s="34" t="s">
        <v>890</v>
      </c>
      <c r="C369" s="14">
        <v>46212.0</v>
      </c>
      <c r="D369" s="31" t="s">
        <v>35</v>
      </c>
    </row>
    <row r="370">
      <c r="A370" s="30"/>
      <c r="B370" s="34" t="s">
        <v>892</v>
      </c>
      <c r="C370" s="14">
        <v>46212.0</v>
      </c>
      <c r="D370" s="31" t="s">
        <v>35</v>
      </c>
    </row>
    <row r="371">
      <c r="A371" s="37"/>
      <c r="B371" s="34" t="s">
        <v>894</v>
      </c>
      <c r="C371" s="14">
        <v>46212.0</v>
      </c>
      <c r="D371" s="31" t="s">
        <v>35</v>
      </c>
    </row>
    <row r="372">
      <c r="A372" s="27">
        <v>28.0</v>
      </c>
      <c r="B372" s="28" t="s">
        <v>151</v>
      </c>
      <c r="C372" s="14">
        <v>46214.0</v>
      </c>
      <c r="D372" s="31" t="s">
        <v>35</v>
      </c>
    </row>
    <row r="373">
      <c r="A373" s="30"/>
      <c r="B373" s="34" t="s">
        <v>895</v>
      </c>
      <c r="C373" s="14">
        <v>46214.0</v>
      </c>
      <c r="D373" s="31" t="s">
        <v>35</v>
      </c>
    </row>
    <row r="374">
      <c r="A374" s="30"/>
      <c r="B374" s="34" t="s">
        <v>896</v>
      </c>
      <c r="C374" s="14">
        <v>46214.0</v>
      </c>
      <c r="D374" s="31" t="s">
        <v>35</v>
      </c>
    </row>
    <row r="375">
      <c r="A375" s="30"/>
      <c r="B375" s="34" t="s">
        <v>898</v>
      </c>
      <c r="C375" s="14">
        <v>46214.0</v>
      </c>
      <c r="D375" s="31" t="s">
        <v>35</v>
      </c>
    </row>
    <row r="376">
      <c r="A376" s="30"/>
      <c r="B376" s="34" t="s">
        <v>899</v>
      </c>
      <c r="C376" s="14">
        <v>46214.0</v>
      </c>
      <c r="D376" s="31" t="s">
        <v>35</v>
      </c>
    </row>
    <row r="377">
      <c r="A377" s="30"/>
      <c r="B377" s="34" t="s">
        <v>900</v>
      </c>
      <c r="C377" s="14">
        <v>46214.0</v>
      </c>
      <c r="D377" s="31" t="s">
        <v>35</v>
      </c>
    </row>
    <row r="378">
      <c r="A378" s="30"/>
      <c r="B378" s="34" t="s">
        <v>901</v>
      </c>
      <c r="C378" s="14">
        <v>46214.0</v>
      </c>
      <c r="D378" s="31" t="s">
        <v>35</v>
      </c>
    </row>
    <row r="379">
      <c r="A379" s="30"/>
      <c r="B379" s="34" t="s">
        <v>902</v>
      </c>
      <c r="C379" s="14">
        <v>46214.0</v>
      </c>
      <c r="D379" s="31" t="s">
        <v>35</v>
      </c>
    </row>
    <row r="380">
      <c r="A380" s="30"/>
      <c r="B380" s="34" t="s">
        <v>904</v>
      </c>
      <c r="C380" s="14">
        <v>46214.0</v>
      </c>
      <c r="D380" s="31" t="s">
        <v>35</v>
      </c>
    </row>
    <row r="381">
      <c r="A381" s="30"/>
      <c r="B381" s="34" t="s">
        <v>905</v>
      </c>
      <c r="C381" s="14">
        <v>46214.0</v>
      </c>
      <c r="D381" s="31" t="s">
        <v>35</v>
      </c>
    </row>
    <row r="382">
      <c r="A382" s="30"/>
      <c r="B382" s="34" t="s">
        <v>907</v>
      </c>
      <c r="C382" s="14">
        <v>46214.0</v>
      </c>
      <c r="D382" s="31" t="s">
        <v>35</v>
      </c>
    </row>
    <row r="383">
      <c r="A383" s="30"/>
      <c r="B383" s="34" t="s">
        <v>908</v>
      </c>
      <c r="C383" s="14">
        <v>46214.0</v>
      </c>
      <c r="D383" s="31" t="s">
        <v>35</v>
      </c>
    </row>
    <row r="384">
      <c r="A384" s="30"/>
      <c r="B384" s="34" t="s">
        <v>909</v>
      </c>
      <c r="C384" s="14">
        <v>46214.0</v>
      </c>
      <c r="D384" s="31" t="s">
        <v>35</v>
      </c>
    </row>
    <row r="385">
      <c r="A385" s="30"/>
      <c r="B385" s="34" t="s">
        <v>911</v>
      </c>
      <c r="C385" s="14">
        <v>46214.0</v>
      </c>
      <c r="D385" s="31" t="s">
        <v>35</v>
      </c>
    </row>
    <row r="386">
      <c r="A386" s="37"/>
      <c r="B386" s="34" t="s">
        <v>912</v>
      </c>
      <c r="C386" s="14">
        <v>46214.0</v>
      </c>
      <c r="D386" s="31" t="s">
        <v>35</v>
      </c>
    </row>
    <row r="387">
      <c r="A387" s="27">
        <v>29.0</v>
      </c>
      <c r="B387" s="28" t="s">
        <v>153</v>
      </c>
      <c r="C387" s="14">
        <v>46216.0</v>
      </c>
      <c r="D387" s="31" t="s">
        <v>35</v>
      </c>
    </row>
    <row r="388">
      <c r="A388" s="30"/>
      <c r="B388" s="34" t="s">
        <v>913</v>
      </c>
      <c r="C388" s="14">
        <v>46216.0</v>
      </c>
      <c r="D388" s="31" t="s">
        <v>35</v>
      </c>
    </row>
    <row r="389">
      <c r="A389" s="30"/>
      <c r="B389" s="34" t="s">
        <v>399</v>
      </c>
      <c r="C389" s="14">
        <v>46216.0</v>
      </c>
      <c r="D389" s="31" t="s">
        <v>35</v>
      </c>
    </row>
    <row r="390">
      <c r="A390" s="30"/>
      <c r="B390" s="34" t="s">
        <v>916</v>
      </c>
      <c r="C390" s="14">
        <v>46216.0</v>
      </c>
      <c r="D390" s="31" t="s">
        <v>35</v>
      </c>
    </row>
    <row r="391">
      <c r="A391" s="30"/>
      <c r="B391" s="34" t="s">
        <v>917</v>
      </c>
      <c r="C391" s="14">
        <v>46216.0</v>
      </c>
      <c r="D391" s="31" t="s">
        <v>35</v>
      </c>
    </row>
    <row r="392">
      <c r="A392" s="30"/>
      <c r="B392" s="34" t="s">
        <v>918</v>
      </c>
      <c r="C392" s="14">
        <v>46216.0</v>
      </c>
      <c r="D392" s="31" t="s">
        <v>35</v>
      </c>
    </row>
    <row r="393">
      <c r="A393" s="30"/>
      <c r="B393" s="34" t="s">
        <v>919</v>
      </c>
      <c r="C393" s="14">
        <v>46216.0</v>
      </c>
      <c r="D393" s="31" t="s">
        <v>35</v>
      </c>
    </row>
    <row r="394">
      <c r="A394" s="30"/>
      <c r="B394" s="34" t="s">
        <v>920</v>
      </c>
      <c r="C394" s="14">
        <v>46216.0</v>
      </c>
      <c r="D394" s="31" t="s">
        <v>35</v>
      </c>
    </row>
    <row r="395">
      <c r="A395" s="30"/>
      <c r="B395" s="34" t="s">
        <v>921</v>
      </c>
      <c r="C395" s="14">
        <v>46216.0</v>
      </c>
      <c r="D395" s="31" t="s">
        <v>35</v>
      </c>
    </row>
    <row r="396">
      <c r="A396" s="30"/>
      <c r="B396" s="34" t="s">
        <v>922</v>
      </c>
      <c r="C396" s="14">
        <v>46216.0</v>
      </c>
      <c r="D396" s="31" t="s">
        <v>35</v>
      </c>
    </row>
    <row r="397">
      <c r="A397" s="30"/>
      <c r="B397" s="34" t="s">
        <v>412</v>
      </c>
      <c r="C397" s="14">
        <v>46216.0</v>
      </c>
      <c r="D397" s="31" t="s">
        <v>35</v>
      </c>
    </row>
    <row r="398">
      <c r="A398" s="37"/>
      <c r="B398" s="34" t="s">
        <v>924</v>
      </c>
      <c r="C398" s="14">
        <v>46216.0</v>
      </c>
      <c r="D398" s="31" t="s">
        <v>35</v>
      </c>
    </row>
    <row r="399">
      <c r="A399" s="27">
        <v>30.0</v>
      </c>
      <c r="B399" s="28" t="s">
        <v>158</v>
      </c>
      <c r="C399" s="14">
        <v>46217.0</v>
      </c>
      <c r="D399" s="31" t="s">
        <v>35</v>
      </c>
    </row>
    <row r="400">
      <c r="A400" s="30"/>
      <c r="B400" s="34" t="s">
        <v>927</v>
      </c>
      <c r="C400" s="14">
        <v>46217.0</v>
      </c>
      <c r="D400" s="31" t="s">
        <v>35</v>
      </c>
    </row>
    <row r="401">
      <c r="A401" s="30"/>
      <c r="B401" s="34" t="s">
        <v>928</v>
      </c>
      <c r="C401" s="14">
        <v>46217.0</v>
      </c>
      <c r="D401" s="31" t="s">
        <v>35</v>
      </c>
    </row>
    <row r="402">
      <c r="A402" s="30"/>
      <c r="B402" s="34" t="s">
        <v>929</v>
      </c>
      <c r="C402" s="14">
        <v>46217.0</v>
      </c>
      <c r="D402" s="31" t="s">
        <v>35</v>
      </c>
    </row>
    <row r="403">
      <c r="A403" s="30"/>
      <c r="B403" s="34" t="s">
        <v>930</v>
      </c>
      <c r="C403" s="14">
        <v>46217.0</v>
      </c>
      <c r="D403" s="31" t="s">
        <v>35</v>
      </c>
    </row>
    <row r="404">
      <c r="A404" s="30"/>
      <c r="B404" s="34" t="s">
        <v>931</v>
      </c>
      <c r="C404" s="14">
        <v>46217.0</v>
      </c>
      <c r="D404" s="31" t="s">
        <v>35</v>
      </c>
    </row>
    <row r="405">
      <c r="A405" s="30"/>
      <c r="B405" s="34" t="s">
        <v>932</v>
      </c>
      <c r="C405" s="14">
        <v>46217.0</v>
      </c>
      <c r="D405" s="31" t="s">
        <v>35</v>
      </c>
    </row>
    <row r="406">
      <c r="A406" s="30"/>
      <c r="B406" s="34" t="s">
        <v>933</v>
      </c>
      <c r="C406" s="14">
        <v>46217.0</v>
      </c>
      <c r="D406" s="31" t="s">
        <v>35</v>
      </c>
    </row>
    <row r="407">
      <c r="A407" s="30"/>
      <c r="B407" s="34" t="s">
        <v>934</v>
      </c>
      <c r="C407" s="14">
        <v>46217.0</v>
      </c>
      <c r="D407" s="31" t="s">
        <v>35</v>
      </c>
    </row>
    <row r="408">
      <c r="A408" s="30"/>
      <c r="B408" s="34" t="s">
        <v>935</v>
      </c>
      <c r="C408" s="14">
        <v>46217.0</v>
      </c>
      <c r="D408" s="31" t="s">
        <v>35</v>
      </c>
    </row>
    <row r="409">
      <c r="A409" s="30"/>
      <c r="B409" s="34" t="s">
        <v>936</v>
      </c>
      <c r="C409" s="14">
        <v>46217.0</v>
      </c>
      <c r="D409" s="31" t="s">
        <v>35</v>
      </c>
    </row>
    <row r="410">
      <c r="A410" s="30"/>
      <c r="B410" s="34" t="s">
        <v>937</v>
      </c>
      <c r="C410" s="14">
        <v>46217.0</v>
      </c>
      <c r="D410" s="31" t="s">
        <v>35</v>
      </c>
    </row>
    <row r="411">
      <c r="A411" s="30"/>
      <c r="B411" s="34" t="s">
        <v>940</v>
      </c>
      <c r="C411" s="14">
        <v>46217.0</v>
      </c>
      <c r="D411" s="31" t="s">
        <v>35</v>
      </c>
    </row>
    <row r="412">
      <c r="A412" s="30"/>
      <c r="B412" s="34" t="s">
        <v>942</v>
      </c>
      <c r="C412" s="14">
        <v>46217.0</v>
      </c>
      <c r="D412" s="31" t="s">
        <v>35</v>
      </c>
    </row>
    <row r="413">
      <c r="A413" s="30"/>
      <c r="B413" s="34" t="s">
        <v>943</v>
      </c>
      <c r="C413" s="14">
        <v>46217.0</v>
      </c>
      <c r="D413" s="31" t="s">
        <v>35</v>
      </c>
    </row>
    <row r="414">
      <c r="A414" s="30"/>
      <c r="B414" s="34" t="s">
        <v>944</v>
      </c>
      <c r="C414" s="14">
        <v>46217.0</v>
      </c>
      <c r="D414" s="31" t="s">
        <v>35</v>
      </c>
    </row>
    <row r="415">
      <c r="A415" s="30"/>
      <c r="B415" s="34" t="s">
        <v>946</v>
      </c>
      <c r="C415" s="14">
        <v>46217.0</v>
      </c>
      <c r="D415" s="31" t="s">
        <v>35</v>
      </c>
    </row>
    <row r="416">
      <c r="A416" s="37"/>
      <c r="B416" s="34" t="s">
        <v>947</v>
      </c>
      <c r="C416" s="14">
        <v>46217.0</v>
      </c>
      <c r="D416" s="31" t="s">
        <v>35</v>
      </c>
    </row>
  </sheetData>
  <mergeCells count="38">
    <mergeCell ref="A1:D1"/>
    <mergeCell ref="A2:D2"/>
    <mergeCell ref="A3:D3"/>
    <mergeCell ref="A4:B4"/>
    <mergeCell ref="C4:D4"/>
    <mergeCell ref="C5:D5"/>
    <mergeCell ref="A6:D6"/>
    <mergeCell ref="A5:B5"/>
    <mergeCell ref="A8:A19"/>
    <mergeCell ref="A20:A34"/>
    <mergeCell ref="A35:A47"/>
    <mergeCell ref="A48:A60"/>
    <mergeCell ref="A61:A73"/>
    <mergeCell ref="A74:A83"/>
    <mergeCell ref="A84:A96"/>
    <mergeCell ref="A97:A108"/>
    <mergeCell ref="A109:A122"/>
    <mergeCell ref="A123:A135"/>
    <mergeCell ref="A136:A148"/>
    <mergeCell ref="A149:A163"/>
    <mergeCell ref="A164:A176"/>
    <mergeCell ref="A177:A186"/>
    <mergeCell ref="A187:A197"/>
    <mergeCell ref="A198:A211"/>
    <mergeCell ref="A212:A224"/>
    <mergeCell ref="A225:A239"/>
    <mergeCell ref="A240:A252"/>
    <mergeCell ref="A253:A266"/>
    <mergeCell ref="A372:A386"/>
    <mergeCell ref="A387:A398"/>
    <mergeCell ref="A399:A416"/>
    <mergeCell ref="A267:A282"/>
    <mergeCell ref="A283:A296"/>
    <mergeCell ref="A297:A311"/>
    <mergeCell ref="A312:A327"/>
    <mergeCell ref="A328:A341"/>
    <mergeCell ref="A342:A356"/>
    <mergeCell ref="A357:A371"/>
  </mergeCells>
  <dataValidations>
    <dataValidation type="list" allowBlank="1" showErrorMessage="1" sqref="D8:D416">
      <formula1>"Pending,Done"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3" width="14.0"/>
    <col customWidth="1" min="4" max="4" width="9.63"/>
    <col customWidth="1" min="5" max="5" width="5.5"/>
    <col customWidth="1" min="6" max="6" width="9.88"/>
    <col customWidth="1" min="7" max="7" width="11.75"/>
    <col customWidth="1" min="8" max="8" width="15.13"/>
    <col customWidth="1" min="9" max="9" width="18.25"/>
    <col customWidth="1" min="10" max="10" width="11.63"/>
    <col customWidth="1" min="11" max="11" width="14.13"/>
    <col customWidth="1" min="12" max="12" width="14.63"/>
    <col customWidth="1" min="13" max="13" width="20.75"/>
    <col customWidth="1" min="14" max="14" width="23.25"/>
    <col customWidth="1" min="15" max="15" width="29.63"/>
    <col customWidth="1" min="16" max="16" width="13.38"/>
    <col customWidth="1" min="17" max="17" width="15.88"/>
    <col customWidth="1" min="18" max="20" width="18.88"/>
    <col customWidth="1" min="21" max="21" width="9.38"/>
    <col customWidth="1" min="22" max="22" width="15.5"/>
    <col customWidth="1" min="23" max="23" width="18.0"/>
    <col customWidth="1" min="24" max="26" width="23.25"/>
    <col customWidth="1" min="27" max="27" width="12.88"/>
    <col customWidth="1" min="28" max="28" width="13.63"/>
    <col customWidth="1" min="29" max="29" width="16.13"/>
    <col customWidth="1" min="30" max="30" width="12.25"/>
    <col customWidth="1" min="31" max="31" width="18.38"/>
    <col customWidth="1" min="32" max="32" width="20.88"/>
    <col customWidth="1" min="33" max="33" width="17.5"/>
    <col customWidth="1" min="34" max="34" width="18.0"/>
    <col customWidth="1" min="35" max="35" width="17.5"/>
    <col customWidth="1" min="36" max="38" width="23.38"/>
    <col customWidth="1" min="39" max="39" width="16.13"/>
    <col customWidth="1" min="40" max="40" width="13.5"/>
    <col customWidth="1" min="41" max="41" width="12.63"/>
    <col customWidth="1" min="42" max="42" width="9.38"/>
    <col customWidth="1" min="43" max="43" width="18.0"/>
    <col customWidth="1" min="44" max="44" width="15.5"/>
    <col customWidth="1" min="45" max="45" width="15.63"/>
    <col customWidth="1" min="46" max="46" width="16.13"/>
    <col customWidth="1" min="47" max="47" width="15.63"/>
    <col customWidth="1" min="48" max="48" width="10.75"/>
    <col customWidth="1" min="49" max="49" width="13.5"/>
    <col customWidth="1" min="50" max="50" width="11.13"/>
    <col customWidth="1" min="51" max="51" width="15.5"/>
    <col customWidth="1" min="52" max="52" width="17.88"/>
    <col customWidth="1" min="53" max="53" width="15.5"/>
    <col customWidth="1" min="54" max="54" width="15.0"/>
    <col customWidth="1" min="55" max="55" width="17.88"/>
    <col customWidth="1" min="56" max="56" width="15.38"/>
    <col customWidth="1" min="57" max="57" width="22.25"/>
    <col customWidth="1" min="58" max="58" width="13.63"/>
    <col customWidth="1" min="59" max="59" width="16.13"/>
    <col customWidth="1" min="60" max="60" width="14.5"/>
    <col customWidth="1" min="61" max="61" width="18.0"/>
    <col customWidth="1" min="62" max="62" width="20.5"/>
    <col customWidth="1" min="63" max="63" width="15.75"/>
    <col customWidth="1" min="64" max="64" width="21.88"/>
    <col customWidth="1" min="65" max="65" width="24.38"/>
    <col customWidth="1" min="66" max="66" width="13.38"/>
    <col customWidth="1" min="67" max="67" width="13.75"/>
    <col customWidth="1" min="68" max="68" width="16.25"/>
    <col customWidth="1" min="69" max="69" width="10.75"/>
    <col customWidth="1" min="70" max="70" width="15.5"/>
    <col customWidth="1" min="71" max="71" width="18.0"/>
    <col customWidth="1" min="72" max="73" width="16.25"/>
    <col customWidth="1" min="74" max="74" width="17.88"/>
    <col customWidth="1" min="75" max="75" width="18.25"/>
    <col customWidth="1" min="76" max="76" width="20.75"/>
    <col customWidth="1" min="77" max="77" width="23.25"/>
    <col customWidth="1" min="78" max="78" width="12.5"/>
    <col customWidth="1" min="79" max="79" width="13.63"/>
    <col customWidth="1" min="80" max="80" width="16.13"/>
    <col customWidth="1" min="81" max="81" width="14.0"/>
    <col customWidth="1" min="82" max="82" width="20.0"/>
    <col customWidth="1" min="83" max="83" width="22.5"/>
    <col customWidth="1" min="84" max="85" width="17.75"/>
    <col customWidth="1" min="86" max="86" width="17.88"/>
    <col customWidth="1" min="87" max="87" width="14.75"/>
    <col customWidth="1" min="88" max="88" width="18.25"/>
    <col customWidth="1" min="89" max="89" width="20.75"/>
    <col customWidth="1" min="90" max="90" width="10.63"/>
    <col customWidth="1" min="91" max="91" width="15.25"/>
    <col customWidth="1" min="92" max="92" width="17.75"/>
    <col customWidth="1" min="93" max="93" width="17.13"/>
    <col customWidth="1" min="94" max="94" width="23.13"/>
    <col customWidth="1" min="95" max="95" width="25.63"/>
    <col customWidth="1" min="96" max="96" width="9.88"/>
    <col customWidth="1" min="97" max="97" width="14.0"/>
    <col customWidth="1" min="98" max="98" width="16.5"/>
    <col customWidth="1" min="99" max="99" width="11.63"/>
    <col customWidth="1" min="100" max="100" width="15.38"/>
    <col customWidth="1" min="101" max="101" width="17.88"/>
    <col customWidth="1" min="102" max="102" width="11.63"/>
    <col customWidth="1" min="103" max="103" width="17.75"/>
    <col customWidth="1" min="104" max="104" width="20.25"/>
    <col customWidth="1" min="105" max="105" width="17.0"/>
    <col customWidth="1" min="106" max="106" width="23.13"/>
    <col customWidth="1" min="107" max="107" width="25.63"/>
  </cols>
  <sheetData>
    <row r="1" ht="17.25" customHeight="1">
      <c r="A1" s="56" t="s">
        <v>642</v>
      </c>
      <c r="B1" s="56" t="s">
        <v>645</v>
      </c>
      <c r="C1" s="56" t="s">
        <v>646</v>
      </c>
      <c r="D1" s="56" t="s">
        <v>647</v>
      </c>
      <c r="E1" s="56" t="s">
        <v>648</v>
      </c>
      <c r="F1" s="56" t="s">
        <v>650</v>
      </c>
      <c r="G1" s="56" t="s">
        <v>652</v>
      </c>
      <c r="H1" s="56" t="s">
        <v>654</v>
      </c>
      <c r="I1" s="56" t="s">
        <v>655</v>
      </c>
      <c r="J1" s="56" t="s">
        <v>656</v>
      </c>
      <c r="K1" s="56" t="s">
        <v>658</v>
      </c>
      <c r="L1" s="56" t="s">
        <v>659</v>
      </c>
      <c r="M1" s="56" t="s">
        <v>660</v>
      </c>
      <c r="N1" s="56" t="s">
        <v>661</v>
      </c>
      <c r="O1" s="56" t="s">
        <v>663</v>
      </c>
      <c r="P1" s="56" t="s">
        <v>664</v>
      </c>
      <c r="Q1" s="56" t="s">
        <v>665</v>
      </c>
      <c r="R1" s="56" t="s">
        <v>667</v>
      </c>
      <c r="S1" s="56" t="s">
        <v>669</v>
      </c>
      <c r="T1" s="56" t="s">
        <v>671</v>
      </c>
      <c r="U1" s="56" t="s">
        <v>672</v>
      </c>
      <c r="V1" s="56" t="s">
        <v>673</v>
      </c>
      <c r="W1" s="56" t="s">
        <v>674</v>
      </c>
      <c r="X1" s="56" t="s">
        <v>676</v>
      </c>
      <c r="Y1" s="56" t="s">
        <v>677</v>
      </c>
      <c r="Z1" s="56" t="s">
        <v>678</v>
      </c>
      <c r="AA1" s="56" t="s">
        <v>679</v>
      </c>
      <c r="AB1" s="56" t="s">
        <v>680</v>
      </c>
      <c r="AC1" s="56" t="s">
        <v>681</v>
      </c>
      <c r="AD1" s="56" t="s">
        <v>682</v>
      </c>
      <c r="AE1" s="56" t="s">
        <v>683</v>
      </c>
      <c r="AF1" s="56" t="s">
        <v>686</v>
      </c>
      <c r="AG1" s="56" t="s">
        <v>688</v>
      </c>
      <c r="AH1" s="56" t="s">
        <v>689</v>
      </c>
      <c r="AI1" s="56" t="s">
        <v>690</v>
      </c>
      <c r="AJ1" s="56" t="s">
        <v>691</v>
      </c>
      <c r="AK1" s="56" t="s">
        <v>692</v>
      </c>
      <c r="AL1" s="56" t="s">
        <v>693</v>
      </c>
      <c r="AM1" s="56" t="s">
        <v>695</v>
      </c>
      <c r="AN1" s="56" t="s">
        <v>698</v>
      </c>
      <c r="AO1" s="56" t="s">
        <v>699</v>
      </c>
      <c r="AP1" s="56" t="s">
        <v>700</v>
      </c>
      <c r="AQ1" s="56" t="s">
        <v>701</v>
      </c>
      <c r="AR1" s="56" t="s">
        <v>702</v>
      </c>
      <c r="AS1" s="56" t="s">
        <v>704</v>
      </c>
      <c r="AT1" s="56" t="s">
        <v>706</v>
      </c>
      <c r="AU1" s="56" t="s">
        <v>708</v>
      </c>
      <c r="AV1" s="56" t="s">
        <v>709</v>
      </c>
      <c r="AW1" s="56" t="s">
        <v>710</v>
      </c>
      <c r="AX1" s="56" t="s">
        <v>712</v>
      </c>
      <c r="AY1" s="56" t="s">
        <v>713</v>
      </c>
      <c r="AZ1" s="56" t="s">
        <v>714</v>
      </c>
      <c r="BA1" s="56" t="s">
        <v>715</v>
      </c>
      <c r="BB1" s="56" t="s">
        <v>716</v>
      </c>
      <c r="BC1" s="56" t="s">
        <v>717</v>
      </c>
      <c r="BD1" s="56" t="s">
        <v>719</v>
      </c>
      <c r="BE1" s="56" t="s">
        <v>720</v>
      </c>
      <c r="BF1" s="56" t="s">
        <v>722</v>
      </c>
      <c r="BG1" s="56" t="s">
        <v>725</v>
      </c>
      <c r="BH1" s="56" t="s">
        <v>726</v>
      </c>
      <c r="BI1" s="56" t="s">
        <v>727</v>
      </c>
      <c r="BJ1" s="56" t="s">
        <v>728</v>
      </c>
      <c r="BK1" s="56" t="s">
        <v>729</v>
      </c>
      <c r="BL1" s="56" t="s">
        <v>731</v>
      </c>
      <c r="BM1" s="56" t="s">
        <v>732</v>
      </c>
      <c r="BN1" s="56" t="s">
        <v>733</v>
      </c>
      <c r="BO1" s="56" t="s">
        <v>734</v>
      </c>
      <c r="BP1" s="56" t="s">
        <v>735</v>
      </c>
      <c r="BQ1" s="56" t="s">
        <v>737</v>
      </c>
      <c r="BR1" s="56" t="s">
        <v>738</v>
      </c>
      <c r="BS1" s="56" t="s">
        <v>739</v>
      </c>
      <c r="BT1" s="56" t="s">
        <v>741</v>
      </c>
      <c r="BU1" s="56" t="s">
        <v>743</v>
      </c>
      <c r="BV1" s="56" t="s">
        <v>745</v>
      </c>
      <c r="BW1" s="56" t="s">
        <v>746</v>
      </c>
      <c r="BX1" s="56" t="s">
        <v>747</v>
      </c>
      <c r="BY1" s="56" t="s">
        <v>748</v>
      </c>
      <c r="BZ1" s="56" t="s">
        <v>749</v>
      </c>
      <c r="CA1" s="56" t="s">
        <v>751</v>
      </c>
      <c r="CB1" s="56" t="s">
        <v>752</v>
      </c>
      <c r="CC1" s="56" t="s">
        <v>753</v>
      </c>
      <c r="CD1" s="56" t="s">
        <v>754</v>
      </c>
      <c r="CE1" s="56" t="s">
        <v>755</v>
      </c>
      <c r="CF1" s="56" t="s">
        <v>758</v>
      </c>
      <c r="CG1" s="56" t="s">
        <v>760</v>
      </c>
      <c r="CH1" s="56" t="s">
        <v>761</v>
      </c>
      <c r="CI1" s="56" t="s">
        <v>762</v>
      </c>
      <c r="CJ1" s="56" t="s">
        <v>764</v>
      </c>
      <c r="CK1" s="56" t="s">
        <v>766</v>
      </c>
      <c r="CL1" s="56" t="s">
        <v>767</v>
      </c>
      <c r="CM1" s="56" t="s">
        <v>768</v>
      </c>
      <c r="CN1" s="56" t="s">
        <v>770</v>
      </c>
      <c r="CO1" s="56" t="s">
        <v>771</v>
      </c>
      <c r="CP1" s="56" t="s">
        <v>773</v>
      </c>
      <c r="CQ1" s="56" t="s">
        <v>774</v>
      </c>
      <c r="CR1" s="56" t="s">
        <v>776</v>
      </c>
      <c r="CS1" s="56" t="s">
        <v>777</v>
      </c>
      <c r="CT1" s="56" t="s">
        <v>778</v>
      </c>
      <c r="CU1" s="56" t="s">
        <v>779</v>
      </c>
      <c r="CV1" s="56" t="s">
        <v>780</v>
      </c>
      <c r="CW1" s="56" t="s">
        <v>782</v>
      </c>
      <c r="CX1" s="56" t="s">
        <v>783</v>
      </c>
      <c r="CY1" s="56" t="s">
        <v>784</v>
      </c>
      <c r="CZ1" s="56" t="s">
        <v>785</v>
      </c>
      <c r="DA1" s="56" t="s">
        <v>786</v>
      </c>
      <c r="DB1" s="56" t="s">
        <v>788</v>
      </c>
      <c r="DC1" s="56" t="s">
        <v>789</v>
      </c>
    </row>
    <row r="2" ht="17.25" customHeight="1">
      <c r="A2" s="57">
        <v>3.0</v>
      </c>
      <c r="B2" s="58">
        <v>46190.71571759259</v>
      </c>
      <c r="C2" s="58">
        <v>46190.720821759256</v>
      </c>
      <c r="D2" s="59" t="s">
        <v>793</v>
      </c>
      <c r="E2" s="60"/>
      <c r="F2" s="57">
        <v>29.0</v>
      </c>
      <c r="G2" s="60"/>
      <c r="H2" s="60"/>
      <c r="I2" s="59" t="s">
        <v>523</v>
      </c>
      <c r="J2" s="60"/>
      <c r="K2" s="60"/>
      <c r="L2" s="59" t="s">
        <v>524</v>
      </c>
      <c r="M2" s="60"/>
      <c r="N2" s="60"/>
      <c r="O2" s="59" t="s">
        <v>798</v>
      </c>
      <c r="P2" s="60"/>
      <c r="Q2" s="60"/>
      <c r="R2" s="59" t="s">
        <v>799</v>
      </c>
      <c r="S2" s="57">
        <v>1.0</v>
      </c>
      <c r="T2" s="60"/>
      <c r="U2" s="59" t="s">
        <v>801</v>
      </c>
      <c r="V2" s="57">
        <v>1.0</v>
      </c>
      <c r="W2" s="60"/>
      <c r="X2" s="59" t="s">
        <v>803</v>
      </c>
      <c r="Y2" s="57">
        <v>1.0</v>
      </c>
      <c r="Z2" s="60"/>
      <c r="AA2" s="59" t="s">
        <v>805</v>
      </c>
      <c r="AB2" s="57">
        <v>1.0</v>
      </c>
      <c r="AC2" s="60"/>
      <c r="AD2" s="59" t="s">
        <v>806</v>
      </c>
      <c r="AE2" s="57">
        <v>1.0</v>
      </c>
      <c r="AF2" s="60"/>
      <c r="AG2" s="59" t="s">
        <v>810</v>
      </c>
      <c r="AH2" s="60"/>
      <c r="AI2" s="57">
        <v>1.0</v>
      </c>
      <c r="AJ2" s="59" t="s">
        <v>811</v>
      </c>
      <c r="AK2" s="60"/>
      <c r="AL2" s="57">
        <v>1.0</v>
      </c>
      <c r="AM2" s="59" t="s">
        <v>812</v>
      </c>
      <c r="AN2" s="60"/>
      <c r="AO2" s="57">
        <v>1.0</v>
      </c>
      <c r="AP2" s="59" t="s">
        <v>814</v>
      </c>
      <c r="AQ2" s="60"/>
      <c r="AR2" s="57">
        <v>1.0</v>
      </c>
      <c r="AS2" s="59" t="s">
        <v>799</v>
      </c>
      <c r="AT2" s="60"/>
      <c r="AU2" s="57">
        <v>1.0</v>
      </c>
      <c r="AV2" s="59">
        <v>1.0</v>
      </c>
      <c r="AW2" s="60"/>
      <c r="AX2" s="57">
        <v>1.0</v>
      </c>
      <c r="AY2" s="59" t="b">
        <v>1</v>
      </c>
      <c r="AZ2" s="60"/>
      <c r="BA2" s="57">
        <v>1.0</v>
      </c>
      <c r="BB2" s="59">
        <v>5.0</v>
      </c>
      <c r="BC2" s="60"/>
      <c r="BD2" s="57">
        <v>1.0</v>
      </c>
      <c r="BE2" s="59" t="b">
        <v>0</v>
      </c>
      <c r="BF2" s="57">
        <v>0.0</v>
      </c>
      <c r="BG2" s="60"/>
      <c r="BH2" s="59" t="s">
        <v>819</v>
      </c>
      <c r="BI2" s="57">
        <v>1.0</v>
      </c>
      <c r="BJ2" s="60"/>
      <c r="BK2" s="59" t="b">
        <v>1</v>
      </c>
      <c r="BL2" s="57">
        <v>1.0</v>
      </c>
      <c r="BM2" s="60"/>
      <c r="BN2" s="59">
        <v>3.0</v>
      </c>
      <c r="BO2" s="57">
        <v>1.0</v>
      </c>
      <c r="BP2" s="60"/>
      <c r="BQ2" s="59">
        <v>3.0</v>
      </c>
      <c r="BR2" s="57">
        <v>1.0</v>
      </c>
      <c r="BS2" s="60"/>
      <c r="BT2" s="59" t="b">
        <v>1</v>
      </c>
      <c r="BU2" s="57">
        <v>1.0</v>
      </c>
      <c r="BV2" s="60"/>
      <c r="BW2" s="59" t="b">
        <v>0</v>
      </c>
      <c r="BX2" s="57">
        <v>1.0</v>
      </c>
      <c r="BY2" s="60"/>
      <c r="BZ2" s="59" t="s">
        <v>824</v>
      </c>
      <c r="CA2" s="57">
        <v>1.0</v>
      </c>
      <c r="CB2" s="60"/>
      <c r="CC2" s="59" t="b">
        <v>1</v>
      </c>
      <c r="CD2" s="57">
        <v>1.0</v>
      </c>
      <c r="CE2" s="60"/>
      <c r="CF2" s="59" t="b">
        <v>0</v>
      </c>
      <c r="CG2" s="57">
        <v>1.0</v>
      </c>
      <c r="CH2" s="60"/>
      <c r="CI2" s="59">
        <v>1.0</v>
      </c>
      <c r="CJ2" s="57">
        <v>1.0</v>
      </c>
      <c r="CK2" s="60"/>
      <c r="CL2" s="59">
        <v>2.0</v>
      </c>
      <c r="CM2" s="57">
        <v>1.0</v>
      </c>
      <c r="CN2" s="60"/>
      <c r="CO2" s="59" t="b">
        <v>1</v>
      </c>
      <c r="CP2" s="57">
        <v>1.0</v>
      </c>
      <c r="CQ2" s="60"/>
      <c r="CR2" s="59" t="s">
        <v>829</v>
      </c>
      <c r="CS2" s="57">
        <v>1.0</v>
      </c>
      <c r="CT2" s="60"/>
      <c r="CU2" s="59">
        <v>3.0</v>
      </c>
      <c r="CV2" s="57">
        <v>1.0</v>
      </c>
      <c r="CW2" s="60"/>
      <c r="CX2" s="59" t="b">
        <v>0</v>
      </c>
      <c r="CY2" s="57">
        <v>1.0</v>
      </c>
      <c r="CZ2" s="60"/>
      <c r="DA2" s="59" t="b">
        <v>0</v>
      </c>
      <c r="DB2" s="57">
        <v>1.0</v>
      </c>
      <c r="DC2" s="60"/>
    </row>
    <row r="3" ht="17.25" customHeight="1">
      <c r="A3" s="61">
        <v>4.0</v>
      </c>
      <c r="B3" s="62">
        <v>46190.716886574075</v>
      </c>
      <c r="C3" s="62">
        <v>46190.72114583333</v>
      </c>
      <c r="D3" s="63" t="s">
        <v>793</v>
      </c>
      <c r="E3" s="64"/>
      <c r="F3" s="61">
        <v>26.0</v>
      </c>
      <c r="G3" s="64"/>
      <c r="H3" s="64"/>
      <c r="I3" s="63" t="s">
        <v>83</v>
      </c>
      <c r="J3" s="64"/>
      <c r="K3" s="64"/>
      <c r="L3" s="63" t="s">
        <v>84</v>
      </c>
      <c r="M3" s="64"/>
      <c r="N3" s="64"/>
      <c r="O3" s="63" t="s">
        <v>298</v>
      </c>
      <c r="P3" s="64"/>
      <c r="Q3" s="64"/>
      <c r="R3" s="63" t="s">
        <v>838</v>
      </c>
      <c r="S3" s="61">
        <v>0.0</v>
      </c>
      <c r="T3" s="64"/>
      <c r="U3" s="63" t="s">
        <v>801</v>
      </c>
      <c r="V3" s="61">
        <v>1.0</v>
      </c>
      <c r="W3" s="64"/>
      <c r="X3" s="63" t="s">
        <v>803</v>
      </c>
      <c r="Y3" s="61">
        <v>1.0</v>
      </c>
      <c r="Z3" s="64"/>
      <c r="AA3" s="63" t="s">
        <v>805</v>
      </c>
      <c r="AB3" s="61">
        <v>1.0</v>
      </c>
      <c r="AC3" s="64"/>
      <c r="AD3" s="63" t="s">
        <v>842</v>
      </c>
      <c r="AE3" s="61">
        <v>0.0</v>
      </c>
      <c r="AF3" s="64"/>
      <c r="AG3" s="63" t="s">
        <v>810</v>
      </c>
      <c r="AH3" s="64"/>
      <c r="AI3" s="61">
        <v>1.0</v>
      </c>
      <c r="AJ3" s="63" t="s">
        <v>811</v>
      </c>
      <c r="AK3" s="64"/>
      <c r="AL3" s="61">
        <v>1.0</v>
      </c>
      <c r="AM3" s="63" t="s">
        <v>812</v>
      </c>
      <c r="AN3" s="64"/>
      <c r="AO3" s="61">
        <v>1.0</v>
      </c>
      <c r="AP3" s="63" t="s">
        <v>814</v>
      </c>
      <c r="AQ3" s="64"/>
      <c r="AR3" s="61">
        <v>1.0</v>
      </c>
      <c r="AS3" s="63" t="s">
        <v>799</v>
      </c>
      <c r="AT3" s="64"/>
      <c r="AU3" s="61">
        <v>1.0</v>
      </c>
      <c r="AV3" s="63">
        <v>1.0</v>
      </c>
      <c r="AW3" s="64"/>
      <c r="AX3" s="61">
        <v>1.0</v>
      </c>
      <c r="AY3" s="63" t="b">
        <v>1</v>
      </c>
      <c r="AZ3" s="64"/>
      <c r="BA3" s="61">
        <v>1.0</v>
      </c>
      <c r="BB3" s="63">
        <v>5.0</v>
      </c>
      <c r="BC3" s="64"/>
      <c r="BD3" s="61">
        <v>1.0</v>
      </c>
      <c r="BE3" s="63" t="b">
        <v>0</v>
      </c>
      <c r="BF3" s="61">
        <v>0.0</v>
      </c>
      <c r="BG3" s="64"/>
      <c r="BH3" s="63" t="s">
        <v>819</v>
      </c>
      <c r="BI3" s="61">
        <v>1.0</v>
      </c>
      <c r="BJ3" s="64"/>
      <c r="BK3" s="63" t="b">
        <v>1</v>
      </c>
      <c r="BL3" s="61">
        <v>1.0</v>
      </c>
      <c r="BM3" s="64"/>
      <c r="BN3" s="63">
        <v>3.0</v>
      </c>
      <c r="BO3" s="61">
        <v>1.0</v>
      </c>
      <c r="BP3" s="64"/>
      <c r="BQ3" s="63">
        <v>4.0</v>
      </c>
      <c r="BR3" s="61">
        <v>0.0</v>
      </c>
      <c r="BS3" s="64"/>
      <c r="BT3" s="63" t="b">
        <v>1</v>
      </c>
      <c r="BU3" s="61">
        <v>1.0</v>
      </c>
      <c r="BV3" s="64"/>
      <c r="BW3" s="63" t="b">
        <v>0</v>
      </c>
      <c r="BX3" s="61">
        <v>1.0</v>
      </c>
      <c r="BY3" s="64"/>
      <c r="BZ3" s="63" t="s">
        <v>824</v>
      </c>
      <c r="CA3" s="61">
        <v>1.0</v>
      </c>
      <c r="CB3" s="64"/>
      <c r="CC3" s="63" t="b">
        <v>1</v>
      </c>
      <c r="CD3" s="61">
        <v>1.0</v>
      </c>
      <c r="CE3" s="64"/>
      <c r="CF3" s="63" t="b">
        <v>0</v>
      </c>
      <c r="CG3" s="61">
        <v>1.0</v>
      </c>
      <c r="CH3" s="64"/>
      <c r="CI3" s="63">
        <v>1.0</v>
      </c>
      <c r="CJ3" s="61">
        <v>1.0</v>
      </c>
      <c r="CK3" s="64"/>
      <c r="CL3" s="63">
        <v>2.0</v>
      </c>
      <c r="CM3" s="61">
        <v>1.0</v>
      </c>
      <c r="CN3" s="64"/>
      <c r="CO3" s="63" t="b">
        <v>1</v>
      </c>
      <c r="CP3" s="61">
        <v>1.0</v>
      </c>
      <c r="CQ3" s="64"/>
      <c r="CR3" s="63" t="s">
        <v>829</v>
      </c>
      <c r="CS3" s="61">
        <v>1.0</v>
      </c>
      <c r="CT3" s="64"/>
      <c r="CU3" s="63">
        <v>3.0</v>
      </c>
      <c r="CV3" s="61">
        <v>1.0</v>
      </c>
      <c r="CW3" s="64"/>
      <c r="CX3" s="63" t="b">
        <v>0</v>
      </c>
      <c r="CY3" s="61">
        <v>1.0</v>
      </c>
      <c r="CZ3" s="64"/>
      <c r="DA3" s="63" t="b">
        <v>0</v>
      </c>
      <c r="DB3" s="61">
        <v>1.0</v>
      </c>
      <c r="DC3" s="64"/>
    </row>
    <row r="4" ht="17.25" customHeight="1">
      <c r="A4" s="57">
        <v>5.0</v>
      </c>
      <c r="B4" s="58">
        <v>46190.71648148148</v>
      </c>
      <c r="C4" s="58">
        <v>46190.72137731482</v>
      </c>
      <c r="D4" s="59" t="s">
        <v>793</v>
      </c>
      <c r="E4" s="60"/>
      <c r="F4" s="57">
        <v>28.0</v>
      </c>
      <c r="G4" s="60"/>
      <c r="H4" s="60"/>
      <c r="I4" s="59" t="s">
        <v>863</v>
      </c>
      <c r="J4" s="60"/>
      <c r="K4" s="60"/>
      <c r="L4" s="59" t="s">
        <v>392</v>
      </c>
      <c r="M4" s="60"/>
      <c r="N4" s="60"/>
      <c r="O4" s="59" t="s">
        <v>864</v>
      </c>
      <c r="P4" s="60"/>
      <c r="Q4" s="60"/>
      <c r="R4" s="59" t="s">
        <v>799</v>
      </c>
      <c r="S4" s="57">
        <v>1.0</v>
      </c>
      <c r="T4" s="60"/>
      <c r="U4" s="59" t="s">
        <v>801</v>
      </c>
      <c r="V4" s="57">
        <v>1.0</v>
      </c>
      <c r="W4" s="60"/>
      <c r="X4" s="59" t="s">
        <v>803</v>
      </c>
      <c r="Y4" s="57">
        <v>1.0</v>
      </c>
      <c r="Z4" s="60"/>
      <c r="AA4" s="59" t="s">
        <v>805</v>
      </c>
      <c r="AB4" s="57">
        <v>1.0</v>
      </c>
      <c r="AC4" s="60"/>
      <c r="AD4" s="59" t="s">
        <v>806</v>
      </c>
      <c r="AE4" s="57">
        <v>1.0</v>
      </c>
      <c r="AF4" s="60"/>
      <c r="AG4" s="59" t="s">
        <v>810</v>
      </c>
      <c r="AH4" s="60"/>
      <c r="AI4" s="57">
        <v>1.0</v>
      </c>
      <c r="AJ4" s="59" t="s">
        <v>811</v>
      </c>
      <c r="AK4" s="60"/>
      <c r="AL4" s="57">
        <v>1.0</v>
      </c>
      <c r="AM4" s="59" t="s">
        <v>812</v>
      </c>
      <c r="AN4" s="60"/>
      <c r="AO4" s="57">
        <v>1.0</v>
      </c>
      <c r="AP4" s="59" t="s">
        <v>814</v>
      </c>
      <c r="AQ4" s="60"/>
      <c r="AR4" s="57">
        <v>1.0</v>
      </c>
      <c r="AS4" s="59" t="s">
        <v>838</v>
      </c>
      <c r="AT4" s="60"/>
      <c r="AU4" s="57">
        <v>0.0</v>
      </c>
      <c r="AV4" s="59">
        <v>1.0</v>
      </c>
      <c r="AW4" s="60"/>
      <c r="AX4" s="57">
        <v>1.0</v>
      </c>
      <c r="AY4" s="59" t="b">
        <v>1</v>
      </c>
      <c r="AZ4" s="60"/>
      <c r="BA4" s="57">
        <v>1.0</v>
      </c>
      <c r="BB4" s="59">
        <v>5.0</v>
      </c>
      <c r="BC4" s="60"/>
      <c r="BD4" s="57">
        <v>1.0</v>
      </c>
      <c r="BE4" s="59" t="s">
        <v>876</v>
      </c>
      <c r="BF4" s="57">
        <v>0.0</v>
      </c>
      <c r="BG4" s="60"/>
      <c r="BH4" s="59" t="s">
        <v>819</v>
      </c>
      <c r="BI4" s="57">
        <v>1.0</v>
      </c>
      <c r="BJ4" s="60"/>
      <c r="BK4" s="59" t="b">
        <v>1</v>
      </c>
      <c r="BL4" s="57">
        <v>1.0</v>
      </c>
      <c r="BM4" s="60"/>
      <c r="BN4" s="59">
        <v>3.0</v>
      </c>
      <c r="BO4" s="57">
        <v>1.0</v>
      </c>
      <c r="BP4" s="60"/>
      <c r="BQ4" s="59">
        <v>3.0</v>
      </c>
      <c r="BR4" s="57">
        <v>1.0</v>
      </c>
      <c r="BS4" s="60"/>
      <c r="BT4" s="59" t="b">
        <v>1</v>
      </c>
      <c r="BU4" s="57">
        <v>1.0</v>
      </c>
      <c r="BV4" s="60"/>
      <c r="BW4" s="59" t="b">
        <v>0</v>
      </c>
      <c r="BX4" s="57">
        <v>1.0</v>
      </c>
      <c r="BY4" s="60"/>
      <c r="BZ4" s="59" t="s">
        <v>824</v>
      </c>
      <c r="CA4" s="57">
        <v>1.0</v>
      </c>
      <c r="CB4" s="60"/>
      <c r="CC4" s="59" t="b">
        <v>1</v>
      </c>
      <c r="CD4" s="57">
        <v>1.0</v>
      </c>
      <c r="CE4" s="60"/>
      <c r="CF4" s="59" t="b">
        <v>0</v>
      </c>
      <c r="CG4" s="57">
        <v>1.0</v>
      </c>
      <c r="CH4" s="60"/>
      <c r="CI4" s="59">
        <v>1.0</v>
      </c>
      <c r="CJ4" s="57">
        <v>1.0</v>
      </c>
      <c r="CK4" s="60"/>
      <c r="CL4" s="59">
        <v>2.0</v>
      </c>
      <c r="CM4" s="57">
        <v>1.0</v>
      </c>
      <c r="CN4" s="60"/>
      <c r="CO4" s="59" t="b">
        <v>1</v>
      </c>
      <c r="CP4" s="57">
        <v>1.0</v>
      </c>
      <c r="CQ4" s="60"/>
      <c r="CR4" s="59" t="s">
        <v>829</v>
      </c>
      <c r="CS4" s="57">
        <v>1.0</v>
      </c>
      <c r="CT4" s="60"/>
      <c r="CU4" s="59">
        <v>3.0</v>
      </c>
      <c r="CV4" s="57">
        <v>1.0</v>
      </c>
      <c r="CW4" s="60"/>
      <c r="CX4" s="59" t="b">
        <v>0</v>
      </c>
      <c r="CY4" s="57">
        <v>1.0</v>
      </c>
      <c r="CZ4" s="60"/>
      <c r="DA4" s="59" t="b">
        <v>0</v>
      </c>
      <c r="DB4" s="57">
        <v>1.0</v>
      </c>
      <c r="DC4" s="60"/>
    </row>
    <row r="5" ht="17.25" customHeight="1">
      <c r="A5" s="61">
        <v>6.0</v>
      </c>
      <c r="B5" s="62">
        <v>46190.715625</v>
      </c>
      <c r="C5" s="62">
        <v>46190.721666666665</v>
      </c>
      <c r="D5" s="63" t="s">
        <v>793</v>
      </c>
      <c r="E5" s="64"/>
      <c r="F5" s="61">
        <v>26.0</v>
      </c>
      <c r="G5" s="64"/>
      <c r="H5" s="64"/>
      <c r="I5" s="63" t="s">
        <v>564</v>
      </c>
      <c r="J5" s="64"/>
      <c r="K5" s="64"/>
      <c r="L5" s="63" t="s">
        <v>565</v>
      </c>
      <c r="M5" s="64"/>
      <c r="N5" s="64"/>
      <c r="O5" s="63" t="s">
        <v>893</v>
      </c>
      <c r="P5" s="64"/>
      <c r="Q5" s="64"/>
      <c r="R5" s="63" t="s">
        <v>799</v>
      </c>
      <c r="S5" s="61">
        <v>1.0</v>
      </c>
      <c r="T5" s="64"/>
      <c r="U5" s="63" t="s">
        <v>801</v>
      </c>
      <c r="V5" s="61">
        <v>1.0</v>
      </c>
      <c r="W5" s="64"/>
      <c r="X5" s="63" t="s">
        <v>803</v>
      </c>
      <c r="Y5" s="61">
        <v>1.0</v>
      </c>
      <c r="Z5" s="64"/>
      <c r="AA5" s="63" t="s">
        <v>805</v>
      </c>
      <c r="AB5" s="61">
        <v>1.0</v>
      </c>
      <c r="AC5" s="64"/>
      <c r="AD5" s="63" t="s">
        <v>806</v>
      </c>
      <c r="AE5" s="61">
        <v>1.0</v>
      </c>
      <c r="AF5" s="64"/>
      <c r="AG5" s="63" t="s">
        <v>810</v>
      </c>
      <c r="AH5" s="64"/>
      <c r="AI5" s="61">
        <v>1.0</v>
      </c>
      <c r="AJ5" s="63" t="s">
        <v>811</v>
      </c>
      <c r="AK5" s="64"/>
      <c r="AL5" s="61">
        <v>1.0</v>
      </c>
      <c r="AM5" s="63" t="s">
        <v>812</v>
      </c>
      <c r="AN5" s="64"/>
      <c r="AO5" s="61">
        <v>1.0</v>
      </c>
      <c r="AP5" s="63" t="s">
        <v>806</v>
      </c>
      <c r="AQ5" s="64"/>
      <c r="AR5" s="61">
        <v>0.0</v>
      </c>
      <c r="AS5" s="63" t="s">
        <v>897</v>
      </c>
      <c r="AT5" s="64"/>
      <c r="AU5" s="61">
        <v>0.0</v>
      </c>
      <c r="AV5" s="63">
        <v>1.0</v>
      </c>
      <c r="AW5" s="64"/>
      <c r="AX5" s="61">
        <v>1.0</v>
      </c>
      <c r="AY5" s="63" t="b">
        <v>1</v>
      </c>
      <c r="AZ5" s="64"/>
      <c r="BA5" s="61">
        <v>1.0</v>
      </c>
      <c r="BB5" s="63">
        <v>5.0</v>
      </c>
      <c r="BC5" s="64"/>
      <c r="BD5" s="61">
        <v>1.0</v>
      </c>
      <c r="BE5" s="63" t="s">
        <v>806</v>
      </c>
      <c r="BF5" s="61">
        <v>0.0</v>
      </c>
      <c r="BG5" s="64"/>
      <c r="BH5" s="63" t="s">
        <v>819</v>
      </c>
      <c r="BI5" s="61">
        <v>1.0</v>
      </c>
      <c r="BJ5" s="64"/>
      <c r="BK5" s="63" t="b">
        <v>1</v>
      </c>
      <c r="BL5" s="61">
        <v>1.0</v>
      </c>
      <c r="BM5" s="64"/>
      <c r="BN5" s="63">
        <v>3.0</v>
      </c>
      <c r="BO5" s="61">
        <v>1.0</v>
      </c>
      <c r="BP5" s="64"/>
      <c r="BQ5" s="63">
        <v>3.0</v>
      </c>
      <c r="BR5" s="61">
        <v>1.0</v>
      </c>
      <c r="BS5" s="64"/>
      <c r="BT5" s="63" t="b">
        <v>1</v>
      </c>
      <c r="BU5" s="61">
        <v>1.0</v>
      </c>
      <c r="BV5" s="64"/>
      <c r="BW5" s="63" t="b">
        <v>0</v>
      </c>
      <c r="BX5" s="61">
        <v>1.0</v>
      </c>
      <c r="BY5" s="64"/>
      <c r="BZ5" s="63" t="s">
        <v>824</v>
      </c>
      <c r="CA5" s="61">
        <v>1.0</v>
      </c>
      <c r="CB5" s="64"/>
      <c r="CC5" s="63" t="b">
        <v>1</v>
      </c>
      <c r="CD5" s="61">
        <v>1.0</v>
      </c>
      <c r="CE5" s="64"/>
      <c r="CF5" s="63" t="b">
        <v>0</v>
      </c>
      <c r="CG5" s="61">
        <v>1.0</v>
      </c>
      <c r="CH5" s="64"/>
      <c r="CI5" s="63">
        <v>1.0</v>
      </c>
      <c r="CJ5" s="61">
        <v>1.0</v>
      </c>
      <c r="CK5" s="64"/>
      <c r="CL5" s="63">
        <v>2.0</v>
      </c>
      <c r="CM5" s="61">
        <v>1.0</v>
      </c>
      <c r="CN5" s="64"/>
      <c r="CO5" s="63" t="b">
        <v>1</v>
      </c>
      <c r="CP5" s="61">
        <v>1.0</v>
      </c>
      <c r="CQ5" s="64"/>
      <c r="CR5" s="63" t="s">
        <v>829</v>
      </c>
      <c r="CS5" s="61">
        <v>1.0</v>
      </c>
      <c r="CT5" s="64"/>
      <c r="CU5" s="63" t="s">
        <v>906</v>
      </c>
      <c r="CV5" s="61">
        <v>0.0</v>
      </c>
      <c r="CW5" s="64"/>
      <c r="CX5" s="63" t="b">
        <v>0</v>
      </c>
      <c r="CY5" s="61">
        <v>1.0</v>
      </c>
      <c r="CZ5" s="64"/>
      <c r="DA5" s="63" t="b">
        <v>0</v>
      </c>
      <c r="DB5" s="61">
        <v>1.0</v>
      </c>
      <c r="DC5" s="64"/>
    </row>
    <row r="6" ht="17.25" customHeight="1">
      <c r="A6" s="57">
        <v>7.0</v>
      </c>
      <c r="B6" s="58">
        <v>46190.71658564815</v>
      </c>
      <c r="C6" s="58">
        <v>46190.72331018518</v>
      </c>
      <c r="D6" s="59" t="s">
        <v>793</v>
      </c>
      <c r="E6" s="60"/>
      <c r="F6" s="57">
        <v>27.0</v>
      </c>
      <c r="G6" s="60"/>
      <c r="H6" s="60"/>
      <c r="I6" s="59" t="s">
        <v>886</v>
      </c>
      <c r="J6" s="60"/>
      <c r="K6" s="60"/>
      <c r="L6" s="59" t="s">
        <v>888</v>
      </c>
      <c r="M6" s="60"/>
      <c r="N6" s="60"/>
      <c r="O6" s="59" t="s">
        <v>910</v>
      </c>
      <c r="P6" s="60"/>
      <c r="Q6" s="60"/>
      <c r="R6" s="59" t="s">
        <v>799</v>
      </c>
      <c r="S6" s="57">
        <v>1.0</v>
      </c>
      <c r="T6" s="60"/>
      <c r="U6" s="59" t="s">
        <v>801</v>
      </c>
      <c r="V6" s="57">
        <v>1.0</v>
      </c>
      <c r="W6" s="60"/>
      <c r="X6" s="59" t="s">
        <v>803</v>
      </c>
      <c r="Y6" s="57">
        <v>1.0</v>
      </c>
      <c r="Z6" s="60"/>
      <c r="AA6" s="59" t="s">
        <v>805</v>
      </c>
      <c r="AB6" s="57">
        <v>1.0</v>
      </c>
      <c r="AC6" s="60"/>
      <c r="AD6" s="59" t="s">
        <v>806</v>
      </c>
      <c r="AE6" s="57">
        <v>1.0</v>
      </c>
      <c r="AF6" s="60"/>
      <c r="AG6" s="59" t="s">
        <v>810</v>
      </c>
      <c r="AH6" s="60"/>
      <c r="AI6" s="57">
        <v>1.0</v>
      </c>
      <c r="AJ6" s="59" t="s">
        <v>811</v>
      </c>
      <c r="AK6" s="60"/>
      <c r="AL6" s="57">
        <v>1.0</v>
      </c>
      <c r="AM6" s="59" t="s">
        <v>812</v>
      </c>
      <c r="AN6" s="60"/>
      <c r="AO6" s="57">
        <v>1.0</v>
      </c>
      <c r="AP6" s="59" t="s">
        <v>814</v>
      </c>
      <c r="AQ6" s="60"/>
      <c r="AR6" s="57">
        <v>1.0</v>
      </c>
      <c r="AS6" s="59" t="s">
        <v>799</v>
      </c>
      <c r="AT6" s="60"/>
      <c r="AU6" s="57">
        <v>1.0</v>
      </c>
      <c r="AV6" s="59">
        <v>1.0</v>
      </c>
      <c r="AW6" s="60"/>
      <c r="AX6" s="57">
        <v>1.0</v>
      </c>
      <c r="AY6" s="59" t="b">
        <v>1</v>
      </c>
      <c r="AZ6" s="60"/>
      <c r="BA6" s="57">
        <v>1.0</v>
      </c>
      <c r="BB6" s="59">
        <v>5.0</v>
      </c>
      <c r="BC6" s="60"/>
      <c r="BD6" s="57">
        <v>1.0</v>
      </c>
      <c r="BE6" s="59" t="b">
        <v>0</v>
      </c>
      <c r="BF6" s="57">
        <v>0.0</v>
      </c>
      <c r="BG6" s="60"/>
      <c r="BH6" s="59" t="s">
        <v>915</v>
      </c>
      <c r="BI6" s="57">
        <v>0.0</v>
      </c>
      <c r="BJ6" s="60"/>
      <c r="BK6" s="59" t="b">
        <v>1</v>
      </c>
      <c r="BL6" s="57">
        <v>1.0</v>
      </c>
      <c r="BM6" s="60"/>
      <c r="BN6" s="59">
        <v>3.0</v>
      </c>
      <c r="BO6" s="57">
        <v>1.0</v>
      </c>
      <c r="BP6" s="60"/>
      <c r="BQ6" s="59">
        <v>4.0</v>
      </c>
      <c r="BR6" s="57">
        <v>0.0</v>
      </c>
      <c r="BS6" s="60"/>
      <c r="BT6" s="59" t="b">
        <v>1</v>
      </c>
      <c r="BU6" s="57">
        <v>1.0</v>
      </c>
      <c r="BV6" s="60"/>
      <c r="BW6" s="59" t="b">
        <v>0</v>
      </c>
      <c r="BX6" s="57">
        <v>1.0</v>
      </c>
      <c r="BY6" s="60"/>
      <c r="BZ6" s="59" t="s">
        <v>824</v>
      </c>
      <c r="CA6" s="57">
        <v>1.0</v>
      </c>
      <c r="CB6" s="60"/>
      <c r="CC6" s="59" t="b">
        <v>1</v>
      </c>
      <c r="CD6" s="57">
        <v>1.0</v>
      </c>
      <c r="CE6" s="60"/>
      <c r="CF6" s="59" t="b">
        <v>0</v>
      </c>
      <c r="CG6" s="57">
        <v>1.0</v>
      </c>
      <c r="CH6" s="60"/>
      <c r="CI6" s="59">
        <v>1.0</v>
      </c>
      <c r="CJ6" s="57">
        <v>1.0</v>
      </c>
      <c r="CK6" s="60"/>
      <c r="CL6" s="59">
        <v>2.0</v>
      </c>
      <c r="CM6" s="57">
        <v>1.0</v>
      </c>
      <c r="CN6" s="60"/>
      <c r="CO6" s="59" t="b">
        <v>1</v>
      </c>
      <c r="CP6" s="57">
        <v>1.0</v>
      </c>
      <c r="CQ6" s="60"/>
      <c r="CR6" s="59" t="s">
        <v>829</v>
      </c>
      <c r="CS6" s="57">
        <v>1.0</v>
      </c>
      <c r="CT6" s="60"/>
      <c r="CU6" s="59">
        <v>3.0</v>
      </c>
      <c r="CV6" s="57">
        <v>1.0</v>
      </c>
      <c r="CW6" s="60"/>
      <c r="CX6" s="59" t="b">
        <v>0</v>
      </c>
      <c r="CY6" s="57">
        <v>1.0</v>
      </c>
      <c r="CZ6" s="60"/>
      <c r="DA6" s="59" t="b">
        <v>0</v>
      </c>
      <c r="DB6" s="57">
        <v>1.0</v>
      </c>
      <c r="DC6" s="60"/>
    </row>
    <row r="7" ht="17.25" customHeight="1">
      <c r="A7" s="61">
        <v>8.0</v>
      </c>
      <c r="B7" s="62">
        <v>46190.71581018518</v>
      </c>
      <c r="C7" s="62">
        <v>46190.72353009259</v>
      </c>
      <c r="D7" s="63" t="s">
        <v>793</v>
      </c>
      <c r="E7" s="64"/>
      <c r="F7" s="61">
        <v>16.0</v>
      </c>
      <c r="G7" s="64"/>
      <c r="H7" s="64"/>
      <c r="I7" s="63" t="s">
        <v>233</v>
      </c>
      <c r="J7" s="64"/>
      <c r="K7" s="64"/>
      <c r="L7" s="63" t="s">
        <v>234</v>
      </c>
      <c r="M7" s="64"/>
      <c r="N7" s="64"/>
      <c r="O7" s="63" t="s">
        <v>923</v>
      </c>
      <c r="P7" s="64"/>
      <c r="Q7" s="64"/>
      <c r="R7" s="63" t="s">
        <v>799</v>
      </c>
      <c r="S7" s="61">
        <v>1.0</v>
      </c>
      <c r="T7" s="64"/>
      <c r="U7" s="63" t="s">
        <v>801</v>
      </c>
      <c r="V7" s="61">
        <v>1.0</v>
      </c>
      <c r="W7" s="64"/>
      <c r="X7" s="63" t="s">
        <v>806</v>
      </c>
      <c r="Y7" s="61">
        <v>0.0</v>
      </c>
      <c r="Z7" s="64"/>
      <c r="AA7" s="63" t="s">
        <v>805</v>
      </c>
      <c r="AB7" s="61">
        <v>1.0</v>
      </c>
      <c r="AC7" s="64"/>
      <c r="AD7" s="63" t="s">
        <v>842</v>
      </c>
      <c r="AE7" s="61">
        <v>0.0</v>
      </c>
      <c r="AF7" s="64"/>
      <c r="AG7" s="63" t="s">
        <v>810</v>
      </c>
      <c r="AH7" s="64"/>
      <c r="AI7" s="61">
        <v>1.0</v>
      </c>
      <c r="AJ7" s="63" t="s">
        <v>897</v>
      </c>
      <c r="AK7" s="64"/>
      <c r="AL7" s="61">
        <v>0.0</v>
      </c>
      <c r="AM7" s="63" t="s">
        <v>812</v>
      </c>
      <c r="AN7" s="64"/>
      <c r="AO7" s="61">
        <v>1.0</v>
      </c>
      <c r="AP7" s="63" t="s">
        <v>801</v>
      </c>
      <c r="AQ7" s="64"/>
      <c r="AR7" s="61">
        <v>0.0</v>
      </c>
      <c r="AS7" s="63" t="s">
        <v>799</v>
      </c>
      <c r="AT7" s="64"/>
      <c r="AU7" s="61">
        <v>1.0</v>
      </c>
      <c r="AV7" s="63">
        <v>1.0</v>
      </c>
      <c r="AW7" s="64"/>
      <c r="AX7" s="61">
        <v>1.0</v>
      </c>
      <c r="AY7" s="63" t="s">
        <v>806</v>
      </c>
      <c r="AZ7" s="64"/>
      <c r="BA7" s="61">
        <v>0.0</v>
      </c>
      <c r="BB7" s="63">
        <v>5.0</v>
      </c>
      <c r="BC7" s="64"/>
      <c r="BD7" s="61">
        <v>1.0</v>
      </c>
      <c r="BE7" s="63" t="b">
        <v>0</v>
      </c>
      <c r="BF7" s="61">
        <v>0.0</v>
      </c>
      <c r="BG7" s="64"/>
      <c r="BH7" s="63" t="s">
        <v>819</v>
      </c>
      <c r="BI7" s="61">
        <v>1.0</v>
      </c>
      <c r="BJ7" s="64"/>
      <c r="BK7" s="63" t="b">
        <v>0</v>
      </c>
      <c r="BL7" s="61">
        <v>0.0</v>
      </c>
      <c r="BM7" s="64"/>
      <c r="BN7" s="63">
        <v>3.0</v>
      </c>
      <c r="BO7" s="61">
        <v>1.0</v>
      </c>
      <c r="BP7" s="64"/>
      <c r="BQ7" s="63">
        <v>2.0</v>
      </c>
      <c r="BR7" s="61">
        <v>0.0</v>
      </c>
      <c r="BS7" s="64"/>
      <c r="BT7" s="63" t="s">
        <v>806</v>
      </c>
      <c r="BU7" s="61">
        <v>0.0</v>
      </c>
      <c r="BV7" s="64"/>
      <c r="BW7" s="63" t="b">
        <v>0</v>
      </c>
      <c r="BX7" s="61">
        <v>1.0</v>
      </c>
      <c r="BY7" s="64"/>
      <c r="BZ7" s="63" t="s">
        <v>824</v>
      </c>
      <c r="CA7" s="61">
        <v>1.0</v>
      </c>
      <c r="CB7" s="64"/>
      <c r="CC7" s="63" t="s">
        <v>806</v>
      </c>
      <c r="CD7" s="61">
        <v>0.0</v>
      </c>
      <c r="CE7" s="64"/>
      <c r="CF7" s="64"/>
      <c r="CG7" s="61">
        <v>0.0</v>
      </c>
      <c r="CH7" s="64"/>
      <c r="CI7" s="63" t="s">
        <v>806</v>
      </c>
      <c r="CJ7" s="61">
        <v>0.0</v>
      </c>
      <c r="CK7" s="64"/>
      <c r="CL7" s="63">
        <v>1.0</v>
      </c>
      <c r="CM7" s="61">
        <v>0.0</v>
      </c>
      <c r="CN7" s="64"/>
      <c r="CO7" s="63" t="b">
        <v>1</v>
      </c>
      <c r="CP7" s="61">
        <v>1.0</v>
      </c>
      <c r="CQ7" s="64"/>
      <c r="CR7" s="63" t="s">
        <v>829</v>
      </c>
      <c r="CS7" s="61">
        <v>1.0</v>
      </c>
      <c r="CT7" s="64"/>
      <c r="CU7" s="63" t="s">
        <v>906</v>
      </c>
      <c r="CV7" s="61">
        <v>0.0</v>
      </c>
      <c r="CW7" s="64"/>
      <c r="CX7" s="63" t="b">
        <v>0</v>
      </c>
      <c r="CY7" s="61">
        <v>1.0</v>
      </c>
      <c r="CZ7" s="64"/>
      <c r="DA7" s="63" t="b">
        <v>0</v>
      </c>
      <c r="DB7" s="61">
        <v>1.0</v>
      </c>
      <c r="DC7" s="64"/>
    </row>
    <row r="8" ht="17.25" customHeight="1">
      <c r="A8" s="57">
        <v>9.0</v>
      </c>
      <c r="B8" s="58">
        <v>46190.71571759259</v>
      </c>
      <c r="C8" s="58">
        <v>46190.723969907405</v>
      </c>
      <c r="D8" s="59" t="s">
        <v>793</v>
      </c>
      <c r="E8" s="60"/>
      <c r="F8" s="57">
        <v>18.0</v>
      </c>
      <c r="G8" s="60"/>
      <c r="H8" s="60"/>
      <c r="I8" s="59" t="s">
        <v>939</v>
      </c>
      <c r="J8" s="60"/>
      <c r="K8" s="60"/>
      <c r="L8" s="59" t="s">
        <v>707</v>
      </c>
      <c r="M8" s="60"/>
      <c r="N8" s="60"/>
      <c r="O8" s="59" t="s">
        <v>941</v>
      </c>
      <c r="P8" s="60"/>
      <c r="Q8" s="60"/>
      <c r="R8" s="59" t="s">
        <v>799</v>
      </c>
      <c r="S8" s="57">
        <v>1.0</v>
      </c>
      <c r="T8" s="60"/>
      <c r="U8" s="59" t="s">
        <v>801</v>
      </c>
      <c r="V8" s="57">
        <v>1.0</v>
      </c>
      <c r="W8" s="60"/>
      <c r="X8" s="59" t="s">
        <v>803</v>
      </c>
      <c r="Y8" s="57">
        <v>1.0</v>
      </c>
      <c r="Z8" s="60"/>
      <c r="AA8" s="59" t="s">
        <v>805</v>
      </c>
      <c r="AB8" s="57">
        <v>1.0</v>
      </c>
      <c r="AC8" s="60"/>
      <c r="AD8" s="59" t="s">
        <v>842</v>
      </c>
      <c r="AE8" s="57">
        <v>0.0</v>
      </c>
      <c r="AF8" s="60"/>
      <c r="AG8" s="59" t="s">
        <v>810</v>
      </c>
      <c r="AH8" s="60"/>
      <c r="AI8" s="57">
        <v>1.0</v>
      </c>
      <c r="AJ8" s="59" t="s">
        <v>811</v>
      </c>
      <c r="AK8" s="60"/>
      <c r="AL8" s="57">
        <v>1.0</v>
      </c>
      <c r="AM8" s="59" t="s">
        <v>945</v>
      </c>
      <c r="AN8" s="60"/>
      <c r="AO8" s="57">
        <v>0.0</v>
      </c>
      <c r="AP8" s="59" t="s">
        <v>814</v>
      </c>
      <c r="AQ8" s="60"/>
      <c r="AR8" s="57">
        <v>1.0</v>
      </c>
      <c r="AS8" s="59" t="s">
        <v>897</v>
      </c>
      <c r="AT8" s="60"/>
      <c r="AU8" s="57">
        <v>0.0</v>
      </c>
      <c r="AV8" s="59" t="s">
        <v>806</v>
      </c>
      <c r="AW8" s="60"/>
      <c r="AX8" s="57">
        <v>0.0</v>
      </c>
      <c r="AY8" s="59" t="b">
        <v>1</v>
      </c>
      <c r="AZ8" s="60"/>
      <c r="BA8" s="57">
        <v>1.0</v>
      </c>
      <c r="BB8" s="59">
        <v>5.0</v>
      </c>
      <c r="BC8" s="60"/>
      <c r="BD8" s="57">
        <v>1.0</v>
      </c>
      <c r="BE8" s="59" t="b">
        <v>0</v>
      </c>
      <c r="BF8" s="57">
        <v>0.0</v>
      </c>
      <c r="BG8" s="60"/>
      <c r="BH8" s="59" t="s">
        <v>819</v>
      </c>
      <c r="BI8" s="57">
        <v>1.0</v>
      </c>
      <c r="BJ8" s="60"/>
      <c r="BK8" s="59" t="b">
        <v>0</v>
      </c>
      <c r="BL8" s="57">
        <v>0.0</v>
      </c>
      <c r="BM8" s="60"/>
      <c r="BN8" s="59">
        <v>3.0</v>
      </c>
      <c r="BO8" s="57">
        <v>1.0</v>
      </c>
      <c r="BP8" s="60"/>
      <c r="BQ8" s="59">
        <v>3.0</v>
      </c>
      <c r="BR8" s="57">
        <v>1.0</v>
      </c>
      <c r="BS8" s="60"/>
      <c r="BT8" s="59" t="b">
        <v>1</v>
      </c>
      <c r="BU8" s="57">
        <v>1.0</v>
      </c>
      <c r="BV8" s="60"/>
      <c r="BW8" s="59" t="b">
        <v>1</v>
      </c>
      <c r="BX8" s="57">
        <v>0.0</v>
      </c>
      <c r="BY8" s="60"/>
      <c r="BZ8" s="59" t="s">
        <v>824</v>
      </c>
      <c r="CA8" s="57">
        <v>1.0</v>
      </c>
      <c r="CB8" s="60"/>
      <c r="CC8" s="59" t="b">
        <v>1</v>
      </c>
      <c r="CD8" s="57">
        <v>1.0</v>
      </c>
      <c r="CE8" s="60"/>
      <c r="CF8" s="59" t="b">
        <v>1</v>
      </c>
      <c r="CG8" s="57">
        <v>0.0</v>
      </c>
      <c r="CH8" s="60"/>
      <c r="CI8" s="59">
        <v>1.0</v>
      </c>
      <c r="CJ8" s="57">
        <v>1.0</v>
      </c>
      <c r="CK8" s="60"/>
      <c r="CL8" s="59">
        <v>2.0</v>
      </c>
      <c r="CM8" s="57">
        <v>1.0</v>
      </c>
      <c r="CN8" s="60"/>
      <c r="CO8" s="59" t="b">
        <v>1</v>
      </c>
      <c r="CP8" s="57">
        <v>1.0</v>
      </c>
      <c r="CQ8" s="60"/>
      <c r="CR8" s="59" t="s">
        <v>950</v>
      </c>
      <c r="CS8" s="57">
        <v>0.0</v>
      </c>
      <c r="CT8" s="60"/>
      <c r="CU8" s="59" t="s">
        <v>906</v>
      </c>
      <c r="CV8" s="57">
        <v>0.0</v>
      </c>
      <c r="CW8" s="60"/>
      <c r="CX8" s="59" t="s">
        <v>950</v>
      </c>
      <c r="CY8" s="57">
        <v>0.0</v>
      </c>
      <c r="CZ8" s="60"/>
      <c r="DA8" s="59" t="b">
        <v>1</v>
      </c>
      <c r="DB8" s="57">
        <v>0.0</v>
      </c>
      <c r="DC8" s="60"/>
    </row>
    <row r="9" ht="17.25" customHeight="1">
      <c r="A9" s="61">
        <v>10.0</v>
      </c>
      <c r="B9" s="62">
        <v>46190.71604166667</v>
      </c>
      <c r="C9" s="62">
        <v>46190.7244212963</v>
      </c>
      <c r="D9" s="63" t="s">
        <v>793</v>
      </c>
      <c r="E9" s="64"/>
      <c r="F9" s="61">
        <v>14.0</v>
      </c>
      <c r="G9" s="64"/>
      <c r="H9" s="64"/>
      <c r="I9" s="63" t="s">
        <v>593</v>
      </c>
      <c r="J9" s="64"/>
      <c r="K9" s="64"/>
      <c r="L9" s="63" t="s">
        <v>595</v>
      </c>
      <c r="M9" s="64"/>
      <c r="N9" s="64"/>
      <c r="O9" s="63" t="s">
        <v>951</v>
      </c>
      <c r="P9" s="64"/>
      <c r="Q9" s="64"/>
      <c r="R9" s="63" t="s">
        <v>799</v>
      </c>
      <c r="S9" s="61">
        <v>1.0</v>
      </c>
      <c r="T9" s="64"/>
      <c r="U9" s="63" t="s">
        <v>814</v>
      </c>
      <c r="V9" s="61">
        <v>0.0</v>
      </c>
      <c r="W9" s="64"/>
      <c r="X9" s="63" t="s">
        <v>803</v>
      </c>
      <c r="Y9" s="61">
        <v>1.0</v>
      </c>
      <c r="Z9" s="64"/>
      <c r="AA9" s="64"/>
      <c r="AB9" s="61">
        <v>0.0</v>
      </c>
      <c r="AC9" s="64"/>
      <c r="AD9" s="64"/>
      <c r="AE9" s="61">
        <v>0.0</v>
      </c>
      <c r="AF9" s="64"/>
      <c r="AG9" s="63" t="s">
        <v>810</v>
      </c>
      <c r="AH9" s="64"/>
      <c r="AI9" s="61">
        <v>1.0</v>
      </c>
      <c r="AJ9" s="63" t="s">
        <v>897</v>
      </c>
      <c r="AK9" s="64"/>
      <c r="AL9" s="61">
        <v>0.0</v>
      </c>
      <c r="AM9" s="63" t="s">
        <v>806</v>
      </c>
      <c r="AN9" s="64"/>
      <c r="AO9" s="61">
        <v>0.0</v>
      </c>
      <c r="AP9" s="63" t="s">
        <v>814</v>
      </c>
      <c r="AQ9" s="64"/>
      <c r="AR9" s="61">
        <v>1.0</v>
      </c>
      <c r="AS9" s="63" t="s">
        <v>897</v>
      </c>
      <c r="AT9" s="64"/>
      <c r="AU9" s="61">
        <v>0.0</v>
      </c>
      <c r="AV9" s="63">
        <v>0.0</v>
      </c>
      <c r="AW9" s="64"/>
      <c r="AX9" s="61">
        <v>0.0</v>
      </c>
      <c r="AY9" s="63" t="b">
        <v>1</v>
      </c>
      <c r="AZ9" s="64"/>
      <c r="BA9" s="61">
        <v>1.0</v>
      </c>
      <c r="BB9" s="63">
        <v>5.0</v>
      </c>
      <c r="BC9" s="64"/>
      <c r="BD9" s="61">
        <v>1.0</v>
      </c>
      <c r="BE9" s="63" t="b">
        <v>1</v>
      </c>
      <c r="BF9" s="61">
        <v>1.0</v>
      </c>
      <c r="BG9" s="64"/>
      <c r="BH9" s="64"/>
      <c r="BI9" s="61">
        <v>0.0</v>
      </c>
      <c r="BJ9" s="64"/>
      <c r="BK9" s="63" t="s">
        <v>806</v>
      </c>
      <c r="BL9" s="61">
        <v>0.0</v>
      </c>
      <c r="BM9" s="64"/>
      <c r="BN9" s="63">
        <v>3.0</v>
      </c>
      <c r="BO9" s="61">
        <v>1.0</v>
      </c>
      <c r="BP9" s="64"/>
      <c r="BQ9" s="63">
        <v>4.0</v>
      </c>
      <c r="BR9" s="61">
        <v>0.0</v>
      </c>
      <c r="BS9" s="64"/>
      <c r="BT9" s="63" t="b">
        <v>1</v>
      </c>
      <c r="BU9" s="61">
        <v>1.0</v>
      </c>
      <c r="BV9" s="64"/>
      <c r="BW9" s="63" t="s">
        <v>806</v>
      </c>
      <c r="BX9" s="61">
        <v>0.0</v>
      </c>
      <c r="BY9" s="64"/>
      <c r="BZ9" s="63" t="s">
        <v>824</v>
      </c>
      <c r="CA9" s="61">
        <v>1.0</v>
      </c>
      <c r="CB9" s="64"/>
      <c r="CC9" s="63" t="b">
        <v>1</v>
      </c>
      <c r="CD9" s="61">
        <v>1.0</v>
      </c>
      <c r="CE9" s="64"/>
      <c r="CF9" s="63" t="b">
        <v>0</v>
      </c>
      <c r="CG9" s="61">
        <v>1.0</v>
      </c>
      <c r="CH9" s="64"/>
      <c r="CI9" s="63">
        <v>1.0</v>
      </c>
      <c r="CJ9" s="61">
        <v>1.0</v>
      </c>
      <c r="CK9" s="64"/>
      <c r="CL9" s="63" t="s">
        <v>806</v>
      </c>
      <c r="CM9" s="61">
        <v>0.0</v>
      </c>
      <c r="CN9" s="64"/>
      <c r="CO9" s="63" t="b">
        <v>1</v>
      </c>
      <c r="CP9" s="61">
        <v>1.0</v>
      </c>
      <c r="CQ9" s="64"/>
      <c r="CR9" s="63" t="s">
        <v>953</v>
      </c>
      <c r="CS9" s="61">
        <v>0.0</v>
      </c>
      <c r="CT9" s="64"/>
      <c r="CU9" s="63" t="s">
        <v>906</v>
      </c>
      <c r="CV9" s="61">
        <v>0.0</v>
      </c>
      <c r="CW9" s="64"/>
      <c r="CX9" s="63" t="s">
        <v>806</v>
      </c>
      <c r="CY9" s="61">
        <v>0.0</v>
      </c>
      <c r="CZ9" s="64"/>
      <c r="DA9" s="63" t="b">
        <v>1</v>
      </c>
      <c r="DB9" s="61">
        <v>0.0</v>
      </c>
      <c r="DC9" s="64"/>
    </row>
    <row r="10" ht="17.25" customHeight="1">
      <c r="A10" s="57">
        <v>11.0</v>
      </c>
      <c r="B10" s="58">
        <v>46190.71690972222</v>
      </c>
      <c r="C10" s="58">
        <v>46190.72515046296</v>
      </c>
      <c r="D10" s="59" t="s">
        <v>793</v>
      </c>
      <c r="E10" s="60"/>
      <c r="F10" s="57">
        <v>22.0</v>
      </c>
      <c r="G10" s="60"/>
      <c r="H10" s="60"/>
      <c r="I10" s="59" t="s">
        <v>374</v>
      </c>
      <c r="J10" s="60"/>
      <c r="K10" s="60"/>
      <c r="L10" s="59" t="s">
        <v>376</v>
      </c>
      <c r="M10" s="60"/>
      <c r="N10" s="60"/>
      <c r="O10" s="59" t="s">
        <v>956</v>
      </c>
      <c r="P10" s="60"/>
      <c r="Q10" s="60"/>
      <c r="R10" s="59" t="s">
        <v>799</v>
      </c>
      <c r="S10" s="57">
        <v>1.0</v>
      </c>
      <c r="T10" s="60"/>
      <c r="U10" s="59" t="s">
        <v>801</v>
      </c>
      <c r="V10" s="57">
        <v>1.0</v>
      </c>
      <c r="W10" s="60"/>
      <c r="X10" s="59" t="s">
        <v>803</v>
      </c>
      <c r="Y10" s="57">
        <v>1.0</v>
      </c>
      <c r="Z10" s="60"/>
      <c r="AA10" s="59" t="s">
        <v>806</v>
      </c>
      <c r="AB10" s="57">
        <v>0.0</v>
      </c>
      <c r="AC10" s="60"/>
      <c r="AD10" s="59" t="s">
        <v>806</v>
      </c>
      <c r="AE10" s="57">
        <v>1.0</v>
      </c>
      <c r="AF10" s="60"/>
      <c r="AG10" s="59" t="s">
        <v>810</v>
      </c>
      <c r="AH10" s="60"/>
      <c r="AI10" s="57">
        <v>1.0</v>
      </c>
      <c r="AJ10" s="59" t="s">
        <v>811</v>
      </c>
      <c r="AK10" s="60"/>
      <c r="AL10" s="57">
        <v>1.0</v>
      </c>
      <c r="AM10" s="59" t="s">
        <v>812</v>
      </c>
      <c r="AN10" s="60"/>
      <c r="AO10" s="57">
        <v>1.0</v>
      </c>
      <c r="AP10" s="59" t="s">
        <v>814</v>
      </c>
      <c r="AQ10" s="60"/>
      <c r="AR10" s="57">
        <v>1.0</v>
      </c>
      <c r="AS10" s="59" t="s">
        <v>838</v>
      </c>
      <c r="AT10" s="60"/>
      <c r="AU10" s="57">
        <v>0.0</v>
      </c>
      <c r="AV10" s="59">
        <v>1.0</v>
      </c>
      <c r="AW10" s="60"/>
      <c r="AX10" s="57">
        <v>1.0</v>
      </c>
      <c r="AY10" s="59" t="b">
        <v>1</v>
      </c>
      <c r="AZ10" s="60"/>
      <c r="BA10" s="57">
        <v>1.0</v>
      </c>
      <c r="BB10" s="59">
        <v>5.0</v>
      </c>
      <c r="BC10" s="60"/>
      <c r="BD10" s="57">
        <v>1.0</v>
      </c>
      <c r="BE10" s="59" t="b">
        <v>0</v>
      </c>
      <c r="BF10" s="57">
        <v>0.0</v>
      </c>
      <c r="BG10" s="60"/>
      <c r="BH10" s="59" t="s">
        <v>819</v>
      </c>
      <c r="BI10" s="57">
        <v>1.0</v>
      </c>
      <c r="BJ10" s="60"/>
      <c r="BK10" s="59" t="b">
        <v>1</v>
      </c>
      <c r="BL10" s="57">
        <v>1.0</v>
      </c>
      <c r="BM10" s="60"/>
      <c r="BN10" s="59">
        <v>5.0</v>
      </c>
      <c r="BO10" s="57">
        <v>0.0</v>
      </c>
      <c r="BP10" s="60"/>
      <c r="BQ10" s="59">
        <v>2.0</v>
      </c>
      <c r="BR10" s="57">
        <v>0.0</v>
      </c>
      <c r="BS10" s="60"/>
      <c r="BT10" s="59" t="b">
        <v>1</v>
      </c>
      <c r="BU10" s="57">
        <v>1.0</v>
      </c>
      <c r="BV10" s="60"/>
      <c r="BW10" s="59" t="b">
        <v>0</v>
      </c>
      <c r="BX10" s="57">
        <v>1.0</v>
      </c>
      <c r="BY10" s="60"/>
      <c r="BZ10" s="59" t="s">
        <v>824</v>
      </c>
      <c r="CA10" s="57">
        <v>1.0</v>
      </c>
      <c r="CB10" s="60"/>
      <c r="CC10" s="59" t="s">
        <v>960</v>
      </c>
      <c r="CD10" s="57">
        <v>0.0</v>
      </c>
      <c r="CE10" s="60"/>
      <c r="CF10" s="59" t="b">
        <v>0</v>
      </c>
      <c r="CG10" s="57">
        <v>1.0</v>
      </c>
      <c r="CH10" s="60"/>
      <c r="CI10" s="59">
        <v>1.0</v>
      </c>
      <c r="CJ10" s="57">
        <v>1.0</v>
      </c>
      <c r="CK10" s="60"/>
      <c r="CL10" s="59">
        <v>2.0</v>
      </c>
      <c r="CM10" s="57">
        <v>1.0</v>
      </c>
      <c r="CN10" s="60"/>
      <c r="CO10" s="59" t="b">
        <v>1</v>
      </c>
      <c r="CP10" s="57">
        <v>1.0</v>
      </c>
      <c r="CQ10" s="60"/>
      <c r="CR10" s="59" t="s">
        <v>953</v>
      </c>
      <c r="CS10" s="57">
        <v>0.0</v>
      </c>
      <c r="CT10" s="60"/>
      <c r="CU10" s="59">
        <v>3.0</v>
      </c>
      <c r="CV10" s="57">
        <v>1.0</v>
      </c>
      <c r="CW10" s="60"/>
      <c r="CX10" s="59" t="b">
        <v>0</v>
      </c>
      <c r="CY10" s="57">
        <v>1.0</v>
      </c>
      <c r="CZ10" s="60"/>
      <c r="DA10" s="60"/>
      <c r="DB10" s="57">
        <v>0.0</v>
      </c>
      <c r="DC10" s="60"/>
    </row>
    <row r="11" ht="17.25" customHeight="1">
      <c r="A11" s="61">
        <v>12.0</v>
      </c>
      <c r="B11" s="62">
        <v>46190.71776620371</v>
      </c>
      <c r="C11" s="62">
        <v>46190.725173611114</v>
      </c>
      <c r="D11" s="63" t="s">
        <v>793</v>
      </c>
      <c r="E11" s="64"/>
      <c r="F11" s="61">
        <v>15.0</v>
      </c>
      <c r="G11" s="64"/>
      <c r="H11" s="64"/>
      <c r="I11" s="63" t="s">
        <v>134</v>
      </c>
      <c r="J11" s="64"/>
      <c r="K11" s="64"/>
      <c r="L11" s="63" t="s">
        <v>136</v>
      </c>
      <c r="M11" s="64"/>
      <c r="N11" s="64"/>
      <c r="O11" s="63" t="s">
        <v>431</v>
      </c>
      <c r="P11" s="64"/>
      <c r="Q11" s="64"/>
      <c r="R11" s="63" t="s">
        <v>799</v>
      </c>
      <c r="S11" s="61">
        <v>1.0</v>
      </c>
      <c r="T11" s="64"/>
      <c r="U11" s="63" t="s">
        <v>801</v>
      </c>
      <c r="V11" s="61">
        <v>1.0</v>
      </c>
      <c r="W11" s="64"/>
      <c r="X11" s="63" t="s">
        <v>803</v>
      </c>
      <c r="Y11" s="61">
        <v>1.0</v>
      </c>
      <c r="Z11" s="64"/>
      <c r="AA11" s="63" t="s">
        <v>961</v>
      </c>
      <c r="AB11" s="61">
        <v>0.0</v>
      </c>
      <c r="AC11" s="64"/>
      <c r="AD11" s="63" t="s">
        <v>962</v>
      </c>
      <c r="AE11" s="61">
        <v>0.0</v>
      </c>
      <c r="AF11" s="64"/>
      <c r="AG11" s="63" t="s">
        <v>810</v>
      </c>
      <c r="AH11" s="64"/>
      <c r="AI11" s="61">
        <v>1.0</v>
      </c>
      <c r="AJ11" s="63" t="s">
        <v>811</v>
      </c>
      <c r="AK11" s="64"/>
      <c r="AL11" s="61">
        <v>1.0</v>
      </c>
      <c r="AM11" s="63" t="s">
        <v>945</v>
      </c>
      <c r="AN11" s="64"/>
      <c r="AO11" s="61">
        <v>0.0</v>
      </c>
      <c r="AP11" s="63" t="s">
        <v>801</v>
      </c>
      <c r="AQ11" s="64"/>
      <c r="AR11" s="61">
        <v>0.0</v>
      </c>
      <c r="AS11" s="63" t="s">
        <v>811</v>
      </c>
      <c r="AT11" s="64"/>
      <c r="AU11" s="61">
        <v>0.0</v>
      </c>
      <c r="AV11" s="63">
        <v>1.0</v>
      </c>
      <c r="AW11" s="64"/>
      <c r="AX11" s="61">
        <v>1.0</v>
      </c>
      <c r="AY11" s="63" t="b">
        <v>1</v>
      </c>
      <c r="AZ11" s="64"/>
      <c r="BA11" s="61">
        <v>1.0</v>
      </c>
      <c r="BB11" s="63" t="s">
        <v>806</v>
      </c>
      <c r="BC11" s="64"/>
      <c r="BD11" s="61">
        <v>0.0</v>
      </c>
      <c r="BE11" s="63" t="s">
        <v>806</v>
      </c>
      <c r="BF11" s="61">
        <v>0.0</v>
      </c>
      <c r="BG11" s="64"/>
      <c r="BH11" s="63" t="s">
        <v>819</v>
      </c>
      <c r="BI11" s="61">
        <v>1.0</v>
      </c>
      <c r="BJ11" s="64"/>
      <c r="BK11" s="63" t="b">
        <v>1</v>
      </c>
      <c r="BL11" s="61">
        <v>1.0</v>
      </c>
      <c r="BM11" s="64"/>
      <c r="BN11" s="63">
        <v>2.0</v>
      </c>
      <c r="BO11" s="61">
        <v>0.0</v>
      </c>
      <c r="BP11" s="64"/>
      <c r="BQ11" s="63">
        <v>3.0</v>
      </c>
      <c r="BR11" s="61">
        <v>1.0</v>
      </c>
      <c r="BS11" s="64"/>
      <c r="BT11" s="63" t="b">
        <v>1</v>
      </c>
      <c r="BU11" s="61">
        <v>1.0</v>
      </c>
      <c r="BV11" s="64"/>
      <c r="BW11" s="63" t="b">
        <v>0</v>
      </c>
      <c r="BX11" s="61">
        <v>1.0</v>
      </c>
      <c r="BY11" s="64"/>
      <c r="BZ11" s="63" t="s">
        <v>964</v>
      </c>
      <c r="CA11" s="61">
        <v>0.0</v>
      </c>
      <c r="CB11" s="64"/>
      <c r="CC11" s="63" t="s">
        <v>950</v>
      </c>
      <c r="CD11" s="61">
        <v>0.0</v>
      </c>
      <c r="CE11" s="64"/>
      <c r="CF11" s="63" t="b">
        <v>1</v>
      </c>
      <c r="CG11" s="61">
        <v>0.0</v>
      </c>
      <c r="CH11" s="64"/>
      <c r="CI11" s="63">
        <v>2.0</v>
      </c>
      <c r="CJ11" s="61">
        <v>0.0</v>
      </c>
      <c r="CK11" s="64"/>
      <c r="CL11" s="63">
        <v>2.0</v>
      </c>
      <c r="CM11" s="61">
        <v>1.0</v>
      </c>
      <c r="CN11" s="64"/>
      <c r="CO11" s="63" t="b">
        <v>1</v>
      </c>
      <c r="CP11" s="61">
        <v>1.0</v>
      </c>
      <c r="CQ11" s="64"/>
      <c r="CR11" s="63" t="s">
        <v>953</v>
      </c>
      <c r="CS11" s="61">
        <v>0.0</v>
      </c>
      <c r="CT11" s="64"/>
      <c r="CU11" s="63">
        <v>3.0</v>
      </c>
      <c r="CV11" s="61">
        <v>1.0</v>
      </c>
      <c r="CW11" s="64"/>
      <c r="CX11" s="63" t="s">
        <v>806</v>
      </c>
      <c r="CY11" s="61">
        <v>0.0</v>
      </c>
      <c r="CZ11" s="64"/>
      <c r="DA11" s="63" t="s">
        <v>806</v>
      </c>
      <c r="DB11" s="61">
        <v>0.0</v>
      </c>
      <c r="DC11" s="64"/>
    </row>
    <row r="12" ht="17.25" customHeight="1">
      <c r="A12" s="57">
        <v>13.0</v>
      </c>
      <c r="B12" s="58">
        <v>46190.71680555555</v>
      </c>
      <c r="C12" s="58">
        <v>46190.725277777776</v>
      </c>
      <c r="D12" s="59" t="s">
        <v>793</v>
      </c>
      <c r="E12" s="60"/>
      <c r="F12" s="57">
        <v>28.0</v>
      </c>
      <c r="G12" s="60"/>
      <c r="H12" s="60"/>
      <c r="I12" s="59" t="s">
        <v>589</v>
      </c>
      <c r="J12" s="60"/>
      <c r="K12" s="60"/>
      <c r="L12" s="59" t="s">
        <v>590</v>
      </c>
      <c r="M12" s="60"/>
      <c r="N12" s="60"/>
      <c r="O12" s="59" t="s">
        <v>966</v>
      </c>
      <c r="P12" s="60"/>
      <c r="Q12" s="60"/>
      <c r="R12" s="59" t="s">
        <v>799</v>
      </c>
      <c r="S12" s="57">
        <v>1.0</v>
      </c>
      <c r="T12" s="60"/>
      <c r="U12" s="59" t="s">
        <v>801</v>
      </c>
      <c r="V12" s="57">
        <v>1.0</v>
      </c>
      <c r="W12" s="60"/>
      <c r="X12" s="59" t="s">
        <v>803</v>
      </c>
      <c r="Y12" s="57">
        <v>1.0</v>
      </c>
      <c r="Z12" s="60"/>
      <c r="AA12" s="59" t="s">
        <v>961</v>
      </c>
      <c r="AB12" s="57">
        <v>0.0</v>
      </c>
      <c r="AC12" s="60"/>
      <c r="AD12" s="59" t="s">
        <v>806</v>
      </c>
      <c r="AE12" s="57">
        <v>1.0</v>
      </c>
      <c r="AF12" s="60"/>
      <c r="AG12" s="59" t="s">
        <v>810</v>
      </c>
      <c r="AH12" s="60"/>
      <c r="AI12" s="57">
        <v>1.0</v>
      </c>
      <c r="AJ12" s="59" t="s">
        <v>811</v>
      </c>
      <c r="AK12" s="60"/>
      <c r="AL12" s="57">
        <v>1.0</v>
      </c>
      <c r="AM12" s="59" t="s">
        <v>812</v>
      </c>
      <c r="AN12" s="60"/>
      <c r="AO12" s="57">
        <v>1.0</v>
      </c>
      <c r="AP12" s="59" t="s">
        <v>814</v>
      </c>
      <c r="AQ12" s="60"/>
      <c r="AR12" s="57">
        <v>1.0</v>
      </c>
      <c r="AS12" s="59" t="s">
        <v>799</v>
      </c>
      <c r="AT12" s="60"/>
      <c r="AU12" s="57">
        <v>1.0</v>
      </c>
      <c r="AV12" s="59">
        <v>1.0</v>
      </c>
      <c r="AW12" s="60"/>
      <c r="AX12" s="57">
        <v>1.0</v>
      </c>
      <c r="AY12" s="59" t="b">
        <v>1</v>
      </c>
      <c r="AZ12" s="60"/>
      <c r="BA12" s="57">
        <v>1.0</v>
      </c>
      <c r="BB12" s="59">
        <v>5.0</v>
      </c>
      <c r="BC12" s="60"/>
      <c r="BD12" s="57">
        <v>1.0</v>
      </c>
      <c r="BE12" s="59" t="b">
        <v>0</v>
      </c>
      <c r="BF12" s="57">
        <v>0.0</v>
      </c>
      <c r="BG12" s="60"/>
      <c r="BH12" s="59" t="s">
        <v>819</v>
      </c>
      <c r="BI12" s="57">
        <v>1.0</v>
      </c>
      <c r="BJ12" s="60"/>
      <c r="BK12" s="59" t="b">
        <v>1</v>
      </c>
      <c r="BL12" s="57">
        <v>1.0</v>
      </c>
      <c r="BM12" s="60"/>
      <c r="BN12" s="59">
        <v>3.0</v>
      </c>
      <c r="BO12" s="57">
        <v>1.0</v>
      </c>
      <c r="BP12" s="60"/>
      <c r="BQ12" s="59">
        <v>3.0</v>
      </c>
      <c r="BR12" s="57">
        <v>1.0</v>
      </c>
      <c r="BS12" s="60"/>
      <c r="BT12" s="59" t="b">
        <v>1</v>
      </c>
      <c r="BU12" s="57">
        <v>1.0</v>
      </c>
      <c r="BV12" s="60"/>
      <c r="BW12" s="59" t="b">
        <v>0</v>
      </c>
      <c r="BX12" s="57">
        <v>1.0</v>
      </c>
      <c r="BY12" s="60"/>
      <c r="BZ12" s="59" t="s">
        <v>824</v>
      </c>
      <c r="CA12" s="57">
        <v>1.0</v>
      </c>
      <c r="CB12" s="60"/>
      <c r="CC12" s="59" t="b">
        <v>1</v>
      </c>
      <c r="CD12" s="57">
        <v>1.0</v>
      </c>
      <c r="CE12" s="60"/>
      <c r="CF12" s="59" t="b">
        <v>0</v>
      </c>
      <c r="CG12" s="57">
        <v>1.0</v>
      </c>
      <c r="CH12" s="60"/>
      <c r="CI12" s="59">
        <v>1.0</v>
      </c>
      <c r="CJ12" s="57">
        <v>1.0</v>
      </c>
      <c r="CK12" s="60"/>
      <c r="CL12" s="59">
        <v>2.0</v>
      </c>
      <c r="CM12" s="57">
        <v>1.0</v>
      </c>
      <c r="CN12" s="60"/>
      <c r="CO12" s="59" t="b">
        <v>1</v>
      </c>
      <c r="CP12" s="57">
        <v>1.0</v>
      </c>
      <c r="CQ12" s="60"/>
      <c r="CR12" s="59" t="s">
        <v>829</v>
      </c>
      <c r="CS12" s="57">
        <v>1.0</v>
      </c>
      <c r="CT12" s="60"/>
      <c r="CU12" s="59">
        <v>3.0</v>
      </c>
      <c r="CV12" s="57">
        <v>1.0</v>
      </c>
      <c r="CW12" s="60"/>
      <c r="CX12" s="59" t="b">
        <v>0</v>
      </c>
      <c r="CY12" s="57">
        <v>1.0</v>
      </c>
      <c r="CZ12" s="60"/>
      <c r="DA12" s="59" t="b">
        <v>0</v>
      </c>
      <c r="DB12" s="57">
        <v>1.0</v>
      </c>
      <c r="DC12" s="60"/>
    </row>
    <row r="13" ht="17.25" customHeight="1">
      <c r="A13" s="61">
        <v>14.0</v>
      </c>
      <c r="B13" s="62">
        <v>46190.72068287037</v>
      </c>
      <c r="C13" s="62">
        <v>46190.725335648145</v>
      </c>
      <c r="D13" s="63" t="s">
        <v>793</v>
      </c>
      <c r="E13" s="64"/>
      <c r="F13" s="61">
        <v>27.0</v>
      </c>
      <c r="G13" s="64"/>
      <c r="H13" s="64"/>
      <c r="I13" s="63" t="s">
        <v>426</v>
      </c>
      <c r="J13" s="64"/>
      <c r="K13" s="64"/>
      <c r="L13" s="63" t="s">
        <v>427</v>
      </c>
      <c r="M13" s="64"/>
      <c r="N13" s="64"/>
      <c r="O13" s="63" t="s">
        <v>968</v>
      </c>
      <c r="P13" s="64"/>
      <c r="Q13" s="64"/>
      <c r="R13" s="63" t="s">
        <v>799</v>
      </c>
      <c r="S13" s="61">
        <v>1.0</v>
      </c>
      <c r="T13" s="64"/>
      <c r="U13" s="63" t="s">
        <v>801</v>
      </c>
      <c r="V13" s="61">
        <v>1.0</v>
      </c>
      <c r="W13" s="64"/>
      <c r="X13" s="63" t="s">
        <v>806</v>
      </c>
      <c r="Y13" s="61">
        <v>0.0</v>
      </c>
      <c r="Z13" s="64"/>
      <c r="AA13" s="63" t="s">
        <v>805</v>
      </c>
      <c r="AB13" s="61">
        <v>1.0</v>
      </c>
      <c r="AC13" s="64"/>
      <c r="AD13" s="63" t="s">
        <v>806</v>
      </c>
      <c r="AE13" s="61">
        <v>1.0</v>
      </c>
      <c r="AF13" s="64"/>
      <c r="AG13" s="63" t="s">
        <v>810</v>
      </c>
      <c r="AH13" s="64"/>
      <c r="AI13" s="61">
        <v>1.0</v>
      </c>
      <c r="AJ13" s="63" t="s">
        <v>811</v>
      </c>
      <c r="AK13" s="64"/>
      <c r="AL13" s="61">
        <v>1.0</v>
      </c>
      <c r="AM13" s="63" t="s">
        <v>812</v>
      </c>
      <c r="AN13" s="64"/>
      <c r="AO13" s="61">
        <v>1.0</v>
      </c>
      <c r="AP13" s="63" t="s">
        <v>814</v>
      </c>
      <c r="AQ13" s="64"/>
      <c r="AR13" s="61">
        <v>1.0</v>
      </c>
      <c r="AS13" s="63" t="s">
        <v>799</v>
      </c>
      <c r="AT13" s="64"/>
      <c r="AU13" s="61">
        <v>1.0</v>
      </c>
      <c r="AV13" s="63">
        <v>1.0</v>
      </c>
      <c r="AW13" s="64"/>
      <c r="AX13" s="61">
        <v>1.0</v>
      </c>
      <c r="AY13" s="63" t="b">
        <v>1</v>
      </c>
      <c r="AZ13" s="64"/>
      <c r="BA13" s="61">
        <v>1.0</v>
      </c>
      <c r="BB13" s="63">
        <v>5.0</v>
      </c>
      <c r="BC13" s="64"/>
      <c r="BD13" s="61">
        <v>1.0</v>
      </c>
      <c r="BE13" s="63" t="b">
        <v>0</v>
      </c>
      <c r="BF13" s="61">
        <v>0.0</v>
      </c>
      <c r="BG13" s="64"/>
      <c r="BH13" s="63" t="s">
        <v>819</v>
      </c>
      <c r="BI13" s="61">
        <v>1.0</v>
      </c>
      <c r="BJ13" s="64"/>
      <c r="BK13" s="63" t="b">
        <v>1</v>
      </c>
      <c r="BL13" s="61">
        <v>1.0</v>
      </c>
      <c r="BM13" s="64"/>
      <c r="BN13" s="63">
        <v>3.0</v>
      </c>
      <c r="BO13" s="61">
        <v>1.0</v>
      </c>
      <c r="BP13" s="64"/>
      <c r="BQ13" s="63">
        <v>3.0</v>
      </c>
      <c r="BR13" s="61">
        <v>1.0</v>
      </c>
      <c r="BS13" s="64"/>
      <c r="BT13" s="63" t="b">
        <v>1</v>
      </c>
      <c r="BU13" s="61">
        <v>1.0</v>
      </c>
      <c r="BV13" s="64"/>
      <c r="BW13" s="63" t="b">
        <v>0</v>
      </c>
      <c r="BX13" s="61">
        <v>1.0</v>
      </c>
      <c r="BY13" s="64"/>
      <c r="BZ13" s="63" t="s">
        <v>824</v>
      </c>
      <c r="CA13" s="61">
        <v>1.0</v>
      </c>
      <c r="CB13" s="64"/>
      <c r="CC13" s="63" t="b">
        <v>1</v>
      </c>
      <c r="CD13" s="61">
        <v>1.0</v>
      </c>
      <c r="CE13" s="64"/>
      <c r="CF13" s="63" t="b">
        <v>0</v>
      </c>
      <c r="CG13" s="61">
        <v>1.0</v>
      </c>
      <c r="CH13" s="64"/>
      <c r="CI13" s="63">
        <v>1.0</v>
      </c>
      <c r="CJ13" s="61">
        <v>1.0</v>
      </c>
      <c r="CK13" s="64"/>
      <c r="CL13" s="63">
        <v>2.0</v>
      </c>
      <c r="CM13" s="61">
        <v>1.0</v>
      </c>
      <c r="CN13" s="64"/>
      <c r="CO13" s="63" t="b">
        <v>1</v>
      </c>
      <c r="CP13" s="61">
        <v>1.0</v>
      </c>
      <c r="CQ13" s="64"/>
      <c r="CR13" s="63" t="s">
        <v>953</v>
      </c>
      <c r="CS13" s="61">
        <v>0.0</v>
      </c>
      <c r="CT13" s="64"/>
      <c r="CU13" s="63">
        <v>3.0</v>
      </c>
      <c r="CV13" s="61">
        <v>1.0</v>
      </c>
      <c r="CW13" s="64"/>
      <c r="CX13" s="63" t="b">
        <v>0</v>
      </c>
      <c r="CY13" s="61">
        <v>1.0</v>
      </c>
      <c r="CZ13" s="64"/>
      <c r="DA13" s="63" t="b">
        <v>0</v>
      </c>
      <c r="DB13" s="61">
        <v>1.0</v>
      </c>
      <c r="DC13" s="64"/>
    </row>
    <row r="14" ht="17.25" customHeight="1">
      <c r="A14" s="57">
        <v>15.0</v>
      </c>
      <c r="B14" s="58">
        <v>46190.715902777774</v>
      </c>
      <c r="C14" s="58">
        <v>46190.72570601852</v>
      </c>
      <c r="D14" s="59" t="s">
        <v>793</v>
      </c>
      <c r="E14" s="60"/>
      <c r="F14" s="57">
        <v>21.0</v>
      </c>
      <c r="G14" s="60"/>
      <c r="H14" s="60"/>
      <c r="I14" s="59" t="s">
        <v>621</v>
      </c>
      <c r="J14" s="60"/>
      <c r="K14" s="60"/>
      <c r="L14" s="59" t="s">
        <v>622</v>
      </c>
      <c r="M14" s="60"/>
      <c r="N14" s="60"/>
      <c r="O14" s="59" t="s">
        <v>971</v>
      </c>
      <c r="P14" s="60"/>
      <c r="Q14" s="60"/>
      <c r="R14" s="59" t="s">
        <v>799</v>
      </c>
      <c r="S14" s="57">
        <v>1.0</v>
      </c>
      <c r="T14" s="60"/>
      <c r="U14" s="59" t="s">
        <v>801</v>
      </c>
      <c r="V14" s="57">
        <v>1.0</v>
      </c>
      <c r="W14" s="60"/>
      <c r="X14" s="59" t="s">
        <v>803</v>
      </c>
      <c r="Y14" s="57">
        <v>1.0</v>
      </c>
      <c r="Z14" s="60"/>
      <c r="AA14" s="59" t="s">
        <v>805</v>
      </c>
      <c r="AB14" s="57">
        <v>1.0</v>
      </c>
      <c r="AC14" s="60"/>
      <c r="AD14" s="59" t="s">
        <v>806</v>
      </c>
      <c r="AE14" s="57">
        <v>1.0</v>
      </c>
      <c r="AF14" s="60"/>
      <c r="AG14" s="60"/>
      <c r="AH14" s="60"/>
      <c r="AI14" s="57">
        <v>0.0</v>
      </c>
      <c r="AJ14" s="60"/>
      <c r="AK14" s="60"/>
      <c r="AL14" s="57">
        <v>0.0</v>
      </c>
      <c r="AM14" s="59" t="s">
        <v>812</v>
      </c>
      <c r="AN14" s="60"/>
      <c r="AO14" s="57">
        <v>1.0</v>
      </c>
      <c r="AP14" s="59" t="s">
        <v>801</v>
      </c>
      <c r="AQ14" s="60"/>
      <c r="AR14" s="57">
        <v>0.0</v>
      </c>
      <c r="AS14" s="59" t="s">
        <v>799</v>
      </c>
      <c r="AT14" s="60"/>
      <c r="AU14" s="57">
        <v>1.0</v>
      </c>
      <c r="AV14" s="59" t="s">
        <v>806</v>
      </c>
      <c r="AW14" s="60"/>
      <c r="AX14" s="57">
        <v>0.0</v>
      </c>
      <c r="AY14" s="59" t="b">
        <v>1</v>
      </c>
      <c r="AZ14" s="60"/>
      <c r="BA14" s="57">
        <v>1.0</v>
      </c>
      <c r="BB14" s="59">
        <v>5.0</v>
      </c>
      <c r="BC14" s="60"/>
      <c r="BD14" s="57">
        <v>1.0</v>
      </c>
      <c r="BE14" s="59" t="b">
        <v>0</v>
      </c>
      <c r="BF14" s="57">
        <v>0.0</v>
      </c>
      <c r="BG14" s="60"/>
      <c r="BH14" s="59" t="b">
        <v>0</v>
      </c>
      <c r="BI14" s="57">
        <v>0.0</v>
      </c>
      <c r="BJ14" s="60"/>
      <c r="BK14" s="59" t="b">
        <v>1</v>
      </c>
      <c r="BL14" s="57">
        <v>1.0</v>
      </c>
      <c r="BM14" s="60"/>
      <c r="BN14" s="59">
        <v>2.0</v>
      </c>
      <c r="BO14" s="57">
        <v>0.0</v>
      </c>
      <c r="BP14" s="60"/>
      <c r="BQ14" s="59">
        <v>3.0</v>
      </c>
      <c r="BR14" s="57">
        <v>1.0</v>
      </c>
      <c r="BS14" s="60"/>
      <c r="BT14" s="59" t="b">
        <v>1</v>
      </c>
      <c r="BU14" s="57">
        <v>1.0</v>
      </c>
      <c r="BV14" s="60"/>
      <c r="BW14" s="59" t="b">
        <v>0</v>
      </c>
      <c r="BX14" s="57">
        <v>1.0</v>
      </c>
      <c r="BY14" s="60"/>
      <c r="BZ14" s="59" t="s">
        <v>824</v>
      </c>
      <c r="CA14" s="57">
        <v>1.0</v>
      </c>
      <c r="CB14" s="60"/>
      <c r="CC14" s="59" t="b">
        <v>1</v>
      </c>
      <c r="CD14" s="57">
        <v>1.0</v>
      </c>
      <c r="CE14" s="60"/>
      <c r="CF14" s="59" t="b">
        <v>0</v>
      </c>
      <c r="CG14" s="57">
        <v>1.0</v>
      </c>
      <c r="CH14" s="60"/>
      <c r="CI14" s="59">
        <v>1.0</v>
      </c>
      <c r="CJ14" s="57">
        <v>1.0</v>
      </c>
      <c r="CK14" s="60"/>
      <c r="CL14" s="59">
        <v>1.0</v>
      </c>
      <c r="CM14" s="57">
        <v>0.0</v>
      </c>
      <c r="CN14" s="60"/>
      <c r="CO14" s="59" t="b">
        <v>1</v>
      </c>
      <c r="CP14" s="57">
        <v>1.0</v>
      </c>
      <c r="CQ14" s="60"/>
      <c r="CR14" s="59" t="s">
        <v>806</v>
      </c>
      <c r="CS14" s="57">
        <v>0.0</v>
      </c>
      <c r="CT14" s="60"/>
      <c r="CU14" s="59">
        <v>3.0</v>
      </c>
      <c r="CV14" s="57">
        <v>1.0</v>
      </c>
      <c r="CW14" s="60"/>
      <c r="CX14" s="59" t="b">
        <v>0</v>
      </c>
      <c r="CY14" s="57">
        <v>1.0</v>
      </c>
      <c r="CZ14" s="60"/>
      <c r="DA14" s="59" t="b">
        <v>0</v>
      </c>
      <c r="DB14" s="57">
        <v>1.0</v>
      </c>
      <c r="DC14" s="60"/>
    </row>
    <row r="15" ht="17.25" customHeight="1">
      <c r="A15" s="61">
        <v>16.0</v>
      </c>
      <c r="B15" s="62">
        <v>46190.71755787037</v>
      </c>
      <c r="C15" s="62">
        <v>46190.725798611114</v>
      </c>
      <c r="D15" s="63" t="s">
        <v>793</v>
      </c>
      <c r="E15" s="64"/>
      <c r="F15" s="61">
        <v>14.0</v>
      </c>
      <c r="G15" s="64"/>
      <c r="H15" s="64"/>
      <c r="I15" s="63" t="s">
        <v>974</v>
      </c>
      <c r="J15" s="64"/>
      <c r="K15" s="64"/>
      <c r="L15" s="63" t="s">
        <v>486</v>
      </c>
      <c r="M15" s="64"/>
      <c r="N15" s="64"/>
      <c r="O15" s="63" t="s">
        <v>975</v>
      </c>
      <c r="P15" s="64"/>
      <c r="Q15" s="64"/>
      <c r="R15" s="63" t="s">
        <v>799</v>
      </c>
      <c r="S15" s="61">
        <v>1.0</v>
      </c>
      <c r="T15" s="64"/>
      <c r="U15" s="63" t="s">
        <v>806</v>
      </c>
      <c r="V15" s="61">
        <v>0.0</v>
      </c>
      <c r="W15" s="64"/>
      <c r="X15" s="63" t="s">
        <v>803</v>
      </c>
      <c r="Y15" s="61">
        <v>1.0</v>
      </c>
      <c r="Z15" s="64"/>
      <c r="AA15" s="63" t="s">
        <v>961</v>
      </c>
      <c r="AB15" s="61">
        <v>0.0</v>
      </c>
      <c r="AC15" s="64"/>
      <c r="AD15" s="63" t="s">
        <v>842</v>
      </c>
      <c r="AE15" s="61">
        <v>0.0</v>
      </c>
      <c r="AF15" s="64"/>
      <c r="AG15" s="63" t="s">
        <v>810</v>
      </c>
      <c r="AH15" s="64"/>
      <c r="AI15" s="61">
        <v>1.0</v>
      </c>
      <c r="AJ15" s="63" t="s">
        <v>897</v>
      </c>
      <c r="AK15" s="64"/>
      <c r="AL15" s="61">
        <v>0.0</v>
      </c>
      <c r="AM15" s="63" t="s">
        <v>976</v>
      </c>
      <c r="AN15" s="64"/>
      <c r="AO15" s="61">
        <v>0.0</v>
      </c>
      <c r="AP15" s="63" t="s">
        <v>814</v>
      </c>
      <c r="AQ15" s="64"/>
      <c r="AR15" s="61">
        <v>1.0</v>
      </c>
      <c r="AS15" s="63" t="s">
        <v>897</v>
      </c>
      <c r="AT15" s="64"/>
      <c r="AU15" s="61">
        <v>0.0</v>
      </c>
      <c r="AV15" s="63">
        <v>1.0</v>
      </c>
      <c r="AW15" s="64"/>
      <c r="AX15" s="61">
        <v>1.0</v>
      </c>
      <c r="AY15" s="63" t="b">
        <v>0</v>
      </c>
      <c r="AZ15" s="64"/>
      <c r="BA15" s="61">
        <v>0.0</v>
      </c>
      <c r="BB15" s="63">
        <v>5.0</v>
      </c>
      <c r="BC15" s="64"/>
      <c r="BD15" s="61">
        <v>1.0</v>
      </c>
      <c r="BE15" s="63" t="s">
        <v>876</v>
      </c>
      <c r="BF15" s="61">
        <v>0.0</v>
      </c>
      <c r="BG15" s="64"/>
      <c r="BH15" s="63" t="s">
        <v>819</v>
      </c>
      <c r="BI15" s="61">
        <v>1.0</v>
      </c>
      <c r="BJ15" s="64"/>
      <c r="BK15" s="63" t="b">
        <v>1</v>
      </c>
      <c r="BL15" s="61">
        <v>1.0</v>
      </c>
      <c r="BM15" s="64"/>
      <c r="BN15" s="63">
        <v>3.0</v>
      </c>
      <c r="BO15" s="61">
        <v>1.0</v>
      </c>
      <c r="BP15" s="64"/>
      <c r="BQ15" s="63">
        <v>4.0</v>
      </c>
      <c r="BR15" s="61">
        <v>0.0</v>
      </c>
      <c r="BS15" s="64"/>
      <c r="BT15" s="63" t="b">
        <v>0</v>
      </c>
      <c r="BU15" s="61">
        <v>0.0</v>
      </c>
      <c r="BV15" s="64"/>
      <c r="BW15" s="63" t="s">
        <v>806</v>
      </c>
      <c r="BX15" s="61">
        <v>0.0</v>
      </c>
      <c r="BY15" s="64"/>
      <c r="BZ15" s="63" t="s">
        <v>977</v>
      </c>
      <c r="CA15" s="61">
        <v>0.0</v>
      </c>
      <c r="CB15" s="64"/>
      <c r="CC15" s="63" t="b">
        <v>1</v>
      </c>
      <c r="CD15" s="61">
        <v>1.0</v>
      </c>
      <c r="CE15" s="64"/>
      <c r="CF15" s="63" t="s">
        <v>806</v>
      </c>
      <c r="CG15" s="61">
        <v>0.0</v>
      </c>
      <c r="CH15" s="64"/>
      <c r="CI15" s="63">
        <v>1.0</v>
      </c>
      <c r="CJ15" s="61">
        <v>1.0</v>
      </c>
      <c r="CK15" s="64"/>
      <c r="CL15" s="63">
        <v>2.0</v>
      </c>
      <c r="CM15" s="61">
        <v>1.0</v>
      </c>
      <c r="CN15" s="64"/>
      <c r="CO15" s="63" t="b">
        <v>1</v>
      </c>
      <c r="CP15" s="61">
        <v>1.0</v>
      </c>
      <c r="CQ15" s="64"/>
      <c r="CR15" s="63" t="s">
        <v>806</v>
      </c>
      <c r="CS15" s="61">
        <v>0.0</v>
      </c>
      <c r="CT15" s="64"/>
      <c r="CU15" s="63">
        <v>1.0</v>
      </c>
      <c r="CV15" s="61">
        <v>0.0</v>
      </c>
      <c r="CW15" s="64"/>
      <c r="CX15" s="63" t="s">
        <v>806</v>
      </c>
      <c r="CY15" s="61">
        <v>0.0</v>
      </c>
      <c r="CZ15" s="64"/>
      <c r="DA15" s="63" t="b">
        <v>0</v>
      </c>
      <c r="DB15" s="61">
        <v>1.0</v>
      </c>
      <c r="DC15" s="64"/>
    </row>
    <row r="16" ht="17.25" customHeight="1">
      <c r="A16" s="57">
        <v>17.0</v>
      </c>
      <c r="B16" s="58">
        <v>46190.71672453704</v>
      </c>
      <c r="C16" s="58">
        <v>46190.726273148146</v>
      </c>
      <c r="D16" s="59" t="s">
        <v>793</v>
      </c>
      <c r="E16" s="60"/>
      <c r="F16" s="57">
        <v>20.0</v>
      </c>
      <c r="G16" s="60"/>
      <c r="H16" s="60"/>
      <c r="I16" s="59" t="s">
        <v>448</v>
      </c>
      <c r="J16" s="60"/>
      <c r="K16" s="60"/>
      <c r="L16" s="59" t="s">
        <v>450</v>
      </c>
      <c r="M16" s="60"/>
      <c r="N16" s="60"/>
      <c r="O16" s="59" t="s">
        <v>979</v>
      </c>
      <c r="P16" s="60"/>
      <c r="Q16" s="60"/>
      <c r="R16" s="59" t="s">
        <v>799</v>
      </c>
      <c r="S16" s="57">
        <v>1.0</v>
      </c>
      <c r="T16" s="60"/>
      <c r="U16" s="59" t="s">
        <v>814</v>
      </c>
      <c r="V16" s="57">
        <v>0.0</v>
      </c>
      <c r="W16" s="60"/>
      <c r="X16" s="59" t="s">
        <v>803</v>
      </c>
      <c r="Y16" s="57">
        <v>1.0</v>
      </c>
      <c r="Z16" s="60"/>
      <c r="AA16" s="59" t="s">
        <v>805</v>
      </c>
      <c r="AB16" s="57">
        <v>1.0</v>
      </c>
      <c r="AC16" s="60"/>
      <c r="AD16" s="59" t="s">
        <v>842</v>
      </c>
      <c r="AE16" s="57">
        <v>0.0</v>
      </c>
      <c r="AF16" s="60"/>
      <c r="AG16" s="59" t="s">
        <v>810</v>
      </c>
      <c r="AH16" s="60"/>
      <c r="AI16" s="57">
        <v>1.0</v>
      </c>
      <c r="AJ16" s="59" t="s">
        <v>811</v>
      </c>
      <c r="AK16" s="60"/>
      <c r="AL16" s="57">
        <v>1.0</v>
      </c>
      <c r="AM16" s="59" t="s">
        <v>812</v>
      </c>
      <c r="AN16" s="60"/>
      <c r="AO16" s="57">
        <v>1.0</v>
      </c>
      <c r="AP16" s="59" t="s">
        <v>814</v>
      </c>
      <c r="AQ16" s="60"/>
      <c r="AR16" s="57">
        <v>1.0</v>
      </c>
      <c r="AS16" s="59" t="s">
        <v>897</v>
      </c>
      <c r="AT16" s="60"/>
      <c r="AU16" s="57">
        <v>0.0</v>
      </c>
      <c r="AV16" s="59">
        <v>1.0</v>
      </c>
      <c r="AW16" s="60"/>
      <c r="AX16" s="57">
        <v>1.0</v>
      </c>
      <c r="AY16" s="59" t="b">
        <v>1</v>
      </c>
      <c r="AZ16" s="60"/>
      <c r="BA16" s="57">
        <v>1.0</v>
      </c>
      <c r="BB16" s="59">
        <v>5.0</v>
      </c>
      <c r="BC16" s="60"/>
      <c r="BD16" s="57">
        <v>1.0</v>
      </c>
      <c r="BE16" s="59" t="b">
        <v>1</v>
      </c>
      <c r="BF16" s="57">
        <v>1.0</v>
      </c>
      <c r="BG16" s="60"/>
      <c r="BH16" s="59" t="s">
        <v>915</v>
      </c>
      <c r="BI16" s="57">
        <v>0.0</v>
      </c>
      <c r="BJ16" s="60"/>
      <c r="BK16" s="59" t="b">
        <v>1</v>
      </c>
      <c r="BL16" s="57">
        <v>1.0</v>
      </c>
      <c r="BM16" s="60"/>
      <c r="BN16" s="59">
        <v>3.0</v>
      </c>
      <c r="BO16" s="57">
        <v>1.0</v>
      </c>
      <c r="BP16" s="60"/>
      <c r="BQ16" s="59">
        <v>4.0</v>
      </c>
      <c r="BR16" s="57">
        <v>0.0</v>
      </c>
      <c r="BS16" s="60"/>
      <c r="BT16" s="59" t="b">
        <v>1</v>
      </c>
      <c r="BU16" s="57">
        <v>1.0</v>
      </c>
      <c r="BV16" s="60"/>
      <c r="BW16" s="59" t="b">
        <v>0</v>
      </c>
      <c r="BX16" s="57">
        <v>1.0</v>
      </c>
      <c r="BY16" s="60"/>
      <c r="BZ16" s="59" t="s">
        <v>977</v>
      </c>
      <c r="CA16" s="57">
        <v>0.0</v>
      </c>
      <c r="CB16" s="60"/>
      <c r="CC16" s="59" t="b">
        <v>1</v>
      </c>
      <c r="CD16" s="57">
        <v>1.0</v>
      </c>
      <c r="CE16" s="60"/>
      <c r="CF16" s="59" t="b">
        <v>0</v>
      </c>
      <c r="CG16" s="57">
        <v>1.0</v>
      </c>
      <c r="CH16" s="60"/>
      <c r="CI16" s="59">
        <v>1.0</v>
      </c>
      <c r="CJ16" s="57">
        <v>1.0</v>
      </c>
      <c r="CK16" s="60"/>
      <c r="CL16" s="59">
        <v>1.0</v>
      </c>
      <c r="CM16" s="57">
        <v>0.0</v>
      </c>
      <c r="CN16" s="60"/>
      <c r="CO16" s="59" t="b">
        <v>0</v>
      </c>
      <c r="CP16" s="57">
        <v>0.0</v>
      </c>
      <c r="CQ16" s="60"/>
      <c r="CR16" s="59" t="s">
        <v>953</v>
      </c>
      <c r="CS16" s="57">
        <v>0.0</v>
      </c>
      <c r="CT16" s="60"/>
      <c r="CU16" s="59">
        <v>3.0</v>
      </c>
      <c r="CV16" s="57">
        <v>1.0</v>
      </c>
      <c r="CW16" s="60"/>
      <c r="CX16" s="59" t="b">
        <v>0</v>
      </c>
      <c r="CY16" s="57">
        <v>1.0</v>
      </c>
      <c r="CZ16" s="60"/>
      <c r="DA16" s="59" t="s">
        <v>806</v>
      </c>
      <c r="DB16" s="57">
        <v>0.0</v>
      </c>
      <c r="DC16" s="60"/>
    </row>
    <row r="17" ht="17.25" customHeight="1">
      <c r="A17" s="61">
        <v>18.0</v>
      </c>
      <c r="B17" s="62">
        <v>46190.7259837963</v>
      </c>
      <c r="C17" s="62">
        <v>46190.726319444446</v>
      </c>
      <c r="D17" s="63" t="s">
        <v>793</v>
      </c>
      <c r="E17" s="64"/>
      <c r="F17" s="61">
        <v>0.0</v>
      </c>
      <c r="G17" s="64"/>
      <c r="H17" s="64"/>
      <c r="I17" s="63" t="s">
        <v>863</v>
      </c>
      <c r="J17" s="64"/>
      <c r="K17" s="64"/>
      <c r="L17" s="63" t="s">
        <v>392</v>
      </c>
      <c r="M17" s="64"/>
      <c r="N17" s="64"/>
      <c r="O17" s="63" t="s">
        <v>864</v>
      </c>
      <c r="P17" s="64"/>
      <c r="Q17" s="64"/>
      <c r="R17" s="64"/>
      <c r="S17" s="61">
        <v>0.0</v>
      </c>
      <c r="T17" s="64"/>
      <c r="U17" s="64"/>
      <c r="V17" s="61">
        <v>0.0</v>
      </c>
      <c r="W17" s="64"/>
      <c r="X17" s="64"/>
      <c r="Y17" s="61">
        <v>0.0</v>
      </c>
      <c r="Z17" s="64"/>
      <c r="AA17" s="64"/>
      <c r="AB17" s="61">
        <v>0.0</v>
      </c>
      <c r="AC17" s="64"/>
      <c r="AD17" s="64"/>
      <c r="AE17" s="61">
        <v>0.0</v>
      </c>
      <c r="AF17" s="64"/>
      <c r="AG17" s="64"/>
      <c r="AH17" s="64"/>
      <c r="AI17" s="61">
        <v>0.0</v>
      </c>
      <c r="AJ17" s="64"/>
      <c r="AK17" s="64"/>
      <c r="AL17" s="61">
        <v>0.0</v>
      </c>
      <c r="AM17" s="64"/>
      <c r="AN17" s="64"/>
      <c r="AO17" s="61">
        <v>0.0</v>
      </c>
      <c r="AP17" s="64"/>
      <c r="AQ17" s="64"/>
      <c r="AR17" s="61">
        <v>0.0</v>
      </c>
      <c r="AS17" s="64"/>
      <c r="AT17" s="64"/>
      <c r="AU17" s="61">
        <v>0.0</v>
      </c>
      <c r="AV17" s="64"/>
      <c r="AW17" s="64"/>
      <c r="AX17" s="61">
        <v>0.0</v>
      </c>
      <c r="AY17" s="64"/>
      <c r="AZ17" s="64"/>
      <c r="BA17" s="61">
        <v>0.0</v>
      </c>
      <c r="BB17" s="64"/>
      <c r="BC17" s="64"/>
      <c r="BD17" s="61">
        <v>0.0</v>
      </c>
      <c r="BE17" s="64"/>
      <c r="BF17" s="61">
        <v>0.0</v>
      </c>
      <c r="BG17" s="64"/>
      <c r="BH17" s="64"/>
      <c r="BI17" s="61">
        <v>0.0</v>
      </c>
      <c r="BJ17" s="64"/>
      <c r="BK17" s="64"/>
      <c r="BL17" s="61">
        <v>0.0</v>
      </c>
      <c r="BM17" s="64"/>
      <c r="BN17" s="64"/>
      <c r="BO17" s="61">
        <v>0.0</v>
      </c>
      <c r="BP17" s="64"/>
      <c r="BQ17" s="64"/>
      <c r="BR17" s="61">
        <v>0.0</v>
      </c>
      <c r="BS17" s="64"/>
      <c r="BT17" s="64"/>
      <c r="BU17" s="61">
        <v>0.0</v>
      </c>
      <c r="BV17" s="64"/>
      <c r="BW17" s="64"/>
      <c r="BX17" s="61">
        <v>0.0</v>
      </c>
      <c r="BY17" s="64"/>
      <c r="BZ17" s="64"/>
      <c r="CA17" s="61">
        <v>0.0</v>
      </c>
      <c r="CB17" s="64"/>
      <c r="CC17" s="64"/>
      <c r="CD17" s="61">
        <v>0.0</v>
      </c>
      <c r="CE17" s="64"/>
      <c r="CF17" s="64"/>
      <c r="CG17" s="61">
        <v>0.0</v>
      </c>
      <c r="CH17" s="64"/>
      <c r="CI17" s="64"/>
      <c r="CJ17" s="61">
        <v>0.0</v>
      </c>
      <c r="CK17" s="64"/>
      <c r="CL17" s="64"/>
      <c r="CM17" s="61">
        <v>0.0</v>
      </c>
      <c r="CN17" s="64"/>
      <c r="CO17" s="64"/>
      <c r="CP17" s="61">
        <v>0.0</v>
      </c>
      <c r="CQ17" s="64"/>
      <c r="CR17" s="64"/>
      <c r="CS17" s="61">
        <v>0.0</v>
      </c>
      <c r="CT17" s="64"/>
      <c r="CU17" s="64"/>
      <c r="CV17" s="61">
        <v>0.0</v>
      </c>
      <c r="CW17" s="64"/>
      <c r="CX17" s="64"/>
      <c r="CY17" s="61">
        <v>0.0</v>
      </c>
      <c r="CZ17" s="64"/>
      <c r="DA17" s="64"/>
      <c r="DB17" s="61">
        <v>0.0</v>
      </c>
      <c r="DC17" s="64"/>
    </row>
    <row r="18" ht="17.25" customHeight="1">
      <c r="A18" s="57">
        <v>19.0</v>
      </c>
      <c r="B18" s="58">
        <v>46190.71643518518</v>
      </c>
      <c r="C18" s="58">
        <v>46190.726539351854</v>
      </c>
      <c r="D18" s="59" t="s">
        <v>793</v>
      </c>
      <c r="E18" s="60"/>
      <c r="F18" s="57">
        <v>19.0</v>
      </c>
      <c r="G18" s="60"/>
      <c r="H18" s="60"/>
      <c r="I18" s="59" t="s">
        <v>982</v>
      </c>
      <c r="J18" s="60"/>
      <c r="K18" s="60"/>
      <c r="L18" s="59" t="s">
        <v>581</v>
      </c>
      <c r="M18" s="60"/>
      <c r="N18" s="60"/>
      <c r="O18" s="59" t="s">
        <v>983</v>
      </c>
      <c r="P18" s="60"/>
      <c r="Q18" s="60"/>
      <c r="R18" s="59" t="s">
        <v>799</v>
      </c>
      <c r="S18" s="57">
        <v>1.0</v>
      </c>
      <c r="T18" s="60"/>
      <c r="U18" s="59" t="s">
        <v>801</v>
      </c>
      <c r="V18" s="57">
        <v>1.0</v>
      </c>
      <c r="W18" s="60"/>
      <c r="X18" s="59" t="s">
        <v>803</v>
      </c>
      <c r="Y18" s="57">
        <v>1.0</v>
      </c>
      <c r="Z18" s="60"/>
      <c r="AA18" s="59" t="s">
        <v>805</v>
      </c>
      <c r="AB18" s="57">
        <v>1.0</v>
      </c>
      <c r="AC18" s="60"/>
      <c r="AD18" s="59" t="s">
        <v>842</v>
      </c>
      <c r="AE18" s="57">
        <v>0.0</v>
      </c>
      <c r="AF18" s="60"/>
      <c r="AG18" s="59" t="s">
        <v>806</v>
      </c>
      <c r="AH18" s="60"/>
      <c r="AI18" s="57">
        <v>0.0</v>
      </c>
      <c r="AJ18" s="59" t="s">
        <v>897</v>
      </c>
      <c r="AK18" s="60"/>
      <c r="AL18" s="57">
        <v>0.0</v>
      </c>
      <c r="AM18" s="60"/>
      <c r="AN18" s="60"/>
      <c r="AO18" s="57">
        <v>0.0</v>
      </c>
      <c r="AP18" s="59" t="s">
        <v>801</v>
      </c>
      <c r="AQ18" s="60"/>
      <c r="AR18" s="57">
        <v>0.0</v>
      </c>
      <c r="AS18" s="59" t="s">
        <v>799</v>
      </c>
      <c r="AT18" s="60"/>
      <c r="AU18" s="57">
        <v>1.0</v>
      </c>
      <c r="AV18" s="59">
        <v>1.0</v>
      </c>
      <c r="AW18" s="60"/>
      <c r="AX18" s="57">
        <v>1.0</v>
      </c>
      <c r="AY18" s="59" t="b">
        <v>1</v>
      </c>
      <c r="AZ18" s="60"/>
      <c r="BA18" s="57">
        <v>1.0</v>
      </c>
      <c r="BB18" s="59">
        <v>5.0</v>
      </c>
      <c r="BC18" s="60"/>
      <c r="BD18" s="57">
        <v>1.0</v>
      </c>
      <c r="BE18" s="59" t="b">
        <v>0</v>
      </c>
      <c r="BF18" s="57">
        <v>0.0</v>
      </c>
      <c r="BG18" s="60"/>
      <c r="BH18" s="59" t="s">
        <v>819</v>
      </c>
      <c r="BI18" s="57">
        <v>1.0</v>
      </c>
      <c r="BJ18" s="60"/>
      <c r="BK18" s="59" t="b">
        <v>1</v>
      </c>
      <c r="BL18" s="57">
        <v>1.0</v>
      </c>
      <c r="BM18" s="60"/>
      <c r="BN18" s="59">
        <v>3.0</v>
      </c>
      <c r="BO18" s="57">
        <v>1.0</v>
      </c>
      <c r="BP18" s="60"/>
      <c r="BQ18" s="59">
        <v>3.0</v>
      </c>
      <c r="BR18" s="57">
        <v>1.0</v>
      </c>
      <c r="BS18" s="60"/>
      <c r="BT18" s="59" t="b">
        <v>0</v>
      </c>
      <c r="BU18" s="57">
        <v>0.0</v>
      </c>
      <c r="BV18" s="60"/>
      <c r="BW18" s="59" t="b">
        <v>0</v>
      </c>
      <c r="BX18" s="57">
        <v>1.0</v>
      </c>
      <c r="BY18" s="60"/>
      <c r="BZ18" s="59" t="s">
        <v>824</v>
      </c>
      <c r="CA18" s="57">
        <v>1.0</v>
      </c>
      <c r="CB18" s="60"/>
      <c r="CC18" s="60"/>
      <c r="CD18" s="57">
        <v>0.0</v>
      </c>
      <c r="CE18" s="60"/>
      <c r="CF18" s="59" t="b">
        <v>0</v>
      </c>
      <c r="CG18" s="57">
        <v>1.0</v>
      </c>
      <c r="CH18" s="60"/>
      <c r="CI18" s="59">
        <v>1.0</v>
      </c>
      <c r="CJ18" s="57">
        <v>1.0</v>
      </c>
      <c r="CK18" s="60"/>
      <c r="CL18" s="59">
        <v>2.0</v>
      </c>
      <c r="CM18" s="57">
        <v>1.0</v>
      </c>
      <c r="CN18" s="60"/>
      <c r="CO18" s="59" t="b">
        <v>0</v>
      </c>
      <c r="CP18" s="57">
        <v>0.0</v>
      </c>
      <c r="CQ18" s="60"/>
      <c r="CR18" s="59" t="s">
        <v>950</v>
      </c>
      <c r="CS18" s="57">
        <v>0.0</v>
      </c>
      <c r="CT18" s="60"/>
      <c r="CU18" s="60"/>
      <c r="CV18" s="57">
        <v>0.0</v>
      </c>
      <c r="CW18" s="60"/>
      <c r="CX18" s="59" t="b">
        <v>0</v>
      </c>
      <c r="CY18" s="57">
        <v>1.0</v>
      </c>
      <c r="CZ18" s="60"/>
      <c r="DA18" s="59" t="b">
        <v>0</v>
      </c>
      <c r="DB18" s="57">
        <v>1.0</v>
      </c>
      <c r="DC18" s="60"/>
    </row>
    <row r="19" ht="17.25" customHeight="1">
      <c r="A19" s="61">
        <v>20.0</v>
      </c>
      <c r="B19" s="62">
        <v>46190.71765046296</v>
      </c>
      <c r="C19" s="62">
        <v>46190.72655092592</v>
      </c>
      <c r="D19" s="63" t="s">
        <v>793</v>
      </c>
      <c r="E19" s="64"/>
      <c r="F19" s="61">
        <v>25.0</v>
      </c>
      <c r="G19" s="64"/>
      <c r="H19" s="64"/>
      <c r="I19" s="63" t="s">
        <v>986</v>
      </c>
      <c r="J19" s="64"/>
      <c r="K19" s="64"/>
      <c r="L19" s="63" t="s">
        <v>416</v>
      </c>
      <c r="M19" s="64"/>
      <c r="N19" s="64"/>
      <c r="O19" s="63" t="s">
        <v>988</v>
      </c>
      <c r="P19" s="64"/>
      <c r="Q19" s="64"/>
      <c r="R19" s="63" t="s">
        <v>799</v>
      </c>
      <c r="S19" s="61">
        <v>1.0</v>
      </c>
      <c r="T19" s="64"/>
      <c r="U19" s="63" t="s">
        <v>801</v>
      </c>
      <c r="V19" s="61">
        <v>1.0</v>
      </c>
      <c r="W19" s="64"/>
      <c r="X19" s="63" t="s">
        <v>806</v>
      </c>
      <c r="Y19" s="61">
        <v>0.0</v>
      </c>
      <c r="Z19" s="64"/>
      <c r="AA19" s="63" t="s">
        <v>805</v>
      </c>
      <c r="AB19" s="61">
        <v>1.0</v>
      </c>
      <c r="AC19" s="64"/>
      <c r="AD19" s="63" t="s">
        <v>962</v>
      </c>
      <c r="AE19" s="61">
        <v>0.0</v>
      </c>
      <c r="AF19" s="64"/>
      <c r="AG19" s="63" t="s">
        <v>810</v>
      </c>
      <c r="AH19" s="64"/>
      <c r="AI19" s="61">
        <v>1.0</v>
      </c>
      <c r="AJ19" s="63" t="s">
        <v>811</v>
      </c>
      <c r="AK19" s="64"/>
      <c r="AL19" s="61">
        <v>1.0</v>
      </c>
      <c r="AM19" s="63" t="s">
        <v>976</v>
      </c>
      <c r="AN19" s="64"/>
      <c r="AO19" s="61">
        <v>0.0</v>
      </c>
      <c r="AP19" s="63" t="s">
        <v>801</v>
      </c>
      <c r="AQ19" s="64"/>
      <c r="AR19" s="61">
        <v>0.0</v>
      </c>
      <c r="AS19" s="63" t="s">
        <v>799</v>
      </c>
      <c r="AT19" s="64"/>
      <c r="AU19" s="61">
        <v>1.0</v>
      </c>
      <c r="AV19" s="63">
        <v>1.0</v>
      </c>
      <c r="AW19" s="64"/>
      <c r="AX19" s="61">
        <v>1.0</v>
      </c>
      <c r="AY19" s="63" t="b">
        <v>1</v>
      </c>
      <c r="AZ19" s="64"/>
      <c r="BA19" s="61">
        <v>1.0</v>
      </c>
      <c r="BB19" s="63">
        <v>5.0</v>
      </c>
      <c r="BC19" s="64"/>
      <c r="BD19" s="61">
        <v>1.0</v>
      </c>
      <c r="BE19" s="63" t="s">
        <v>876</v>
      </c>
      <c r="BF19" s="61">
        <v>0.0</v>
      </c>
      <c r="BG19" s="64"/>
      <c r="BH19" s="63" t="s">
        <v>819</v>
      </c>
      <c r="BI19" s="61">
        <v>1.0</v>
      </c>
      <c r="BJ19" s="64"/>
      <c r="BK19" s="63" t="b">
        <v>1</v>
      </c>
      <c r="BL19" s="61">
        <v>1.0</v>
      </c>
      <c r="BM19" s="64"/>
      <c r="BN19" s="63">
        <v>3.0</v>
      </c>
      <c r="BO19" s="61">
        <v>1.0</v>
      </c>
      <c r="BP19" s="64"/>
      <c r="BQ19" s="63">
        <v>3.0</v>
      </c>
      <c r="BR19" s="61">
        <v>1.0</v>
      </c>
      <c r="BS19" s="64"/>
      <c r="BT19" s="63" t="b">
        <v>1</v>
      </c>
      <c r="BU19" s="61">
        <v>1.0</v>
      </c>
      <c r="BV19" s="64"/>
      <c r="BW19" s="63" t="b">
        <v>0</v>
      </c>
      <c r="BX19" s="61">
        <v>1.0</v>
      </c>
      <c r="BY19" s="64"/>
      <c r="BZ19" s="63" t="s">
        <v>824</v>
      </c>
      <c r="CA19" s="61">
        <v>1.0</v>
      </c>
      <c r="CB19" s="64"/>
      <c r="CC19" s="63" t="b">
        <v>1</v>
      </c>
      <c r="CD19" s="61">
        <v>1.0</v>
      </c>
      <c r="CE19" s="64"/>
      <c r="CF19" s="63" t="b">
        <v>0</v>
      </c>
      <c r="CG19" s="61">
        <v>1.0</v>
      </c>
      <c r="CH19" s="64"/>
      <c r="CI19" s="63">
        <v>1.0</v>
      </c>
      <c r="CJ19" s="61">
        <v>1.0</v>
      </c>
      <c r="CK19" s="64"/>
      <c r="CL19" s="63">
        <v>2.0</v>
      </c>
      <c r="CM19" s="61">
        <v>1.0</v>
      </c>
      <c r="CN19" s="64"/>
      <c r="CO19" s="63" t="b">
        <v>1</v>
      </c>
      <c r="CP19" s="61">
        <v>1.0</v>
      </c>
      <c r="CQ19" s="64"/>
      <c r="CR19" s="63" t="s">
        <v>829</v>
      </c>
      <c r="CS19" s="61">
        <v>1.0</v>
      </c>
      <c r="CT19" s="64"/>
      <c r="CU19" s="63">
        <v>3.0</v>
      </c>
      <c r="CV19" s="61">
        <v>1.0</v>
      </c>
      <c r="CW19" s="64"/>
      <c r="CX19" s="63" t="b">
        <v>0</v>
      </c>
      <c r="CY19" s="61">
        <v>1.0</v>
      </c>
      <c r="CZ19" s="64"/>
      <c r="DA19" s="63" t="b">
        <v>0</v>
      </c>
      <c r="DB19" s="61">
        <v>1.0</v>
      </c>
      <c r="DC19" s="64"/>
    </row>
    <row r="20" ht="17.25" customHeight="1">
      <c r="A20" s="57">
        <v>21.0</v>
      </c>
      <c r="B20" s="58">
        <v>46190.71796296296</v>
      </c>
      <c r="C20" s="58">
        <v>46190.7266087963</v>
      </c>
      <c r="D20" s="59" t="s">
        <v>793</v>
      </c>
      <c r="E20" s="60"/>
      <c r="F20" s="57">
        <v>18.0</v>
      </c>
      <c r="G20" s="60"/>
      <c r="H20" s="60"/>
      <c r="I20" s="59" t="s">
        <v>990</v>
      </c>
      <c r="J20" s="60"/>
      <c r="K20" s="60"/>
      <c r="L20" s="59" t="s">
        <v>284</v>
      </c>
      <c r="M20" s="60"/>
      <c r="N20" s="60"/>
      <c r="O20" s="59" t="s">
        <v>965</v>
      </c>
      <c r="P20" s="60"/>
      <c r="Q20" s="60"/>
      <c r="R20" s="59" t="s">
        <v>799</v>
      </c>
      <c r="S20" s="57">
        <v>1.0</v>
      </c>
      <c r="T20" s="60"/>
      <c r="U20" s="59" t="s">
        <v>801</v>
      </c>
      <c r="V20" s="57">
        <v>1.0</v>
      </c>
      <c r="W20" s="60"/>
      <c r="X20" s="59" t="s">
        <v>806</v>
      </c>
      <c r="Y20" s="57">
        <v>0.0</v>
      </c>
      <c r="Z20" s="60"/>
      <c r="AA20" s="59" t="s">
        <v>805</v>
      </c>
      <c r="AB20" s="57">
        <v>1.0</v>
      </c>
      <c r="AC20" s="60"/>
      <c r="AD20" s="59" t="s">
        <v>806</v>
      </c>
      <c r="AE20" s="57">
        <v>1.0</v>
      </c>
      <c r="AF20" s="60"/>
      <c r="AG20" s="59" t="s">
        <v>810</v>
      </c>
      <c r="AH20" s="60"/>
      <c r="AI20" s="57">
        <v>1.0</v>
      </c>
      <c r="AJ20" s="59" t="s">
        <v>897</v>
      </c>
      <c r="AK20" s="60"/>
      <c r="AL20" s="57">
        <v>0.0</v>
      </c>
      <c r="AM20" s="59" t="s">
        <v>945</v>
      </c>
      <c r="AN20" s="60"/>
      <c r="AO20" s="57">
        <v>0.0</v>
      </c>
      <c r="AP20" s="59" t="s">
        <v>814</v>
      </c>
      <c r="AQ20" s="60"/>
      <c r="AR20" s="57">
        <v>1.0</v>
      </c>
      <c r="AS20" s="59" t="s">
        <v>799</v>
      </c>
      <c r="AT20" s="60"/>
      <c r="AU20" s="57">
        <v>1.0</v>
      </c>
      <c r="AV20" s="59" t="s">
        <v>806</v>
      </c>
      <c r="AW20" s="60"/>
      <c r="AX20" s="57">
        <v>0.0</v>
      </c>
      <c r="AY20" s="59" t="b">
        <v>1</v>
      </c>
      <c r="AZ20" s="60"/>
      <c r="BA20" s="57">
        <v>1.0</v>
      </c>
      <c r="BB20" s="59">
        <v>5.0</v>
      </c>
      <c r="BC20" s="60"/>
      <c r="BD20" s="57">
        <v>1.0</v>
      </c>
      <c r="BE20" s="59" t="s">
        <v>876</v>
      </c>
      <c r="BF20" s="57">
        <v>0.0</v>
      </c>
      <c r="BG20" s="60"/>
      <c r="BH20" s="59" t="s">
        <v>819</v>
      </c>
      <c r="BI20" s="57">
        <v>1.0</v>
      </c>
      <c r="BJ20" s="60"/>
      <c r="BK20" s="59" t="b">
        <v>1</v>
      </c>
      <c r="BL20" s="57">
        <v>1.0</v>
      </c>
      <c r="BM20" s="60"/>
      <c r="BN20" s="59">
        <v>4.0</v>
      </c>
      <c r="BO20" s="57">
        <v>0.0</v>
      </c>
      <c r="BP20" s="60"/>
      <c r="BQ20" s="59">
        <v>3.0</v>
      </c>
      <c r="BR20" s="57">
        <v>1.0</v>
      </c>
      <c r="BS20" s="60"/>
      <c r="BT20" s="59" t="s">
        <v>806</v>
      </c>
      <c r="BU20" s="57">
        <v>0.0</v>
      </c>
      <c r="BV20" s="60"/>
      <c r="BW20" s="59" t="s">
        <v>806</v>
      </c>
      <c r="BX20" s="57">
        <v>0.0</v>
      </c>
      <c r="BY20" s="60"/>
      <c r="BZ20" s="59" t="s">
        <v>824</v>
      </c>
      <c r="CA20" s="57">
        <v>1.0</v>
      </c>
      <c r="CB20" s="60"/>
      <c r="CC20" s="59" t="b">
        <v>1</v>
      </c>
      <c r="CD20" s="57">
        <v>1.0</v>
      </c>
      <c r="CE20" s="60"/>
      <c r="CF20" s="59" t="b">
        <v>0</v>
      </c>
      <c r="CG20" s="57">
        <v>1.0</v>
      </c>
      <c r="CH20" s="60"/>
      <c r="CI20" s="59">
        <v>1.0</v>
      </c>
      <c r="CJ20" s="57">
        <v>1.0</v>
      </c>
      <c r="CK20" s="60"/>
      <c r="CL20" s="59" t="s">
        <v>806</v>
      </c>
      <c r="CM20" s="57">
        <v>0.0</v>
      </c>
      <c r="CN20" s="60"/>
      <c r="CO20" s="59" t="s">
        <v>806</v>
      </c>
      <c r="CP20" s="57">
        <v>0.0</v>
      </c>
      <c r="CQ20" s="60"/>
      <c r="CR20" s="59" t="s">
        <v>953</v>
      </c>
      <c r="CS20" s="57">
        <v>0.0</v>
      </c>
      <c r="CT20" s="60"/>
      <c r="CU20" s="59">
        <v>3.0</v>
      </c>
      <c r="CV20" s="57">
        <v>1.0</v>
      </c>
      <c r="CW20" s="60"/>
      <c r="CX20" s="59" t="s">
        <v>806</v>
      </c>
      <c r="CY20" s="57">
        <v>0.0</v>
      </c>
      <c r="CZ20" s="60"/>
      <c r="DA20" s="59" t="b">
        <v>0</v>
      </c>
      <c r="DB20" s="57">
        <v>1.0</v>
      </c>
      <c r="DC20" s="60"/>
    </row>
    <row r="21" ht="17.25" customHeight="1">
      <c r="A21" s="61">
        <v>22.0</v>
      </c>
      <c r="B21" s="62">
        <v>46190.71792824074</v>
      </c>
      <c r="C21" s="62">
        <v>46190.72662037037</v>
      </c>
      <c r="D21" s="63" t="s">
        <v>793</v>
      </c>
      <c r="E21" s="64"/>
      <c r="F21" s="61">
        <v>19.0</v>
      </c>
      <c r="G21" s="64"/>
      <c r="H21" s="64"/>
      <c r="I21" s="63" t="s">
        <v>994</v>
      </c>
      <c r="J21" s="64"/>
      <c r="K21" s="64"/>
      <c r="L21" s="63" t="s">
        <v>273</v>
      </c>
      <c r="M21" s="64"/>
      <c r="N21" s="64"/>
      <c r="O21" s="63" t="s">
        <v>995</v>
      </c>
      <c r="P21" s="64"/>
      <c r="Q21" s="64"/>
      <c r="R21" s="63" t="s">
        <v>799</v>
      </c>
      <c r="S21" s="61">
        <v>1.0</v>
      </c>
      <c r="T21" s="64"/>
      <c r="U21" s="63" t="s">
        <v>801</v>
      </c>
      <c r="V21" s="61">
        <v>1.0</v>
      </c>
      <c r="W21" s="64"/>
      <c r="X21" s="63" t="s">
        <v>803</v>
      </c>
      <c r="Y21" s="61">
        <v>1.0</v>
      </c>
      <c r="Z21" s="64"/>
      <c r="AA21" s="63" t="s">
        <v>806</v>
      </c>
      <c r="AB21" s="61">
        <v>0.0</v>
      </c>
      <c r="AC21" s="64"/>
      <c r="AD21" s="63" t="s">
        <v>806</v>
      </c>
      <c r="AE21" s="61">
        <v>1.0</v>
      </c>
      <c r="AF21" s="64"/>
      <c r="AG21" s="63" t="s">
        <v>810</v>
      </c>
      <c r="AH21" s="64"/>
      <c r="AI21" s="61">
        <v>1.0</v>
      </c>
      <c r="AJ21" s="63" t="s">
        <v>897</v>
      </c>
      <c r="AK21" s="64"/>
      <c r="AL21" s="61">
        <v>0.0</v>
      </c>
      <c r="AM21" s="63" t="s">
        <v>976</v>
      </c>
      <c r="AN21" s="64"/>
      <c r="AO21" s="61">
        <v>0.0</v>
      </c>
      <c r="AP21" s="63" t="s">
        <v>814</v>
      </c>
      <c r="AQ21" s="64"/>
      <c r="AR21" s="61">
        <v>1.0</v>
      </c>
      <c r="AS21" s="63" t="s">
        <v>897</v>
      </c>
      <c r="AT21" s="64"/>
      <c r="AU21" s="61">
        <v>0.0</v>
      </c>
      <c r="AV21" s="63" t="s">
        <v>806</v>
      </c>
      <c r="AW21" s="64"/>
      <c r="AX21" s="61">
        <v>0.0</v>
      </c>
      <c r="AY21" s="63" t="s">
        <v>997</v>
      </c>
      <c r="AZ21" s="64"/>
      <c r="BA21" s="61">
        <v>0.0</v>
      </c>
      <c r="BB21" s="63">
        <v>5.0</v>
      </c>
      <c r="BC21" s="64"/>
      <c r="BD21" s="61">
        <v>1.0</v>
      </c>
      <c r="BE21" s="63" t="b">
        <v>1</v>
      </c>
      <c r="BF21" s="61">
        <v>1.0</v>
      </c>
      <c r="BG21" s="64"/>
      <c r="BH21" s="63" t="b">
        <v>0</v>
      </c>
      <c r="BI21" s="61">
        <v>0.0</v>
      </c>
      <c r="BJ21" s="64"/>
      <c r="BK21" s="63" t="b">
        <v>1</v>
      </c>
      <c r="BL21" s="61">
        <v>1.0</v>
      </c>
      <c r="BM21" s="64"/>
      <c r="BN21" s="63">
        <v>3.0</v>
      </c>
      <c r="BO21" s="61">
        <v>1.0</v>
      </c>
      <c r="BP21" s="64"/>
      <c r="BQ21" s="63">
        <v>4.0</v>
      </c>
      <c r="BR21" s="61">
        <v>0.0</v>
      </c>
      <c r="BS21" s="64"/>
      <c r="BT21" s="63" t="b">
        <v>1</v>
      </c>
      <c r="BU21" s="61">
        <v>1.0</v>
      </c>
      <c r="BV21" s="64"/>
      <c r="BW21" s="63" t="b">
        <v>0</v>
      </c>
      <c r="BX21" s="61">
        <v>1.0</v>
      </c>
      <c r="BY21" s="64"/>
      <c r="BZ21" s="63" t="s">
        <v>806</v>
      </c>
      <c r="CA21" s="61">
        <v>0.0</v>
      </c>
      <c r="CB21" s="64"/>
      <c r="CC21" s="63" t="b">
        <v>1</v>
      </c>
      <c r="CD21" s="61">
        <v>1.0</v>
      </c>
      <c r="CE21" s="64"/>
      <c r="CF21" s="63" t="b">
        <v>0</v>
      </c>
      <c r="CG21" s="61">
        <v>1.0</v>
      </c>
      <c r="CH21" s="64"/>
      <c r="CI21" s="63">
        <v>1.0</v>
      </c>
      <c r="CJ21" s="61">
        <v>1.0</v>
      </c>
      <c r="CK21" s="64"/>
      <c r="CL21" s="63">
        <v>2.0</v>
      </c>
      <c r="CM21" s="61">
        <v>1.0</v>
      </c>
      <c r="CN21" s="64"/>
      <c r="CO21" s="63" t="b">
        <v>1</v>
      </c>
      <c r="CP21" s="61">
        <v>1.0</v>
      </c>
      <c r="CQ21" s="64"/>
      <c r="CR21" s="63" t="s">
        <v>950</v>
      </c>
      <c r="CS21" s="61">
        <v>0.0</v>
      </c>
      <c r="CT21" s="64"/>
      <c r="CU21" s="63" t="s">
        <v>906</v>
      </c>
      <c r="CV21" s="61">
        <v>0.0</v>
      </c>
      <c r="CW21" s="64"/>
      <c r="CX21" s="63" t="b">
        <v>0</v>
      </c>
      <c r="CY21" s="61">
        <v>1.0</v>
      </c>
      <c r="CZ21" s="64"/>
      <c r="DA21" s="63" t="b">
        <v>0</v>
      </c>
      <c r="DB21" s="61">
        <v>1.0</v>
      </c>
      <c r="DC21" s="64"/>
    </row>
    <row r="22" ht="17.25" customHeight="1">
      <c r="A22" s="57">
        <v>23.0</v>
      </c>
      <c r="B22" s="58">
        <v>46190.71650462963</v>
      </c>
      <c r="C22" s="58">
        <v>46190.72662037037</v>
      </c>
      <c r="D22" s="59" t="s">
        <v>793</v>
      </c>
      <c r="E22" s="60"/>
      <c r="F22" s="57">
        <v>28.0</v>
      </c>
      <c r="G22" s="60"/>
      <c r="H22" s="60"/>
      <c r="I22" s="59" t="s">
        <v>999</v>
      </c>
      <c r="J22" s="60"/>
      <c r="K22" s="60"/>
      <c r="L22" s="59" t="s">
        <v>835</v>
      </c>
      <c r="M22" s="60"/>
      <c r="N22" s="60"/>
      <c r="O22" s="59" t="s">
        <v>1000</v>
      </c>
      <c r="P22" s="60"/>
      <c r="Q22" s="60"/>
      <c r="R22" s="59" t="s">
        <v>799</v>
      </c>
      <c r="S22" s="57">
        <v>1.0</v>
      </c>
      <c r="T22" s="60"/>
      <c r="U22" s="59" t="s">
        <v>801</v>
      </c>
      <c r="V22" s="57">
        <v>1.0</v>
      </c>
      <c r="W22" s="60"/>
      <c r="X22" s="59" t="s">
        <v>803</v>
      </c>
      <c r="Y22" s="57">
        <v>1.0</v>
      </c>
      <c r="Z22" s="60"/>
      <c r="AA22" s="59" t="s">
        <v>805</v>
      </c>
      <c r="AB22" s="57">
        <v>1.0</v>
      </c>
      <c r="AC22" s="60"/>
      <c r="AD22" s="59" t="s">
        <v>806</v>
      </c>
      <c r="AE22" s="57">
        <v>1.0</v>
      </c>
      <c r="AF22" s="60"/>
      <c r="AG22" s="59" t="s">
        <v>810</v>
      </c>
      <c r="AH22" s="60"/>
      <c r="AI22" s="57">
        <v>1.0</v>
      </c>
      <c r="AJ22" s="59" t="s">
        <v>811</v>
      </c>
      <c r="AK22" s="60"/>
      <c r="AL22" s="57">
        <v>1.0</v>
      </c>
      <c r="AM22" s="59" t="s">
        <v>812</v>
      </c>
      <c r="AN22" s="60"/>
      <c r="AO22" s="57">
        <v>1.0</v>
      </c>
      <c r="AP22" s="59" t="s">
        <v>814</v>
      </c>
      <c r="AQ22" s="60"/>
      <c r="AR22" s="57">
        <v>1.0</v>
      </c>
      <c r="AS22" s="59" t="s">
        <v>799</v>
      </c>
      <c r="AT22" s="60"/>
      <c r="AU22" s="57">
        <v>1.0</v>
      </c>
      <c r="AV22" s="59">
        <v>1.0</v>
      </c>
      <c r="AW22" s="60"/>
      <c r="AX22" s="57">
        <v>1.0</v>
      </c>
      <c r="AY22" s="59" t="b">
        <v>1</v>
      </c>
      <c r="AZ22" s="60"/>
      <c r="BA22" s="57">
        <v>1.0</v>
      </c>
      <c r="BB22" s="59">
        <v>5.0</v>
      </c>
      <c r="BC22" s="60"/>
      <c r="BD22" s="57">
        <v>1.0</v>
      </c>
      <c r="BE22" s="59" t="s">
        <v>876</v>
      </c>
      <c r="BF22" s="57">
        <v>0.0</v>
      </c>
      <c r="BG22" s="60"/>
      <c r="BH22" s="59" t="s">
        <v>819</v>
      </c>
      <c r="BI22" s="57">
        <v>1.0</v>
      </c>
      <c r="BJ22" s="60"/>
      <c r="BK22" s="59" t="b">
        <v>0</v>
      </c>
      <c r="BL22" s="57">
        <v>0.0</v>
      </c>
      <c r="BM22" s="60"/>
      <c r="BN22" s="59">
        <v>3.0</v>
      </c>
      <c r="BO22" s="57">
        <v>1.0</v>
      </c>
      <c r="BP22" s="60"/>
      <c r="BQ22" s="59">
        <v>3.0</v>
      </c>
      <c r="BR22" s="57">
        <v>1.0</v>
      </c>
      <c r="BS22" s="60"/>
      <c r="BT22" s="59" t="b">
        <v>1</v>
      </c>
      <c r="BU22" s="57">
        <v>1.0</v>
      </c>
      <c r="BV22" s="60"/>
      <c r="BW22" s="59" t="b">
        <v>0</v>
      </c>
      <c r="BX22" s="57">
        <v>1.0</v>
      </c>
      <c r="BY22" s="60"/>
      <c r="BZ22" s="59" t="s">
        <v>824</v>
      </c>
      <c r="CA22" s="57">
        <v>1.0</v>
      </c>
      <c r="CB22" s="60"/>
      <c r="CC22" s="59" t="b">
        <v>1</v>
      </c>
      <c r="CD22" s="57">
        <v>1.0</v>
      </c>
      <c r="CE22" s="60"/>
      <c r="CF22" s="59" t="b">
        <v>0</v>
      </c>
      <c r="CG22" s="57">
        <v>1.0</v>
      </c>
      <c r="CH22" s="60"/>
      <c r="CI22" s="59">
        <v>1.0</v>
      </c>
      <c r="CJ22" s="57">
        <v>1.0</v>
      </c>
      <c r="CK22" s="60"/>
      <c r="CL22" s="59">
        <v>2.0</v>
      </c>
      <c r="CM22" s="57">
        <v>1.0</v>
      </c>
      <c r="CN22" s="60"/>
      <c r="CO22" s="59" t="b">
        <v>1</v>
      </c>
      <c r="CP22" s="57">
        <v>1.0</v>
      </c>
      <c r="CQ22" s="60"/>
      <c r="CR22" s="59" t="s">
        <v>829</v>
      </c>
      <c r="CS22" s="57">
        <v>1.0</v>
      </c>
      <c r="CT22" s="60"/>
      <c r="CU22" s="59">
        <v>3.0</v>
      </c>
      <c r="CV22" s="57">
        <v>1.0</v>
      </c>
      <c r="CW22" s="60"/>
      <c r="CX22" s="59" t="b">
        <v>0</v>
      </c>
      <c r="CY22" s="57">
        <v>1.0</v>
      </c>
      <c r="CZ22" s="60"/>
      <c r="DA22" s="59" t="b">
        <v>0</v>
      </c>
      <c r="DB22" s="57">
        <v>1.0</v>
      </c>
      <c r="DC22" s="60"/>
    </row>
    <row r="23" ht="17.25" customHeight="1">
      <c r="A23" s="61">
        <v>24.0</v>
      </c>
      <c r="B23" s="62">
        <v>46190.71586805556</v>
      </c>
      <c r="C23" s="62">
        <v>46190.72665509259</v>
      </c>
      <c r="D23" s="63" t="s">
        <v>793</v>
      </c>
      <c r="E23" s="64"/>
      <c r="F23" s="61">
        <v>24.0</v>
      </c>
      <c r="G23" s="64"/>
      <c r="H23" s="64"/>
      <c r="I23" s="63" t="s">
        <v>113</v>
      </c>
      <c r="J23" s="64"/>
      <c r="K23" s="64"/>
      <c r="L23" s="63" t="s">
        <v>378</v>
      </c>
      <c r="M23" s="64"/>
      <c r="N23" s="64"/>
      <c r="O23" s="63" t="s">
        <v>373</v>
      </c>
      <c r="P23" s="64"/>
      <c r="Q23" s="64"/>
      <c r="R23" s="63" t="s">
        <v>799</v>
      </c>
      <c r="S23" s="61">
        <v>1.0</v>
      </c>
      <c r="T23" s="64"/>
      <c r="U23" s="63" t="s">
        <v>801</v>
      </c>
      <c r="V23" s="61">
        <v>1.0</v>
      </c>
      <c r="W23" s="64"/>
      <c r="X23" s="63" t="s">
        <v>803</v>
      </c>
      <c r="Y23" s="61">
        <v>1.0</v>
      </c>
      <c r="Z23" s="64"/>
      <c r="AA23" s="63" t="s">
        <v>805</v>
      </c>
      <c r="AB23" s="61">
        <v>1.0</v>
      </c>
      <c r="AC23" s="64"/>
      <c r="AD23" s="63" t="s">
        <v>806</v>
      </c>
      <c r="AE23" s="61">
        <v>1.0</v>
      </c>
      <c r="AF23" s="64"/>
      <c r="AG23" s="63" t="s">
        <v>1002</v>
      </c>
      <c r="AH23" s="64"/>
      <c r="AI23" s="61">
        <v>0.0</v>
      </c>
      <c r="AJ23" s="63" t="s">
        <v>811</v>
      </c>
      <c r="AK23" s="64"/>
      <c r="AL23" s="61">
        <v>1.0</v>
      </c>
      <c r="AM23" s="63" t="s">
        <v>812</v>
      </c>
      <c r="AN23" s="64"/>
      <c r="AO23" s="61">
        <v>1.0</v>
      </c>
      <c r="AP23" s="63" t="s">
        <v>814</v>
      </c>
      <c r="AQ23" s="64"/>
      <c r="AR23" s="61">
        <v>1.0</v>
      </c>
      <c r="AS23" s="63" t="s">
        <v>799</v>
      </c>
      <c r="AT23" s="64"/>
      <c r="AU23" s="61">
        <v>1.0</v>
      </c>
      <c r="AV23" s="63">
        <v>1.0</v>
      </c>
      <c r="AW23" s="64"/>
      <c r="AX23" s="61">
        <v>1.0</v>
      </c>
      <c r="AY23" s="63" t="b">
        <v>1</v>
      </c>
      <c r="AZ23" s="64"/>
      <c r="BA23" s="61">
        <v>1.0</v>
      </c>
      <c r="BB23" s="63">
        <v>5.0</v>
      </c>
      <c r="BC23" s="64"/>
      <c r="BD23" s="61">
        <v>1.0</v>
      </c>
      <c r="BE23" s="63" t="s">
        <v>876</v>
      </c>
      <c r="BF23" s="61">
        <v>0.0</v>
      </c>
      <c r="BG23" s="64"/>
      <c r="BH23" s="63" t="s">
        <v>819</v>
      </c>
      <c r="BI23" s="61">
        <v>1.0</v>
      </c>
      <c r="BJ23" s="64"/>
      <c r="BK23" s="63" t="b">
        <v>0</v>
      </c>
      <c r="BL23" s="61">
        <v>0.0</v>
      </c>
      <c r="BM23" s="64"/>
      <c r="BN23" s="63">
        <v>3.0</v>
      </c>
      <c r="BO23" s="61">
        <v>1.0</v>
      </c>
      <c r="BP23" s="64"/>
      <c r="BQ23" s="63">
        <v>3.0</v>
      </c>
      <c r="BR23" s="61">
        <v>1.0</v>
      </c>
      <c r="BS23" s="64"/>
      <c r="BT23" s="63" t="b">
        <v>0</v>
      </c>
      <c r="BU23" s="61">
        <v>0.0</v>
      </c>
      <c r="BV23" s="64"/>
      <c r="BW23" s="63" t="b">
        <v>0</v>
      </c>
      <c r="BX23" s="61">
        <v>1.0</v>
      </c>
      <c r="BY23" s="64"/>
      <c r="BZ23" s="63" t="s">
        <v>824</v>
      </c>
      <c r="CA23" s="61">
        <v>1.0</v>
      </c>
      <c r="CB23" s="64"/>
      <c r="CC23" s="63" t="b">
        <v>1</v>
      </c>
      <c r="CD23" s="61">
        <v>1.0</v>
      </c>
      <c r="CE23" s="64"/>
      <c r="CF23" s="63" t="s">
        <v>806</v>
      </c>
      <c r="CG23" s="61">
        <v>0.0</v>
      </c>
      <c r="CH23" s="64"/>
      <c r="CI23" s="63">
        <v>1.0</v>
      </c>
      <c r="CJ23" s="61">
        <v>1.0</v>
      </c>
      <c r="CK23" s="64"/>
      <c r="CL23" s="63">
        <v>2.0</v>
      </c>
      <c r="CM23" s="61">
        <v>1.0</v>
      </c>
      <c r="CN23" s="64"/>
      <c r="CO23" s="63" t="b">
        <v>1</v>
      </c>
      <c r="CP23" s="61">
        <v>1.0</v>
      </c>
      <c r="CQ23" s="64"/>
      <c r="CR23" s="63" t="s">
        <v>829</v>
      </c>
      <c r="CS23" s="61">
        <v>1.0</v>
      </c>
      <c r="CT23" s="64"/>
      <c r="CU23" s="63">
        <v>3.0</v>
      </c>
      <c r="CV23" s="61">
        <v>1.0</v>
      </c>
      <c r="CW23" s="64"/>
      <c r="CX23" s="63" t="b">
        <v>1</v>
      </c>
      <c r="CY23" s="61">
        <v>0.0</v>
      </c>
      <c r="CZ23" s="64"/>
      <c r="DA23" s="63" t="b">
        <v>0</v>
      </c>
      <c r="DB23" s="61">
        <v>1.0</v>
      </c>
      <c r="DC23" s="64"/>
    </row>
    <row r="24" ht="17.25" customHeight="1">
      <c r="A24" s="57">
        <v>25.0</v>
      </c>
      <c r="B24" s="58">
        <v>46190.715682870374</v>
      </c>
      <c r="C24" s="58">
        <v>46190.72671296296</v>
      </c>
      <c r="D24" s="59" t="s">
        <v>793</v>
      </c>
      <c r="E24" s="60"/>
      <c r="F24" s="57">
        <v>24.0</v>
      </c>
      <c r="G24" s="60"/>
      <c r="H24" s="60"/>
      <c r="I24" s="59" t="s">
        <v>1006</v>
      </c>
      <c r="J24" s="60"/>
      <c r="K24" s="60"/>
      <c r="L24" s="59" t="s">
        <v>866</v>
      </c>
      <c r="M24" s="60"/>
      <c r="N24" s="60"/>
      <c r="O24" s="59" t="s">
        <v>1007</v>
      </c>
      <c r="P24" s="60"/>
      <c r="Q24" s="60"/>
      <c r="R24" s="59" t="s">
        <v>799</v>
      </c>
      <c r="S24" s="57">
        <v>1.0</v>
      </c>
      <c r="T24" s="60"/>
      <c r="U24" s="59" t="s">
        <v>801</v>
      </c>
      <c r="V24" s="57">
        <v>1.0</v>
      </c>
      <c r="W24" s="60"/>
      <c r="X24" s="59" t="s">
        <v>803</v>
      </c>
      <c r="Y24" s="57">
        <v>1.0</v>
      </c>
      <c r="Z24" s="60"/>
      <c r="AA24" s="59" t="s">
        <v>1008</v>
      </c>
      <c r="AB24" s="57">
        <v>0.0</v>
      </c>
      <c r="AC24" s="60"/>
      <c r="AD24" s="59" t="s">
        <v>950</v>
      </c>
      <c r="AE24" s="57">
        <v>0.0</v>
      </c>
      <c r="AF24" s="60"/>
      <c r="AG24" s="59" t="s">
        <v>810</v>
      </c>
      <c r="AH24" s="60"/>
      <c r="AI24" s="57">
        <v>1.0</v>
      </c>
      <c r="AJ24" s="59" t="s">
        <v>811</v>
      </c>
      <c r="AK24" s="60"/>
      <c r="AL24" s="57">
        <v>1.0</v>
      </c>
      <c r="AM24" s="59" t="s">
        <v>812</v>
      </c>
      <c r="AN24" s="60"/>
      <c r="AO24" s="57">
        <v>1.0</v>
      </c>
      <c r="AP24" s="59" t="s">
        <v>814</v>
      </c>
      <c r="AQ24" s="60"/>
      <c r="AR24" s="57">
        <v>1.0</v>
      </c>
      <c r="AS24" s="59" t="s">
        <v>799</v>
      </c>
      <c r="AT24" s="60"/>
      <c r="AU24" s="57">
        <v>1.0</v>
      </c>
      <c r="AV24" s="59">
        <v>1.0</v>
      </c>
      <c r="AW24" s="60"/>
      <c r="AX24" s="57">
        <v>1.0</v>
      </c>
      <c r="AY24" s="59" t="b">
        <v>1</v>
      </c>
      <c r="AZ24" s="60"/>
      <c r="BA24" s="57">
        <v>1.0</v>
      </c>
      <c r="BB24" s="59">
        <v>5.0</v>
      </c>
      <c r="BC24" s="60"/>
      <c r="BD24" s="57">
        <v>1.0</v>
      </c>
      <c r="BE24" s="59" t="s">
        <v>876</v>
      </c>
      <c r="BF24" s="57">
        <v>0.0</v>
      </c>
      <c r="BG24" s="60"/>
      <c r="BH24" s="59" t="s">
        <v>819</v>
      </c>
      <c r="BI24" s="57">
        <v>1.0</v>
      </c>
      <c r="BJ24" s="60"/>
      <c r="BK24" s="59" t="b">
        <v>1</v>
      </c>
      <c r="BL24" s="57">
        <v>1.0</v>
      </c>
      <c r="BM24" s="60"/>
      <c r="BN24" s="59">
        <v>3.0</v>
      </c>
      <c r="BO24" s="57">
        <v>1.0</v>
      </c>
      <c r="BP24" s="60"/>
      <c r="BQ24" s="59">
        <v>3.0</v>
      </c>
      <c r="BR24" s="57">
        <v>1.0</v>
      </c>
      <c r="BS24" s="60"/>
      <c r="BT24" s="59" t="b">
        <v>1</v>
      </c>
      <c r="BU24" s="57">
        <v>1.0</v>
      </c>
      <c r="BV24" s="60"/>
      <c r="BW24" s="59" t="b">
        <v>0</v>
      </c>
      <c r="BX24" s="57">
        <v>1.0</v>
      </c>
      <c r="BY24" s="60"/>
      <c r="BZ24" s="59" t="s">
        <v>824</v>
      </c>
      <c r="CA24" s="57">
        <v>1.0</v>
      </c>
      <c r="CB24" s="60"/>
      <c r="CC24" s="59" t="b">
        <v>1</v>
      </c>
      <c r="CD24" s="57">
        <v>1.0</v>
      </c>
      <c r="CE24" s="60"/>
      <c r="CF24" s="59" t="b">
        <v>0</v>
      </c>
      <c r="CG24" s="57">
        <v>1.0</v>
      </c>
      <c r="CH24" s="60"/>
      <c r="CI24" s="59">
        <v>1.0</v>
      </c>
      <c r="CJ24" s="57">
        <v>1.0</v>
      </c>
      <c r="CK24" s="60"/>
      <c r="CL24" s="59">
        <v>2.0</v>
      </c>
      <c r="CM24" s="57">
        <v>1.0</v>
      </c>
      <c r="CN24" s="60"/>
      <c r="CO24" s="59" t="b">
        <v>1</v>
      </c>
      <c r="CP24" s="57">
        <v>1.0</v>
      </c>
      <c r="CQ24" s="60"/>
      <c r="CR24" s="59" t="s">
        <v>953</v>
      </c>
      <c r="CS24" s="57">
        <v>0.0</v>
      </c>
      <c r="CT24" s="60"/>
      <c r="CU24" s="59">
        <v>2.0</v>
      </c>
      <c r="CV24" s="57">
        <v>0.0</v>
      </c>
      <c r="CW24" s="60"/>
      <c r="CX24" s="59" t="b">
        <v>0</v>
      </c>
      <c r="CY24" s="57">
        <v>1.0</v>
      </c>
      <c r="CZ24" s="60"/>
      <c r="DA24" s="59" t="b">
        <v>1</v>
      </c>
      <c r="DB24" s="57">
        <v>0.0</v>
      </c>
      <c r="DC24" s="60"/>
    </row>
    <row r="25" ht="17.25" customHeight="1">
      <c r="A25" s="61">
        <v>26.0</v>
      </c>
      <c r="B25" s="62">
        <v>46190.71582175926</v>
      </c>
      <c r="C25" s="62">
        <v>46190.726793981485</v>
      </c>
      <c r="D25" s="63" t="s">
        <v>793</v>
      </c>
      <c r="E25" s="64"/>
      <c r="F25" s="61">
        <v>29.0</v>
      </c>
      <c r="G25" s="64"/>
      <c r="H25" s="64"/>
      <c r="I25" s="63" t="s">
        <v>1010</v>
      </c>
      <c r="J25" s="64"/>
      <c r="K25" s="64"/>
      <c r="L25" s="63" t="s">
        <v>850</v>
      </c>
      <c r="M25" s="64"/>
      <c r="N25" s="64"/>
      <c r="O25" s="63" t="s">
        <v>1011</v>
      </c>
      <c r="P25" s="64"/>
      <c r="Q25" s="64"/>
      <c r="R25" s="63" t="s">
        <v>799</v>
      </c>
      <c r="S25" s="61">
        <v>1.0</v>
      </c>
      <c r="T25" s="64"/>
      <c r="U25" s="63" t="s">
        <v>801</v>
      </c>
      <c r="V25" s="61">
        <v>1.0</v>
      </c>
      <c r="W25" s="64"/>
      <c r="X25" s="63" t="s">
        <v>803</v>
      </c>
      <c r="Y25" s="61">
        <v>1.0</v>
      </c>
      <c r="Z25" s="64"/>
      <c r="AA25" s="63" t="s">
        <v>805</v>
      </c>
      <c r="AB25" s="61">
        <v>1.0</v>
      </c>
      <c r="AC25" s="64"/>
      <c r="AD25" s="63" t="s">
        <v>806</v>
      </c>
      <c r="AE25" s="61">
        <v>1.0</v>
      </c>
      <c r="AF25" s="64"/>
      <c r="AG25" s="63" t="s">
        <v>810</v>
      </c>
      <c r="AH25" s="64"/>
      <c r="AI25" s="61">
        <v>1.0</v>
      </c>
      <c r="AJ25" s="63" t="s">
        <v>811</v>
      </c>
      <c r="AK25" s="64"/>
      <c r="AL25" s="61">
        <v>1.0</v>
      </c>
      <c r="AM25" s="63" t="s">
        <v>812</v>
      </c>
      <c r="AN25" s="64"/>
      <c r="AO25" s="61">
        <v>1.0</v>
      </c>
      <c r="AP25" s="63" t="s">
        <v>814</v>
      </c>
      <c r="AQ25" s="64"/>
      <c r="AR25" s="61">
        <v>1.0</v>
      </c>
      <c r="AS25" s="63" t="s">
        <v>799</v>
      </c>
      <c r="AT25" s="64"/>
      <c r="AU25" s="61">
        <v>1.0</v>
      </c>
      <c r="AV25" s="63">
        <v>1.0</v>
      </c>
      <c r="AW25" s="64"/>
      <c r="AX25" s="61">
        <v>1.0</v>
      </c>
      <c r="AY25" s="63" t="b">
        <v>1</v>
      </c>
      <c r="AZ25" s="64"/>
      <c r="BA25" s="61">
        <v>1.0</v>
      </c>
      <c r="BB25" s="63">
        <v>5.0</v>
      </c>
      <c r="BC25" s="64"/>
      <c r="BD25" s="61">
        <v>1.0</v>
      </c>
      <c r="BE25" s="63" t="s">
        <v>876</v>
      </c>
      <c r="BF25" s="61">
        <v>0.0</v>
      </c>
      <c r="BG25" s="64"/>
      <c r="BH25" s="63" t="s">
        <v>819</v>
      </c>
      <c r="BI25" s="61">
        <v>1.0</v>
      </c>
      <c r="BJ25" s="64"/>
      <c r="BK25" s="63" t="b">
        <v>1</v>
      </c>
      <c r="BL25" s="61">
        <v>1.0</v>
      </c>
      <c r="BM25" s="64"/>
      <c r="BN25" s="63">
        <v>3.0</v>
      </c>
      <c r="BO25" s="61">
        <v>1.0</v>
      </c>
      <c r="BP25" s="64"/>
      <c r="BQ25" s="63">
        <v>3.0</v>
      </c>
      <c r="BR25" s="61">
        <v>1.0</v>
      </c>
      <c r="BS25" s="64"/>
      <c r="BT25" s="63" t="b">
        <v>1</v>
      </c>
      <c r="BU25" s="61">
        <v>1.0</v>
      </c>
      <c r="BV25" s="64"/>
      <c r="BW25" s="63" t="b">
        <v>0</v>
      </c>
      <c r="BX25" s="61">
        <v>1.0</v>
      </c>
      <c r="BY25" s="64"/>
      <c r="BZ25" s="63" t="s">
        <v>824</v>
      </c>
      <c r="CA25" s="61">
        <v>1.0</v>
      </c>
      <c r="CB25" s="64"/>
      <c r="CC25" s="63" t="b">
        <v>1</v>
      </c>
      <c r="CD25" s="61">
        <v>1.0</v>
      </c>
      <c r="CE25" s="64"/>
      <c r="CF25" s="63" t="b">
        <v>0</v>
      </c>
      <c r="CG25" s="61">
        <v>1.0</v>
      </c>
      <c r="CH25" s="64"/>
      <c r="CI25" s="63">
        <v>1.0</v>
      </c>
      <c r="CJ25" s="61">
        <v>1.0</v>
      </c>
      <c r="CK25" s="64"/>
      <c r="CL25" s="63">
        <v>2.0</v>
      </c>
      <c r="CM25" s="61">
        <v>1.0</v>
      </c>
      <c r="CN25" s="64"/>
      <c r="CO25" s="63" t="b">
        <v>1</v>
      </c>
      <c r="CP25" s="61">
        <v>1.0</v>
      </c>
      <c r="CQ25" s="64"/>
      <c r="CR25" s="63" t="s">
        <v>829</v>
      </c>
      <c r="CS25" s="61">
        <v>1.0</v>
      </c>
      <c r="CT25" s="64"/>
      <c r="CU25" s="63">
        <v>3.0</v>
      </c>
      <c r="CV25" s="61">
        <v>1.0</v>
      </c>
      <c r="CW25" s="64"/>
      <c r="CX25" s="63" t="b">
        <v>0</v>
      </c>
      <c r="CY25" s="61">
        <v>1.0</v>
      </c>
      <c r="CZ25" s="64"/>
      <c r="DA25" s="63" t="b">
        <v>0</v>
      </c>
      <c r="DB25" s="61">
        <v>1.0</v>
      </c>
      <c r="DC25" s="64"/>
    </row>
    <row r="26" ht="17.25" customHeight="1">
      <c r="A26" s="57">
        <v>27.0</v>
      </c>
      <c r="B26" s="58">
        <v>46190.71733796296</v>
      </c>
      <c r="C26" s="58">
        <v>46190.72681712963</v>
      </c>
      <c r="D26" s="59" t="s">
        <v>793</v>
      </c>
      <c r="E26" s="60"/>
      <c r="F26" s="57">
        <v>21.0</v>
      </c>
      <c r="G26" s="60"/>
      <c r="H26" s="60"/>
      <c r="I26" s="59" t="s">
        <v>91</v>
      </c>
      <c r="J26" s="60"/>
      <c r="K26" s="60"/>
      <c r="L26" s="59" t="s">
        <v>92</v>
      </c>
      <c r="M26" s="60"/>
      <c r="N26" s="60"/>
      <c r="O26" s="59" t="s">
        <v>1012</v>
      </c>
      <c r="P26" s="60"/>
      <c r="Q26" s="60"/>
      <c r="R26" s="59" t="s">
        <v>799</v>
      </c>
      <c r="S26" s="57">
        <v>1.0</v>
      </c>
      <c r="T26" s="60"/>
      <c r="U26" s="59" t="s">
        <v>814</v>
      </c>
      <c r="V26" s="57">
        <v>0.0</v>
      </c>
      <c r="W26" s="60"/>
      <c r="X26" s="59" t="s">
        <v>803</v>
      </c>
      <c r="Y26" s="57">
        <v>1.0</v>
      </c>
      <c r="Z26" s="60"/>
      <c r="AA26" s="59" t="s">
        <v>805</v>
      </c>
      <c r="AB26" s="57">
        <v>1.0</v>
      </c>
      <c r="AC26" s="60"/>
      <c r="AD26" s="59" t="s">
        <v>806</v>
      </c>
      <c r="AE26" s="57">
        <v>1.0</v>
      </c>
      <c r="AF26" s="60"/>
      <c r="AG26" s="59" t="s">
        <v>810</v>
      </c>
      <c r="AH26" s="60"/>
      <c r="AI26" s="57">
        <v>1.0</v>
      </c>
      <c r="AJ26" s="59" t="s">
        <v>811</v>
      </c>
      <c r="AK26" s="60"/>
      <c r="AL26" s="57">
        <v>1.0</v>
      </c>
      <c r="AM26" s="59" t="s">
        <v>812</v>
      </c>
      <c r="AN26" s="60"/>
      <c r="AO26" s="57">
        <v>1.0</v>
      </c>
      <c r="AP26" s="59" t="s">
        <v>814</v>
      </c>
      <c r="AQ26" s="60"/>
      <c r="AR26" s="57">
        <v>1.0</v>
      </c>
      <c r="AS26" s="59" t="s">
        <v>799</v>
      </c>
      <c r="AT26" s="60"/>
      <c r="AU26" s="57">
        <v>1.0</v>
      </c>
      <c r="AV26" s="59">
        <v>1.0</v>
      </c>
      <c r="AW26" s="60"/>
      <c r="AX26" s="57">
        <v>1.0</v>
      </c>
      <c r="AY26" s="59" t="b">
        <v>1</v>
      </c>
      <c r="AZ26" s="60"/>
      <c r="BA26" s="57">
        <v>1.0</v>
      </c>
      <c r="BB26" s="59">
        <v>5.0</v>
      </c>
      <c r="BC26" s="60"/>
      <c r="BD26" s="57">
        <v>1.0</v>
      </c>
      <c r="BE26" s="59" t="b">
        <v>0</v>
      </c>
      <c r="BF26" s="57">
        <v>0.0</v>
      </c>
      <c r="BG26" s="60"/>
      <c r="BH26" s="59" t="s">
        <v>819</v>
      </c>
      <c r="BI26" s="57">
        <v>1.0</v>
      </c>
      <c r="BJ26" s="60"/>
      <c r="BK26" s="59" t="b">
        <v>1</v>
      </c>
      <c r="BL26" s="57">
        <v>1.0</v>
      </c>
      <c r="BM26" s="60"/>
      <c r="BN26" s="59">
        <v>3.0</v>
      </c>
      <c r="BO26" s="57">
        <v>1.0</v>
      </c>
      <c r="BP26" s="60"/>
      <c r="BQ26" s="59">
        <v>3.0</v>
      </c>
      <c r="BR26" s="57">
        <v>1.0</v>
      </c>
      <c r="BS26" s="60"/>
      <c r="BT26" s="59" t="b">
        <v>1</v>
      </c>
      <c r="BU26" s="57">
        <v>1.0</v>
      </c>
      <c r="BV26" s="60"/>
      <c r="BW26" s="59" t="b">
        <v>0</v>
      </c>
      <c r="BX26" s="57">
        <v>1.0</v>
      </c>
      <c r="BY26" s="60"/>
      <c r="BZ26" s="59" t="s">
        <v>824</v>
      </c>
      <c r="CA26" s="57">
        <v>1.0</v>
      </c>
      <c r="CB26" s="60"/>
      <c r="CC26" s="59" t="b">
        <v>1</v>
      </c>
      <c r="CD26" s="57">
        <v>1.0</v>
      </c>
      <c r="CE26" s="60"/>
      <c r="CF26" s="60"/>
      <c r="CG26" s="57">
        <v>0.0</v>
      </c>
      <c r="CH26" s="60"/>
      <c r="CI26" s="60"/>
      <c r="CJ26" s="57">
        <v>0.0</v>
      </c>
      <c r="CK26" s="60"/>
      <c r="CL26" s="59">
        <v>3.0</v>
      </c>
      <c r="CM26" s="57">
        <v>0.0</v>
      </c>
      <c r="CN26" s="60"/>
      <c r="CO26" s="59" t="b">
        <v>0</v>
      </c>
      <c r="CP26" s="57">
        <v>0.0</v>
      </c>
      <c r="CQ26" s="60"/>
      <c r="CR26" s="59" t="s">
        <v>953</v>
      </c>
      <c r="CS26" s="57">
        <v>0.0</v>
      </c>
      <c r="CT26" s="60"/>
      <c r="CU26" s="59" t="s">
        <v>906</v>
      </c>
      <c r="CV26" s="57">
        <v>0.0</v>
      </c>
      <c r="CW26" s="60"/>
      <c r="CX26" s="60"/>
      <c r="CY26" s="57">
        <v>0.0</v>
      </c>
      <c r="CZ26" s="60"/>
      <c r="DA26" s="59" t="b">
        <v>0</v>
      </c>
      <c r="DB26" s="57">
        <v>1.0</v>
      </c>
      <c r="DC26" s="60"/>
    </row>
    <row r="27" ht="17.25" customHeight="1">
      <c r="A27" s="61">
        <v>28.0</v>
      </c>
      <c r="B27" s="62">
        <v>46190.716678240744</v>
      </c>
      <c r="C27" s="62">
        <v>46190.727175925924</v>
      </c>
      <c r="D27" s="63" t="s">
        <v>793</v>
      </c>
      <c r="E27" s="64"/>
      <c r="F27" s="61">
        <v>30.0</v>
      </c>
      <c r="G27" s="64"/>
      <c r="H27" s="64"/>
      <c r="I27" s="63" t="s">
        <v>1016</v>
      </c>
      <c r="J27" s="64"/>
      <c r="K27" s="64"/>
      <c r="L27" s="63" t="s">
        <v>354</v>
      </c>
      <c r="M27" s="64"/>
      <c r="N27" s="64"/>
      <c r="O27" s="63" t="s">
        <v>1001</v>
      </c>
      <c r="P27" s="64"/>
      <c r="Q27" s="64"/>
      <c r="R27" s="63" t="s">
        <v>799</v>
      </c>
      <c r="S27" s="61">
        <v>1.0</v>
      </c>
      <c r="T27" s="64"/>
      <c r="U27" s="63" t="s">
        <v>801</v>
      </c>
      <c r="V27" s="61">
        <v>1.0</v>
      </c>
      <c r="W27" s="64"/>
      <c r="X27" s="63" t="s">
        <v>803</v>
      </c>
      <c r="Y27" s="61">
        <v>1.0</v>
      </c>
      <c r="Z27" s="64"/>
      <c r="AA27" s="63" t="s">
        <v>805</v>
      </c>
      <c r="AB27" s="61">
        <v>1.0</v>
      </c>
      <c r="AC27" s="64"/>
      <c r="AD27" s="63" t="s">
        <v>806</v>
      </c>
      <c r="AE27" s="61">
        <v>1.0</v>
      </c>
      <c r="AF27" s="64"/>
      <c r="AG27" s="63" t="s">
        <v>810</v>
      </c>
      <c r="AH27" s="64"/>
      <c r="AI27" s="61">
        <v>1.0</v>
      </c>
      <c r="AJ27" s="63" t="s">
        <v>811</v>
      </c>
      <c r="AK27" s="64"/>
      <c r="AL27" s="61">
        <v>1.0</v>
      </c>
      <c r="AM27" s="63" t="s">
        <v>812</v>
      </c>
      <c r="AN27" s="64"/>
      <c r="AO27" s="61">
        <v>1.0</v>
      </c>
      <c r="AP27" s="63" t="s">
        <v>814</v>
      </c>
      <c r="AQ27" s="64"/>
      <c r="AR27" s="61">
        <v>1.0</v>
      </c>
      <c r="AS27" s="63" t="s">
        <v>799</v>
      </c>
      <c r="AT27" s="64"/>
      <c r="AU27" s="61">
        <v>1.0</v>
      </c>
      <c r="AV27" s="63">
        <v>1.0</v>
      </c>
      <c r="AW27" s="64"/>
      <c r="AX27" s="61">
        <v>1.0</v>
      </c>
      <c r="AY27" s="63" t="b">
        <v>1</v>
      </c>
      <c r="AZ27" s="64"/>
      <c r="BA27" s="61">
        <v>1.0</v>
      </c>
      <c r="BB27" s="63">
        <v>5.0</v>
      </c>
      <c r="BC27" s="64"/>
      <c r="BD27" s="61">
        <v>1.0</v>
      </c>
      <c r="BE27" s="63" t="b">
        <v>1</v>
      </c>
      <c r="BF27" s="61">
        <v>1.0</v>
      </c>
      <c r="BG27" s="64"/>
      <c r="BH27" s="63" t="s">
        <v>819</v>
      </c>
      <c r="BI27" s="61">
        <v>1.0</v>
      </c>
      <c r="BJ27" s="64"/>
      <c r="BK27" s="63" t="b">
        <v>1</v>
      </c>
      <c r="BL27" s="61">
        <v>1.0</v>
      </c>
      <c r="BM27" s="64"/>
      <c r="BN27" s="63">
        <v>3.0</v>
      </c>
      <c r="BO27" s="61">
        <v>1.0</v>
      </c>
      <c r="BP27" s="64"/>
      <c r="BQ27" s="63">
        <v>3.0</v>
      </c>
      <c r="BR27" s="61">
        <v>1.0</v>
      </c>
      <c r="BS27" s="64"/>
      <c r="BT27" s="63" t="b">
        <v>1</v>
      </c>
      <c r="BU27" s="61">
        <v>1.0</v>
      </c>
      <c r="BV27" s="64"/>
      <c r="BW27" s="63" t="b">
        <v>0</v>
      </c>
      <c r="BX27" s="61">
        <v>1.0</v>
      </c>
      <c r="BY27" s="64"/>
      <c r="BZ27" s="63" t="s">
        <v>824</v>
      </c>
      <c r="CA27" s="61">
        <v>1.0</v>
      </c>
      <c r="CB27" s="64"/>
      <c r="CC27" s="63" t="b">
        <v>1</v>
      </c>
      <c r="CD27" s="61">
        <v>1.0</v>
      </c>
      <c r="CE27" s="64"/>
      <c r="CF27" s="63" t="b">
        <v>0</v>
      </c>
      <c r="CG27" s="61">
        <v>1.0</v>
      </c>
      <c r="CH27" s="64"/>
      <c r="CI27" s="63">
        <v>1.0</v>
      </c>
      <c r="CJ27" s="61">
        <v>1.0</v>
      </c>
      <c r="CK27" s="64"/>
      <c r="CL27" s="63">
        <v>2.0</v>
      </c>
      <c r="CM27" s="61">
        <v>1.0</v>
      </c>
      <c r="CN27" s="64"/>
      <c r="CO27" s="63" t="b">
        <v>1</v>
      </c>
      <c r="CP27" s="61">
        <v>1.0</v>
      </c>
      <c r="CQ27" s="64"/>
      <c r="CR27" s="63" t="s">
        <v>829</v>
      </c>
      <c r="CS27" s="61">
        <v>1.0</v>
      </c>
      <c r="CT27" s="64"/>
      <c r="CU27" s="63">
        <v>3.0</v>
      </c>
      <c r="CV27" s="61">
        <v>1.0</v>
      </c>
      <c r="CW27" s="64"/>
      <c r="CX27" s="63" t="b">
        <v>0</v>
      </c>
      <c r="CY27" s="61">
        <v>1.0</v>
      </c>
      <c r="CZ27" s="64"/>
      <c r="DA27" s="63" t="b">
        <v>0</v>
      </c>
      <c r="DB27" s="61">
        <v>1.0</v>
      </c>
      <c r="DC27" s="64"/>
    </row>
    <row r="28" ht="17.25" customHeight="1">
      <c r="A28" s="57">
        <v>29.0</v>
      </c>
      <c r="B28" s="58">
        <v>46190.71625</v>
      </c>
      <c r="C28" s="58">
        <v>46190.72738425926</v>
      </c>
      <c r="D28" s="59" t="s">
        <v>793</v>
      </c>
      <c r="E28" s="60"/>
      <c r="F28" s="57">
        <v>13.0</v>
      </c>
      <c r="G28" s="60"/>
      <c r="H28" s="60"/>
      <c r="I28" s="59" t="s">
        <v>584</v>
      </c>
      <c r="J28" s="60"/>
      <c r="K28" s="60"/>
      <c r="L28" s="59" t="s">
        <v>586</v>
      </c>
      <c r="M28" s="60"/>
      <c r="N28" s="60"/>
      <c r="O28" s="59" t="s">
        <v>1018</v>
      </c>
      <c r="P28" s="60"/>
      <c r="Q28" s="60"/>
      <c r="R28" s="59" t="s">
        <v>799</v>
      </c>
      <c r="S28" s="57">
        <v>1.0</v>
      </c>
      <c r="T28" s="60"/>
      <c r="U28" s="59" t="s">
        <v>801</v>
      </c>
      <c r="V28" s="57">
        <v>1.0</v>
      </c>
      <c r="W28" s="60"/>
      <c r="X28" s="59" t="s">
        <v>803</v>
      </c>
      <c r="Y28" s="57">
        <v>1.0</v>
      </c>
      <c r="Z28" s="60"/>
      <c r="AA28" s="59" t="s">
        <v>961</v>
      </c>
      <c r="AB28" s="57">
        <v>0.0</v>
      </c>
      <c r="AC28" s="60"/>
      <c r="AD28" s="59" t="s">
        <v>842</v>
      </c>
      <c r="AE28" s="57">
        <v>0.0</v>
      </c>
      <c r="AF28" s="60"/>
      <c r="AG28" s="59" t="s">
        <v>810</v>
      </c>
      <c r="AH28" s="60"/>
      <c r="AI28" s="57">
        <v>1.0</v>
      </c>
      <c r="AJ28" s="59" t="s">
        <v>897</v>
      </c>
      <c r="AK28" s="60"/>
      <c r="AL28" s="57">
        <v>0.0</v>
      </c>
      <c r="AM28" s="59" t="s">
        <v>945</v>
      </c>
      <c r="AN28" s="60"/>
      <c r="AO28" s="57">
        <v>0.0</v>
      </c>
      <c r="AP28" s="59" t="s">
        <v>801</v>
      </c>
      <c r="AQ28" s="60"/>
      <c r="AR28" s="57">
        <v>0.0</v>
      </c>
      <c r="AS28" s="59" t="s">
        <v>799</v>
      </c>
      <c r="AT28" s="60"/>
      <c r="AU28" s="57">
        <v>1.0</v>
      </c>
      <c r="AV28" s="59">
        <v>2.0</v>
      </c>
      <c r="AW28" s="60"/>
      <c r="AX28" s="57">
        <v>0.0</v>
      </c>
      <c r="AY28" s="59" t="b">
        <v>0</v>
      </c>
      <c r="AZ28" s="60"/>
      <c r="BA28" s="57">
        <v>0.0</v>
      </c>
      <c r="BB28" s="59">
        <v>5.0</v>
      </c>
      <c r="BC28" s="60"/>
      <c r="BD28" s="57">
        <v>1.0</v>
      </c>
      <c r="BE28" s="59" t="b">
        <v>1</v>
      </c>
      <c r="BF28" s="57">
        <v>1.0</v>
      </c>
      <c r="BG28" s="60"/>
      <c r="BH28" s="59" t="b">
        <v>0</v>
      </c>
      <c r="BI28" s="57">
        <v>0.0</v>
      </c>
      <c r="BJ28" s="60"/>
      <c r="BK28" s="59" t="s">
        <v>950</v>
      </c>
      <c r="BL28" s="57">
        <v>0.0</v>
      </c>
      <c r="BM28" s="60"/>
      <c r="BN28" s="59">
        <v>2.0</v>
      </c>
      <c r="BO28" s="57">
        <v>0.0</v>
      </c>
      <c r="BP28" s="60"/>
      <c r="BQ28" s="59">
        <v>4.0</v>
      </c>
      <c r="BR28" s="57">
        <v>0.0</v>
      </c>
      <c r="BS28" s="60"/>
      <c r="BT28" s="59" t="b">
        <v>1</v>
      </c>
      <c r="BU28" s="57">
        <v>1.0</v>
      </c>
      <c r="BV28" s="60"/>
      <c r="BW28" s="59" t="b">
        <v>0</v>
      </c>
      <c r="BX28" s="57">
        <v>1.0</v>
      </c>
      <c r="BY28" s="60"/>
      <c r="BZ28" s="59" t="s">
        <v>806</v>
      </c>
      <c r="CA28" s="57">
        <v>0.0</v>
      </c>
      <c r="CB28" s="60"/>
      <c r="CC28" s="59" t="b">
        <v>1</v>
      </c>
      <c r="CD28" s="57">
        <v>1.0</v>
      </c>
      <c r="CE28" s="60"/>
      <c r="CF28" s="59" t="b">
        <v>0</v>
      </c>
      <c r="CG28" s="57">
        <v>1.0</v>
      </c>
      <c r="CH28" s="60"/>
      <c r="CI28" s="59">
        <v>1.0</v>
      </c>
      <c r="CJ28" s="57">
        <v>1.0</v>
      </c>
      <c r="CK28" s="60"/>
      <c r="CL28" s="59">
        <v>1.0</v>
      </c>
      <c r="CM28" s="57">
        <v>0.0</v>
      </c>
      <c r="CN28" s="60"/>
      <c r="CO28" s="59" t="s">
        <v>806</v>
      </c>
      <c r="CP28" s="57">
        <v>0.0</v>
      </c>
      <c r="CQ28" s="60"/>
      <c r="CR28" s="59" t="s">
        <v>806</v>
      </c>
      <c r="CS28" s="57">
        <v>0.0</v>
      </c>
      <c r="CT28" s="60"/>
      <c r="CU28" s="59" t="s">
        <v>906</v>
      </c>
      <c r="CV28" s="57">
        <v>0.0</v>
      </c>
      <c r="CW28" s="60"/>
      <c r="CX28" s="59" t="b">
        <v>1</v>
      </c>
      <c r="CY28" s="57">
        <v>0.0</v>
      </c>
      <c r="CZ28" s="60"/>
      <c r="DA28" s="59" t="b">
        <v>0</v>
      </c>
      <c r="DB28" s="57">
        <v>1.0</v>
      </c>
      <c r="DC28" s="60"/>
    </row>
    <row r="29" ht="17.25" customHeight="1">
      <c r="A29" s="61">
        <v>30.0</v>
      </c>
      <c r="B29" s="62">
        <v>46190.71574074074</v>
      </c>
      <c r="C29" s="62">
        <v>46190.72755787037</v>
      </c>
      <c r="D29" s="63" t="s">
        <v>793</v>
      </c>
      <c r="E29" s="64"/>
      <c r="F29" s="61">
        <v>26.0</v>
      </c>
      <c r="G29" s="64"/>
      <c r="H29" s="64"/>
      <c r="I29" s="63" t="s">
        <v>229</v>
      </c>
      <c r="J29" s="64"/>
      <c r="K29" s="64"/>
      <c r="L29" s="63" t="s">
        <v>231</v>
      </c>
      <c r="M29" s="64"/>
      <c r="N29" s="64"/>
      <c r="O29" s="63" t="s">
        <v>869</v>
      </c>
      <c r="P29" s="64"/>
      <c r="Q29" s="64"/>
      <c r="R29" s="63" t="s">
        <v>799</v>
      </c>
      <c r="S29" s="61">
        <v>1.0</v>
      </c>
      <c r="T29" s="64"/>
      <c r="U29" s="63" t="s">
        <v>801</v>
      </c>
      <c r="V29" s="61">
        <v>1.0</v>
      </c>
      <c r="W29" s="64"/>
      <c r="X29" s="63" t="s">
        <v>803</v>
      </c>
      <c r="Y29" s="61">
        <v>1.0</v>
      </c>
      <c r="Z29" s="64"/>
      <c r="AA29" s="63" t="s">
        <v>805</v>
      </c>
      <c r="AB29" s="61">
        <v>1.0</v>
      </c>
      <c r="AC29" s="64"/>
      <c r="AD29" s="63" t="s">
        <v>806</v>
      </c>
      <c r="AE29" s="61">
        <v>1.0</v>
      </c>
      <c r="AF29" s="64"/>
      <c r="AG29" s="63" t="s">
        <v>810</v>
      </c>
      <c r="AH29" s="64"/>
      <c r="AI29" s="61">
        <v>1.0</v>
      </c>
      <c r="AJ29" s="63" t="s">
        <v>811</v>
      </c>
      <c r="AK29" s="64"/>
      <c r="AL29" s="61">
        <v>1.0</v>
      </c>
      <c r="AM29" s="63" t="s">
        <v>812</v>
      </c>
      <c r="AN29" s="64"/>
      <c r="AO29" s="61">
        <v>1.0</v>
      </c>
      <c r="AP29" s="63" t="s">
        <v>814</v>
      </c>
      <c r="AQ29" s="64"/>
      <c r="AR29" s="61">
        <v>1.0</v>
      </c>
      <c r="AS29" s="63" t="s">
        <v>799</v>
      </c>
      <c r="AT29" s="64"/>
      <c r="AU29" s="61">
        <v>1.0</v>
      </c>
      <c r="AV29" s="63">
        <v>1.0</v>
      </c>
      <c r="AW29" s="64"/>
      <c r="AX29" s="61">
        <v>1.0</v>
      </c>
      <c r="AY29" s="63" t="b">
        <v>1</v>
      </c>
      <c r="AZ29" s="64"/>
      <c r="BA29" s="61">
        <v>1.0</v>
      </c>
      <c r="BB29" s="63">
        <v>5.0</v>
      </c>
      <c r="BC29" s="64"/>
      <c r="BD29" s="61">
        <v>1.0</v>
      </c>
      <c r="BE29" s="63" t="s">
        <v>876</v>
      </c>
      <c r="BF29" s="61">
        <v>0.0</v>
      </c>
      <c r="BG29" s="64"/>
      <c r="BH29" s="63" t="s">
        <v>819</v>
      </c>
      <c r="BI29" s="61">
        <v>1.0</v>
      </c>
      <c r="BJ29" s="64"/>
      <c r="BK29" s="63" t="b">
        <v>1</v>
      </c>
      <c r="BL29" s="61">
        <v>1.0</v>
      </c>
      <c r="BM29" s="64"/>
      <c r="BN29" s="63">
        <v>4.0</v>
      </c>
      <c r="BO29" s="61">
        <v>0.0</v>
      </c>
      <c r="BP29" s="64"/>
      <c r="BQ29" s="63">
        <v>3.0</v>
      </c>
      <c r="BR29" s="61">
        <v>1.0</v>
      </c>
      <c r="BS29" s="64"/>
      <c r="BT29" s="63" t="b">
        <v>0</v>
      </c>
      <c r="BU29" s="61">
        <v>0.0</v>
      </c>
      <c r="BV29" s="64"/>
      <c r="BW29" s="63" t="b">
        <v>0</v>
      </c>
      <c r="BX29" s="61">
        <v>1.0</v>
      </c>
      <c r="BY29" s="64"/>
      <c r="BZ29" s="63" t="s">
        <v>824</v>
      </c>
      <c r="CA29" s="61">
        <v>1.0</v>
      </c>
      <c r="CB29" s="64"/>
      <c r="CC29" s="63" t="b">
        <v>1</v>
      </c>
      <c r="CD29" s="61">
        <v>1.0</v>
      </c>
      <c r="CE29" s="64"/>
      <c r="CF29" s="63" t="b">
        <v>0</v>
      </c>
      <c r="CG29" s="61">
        <v>1.0</v>
      </c>
      <c r="CH29" s="64"/>
      <c r="CI29" s="63" t="s">
        <v>806</v>
      </c>
      <c r="CJ29" s="61">
        <v>0.0</v>
      </c>
      <c r="CK29" s="64"/>
      <c r="CL29" s="63">
        <v>2.0</v>
      </c>
      <c r="CM29" s="61">
        <v>1.0</v>
      </c>
      <c r="CN29" s="64"/>
      <c r="CO29" s="63" t="b">
        <v>1</v>
      </c>
      <c r="CP29" s="61">
        <v>1.0</v>
      </c>
      <c r="CQ29" s="64"/>
      <c r="CR29" s="63" t="s">
        <v>829</v>
      </c>
      <c r="CS29" s="61">
        <v>1.0</v>
      </c>
      <c r="CT29" s="64"/>
      <c r="CU29" s="63">
        <v>3.0</v>
      </c>
      <c r="CV29" s="61">
        <v>1.0</v>
      </c>
      <c r="CW29" s="64"/>
      <c r="CX29" s="63" t="b">
        <v>0</v>
      </c>
      <c r="CY29" s="61">
        <v>1.0</v>
      </c>
      <c r="CZ29" s="64"/>
      <c r="DA29" s="63" t="b">
        <v>0</v>
      </c>
      <c r="DB29" s="61">
        <v>1.0</v>
      </c>
      <c r="DC29" s="64"/>
    </row>
    <row r="30" ht="17.25" customHeight="1">
      <c r="A30" s="57">
        <v>31.0</v>
      </c>
      <c r="B30" s="58">
        <v>46190.71576388889</v>
      </c>
      <c r="C30" s="58">
        <v>46190.727627314816</v>
      </c>
      <c r="D30" s="59" t="s">
        <v>793</v>
      </c>
      <c r="E30" s="60"/>
      <c r="F30" s="57">
        <v>27.0</v>
      </c>
      <c r="G30" s="60"/>
      <c r="H30" s="60"/>
      <c r="I30" s="59" t="s">
        <v>430</v>
      </c>
      <c r="J30" s="60"/>
      <c r="K30" s="60"/>
      <c r="L30" s="59" t="s">
        <v>432</v>
      </c>
      <c r="M30" s="60"/>
      <c r="N30" s="60"/>
      <c r="O30" s="59" t="s">
        <v>1023</v>
      </c>
      <c r="P30" s="60"/>
      <c r="Q30" s="60"/>
      <c r="R30" s="59" t="s">
        <v>799</v>
      </c>
      <c r="S30" s="57">
        <v>1.0</v>
      </c>
      <c r="T30" s="60"/>
      <c r="U30" s="59" t="s">
        <v>801</v>
      </c>
      <c r="V30" s="57">
        <v>1.0</v>
      </c>
      <c r="W30" s="60"/>
      <c r="X30" s="59" t="s">
        <v>803</v>
      </c>
      <c r="Y30" s="57">
        <v>1.0</v>
      </c>
      <c r="Z30" s="60"/>
      <c r="AA30" s="59" t="s">
        <v>805</v>
      </c>
      <c r="AB30" s="57">
        <v>1.0</v>
      </c>
      <c r="AC30" s="60"/>
      <c r="AD30" s="59" t="s">
        <v>806</v>
      </c>
      <c r="AE30" s="57">
        <v>1.0</v>
      </c>
      <c r="AF30" s="60"/>
      <c r="AG30" s="59" t="s">
        <v>810</v>
      </c>
      <c r="AH30" s="60"/>
      <c r="AI30" s="57">
        <v>1.0</v>
      </c>
      <c r="AJ30" s="59" t="s">
        <v>811</v>
      </c>
      <c r="AK30" s="60"/>
      <c r="AL30" s="57">
        <v>1.0</v>
      </c>
      <c r="AM30" s="59" t="s">
        <v>812</v>
      </c>
      <c r="AN30" s="60"/>
      <c r="AO30" s="57">
        <v>1.0</v>
      </c>
      <c r="AP30" s="59" t="s">
        <v>814</v>
      </c>
      <c r="AQ30" s="60"/>
      <c r="AR30" s="57">
        <v>1.0</v>
      </c>
      <c r="AS30" s="59" t="s">
        <v>799</v>
      </c>
      <c r="AT30" s="60"/>
      <c r="AU30" s="57">
        <v>1.0</v>
      </c>
      <c r="AV30" s="59">
        <v>1.0</v>
      </c>
      <c r="AW30" s="60"/>
      <c r="AX30" s="57">
        <v>1.0</v>
      </c>
      <c r="AY30" s="59" t="b">
        <v>1</v>
      </c>
      <c r="AZ30" s="60"/>
      <c r="BA30" s="57">
        <v>1.0</v>
      </c>
      <c r="BB30" s="59">
        <v>5.0</v>
      </c>
      <c r="BC30" s="60"/>
      <c r="BD30" s="57">
        <v>1.0</v>
      </c>
      <c r="BE30" s="59" t="b">
        <v>1</v>
      </c>
      <c r="BF30" s="57">
        <v>1.0</v>
      </c>
      <c r="BG30" s="60"/>
      <c r="BH30" s="59" t="s">
        <v>915</v>
      </c>
      <c r="BI30" s="57">
        <v>0.0</v>
      </c>
      <c r="BJ30" s="60"/>
      <c r="BK30" s="59" t="b">
        <v>1</v>
      </c>
      <c r="BL30" s="57">
        <v>1.0</v>
      </c>
      <c r="BM30" s="60"/>
      <c r="BN30" s="59">
        <v>3.0</v>
      </c>
      <c r="BO30" s="57">
        <v>1.0</v>
      </c>
      <c r="BP30" s="60"/>
      <c r="BQ30" s="59">
        <v>3.0</v>
      </c>
      <c r="BR30" s="57">
        <v>1.0</v>
      </c>
      <c r="BS30" s="60"/>
      <c r="BT30" s="59" t="b">
        <v>1</v>
      </c>
      <c r="BU30" s="57">
        <v>1.0</v>
      </c>
      <c r="BV30" s="60"/>
      <c r="BW30" s="59" t="b">
        <v>0</v>
      </c>
      <c r="BX30" s="57">
        <v>1.0</v>
      </c>
      <c r="BY30" s="60"/>
      <c r="BZ30" s="59" t="s">
        <v>824</v>
      </c>
      <c r="CA30" s="57">
        <v>1.0</v>
      </c>
      <c r="CB30" s="60"/>
      <c r="CC30" s="59" t="b">
        <v>1</v>
      </c>
      <c r="CD30" s="57">
        <v>1.0</v>
      </c>
      <c r="CE30" s="60"/>
      <c r="CF30" s="59" t="b">
        <v>0</v>
      </c>
      <c r="CG30" s="57">
        <v>1.0</v>
      </c>
      <c r="CH30" s="60"/>
      <c r="CI30" s="59">
        <v>1.0</v>
      </c>
      <c r="CJ30" s="57">
        <v>1.0</v>
      </c>
      <c r="CK30" s="60"/>
      <c r="CL30" s="59">
        <v>2.0</v>
      </c>
      <c r="CM30" s="57">
        <v>1.0</v>
      </c>
      <c r="CN30" s="60"/>
      <c r="CO30" s="59" t="b">
        <v>1</v>
      </c>
      <c r="CP30" s="57">
        <v>1.0</v>
      </c>
      <c r="CQ30" s="60"/>
      <c r="CR30" s="60"/>
      <c r="CS30" s="57">
        <v>0.0</v>
      </c>
      <c r="CT30" s="60"/>
      <c r="CU30" s="60"/>
      <c r="CV30" s="57">
        <v>0.0</v>
      </c>
      <c r="CW30" s="60"/>
      <c r="CX30" s="59" t="b">
        <v>0</v>
      </c>
      <c r="CY30" s="57">
        <v>1.0</v>
      </c>
      <c r="CZ30" s="60"/>
      <c r="DA30" s="59" t="b">
        <v>0</v>
      </c>
      <c r="DB30" s="57">
        <v>1.0</v>
      </c>
      <c r="DC30" s="60"/>
    </row>
    <row r="31" ht="17.25" customHeight="1">
      <c r="A31" s="61">
        <v>32.0</v>
      </c>
      <c r="B31" s="62">
        <v>46190.71612268518</v>
      </c>
      <c r="C31" s="62">
        <v>46190.727638888886</v>
      </c>
      <c r="D31" s="63" t="s">
        <v>793</v>
      </c>
      <c r="E31" s="64"/>
      <c r="F31" s="61">
        <v>26.0</v>
      </c>
      <c r="G31" s="64"/>
      <c r="H31" s="64"/>
      <c r="I31" s="63" t="s">
        <v>359</v>
      </c>
      <c r="J31" s="64"/>
      <c r="K31" s="64"/>
      <c r="L31" s="63" t="s">
        <v>360</v>
      </c>
      <c r="M31" s="64"/>
      <c r="N31" s="64"/>
      <c r="O31" s="63" t="s">
        <v>1003</v>
      </c>
      <c r="P31" s="64"/>
      <c r="Q31" s="64"/>
      <c r="R31" s="63" t="s">
        <v>799</v>
      </c>
      <c r="S31" s="61">
        <v>1.0</v>
      </c>
      <c r="T31" s="64"/>
      <c r="U31" s="63" t="s">
        <v>801</v>
      </c>
      <c r="V31" s="61">
        <v>1.0</v>
      </c>
      <c r="W31" s="64"/>
      <c r="X31" s="63" t="s">
        <v>803</v>
      </c>
      <c r="Y31" s="61">
        <v>1.0</v>
      </c>
      <c r="Z31" s="64"/>
      <c r="AA31" s="63" t="s">
        <v>805</v>
      </c>
      <c r="AB31" s="61">
        <v>1.0</v>
      </c>
      <c r="AC31" s="64"/>
      <c r="AD31" s="63" t="s">
        <v>806</v>
      </c>
      <c r="AE31" s="61">
        <v>1.0</v>
      </c>
      <c r="AF31" s="64"/>
      <c r="AG31" s="63" t="s">
        <v>810</v>
      </c>
      <c r="AH31" s="64"/>
      <c r="AI31" s="61">
        <v>1.0</v>
      </c>
      <c r="AJ31" s="63" t="s">
        <v>811</v>
      </c>
      <c r="AK31" s="64"/>
      <c r="AL31" s="61">
        <v>1.0</v>
      </c>
      <c r="AM31" s="63" t="s">
        <v>945</v>
      </c>
      <c r="AN31" s="64"/>
      <c r="AO31" s="61">
        <v>0.0</v>
      </c>
      <c r="AP31" s="63" t="s">
        <v>814</v>
      </c>
      <c r="AQ31" s="64"/>
      <c r="AR31" s="61">
        <v>1.0</v>
      </c>
      <c r="AS31" s="63" t="s">
        <v>799</v>
      </c>
      <c r="AT31" s="64"/>
      <c r="AU31" s="61">
        <v>1.0</v>
      </c>
      <c r="AV31" s="63">
        <v>1.0</v>
      </c>
      <c r="AW31" s="64"/>
      <c r="AX31" s="61">
        <v>1.0</v>
      </c>
      <c r="AY31" s="63" t="b">
        <v>1</v>
      </c>
      <c r="AZ31" s="64"/>
      <c r="BA31" s="61">
        <v>1.0</v>
      </c>
      <c r="BB31" s="63">
        <v>5.0</v>
      </c>
      <c r="BC31" s="64"/>
      <c r="BD31" s="61">
        <v>1.0</v>
      </c>
      <c r="BE31" s="63" t="b">
        <v>0</v>
      </c>
      <c r="BF31" s="61">
        <v>0.0</v>
      </c>
      <c r="BG31" s="64"/>
      <c r="BH31" s="63" t="s">
        <v>819</v>
      </c>
      <c r="BI31" s="61">
        <v>1.0</v>
      </c>
      <c r="BJ31" s="64"/>
      <c r="BK31" s="63" t="b">
        <v>1</v>
      </c>
      <c r="BL31" s="61">
        <v>1.0</v>
      </c>
      <c r="BM31" s="64"/>
      <c r="BN31" s="63">
        <v>2.0</v>
      </c>
      <c r="BO31" s="61">
        <v>0.0</v>
      </c>
      <c r="BP31" s="64"/>
      <c r="BQ31" s="63">
        <v>3.0</v>
      </c>
      <c r="BR31" s="61">
        <v>1.0</v>
      </c>
      <c r="BS31" s="64"/>
      <c r="BT31" s="63" t="b">
        <v>1</v>
      </c>
      <c r="BU31" s="61">
        <v>1.0</v>
      </c>
      <c r="BV31" s="64"/>
      <c r="BW31" s="63" t="b">
        <v>0</v>
      </c>
      <c r="BX31" s="61">
        <v>1.0</v>
      </c>
      <c r="BY31" s="64"/>
      <c r="BZ31" s="63" t="s">
        <v>824</v>
      </c>
      <c r="CA31" s="61">
        <v>1.0</v>
      </c>
      <c r="CB31" s="64"/>
      <c r="CC31" s="63" t="b">
        <v>1</v>
      </c>
      <c r="CD31" s="61">
        <v>1.0</v>
      </c>
      <c r="CE31" s="64"/>
      <c r="CF31" s="63" t="b">
        <v>0</v>
      </c>
      <c r="CG31" s="61">
        <v>1.0</v>
      </c>
      <c r="CH31" s="64"/>
      <c r="CI31" s="63">
        <v>1.0</v>
      </c>
      <c r="CJ31" s="61">
        <v>1.0</v>
      </c>
      <c r="CK31" s="64"/>
      <c r="CL31" s="63">
        <v>2.0</v>
      </c>
      <c r="CM31" s="61">
        <v>1.0</v>
      </c>
      <c r="CN31" s="64"/>
      <c r="CO31" s="63" t="b">
        <v>1</v>
      </c>
      <c r="CP31" s="61">
        <v>1.0</v>
      </c>
      <c r="CQ31" s="64"/>
      <c r="CR31" s="63" t="s">
        <v>829</v>
      </c>
      <c r="CS31" s="61">
        <v>1.0</v>
      </c>
      <c r="CT31" s="64"/>
      <c r="CU31" s="63">
        <v>3.0</v>
      </c>
      <c r="CV31" s="61">
        <v>1.0</v>
      </c>
      <c r="CW31" s="64"/>
      <c r="CX31" s="63" t="b">
        <v>0</v>
      </c>
      <c r="CY31" s="61">
        <v>1.0</v>
      </c>
      <c r="CZ31" s="64"/>
      <c r="DA31" s="63" t="s">
        <v>806</v>
      </c>
      <c r="DB31" s="61">
        <v>0.0</v>
      </c>
      <c r="DC31" s="64"/>
    </row>
    <row r="32" ht="17.25" customHeight="1">
      <c r="A32" s="57">
        <v>33.0</v>
      </c>
      <c r="B32" s="58">
        <v>46190.715787037036</v>
      </c>
      <c r="C32" s="58">
        <v>46190.72796296296</v>
      </c>
      <c r="D32" s="59" t="s">
        <v>793</v>
      </c>
      <c r="E32" s="60"/>
      <c r="F32" s="57">
        <v>21.0</v>
      </c>
      <c r="G32" s="60"/>
      <c r="H32" s="60"/>
      <c r="I32" s="59" t="s">
        <v>213</v>
      </c>
      <c r="J32" s="60"/>
      <c r="K32" s="60"/>
      <c r="L32" s="59" t="s">
        <v>215</v>
      </c>
      <c r="M32" s="60"/>
      <c r="N32" s="60"/>
      <c r="O32" s="59" t="s">
        <v>802</v>
      </c>
      <c r="P32" s="60"/>
      <c r="Q32" s="60"/>
      <c r="R32" s="59" t="s">
        <v>838</v>
      </c>
      <c r="S32" s="57">
        <v>0.0</v>
      </c>
      <c r="T32" s="60"/>
      <c r="U32" s="59" t="s">
        <v>801</v>
      </c>
      <c r="V32" s="57">
        <v>1.0</v>
      </c>
      <c r="W32" s="60"/>
      <c r="X32" s="59" t="s">
        <v>806</v>
      </c>
      <c r="Y32" s="57">
        <v>0.0</v>
      </c>
      <c r="Z32" s="60"/>
      <c r="AA32" s="59" t="s">
        <v>805</v>
      </c>
      <c r="AB32" s="57">
        <v>1.0</v>
      </c>
      <c r="AC32" s="60"/>
      <c r="AD32" s="59" t="s">
        <v>842</v>
      </c>
      <c r="AE32" s="57">
        <v>0.0</v>
      </c>
      <c r="AF32" s="60"/>
      <c r="AG32" s="59" t="s">
        <v>810</v>
      </c>
      <c r="AH32" s="60"/>
      <c r="AI32" s="57">
        <v>1.0</v>
      </c>
      <c r="AJ32" s="59" t="s">
        <v>811</v>
      </c>
      <c r="AK32" s="60"/>
      <c r="AL32" s="57">
        <v>1.0</v>
      </c>
      <c r="AM32" s="59" t="s">
        <v>812</v>
      </c>
      <c r="AN32" s="60"/>
      <c r="AO32" s="57">
        <v>1.0</v>
      </c>
      <c r="AP32" s="59" t="s">
        <v>801</v>
      </c>
      <c r="AQ32" s="60"/>
      <c r="AR32" s="57">
        <v>0.0</v>
      </c>
      <c r="AS32" s="59" t="s">
        <v>799</v>
      </c>
      <c r="AT32" s="60"/>
      <c r="AU32" s="57">
        <v>1.0</v>
      </c>
      <c r="AV32" s="59">
        <v>1.0</v>
      </c>
      <c r="AW32" s="60"/>
      <c r="AX32" s="57">
        <v>1.0</v>
      </c>
      <c r="AY32" s="59" t="b">
        <v>1</v>
      </c>
      <c r="AZ32" s="60"/>
      <c r="BA32" s="57">
        <v>1.0</v>
      </c>
      <c r="BB32" s="59">
        <v>5.0</v>
      </c>
      <c r="BC32" s="60"/>
      <c r="BD32" s="57">
        <v>1.0</v>
      </c>
      <c r="BE32" s="59" t="b">
        <v>1</v>
      </c>
      <c r="BF32" s="57">
        <v>1.0</v>
      </c>
      <c r="BG32" s="60"/>
      <c r="BH32" s="59" t="b">
        <v>0</v>
      </c>
      <c r="BI32" s="57">
        <v>0.0</v>
      </c>
      <c r="BJ32" s="60"/>
      <c r="BK32" s="59" t="b">
        <v>0</v>
      </c>
      <c r="BL32" s="57">
        <v>0.0</v>
      </c>
      <c r="BM32" s="60"/>
      <c r="BN32" s="59">
        <v>2.0</v>
      </c>
      <c r="BO32" s="57">
        <v>0.0</v>
      </c>
      <c r="BP32" s="60"/>
      <c r="BQ32" s="59">
        <v>3.0</v>
      </c>
      <c r="BR32" s="57">
        <v>1.0</v>
      </c>
      <c r="BS32" s="60"/>
      <c r="BT32" s="59" t="b">
        <v>1</v>
      </c>
      <c r="BU32" s="57">
        <v>1.0</v>
      </c>
      <c r="BV32" s="60"/>
      <c r="BW32" s="59" t="s">
        <v>950</v>
      </c>
      <c r="BX32" s="57">
        <v>0.0</v>
      </c>
      <c r="BY32" s="60"/>
      <c r="BZ32" s="59" t="s">
        <v>824</v>
      </c>
      <c r="CA32" s="57">
        <v>1.0</v>
      </c>
      <c r="CB32" s="60"/>
      <c r="CC32" s="59" t="b">
        <v>1</v>
      </c>
      <c r="CD32" s="57">
        <v>1.0</v>
      </c>
      <c r="CE32" s="60"/>
      <c r="CF32" s="59" t="b">
        <v>0</v>
      </c>
      <c r="CG32" s="57">
        <v>1.0</v>
      </c>
      <c r="CH32" s="60"/>
      <c r="CI32" s="59">
        <v>1.0</v>
      </c>
      <c r="CJ32" s="57">
        <v>1.0</v>
      </c>
      <c r="CK32" s="60"/>
      <c r="CL32" s="60"/>
      <c r="CM32" s="57">
        <v>0.0</v>
      </c>
      <c r="CN32" s="60"/>
      <c r="CO32" s="59" t="b">
        <v>1</v>
      </c>
      <c r="CP32" s="57">
        <v>1.0</v>
      </c>
      <c r="CQ32" s="60"/>
      <c r="CR32" s="59" t="s">
        <v>829</v>
      </c>
      <c r="CS32" s="57">
        <v>1.0</v>
      </c>
      <c r="CT32" s="60"/>
      <c r="CU32" s="59">
        <v>3.0</v>
      </c>
      <c r="CV32" s="57">
        <v>1.0</v>
      </c>
      <c r="CW32" s="60"/>
      <c r="CX32" s="59" t="b">
        <v>0</v>
      </c>
      <c r="CY32" s="57">
        <v>1.0</v>
      </c>
      <c r="CZ32" s="60"/>
      <c r="DA32" s="59" t="b">
        <v>0</v>
      </c>
      <c r="DB32" s="57">
        <v>1.0</v>
      </c>
      <c r="DC32" s="60"/>
    </row>
    <row r="33" ht="17.25" customHeight="1">
      <c r="A33" s="61">
        <v>34.0</v>
      </c>
      <c r="B33" s="62">
        <v>46190.715995370374</v>
      </c>
      <c r="C33" s="62">
        <v>46190.72796296296</v>
      </c>
      <c r="D33" s="63" t="s">
        <v>793</v>
      </c>
      <c r="E33" s="64"/>
      <c r="F33" s="61">
        <v>22.0</v>
      </c>
      <c r="G33" s="64"/>
      <c r="H33" s="64"/>
      <c r="I33" s="63" t="s">
        <v>400</v>
      </c>
      <c r="J33" s="64"/>
      <c r="K33" s="64"/>
      <c r="L33" s="63" t="s">
        <v>1029</v>
      </c>
      <c r="M33" s="64"/>
      <c r="N33" s="64"/>
      <c r="O33" s="63" t="s">
        <v>1030</v>
      </c>
      <c r="P33" s="64"/>
      <c r="Q33" s="64"/>
      <c r="R33" s="63" t="s">
        <v>799</v>
      </c>
      <c r="S33" s="61">
        <v>1.0</v>
      </c>
      <c r="T33" s="64"/>
      <c r="U33" s="63" t="s">
        <v>801</v>
      </c>
      <c r="V33" s="61">
        <v>1.0</v>
      </c>
      <c r="W33" s="64"/>
      <c r="X33" s="63" t="s">
        <v>803</v>
      </c>
      <c r="Y33" s="61">
        <v>1.0</v>
      </c>
      <c r="Z33" s="64"/>
      <c r="AA33" s="63" t="s">
        <v>961</v>
      </c>
      <c r="AB33" s="61">
        <v>0.0</v>
      </c>
      <c r="AC33" s="64"/>
      <c r="AD33" s="63" t="s">
        <v>806</v>
      </c>
      <c r="AE33" s="61">
        <v>1.0</v>
      </c>
      <c r="AF33" s="64"/>
      <c r="AG33" s="63" t="s">
        <v>810</v>
      </c>
      <c r="AH33" s="64"/>
      <c r="AI33" s="61">
        <v>1.0</v>
      </c>
      <c r="AJ33" s="63" t="s">
        <v>897</v>
      </c>
      <c r="AK33" s="64"/>
      <c r="AL33" s="61">
        <v>0.0</v>
      </c>
      <c r="AM33" s="63" t="s">
        <v>812</v>
      </c>
      <c r="AN33" s="64"/>
      <c r="AO33" s="61">
        <v>1.0</v>
      </c>
      <c r="AP33" s="63" t="s">
        <v>814</v>
      </c>
      <c r="AQ33" s="64"/>
      <c r="AR33" s="61">
        <v>1.0</v>
      </c>
      <c r="AS33" s="63" t="s">
        <v>799</v>
      </c>
      <c r="AT33" s="64"/>
      <c r="AU33" s="61">
        <v>1.0</v>
      </c>
      <c r="AV33" s="63">
        <v>1.0</v>
      </c>
      <c r="AW33" s="64"/>
      <c r="AX33" s="61">
        <v>1.0</v>
      </c>
      <c r="AY33" s="63" t="b">
        <v>1</v>
      </c>
      <c r="AZ33" s="64"/>
      <c r="BA33" s="61">
        <v>1.0</v>
      </c>
      <c r="BB33" s="63">
        <v>5.0</v>
      </c>
      <c r="BC33" s="64"/>
      <c r="BD33" s="61">
        <v>1.0</v>
      </c>
      <c r="BE33" s="63" t="b">
        <v>0</v>
      </c>
      <c r="BF33" s="61">
        <v>0.0</v>
      </c>
      <c r="BG33" s="64"/>
      <c r="BH33" s="64"/>
      <c r="BI33" s="61">
        <v>0.0</v>
      </c>
      <c r="BJ33" s="64"/>
      <c r="BK33" s="63" t="b">
        <v>1</v>
      </c>
      <c r="BL33" s="61">
        <v>1.0</v>
      </c>
      <c r="BM33" s="64"/>
      <c r="BN33" s="63">
        <v>3.0</v>
      </c>
      <c r="BO33" s="61">
        <v>1.0</v>
      </c>
      <c r="BP33" s="64"/>
      <c r="BQ33" s="63">
        <v>3.0</v>
      </c>
      <c r="BR33" s="61">
        <v>1.0</v>
      </c>
      <c r="BS33" s="64"/>
      <c r="BT33" s="63" t="b">
        <v>1</v>
      </c>
      <c r="BU33" s="61">
        <v>1.0</v>
      </c>
      <c r="BV33" s="64"/>
      <c r="BW33" s="63" t="b">
        <v>0</v>
      </c>
      <c r="BX33" s="61">
        <v>1.0</v>
      </c>
      <c r="BY33" s="64"/>
      <c r="BZ33" s="63" t="s">
        <v>977</v>
      </c>
      <c r="CA33" s="61">
        <v>0.0</v>
      </c>
      <c r="CB33" s="64"/>
      <c r="CC33" s="63" t="b">
        <v>1</v>
      </c>
      <c r="CD33" s="61">
        <v>1.0</v>
      </c>
      <c r="CE33" s="64"/>
      <c r="CF33" s="63" t="b">
        <v>0</v>
      </c>
      <c r="CG33" s="61">
        <v>1.0</v>
      </c>
      <c r="CH33" s="64"/>
      <c r="CI33" s="63">
        <v>1.0</v>
      </c>
      <c r="CJ33" s="61">
        <v>1.0</v>
      </c>
      <c r="CK33" s="64"/>
      <c r="CL33" s="63">
        <v>2.0</v>
      </c>
      <c r="CM33" s="61">
        <v>1.0</v>
      </c>
      <c r="CN33" s="64"/>
      <c r="CO33" s="63" t="b">
        <v>1</v>
      </c>
      <c r="CP33" s="61">
        <v>1.0</v>
      </c>
      <c r="CQ33" s="64"/>
      <c r="CR33" s="63" t="s">
        <v>953</v>
      </c>
      <c r="CS33" s="61">
        <v>0.0</v>
      </c>
      <c r="CT33" s="64"/>
      <c r="CU33" s="63" t="s">
        <v>906</v>
      </c>
      <c r="CV33" s="61">
        <v>0.0</v>
      </c>
      <c r="CW33" s="64"/>
      <c r="CX33" s="63" t="s">
        <v>950</v>
      </c>
      <c r="CY33" s="61">
        <v>0.0</v>
      </c>
      <c r="CZ33" s="64"/>
      <c r="DA33" s="63" t="b">
        <v>0</v>
      </c>
      <c r="DB33" s="61">
        <v>1.0</v>
      </c>
      <c r="DC33" s="64"/>
    </row>
    <row r="34" ht="17.25" customHeight="1">
      <c r="A34" s="57">
        <v>35.0</v>
      </c>
      <c r="B34" s="58">
        <v>46190.717314814814</v>
      </c>
      <c r="C34" s="58">
        <v>46190.72797453704</v>
      </c>
      <c r="D34" s="59" t="s">
        <v>793</v>
      </c>
      <c r="E34" s="60"/>
      <c r="F34" s="57">
        <v>25.0</v>
      </c>
      <c r="G34" s="60"/>
      <c r="H34" s="60"/>
      <c r="I34" s="59" t="s">
        <v>1032</v>
      </c>
      <c r="J34" s="60"/>
      <c r="K34" s="60"/>
      <c r="L34" s="59" t="s">
        <v>993</v>
      </c>
      <c r="M34" s="60"/>
      <c r="N34" s="60"/>
      <c r="O34" s="59" t="s">
        <v>991</v>
      </c>
      <c r="P34" s="60"/>
      <c r="Q34" s="60"/>
      <c r="R34" s="59" t="s">
        <v>799</v>
      </c>
      <c r="S34" s="57">
        <v>1.0</v>
      </c>
      <c r="T34" s="60"/>
      <c r="U34" s="60"/>
      <c r="V34" s="57">
        <v>0.0</v>
      </c>
      <c r="W34" s="60"/>
      <c r="X34" s="59" t="s">
        <v>803</v>
      </c>
      <c r="Y34" s="57">
        <v>1.0</v>
      </c>
      <c r="Z34" s="60"/>
      <c r="AA34" s="60"/>
      <c r="AB34" s="57">
        <v>0.0</v>
      </c>
      <c r="AC34" s="60"/>
      <c r="AD34" s="59" t="s">
        <v>806</v>
      </c>
      <c r="AE34" s="57">
        <v>1.0</v>
      </c>
      <c r="AF34" s="60"/>
      <c r="AG34" s="59" t="s">
        <v>810</v>
      </c>
      <c r="AH34" s="60"/>
      <c r="AI34" s="57">
        <v>1.0</v>
      </c>
      <c r="AJ34" s="59" t="s">
        <v>811</v>
      </c>
      <c r="AK34" s="60"/>
      <c r="AL34" s="57">
        <v>1.0</v>
      </c>
      <c r="AM34" s="59" t="s">
        <v>812</v>
      </c>
      <c r="AN34" s="60"/>
      <c r="AO34" s="57">
        <v>1.0</v>
      </c>
      <c r="AP34" s="59" t="s">
        <v>814</v>
      </c>
      <c r="AQ34" s="60"/>
      <c r="AR34" s="57">
        <v>1.0</v>
      </c>
      <c r="AS34" s="59" t="s">
        <v>799</v>
      </c>
      <c r="AT34" s="60"/>
      <c r="AU34" s="57">
        <v>1.0</v>
      </c>
      <c r="AV34" s="59">
        <v>1.0</v>
      </c>
      <c r="AW34" s="60"/>
      <c r="AX34" s="57">
        <v>1.0</v>
      </c>
      <c r="AY34" s="59" t="b">
        <v>1</v>
      </c>
      <c r="AZ34" s="60"/>
      <c r="BA34" s="57">
        <v>1.0</v>
      </c>
      <c r="BB34" s="59">
        <v>5.0</v>
      </c>
      <c r="BC34" s="60"/>
      <c r="BD34" s="57">
        <v>1.0</v>
      </c>
      <c r="BE34" s="59" t="b">
        <v>0</v>
      </c>
      <c r="BF34" s="57">
        <v>0.0</v>
      </c>
      <c r="BG34" s="60"/>
      <c r="BH34" s="59" t="s">
        <v>819</v>
      </c>
      <c r="BI34" s="57">
        <v>1.0</v>
      </c>
      <c r="BJ34" s="60"/>
      <c r="BK34" s="59" t="b">
        <v>1</v>
      </c>
      <c r="BL34" s="57">
        <v>1.0</v>
      </c>
      <c r="BM34" s="60"/>
      <c r="BN34" s="59">
        <v>5.0</v>
      </c>
      <c r="BO34" s="57">
        <v>0.0</v>
      </c>
      <c r="BP34" s="60"/>
      <c r="BQ34" s="59">
        <v>3.0</v>
      </c>
      <c r="BR34" s="57">
        <v>1.0</v>
      </c>
      <c r="BS34" s="60"/>
      <c r="BT34" s="59" t="b">
        <v>1</v>
      </c>
      <c r="BU34" s="57">
        <v>1.0</v>
      </c>
      <c r="BV34" s="60"/>
      <c r="BW34" s="59" t="b">
        <v>0</v>
      </c>
      <c r="BX34" s="57">
        <v>1.0</v>
      </c>
      <c r="BY34" s="60"/>
      <c r="BZ34" s="59" t="s">
        <v>824</v>
      </c>
      <c r="CA34" s="57">
        <v>1.0</v>
      </c>
      <c r="CB34" s="60"/>
      <c r="CC34" s="59" t="b">
        <v>1</v>
      </c>
      <c r="CD34" s="57">
        <v>1.0</v>
      </c>
      <c r="CE34" s="60"/>
      <c r="CF34" s="59" t="b">
        <v>0</v>
      </c>
      <c r="CG34" s="57">
        <v>1.0</v>
      </c>
      <c r="CH34" s="60"/>
      <c r="CI34" s="59">
        <v>1.0</v>
      </c>
      <c r="CJ34" s="57">
        <v>1.0</v>
      </c>
      <c r="CK34" s="60"/>
      <c r="CL34" s="59">
        <v>2.0</v>
      </c>
      <c r="CM34" s="57">
        <v>1.0</v>
      </c>
      <c r="CN34" s="60"/>
      <c r="CO34" s="59" t="b">
        <v>1</v>
      </c>
      <c r="CP34" s="57">
        <v>1.0</v>
      </c>
      <c r="CQ34" s="60"/>
      <c r="CR34" s="59" t="s">
        <v>953</v>
      </c>
      <c r="CS34" s="57">
        <v>0.0</v>
      </c>
      <c r="CT34" s="60"/>
      <c r="CU34" s="59">
        <v>3.0</v>
      </c>
      <c r="CV34" s="57">
        <v>1.0</v>
      </c>
      <c r="CW34" s="60"/>
      <c r="CX34" s="59" t="b">
        <v>0</v>
      </c>
      <c r="CY34" s="57">
        <v>1.0</v>
      </c>
      <c r="CZ34" s="60"/>
      <c r="DA34" s="59" t="b">
        <v>0</v>
      </c>
      <c r="DB34" s="57">
        <v>1.0</v>
      </c>
      <c r="DC34" s="60"/>
    </row>
    <row r="35" ht="17.25" customHeight="1">
      <c r="A35" s="61">
        <v>36.0</v>
      </c>
      <c r="B35" s="62">
        <v>46190.716157407405</v>
      </c>
      <c r="C35" s="62">
        <v>46190.72798611111</v>
      </c>
      <c r="D35" s="63" t="s">
        <v>793</v>
      </c>
      <c r="E35" s="64"/>
      <c r="F35" s="61">
        <v>28.0</v>
      </c>
      <c r="G35" s="64"/>
      <c r="H35" s="64"/>
      <c r="I35" s="63" t="s">
        <v>29</v>
      </c>
      <c r="J35" s="64"/>
      <c r="K35" s="64"/>
      <c r="L35" s="63" t="s">
        <v>31</v>
      </c>
      <c r="M35" s="64"/>
      <c r="N35" s="64"/>
      <c r="O35" s="63" t="s">
        <v>117</v>
      </c>
      <c r="P35" s="64"/>
      <c r="Q35" s="64"/>
      <c r="R35" s="63" t="s">
        <v>799</v>
      </c>
      <c r="S35" s="61">
        <v>1.0</v>
      </c>
      <c r="T35" s="64"/>
      <c r="U35" s="63" t="s">
        <v>801</v>
      </c>
      <c r="V35" s="61">
        <v>1.0</v>
      </c>
      <c r="W35" s="64"/>
      <c r="X35" s="63" t="s">
        <v>803</v>
      </c>
      <c r="Y35" s="61">
        <v>1.0</v>
      </c>
      <c r="Z35" s="64"/>
      <c r="AA35" s="63" t="s">
        <v>1008</v>
      </c>
      <c r="AB35" s="61">
        <v>0.0</v>
      </c>
      <c r="AC35" s="64"/>
      <c r="AD35" s="63" t="s">
        <v>806</v>
      </c>
      <c r="AE35" s="61">
        <v>1.0</v>
      </c>
      <c r="AF35" s="64"/>
      <c r="AG35" s="63" t="s">
        <v>810</v>
      </c>
      <c r="AH35" s="64"/>
      <c r="AI35" s="61">
        <v>1.0</v>
      </c>
      <c r="AJ35" s="63" t="s">
        <v>811</v>
      </c>
      <c r="AK35" s="64"/>
      <c r="AL35" s="61">
        <v>1.0</v>
      </c>
      <c r="AM35" s="63" t="s">
        <v>812</v>
      </c>
      <c r="AN35" s="64"/>
      <c r="AO35" s="61">
        <v>1.0</v>
      </c>
      <c r="AP35" s="63" t="s">
        <v>814</v>
      </c>
      <c r="AQ35" s="64"/>
      <c r="AR35" s="61">
        <v>1.0</v>
      </c>
      <c r="AS35" s="63" t="s">
        <v>799</v>
      </c>
      <c r="AT35" s="64"/>
      <c r="AU35" s="61">
        <v>1.0</v>
      </c>
      <c r="AV35" s="63">
        <v>1.0</v>
      </c>
      <c r="AW35" s="64"/>
      <c r="AX35" s="61">
        <v>1.0</v>
      </c>
      <c r="AY35" s="63" t="b">
        <v>1</v>
      </c>
      <c r="AZ35" s="64"/>
      <c r="BA35" s="61">
        <v>1.0</v>
      </c>
      <c r="BB35" s="63">
        <v>5.0</v>
      </c>
      <c r="BC35" s="64"/>
      <c r="BD35" s="61">
        <v>1.0</v>
      </c>
      <c r="BE35" s="63" t="b">
        <v>0</v>
      </c>
      <c r="BF35" s="61">
        <v>0.0</v>
      </c>
      <c r="BG35" s="64"/>
      <c r="BH35" s="63" t="s">
        <v>819</v>
      </c>
      <c r="BI35" s="61">
        <v>1.0</v>
      </c>
      <c r="BJ35" s="64"/>
      <c r="BK35" s="63" t="b">
        <v>1</v>
      </c>
      <c r="BL35" s="61">
        <v>1.0</v>
      </c>
      <c r="BM35" s="64"/>
      <c r="BN35" s="63">
        <v>3.0</v>
      </c>
      <c r="BO35" s="61">
        <v>1.0</v>
      </c>
      <c r="BP35" s="64"/>
      <c r="BQ35" s="63">
        <v>3.0</v>
      </c>
      <c r="BR35" s="61">
        <v>1.0</v>
      </c>
      <c r="BS35" s="64"/>
      <c r="BT35" s="63" t="b">
        <v>1</v>
      </c>
      <c r="BU35" s="61">
        <v>1.0</v>
      </c>
      <c r="BV35" s="64"/>
      <c r="BW35" s="63" t="b">
        <v>0</v>
      </c>
      <c r="BX35" s="61">
        <v>1.0</v>
      </c>
      <c r="BY35" s="64"/>
      <c r="BZ35" s="63" t="s">
        <v>824</v>
      </c>
      <c r="CA35" s="61">
        <v>1.0</v>
      </c>
      <c r="CB35" s="64"/>
      <c r="CC35" s="63" t="b">
        <v>1</v>
      </c>
      <c r="CD35" s="61">
        <v>1.0</v>
      </c>
      <c r="CE35" s="64"/>
      <c r="CF35" s="63" t="b">
        <v>0</v>
      </c>
      <c r="CG35" s="61">
        <v>1.0</v>
      </c>
      <c r="CH35" s="64"/>
      <c r="CI35" s="63">
        <v>1.0</v>
      </c>
      <c r="CJ35" s="61">
        <v>1.0</v>
      </c>
      <c r="CK35" s="64"/>
      <c r="CL35" s="63">
        <v>2.0</v>
      </c>
      <c r="CM35" s="61">
        <v>1.0</v>
      </c>
      <c r="CN35" s="64"/>
      <c r="CO35" s="63" t="b">
        <v>1</v>
      </c>
      <c r="CP35" s="61">
        <v>1.0</v>
      </c>
      <c r="CQ35" s="64"/>
      <c r="CR35" s="63" t="s">
        <v>829</v>
      </c>
      <c r="CS35" s="61">
        <v>1.0</v>
      </c>
      <c r="CT35" s="64"/>
      <c r="CU35" s="63">
        <v>3.0</v>
      </c>
      <c r="CV35" s="61">
        <v>1.0</v>
      </c>
      <c r="CW35" s="64"/>
      <c r="CX35" s="63" t="b">
        <v>0</v>
      </c>
      <c r="CY35" s="61">
        <v>1.0</v>
      </c>
      <c r="CZ35" s="64"/>
      <c r="DA35" s="63" t="b">
        <v>0</v>
      </c>
      <c r="DB35" s="61">
        <v>1.0</v>
      </c>
      <c r="DC35" s="64"/>
    </row>
    <row r="36" ht="17.25" customHeight="1">
      <c r="A36" s="57">
        <v>37.0</v>
      </c>
      <c r="B36" s="58">
        <v>46190.7187962963</v>
      </c>
      <c r="C36" s="58">
        <v>46190.72798611111</v>
      </c>
      <c r="D36" s="59" t="s">
        <v>793</v>
      </c>
      <c r="E36" s="60"/>
      <c r="F36" s="57">
        <v>24.0</v>
      </c>
      <c r="G36" s="60"/>
      <c r="H36" s="60"/>
      <c r="I36" s="59" t="s">
        <v>1035</v>
      </c>
      <c r="J36" s="60"/>
      <c r="K36" s="60"/>
      <c r="L36" s="59" t="s">
        <v>254</v>
      </c>
      <c r="M36" s="60"/>
      <c r="N36" s="60"/>
      <c r="O36" s="59" t="s">
        <v>938</v>
      </c>
      <c r="P36" s="60"/>
      <c r="Q36" s="60"/>
      <c r="R36" s="59" t="s">
        <v>799</v>
      </c>
      <c r="S36" s="57">
        <v>1.0</v>
      </c>
      <c r="T36" s="60"/>
      <c r="U36" s="59" t="s">
        <v>801</v>
      </c>
      <c r="V36" s="57">
        <v>1.0</v>
      </c>
      <c r="W36" s="60"/>
      <c r="X36" s="59" t="s">
        <v>803</v>
      </c>
      <c r="Y36" s="57">
        <v>1.0</v>
      </c>
      <c r="Z36" s="60"/>
      <c r="AA36" s="59" t="s">
        <v>806</v>
      </c>
      <c r="AB36" s="57">
        <v>0.0</v>
      </c>
      <c r="AC36" s="60"/>
      <c r="AD36" s="59" t="s">
        <v>806</v>
      </c>
      <c r="AE36" s="57">
        <v>1.0</v>
      </c>
      <c r="AF36" s="60"/>
      <c r="AG36" s="59" t="s">
        <v>810</v>
      </c>
      <c r="AH36" s="60"/>
      <c r="AI36" s="57">
        <v>1.0</v>
      </c>
      <c r="AJ36" s="59" t="s">
        <v>799</v>
      </c>
      <c r="AK36" s="60"/>
      <c r="AL36" s="57">
        <v>0.0</v>
      </c>
      <c r="AM36" s="59" t="s">
        <v>812</v>
      </c>
      <c r="AN36" s="60"/>
      <c r="AO36" s="57">
        <v>1.0</v>
      </c>
      <c r="AP36" s="59" t="s">
        <v>814</v>
      </c>
      <c r="AQ36" s="60"/>
      <c r="AR36" s="57">
        <v>1.0</v>
      </c>
      <c r="AS36" s="59" t="s">
        <v>799</v>
      </c>
      <c r="AT36" s="60"/>
      <c r="AU36" s="57">
        <v>1.0</v>
      </c>
      <c r="AV36" s="59">
        <v>0.0</v>
      </c>
      <c r="AW36" s="60"/>
      <c r="AX36" s="57">
        <v>0.0</v>
      </c>
      <c r="AY36" s="59" t="b">
        <v>1</v>
      </c>
      <c r="AZ36" s="60"/>
      <c r="BA36" s="57">
        <v>1.0</v>
      </c>
      <c r="BB36" s="59">
        <v>5.0</v>
      </c>
      <c r="BC36" s="60"/>
      <c r="BD36" s="57">
        <v>1.0</v>
      </c>
      <c r="BE36" s="59" t="b">
        <v>1</v>
      </c>
      <c r="BF36" s="57">
        <v>1.0</v>
      </c>
      <c r="BG36" s="60"/>
      <c r="BH36" s="59" t="s">
        <v>819</v>
      </c>
      <c r="BI36" s="57">
        <v>1.0</v>
      </c>
      <c r="BJ36" s="60"/>
      <c r="BK36" s="59" t="b">
        <v>1</v>
      </c>
      <c r="BL36" s="57">
        <v>1.0</v>
      </c>
      <c r="BM36" s="60"/>
      <c r="BN36" s="59">
        <v>3.0</v>
      </c>
      <c r="BO36" s="57">
        <v>1.0</v>
      </c>
      <c r="BP36" s="60"/>
      <c r="BQ36" s="59">
        <v>3.0</v>
      </c>
      <c r="BR36" s="57">
        <v>1.0</v>
      </c>
      <c r="BS36" s="60"/>
      <c r="BT36" s="59" t="b">
        <v>0</v>
      </c>
      <c r="BU36" s="57">
        <v>0.0</v>
      </c>
      <c r="BV36" s="60"/>
      <c r="BW36" s="59" t="b">
        <v>0</v>
      </c>
      <c r="BX36" s="57">
        <v>1.0</v>
      </c>
      <c r="BY36" s="60"/>
      <c r="BZ36" s="59" t="s">
        <v>824</v>
      </c>
      <c r="CA36" s="57">
        <v>1.0</v>
      </c>
      <c r="CB36" s="60"/>
      <c r="CC36" s="59" t="b">
        <v>1</v>
      </c>
      <c r="CD36" s="57">
        <v>1.0</v>
      </c>
      <c r="CE36" s="60"/>
      <c r="CF36" s="59" t="b">
        <v>0</v>
      </c>
      <c r="CG36" s="57">
        <v>1.0</v>
      </c>
      <c r="CH36" s="60"/>
      <c r="CI36" s="59">
        <v>2.0</v>
      </c>
      <c r="CJ36" s="57">
        <v>0.0</v>
      </c>
      <c r="CK36" s="60"/>
      <c r="CL36" s="59">
        <v>2.0</v>
      </c>
      <c r="CM36" s="57">
        <v>1.0</v>
      </c>
      <c r="CN36" s="60"/>
      <c r="CO36" s="59" t="b">
        <v>1</v>
      </c>
      <c r="CP36" s="57">
        <v>1.0</v>
      </c>
      <c r="CQ36" s="60"/>
      <c r="CR36" s="59" t="s">
        <v>829</v>
      </c>
      <c r="CS36" s="57">
        <v>1.0</v>
      </c>
      <c r="CT36" s="60"/>
      <c r="CU36" s="59">
        <v>3.0</v>
      </c>
      <c r="CV36" s="57">
        <v>1.0</v>
      </c>
      <c r="CW36" s="60"/>
      <c r="CX36" s="59" t="s">
        <v>950</v>
      </c>
      <c r="CY36" s="57">
        <v>0.0</v>
      </c>
      <c r="CZ36" s="60"/>
      <c r="DA36" s="59" t="b">
        <v>0</v>
      </c>
      <c r="DB36" s="57">
        <v>1.0</v>
      </c>
      <c r="DC36" s="60"/>
    </row>
    <row r="37" ht="17.25" customHeight="1">
      <c r="A37" s="61">
        <v>38.0</v>
      </c>
      <c r="B37" s="62">
        <v>46190.716412037036</v>
      </c>
      <c r="C37" s="62">
        <v>46190.727997685186</v>
      </c>
      <c r="D37" s="63" t="s">
        <v>793</v>
      </c>
      <c r="E37" s="64"/>
      <c r="F37" s="61">
        <v>24.0</v>
      </c>
      <c r="G37" s="64"/>
      <c r="H37" s="64"/>
      <c r="I37" s="63" t="s">
        <v>1038</v>
      </c>
      <c r="J37" s="64"/>
      <c r="K37" s="64"/>
      <c r="L37" s="63" t="s">
        <v>315</v>
      </c>
      <c r="M37" s="64"/>
      <c r="N37" s="64"/>
      <c r="O37" s="63" t="s">
        <v>980</v>
      </c>
      <c r="P37" s="64"/>
      <c r="Q37" s="64"/>
      <c r="R37" s="63" t="s">
        <v>799</v>
      </c>
      <c r="S37" s="61">
        <v>1.0</v>
      </c>
      <c r="T37" s="64"/>
      <c r="U37" s="63" t="s">
        <v>801</v>
      </c>
      <c r="V37" s="61">
        <v>1.0</v>
      </c>
      <c r="W37" s="64"/>
      <c r="X37" s="63" t="s">
        <v>803</v>
      </c>
      <c r="Y37" s="61">
        <v>1.0</v>
      </c>
      <c r="Z37" s="64"/>
      <c r="AA37" s="63" t="s">
        <v>961</v>
      </c>
      <c r="AB37" s="61">
        <v>0.0</v>
      </c>
      <c r="AC37" s="64"/>
      <c r="AD37" s="63" t="s">
        <v>806</v>
      </c>
      <c r="AE37" s="61">
        <v>1.0</v>
      </c>
      <c r="AF37" s="64"/>
      <c r="AG37" s="63" t="s">
        <v>810</v>
      </c>
      <c r="AH37" s="64"/>
      <c r="AI37" s="61">
        <v>1.0</v>
      </c>
      <c r="AJ37" s="63" t="s">
        <v>811</v>
      </c>
      <c r="AK37" s="64"/>
      <c r="AL37" s="61">
        <v>1.0</v>
      </c>
      <c r="AM37" s="63" t="s">
        <v>812</v>
      </c>
      <c r="AN37" s="64"/>
      <c r="AO37" s="61">
        <v>1.0</v>
      </c>
      <c r="AP37" s="63" t="s">
        <v>814</v>
      </c>
      <c r="AQ37" s="64"/>
      <c r="AR37" s="61">
        <v>1.0</v>
      </c>
      <c r="AS37" s="63" t="s">
        <v>799</v>
      </c>
      <c r="AT37" s="64"/>
      <c r="AU37" s="61">
        <v>1.0</v>
      </c>
      <c r="AV37" s="63">
        <v>2.0</v>
      </c>
      <c r="AW37" s="64"/>
      <c r="AX37" s="61">
        <v>0.0</v>
      </c>
      <c r="AY37" s="63" t="b">
        <v>1</v>
      </c>
      <c r="AZ37" s="64"/>
      <c r="BA37" s="61">
        <v>1.0</v>
      </c>
      <c r="BB37" s="63">
        <v>5.0</v>
      </c>
      <c r="BC37" s="64"/>
      <c r="BD37" s="61">
        <v>1.0</v>
      </c>
      <c r="BE37" s="63" t="s">
        <v>876</v>
      </c>
      <c r="BF37" s="61">
        <v>0.0</v>
      </c>
      <c r="BG37" s="64"/>
      <c r="BH37" s="63" t="s">
        <v>819</v>
      </c>
      <c r="BI37" s="61">
        <v>1.0</v>
      </c>
      <c r="BJ37" s="64"/>
      <c r="BK37" s="63" t="b">
        <v>1</v>
      </c>
      <c r="BL37" s="61">
        <v>1.0</v>
      </c>
      <c r="BM37" s="64"/>
      <c r="BN37" s="63">
        <v>3.0</v>
      </c>
      <c r="BO37" s="61">
        <v>1.0</v>
      </c>
      <c r="BP37" s="64"/>
      <c r="BQ37" s="63">
        <v>3.0</v>
      </c>
      <c r="BR37" s="61">
        <v>1.0</v>
      </c>
      <c r="BS37" s="64"/>
      <c r="BT37" s="63" t="b">
        <v>1</v>
      </c>
      <c r="BU37" s="61">
        <v>1.0</v>
      </c>
      <c r="BV37" s="64"/>
      <c r="BW37" s="63" t="b">
        <v>0</v>
      </c>
      <c r="BX37" s="61">
        <v>1.0</v>
      </c>
      <c r="BY37" s="64"/>
      <c r="BZ37" s="63" t="s">
        <v>824</v>
      </c>
      <c r="CA37" s="61">
        <v>1.0</v>
      </c>
      <c r="CB37" s="64"/>
      <c r="CC37" s="63" t="b">
        <v>1</v>
      </c>
      <c r="CD37" s="61">
        <v>1.0</v>
      </c>
      <c r="CE37" s="64"/>
      <c r="CF37" s="63" t="b">
        <v>0</v>
      </c>
      <c r="CG37" s="61">
        <v>1.0</v>
      </c>
      <c r="CH37" s="64"/>
      <c r="CI37" s="63">
        <v>20.0</v>
      </c>
      <c r="CJ37" s="61">
        <v>0.0</v>
      </c>
      <c r="CK37" s="64"/>
      <c r="CL37" s="63">
        <v>2.0</v>
      </c>
      <c r="CM37" s="61">
        <v>1.0</v>
      </c>
      <c r="CN37" s="64"/>
      <c r="CO37" s="63" t="b">
        <v>1</v>
      </c>
      <c r="CP37" s="61">
        <v>1.0</v>
      </c>
      <c r="CQ37" s="64"/>
      <c r="CR37" s="64"/>
      <c r="CS37" s="61">
        <v>0.0</v>
      </c>
      <c r="CT37" s="64"/>
      <c r="CU37" s="63">
        <v>3.0</v>
      </c>
      <c r="CV37" s="61">
        <v>1.0</v>
      </c>
      <c r="CW37" s="64"/>
      <c r="CX37" s="63" t="b">
        <v>0</v>
      </c>
      <c r="CY37" s="61">
        <v>1.0</v>
      </c>
      <c r="CZ37" s="64"/>
      <c r="DA37" s="63" t="s">
        <v>950</v>
      </c>
      <c r="DB37" s="61">
        <v>0.0</v>
      </c>
      <c r="DC37" s="64"/>
    </row>
    <row r="38" ht="17.25" customHeight="1">
      <c r="A38" s="57">
        <v>39.0</v>
      </c>
      <c r="B38" s="58">
        <v>46190.71628472222</v>
      </c>
      <c r="C38" s="58">
        <v>46190.728101851855</v>
      </c>
      <c r="D38" s="59" t="s">
        <v>793</v>
      </c>
      <c r="E38" s="60"/>
      <c r="F38" s="57">
        <v>12.0</v>
      </c>
      <c r="G38" s="60"/>
      <c r="H38" s="60"/>
      <c r="I38" s="59" t="s">
        <v>1040</v>
      </c>
      <c r="J38" s="60"/>
      <c r="K38" s="60"/>
      <c r="L38" s="59" t="s">
        <v>65</v>
      </c>
      <c r="M38" s="60"/>
      <c r="N38" s="60"/>
      <c r="O38" s="59" t="s">
        <v>242</v>
      </c>
      <c r="P38" s="60"/>
      <c r="Q38" s="60"/>
      <c r="R38" s="59" t="s">
        <v>799</v>
      </c>
      <c r="S38" s="57">
        <v>1.0</v>
      </c>
      <c r="T38" s="60"/>
      <c r="U38" s="59" t="s">
        <v>801</v>
      </c>
      <c r="V38" s="57">
        <v>1.0</v>
      </c>
      <c r="W38" s="60"/>
      <c r="X38" s="59" t="s">
        <v>803</v>
      </c>
      <c r="Y38" s="57">
        <v>1.0</v>
      </c>
      <c r="Z38" s="60"/>
      <c r="AA38" s="59" t="s">
        <v>961</v>
      </c>
      <c r="AB38" s="57">
        <v>0.0</v>
      </c>
      <c r="AC38" s="60"/>
      <c r="AD38" s="59" t="s">
        <v>806</v>
      </c>
      <c r="AE38" s="57">
        <v>1.0</v>
      </c>
      <c r="AF38" s="60"/>
      <c r="AG38" s="59" t="s">
        <v>1002</v>
      </c>
      <c r="AH38" s="60"/>
      <c r="AI38" s="57">
        <v>0.0</v>
      </c>
      <c r="AJ38" s="59" t="s">
        <v>897</v>
      </c>
      <c r="AK38" s="60"/>
      <c r="AL38" s="57">
        <v>0.0</v>
      </c>
      <c r="AM38" s="59" t="s">
        <v>806</v>
      </c>
      <c r="AN38" s="60"/>
      <c r="AO38" s="57">
        <v>0.0</v>
      </c>
      <c r="AP38" s="59" t="s">
        <v>801</v>
      </c>
      <c r="AQ38" s="60"/>
      <c r="AR38" s="57">
        <v>0.0</v>
      </c>
      <c r="AS38" s="59" t="s">
        <v>897</v>
      </c>
      <c r="AT38" s="60"/>
      <c r="AU38" s="57">
        <v>0.0</v>
      </c>
      <c r="AV38" s="59">
        <v>1.0</v>
      </c>
      <c r="AW38" s="60"/>
      <c r="AX38" s="57">
        <v>1.0</v>
      </c>
      <c r="AY38" s="59" t="s">
        <v>806</v>
      </c>
      <c r="AZ38" s="60"/>
      <c r="BA38" s="57">
        <v>0.0</v>
      </c>
      <c r="BB38" s="59" t="s">
        <v>806</v>
      </c>
      <c r="BC38" s="60"/>
      <c r="BD38" s="57">
        <v>0.0</v>
      </c>
      <c r="BE38" s="59" t="b">
        <v>1</v>
      </c>
      <c r="BF38" s="57">
        <v>1.0</v>
      </c>
      <c r="BG38" s="60"/>
      <c r="BH38" s="59" t="b">
        <v>0</v>
      </c>
      <c r="BI38" s="57">
        <v>0.0</v>
      </c>
      <c r="BJ38" s="60"/>
      <c r="BK38" s="59" t="b">
        <v>0</v>
      </c>
      <c r="BL38" s="57">
        <v>0.0</v>
      </c>
      <c r="BM38" s="60"/>
      <c r="BN38" s="59">
        <v>2.0</v>
      </c>
      <c r="BO38" s="57">
        <v>0.0</v>
      </c>
      <c r="BP38" s="60"/>
      <c r="BQ38" s="59">
        <v>3.0</v>
      </c>
      <c r="BR38" s="57">
        <v>1.0</v>
      </c>
      <c r="BS38" s="60"/>
      <c r="BT38" s="59" t="b">
        <v>1</v>
      </c>
      <c r="BU38" s="57">
        <v>1.0</v>
      </c>
      <c r="BV38" s="60"/>
      <c r="BW38" s="59" t="b">
        <v>0</v>
      </c>
      <c r="BX38" s="57">
        <v>1.0</v>
      </c>
      <c r="BY38" s="60"/>
      <c r="BZ38" s="59" t="s">
        <v>964</v>
      </c>
      <c r="CA38" s="57">
        <v>0.0</v>
      </c>
      <c r="CB38" s="60"/>
      <c r="CC38" s="59" t="b">
        <v>1</v>
      </c>
      <c r="CD38" s="57">
        <v>1.0</v>
      </c>
      <c r="CE38" s="60"/>
      <c r="CF38" s="59" t="b">
        <v>0</v>
      </c>
      <c r="CG38" s="57">
        <v>1.0</v>
      </c>
      <c r="CH38" s="60"/>
      <c r="CI38" s="59" t="s">
        <v>806</v>
      </c>
      <c r="CJ38" s="57">
        <v>0.0</v>
      </c>
      <c r="CK38" s="60"/>
      <c r="CL38" s="59">
        <v>1.0</v>
      </c>
      <c r="CM38" s="57">
        <v>0.0</v>
      </c>
      <c r="CN38" s="60"/>
      <c r="CO38" s="59" t="b">
        <v>1</v>
      </c>
      <c r="CP38" s="57">
        <v>1.0</v>
      </c>
      <c r="CQ38" s="60"/>
      <c r="CR38" s="60"/>
      <c r="CS38" s="57">
        <v>0.0</v>
      </c>
      <c r="CT38" s="60"/>
      <c r="CU38" s="60"/>
      <c r="CV38" s="57">
        <v>0.0</v>
      </c>
      <c r="CW38" s="60"/>
      <c r="CX38" s="59" t="s">
        <v>806</v>
      </c>
      <c r="CY38" s="57">
        <v>0.0</v>
      </c>
      <c r="CZ38" s="60"/>
      <c r="DA38" s="60"/>
      <c r="DB38" s="57">
        <v>0.0</v>
      </c>
      <c r="DC38" s="60"/>
    </row>
    <row r="39" ht="17.25" customHeight="1">
      <c r="A39" s="61">
        <v>40.0</v>
      </c>
      <c r="B39" s="62">
        <v>46190.71855324074</v>
      </c>
      <c r="C39" s="62">
        <v>46190.72813657407</v>
      </c>
      <c r="D39" s="63" t="s">
        <v>793</v>
      </c>
      <c r="E39" s="64"/>
      <c r="F39" s="61">
        <v>26.0</v>
      </c>
      <c r="G39" s="64"/>
      <c r="H39" s="64"/>
      <c r="I39" s="63" t="s">
        <v>740</v>
      </c>
      <c r="J39" s="64"/>
      <c r="K39" s="64"/>
      <c r="L39" s="63" t="s">
        <v>742</v>
      </c>
      <c r="M39" s="64"/>
      <c r="N39" s="64"/>
      <c r="O39" s="63" t="s">
        <v>1043</v>
      </c>
      <c r="P39" s="64"/>
      <c r="Q39" s="64"/>
      <c r="R39" s="63" t="s">
        <v>799</v>
      </c>
      <c r="S39" s="61">
        <v>1.0</v>
      </c>
      <c r="T39" s="64"/>
      <c r="U39" s="63" t="s">
        <v>801</v>
      </c>
      <c r="V39" s="61">
        <v>1.0</v>
      </c>
      <c r="W39" s="64"/>
      <c r="X39" s="63" t="s">
        <v>803</v>
      </c>
      <c r="Y39" s="61">
        <v>1.0</v>
      </c>
      <c r="Z39" s="64"/>
      <c r="AA39" s="63" t="s">
        <v>805</v>
      </c>
      <c r="AB39" s="61">
        <v>1.0</v>
      </c>
      <c r="AC39" s="64"/>
      <c r="AD39" s="63" t="s">
        <v>806</v>
      </c>
      <c r="AE39" s="61">
        <v>1.0</v>
      </c>
      <c r="AF39" s="64"/>
      <c r="AG39" s="63" t="s">
        <v>810</v>
      </c>
      <c r="AH39" s="64"/>
      <c r="AI39" s="61">
        <v>1.0</v>
      </c>
      <c r="AJ39" s="63" t="s">
        <v>811</v>
      </c>
      <c r="AK39" s="64"/>
      <c r="AL39" s="61">
        <v>1.0</v>
      </c>
      <c r="AM39" s="63" t="s">
        <v>812</v>
      </c>
      <c r="AN39" s="64"/>
      <c r="AO39" s="61">
        <v>1.0</v>
      </c>
      <c r="AP39" s="63" t="s">
        <v>814</v>
      </c>
      <c r="AQ39" s="64"/>
      <c r="AR39" s="61">
        <v>1.0</v>
      </c>
      <c r="AS39" s="63" t="s">
        <v>799</v>
      </c>
      <c r="AT39" s="64"/>
      <c r="AU39" s="61">
        <v>1.0</v>
      </c>
      <c r="AV39" s="63">
        <v>1.0</v>
      </c>
      <c r="AW39" s="64"/>
      <c r="AX39" s="61">
        <v>1.0</v>
      </c>
      <c r="AY39" s="63" t="b">
        <v>1</v>
      </c>
      <c r="AZ39" s="64"/>
      <c r="BA39" s="61">
        <v>1.0</v>
      </c>
      <c r="BB39" s="63">
        <v>5.0</v>
      </c>
      <c r="BC39" s="64"/>
      <c r="BD39" s="61">
        <v>1.0</v>
      </c>
      <c r="BE39" s="63" t="b">
        <v>1</v>
      </c>
      <c r="BF39" s="61">
        <v>1.0</v>
      </c>
      <c r="BG39" s="64"/>
      <c r="BH39" s="63" t="s">
        <v>819</v>
      </c>
      <c r="BI39" s="61">
        <v>1.0</v>
      </c>
      <c r="BJ39" s="64"/>
      <c r="BK39" s="63" t="b">
        <v>1</v>
      </c>
      <c r="BL39" s="61">
        <v>1.0</v>
      </c>
      <c r="BM39" s="64"/>
      <c r="BN39" s="64"/>
      <c r="BO39" s="61">
        <v>0.0</v>
      </c>
      <c r="BP39" s="64"/>
      <c r="BQ39" s="63">
        <v>3.0</v>
      </c>
      <c r="BR39" s="61">
        <v>1.0</v>
      </c>
      <c r="BS39" s="64"/>
      <c r="BT39" s="63" t="b">
        <v>1</v>
      </c>
      <c r="BU39" s="61">
        <v>1.0</v>
      </c>
      <c r="BV39" s="64"/>
      <c r="BW39" s="63" t="b">
        <v>1</v>
      </c>
      <c r="BX39" s="61">
        <v>0.0</v>
      </c>
      <c r="BY39" s="64"/>
      <c r="BZ39" s="63" t="s">
        <v>824</v>
      </c>
      <c r="CA39" s="61">
        <v>1.0</v>
      </c>
      <c r="CB39" s="64"/>
      <c r="CC39" s="63" t="b">
        <v>1</v>
      </c>
      <c r="CD39" s="61">
        <v>1.0</v>
      </c>
      <c r="CE39" s="64"/>
      <c r="CF39" s="63" t="b">
        <v>0</v>
      </c>
      <c r="CG39" s="61">
        <v>1.0</v>
      </c>
      <c r="CH39" s="64"/>
      <c r="CI39" s="63">
        <v>1.0</v>
      </c>
      <c r="CJ39" s="61">
        <v>1.0</v>
      </c>
      <c r="CK39" s="64"/>
      <c r="CL39" s="63">
        <v>2.0</v>
      </c>
      <c r="CM39" s="61">
        <v>1.0</v>
      </c>
      <c r="CN39" s="64"/>
      <c r="CO39" s="64"/>
      <c r="CP39" s="61">
        <v>0.0</v>
      </c>
      <c r="CQ39" s="64"/>
      <c r="CR39" s="63" t="s">
        <v>829</v>
      </c>
      <c r="CS39" s="61">
        <v>1.0</v>
      </c>
      <c r="CT39" s="64"/>
      <c r="CU39" s="63">
        <v>3.0</v>
      </c>
      <c r="CV39" s="61">
        <v>1.0</v>
      </c>
      <c r="CW39" s="64"/>
      <c r="CX39" s="63" t="b">
        <v>0</v>
      </c>
      <c r="CY39" s="61">
        <v>1.0</v>
      </c>
      <c r="CZ39" s="64"/>
      <c r="DA39" s="63" t="b">
        <v>1</v>
      </c>
      <c r="DB39" s="61">
        <v>0.0</v>
      </c>
      <c r="DC39" s="64"/>
    </row>
    <row r="40" ht="17.25" customHeight="1">
      <c r="A40" s="57">
        <v>41.0</v>
      </c>
      <c r="B40" s="58">
        <v>46190.71702546296</v>
      </c>
      <c r="C40" s="58">
        <v>46190.72825231482</v>
      </c>
      <c r="D40" s="59" t="s">
        <v>793</v>
      </c>
      <c r="E40" s="60"/>
      <c r="F40" s="57">
        <v>26.0</v>
      </c>
      <c r="G40" s="60"/>
      <c r="H40" s="60"/>
      <c r="I40" s="59" t="s">
        <v>334</v>
      </c>
      <c r="J40" s="60"/>
      <c r="K40" s="60"/>
      <c r="L40" s="59" t="s">
        <v>335</v>
      </c>
      <c r="M40" s="60"/>
      <c r="N40" s="60"/>
      <c r="O40" s="59" t="s">
        <v>989</v>
      </c>
      <c r="P40" s="60"/>
      <c r="Q40" s="60"/>
      <c r="R40" s="59" t="s">
        <v>799</v>
      </c>
      <c r="S40" s="57">
        <v>1.0</v>
      </c>
      <c r="T40" s="60"/>
      <c r="U40" s="59" t="s">
        <v>814</v>
      </c>
      <c r="V40" s="57">
        <v>0.0</v>
      </c>
      <c r="W40" s="60"/>
      <c r="X40" s="59" t="s">
        <v>803</v>
      </c>
      <c r="Y40" s="57">
        <v>1.0</v>
      </c>
      <c r="Z40" s="60"/>
      <c r="AA40" s="59" t="s">
        <v>805</v>
      </c>
      <c r="AB40" s="57">
        <v>1.0</v>
      </c>
      <c r="AC40" s="60"/>
      <c r="AD40" s="59" t="s">
        <v>842</v>
      </c>
      <c r="AE40" s="57">
        <v>0.0</v>
      </c>
      <c r="AF40" s="60"/>
      <c r="AG40" s="59" t="s">
        <v>810</v>
      </c>
      <c r="AH40" s="60"/>
      <c r="AI40" s="57">
        <v>1.0</v>
      </c>
      <c r="AJ40" s="59" t="s">
        <v>811</v>
      </c>
      <c r="AK40" s="60"/>
      <c r="AL40" s="57">
        <v>1.0</v>
      </c>
      <c r="AM40" s="59" t="s">
        <v>812</v>
      </c>
      <c r="AN40" s="60"/>
      <c r="AO40" s="57">
        <v>1.0</v>
      </c>
      <c r="AP40" s="59" t="s">
        <v>814</v>
      </c>
      <c r="AQ40" s="60"/>
      <c r="AR40" s="57">
        <v>1.0</v>
      </c>
      <c r="AS40" s="59" t="s">
        <v>799</v>
      </c>
      <c r="AT40" s="60"/>
      <c r="AU40" s="57">
        <v>1.0</v>
      </c>
      <c r="AV40" s="59">
        <v>1.0</v>
      </c>
      <c r="AW40" s="60"/>
      <c r="AX40" s="57">
        <v>1.0</v>
      </c>
      <c r="AY40" s="59" t="b">
        <v>1</v>
      </c>
      <c r="AZ40" s="60"/>
      <c r="BA40" s="57">
        <v>1.0</v>
      </c>
      <c r="BB40" s="59">
        <v>5.0</v>
      </c>
      <c r="BC40" s="60"/>
      <c r="BD40" s="57">
        <v>1.0</v>
      </c>
      <c r="BE40" s="59" t="s">
        <v>876</v>
      </c>
      <c r="BF40" s="57">
        <v>0.0</v>
      </c>
      <c r="BG40" s="60"/>
      <c r="BH40" s="59" t="s">
        <v>819</v>
      </c>
      <c r="BI40" s="57">
        <v>1.0</v>
      </c>
      <c r="BJ40" s="60"/>
      <c r="BK40" s="59" t="b">
        <v>1</v>
      </c>
      <c r="BL40" s="57">
        <v>1.0</v>
      </c>
      <c r="BM40" s="60"/>
      <c r="BN40" s="59">
        <v>3.0</v>
      </c>
      <c r="BO40" s="57">
        <v>1.0</v>
      </c>
      <c r="BP40" s="60"/>
      <c r="BQ40" s="59">
        <v>3.0</v>
      </c>
      <c r="BR40" s="57">
        <v>1.0</v>
      </c>
      <c r="BS40" s="60"/>
      <c r="BT40" s="59" t="b">
        <v>1</v>
      </c>
      <c r="BU40" s="57">
        <v>1.0</v>
      </c>
      <c r="BV40" s="60"/>
      <c r="BW40" s="59" t="b">
        <v>0</v>
      </c>
      <c r="BX40" s="57">
        <v>1.0</v>
      </c>
      <c r="BY40" s="60"/>
      <c r="BZ40" s="59" t="s">
        <v>824</v>
      </c>
      <c r="CA40" s="57">
        <v>1.0</v>
      </c>
      <c r="CB40" s="60"/>
      <c r="CC40" s="59" t="b">
        <v>1</v>
      </c>
      <c r="CD40" s="57">
        <v>1.0</v>
      </c>
      <c r="CE40" s="60"/>
      <c r="CF40" s="59" t="b">
        <v>0</v>
      </c>
      <c r="CG40" s="57">
        <v>1.0</v>
      </c>
      <c r="CH40" s="60"/>
      <c r="CI40" s="59">
        <v>1.0</v>
      </c>
      <c r="CJ40" s="57">
        <v>1.0</v>
      </c>
      <c r="CK40" s="60"/>
      <c r="CL40" s="59">
        <v>2.0</v>
      </c>
      <c r="CM40" s="57">
        <v>1.0</v>
      </c>
      <c r="CN40" s="60"/>
      <c r="CO40" s="60"/>
      <c r="CP40" s="57">
        <v>0.0</v>
      </c>
      <c r="CQ40" s="60"/>
      <c r="CR40" s="59" t="s">
        <v>829</v>
      </c>
      <c r="CS40" s="57">
        <v>1.0</v>
      </c>
      <c r="CT40" s="60"/>
      <c r="CU40" s="59">
        <v>3.0</v>
      </c>
      <c r="CV40" s="57">
        <v>1.0</v>
      </c>
      <c r="CW40" s="60"/>
      <c r="CX40" s="59" t="b">
        <v>0</v>
      </c>
      <c r="CY40" s="57">
        <v>1.0</v>
      </c>
      <c r="CZ40" s="60"/>
      <c r="DA40" s="59" t="b">
        <v>0</v>
      </c>
      <c r="DB40" s="57">
        <v>1.0</v>
      </c>
      <c r="DC40" s="60"/>
    </row>
    <row r="41" ht="17.25" customHeight="1">
      <c r="A41" s="61">
        <v>42.0</v>
      </c>
      <c r="B41" s="62">
        <v>46190.724027777775</v>
      </c>
      <c r="C41" s="62">
        <v>46190.72837962963</v>
      </c>
      <c r="D41" s="63" t="s">
        <v>793</v>
      </c>
      <c r="E41" s="64"/>
      <c r="F41" s="61">
        <v>25.0</v>
      </c>
      <c r="G41" s="64"/>
      <c r="H41" s="64"/>
      <c r="I41" s="63" t="s">
        <v>609</v>
      </c>
      <c r="J41" s="64"/>
      <c r="K41" s="64"/>
      <c r="L41" s="63" t="s">
        <v>610</v>
      </c>
      <c r="M41" s="64"/>
      <c r="N41" s="64"/>
      <c r="O41" s="63" t="s">
        <v>1047</v>
      </c>
      <c r="P41" s="64"/>
      <c r="Q41" s="64"/>
      <c r="R41" s="63" t="s">
        <v>799</v>
      </c>
      <c r="S41" s="61">
        <v>1.0</v>
      </c>
      <c r="T41" s="64"/>
      <c r="U41" s="63" t="s">
        <v>801</v>
      </c>
      <c r="V41" s="61">
        <v>1.0</v>
      </c>
      <c r="W41" s="64"/>
      <c r="X41" s="63" t="s">
        <v>803</v>
      </c>
      <c r="Y41" s="61">
        <v>1.0</v>
      </c>
      <c r="Z41" s="64"/>
      <c r="AA41" s="63" t="s">
        <v>805</v>
      </c>
      <c r="AB41" s="61">
        <v>1.0</v>
      </c>
      <c r="AC41" s="64"/>
      <c r="AD41" s="63" t="s">
        <v>806</v>
      </c>
      <c r="AE41" s="61">
        <v>1.0</v>
      </c>
      <c r="AF41" s="64"/>
      <c r="AG41" s="63" t="s">
        <v>810</v>
      </c>
      <c r="AH41" s="64"/>
      <c r="AI41" s="61">
        <v>1.0</v>
      </c>
      <c r="AJ41" s="63" t="s">
        <v>811</v>
      </c>
      <c r="AK41" s="64"/>
      <c r="AL41" s="61">
        <v>1.0</v>
      </c>
      <c r="AM41" s="63" t="s">
        <v>812</v>
      </c>
      <c r="AN41" s="64"/>
      <c r="AO41" s="61">
        <v>1.0</v>
      </c>
      <c r="AP41" s="63" t="s">
        <v>814</v>
      </c>
      <c r="AQ41" s="64"/>
      <c r="AR41" s="61">
        <v>1.0</v>
      </c>
      <c r="AS41" s="63" t="s">
        <v>799</v>
      </c>
      <c r="AT41" s="64"/>
      <c r="AU41" s="61">
        <v>1.0</v>
      </c>
      <c r="AV41" s="63">
        <v>1.0</v>
      </c>
      <c r="AW41" s="64"/>
      <c r="AX41" s="61">
        <v>1.0</v>
      </c>
      <c r="AY41" s="63" t="b">
        <v>1</v>
      </c>
      <c r="AZ41" s="64"/>
      <c r="BA41" s="61">
        <v>1.0</v>
      </c>
      <c r="BB41" s="63">
        <v>5.0</v>
      </c>
      <c r="BC41" s="64"/>
      <c r="BD41" s="61">
        <v>1.0</v>
      </c>
      <c r="BE41" s="63" t="b">
        <v>0</v>
      </c>
      <c r="BF41" s="61">
        <v>0.0</v>
      </c>
      <c r="BG41" s="64"/>
      <c r="BH41" s="63" t="b">
        <v>1</v>
      </c>
      <c r="BI41" s="61">
        <v>0.0</v>
      </c>
      <c r="BJ41" s="64"/>
      <c r="BK41" s="63" t="b">
        <v>1</v>
      </c>
      <c r="BL41" s="61">
        <v>1.0</v>
      </c>
      <c r="BM41" s="64"/>
      <c r="BN41" s="63">
        <v>4.0</v>
      </c>
      <c r="BO41" s="61">
        <v>0.0</v>
      </c>
      <c r="BP41" s="64"/>
      <c r="BQ41" s="63" t="s">
        <v>806</v>
      </c>
      <c r="BR41" s="61">
        <v>0.0</v>
      </c>
      <c r="BS41" s="64"/>
      <c r="BT41" s="63" t="s">
        <v>806</v>
      </c>
      <c r="BU41" s="61">
        <v>0.0</v>
      </c>
      <c r="BV41" s="64"/>
      <c r="BW41" s="63" t="b">
        <v>0</v>
      </c>
      <c r="BX41" s="61">
        <v>1.0</v>
      </c>
      <c r="BY41" s="64"/>
      <c r="BZ41" s="63" t="s">
        <v>824</v>
      </c>
      <c r="CA41" s="61">
        <v>1.0</v>
      </c>
      <c r="CB41" s="64"/>
      <c r="CC41" s="63" t="b">
        <v>1</v>
      </c>
      <c r="CD41" s="61">
        <v>1.0</v>
      </c>
      <c r="CE41" s="64"/>
      <c r="CF41" s="63" t="b">
        <v>0</v>
      </c>
      <c r="CG41" s="61">
        <v>1.0</v>
      </c>
      <c r="CH41" s="64"/>
      <c r="CI41" s="63">
        <v>1.0</v>
      </c>
      <c r="CJ41" s="61">
        <v>1.0</v>
      </c>
      <c r="CK41" s="64"/>
      <c r="CL41" s="63">
        <v>2.0</v>
      </c>
      <c r="CM41" s="61">
        <v>1.0</v>
      </c>
      <c r="CN41" s="64"/>
      <c r="CO41" s="63" t="b">
        <v>1</v>
      </c>
      <c r="CP41" s="61">
        <v>1.0</v>
      </c>
      <c r="CQ41" s="64"/>
      <c r="CR41" s="63" t="s">
        <v>829</v>
      </c>
      <c r="CS41" s="61">
        <v>1.0</v>
      </c>
      <c r="CT41" s="64"/>
      <c r="CU41" s="63">
        <v>3.0</v>
      </c>
      <c r="CV41" s="61">
        <v>1.0</v>
      </c>
      <c r="CW41" s="64"/>
      <c r="CX41" s="63" t="b">
        <v>0</v>
      </c>
      <c r="CY41" s="61">
        <v>1.0</v>
      </c>
      <c r="CZ41" s="64"/>
      <c r="DA41" s="63" t="b">
        <v>0</v>
      </c>
      <c r="DB41" s="61">
        <v>1.0</v>
      </c>
      <c r="DC41" s="64"/>
    </row>
    <row r="42" ht="17.25" customHeight="1">
      <c r="A42" s="57">
        <v>43.0</v>
      </c>
      <c r="B42" s="58">
        <v>46190.71622685185</v>
      </c>
      <c r="C42" s="58">
        <v>46190.72844907407</v>
      </c>
      <c r="D42" s="59" t="s">
        <v>793</v>
      </c>
      <c r="E42" s="60"/>
      <c r="F42" s="57">
        <v>14.0</v>
      </c>
      <c r="G42" s="60"/>
      <c r="H42" s="60"/>
      <c r="I42" s="59" t="s">
        <v>209</v>
      </c>
      <c r="J42" s="60"/>
      <c r="K42" s="60"/>
      <c r="L42" s="59" t="s">
        <v>210</v>
      </c>
      <c r="M42" s="60"/>
      <c r="N42" s="60"/>
      <c r="O42" s="59" t="s">
        <v>765</v>
      </c>
      <c r="P42" s="60"/>
      <c r="Q42" s="60"/>
      <c r="R42" s="59" t="s">
        <v>799</v>
      </c>
      <c r="S42" s="57">
        <v>1.0</v>
      </c>
      <c r="T42" s="60"/>
      <c r="U42" s="59" t="s">
        <v>814</v>
      </c>
      <c r="V42" s="57">
        <v>0.0</v>
      </c>
      <c r="W42" s="60"/>
      <c r="X42" s="59" t="s">
        <v>803</v>
      </c>
      <c r="Y42" s="57">
        <v>1.0</v>
      </c>
      <c r="Z42" s="60"/>
      <c r="AA42" s="59" t="s">
        <v>961</v>
      </c>
      <c r="AB42" s="57">
        <v>0.0</v>
      </c>
      <c r="AC42" s="60"/>
      <c r="AD42" s="59" t="s">
        <v>842</v>
      </c>
      <c r="AE42" s="57">
        <v>0.0</v>
      </c>
      <c r="AF42" s="60"/>
      <c r="AG42" s="59" t="s">
        <v>810</v>
      </c>
      <c r="AH42" s="60"/>
      <c r="AI42" s="57">
        <v>1.0</v>
      </c>
      <c r="AJ42" s="59" t="s">
        <v>838</v>
      </c>
      <c r="AK42" s="60"/>
      <c r="AL42" s="57">
        <v>0.0</v>
      </c>
      <c r="AM42" s="59" t="s">
        <v>945</v>
      </c>
      <c r="AN42" s="60"/>
      <c r="AO42" s="57">
        <v>0.0</v>
      </c>
      <c r="AP42" s="59" t="s">
        <v>801</v>
      </c>
      <c r="AQ42" s="60"/>
      <c r="AR42" s="57">
        <v>0.0</v>
      </c>
      <c r="AS42" s="59" t="s">
        <v>897</v>
      </c>
      <c r="AT42" s="60"/>
      <c r="AU42" s="57">
        <v>0.0</v>
      </c>
      <c r="AV42" s="59">
        <v>2.0</v>
      </c>
      <c r="AW42" s="60"/>
      <c r="AX42" s="57">
        <v>0.0</v>
      </c>
      <c r="AY42" s="59" t="b">
        <v>0</v>
      </c>
      <c r="AZ42" s="60"/>
      <c r="BA42" s="57">
        <v>0.0</v>
      </c>
      <c r="BB42" s="59">
        <v>5.0</v>
      </c>
      <c r="BC42" s="60"/>
      <c r="BD42" s="57">
        <v>1.0</v>
      </c>
      <c r="BE42" s="59" t="s">
        <v>876</v>
      </c>
      <c r="BF42" s="57">
        <v>0.0</v>
      </c>
      <c r="BG42" s="60"/>
      <c r="BH42" s="59" t="b">
        <v>0</v>
      </c>
      <c r="BI42" s="57">
        <v>0.0</v>
      </c>
      <c r="BJ42" s="60"/>
      <c r="BK42" s="59" t="b">
        <v>0</v>
      </c>
      <c r="BL42" s="57">
        <v>0.0</v>
      </c>
      <c r="BM42" s="60"/>
      <c r="BN42" s="59">
        <v>3.0</v>
      </c>
      <c r="BO42" s="57">
        <v>1.0</v>
      </c>
      <c r="BP42" s="60"/>
      <c r="BQ42" s="59">
        <v>4.0</v>
      </c>
      <c r="BR42" s="57">
        <v>0.0</v>
      </c>
      <c r="BS42" s="60"/>
      <c r="BT42" s="59" t="b">
        <v>1</v>
      </c>
      <c r="BU42" s="57">
        <v>1.0</v>
      </c>
      <c r="BV42" s="60"/>
      <c r="BW42" s="59" t="s">
        <v>806</v>
      </c>
      <c r="BX42" s="57">
        <v>0.0</v>
      </c>
      <c r="BY42" s="60"/>
      <c r="BZ42" s="59" t="s">
        <v>824</v>
      </c>
      <c r="CA42" s="57">
        <v>1.0</v>
      </c>
      <c r="CB42" s="60"/>
      <c r="CC42" s="59" t="b">
        <v>1</v>
      </c>
      <c r="CD42" s="57">
        <v>1.0</v>
      </c>
      <c r="CE42" s="60"/>
      <c r="CF42" s="59" t="b">
        <v>0</v>
      </c>
      <c r="CG42" s="57">
        <v>1.0</v>
      </c>
      <c r="CH42" s="60"/>
      <c r="CI42" s="59">
        <v>1.0</v>
      </c>
      <c r="CJ42" s="57">
        <v>1.0</v>
      </c>
      <c r="CK42" s="60"/>
      <c r="CL42" s="59">
        <v>1.0</v>
      </c>
      <c r="CM42" s="57">
        <v>0.0</v>
      </c>
      <c r="CN42" s="60"/>
      <c r="CO42" s="59" t="b">
        <v>1</v>
      </c>
      <c r="CP42" s="57">
        <v>1.0</v>
      </c>
      <c r="CQ42" s="60"/>
      <c r="CR42" s="59" t="s">
        <v>829</v>
      </c>
      <c r="CS42" s="57">
        <v>1.0</v>
      </c>
      <c r="CT42" s="60"/>
      <c r="CU42" s="59" t="s">
        <v>906</v>
      </c>
      <c r="CV42" s="57">
        <v>0.0</v>
      </c>
      <c r="CW42" s="60"/>
      <c r="CX42" s="59" t="b">
        <v>0</v>
      </c>
      <c r="CY42" s="57">
        <v>1.0</v>
      </c>
      <c r="CZ42" s="60"/>
      <c r="DA42" s="59" t="b">
        <v>0</v>
      </c>
      <c r="DB42" s="57">
        <v>1.0</v>
      </c>
      <c r="DC42" s="60"/>
    </row>
    <row r="43" ht="17.25" customHeight="1">
      <c r="A43" s="61">
        <v>44.0</v>
      </c>
      <c r="B43" s="62">
        <v>46190.71556712963</v>
      </c>
      <c r="C43" s="62">
        <v>46190.728472222225</v>
      </c>
      <c r="D43" s="63" t="s">
        <v>793</v>
      </c>
      <c r="E43" s="64"/>
      <c r="F43" s="61">
        <v>29.0</v>
      </c>
      <c r="G43" s="64"/>
      <c r="H43" s="64"/>
      <c r="I43" s="63" t="s">
        <v>537</v>
      </c>
      <c r="J43" s="64"/>
      <c r="K43" s="64"/>
      <c r="L43" s="63" t="s">
        <v>538</v>
      </c>
      <c r="M43" s="64"/>
      <c r="N43" s="64"/>
      <c r="O43" s="63" t="s">
        <v>1052</v>
      </c>
      <c r="P43" s="64"/>
      <c r="Q43" s="64"/>
      <c r="R43" s="63" t="s">
        <v>799</v>
      </c>
      <c r="S43" s="61">
        <v>1.0</v>
      </c>
      <c r="T43" s="64"/>
      <c r="U43" s="63" t="s">
        <v>801</v>
      </c>
      <c r="V43" s="61">
        <v>1.0</v>
      </c>
      <c r="W43" s="64"/>
      <c r="X43" s="63" t="s">
        <v>803</v>
      </c>
      <c r="Y43" s="61">
        <v>1.0</v>
      </c>
      <c r="Z43" s="64"/>
      <c r="AA43" s="63" t="s">
        <v>805</v>
      </c>
      <c r="AB43" s="61">
        <v>1.0</v>
      </c>
      <c r="AC43" s="64"/>
      <c r="AD43" s="63" t="s">
        <v>806</v>
      </c>
      <c r="AE43" s="61">
        <v>1.0</v>
      </c>
      <c r="AF43" s="64"/>
      <c r="AG43" s="63" t="s">
        <v>810</v>
      </c>
      <c r="AH43" s="64"/>
      <c r="AI43" s="61">
        <v>1.0</v>
      </c>
      <c r="AJ43" s="63" t="s">
        <v>811</v>
      </c>
      <c r="AK43" s="64"/>
      <c r="AL43" s="61">
        <v>1.0</v>
      </c>
      <c r="AM43" s="63" t="s">
        <v>812</v>
      </c>
      <c r="AN43" s="64"/>
      <c r="AO43" s="61">
        <v>1.0</v>
      </c>
      <c r="AP43" s="63" t="s">
        <v>814</v>
      </c>
      <c r="AQ43" s="64"/>
      <c r="AR43" s="61">
        <v>1.0</v>
      </c>
      <c r="AS43" s="63" t="s">
        <v>799</v>
      </c>
      <c r="AT43" s="64"/>
      <c r="AU43" s="61">
        <v>1.0</v>
      </c>
      <c r="AV43" s="63">
        <v>1.0</v>
      </c>
      <c r="AW43" s="64"/>
      <c r="AX43" s="61">
        <v>1.0</v>
      </c>
      <c r="AY43" s="63" t="b">
        <v>1</v>
      </c>
      <c r="AZ43" s="64"/>
      <c r="BA43" s="61">
        <v>1.0</v>
      </c>
      <c r="BB43" s="63">
        <v>5.0</v>
      </c>
      <c r="BC43" s="64"/>
      <c r="BD43" s="61">
        <v>1.0</v>
      </c>
      <c r="BE43" s="63" t="b">
        <v>0</v>
      </c>
      <c r="BF43" s="61">
        <v>0.0</v>
      </c>
      <c r="BG43" s="64"/>
      <c r="BH43" s="63" t="s">
        <v>819</v>
      </c>
      <c r="BI43" s="61">
        <v>1.0</v>
      </c>
      <c r="BJ43" s="64"/>
      <c r="BK43" s="63" t="b">
        <v>1</v>
      </c>
      <c r="BL43" s="61">
        <v>1.0</v>
      </c>
      <c r="BM43" s="64"/>
      <c r="BN43" s="63">
        <v>3.0</v>
      </c>
      <c r="BO43" s="61">
        <v>1.0</v>
      </c>
      <c r="BP43" s="64"/>
      <c r="BQ43" s="63">
        <v>3.0</v>
      </c>
      <c r="BR43" s="61">
        <v>1.0</v>
      </c>
      <c r="BS43" s="64"/>
      <c r="BT43" s="63" t="b">
        <v>1</v>
      </c>
      <c r="BU43" s="61">
        <v>1.0</v>
      </c>
      <c r="BV43" s="64"/>
      <c r="BW43" s="63" t="b">
        <v>0</v>
      </c>
      <c r="BX43" s="61">
        <v>1.0</v>
      </c>
      <c r="BY43" s="64"/>
      <c r="BZ43" s="63" t="s">
        <v>824</v>
      </c>
      <c r="CA43" s="61">
        <v>1.0</v>
      </c>
      <c r="CB43" s="64"/>
      <c r="CC43" s="63" t="b">
        <v>1</v>
      </c>
      <c r="CD43" s="61">
        <v>1.0</v>
      </c>
      <c r="CE43" s="64"/>
      <c r="CF43" s="63" t="b">
        <v>0</v>
      </c>
      <c r="CG43" s="61">
        <v>1.0</v>
      </c>
      <c r="CH43" s="64"/>
      <c r="CI43" s="63">
        <v>1.0</v>
      </c>
      <c r="CJ43" s="61">
        <v>1.0</v>
      </c>
      <c r="CK43" s="64"/>
      <c r="CL43" s="63">
        <v>2.0</v>
      </c>
      <c r="CM43" s="61">
        <v>1.0</v>
      </c>
      <c r="CN43" s="64"/>
      <c r="CO43" s="63" t="b">
        <v>1</v>
      </c>
      <c r="CP43" s="61">
        <v>1.0</v>
      </c>
      <c r="CQ43" s="64"/>
      <c r="CR43" s="63" t="s">
        <v>829</v>
      </c>
      <c r="CS43" s="61">
        <v>1.0</v>
      </c>
      <c r="CT43" s="64"/>
      <c r="CU43" s="63">
        <v>3.0</v>
      </c>
      <c r="CV43" s="61">
        <v>1.0</v>
      </c>
      <c r="CW43" s="64"/>
      <c r="CX43" s="63" t="b">
        <v>0</v>
      </c>
      <c r="CY43" s="61">
        <v>1.0</v>
      </c>
      <c r="CZ43" s="64"/>
      <c r="DA43" s="63" t="b">
        <v>0</v>
      </c>
      <c r="DB43" s="61">
        <v>1.0</v>
      </c>
      <c r="DC43" s="64"/>
    </row>
    <row r="44" ht="17.25" customHeight="1">
      <c r="A44" s="57">
        <v>45.0</v>
      </c>
      <c r="B44" s="58">
        <v>46190.71886574074</v>
      </c>
      <c r="C44" s="58">
        <v>46190.72866898148</v>
      </c>
      <c r="D44" s="59" t="s">
        <v>793</v>
      </c>
      <c r="E44" s="60"/>
      <c r="F44" s="57">
        <v>22.0</v>
      </c>
      <c r="G44" s="60"/>
      <c r="H44" s="60"/>
      <c r="I44" s="59" t="s">
        <v>160</v>
      </c>
      <c r="J44" s="60"/>
      <c r="K44" s="60"/>
      <c r="L44" s="59" t="s">
        <v>162</v>
      </c>
      <c r="M44" s="60"/>
      <c r="N44" s="60"/>
      <c r="O44" s="59" t="s">
        <v>504</v>
      </c>
      <c r="P44" s="60"/>
      <c r="Q44" s="60"/>
      <c r="R44" s="59" t="s">
        <v>799</v>
      </c>
      <c r="S44" s="57">
        <v>1.0</v>
      </c>
      <c r="T44" s="60"/>
      <c r="U44" s="59" t="s">
        <v>814</v>
      </c>
      <c r="V44" s="57">
        <v>0.0</v>
      </c>
      <c r="W44" s="60"/>
      <c r="X44" s="59" t="s">
        <v>803</v>
      </c>
      <c r="Y44" s="57">
        <v>1.0</v>
      </c>
      <c r="Z44" s="60"/>
      <c r="AA44" s="59" t="s">
        <v>805</v>
      </c>
      <c r="AB44" s="57">
        <v>1.0</v>
      </c>
      <c r="AC44" s="60"/>
      <c r="AD44" s="59" t="s">
        <v>842</v>
      </c>
      <c r="AE44" s="57">
        <v>0.0</v>
      </c>
      <c r="AF44" s="60"/>
      <c r="AG44" s="59" t="s">
        <v>810</v>
      </c>
      <c r="AH44" s="60"/>
      <c r="AI44" s="57">
        <v>1.0</v>
      </c>
      <c r="AJ44" s="59" t="s">
        <v>811</v>
      </c>
      <c r="AK44" s="60"/>
      <c r="AL44" s="57">
        <v>1.0</v>
      </c>
      <c r="AM44" s="59" t="s">
        <v>976</v>
      </c>
      <c r="AN44" s="60"/>
      <c r="AO44" s="57">
        <v>0.0</v>
      </c>
      <c r="AP44" s="59" t="s">
        <v>814</v>
      </c>
      <c r="AQ44" s="60"/>
      <c r="AR44" s="57">
        <v>1.0</v>
      </c>
      <c r="AS44" s="59" t="s">
        <v>799</v>
      </c>
      <c r="AT44" s="60"/>
      <c r="AU44" s="57">
        <v>1.0</v>
      </c>
      <c r="AV44" s="59">
        <v>1.0</v>
      </c>
      <c r="AW44" s="60"/>
      <c r="AX44" s="57">
        <v>1.0</v>
      </c>
      <c r="AY44" s="59" t="b">
        <v>1</v>
      </c>
      <c r="AZ44" s="60"/>
      <c r="BA44" s="57">
        <v>1.0</v>
      </c>
      <c r="BB44" s="59">
        <v>5.0</v>
      </c>
      <c r="BC44" s="60"/>
      <c r="BD44" s="57">
        <v>1.0</v>
      </c>
      <c r="BE44" s="59" t="b">
        <v>1</v>
      </c>
      <c r="BF44" s="57">
        <v>1.0</v>
      </c>
      <c r="BG44" s="60"/>
      <c r="BH44" s="59" t="s">
        <v>819</v>
      </c>
      <c r="BI44" s="57">
        <v>1.0</v>
      </c>
      <c r="BJ44" s="60"/>
      <c r="BK44" s="59" t="b">
        <v>1</v>
      </c>
      <c r="BL44" s="57">
        <v>1.0</v>
      </c>
      <c r="BM44" s="60"/>
      <c r="BN44" s="59">
        <v>3.0</v>
      </c>
      <c r="BO44" s="57">
        <v>1.0</v>
      </c>
      <c r="BP44" s="60"/>
      <c r="BQ44" s="59">
        <v>3.0</v>
      </c>
      <c r="BR44" s="57">
        <v>1.0</v>
      </c>
      <c r="BS44" s="60"/>
      <c r="BT44" s="59" t="b">
        <v>1</v>
      </c>
      <c r="BU44" s="57">
        <v>1.0</v>
      </c>
      <c r="BV44" s="60"/>
      <c r="BW44" s="59" t="b">
        <v>0</v>
      </c>
      <c r="BX44" s="57">
        <v>1.0</v>
      </c>
      <c r="BY44" s="60"/>
      <c r="BZ44" s="59" t="s">
        <v>824</v>
      </c>
      <c r="CA44" s="57">
        <v>1.0</v>
      </c>
      <c r="CB44" s="60"/>
      <c r="CC44" s="59" t="b">
        <v>1</v>
      </c>
      <c r="CD44" s="57">
        <v>1.0</v>
      </c>
      <c r="CE44" s="60"/>
      <c r="CF44" s="59" t="b">
        <v>1</v>
      </c>
      <c r="CG44" s="57">
        <v>0.0</v>
      </c>
      <c r="CH44" s="60"/>
      <c r="CI44" s="59">
        <v>20.0</v>
      </c>
      <c r="CJ44" s="57">
        <v>0.0</v>
      </c>
      <c r="CK44" s="60"/>
      <c r="CL44" s="59">
        <v>2.0</v>
      </c>
      <c r="CM44" s="57">
        <v>1.0</v>
      </c>
      <c r="CN44" s="60"/>
      <c r="CO44" s="59" t="b">
        <v>1</v>
      </c>
      <c r="CP44" s="57">
        <v>1.0</v>
      </c>
      <c r="CQ44" s="60"/>
      <c r="CR44" s="59" t="s">
        <v>953</v>
      </c>
      <c r="CS44" s="57">
        <v>0.0</v>
      </c>
      <c r="CT44" s="60"/>
      <c r="CU44" s="59">
        <v>1.0</v>
      </c>
      <c r="CV44" s="57">
        <v>0.0</v>
      </c>
      <c r="CW44" s="60"/>
      <c r="CX44" s="59" t="b">
        <v>0</v>
      </c>
      <c r="CY44" s="57">
        <v>1.0</v>
      </c>
      <c r="CZ44" s="60"/>
      <c r="DA44" s="59" t="b">
        <v>1</v>
      </c>
      <c r="DB44" s="57">
        <v>0.0</v>
      </c>
      <c r="DC44" s="60"/>
    </row>
    <row r="45" ht="17.25" customHeight="1">
      <c r="A45" s="61">
        <v>46.0</v>
      </c>
      <c r="B45" s="62">
        <v>46190.724340277775</v>
      </c>
      <c r="C45" s="62">
        <v>46190.72883101852</v>
      </c>
      <c r="D45" s="63" t="s">
        <v>793</v>
      </c>
      <c r="E45" s="64"/>
      <c r="F45" s="61">
        <v>25.0</v>
      </c>
      <c r="G45" s="64"/>
      <c r="H45" s="64"/>
      <c r="I45" s="63" t="s">
        <v>1055</v>
      </c>
      <c r="J45" s="64"/>
      <c r="K45" s="64"/>
      <c r="L45" s="63" t="s">
        <v>1056</v>
      </c>
      <c r="M45" s="64"/>
      <c r="N45" s="64"/>
      <c r="O45" s="63" t="s">
        <v>1057</v>
      </c>
      <c r="P45" s="64"/>
      <c r="Q45" s="64"/>
      <c r="R45" s="63" t="s">
        <v>799</v>
      </c>
      <c r="S45" s="61">
        <v>1.0</v>
      </c>
      <c r="T45" s="64"/>
      <c r="U45" s="63" t="s">
        <v>801</v>
      </c>
      <c r="V45" s="61">
        <v>1.0</v>
      </c>
      <c r="W45" s="64"/>
      <c r="X45" s="63" t="s">
        <v>803</v>
      </c>
      <c r="Y45" s="61">
        <v>1.0</v>
      </c>
      <c r="Z45" s="64"/>
      <c r="AA45" s="63" t="s">
        <v>805</v>
      </c>
      <c r="AB45" s="61">
        <v>1.0</v>
      </c>
      <c r="AC45" s="64"/>
      <c r="AD45" s="63" t="s">
        <v>806</v>
      </c>
      <c r="AE45" s="61">
        <v>1.0</v>
      </c>
      <c r="AF45" s="64"/>
      <c r="AG45" s="63" t="s">
        <v>810</v>
      </c>
      <c r="AH45" s="64"/>
      <c r="AI45" s="61">
        <v>1.0</v>
      </c>
      <c r="AJ45" s="63" t="s">
        <v>811</v>
      </c>
      <c r="AK45" s="64"/>
      <c r="AL45" s="61">
        <v>1.0</v>
      </c>
      <c r="AM45" s="63" t="s">
        <v>812</v>
      </c>
      <c r="AN45" s="64"/>
      <c r="AO45" s="61">
        <v>1.0</v>
      </c>
      <c r="AP45" s="63" t="s">
        <v>814</v>
      </c>
      <c r="AQ45" s="64"/>
      <c r="AR45" s="61">
        <v>1.0</v>
      </c>
      <c r="AS45" s="63" t="s">
        <v>811</v>
      </c>
      <c r="AT45" s="64"/>
      <c r="AU45" s="61">
        <v>0.0</v>
      </c>
      <c r="AV45" s="63">
        <v>1.0</v>
      </c>
      <c r="AW45" s="64"/>
      <c r="AX45" s="61">
        <v>1.0</v>
      </c>
      <c r="AY45" s="63" t="b">
        <v>1</v>
      </c>
      <c r="AZ45" s="64"/>
      <c r="BA45" s="61">
        <v>1.0</v>
      </c>
      <c r="BB45" s="63">
        <v>5.0</v>
      </c>
      <c r="BC45" s="64"/>
      <c r="BD45" s="61">
        <v>1.0</v>
      </c>
      <c r="BE45" s="63" t="b">
        <v>1</v>
      </c>
      <c r="BF45" s="61">
        <v>1.0</v>
      </c>
      <c r="BG45" s="64"/>
      <c r="BH45" s="63" t="s">
        <v>819</v>
      </c>
      <c r="BI45" s="61">
        <v>1.0</v>
      </c>
      <c r="BJ45" s="64"/>
      <c r="BK45" s="63" t="b">
        <v>0</v>
      </c>
      <c r="BL45" s="61">
        <v>0.0</v>
      </c>
      <c r="BM45" s="64"/>
      <c r="BN45" s="63">
        <v>3.0</v>
      </c>
      <c r="BO45" s="61">
        <v>1.0</v>
      </c>
      <c r="BP45" s="64"/>
      <c r="BQ45" s="63">
        <v>3.0</v>
      </c>
      <c r="BR45" s="61">
        <v>1.0</v>
      </c>
      <c r="BS45" s="64"/>
      <c r="BT45" s="63" t="b">
        <v>1</v>
      </c>
      <c r="BU45" s="61">
        <v>1.0</v>
      </c>
      <c r="BV45" s="64"/>
      <c r="BW45" s="63" t="b">
        <v>0</v>
      </c>
      <c r="BX45" s="61">
        <v>1.0</v>
      </c>
      <c r="BY45" s="64"/>
      <c r="BZ45" s="63" t="s">
        <v>824</v>
      </c>
      <c r="CA45" s="61">
        <v>1.0</v>
      </c>
      <c r="CB45" s="64"/>
      <c r="CC45" s="63" t="s">
        <v>950</v>
      </c>
      <c r="CD45" s="61">
        <v>0.0</v>
      </c>
      <c r="CE45" s="64"/>
      <c r="CF45" s="63" t="b">
        <v>0</v>
      </c>
      <c r="CG45" s="61">
        <v>1.0</v>
      </c>
      <c r="CH45" s="64"/>
      <c r="CI45" s="63">
        <v>20.0</v>
      </c>
      <c r="CJ45" s="61">
        <v>0.0</v>
      </c>
      <c r="CK45" s="64"/>
      <c r="CL45" s="63">
        <v>2.0</v>
      </c>
      <c r="CM45" s="61">
        <v>1.0</v>
      </c>
      <c r="CN45" s="64"/>
      <c r="CO45" s="63" t="b">
        <v>1</v>
      </c>
      <c r="CP45" s="61">
        <v>1.0</v>
      </c>
      <c r="CQ45" s="64"/>
      <c r="CR45" s="63" t="s">
        <v>829</v>
      </c>
      <c r="CS45" s="61">
        <v>1.0</v>
      </c>
      <c r="CT45" s="64"/>
      <c r="CU45" s="63">
        <v>3.0</v>
      </c>
      <c r="CV45" s="61">
        <v>1.0</v>
      </c>
      <c r="CW45" s="64"/>
      <c r="CX45" s="63" t="b">
        <v>0</v>
      </c>
      <c r="CY45" s="61">
        <v>1.0</v>
      </c>
      <c r="CZ45" s="64"/>
      <c r="DA45" s="63" t="b">
        <v>1</v>
      </c>
      <c r="DB45" s="61">
        <v>0.0</v>
      </c>
      <c r="DC45" s="64"/>
    </row>
    <row r="46" ht="17.25" customHeight="1">
      <c r="A46" s="57">
        <v>47.0</v>
      </c>
      <c r="B46" s="58">
        <v>46190.71576388889</v>
      </c>
      <c r="C46" s="58">
        <v>46190.72883101852</v>
      </c>
      <c r="D46" s="59" t="s">
        <v>793</v>
      </c>
      <c r="E46" s="60"/>
      <c r="F46" s="57">
        <v>26.0</v>
      </c>
      <c r="G46" s="60"/>
      <c r="H46" s="60"/>
      <c r="I46" s="59" t="s">
        <v>1042</v>
      </c>
      <c r="J46" s="60"/>
      <c r="K46" s="60"/>
      <c r="L46" s="59" t="s">
        <v>459</v>
      </c>
      <c r="M46" s="60"/>
      <c r="N46" s="60"/>
      <c r="O46" s="59" t="s">
        <v>1041</v>
      </c>
      <c r="P46" s="60"/>
      <c r="Q46" s="60"/>
      <c r="R46" s="59" t="s">
        <v>799</v>
      </c>
      <c r="S46" s="57">
        <v>1.0</v>
      </c>
      <c r="T46" s="60"/>
      <c r="U46" s="59" t="s">
        <v>801</v>
      </c>
      <c r="V46" s="57">
        <v>1.0</v>
      </c>
      <c r="W46" s="60"/>
      <c r="X46" s="59" t="s">
        <v>806</v>
      </c>
      <c r="Y46" s="57">
        <v>0.0</v>
      </c>
      <c r="Z46" s="60"/>
      <c r="AA46" s="59" t="s">
        <v>805</v>
      </c>
      <c r="AB46" s="57">
        <v>1.0</v>
      </c>
      <c r="AC46" s="60"/>
      <c r="AD46" s="59" t="s">
        <v>842</v>
      </c>
      <c r="AE46" s="57">
        <v>0.0</v>
      </c>
      <c r="AF46" s="60"/>
      <c r="AG46" s="59" t="s">
        <v>810</v>
      </c>
      <c r="AH46" s="60"/>
      <c r="AI46" s="57">
        <v>1.0</v>
      </c>
      <c r="AJ46" s="59" t="s">
        <v>811</v>
      </c>
      <c r="AK46" s="60"/>
      <c r="AL46" s="57">
        <v>1.0</v>
      </c>
      <c r="AM46" s="59" t="s">
        <v>812</v>
      </c>
      <c r="AN46" s="60"/>
      <c r="AO46" s="57">
        <v>1.0</v>
      </c>
      <c r="AP46" s="59" t="s">
        <v>814</v>
      </c>
      <c r="AQ46" s="60"/>
      <c r="AR46" s="57">
        <v>1.0</v>
      </c>
      <c r="AS46" s="59" t="s">
        <v>799</v>
      </c>
      <c r="AT46" s="60"/>
      <c r="AU46" s="57">
        <v>1.0</v>
      </c>
      <c r="AV46" s="59">
        <v>1.0</v>
      </c>
      <c r="AW46" s="60"/>
      <c r="AX46" s="57">
        <v>1.0</v>
      </c>
      <c r="AY46" s="59" t="b">
        <v>1</v>
      </c>
      <c r="AZ46" s="60"/>
      <c r="BA46" s="57">
        <v>1.0</v>
      </c>
      <c r="BB46" s="59">
        <v>5.0</v>
      </c>
      <c r="BC46" s="60"/>
      <c r="BD46" s="57">
        <v>1.0</v>
      </c>
      <c r="BE46" s="59" t="b">
        <v>1</v>
      </c>
      <c r="BF46" s="57">
        <v>1.0</v>
      </c>
      <c r="BG46" s="60"/>
      <c r="BH46" s="59" t="s">
        <v>819</v>
      </c>
      <c r="BI46" s="57">
        <v>1.0</v>
      </c>
      <c r="BJ46" s="60"/>
      <c r="BK46" s="59" t="b">
        <v>1</v>
      </c>
      <c r="BL46" s="57">
        <v>1.0</v>
      </c>
      <c r="BM46" s="60"/>
      <c r="BN46" s="59">
        <v>3.0</v>
      </c>
      <c r="BO46" s="57">
        <v>1.0</v>
      </c>
      <c r="BP46" s="60"/>
      <c r="BQ46" s="60"/>
      <c r="BR46" s="57">
        <v>0.0</v>
      </c>
      <c r="BS46" s="60"/>
      <c r="BT46" s="59" t="b">
        <v>1</v>
      </c>
      <c r="BU46" s="57">
        <v>1.0</v>
      </c>
      <c r="BV46" s="60"/>
      <c r="BW46" s="59" t="b">
        <v>0</v>
      </c>
      <c r="BX46" s="57">
        <v>1.0</v>
      </c>
      <c r="BY46" s="60"/>
      <c r="BZ46" s="59" t="s">
        <v>806</v>
      </c>
      <c r="CA46" s="57">
        <v>0.0</v>
      </c>
      <c r="CB46" s="60"/>
      <c r="CC46" s="59" t="b">
        <v>1</v>
      </c>
      <c r="CD46" s="57">
        <v>1.0</v>
      </c>
      <c r="CE46" s="60"/>
      <c r="CF46" s="59" t="b">
        <v>0</v>
      </c>
      <c r="CG46" s="57">
        <v>1.0</v>
      </c>
      <c r="CH46" s="60"/>
      <c r="CI46" s="59">
        <v>1.0</v>
      </c>
      <c r="CJ46" s="57">
        <v>1.0</v>
      </c>
      <c r="CK46" s="60"/>
      <c r="CL46" s="59">
        <v>2.0</v>
      </c>
      <c r="CM46" s="57">
        <v>1.0</v>
      </c>
      <c r="CN46" s="60"/>
      <c r="CO46" s="59" t="b">
        <v>1</v>
      </c>
      <c r="CP46" s="57">
        <v>1.0</v>
      </c>
      <c r="CQ46" s="60"/>
      <c r="CR46" s="59" t="s">
        <v>829</v>
      </c>
      <c r="CS46" s="57">
        <v>1.0</v>
      </c>
      <c r="CT46" s="60"/>
      <c r="CU46" s="59">
        <v>3.0</v>
      </c>
      <c r="CV46" s="57">
        <v>1.0</v>
      </c>
      <c r="CW46" s="60"/>
      <c r="CX46" s="59" t="b">
        <v>0</v>
      </c>
      <c r="CY46" s="57">
        <v>1.0</v>
      </c>
      <c r="CZ46" s="60"/>
      <c r="DA46" s="59" t="b">
        <v>0</v>
      </c>
      <c r="DB46" s="57">
        <v>1.0</v>
      </c>
      <c r="DC46" s="60"/>
    </row>
    <row r="47" ht="17.25" customHeight="1">
      <c r="A47" s="61">
        <v>48.0</v>
      </c>
      <c r="B47" s="62">
        <v>46190.71561342593</v>
      </c>
      <c r="C47" s="62">
        <v>46190.728854166664</v>
      </c>
      <c r="D47" s="63" t="s">
        <v>793</v>
      </c>
      <c r="E47" s="64"/>
      <c r="F47" s="61">
        <v>25.0</v>
      </c>
      <c r="G47" s="64"/>
      <c r="H47" s="64"/>
      <c r="I47" s="63" t="s">
        <v>320</v>
      </c>
      <c r="J47" s="64"/>
      <c r="K47" s="64"/>
      <c r="L47" s="63" t="s">
        <v>321</v>
      </c>
      <c r="M47" s="64"/>
      <c r="N47" s="64"/>
      <c r="O47" s="63" t="s">
        <v>981</v>
      </c>
      <c r="P47" s="64"/>
      <c r="Q47" s="64"/>
      <c r="R47" s="63" t="s">
        <v>799</v>
      </c>
      <c r="S47" s="61">
        <v>1.0</v>
      </c>
      <c r="T47" s="64"/>
      <c r="U47" s="63" t="s">
        <v>801</v>
      </c>
      <c r="V47" s="61">
        <v>1.0</v>
      </c>
      <c r="W47" s="64"/>
      <c r="X47" s="63" t="s">
        <v>803</v>
      </c>
      <c r="Y47" s="61">
        <v>1.0</v>
      </c>
      <c r="Z47" s="64"/>
      <c r="AA47" s="63" t="s">
        <v>805</v>
      </c>
      <c r="AB47" s="61">
        <v>1.0</v>
      </c>
      <c r="AC47" s="64"/>
      <c r="AD47" s="63" t="s">
        <v>806</v>
      </c>
      <c r="AE47" s="61">
        <v>1.0</v>
      </c>
      <c r="AF47" s="64"/>
      <c r="AG47" s="63" t="s">
        <v>810</v>
      </c>
      <c r="AH47" s="64"/>
      <c r="AI47" s="61">
        <v>1.0</v>
      </c>
      <c r="AJ47" s="63" t="s">
        <v>811</v>
      </c>
      <c r="AK47" s="64"/>
      <c r="AL47" s="61">
        <v>1.0</v>
      </c>
      <c r="AM47" s="63" t="s">
        <v>812</v>
      </c>
      <c r="AN47" s="64"/>
      <c r="AO47" s="61">
        <v>1.0</v>
      </c>
      <c r="AP47" s="63" t="s">
        <v>801</v>
      </c>
      <c r="AQ47" s="64"/>
      <c r="AR47" s="61">
        <v>0.0</v>
      </c>
      <c r="AS47" s="63" t="s">
        <v>799</v>
      </c>
      <c r="AT47" s="64"/>
      <c r="AU47" s="61">
        <v>1.0</v>
      </c>
      <c r="AV47" s="63">
        <v>1.0</v>
      </c>
      <c r="AW47" s="64"/>
      <c r="AX47" s="61">
        <v>1.0</v>
      </c>
      <c r="AY47" s="63" t="b">
        <v>1</v>
      </c>
      <c r="AZ47" s="64"/>
      <c r="BA47" s="61">
        <v>1.0</v>
      </c>
      <c r="BB47" s="64"/>
      <c r="BC47" s="64"/>
      <c r="BD47" s="61">
        <v>0.0</v>
      </c>
      <c r="BE47" s="63" t="b">
        <v>0</v>
      </c>
      <c r="BF47" s="61">
        <v>0.0</v>
      </c>
      <c r="BG47" s="64"/>
      <c r="BH47" s="63" t="s">
        <v>819</v>
      </c>
      <c r="BI47" s="61">
        <v>1.0</v>
      </c>
      <c r="BJ47" s="64"/>
      <c r="BK47" s="63" t="b">
        <v>1</v>
      </c>
      <c r="BL47" s="61">
        <v>1.0</v>
      </c>
      <c r="BM47" s="64"/>
      <c r="BN47" s="63">
        <v>3.0</v>
      </c>
      <c r="BO47" s="61">
        <v>1.0</v>
      </c>
      <c r="BP47" s="64"/>
      <c r="BQ47" s="63">
        <v>3.0</v>
      </c>
      <c r="BR47" s="61">
        <v>1.0</v>
      </c>
      <c r="BS47" s="64"/>
      <c r="BT47" s="63" t="b">
        <v>1</v>
      </c>
      <c r="BU47" s="61">
        <v>1.0</v>
      </c>
      <c r="BV47" s="64"/>
      <c r="BW47" s="63" t="b">
        <v>0</v>
      </c>
      <c r="BX47" s="61">
        <v>1.0</v>
      </c>
      <c r="BY47" s="64"/>
      <c r="BZ47" s="63" t="s">
        <v>824</v>
      </c>
      <c r="CA47" s="61">
        <v>1.0</v>
      </c>
      <c r="CB47" s="64"/>
      <c r="CC47" s="63" t="b">
        <v>1</v>
      </c>
      <c r="CD47" s="61">
        <v>1.0</v>
      </c>
      <c r="CE47" s="64"/>
      <c r="CF47" s="63" t="b">
        <v>0</v>
      </c>
      <c r="CG47" s="61">
        <v>1.0</v>
      </c>
      <c r="CH47" s="64"/>
      <c r="CI47" s="63">
        <v>1.0</v>
      </c>
      <c r="CJ47" s="61">
        <v>1.0</v>
      </c>
      <c r="CK47" s="64"/>
      <c r="CL47" s="63">
        <v>2.0</v>
      </c>
      <c r="CM47" s="61">
        <v>1.0</v>
      </c>
      <c r="CN47" s="64"/>
      <c r="CO47" s="63" t="b">
        <v>1</v>
      </c>
      <c r="CP47" s="61">
        <v>1.0</v>
      </c>
      <c r="CQ47" s="64"/>
      <c r="CR47" s="63" t="s">
        <v>950</v>
      </c>
      <c r="CS47" s="61">
        <v>0.0</v>
      </c>
      <c r="CT47" s="64"/>
      <c r="CU47" s="63">
        <v>3.0</v>
      </c>
      <c r="CV47" s="61">
        <v>1.0</v>
      </c>
      <c r="CW47" s="64"/>
      <c r="CX47" s="63" t="b">
        <v>0</v>
      </c>
      <c r="CY47" s="61">
        <v>1.0</v>
      </c>
      <c r="CZ47" s="64"/>
      <c r="DA47" s="64"/>
      <c r="DB47" s="61">
        <v>0.0</v>
      </c>
      <c r="DC47" s="64"/>
    </row>
    <row r="48" ht="17.25" customHeight="1">
      <c r="A48" s="57">
        <v>49.0</v>
      </c>
      <c r="B48" s="58">
        <v>46190.71643518518</v>
      </c>
      <c r="C48" s="58">
        <v>46190.7290625</v>
      </c>
      <c r="D48" s="59" t="s">
        <v>793</v>
      </c>
      <c r="E48" s="60"/>
      <c r="F48" s="57">
        <v>16.0</v>
      </c>
      <c r="G48" s="60"/>
      <c r="H48" s="60"/>
      <c r="I48" s="59" t="s">
        <v>97</v>
      </c>
      <c r="J48" s="60"/>
      <c r="K48" s="60"/>
      <c r="L48" s="59" t="s">
        <v>99</v>
      </c>
      <c r="M48" s="60"/>
      <c r="N48" s="60"/>
      <c r="O48" s="59" t="s">
        <v>338</v>
      </c>
      <c r="P48" s="60"/>
      <c r="Q48" s="60"/>
      <c r="R48" s="59" t="s">
        <v>799</v>
      </c>
      <c r="S48" s="57">
        <v>1.0</v>
      </c>
      <c r="T48" s="60"/>
      <c r="U48" s="59" t="s">
        <v>801</v>
      </c>
      <c r="V48" s="57">
        <v>1.0</v>
      </c>
      <c r="W48" s="60"/>
      <c r="X48" s="59" t="s">
        <v>806</v>
      </c>
      <c r="Y48" s="57">
        <v>0.0</v>
      </c>
      <c r="Z48" s="60"/>
      <c r="AA48" s="59" t="s">
        <v>805</v>
      </c>
      <c r="AB48" s="57">
        <v>1.0</v>
      </c>
      <c r="AC48" s="60"/>
      <c r="AD48" s="59" t="s">
        <v>806</v>
      </c>
      <c r="AE48" s="57">
        <v>1.0</v>
      </c>
      <c r="AF48" s="60"/>
      <c r="AG48" s="59" t="s">
        <v>810</v>
      </c>
      <c r="AH48" s="60"/>
      <c r="AI48" s="57">
        <v>1.0</v>
      </c>
      <c r="AJ48" s="59" t="s">
        <v>811</v>
      </c>
      <c r="AK48" s="60"/>
      <c r="AL48" s="57">
        <v>1.0</v>
      </c>
      <c r="AM48" s="59" t="s">
        <v>812</v>
      </c>
      <c r="AN48" s="60"/>
      <c r="AO48" s="57">
        <v>1.0</v>
      </c>
      <c r="AP48" s="59" t="s">
        <v>814</v>
      </c>
      <c r="AQ48" s="60"/>
      <c r="AR48" s="57">
        <v>1.0</v>
      </c>
      <c r="AS48" s="59" t="s">
        <v>897</v>
      </c>
      <c r="AT48" s="60"/>
      <c r="AU48" s="57">
        <v>0.0</v>
      </c>
      <c r="AV48" s="59" t="s">
        <v>806</v>
      </c>
      <c r="AW48" s="60"/>
      <c r="AX48" s="57">
        <v>0.0</v>
      </c>
      <c r="AY48" s="59" t="b">
        <v>1</v>
      </c>
      <c r="AZ48" s="60"/>
      <c r="BA48" s="57">
        <v>1.0</v>
      </c>
      <c r="BB48" s="60"/>
      <c r="BC48" s="60"/>
      <c r="BD48" s="57">
        <v>0.0</v>
      </c>
      <c r="BE48" s="59" t="s">
        <v>876</v>
      </c>
      <c r="BF48" s="57">
        <v>0.0</v>
      </c>
      <c r="BG48" s="60"/>
      <c r="BH48" s="59" t="s">
        <v>819</v>
      </c>
      <c r="BI48" s="57">
        <v>1.0</v>
      </c>
      <c r="BJ48" s="60"/>
      <c r="BK48" s="59" t="b">
        <v>1</v>
      </c>
      <c r="BL48" s="57">
        <v>1.0</v>
      </c>
      <c r="BM48" s="60"/>
      <c r="BN48" s="59">
        <v>3.0</v>
      </c>
      <c r="BO48" s="57">
        <v>1.0</v>
      </c>
      <c r="BP48" s="60"/>
      <c r="BQ48" s="59">
        <v>3.0</v>
      </c>
      <c r="BR48" s="57">
        <v>1.0</v>
      </c>
      <c r="BS48" s="60"/>
      <c r="BT48" s="59" t="b">
        <v>0</v>
      </c>
      <c r="BU48" s="57">
        <v>0.0</v>
      </c>
      <c r="BV48" s="60"/>
      <c r="BW48" s="59" t="s">
        <v>806</v>
      </c>
      <c r="BX48" s="57">
        <v>0.0</v>
      </c>
      <c r="BY48" s="60"/>
      <c r="BZ48" s="59" t="s">
        <v>824</v>
      </c>
      <c r="CA48" s="57">
        <v>1.0</v>
      </c>
      <c r="CB48" s="60"/>
      <c r="CC48" s="59" t="b">
        <v>1</v>
      </c>
      <c r="CD48" s="57">
        <v>1.0</v>
      </c>
      <c r="CE48" s="60"/>
      <c r="CF48" s="59" t="b">
        <v>1</v>
      </c>
      <c r="CG48" s="57">
        <v>0.0</v>
      </c>
      <c r="CH48" s="60"/>
      <c r="CI48" s="59">
        <v>20.0</v>
      </c>
      <c r="CJ48" s="57">
        <v>0.0</v>
      </c>
      <c r="CK48" s="60"/>
      <c r="CL48" s="59" t="s">
        <v>806</v>
      </c>
      <c r="CM48" s="57">
        <v>0.0</v>
      </c>
      <c r="CN48" s="60"/>
      <c r="CO48" s="59" t="b">
        <v>1</v>
      </c>
      <c r="CP48" s="57">
        <v>1.0</v>
      </c>
      <c r="CQ48" s="60"/>
      <c r="CR48" s="59" t="s">
        <v>953</v>
      </c>
      <c r="CS48" s="57">
        <v>0.0</v>
      </c>
      <c r="CT48" s="60"/>
      <c r="CU48" s="59" t="s">
        <v>906</v>
      </c>
      <c r="CV48" s="57">
        <v>0.0</v>
      </c>
      <c r="CW48" s="60"/>
      <c r="CX48" s="59" t="b">
        <v>1</v>
      </c>
      <c r="CY48" s="57">
        <v>0.0</v>
      </c>
      <c r="CZ48" s="60"/>
      <c r="DA48" s="59" t="b">
        <v>1</v>
      </c>
      <c r="DB48" s="57">
        <v>0.0</v>
      </c>
      <c r="DC48" s="60"/>
    </row>
    <row r="49" ht="17.25" customHeight="1">
      <c r="A49" s="61">
        <v>50.0</v>
      </c>
      <c r="B49" s="62">
        <v>46190.717627314814</v>
      </c>
      <c r="C49" s="62">
        <v>46190.730474537035</v>
      </c>
      <c r="D49" s="63" t="s">
        <v>793</v>
      </c>
      <c r="E49" s="64"/>
      <c r="F49" s="61">
        <v>16.0</v>
      </c>
      <c r="G49" s="64"/>
      <c r="H49" s="64"/>
      <c r="I49" s="63" t="s">
        <v>1064</v>
      </c>
      <c r="J49" s="64"/>
      <c r="K49" s="64"/>
      <c r="L49" s="63" t="s">
        <v>823</v>
      </c>
      <c r="M49" s="64"/>
      <c r="N49" s="64"/>
      <c r="O49" s="63" t="s">
        <v>1065</v>
      </c>
      <c r="P49" s="64"/>
      <c r="Q49" s="64"/>
      <c r="R49" s="63" t="s">
        <v>838</v>
      </c>
      <c r="S49" s="61">
        <v>0.0</v>
      </c>
      <c r="T49" s="64"/>
      <c r="U49" s="63" t="s">
        <v>814</v>
      </c>
      <c r="V49" s="61">
        <v>0.0</v>
      </c>
      <c r="W49" s="64"/>
      <c r="X49" s="63" t="s">
        <v>803</v>
      </c>
      <c r="Y49" s="61">
        <v>1.0</v>
      </c>
      <c r="Z49" s="64"/>
      <c r="AA49" s="63" t="s">
        <v>961</v>
      </c>
      <c r="AB49" s="61">
        <v>0.0</v>
      </c>
      <c r="AC49" s="64"/>
      <c r="AD49" s="63" t="s">
        <v>842</v>
      </c>
      <c r="AE49" s="61">
        <v>0.0</v>
      </c>
      <c r="AF49" s="64"/>
      <c r="AG49" s="63" t="s">
        <v>1067</v>
      </c>
      <c r="AH49" s="64"/>
      <c r="AI49" s="61">
        <v>0.0</v>
      </c>
      <c r="AJ49" s="63" t="s">
        <v>811</v>
      </c>
      <c r="AK49" s="64"/>
      <c r="AL49" s="61">
        <v>1.0</v>
      </c>
      <c r="AM49" s="63" t="s">
        <v>945</v>
      </c>
      <c r="AN49" s="64"/>
      <c r="AO49" s="61">
        <v>0.0</v>
      </c>
      <c r="AP49" s="63" t="s">
        <v>814</v>
      </c>
      <c r="AQ49" s="64"/>
      <c r="AR49" s="61">
        <v>1.0</v>
      </c>
      <c r="AS49" s="63" t="s">
        <v>799</v>
      </c>
      <c r="AT49" s="64"/>
      <c r="AU49" s="61">
        <v>1.0</v>
      </c>
      <c r="AV49" s="63">
        <v>2.0</v>
      </c>
      <c r="AW49" s="64"/>
      <c r="AX49" s="61">
        <v>0.0</v>
      </c>
      <c r="AY49" s="63" t="b">
        <v>1</v>
      </c>
      <c r="AZ49" s="64"/>
      <c r="BA49" s="61">
        <v>1.0</v>
      </c>
      <c r="BB49" s="63">
        <v>6.0</v>
      </c>
      <c r="BC49" s="64"/>
      <c r="BD49" s="61">
        <v>0.0</v>
      </c>
      <c r="BE49" s="63" t="s">
        <v>876</v>
      </c>
      <c r="BF49" s="61">
        <v>0.0</v>
      </c>
      <c r="BG49" s="64"/>
      <c r="BH49" s="63" t="b">
        <v>0</v>
      </c>
      <c r="BI49" s="61">
        <v>0.0</v>
      </c>
      <c r="BJ49" s="64"/>
      <c r="BK49" s="63" t="b">
        <v>0</v>
      </c>
      <c r="BL49" s="61">
        <v>0.0</v>
      </c>
      <c r="BM49" s="64"/>
      <c r="BN49" s="63">
        <v>3.0</v>
      </c>
      <c r="BO49" s="61">
        <v>1.0</v>
      </c>
      <c r="BP49" s="64"/>
      <c r="BQ49" s="63">
        <v>2.0</v>
      </c>
      <c r="BR49" s="61">
        <v>0.0</v>
      </c>
      <c r="BS49" s="64"/>
      <c r="BT49" s="63" t="b">
        <v>1</v>
      </c>
      <c r="BU49" s="61">
        <v>1.0</v>
      </c>
      <c r="BV49" s="64"/>
      <c r="BW49" s="63" t="b">
        <v>1</v>
      </c>
      <c r="BX49" s="61">
        <v>0.0</v>
      </c>
      <c r="BY49" s="64"/>
      <c r="BZ49" s="63" t="s">
        <v>824</v>
      </c>
      <c r="CA49" s="61">
        <v>1.0</v>
      </c>
      <c r="CB49" s="64"/>
      <c r="CC49" s="63" t="b">
        <v>1</v>
      </c>
      <c r="CD49" s="61">
        <v>1.0</v>
      </c>
      <c r="CE49" s="64"/>
      <c r="CF49" s="63" t="b">
        <v>0</v>
      </c>
      <c r="CG49" s="61">
        <v>1.0</v>
      </c>
      <c r="CH49" s="64"/>
      <c r="CI49" s="63">
        <v>20.0</v>
      </c>
      <c r="CJ49" s="61">
        <v>0.0</v>
      </c>
      <c r="CK49" s="64"/>
      <c r="CL49" s="63">
        <v>2.0</v>
      </c>
      <c r="CM49" s="61">
        <v>1.0</v>
      </c>
      <c r="CN49" s="64"/>
      <c r="CO49" s="63" t="b">
        <v>1</v>
      </c>
      <c r="CP49" s="61">
        <v>1.0</v>
      </c>
      <c r="CQ49" s="64"/>
      <c r="CR49" s="63" t="s">
        <v>829</v>
      </c>
      <c r="CS49" s="61">
        <v>1.0</v>
      </c>
      <c r="CT49" s="64"/>
      <c r="CU49" s="63">
        <v>3.0</v>
      </c>
      <c r="CV49" s="61">
        <v>1.0</v>
      </c>
      <c r="CW49" s="64"/>
      <c r="CX49" s="63" t="b">
        <v>0</v>
      </c>
      <c r="CY49" s="61">
        <v>1.0</v>
      </c>
      <c r="CZ49" s="64"/>
      <c r="DA49" s="63" t="b">
        <v>0</v>
      </c>
      <c r="DB49" s="61">
        <v>1.0</v>
      </c>
      <c r="DC49" s="64"/>
    </row>
    <row r="50" ht="17.25" customHeight="1">
      <c r="A50" s="57">
        <v>51.0</v>
      </c>
      <c r="B50" s="58">
        <v>46190.73045138889</v>
      </c>
      <c r="C50" s="58">
        <v>46190.73079861111</v>
      </c>
      <c r="D50" s="59" t="s">
        <v>793</v>
      </c>
      <c r="E50" s="60"/>
      <c r="F50" s="57">
        <v>0.0</v>
      </c>
      <c r="G50" s="60"/>
      <c r="H50" s="60"/>
      <c r="I50" s="59" t="s">
        <v>374</v>
      </c>
      <c r="J50" s="60"/>
      <c r="K50" s="60"/>
      <c r="L50" s="59" t="s">
        <v>376</v>
      </c>
      <c r="M50" s="60"/>
      <c r="N50" s="60"/>
      <c r="O50" s="59" t="s">
        <v>956</v>
      </c>
      <c r="P50" s="60"/>
      <c r="Q50" s="60"/>
      <c r="R50" s="60"/>
      <c r="S50" s="57">
        <v>0.0</v>
      </c>
      <c r="T50" s="60"/>
      <c r="U50" s="60"/>
      <c r="V50" s="57">
        <v>0.0</v>
      </c>
      <c r="W50" s="60"/>
      <c r="X50" s="60"/>
      <c r="Y50" s="57">
        <v>0.0</v>
      </c>
      <c r="Z50" s="60"/>
      <c r="AA50" s="60"/>
      <c r="AB50" s="57">
        <v>0.0</v>
      </c>
      <c r="AC50" s="60"/>
      <c r="AD50" s="60"/>
      <c r="AE50" s="57">
        <v>0.0</v>
      </c>
      <c r="AF50" s="60"/>
      <c r="AG50" s="60"/>
      <c r="AH50" s="60"/>
      <c r="AI50" s="57">
        <v>0.0</v>
      </c>
      <c r="AJ50" s="60"/>
      <c r="AK50" s="60"/>
      <c r="AL50" s="57">
        <v>0.0</v>
      </c>
      <c r="AM50" s="60"/>
      <c r="AN50" s="60"/>
      <c r="AO50" s="57">
        <v>0.0</v>
      </c>
      <c r="AP50" s="60"/>
      <c r="AQ50" s="60"/>
      <c r="AR50" s="57">
        <v>0.0</v>
      </c>
      <c r="AS50" s="60"/>
      <c r="AT50" s="60"/>
      <c r="AU50" s="57">
        <v>0.0</v>
      </c>
      <c r="AV50" s="60"/>
      <c r="AW50" s="60"/>
      <c r="AX50" s="57">
        <v>0.0</v>
      </c>
      <c r="AY50" s="60"/>
      <c r="AZ50" s="60"/>
      <c r="BA50" s="57">
        <v>0.0</v>
      </c>
      <c r="BB50" s="60"/>
      <c r="BC50" s="60"/>
      <c r="BD50" s="57">
        <v>0.0</v>
      </c>
      <c r="BE50" s="60"/>
      <c r="BF50" s="57">
        <v>0.0</v>
      </c>
      <c r="BG50" s="60"/>
      <c r="BH50" s="60"/>
      <c r="BI50" s="57">
        <v>0.0</v>
      </c>
      <c r="BJ50" s="60"/>
      <c r="BK50" s="60"/>
      <c r="BL50" s="57">
        <v>0.0</v>
      </c>
      <c r="BM50" s="60"/>
      <c r="BN50" s="60"/>
      <c r="BO50" s="57">
        <v>0.0</v>
      </c>
      <c r="BP50" s="60"/>
      <c r="BQ50" s="60"/>
      <c r="BR50" s="57">
        <v>0.0</v>
      </c>
      <c r="BS50" s="60"/>
      <c r="BT50" s="60"/>
      <c r="BU50" s="57">
        <v>0.0</v>
      </c>
      <c r="BV50" s="60"/>
      <c r="BW50" s="60"/>
      <c r="BX50" s="57">
        <v>0.0</v>
      </c>
      <c r="BY50" s="60"/>
      <c r="BZ50" s="60"/>
      <c r="CA50" s="57">
        <v>0.0</v>
      </c>
      <c r="CB50" s="60"/>
      <c r="CC50" s="60"/>
      <c r="CD50" s="57">
        <v>0.0</v>
      </c>
      <c r="CE50" s="60"/>
      <c r="CF50" s="60"/>
      <c r="CG50" s="57">
        <v>0.0</v>
      </c>
      <c r="CH50" s="60"/>
      <c r="CI50" s="60"/>
      <c r="CJ50" s="57">
        <v>0.0</v>
      </c>
      <c r="CK50" s="60"/>
      <c r="CL50" s="60"/>
      <c r="CM50" s="57">
        <v>0.0</v>
      </c>
      <c r="CN50" s="60"/>
      <c r="CO50" s="60"/>
      <c r="CP50" s="57">
        <v>0.0</v>
      </c>
      <c r="CQ50" s="60"/>
      <c r="CR50" s="60"/>
      <c r="CS50" s="57">
        <v>0.0</v>
      </c>
      <c r="CT50" s="60"/>
      <c r="CU50" s="60"/>
      <c r="CV50" s="57">
        <v>0.0</v>
      </c>
      <c r="CW50" s="60"/>
      <c r="CX50" s="60"/>
      <c r="CY50" s="57">
        <v>0.0</v>
      </c>
      <c r="CZ50" s="60"/>
      <c r="DA50" s="60"/>
      <c r="DB50" s="57">
        <v>0.0</v>
      </c>
      <c r="DC50" s="60"/>
    </row>
    <row r="51" ht="17.25" customHeight="1">
      <c r="A51" s="61">
        <v>52.0</v>
      </c>
      <c r="B51" s="62">
        <v>46190.71693287037</v>
      </c>
      <c r="C51" s="62">
        <v>46190.73092592593</v>
      </c>
      <c r="D51" s="63" t="s">
        <v>793</v>
      </c>
      <c r="E51" s="64"/>
      <c r="F51" s="61">
        <v>15.0</v>
      </c>
      <c r="G51" s="64"/>
      <c r="H51" s="64"/>
      <c r="I51" s="63" t="s">
        <v>308</v>
      </c>
      <c r="J51" s="64"/>
      <c r="K51" s="64"/>
      <c r="L51" s="63" t="s">
        <v>310</v>
      </c>
      <c r="M51" s="64"/>
      <c r="N51" s="64"/>
      <c r="O51" s="63" t="s">
        <v>978</v>
      </c>
      <c r="P51" s="64"/>
      <c r="Q51" s="64"/>
      <c r="R51" s="63" t="s">
        <v>799</v>
      </c>
      <c r="S51" s="61">
        <v>1.0</v>
      </c>
      <c r="T51" s="64"/>
      <c r="U51" s="63" t="s">
        <v>801</v>
      </c>
      <c r="V51" s="61">
        <v>1.0</v>
      </c>
      <c r="W51" s="64"/>
      <c r="X51" s="63" t="s">
        <v>803</v>
      </c>
      <c r="Y51" s="61">
        <v>1.0</v>
      </c>
      <c r="Z51" s="64"/>
      <c r="AA51" s="64"/>
      <c r="AB51" s="61">
        <v>0.0</v>
      </c>
      <c r="AC51" s="64"/>
      <c r="AD51" s="63" t="s">
        <v>842</v>
      </c>
      <c r="AE51" s="61">
        <v>0.0</v>
      </c>
      <c r="AF51" s="64"/>
      <c r="AG51" s="63" t="s">
        <v>810</v>
      </c>
      <c r="AH51" s="64"/>
      <c r="AI51" s="61">
        <v>1.0</v>
      </c>
      <c r="AJ51" s="63" t="s">
        <v>811</v>
      </c>
      <c r="AK51" s="64"/>
      <c r="AL51" s="61">
        <v>1.0</v>
      </c>
      <c r="AM51" s="63" t="s">
        <v>812</v>
      </c>
      <c r="AN51" s="64"/>
      <c r="AO51" s="61">
        <v>1.0</v>
      </c>
      <c r="AP51" s="63" t="s">
        <v>814</v>
      </c>
      <c r="AQ51" s="64"/>
      <c r="AR51" s="61">
        <v>1.0</v>
      </c>
      <c r="AS51" s="63" t="s">
        <v>799</v>
      </c>
      <c r="AT51" s="64"/>
      <c r="AU51" s="61">
        <v>1.0</v>
      </c>
      <c r="AV51" s="63">
        <v>1.0</v>
      </c>
      <c r="AW51" s="64"/>
      <c r="AX51" s="61">
        <v>1.0</v>
      </c>
      <c r="AY51" s="63" t="b">
        <v>1</v>
      </c>
      <c r="AZ51" s="64"/>
      <c r="BA51" s="61">
        <v>1.0</v>
      </c>
      <c r="BB51" s="63">
        <v>5.0</v>
      </c>
      <c r="BC51" s="64"/>
      <c r="BD51" s="61">
        <v>1.0</v>
      </c>
      <c r="BE51" s="63" t="b">
        <v>0</v>
      </c>
      <c r="BF51" s="61">
        <v>0.0</v>
      </c>
      <c r="BG51" s="64"/>
      <c r="BH51" s="63" t="s">
        <v>819</v>
      </c>
      <c r="BI51" s="61">
        <v>1.0</v>
      </c>
      <c r="BJ51" s="64"/>
      <c r="BK51" s="63" t="b">
        <v>1</v>
      </c>
      <c r="BL51" s="61">
        <v>1.0</v>
      </c>
      <c r="BM51" s="64"/>
      <c r="BN51" s="63">
        <v>3.0</v>
      </c>
      <c r="BO51" s="61">
        <v>1.0</v>
      </c>
      <c r="BP51" s="64"/>
      <c r="BQ51" s="63">
        <v>3.0</v>
      </c>
      <c r="BR51" s="61">
        <v>1.0</v>
      </c>
      <c r="BS51" s="64"/>
      <c r="BT51" s="64"/>
      <c r="BU51" s="61">
        <v>0.0</v>
      </c>
      <c r="BV51" s="64"/>
      <c r="BW51" s="64"/>
      <c r="BX51" s="61">
        <v>0.0</v>
      </c>
      <c r="BY51" s="64"/>
      <c r="BZ51" s="64"/>
      <c r="CA51" s="61">
        <v>0.0</v>
      </c>
      <c r="CB51" s="64"/>
      <c r="CC51" s="64"/>
      <c r="CD51" s="61">
        <v>0.0</v>
      </c>
      <c r="CE51" s="64"/>
      <c r="CF51" s="64"/>
      <c r="CG51" s="61">
        <v>0.0</v>
      </c>
      <c r="CH51" s="64"/>
      <c r="CI51" s="64"/>
      <c r="CJ51" s="61">
        <v>0.0</v>
      </c>
      <c r="CK51" s="64"/>
      <c r="CL51" s="64"/>
      <c r="CM51" s="61">
        <v>0.0</v>
      </c>
      <c r="CN51" s="64"/>
      <c r="CO51" s="64"/>
      <c r="CP51" s="61">
        <v>0.0</v>
      </c>
      <c r="CQ51" s="64"/>
      <c r="CR51" s="64"/>
      <c r="CS51" s="61">
        <v>0.0</v>
      </c>
      <c r="CT51" s="64"/>
      <c r="CU51" s="64"/>
      <c r="CV51" s="61">
        <v>0.0</v>
      </c>
      <c r="CW51" s="64"/>
      <c r="CX51" s="64"/>
      <c r="CY51" s="61">
        <v>0.0</v>
      </c>
      <c r="CZ51" s="64"/>
      <c r="DA51" s="64"/>
      <c r="DB51" s="61">
        <v>0.0</v>
      </c>
      <c r="DC51" s="64"/>
    </row>
    <row r="52" ht="17.25" customHeight="1">
      <c r="A52" s="57">
        <v>53.0</v>
      </c>
      <c r="B52" s="58">
        <v>46190.72684027778</v>
      </c>
      <c r="C52" s="58">
        <v>46190.73121527778</v>
      </c>
      <c r="D52" s="59" t="s">
        <v>793</v>
      </c>
      <c r="E52" s="60"/>
      <c r="F52" s="57">
        <v>14.0</v>
      </c>
      <c r="G52" s="60"/>
      <c r="H52" s="60"/>
      <c r="I52" s="59" t="s">
        <v>422</v>
      </c>
      <c r="J52" s="60"/>
      <c r="K52" s="60"/>
      <c r="L52" s="59" t="s">
        <v>423</v>
      </c>
      <c r="M52" s="60"/>
      <c r="N52" s="60"/>
      <c r="O52" s="59" t="s">
        <v>1027</v>
      </c>
      <c r="P52" s="60"/>
      <c r="Q52" s="60"/>
      <c r="R52" s="59" t="s">
        <v>799</v>
      </c>
      <c r="S52" s="57">
        <v>1.0</v>
      </c>
      <c r="T52" s="60"/>
      <c r="U52" s="59" t="s">
        <v>1070</v>
      </c>
      <c r="V52" s="57">
        <v>0.0</v>
      </c>
      <c r="W52" s="60"/>
      <c r="X52" s="59" t="s">
        <v>1071</v>
      </c>
      <c r="Y52" s="57">
        <v>0.0</v>
      </c>
      <c r="Z52" s="60"/>
      <c r="AA52" s="59" t="s">
        <v>805</v>
      </c>
      <c r="AB52" s="57">
        <v>1.0</v>
      </c>
      <c r="AC52" s="60"/>
      <c r="AD52" s="59" t="s">
        <v>962</v>
      </c>
      <c r="AE52" s="57">
        <v>0.0</v>
      </c>
      <c r="AF52" s="60"/>
      <c r="AG52" s="59" t="s">
        <v>810</v>
      </c>
      <c r="AH52" s="60"/>
      <c r="AI52" s="57">
        <v>1.0</v>
      </c>
      <c r="AJ52" s="59" t="s">
        <v>897</v>
      </c>
      <c r="AK52" s="60"/>
      <c r="AL52" s="57">
        <v>0.0</v>
      </c>
      <c r="AM52" s="59" t="s">
        <v>806</v>
      </c>
      <c r="AN52" s="60"/>
      <c r="AO52" s="57">
        <v>0.0</v>
      </c>
      <c r="AP52" s="59" t="s">
        <v>801</v>
      </c>
      <c r="AQ52" s="60"/>
      <c r="AR52" s="57">
        <v>0.0</v>
      </c>
      <c r="AS52" s="59" t="s">
        <v>811</v>
      </c>
      <c r="AT52" s="60"/>
      <c r="AU52" s="57">
        <v>0.0</v>
      </c>
      <c r="AV52" s="59">
        <v>1.0</v>
      </c>
      <c r="AW52" s="60"/>
      <c r="AX52" s="57">
        <v>1.0</v>
      </c>
      <c r="AY52" s="59" t="b">
        <v>1</v>
      </c>
      <c r="AZ52" s="60"/>
      <c r="BA52" s="57">
        <v>1.0</v>
      </c>
      <c r="BB52" s="59">
        <v>6.0</v>
      </c>
      <c r="BC52" s="60"/>
      <c r="BD52" s="57">
        <v>0.0</v>
      </c>
      <c r="BE52" s="59" t="b">
        <v>0</v>
      </c>
      <c r="BF52" s="57">
        <v>0.0</v>
      </c>
      <c r="BG52" s="60"/>
      <c r="BH52" s="59" t="b">
        <v>1</v>
      </c>
      <c r="BI52" s="57">
        <v>0.0</v>
      </c>
      <c r="BJ52" s="60"/>
      <c r="BK52" s="60"/>
      <c r="BL52" s="57">
        <v>0.0</v>
      </c>
      <c r="BM52" s="60"/>
      <c r="BN52" s="59">
        <v>3.0</v>
      </c>
      <c r="BO52" s="57">
        <v>1.0</v>
      </c>
      <c r="BP52" s="60"/>
      <c r="BQ52" s="60"/>
      <c r="BR52" s="57">
        <v>0.0</v>
      </c>
      <c r="BS52" s="60"/>
      <c r="BT52" s="60"/>
      <c r="BU52" s="57">
        <v>0.0</v>
      </c>
      <c r="BV52" s="60"/>
      <c r="BW52" s="60"/>
      <c r="BX52" s="57">
        <v>0.0</v>
      </c>
      <c r="BY52" s="60"/>
      <c r="BZ52" s="60"/>
      <c r="CA52" s="57">
        <v>0.0</v>
      </c>
      <c r="CB52" s="60"/>
      <c r="CC52" s="60"/>
      <c r="CD52" s="57">
        <v>0.0</v>
      </c>
      <c r="CE52" s="60"/>
      <c r="CF52" s="59" t="b">
        <v>0</v>
      </c>
      <c r="CG52" s="57">
        <v>1.0</v>
      </c>
      <c r="CH52" s="60"/>
      <c r="CI52" s="59">
        <v>1.0</v>
      </c>
      <c r="CJ52" s="57">
        <v>1.0</v>
      </c>
      <c r="CK52" s="60"/>
      <c r="CL52" s="59">
        <v>2.0</v>
      </c>
      <c r="CM52" s="57">
        <v>1.0</v>
      </c>
      <c r="CN52" s="60"/>
      <c r="CO52" s="59" t="b">
        <v>1</v>
      </c>
      <c r="CP52" s="57">
        <v>1.0</v>
      </c>
      <c r="CQ52" s="60"/>
      <c r="CR52" s="59" t="s">
        <v>829</v>
      </c>
      <c r="CS52" s="57">
        <v>1.0</v>
      </c>
      <c r="CT52" s="60"/>
      <c r="CU52" s="59">
        <v>3.0</v>
      </c>
      <c r="CV52" s="57">
        <v>1.0</v>
      </c>
      <c r="CW52" s="60"/>
      <c r="CX52" s="59" t="b">
        <v>0</v>
      </c>
      <c r="CY52" s="57">
        <v>1.0</v>
      </c>
      <c r="CZ52" s="60"/>
      <c r="DA52" s="59" t="b">
        <v>0</v>
      </c>
      <c r="DB52" s="57">
        <v>1.0</v>
      </c>
      <c r="DC52" s="60"/>
    </row>
    <row r="53" ht="17.25" customHeight="1">
      <c r="A53" s="61">
        <v>54.0</v>
      </c>
      <c r="B53" s="62">
        <v>46190.7253125</v>
      </c>
      <c r="C53" s="62">
        <v>46190.73166666667</v>
      </c>
      <c r="D53" s="63" t="s">
        <v>793</v>
      </c>
      <c r="E53" s="64"/>
      <c r="F53" s="61">
        <v>21.0</v>
      </c>
      <c r="G53" s="64"/>
      <c r="H53" s="64"/>
      <c r="I53" s="63" t="s">
        <v>883</v>
      </c>
      <c r="J53" s="64"/>
      <c r="K53" s="64"/>
      <c r="L53" s="63" t="s">
        <v>884</v>
      </c>
      <c r="M53" s="64"/>
      <c r="N53" s="64"/>
      <c r="O53" s="63" t="s">
        <v>1075</v>
      </c>
      <c r="P53" s="64"/>
      <c r="Q53" s="64"/>
      <c r="R53" s="63" t="s">
        <v>799</v>
      </c>
      <c r="S53" s="61">
        <v>1.0</v>
      </c>
      <c r="T53" s="64"/>
      <c r="U53" s="63" t="s">
        <v>801</v>
      </c>
      <c r="V53" s="61">
        <v>1.0</v>
      </c>
      <c r="W53" s="64"/>
      <c r="X53" s="63" t="s">
        <v>803</v>
      </c>
      <c r="Y53" s="61">
        <v>1.0</v>
      </c>
      <c r="Z53" s="64"/>
      <c r="AA53" s="63" t="s">
        <v>805</v>
      </c>
      <c r="AB53" s="61">
        <v>1.0</v>
      </c>
      <c r="AC53" s="64"/>
      <c r="AD53" s="63" t="s">
        <v>806</v>
      </c>
      <c r="AE53" s="61">
        <v>1.0</v>
      </c>
      <c r="AF53" s="64"/>
      <c r="AG53" s="63" t="s">
        <v>810</v>
      </c>
      <c r="AH53" s="64"/>
      <c r="AI53" s="61">
        <v>1.0</v>
      </c>
      <c r="AJ53" s="63" t="s">
        <v>811</v>
      </c>
      <c r="AK53" s="64"/>
      <c r="AL53" s="61">
        <v>1.0</v>
      </c>
      <c r="AM53" s="63" t="s">
        <v>812</v>
      </c>
      <c r="AN53" s="64"/>
      <c r="AO53" s="61">
        <v>1.0</v>
      </c>
      <c r="AP53" s="63" t="s">
        <v>814</v>
      </c>
      <c r="AQ53" s="64"/>
      <c r="AR53" s="61">
        <v>1.0</v>
      </c>
      <c r="AS53" s="63" t="s">
        <v>799</v>
      </c>
      <c r="AT53" s="64"/>
      <c r="AU53" s="61">
        <v>1.0</v>
      </c>
      <c r="AV53" s="63">
        <v>1.0</v>
      </c>
      <c r="AW53" s="64"/>
      <c r="AX53" s="61">
        <v>1.0</v>
      </c>
      <c r="AY53" s="63" t="b">
        <v>1</v>
      </c>
      <c r="AZ53" s="64"/>
      <c r="BA53" s="61">
        <v>1.0</v>
      </c>
      <c r="BB53" s="63">
        <v>5.0</v>
      </c>
      <c r="BC53" s="64"/>
      <c r="BD53" s="61">
        <v>1.0</v>
      </c>
      <c r="BE53" s="63" t="b">
        <v>0</v>
      </c>
      <c r="BF53" s="61">
        <v>0.0</v>
      </c>
      <c r="BG53" s="64"/>
      <c r="BH53" s="63" t="s">
        <v>819</v>
      </c>
      <c r="BI53" s="61">
        <v>1.0</v>
      </c>
      <c r="BJ53" s="64"/>
      <c r="BK53" s="63" t="b">
        <v>1</v>
      </c>
      <c r="BL53" s="61">
        <v>1.0</v>
      </c>
      <c r="BM53" s="64"/>
      <c r="BN53" s="63">
        <v>3.0</v>
      </c>
      <c r="BO53" s="61">
        <v>1.0</v>
      </c>
      <c r="BP53" s="64"/>
      <c r="BQ53" s="63">
        <v>3.0</v>
      </c>
      <c r="BR53" s="61">
        <v>1.0</v>
      </c>
      <c r="BS53" s="64"/>
      <c r="BT53" s="63" t="b">
        <v>1</v>
      </c>
      <c r="BU53" s="61">
        <v>1.0</v>
      </c>
      <c r="BV53" s="64"/>
      <c r="BW53" s="63" t="s">
        <v>950</v>
      </c>
      <c r="BX53" s="61">
        <v>0.0</v>
      </c>
      <c r="BY53" s="64"/>
      <c r="BZ53" s="63" t="s">
        <v>977</v>
      </c>
      <c r="CA53" s="61">
        <v>0.0</v>
      </c>
      <c r="CB53" s="64"/>
      <c r="CC53" s="63" t="b">
        <v>1</v>
      </c>
      <c r="CD53" s="61">
        <v>1.0</v>
      </c>
      <c r="CE53" s="64"/>
      <c r="CF53" s="63" t="b">
        <v>0</v>
      </c>
      <c r="CG53" s="61">
        <v>1.0</v>
      </c>
      <c r="CH53" s="64"/>
      <c r="CI53" s="63">
        <v>20.0</v>
      </c>
      <c r="CJ53" s="61">
        <v>0.0</v>
      </c>
      <c r="CK53" s="64"/>
      <c r="CL53" s="63" t="s">
        <v>806</v>
      </c>
      <c r="CM53" s="61">
        <v>0.0</v>
      </c>
      <c r="CN53" s="64"/>
      <c r="CO53" s="63" t="s">
        <v>806</v>
      </c>
      <c r="CP53" s="61">
        <v>0.0</v>
      </c>
      <c r="CQ53" s="64"/>
      <c r="CR53" s="63" t="s">
        <v>806</v>
      </c>
      <c r="CS53" s="61">
        <v>0.0</v>
      </c>
      <c r="CT53" s="64"/>
      <c r="CU53" s="63">
        <v>1.0</v>
      </c>
      <c r="CV53" s="61">
        <v>0.0</v>
      </c>
      <c r="CW53" s="64"/>
      <c r="CX53" s="63" t="b">
        <v>0</v>
      </c>
      <c r="CY53" s="61">
        <v>1.0</v>
      </c>
      <c r="CZ53" s="64"/>
      <c r="DA53" s="63" t="b">
        <v>1</v>
      </c>
      <c r="DB53" s="61">
        <v>0.0</v>
      </c>
      <c r="DC53" s="64"/>
    </row>
    <row r="54" ht="17.25" customHeight="1">
      <c r="A54" s="57">
        <v>55.0</v>
      </c>
      <c r="B54" s="58">
        <v>46190.730775462966</v>
      </c>
      <c r="C54" s="58">
        <v>46190.73217592593</v>
      </c>
      <c r="D54" s="59" t="s">
        <v>793</v>
      </c>
      <c r="E54" s="60"/>
      <c r="F54" s="57">
        <v>9.0</v>
      </c>
      <c r="G54" s="60"/>
      <c r="H54" s="60"/>
      <c r="I54" s="59" t="s">
        <v>573</v>
      </c>
      <c r="J54" s="60"/>
      <c r="K54" s="60"/>
      <c r="L54" s="59" t="s">
        <v>1077</v>
      </c>
      <c r="M54" s="60"/>
      <c r="N54" s="60"/>
      <c r="O54" s="59" t="s">
        <v>1078</v>
      </c>
      <c r="P54" s="60"/>
      <c r="Q54" s="60"/>
      <c r="R54" s="59" t="s">
        <v>799</v>
      </c>
      <c r="S54" s="57">
        <v>1.0</v>
      </c>
      <c r="T54" s="60"/>
      <c r="U54" s="59" t="s">
        <v>1070</v>
      </c>
      <c r="V54" s="57">
        <v>0.0</v>
      </c>
      <c r="W54" s="60"/>
      <c r="X54" s="59" t="s">
        <v>803</v>
      </c>
      <c r="Y54" s="57">
        <v>1.0</v>
      </c>
      <c r="Z54" s="60"/>
      <c r="AA54" s="59" t="s">
        <v>1008</v>
      </c>
      <c r="AB54" s="57">
        <v>0.0</v>
      </c>
      <c r="AC54" s="60"/>
      <c r="AD54" s="59" t="s">
        <v>806</v>
      </c>
      <c r="AE54" s="57">
        <v>1.0</v>
      </c>
      <c r="AF54" s="60"/>
      <c r="AG54" s="59" t="s">
        <v>810</v>
      </c>
      <c r="AH54" s="60"/>
      <c r="AI54" s="57">
        <v>1.0</v>
      </c>
      <c r="AJ54" s="59" t="s">
        <v>811</v>
      </c>
      <c r="AK54" s="60"/>
      <c r="AL54" s="57">
        <v>1.0</v>
      </c>
      <c r="AM54" s="59" t="s">
        <v>976</v>
      </c>
      <c r="AN54" s="60"/>
      <c r="AO54" s="57">
        <v>0.0</v>
      </c>
      <c r="AP54" s="59" t="s">
        <v>814</v>
      </c>
      <c r="AQ54" s="60"/>
      <c r="AR54" s="57">
        <v>1.0</v>
      </c>
      <c r="AS54" s="59" t="s">
        <v>799</v>
      </c>
      <c r="AT54" s="60"/>
      <c r="AU54" s="57">
        <v>1.0</v>
      </c>
      <c r="AV54" s="59" t="s">
        <v>806</v>
      </c>
      <c r="AW54" s="60"/>
      <c r="AX54" s="57">
        <v>0.0</v>
      </c>
      <c r="AY54" s="59" t="s">
        <v>806</v>
      </c>
      <c r="AZ54" s="60"/>
      <c r="BA54" s="57">
        <v>0.0</v>
      </c>
      <c r="BB54" s="59">
        <v>6.0</v>
      </c>
      <c r="BC54" s="60"/>
      <c r="BD54" s="57">
        <v>0.0</v>
      </c>
      <c r="BE54" s="59" t="b">
        <v>0</v>
      </c>
      <c r="BF54" s="57">
        <v>0.0</v>
      </c>
      <c r="BG54" s="60"/>
      <c r="BH54" s="59" t="b">
        <v>1</v>
      </c>
      <c r="BI54" s="57">
        <v>0.0</v>
      </c>
      <c r="BJ54" s="60"/>
      <c r="BK54" s="59" t="b">
        <v>1</v>
      </c>
      <c r="BL54" s="57">
        <v>1.0</v>
      </c>
      <c r="BM54" s="60"/>
      <c r="BN54" s="59">
        <v>2.0</v>
      </c>
      <c r="BO54" s="57">
        <v>0.0</v>
      </c>
      <c r="BP54" s="60"/>
      <c r="BQ54" s="59">
        <v>2.0</v>
      </c>
      <c r="BR54" s="57">
        <v>0.0</v>
      </c>
      <c r="BS54" s="60"/>
      <c r="BT54" s="59" t="b">
        <v>0</v>
      </c>
      <c r="BU54" s="57">
        <v>0.0</v>
      </c>
      <c r="BV54" s="60"/>
      <c r="BW54" s="59" t="s">
        <v>950</v>
      </c>
      <c r="BX54" s="57">
        <v>0.0</v>
      </c>
      <c r="BY54" s="60"/>
      <c r="BZ54" s="59" t="s">
        <v>806</v>
      </c>
      <c r="CA54" s="57">
        <v>0.0</v>
      </c>
      <c r="CB54" s="60"/>
      <c r="CC54" s="59" t="b">
        <v>0</v>
      </c>
      <c r="CD54" s="57">
        <v>0.0</v>
      </c>
      <c r="CE54" s="60"/>
      <c r="CF54" s="59" t="b">
        <v>0</v>
      </c>
      <c r="CG54" s="57">
        <v>1.0</v>
      </c>
      <c r="CH54" s="60"/>
      <c r="CI54" s="59" t="s">
        <v>806</v>
      </c>
      <c r="CJ54" s="57">
        <v>0.0</v>
      </c>
      <c r="CK54" s="60"/>
      <c r="CL54" s="59" t="s">
        <v>806</v>
      </c>
      <c r="CM54" s="57">
        <v>0.0</v>
      </c>
      <c r="CN54" s="60"/>
      <c r="CO54" s="59" t="s">
        <v>806</v>
      </c>
      <c r="CP54" s="57">
        <v>0.0</v>
      </c>
      <c r="CQ54" s="60"/>
      <c r="CR54" s="59" t="s">
        <v>806</v>
      </c>
      <c r="CS54" s="57">
        <v>0.0</v>
      </c>
      <c r="CT54" s="60"/>
      <c r="CU54" s="59" t="s">
        <v>906</v>
      </c>
      <c r="CV54" s="57">
        <v>0.0</v>
      </c>
      <c r="CW54" s="60"/>
      <c r="CX54" s="59" t="b">
        <v>1</v>
      </c>
      <c r="CY54" s="57">
        <v>0.0</v>
      </c>
      <c r="CZ54" s="60"/>
      <c r="DA54" s="59" t="b">
        <v>1</v>
      </c>
      <c r="DB54" s="57">
        <v>0.0</v>
      </c>
      <c r="DC54" s="60"/>
    </row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</cols>
  <sheetData>
    <row r="2">
      <c r="A2" s="73" t="s">
        <v>1</v>
      </c>
      <c r="B2" s="73" t="s">
        <v>9</v>
      </c>
      <c r="C2" s="74" t="s">
        <v>11</v>
      </c>
      <c r="D2" s="75" t="s">
        <v>957</v>
      </c>
      <c r="E2" s="75" t="s">
        <v>958</v>
      </c>
    </row>
    <row r="3">
      <c r="A3" s="24">
        <v>1.0</v>
      </c>
      <c r="B3" s="26" t="s">
        <v>29</v>
      </c>
      <c r="C3" s="26" t="s">
        <v>31</v>
      </c>
      <c r="D3" s="23"/>
      <c r="E3" s="23"/>
    </row>
    <row r="4">
      <c r="A4" s="24">
        <v>2.0</v>
      </c>
      <c r="B4" s="26" t="s">
        <v>39</v>
      </c>
      <c r="C4" s="26" t="s">
        <v>41</v>
      </c>
      <c r="D4" s="23"/>
      <c r="E4" s="23"/>
    </row>
    <row r="5">
      <c r="A5" s="24">
        <v>3.0</v>
      </c>
      <c r="B5" s="26" t="s">
        <v>48</v>
      </c>
      <c r="C5" s="26" t="s">
        <v>51</v>
      </c>
      <c r="D5" s="23"/>
      <c r="E5" s="23"/>
    </row>
    <row r="6">
      <c r="A6" s="24">
        <v>4.0</v>
      </c>
      <c r="B6" s="26" t="s">
        <v>56</v>
      </c>
      <c r="C6" s="26" t="s">
        <v>58</v>
      </c>
      <c r="D6" s="23"/>
      <c r="E6" s="23"/>
    </row>
    <row r="7">
      <c r="A7" s="24">
        <v>5.0</v>
      </c>
      <c r="B7" s="26" t="s">
        <v>63</v>
      </c>
      <c r="C7" s="26" t="s">
        <v>65</v>
      </c>
      <c r="D7" s="23"/>
      <c r="E7" s="23"/>
    </row>
    <row r="8">
      <c r="A8" s="24">
        <v>6.0</v>
      </c>
      <c r="B8" s="26" t="s">
        <v>70</v>
      </c>
      <c r="C8" s="26" t="s">
        <v>71</v>
      </c>
      <c r="D8" s="23"/>
      <c r="E8" s="23"/>
    </row>
    <row r="9">
      <c r="A9" s="24">
        <v>7.0</v>
      </c>
      <c r="B9" s="26" t="s">
        <v>75</v>
      </c>
      <c r="C9" s="26" t="s">
        <v>77</v>
      </c>
      <c r="D9" s="23"/>
      <c r="E9" s="23"/>
    </row>
    <row r="10">
      <c r="A10" s="24">
        <v>8.0</v>
      </c>
      <c r="B10" s="26" t="s">
        <v>83</v>
      </c>
      <c r="C10" s="26" t="s">
        <v>84</v>
      </c>
      <c r="D10" s="23"/>
      <c r="E10" s="23"/>
    </row>
    <row r="11">
      <c r="A11" s="24">
        <v>9.0</v>
      </c>
      <c r="B11" s="26" t="s">
        <v>91</v>
      </c>
      <c r="C11" s="26" t="s">
        <v>92</v>
      </c>
      <c r="D11" s="23"/>
      <c r="E11" s="23"/>
    </row>
    <row r="12">
      <c r="A12" s="24">
        <v>10.0</v>
      </c>
      <c r="B12" s="26" t="s">
        <v>97</v>
      </c>
      <c r="C12" s="26" t="s">
        <v>99</v>
      </c>
      <c r="D12" s="23"/>
      <c r="E12" s="23"/>
    </row>
    <row r="13">
      <c r="A13" s="24">
        <v>11.0</v>
      </c>
      <c r="B13" s="26" t="s">
        <v>103</v>
      </c>
      <c r="C13" s="26" t="s">
        <v>105</v>
      </c>
      <c r="D13" s="23"/>
      <c r="E13" s="23"/>
    </row>
    <row r="14">
      <c r="A14" s="24">
        <v>12.0</v>
      </c>
      <c r="B14" s="26" t="s">
        <v>113</v>
      </c>
      <c r="C14" s="43" t="s">
        <v>114</v>
      </c>
      <c r="D14" s="23"/>
      <c r="E14" s="23"/>
    </row>
    <row r="15">
      <c r="A15" s="24">
        <v>13.0</v>
      </c>
      <c r="B15" s="26" t="s">
        <v>121</v>
      </c>
      <c r="C15" s="26" t="s">
        <v>123</v>
      </c>
      <c r="D15" s="23"/>
      <c r="E15" s="23"/>
    </row>
    <row r="16">
      <c r="A16" s="24">
        <v>14.0</v>
      </c>
      <c r="B16" s="26" t="s">
        <v>128</v>
      </c>
      <c r="C16" s="26" t="s">
        <v>129</v>
      </c>
      <c r="D16" s="23"/>
      <c r="E16" s="23"/>
    </row>
    <row r="17">
      <c r="A17" s="24">
        <v>15.0</v>
      </c>
      <c r="B17" s="26" t="s">
        <v>134</v>
      </c>
      <c r="C17" s="26" t="s">
        <v>136</v>
      </c>
      <c r="D17" s="23"/>
      <c r="E17" s="23"/>
    </row>
    <row r="18">
      <c r="A18" s="24">
        <v>16.0</v>
      </c>
      <c r="B18" s="26" t="s">
        <v>142</v>
      </c>
      <c r="C18" s="26" t="s">
        <v>143</v>
      </c>
      <c r="D18" s="23"/>
      <c r="E18" s="23"/>
    </row>
    <row r="19">
      <c r="A19" s="24">
        <v>17.0</v>
      </c>
      <c r="B19" s="26" t="s">
        <v>148</v>
      </c>
      <c r="C19" s="26" t="s">
        <v>150</v>
      </c>
      <c r="D19" s="23"/>
      <c r="E19" s="23"/>
    </row>
    <row r="20">
      <c r="A20" s="24">
        <v>18.0</v>
      </c>
      <c r="B20" s="26" t="s">
        <v>155</v>
      </c>
      <c r="C20" s="26" t="s">
        <v>156</v>
      </c>
      <c r="D20" s="23"/>
      <c r="E20" s="23"/>
    </row>
    <row r="21">
      <c r="A21" s="24">
        <v>19.0</v>
      </c>
      <c r="B21" s="26" t="s">
        <v>160</v>
      </c>
      <c r="C21" s="26" t="s">
        <v>162</v>
      </c>
      <c r="D21" s="23"/>
      <c r="E21" s="23"/>
    </row>
    <row r="22">
      <c r="A22" s="24">
        <v>20.0</v>
      </c>
      <c r="B22" s="26" t="s">
        <v>165</v>
      </c>
      <c r="C22" s="26" t="s">
        <v>166</v>
      </c>
      <c r="D22" s="23"/>
      <c r="E22" s="23"/>
    </row>
    <row r="23">
      <c r="A23" s="24">
        <v>21.0</v>
      </c>
      <c r="B23" s="26" t="s">
        <v>171</v>
      </c>
      <c r="C23" s="26" t="s">
        <v>172</v>
      </c>
      <c r="D23" s="23"/>
      <c r="E23" s="23"/>
    </row>
    <row r="24">
      <c r="A24" s="24">
        <v>22.0</v>
      </c>
      <c r="B24" s="26" t="s">
        <v>175</v>
      </c>
      <c r="C24" s="26" t="s">
        <v>177</v>
      </c>
      <c r="D24" s="23"/>
      <c r="E24" s="23"/>
    </row>
    <row r="25">
      <c r="A25" s="24">
        <v>23.0</v>
      </c>
      <c r="B25" s="26" t="s">
        <v>181</v>
      </c>
      <c r="C25" s="26" t="s">
        <v>182</v>
      </c>
      <c r="D25" s="23"/>
      <c r="E25" s="23"/>
    </row>
    <row r="26">
      <c r="A26" s="24">
        <v>24.0</v>
      </c>
      <c r="B26" s="26" t="s">
        <v>187</v>
      </c>
      <c r="C26" s="26" t="s">
        <v>189</v>
      </c>
      <c r="D26" s="23"/>
      <c r="E26" s="23"/>
    </row>
    <row r="27">
      <c r="A27" s="24">
        <v>25.0</v>
      </c>
      <c r="B27" s="26" t="s">
        <v>192</v>
      </c>
      <c r="C27" s="26" t="s">
        <v>194</v>
      </c>
      <c r="D27" s="23"/>
      <c r="E27" s="23"/>
    </row>
    <row r="28">
      <c r="A28" s="24">
        <v>26.0</v>
      </c>
      <c r="B28" s="53" t="s">
        <v>197</v>
      </c>
      <c r="C28" s="53" t="s">
        <v>199</v>
      </c>
      <c r="D28" s="23"/>
      <c r="E28" s="23"/>
    </row>
    <row r="29">
      <c r="A29" s="24">
        <v>27.0</v>
      </c>
      <c r="B29" s="26" t="s">
        <v>203</v>
      </c>
      <c r="C29" s="26" t="s">
        <v>204</v>
      </c>
      <c r="D29" s="23"/>
      <c r="E29" s="23"/>
    </row>
    <row r="30">
      <c r="A30" s="24">
        <v>28.0</v>
      </c>
      <c r="B30" s="26" t="s">
        <v>209</v>
      </c>
      <c r="C30" s="26" t="s">
        <v>210</v>
      </c>
      <c r="D30" s="23"/>
      <c r="E30" s="23"/>
    </row>
    <row r="31">
      <c r="A31" s="24">
        <v>29.0</v>
      </c>
      <c r="B31" s="26" t="s">
        <v>213</v>
      </c>
      <c r="C31" s="26" t="s">
        <v>215</v>
      </c>
      <c r="D31" s="23"/>
      <c r="E31" s="23"/>
    </row>
    <row r="32">
      <c r="A32" s="24">
        <v>30.0</v>
      </c>
      <c r="B32" s="26" t="s">
        <v>217</v>
      </c>
      <c r="C32" s="26" t="s">
        <v>219</v>
      </c>
      <c r="D32" s="23"/>
      <c r="E32" s="23"/>
    </row>
    <row r="33">
      <c r="A33" s="24">
        <v>31.0</v>
      </c>
      <c r="B33" s="26" t="s">
        <v>223</v>
      </c>
      <c r="C33" s="26" t="s">
        <v>226</v>
      </c>
      <c r="D33" s="23"/>
      <c r="E33" s="23"/>
    </row>
    <row r="34">
      <c r="A34" s="24">
        <v>32.0</v>
      </c>
      <c r="B34" s="26" t="s">
        <v>229</v>
      </c>
      <c r="C34" s="26" t="s">
        <v>231</v>
      </c>
      <c r="D34" s="23"/>
      <c r="E34" s="23"/>
    </row>
    <row r="35">
      <c r="A35" s="24">
        <v>33.0</v>
      </c>
      <c r="B35" s="26" t="s">
        <v>233</v>
      </c>
      <c r="C35" s="26" t="s">
        <v>234</v>
      </c>
      <c r="D35" s="23"/>
      <c r="E35" s="23"/>
    </row>
    <row r="36">
      <c r="A36" s="24">
        <v>34.0</v>
      </c>
      <c r="B36" s="26" t="s">
        <v>238</v>
      </c>
      <c r="C36" s="26" t="s">
        <v>239</v>
      </c>
      <c r="D36" s="23"/>
      <c r="E36" s="23"/>
    </row>
    <row r="37">
      <c r="A37" s="24">
        <v>35.0</v>
      </c>
      <c r="B37" s="26" t="s">
        <v>244</v>
      </c>
      <c r="C37" s="26" t="s">
        <v>245</v>
      </c>
      <c r="D37" s="23"/>
      <c r="E37" s="23"/>
    </row>
    <row r="38">
      <c r="A38" s="24">
        <v>36.0</v>
      </c>
      <c r="B38" s="26" t="s">
        <v>249</v>
      </c>
      <c r="C38" s="26" t="s">
        <v>250</v>
      </c>
      <c r="D38" s="23"/>
      <c r="E38" s="23"/>
    </row>
    <row r="39">
      <c r="A39" s="24">
        <v>37.0</v>
      </c>
      <c r="B39" s="26" t="s">
        <v>253</v>
      </c>
      <c r="C39" s="26" t="s">
        <v>254</v>
      </c>
      <c r="D39" s="23"/>
      <c r="E39" s="23"/>
    </row>
    <row r="40">
      <c r="A40" s="24">
        <v>38.0</v>
      </c>
      <c r="B40" s="26" t="s">
        <v>258</v>
      </c>
      <c r="C40" s="26" t="s">
        <v>259</v>
      </c>
      <c r="D40" s="23"/>
      <c r="E40" s="23"/>
    </row>
    <row r="41">
      <c r="A41" s="24">
        <v>39.0</v>
      </c>
      <c r="B41" s="26" t="s">
        <v>263</v>
      </c>
      <c r="C41" s="26" t="s">
        <v>264</v>
      </c>
      <c r="D41" s="23"/>
      <c r="E41" s="23"/>
    </row>
    <row r="42">
      <c r="A42" s="24">
        <v>40.0</v>
      </c>
      <c r="B42" s="26" t="s">
        <v>267</v>
      </c>
      <c r="C42" s="26" t="s">
        <v>269</v>
      </c>
      <c r="D42" s="23"/>
      <c r="E42" s="23"/>
    </row>
    <row r="43">
      <c r="A43" s="24">
        <v>41.0</v>
      </c>
      <c r="B43" s="26" t="s">
        <v>272</v>
      </c>
      <c r="C43" s="26" t="s">
        <v>273</v>
      </c>
      <c r="D43" s="23"/>
      <c r="E43" s="23"/>
    </row>
    <row r="44">
      <c r="A44" s="24">
        <v>42.0</v>
      </c>
      <c r="B44" s="26" t="s">
        <v>277</v>
      </c>
      <c r="C44" s="26" t="s">
        <v>278</v>
      </c>
      <c r="D44" s="23"/>
      <c r="E44" s="23"/>
    </row>
    <row r="45">
      <c r="A45" s="24">
        <v>43.0</v>
      </c>
      <c r="B45" s="26" t="s">
        <v>283</v>
      </c>
      <c r="C45" s="26" t="s">
        <v>284</v>
      </c>
      <c r="D45" s="23"/>
      <c r="E45" s="23"/>
    </row>
    <row r="46">
      <c r="A46" s="24">
        <v>44.0</v>
      </c>
      <c r="B46" s="26" t="s">
        <v>287</v>
      </c>
      <c r="C46" s="26" t="s">
        <v>289</v>
      </c>
      <c r="D46" s="23"/>
      <c r="E46" s="23"/>
    </row>
    <row r="47">
      <c r="A47" s="24">
        <v>45.0</v>
      </c>
      <c r="B47" s="26" t="s">
        <v>292</v>
      </c>
      <c r="C47" s="26" t="s">
        <v>293</v>
      </c>
      <c r="D47" s="23"/>
      <c r="E47" s="23"/>
    </row>
    <row r="48">
      <c r="A48" s="24">
        <v>46.0</v>
      </c>
      <c r="B48" s="26" t="s">
        <v>297</v>
      </c>
      <c r="C48" s="26" t="s">
        <v>299</v>
      </c>
      <c r="D48" s="23"/>
      <c r="E48" s="23"/>
    </row>
    <row r="49">
      <c r="A49" s="24">
        <v>47.0</v>
      </c>
      <c r="B49" s="26" t="s">
        <v>303</v>
      </c>
      <c r="C49" s="26" t="s">
        <v>305</v>
      </c>
      <c r="D49" s="23"/>
      <c r="E49" s="23"/>
    </row>
    <row r="50">
      <c r="A50" s="24">
        <v>48.0</v>
      </c>
      <c r="B50" s="26" t="s">
        <v>308</v>
      </c>
      <c r="C50" s="26" t="s">
        <v>310</v>
      </c>
      <c r="D50" s="23"/>
      <c r="E50" s="23"/>
    </row>
    <row r="51">
      <c r="A51" s="24">
        <v>49.0</v>
      </c>
      <c r="B51" s="26" t="s">
        <v>314</v>
      </c>
      <c r="C51" s="26" t="s">
        <v>315</v>
      </c>
      <c r="D51" s="23"/>
      <c r="E51" s="23"/>
    </row>
    <row r="52">
      <c r="A52" s="24">
        <v>50.0</v>
      </c>
      <c r="B52" s="26" t="s">
        <v>320</v>
      </c>
      <c r="C52" s="26" t="s">
        <v>321</v>
      </c>
      <c r="D52" s="23"/>
      <c r="E52" s="23"/>
    </row>
    <row r="53">
      <c r="A53" s="24">
        <v>51.0</v>
      </c>
      <c r="B53" s="26" t="s">
        <v>325</v>
      </c>
      <c r="C53" s="26" t="s">
        <v>326</v>
      </c>
      <c r="D53" s="23"/>
      <c r="E53" s="23"/>
    </row>
    <row r="54">
      <c r="A54" s="24">
        <v>52.0</v>
      </c>
      <c r="B54" s="26" t="s">
        <v>329</v>
      </c>
      <c r="C54" s="26" t="s">
        <v>331</v>
      </c>
      <c r="D54" s="23"/>
      <c r="E54" s="23"/>
    </row>
    <row r="55">
      <c r="A55" s="24">
        <v>53.0</v>
      </c>
      <c r="B55" s="26" t="s">
        <v>334</v>
      </c>
      <c r="C55" s="26" t="s">
        <v>335</v>
      </c>
      <c r="D55" s="23"/>
      <c r="E55" s="23"/>
    </row>
    <row r="56">
      <c r="A56" s="24">
        <v>54.0</v>
      </c>
      <c r="B56" s="26" t="s">
        <v>340</v>
      </c>
      <c r="C56" s="43" t="s">
        <v>341</v>
      </c>
      <c r="D56" s="23"/>
      <c r="E56" s="23"/>
    </row>
    <row r="57">
      <c r="A57" s="24">
        <v>55.0</v>
      </c>
      <c r="B57" s="26" t="s">
        <v>344</v>
      </c>
      <c r="C57" s="26" t="s">
        <v>345</v>
      </c>
      <c r="D57" s="23"/>
      <c r="E57" s="23"/>
    </row>
    <row r="58">
      <c r="A58" s="24">
        <v>56.0</v>
      </c>
      <c r="B58" s="26" t="s">
        <v>348</v>
      </c>
      <c r="C58" s="26" t="s">
        <v>350</v>
      </c>
      <c r="D58" s="23"/>
      <c r="E58" s="23"/>
    </row>
    <row r="59">
      <c r="A59" s="24">
        <v>57.0</v>
      </c>
      <c r="B59" s="26" t="s">
        <v>353</v>
      </c>
      <c r="C59" s="26" t="s">
        <v>354</v>
      </c>
      <c r="D59" s="23"/>
      <c r="E59" s="23"/>
    </row>
    <row r="60">
      <c r="A60" s="24">
        <v>58.0</v>
      </c>
      <c r="B60" s="26" t="s">
        <v>359</v>
      </c>
      <c r="C60" s="26" t="s">
        <v>360</v>
      </c>
      <c r="D60" s="23"/>
      <c r="E60" s="23"/>
    </row>
    <row r="61">
      <c r="A61" s="24">
        <v>59.0</v>
      </c>
      <c r="B61" s="26" t="s">
        <v>363</v>
      </c>
      <c r="C61" s="26" t="s">
        <v>365</v>
      </c>
      <c r="D61" s="23"/>
      <c r="E61" s="23"/>
    </row>
    <row r="62">
      <c r="A62" s="24">
        <v>60.0</v>
      </c>
      <c r="B62" s="26" t="s">
        <v>368</v>
      </c>
      <c r="C62" s="26" t="s">
        <v>369</v>
      </c>
      <c r="D62" s="23"/>
      <c r="E62" s="23"/>
    </row>
    <row r="63">
      <c r="A63" s="24">
        <v>61.0</v>
      </c>
      <c r="B63" s="26" t="s">
        <v>374</v>
      </c>
      <c r="C63" s="26" t="s">
        <v>376</v>
      </c>
      <c r="D63" s="23"/>
      <c r="E63" s="23"/>
    </row>
    <row r="64">
      <c r="A64" s="24">
        <v>62.0</v>
      </c>
      <c r="B64" s="26" t="s">
        <v>381</v>
      </c>
      <c r="C64" s="26" t="s">
        <v>383</v>
      </c>
      <c r="D64" s="23"/>
      <c r="E64" s="23"/>
    </row>
    <row r="65">
      <c r="A65" s="24">
        <v>63.0</v>
      </c>
      <c r="B65" s="26" t="s">
        <v>386</v>
      </c>
      <c r="C65" s="26" t="s">
        <v>387</v>
      </c>
      <c r="D65" s="23"/>
      <c r="E65" s="23"/>
    </row>
    <row r="66">
      <c r="A66" s="24">
        <v>64.0</v>
      </c>
      <c r="B66" s="26" t="s">
        <v>391</v>
      </c>
      <c r="C66" s="26" t="s">
        <v>392</v>
      </c>
      <c r="D66" s="23"/>
      <c r="E66" s="23"/>
    </row>
    <row r="67">
      <c r="A67" s="24">
        <v>65.0</v>
      </c>
      <c r="B67" s="26" t="s">
        <v>396</v>
      </c>
      <c r="C67" s="26" t="s">
        <v>397</v>
      </c>
      <c r="D67" s="23"/>
      <c r="E67" s="23"/>
    </row>
    <row r="68">
      <c r="A68" s="24">
        <v>66.0</v>
      </c>
      <c r="B68" s="26" t="s">
        <v>400</v>
      </c>
      <c r="C68" s="26" t="s">
        <v>402</v>
      </c>
      <c r="D68" s="23"/>
      <c r="E68" s="23"/>
    </row>
    <row r="69">
      <c r="A69" s="24">
        <v>67.0</v>
      </c>
      <c r="B69" s="26" t="s">
        <v>405</v>
      </c>
      <c r="C69" s="26" t="s">
        <v>406</v>
      </c>
      <c r="D69" s="23"/>
      <c r="E69" s="23"/>
    </row>
    <row r="70">
      <c r="A70" s="24">
        <v>68.0</v>
      </c>
      <c r="B70" s="26" t="s">
        <v>410</v>
      </c>
      <c r="C70" s="26" t="s">
        <v>411</v>
      </c>
      <c r="D70" s="23"/>
      <c r="E70" s="23"/>
    </row>
    <row r="71">
      <c r="A71" s="24">
        <v>69.0</v>
      </c>
      <c r="B71" s="26" t="s">
        <v>415</v>
      </c>
      <c r="C71" s="26" t="s">
        <v>416</v>
      </c>
      <c r="D71" s="23"/>
      <c r="E71" s="23"/>
    </row>
    <row r="72">
      <c r="A72" s="24">
        <v>70.0</v>
      </c>
      <c r="B72" s="26" t="s">
        <v>418</v>
      </c>
      <c r="C72" s="26" t="s">
        <v>419</v>
      </c>
      <c r="D72" s="23"/>
      <c r="E72" s="23"/>
    </row>
    <row r="73">
      <c r="A73" s="24">
        <v>71.0</v>
      </c>
      <c r="B73" s="26" t="s">
        <v>422</v>
      </c>
      <c r="C73" s="26" t="s">
        <v>423</v>
      </c>
      <c r="D73" s="23"/>
      <c r="E73" s="23"/>
    </row>
    <row r="74">
      <c r="A74" s="24">
        <v>72.0</v>
      </c>
      <c r="B74" s="26" t="s">
        <v>426</v>
      </c>
      <c r="C74" s="26" t="s">
        <v>427</v>
      </c>
      <c r="D74" s="23"/>
      <c r="E74" s="23"/>
    </row>
    <row r="75">
      <c r="A75" s="24">
        <v>73.0</v>
      </c>
      <c r="B75" s="26" t="s">
        <v>430</v>
      </c>
      <c r="C75" s="26" t="s">
        <v>432</v>
      </c>
      <c r="D75" s="23"/>
      <c r="E75" s="23"/>
    </row>
    <row r="76">
      <c r="A76" s="24">
        <v>74.0</v>
      </c>
      <c r="B76" s="26" t="s">
        <v>435</v>
      </c>
      <c r="C76" s="26" t="s">
        <v>436</v>
      </c>
      <c r="D76" s="23"/>
      <c r="E76" s="23"/>
    </row>
    <row r="77">
      <c r="A77" s="24">
        <v>75.0</v>
      </c>
      <c r="B77" s="26" t="s">
        <v>439</v>
      </c>
      <c r="C77" s="26" t="s">
        <v>440</v>
      </c>
      <c r="D77" s="23"/>
      <c r="E77" s="23"/>
    </row>
    <row r="78">
      <c r="A78" s="24">
        <v>76.0</v>
      </c>
      <c r="B78" s="26" t="s">
        <v>443</v>
      </c>
      <c r="C78" s="26" t="s">
        <v>444</v>
      </c>
      <c r="D78" s="23"/>
      <c r="E78" s="23"/>
    </row>
    <row r="79">
      <c r="A79" s="24">
        <v>77.0</v>
      </c>
      <c r="B79" s="26" t="s">
        <v>448</v>
      </c>
      <c r="C79" s="26" t="s">
        <v>450</v>
      </c>
      <c r="D79" s="23"/>
      <c r="E79" s="23"/>
    </row>
    <row r="80">
      <c r="A80" s="24">
        <v>78.0</v>
      </c>
      <c r="B80" s="26" t="s">
        <v>453</v>
      </c>
      <c r="C80" s="26" t="s">
        <v>454</v>
      </c>
      <c r="D80" s="23"/>
      <c r="E80" s="23"/>
    </row>
    <row r="81">
      <c r="A81" s="24">
        <v>79.0</v>
      </c>
      <c r="B81" s="26" t="s">
        <v>458</v>
      </c>
      <c r="C81" s="26" t="s">
        <v>459</v>
      </c>
      <c r="D81" s="23"/>
      <c r="E81" s="23"/>
    </row>
    <row r="82">
      <c r="A82" s="24">
        <v>80.0</v>
      </c>
      <c r="B82" s="26" t="s">
        <v>463</v>
      </c>
      <c r="C82" s="26" t="s">
        <v>464</v>
      </c>
      <c r="D82" s="23"/>
      <c r="E82" s="23"/>
    </row>
    <row r="83">
      <c r="A83" s="24">
        <v>81.0</v>
      </c>
      <c r="B83" s="26" t="s">
        <v>466</v>
      </c>
      <c r="C83" s="26" t="s">
        <v>467</v>
      </c>
      <c r="D83" s="23"/>
      <c r="E83" s="23"/>
    </row>
    <row r="84">
      <c r="A84" s="24">
        <v>82.0</v>
      </c>
      <c r="B84" s="26" t="s">
        <v>471</v>
      </c>
      <c r="C84" s="26" t="s">
        <v>472</v>
      </c>
      <c r="D84" s="23"/>
      <c r="E84" s="23"/>
    </row>
    <row r="85">
      <c r="A85" s="24">
        <v>83.0</v>
      </c>
      <c r="B85" s="26" t="s">
        <v>476</v>
      </c>
      <c r="C85" s="26" t="s">
        <v>477</v>
      </c>
      <c r="D85" s="23"/>
      <c r="E85" s="23"/>
    </row>
    <row r="86">
      <c r="A86" s="24">
        <v>84.0</v>
      </c>
      <c r="B86" s="26" t="s">
        <v>480</v>
      </c>
      <c r="C86" s="26" t="s">
        <v>482</v>
      </c>
      <c r="D86" s="23"/>
      <c r="E86" s="23"/>
    </row>
    <row r="87">
      <c r="A87" s="24">
        <v>85.0</v>
      </c>
      <c r="B87" s="26" t="s">
        <v>485</v>
      </c>
      <c r="C87" s="26" t="s">
        <v>486</v>
      </c>
      <c r="D87" s="23"/>
      <c r="E87" s="23"/>
    </row>
    <row r="88">
      <c r="A88" s="24">
        <v>86.0</v>
      </c>
      <c r="B88" s="26" t="s">
        <v>490</v>
      </c>
      <c r="C88" s="26" t="s">
        <v>491</v>
      </c>
      <c r="D88" s="23"/>
      <c r="E88" s="23"/>
    </row>
    <row r="89">
      <c r="A89" s="24">
        <v>87.0</v>
      </c>
      <c r="B89" s="26" t="s">
        <v>495</v>
      </c>
      <c r="C89" s="26" t="s">
        <v>496</v>
      </c>
      <c r="D89" s="23"/>
      <c r="E89" s="23"/>
    </row>
    <row r="90">
      <c r="A90" s="24">
        <v>88.0</v>
      </c>
      <c r="B90" s="26" t="s">
        <v>499</v>
      </c>
      <c r="C90" s="26" t="s">
        <v>501</v>
      </c>
      <c r="D90" s="23"/>
      <c r="E90" s="23"/>
    </row>
    <row r="91">
      <c r="A91" s="24">
        <v>89.0</v>
      </c>
      <c r="B91" s="26" t="s">
        <v>509</v>
      </c>
      <c r="C91" s="26" t="s">
        <v>510</v>
      </c>
      <c r="D91" s="23"/>
      <c r="E91" s="23"/>
    </row>
    <row r="92">
      <c r="A92" s="24">
        <v>90.0</v>
      </c>
      <c r="B92" s="26" t="s">
        <v>514</v>
      </c>
      <c r="C92" s="26" t="s">
        <v>515</v>
      </c>
      <c r="D92" s="23"/>
      <c r="E92" s="23"/>
    </row>
    <row r="93">
      <c r="A93" s="24">
        <v>91.0</v>
      </c>
      <c r="B93" s="26" t="s">
        <v>517</v>
      </c>
      <c r="C93" s="26" t="s">
        <v>519</v>
      </c>
      <c r="D93" s="23"/>
      <c r="E93" s="23"/>
    </row>
    <row r="94">
      <c r="A94" s="24">
        <v>92.0</v>
      </c>
      <c r="B94" s="26" t="s">
        <v>523</v>
      </c>
      <c r="C94" s="26" t="s">
        <v>524</v>
      </c>
      <c r="D94" s="23"/>
      <c r="E94" s="23"/>
    </row>
    <row r="95">
      <c r="A95" s="24">
        <v>93.0</v>
      </c>
      <c r="B95" s="26" t="s">
        <v>528</v>
      </c>
      <c r="C95" s="26" t="s">
        <v>529</v>
      </c>
      <c r="D95" s="23"/>
      <c r="E95" s="23"/>
    </row>
    <row r="96">
      <c r="A96" s="24">
        <v>94.0</v>
      </c>
      <c r="B96" s="26" t="s">
        <v>533</v>
      </c>
      <c r="C96" s="26" t="s">
        <v>534</v>
      </c>
      <c r="D96" s="23"/>
      <c r="E96" s="23"/>
    </row>
    <row r="97">
      <c r="A97" s="24">
        <v>95.0</v>
      </c>
      <c r="B97" s="26" t="s">
        <v>537</v>
      </c>
      <c r="C97" s="26" t="s">
        <v>538</v>
      </c>
      <c r="D97" s="23"/>
      <c r="E97" s="23"/>
    </row>
    <row r="98">
      <c r="A98" s="24">
        <v>96.0</v>
      </c>
      <c r="B98" s="26" t="s">
        <v>543</v>
      </c>
      <c r="C98" s="26" t="s">
        <v>544</v>
      </c>
      <c r="D98" s="23"/>
      <c r="E98" s="23"/>
    </row>
    <row r="99">
      <c r="A99" s="24">
        <v>97.0</v>
      </c>
      <c r="B99" s="26" t="s">
        <v>547</v>
      </c>
      <c r="C99" s="26" t="s">
        <v>549</v>
      </c>
      <c r="D99" s="23"/>
      <c r="E99" s="23"/>
    </row>
    <row r="100">
      <c r="A100" s="24">
        <v>98.0</v>
      </c>
      <c r="B100" s="26" t="s">
        <v>552</v>
      </c>
      <c r="C100" s="26" t="s">
        <v>553</v>
      </c>
      <c r="D100" s="23"/>
      <c r="E100" s="23"/>
    </row>
    <row r="101">
      <c r="A101" s="24">
        <v>99.0</v>
      </c>
      <c r="B101" s="26" t="s">
        <v>558</v>
      </c>
      <c r="C101" s="26" t="s">
        <v>560</v>
      </c>
      <c r="D101" s="23"/>
      <c r="E101" s="23"/>
    </row>
    <row r="102">
      <c r="A102" s="24">
        <v>100.0</v>
      </c>
      <c r="B102" s="26" t="s">
        <v>564</v>
      </c>
      <c r="C102" s="26" t="s">
        <v>565</v>
      </c>
      <c r="D102" s="23"/>
      <c r="E102" s="23"/>
    </row>
    <row r="103">
      <c r="A103" s="24">
        <v>101.0</v>
      </c>
      <c r="B103" s="26" t="s">
        <v>568</v>
      </c>
      <c r="C103" s="43" t="s">
        <v>569</v>
      </c>
      <c r="D103" s="23"/>
      <c r="E103" s="23"/>
    </row>
    <row r="104">
      <c r="A104" s="24">
        <v>102.0</v>
      </c>
      <c r="B104" s="26" t="s">
        <v>573</v>
      </c>
      <c r="C104" s="26" t="s">
        <v>574</v>
      </c>
      <c r="D104" s="23"/>
      <c r="E104" s="23"/>
    </row>
    <row r="105">
      <c r="A105" s="24">
        <v>103.0</v>
      </c>
      <c r="B105" s="26" t="s">
        <v>580</v>
      </c>
      <c r="C105" s="26" t="s">
        <v>581</v>
      </c>
      <c r="D105" s="23"/>
      <c r="E105" s="23"/>
    </row>
    <row r="106">
      <c r="A106" s="24">
        <v>104.0</v>
      </c>
      <c r="B106" s="26" t="s">
        <v>584</v>
      </c>
      <c r="C106" s="26" t="s">
        <v>586</v>
      </c>
      <c r="D106" s="23"/>
      <c r="E106" s="23"/>
    </row>
    <row r="107">
      <c r="A107" s="24">
        <v>105.0</v>
      </c>
      <c r="B107" s="26" t="s">
        <v>589</v>
      </c>
      <c r="C107" s="26" t="s">
        <v>590</v>
      </c>
      <c r="D107" s="23"/>
      <c r="E107" s="23"/>
    </row>
    <row r="108">
      <c r="A108" s="24">
        <v>106.0</v>
      </c>
      <c r="B108" s="26" t="s">
        <v>593</v>
      </c>
      <c r="C108" s="26" t="s">
        <v>595</v>
      </c>
      <c r="D108" s="23"/>
      <c r="E108" s="23"/>
    </row>
    <row r="109">
      <c r="A109" s="24">
        <v>107.0</v>
      </c>
      <c r="B109" s="26" t="s">
        <v>600</v>
      </c>
      <c r="C109" s="26" t="s">
        <v>601</v>
      </c>
      <c r="D109" s="23"/>
      <c r="E109" s="23"/>
    </row>
    <row r="110">
      <c r="A110" s="24">
        <v>108.0</v>
      </c>
      <c r="B110" s="26" t="s">
        <v>604</v>
      </c>
      <c r="C110" s="26" t="s">
        <v>606</v>
      </c>
      <c r="D110" s="23"/>
      <c r="E110" s="23"/>
    </row>
    <row r="111">
      <c r="A111" s="24">
        <v>109.0</v>
      </c>
      <c r="B111" s="26" t="s">
        <v>609</v>
      </c>
      <c r="C111" s="43" t="s">
        <v>610</v>
      </c>
      <c r="D111" s="23"/>
      <c r="E111" s="23"/>
    </row>
    <row r="112">
      <c r="A112" s="24">
        <v>110.0</v>
      </c>
      <c r="B112" s="26" t="s">
        <v>613</v>
      </c>
      <c r="C112" s="26" t="s">
        <v>615</v>
      </c>
      <c r="D112" s="23"/>
      <c r="E112" s="23"/>
    </row>
    <row r="113">
      <c r="A113" s="24">
        <v>111.0</v>
      </c>
      <c r="B113" s="26" t="s">
        <v>621</v>
      </c>
      <c r="C113" s="26" t="s">
        <v>622</v>
      </c>
      <c r="D113" s="23"/>
      <c r="E113" s="23"/>
    </row>
    <row r="114">
      <c r="A114" s="24">
        <v>112.0</v>
      </c>
      <c r="B114" s="26" t="s">
        <v>624</v>
      </c>
      <c r="C114" s="26" t="s">
        <v>625</v>
      </c>
      <c r="D114" s="23"/>
      <c r="E114" s="23"/>
    </row>
    <row r="115">
      <c r="A115" s="24">
        <v>113.0</v>
      </c>
      <c r="B115" s="26" t="s">
        <v>629</v>
      </c>
      <c r="C115" s="26" t="s">
        <v>630</v>
      </c>
      <c r="D115" s="23"/>
      <c r="E115" s="23"/>
    </row>
    <row r="116">
      <c r="A116" s="24">
        <v>114.0</v>
      </c>
      <c r="B116" s="26" t="s">
        <v>633</v>
      </c>
      <c r="C116" s="26" t="s">
        <v>635</v>
      </c>
      <c r="D116" s="23"/>
      <c r="E116" s="23"/>
    </row>
    <row r="117">
      <c r="A117" s="24">
        <v>115.0</v>
      </c>
      <c r="B117" s="26" t="s">
        <v>640</v>
      </c>
      <c r="C117" s="26" t="s">
        <v>641</v>
      </c>
      <c r="D117" s="23"/>
      <c r="E117" s="23"/>
    </row>
    <row r="118">
      <c r="A118" s="24">
        <v>116.0</v>
      </c>
      <c r="B118" s="26" t="s">
        <v>651</v>
      </c>
      <c r="C118" s="26" t="s">
        <v>653</v>
      </c>
      <c r="D118" s="23"/>
      <c r="E118" s="23"/>
    </row>
    <row r="119">
      <c r="A119" s="24">
        <v>117.0</v>
      </c>
      <c r="B119" s="26" t="s">
        <v>666</v>
      </c>
      <c r="C119" s="26" t="s">
        <v>670</v>
      </c>
      <c r="D119" s="23"/>
      <c r="E119" s="23"/>
    </row>
    <row r="120">
      <c r="A120" s="24">
        <v>118.0</v>
      </c>
      <c r="B120" s="26" t="s">
        <v>684</v>
      </c>
      <c r="C120" s="26" t="s">
        <v>687</v>
      </c>
      <c r="D120" s="23"/>
      <c r="E120" s="23"/>
    </row>
    <row r="121">
      <c r="A121" s="24">
        <v>119.0</v>
      </c>
      <c r="B121" s="26" t="s">
        <v>705</v>
      </c>
      <c r="C121" s="26" t="s">
        <v>707</v>
      </c>
      <c r="D121" s="23"/>
      <c r="E121" s="23"/>
    </row>
    <row r="122">
      <c r="A122" s="24">
        <v>120.0</v>
      </c>
      <c r="B122" s="26" t="s">
        <v>721</v>
      </c>
      <c r="C122" s="26" t="s">
        <v>723</v>
      </c>
      <c r="D122" s="23"/>
      <c r="E122" s="23"/>
    </row>
    <row r="123">
      <c r="A123" s="24">
        <v>121.0</v>
      </c>
      <c r="B123" s="26" t="s">
        <v>740</v>
      </c>
      <c r="C123" s="26" t="s">
        <v>742</v>
      </c>
      <c r="D123" s="23"/>
      <c r="E123" s="23"/>
    </row>
    <row r="124">
      <c r="A124" s="24">
        <v>122.0</v>
      </c>
      <c r="B124" s="26" t="s">
        <v>757</v>
      </c>
      <c r="C124" s="26" t="s">
        <v>759</v>
      </c>
      <c r="D124" s="23"/>
      <c r="E124" s="23"/>
    </row>
    <row r="125">
      <c r="A125" s="24">
        <v>123.0</v>
      </c>
      <c r="B125" s="26" t="s">
        <v>769</v>
      </c>
      <c r="C125" s="26" t="s">
        <v>772</v>
      </c>
      <c r="D125" s="23"/>
      <c r="E125" s="23"/>
    </row>
    <row r="126">
      <c r="A126" s="24">
        <v>124.0</v>
      </c>
      <c r="B126" s="26" t="s">
        <v>790</v>
      </c>
      <c r="C126" s="26" t="s">
        <v>792</v>
      </c>
      <c r="D126" s="23"/>
      <c r="E126" s="23"/>
    </row>
    <row r="127">
      <c r="A127" s="24">
        <v>125.0</v>
      </c>
      <c r="B127" s="26" t="s">
        <v>795</v>
      </c>
      <c r="C127" s="26" t="s">
        <v>797</v>
      </c>
      <c r="D127" s="23"/>
      <c r="E127" s="23"/>
    </row>
    <row r="128">
      <c r="A128" s="24">
        <v>126.0</v>
      </c>
      <c r="B128" s="26" t="s">
        <v>807</v>
      </c>
      <c r="C128" s="26" t="s">
        <v>808</v>
      </c>
      <c r="D128" s="23"/>
      <c r="E128" s="23"/>
    </row>
    <row r="129">
      <c r="A129" s="24">
        <v>127.0</v>
      </c>
      <c r="B129" s="26" t="s">
        <v>816</v>
      </c>
      <c r="C129" s="26" t="s">
        <v>817</v>
      </c>
      <c r="D129" s="23"/>
      <c r="E129" s="23"/>
    </row>
    <row r="130">
      <c r="A130" s="24">
        <v>128.0</v>
      </c>
      <c r="B130" s="26" t="s">
        <v>822</v>
      </c>
      <c r="C130" s="26" t="s">
        <v>823</v>
      </c>
      <c r="D130" s="23"/>
      <c r="E130" s="23"/>
    </row>
    <row r="131">
      <c r="A131" s="24">
        <v>129.0</v>
      </c>
      <c r="B131" s="26" t="s">
        <v>828</v>
      </c>
      <c r="C131" s="26" t="s">
        <v>830</v>
      </c>
      <c r="D131" s="23"/>
      <c r="E131" s="23"/>
    </row>
    <row r="132">
      <c r="A132" s="24">
        <v>130.0</v>
      </c>
      <c r="B132" s="26" t="s">
        <v>834</v>
      </c>
      <c r="C132" s="26" t="s">
        <v>835</v>
      </c>
      <c r="D132" s="23"/>
      <c r="E132" s="23"/>
    </row>
    <row r="133">
      <c r="A133" s="24">
        <v>131.0</v>
      </c>
      <c r="B133" s="26" t="s">
        <v>839</v>
      </c>
      <c r="C133" s="26" t="s">
        <v>840</v>
      </c>
      <c r="D133" s="23"/>
      <c r="E133" s="23"/>
    </row>
    <row r="134">
      <c r="A134" s="24">
        <v>132.0</v>
      </c>
      <c r="B134" s="26" t="s">
        <v>844</v>
      </c>
      <c r="C134" s="26" t="s">
        <v>845</v>
      </c>
      <c r="D134" s="23"/>
      <c r="E134" s="23"/>
    </row>
    <row r="135">
      <c r="A135" s="24">
        <v>133.0</v>
      </c>
      <c r="B135" s="26" t="s">
        <v>849</v>
      </c>
      <c r="C135" s="26" t="s">
        <v>850</v>
      </c>
      <c r="D135" s="23"/>
      <c r="E135" s="23"/>
    </row>
    <row r="136">
      <c r="A136" s="24">
        <v>134.0</v>
      </c>
      <c r="B136" s="26" t="s">
        <v>855</v>
      </c>
      <c r="C136" s="26" t="s">
        <v>856</v>
      </c>
      <c r="D136" s="23"/>
      <c r="E136" s="23"/>
    </row>
    <row r="137">
      <c r="A137" s="24">
        <v>135.0</v>
      </c>
      <c r="B137" s="26" t="s">
        <v>859</v>
      </c>
      <c r="C137" s="26" t="s">
        <v>861</v>
      </c>
      <c r="D137" s="23"/>
      <c r="E137" s="23"/>
    </row>
    <row r="138">
      <c r="A138" s="24">
        <v>136.0</v>
      </c>
      <c r="B138" s="26" t="s">
        <v>865</v>
      </c>
      <c r="C138" s="26" t="s">
        <v>866</v>
      </c>
      <c r="D138" s="23"/>
      <c r="E138" s="23"/>
    </row>
    <row r="139">
      <c r="A139" s="24">
        <v>137.0</v>
      </c>
      <c r="B139" s="26" t="s">
        <v>872</v>
      </c>
      <c r="C139" s="26" t="s">
        <v>873</v>
      </c>
      <c r="D139" s="23"/>
      <c r="E139" s="23"/>
    </row>
    <row r="140">
      <c r="A140" s="24">
        <v>138.0</v>
      </c>
      <c r="B140" s="26" t="s">
        <v>877</v>
      </c>
      <c r="C140" s="26" t="s">
        <v>879</v>
      </c>
      <c r="D140" s="23"/>
      <c r="E140" s="23"/>
    </row>
  </sheetData>
  <drawing r:id="rId1"/>
</worksheet>
</file>